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ootb\Desktop\School\OPER 543\Project\"/>
    </mc:Choice>
  </mc:AlternateContent>
  <bookViews>
    <workbookView xWindow="0" yWindow="0" windowWidth="16860" windowHeight="4838" activeTab="1"/>
  </bookViews>
  <sheets>
    <sheet name="Sheet1" sheetId="1" r:id="rId1"/>
    <sheet name="Sheet2" sheetId="4" r:id="rId2"/>
    <sheet name="Sheet3" sheetId="5" r:id="rId3"/>
    <sheet name="Sheet4" sheetId="6" r:id="rId4"/>
    <sheet name="Sheet5" sheetId="7" r:id="rId5"/>
    <sheet name="Tornado Diagrams" sheetId="2" r:id="rId6"/>
    <sheet name="Decision Tree" sheetId="3" r:id="rId7"/>
  </sheets>
  <definedNames>
    <definedName name="dem_g_PD">Sheet1!$K$32</definedName>
    <definedName name="dem_g_RBL">Sheet1!$K$32</definedName>
    <definedName name="dem_RBL">Sheet1!$K$31</definedName>
    <definedName name="discount_rate">Sheet1!$I$18</definedName>
    <definedName name="mult_PD">Sheet1!$K$33</definedName>
    <definedName name="mult_pudont">Sheet1!$K$33</definedName>
    <definedName name="plant_const">Sheet1!$K$34</definedName>
    <definedName name="prod_PuD">Sheet1!$I$23</definedName>
    <definedName name="prod_w_exp">Sheet1!$I$22</definedName>
    <definedName name="prod_wo_exp">Sheet1!$I$21</definedName>
    <definedName name="risk_tol">Sheet1!$I$24</definedName>
    <definedName name="strategy">Sheet1!$K$5</definedName>
    <definedName name="strategy_name">Sheet1!$K$6</definedName>
    <definedName name="tax_rate">Sheet1!$I$19</definedName>
    <definedName name="unit_prod">Sheet1!$K$35</definedName>
    <definedName name="unit_rev">Sheet1!$K$36</definedName>
  </definedNames>
  <calcPr calcId="162913"/>
</workbook>
</file>

<file path=xl/calcChain.xml><?xml version="1.0" encoding="utf-8"?>
<calcChain xmlns="http://schemas.openxmlformats.org/spreadsheetml/2006/main">
  <c r="L41" i="2" l="1"/>
  <c r="M41" i="2"/>
  <c r="L42" i="2"/>
  <c r="M42" i="2"/>
  <c r="K43" i="2"/>
  <c r="L43" i="2"/>
  <c r="M43" i="2"/>
  <c r="L44" i="2"/>
  <c r="M44" i="2"/>
  <c r="L45" i="2"/>
  <c r="M45" i="2"/>
  <c r="M40" i="2"/>
  <c r="L40" i="2"/>
  <c r="L29" i="2"/>
  <c r="M29" i="2"/>
  <c r="L30" i="2"/>
  <c r="M30" i="2"/>
  <c r="L31" i="2"/>
  <c r="M31" i="2"/>
  <c r="L32" i="2"/>
  <c r="M32" i="2"/>
  <c r="L33" i="2"/>
  <c r="M33" i="2"/>
  <c r="M28" i="2"/>
  <c r="L28" i="2"/>
  <c r="L17" i="2"/>
  <c r="M17" i="2"/>
  <c r="L18" i="2"/>
  <c r="M18" i="2"/>
  <c r="L19" i="2"/>
  <c r="M19" i="2"/>
  <c r="L20" i="2"/>
  <c r="M20" i="2"/>
  <c r="L21" i="2"/>
  <c r="M21" i="2"/>
  <c r="M16" i="2"/>
  <c r="L16" i="2"/>
  <c r="K5" i="2"/>
  <c r="L5" i="2"/>
  <c r="M5" i="2"/>
  <c r="K6" i="2"/>
  <c r="L6" i="2"/>
  <c r="M6" i="2"/>
  <c r="K7" i="2"/>
  <c r="L7" i="2"/>
  <c r="M7" i="2"/>
  <c r="K8" i="2"/>
  <c r="L8" i="2"/>
  <c r="M8" i="2"/>
  <c r="K9" i="2"/>
  <c r="L9" i="2"/>
  <c r="M9" i="2"/>
  <c r="M4" i="2"/>
  <c r="L4" i="2"/>
  <c r="K4" i="2"/>
  <c r="I15" i="2"/>
  <c r="I27" i="2" s="1"/>
  <c r="I39" i="2" s="1"/>
  <c r="K6" i="1"/>
  <c r="K40" i="2"/>
  <c r="K41" i="2"/>
  <c r="K42" i="2"/>
  <c r="K44" i="2"/>
  <c r="K45" i="2"/>
  <c r="I53" i="1"/>
  <c r="J53" i="1"/>
  <c r="K53" i="1"/>
  <c r="L53" i="1"/>
  <c r="M53" i="1"/>
  <c r="N53" i="1"/>
  <c r="O53" i="1"/>
  <c r="P53" i="1"/>
  <c r="Q53" i="1"/>
  <c r="H53" i="1"/>
  <c r="I44" i="2" l="1"/>
  <c r="N44" i="2" s="1"/>
  <c r="I41" i="2"/>
  <c r="N41" i="2" s="1"/>
  <c r="I45" i="2"/>
  <c r="N45" i="2" s="1"/>
  <c r="I42" i="2"/>
  <c r="N42" i="2" s="1"/>
  <c r="I40" i="2"/>
  <c r="N40" i="2" s="1"/>
  <c r="I43" i="2"/>
  <c r="N43" i="2" s="1"/>
  <c r="I29" i="2"/>
  <c r="N29" i="2" s="1"/>
  <c r="I33" i="2"/>
  <c r="N33" i="2" s="1"/>
  <c r="I30" i="2"/>
  <c r="N30" i="2" s="1"/>
  <c r="I28" i="2"/>
  <c r="N28" i="2" s="1"/>
  <c r="I31" i="2"/>
  <c r="N31" i="2" s="1"/>
  <c r="I32" i="2"/>
  <c r="N32" i="2" s="1"/>
  <c r="K29" i="2"/>
  <c r="I18" i="2"/>
  <c r="N18" i="2" s="1"/>
  <c r="I16" i="2"/>
  <c r="N16" i="2" s="1"/>
  <c r="I19" i="2"/>
  <c r="N19" i="2" s="1"/>
  <c r="I20" i="2"/>
  <c r="N20" i="2" s="1"/>
  <c r="I21" i="2"/>
  <c r="N21" i="2" s="1"/>
  <c r="I17" i="2"/>
  <c r="N17" i="2" s="1"/>
  <c r="K33" i="2"/>
  <c r="K21" i="2"/>
  <c r="K20" i="2"/>
  <c r="K32" i="2"/>
  <c r="K19" i="2"/>
  <c r="K31" i="2"/>
  <c r="K18" i="2"/>
  <c r="K30" i="2"/>
  <c r="K17" i="2"/>
  <c r="I7" i="2"/>
  <c r="N7" i="2" s="1"/>
  <c r="I5" i="2"/>
  <c r="N5" i="2" s="1"/>
  <c r="K16" i="2"/>
  <c r="K28" i="2"/>
  <c r="I8" i="2"/>
  <c r="N8" i="2" s="1"/>
  <c r="I4" i="2"/>
  <c r="N4" i="2" s="1"/>
  <c r="I9" i="2"/>
  <c r="N9" i="2" s="1"/>
  <c r="I6" i="2"/>
  <c r="N6" i="2" s="1"/>
  <c r="J38" i="1"/>
  <c r="K32" i="1" l="1"/>
  <c r="K33" i="1"/>
  <c r="K34" i="1"/>
  <c r="H60" i="1" s="1"/>
  <c r="K35" i="1"/>
  <c r="K36" i="1"/>
  <c r="A45" i="1" l="1"/>
  <c r="K31" i="1"/>
  <c r="N52" i="1" s="1"/>
  <c r="I47" i="1"/>
  <c r="J47" i="1" s="1"/>
  <c r="H48" i="1"/>
  <c r="K51" i="1" l="1"/>
  <c r="Q51" i="1"/>
  <c r="L51" i="1"/>
  <c r="P52" i="1"/>
  <c r="H52" i="1"/>
  <c r="N51" i="1"/>
  <c r="I51" i="1"/>
  <c r="M52" i="1"/>
  <c r="O52" i="1"/>
  <c r="J52" i="1"/>
  <c r="O51" i="1"/>
  <c r="J51" i="1"/>
  <c r="P51" i="1"/>
  <c r="I52" i="1"/>
  <c r="K52" i="1"/>
  <c r="H51" i="1"/>
  <c r="M51" i="1"/>
  <c r="Q52" i="1"/>
  <c r="L52" i="1"/>
  <c r="I48" i="1"/>
  <c r="K47" i="1"/>
  <c r="L47" i="1" s="1"/>
  <c r="J48" i="1"/>
  <c r="H54" i="1" l="1"/>
  <c r="H56" i="1" s="1"/>
  <c r="I54" i="1"/>
  <c r="K48" i="1"/>
  <c r="M47" i="1"/>
  <c r="L48" i="1"/>
  <c r="H58" i="1" l="1"/>
  <c r="H62" i="1" s="1"/>
  <c r="H63" i="1"/>
  <c r="I56" i="1"/>
  <c r="I58" i="1"/>
  <c r="J54" i="1"/>
  <c r="M48" i="1"/>
  <c r="N47" i="1"/>
  <c r="H65" i="1" l="1"/>
  <c r="H67" i="1" s="1"/>
  <c r="H68" i="1" s="1"/>
  <c r="I62" i="1"/>
  <c r="I63" i="1"/>
  <c r="J56" i="1"/>
  <c r="J58" i="1"/>
  <c r="O47" i="1"/>
  <c r="N48" i="1"/>
  <c r="H69" i="1" l="1"/>
  <c r="H71" i="1" s="1"/>
  <c r="H72" i="1" s="1"/>
  <c r="J62" i="1"/>
  <c r="I65" i="1"/>
  <c r="I67" i="1" s="1"/>
  <c r="I69" i="1" s="1"/>
  <c r="I71" i="1" s="1"/>
  <c r="I72" i="1" s="1"/>
  <c r="J63" i="1"/>
  <c r="K54" i="1"/>
  <c r="L54" i="1"/>
  <c r="O48" i="1"/>
  <c r="P47" i="1"/>
  <c r="J65" i="1" l="1"/>
  <c r="J67" i="1" s="1"/>
  <c r="I68" i="1"/>
  <c r="L56" i="1"/>
  <c r="L58" i="1"/>
  <c r="K56" i="1"/>
  <c r="K58" i="1"/>
  <c r="M54" i="1"/>
  <c r="Q47" i="1"/>
  <c r="Q48" i="1" s="1"/>
  <c r="P48" i="1"/>
  <c r="J68" i="1" l="1"/>
  <c r="J69" i="1"/>
  <c r="J71" i="1" s="1"/>
  <c r="J72" i="1" s="1"/>
  <c r="L63" i="1"/>
  <c r="L62" i="1"/>
  <c r="K63" i="1"/>
  <c r="K62" i="1"/>
  <c r="M56" i="1"/>
  <c r="M58" i="1"/>
  <c r="N54" i="1"/>
  <c r="L65" i="1" l="1"/>
  <c r="L67" i="1" s="1"/>
  <c r="K65" i="1"/>
  <c r="K67" i="1" s="1"/>
  <c r="K68" i="1" s="1"/>
  <c r="M62" i="1"/>
  <c r="M63" i="1"/>
  <c r="N56" i="1"/>
  <c r="N58" i="1"/>
  <c r="O54" i="1"/>
  <c r="L68" i="1" l="1"/>
  <c r="K69" i="1"/>
  <c r="K71" i="1" s="1"/>
  <c r="K72" i="1" s="1"/>
  <c r="M65" i="1"/>
  <c r="M67" i="1" s="1"/>
  <c r="N62" i="1"/>
  <c r="L69" i="1"/>
  <c r="L71" i="1" s="1"/>
  <c r="L72" i="1" s="1"/>
  <c r="N63" i="1"/>
  <c r="O56" i="1"/>
  <c r="O58" i="1"/>
  <c r="Q54" i="1"/>
  <c r="P54" i="1"/>
  <c r="M69" i="1" l="1"/>
  <c r="M71" i="1" s="1"/>
  <c r="M72" i="1" s="1"/>
  <c r="M68" i="1"/>
  <c r="N65" i="1"/>
  <c r="N67" i="1" s="1"/>
  <c r="O63" i="1"/>
  <c r="O62" i="1"/>
  <c r="P56" i="1"/>
  <c r="P58" i="1"/>
  <c r="Q56" i="1"/>
  <c r="Q58" i="1"/>
  <c r="N68" i="1" l="1"/>
  <c r="N69" i="1"/>
  <c r="N71" i="1" s="1"/>
  <c r="N72" i="1" s="1"/>
  <c r="O65" i="1"/>
  <c r="O67" i="1" s="1"/>
  <c r="Q62" i="1"/>
  <c r="P63" i="1"/>
  <c r="P62" i="1"/>
  <c r="Q63" i="1"/>
  <c r="O69" i="1" l="1"/>
  <c r="O71" i="1" s="1"/>
  <c r="O72" i="1" s="1"/>
  <c r="Q65" i="1"/>
  <c r="Q67" i="1" s="1"/>
  <c r="O68" i="1"/>
  <c r="P65" i="1"/>
  <c r="P67" i="1" s="1"/>
  <c r="P68" i="1" l="1"/>
  <c r="Q68" i="1" s="1"/>
  <c r="P69" i="1"/>
  <c r="P71" i="1" s="1"/>
  <c r="P72" i="1" s="1"/>
  <c r="Q69" i="1" l="1"/>
  <c r="Q71" i="1" s="1"/>
  <c r="Q72" i="1" s="1"/>
  <c r="H75" i="1" s="1"/>
  <c r="H77" i="1" s="1"/>
</calcChain>
</file>

<file path=xl/sharedStrings.xml><?xml version="1.0" encoding="utf-8"?>
<sst xmlns="http://schemas.openxmlformats.org/spreadsheetml/2006/main" count="118" uniqueCount="82">
  <si>
    <t>Section 1 - Strategy Selection</t>
  </si>
  <si>
    <t>Strategy</t>
  </si>
  <si>
    <t>strategy</t>
  </si>
  <si>
    <t>Strategy Name</t>
  </si>
  <si>
    <t>strategy_name</t>
  </si>
  <si>
    <t>Strategy Descriptions</t>
  </si>
  <si>
    <t>No Partnership / No Expansion</t>
  </si>
  <si>
    <t>No Partnership / Expansion</t>
  </si>
  <si>
    <t>Joint Venture</t>
  </si>
  <si>
    <t>Royalty</t>
  </si>
  <si>
    <t>Section 2 - Constants</t>
  </si>
  <si>
    <t>Description</t>
  </si>
  <si>
    <t>Units</t>
  </si>
  <si>
    <t>Value</t>
  </si>
  <si>
    <t>Name</t>
  </si>
  <si>
    <t/>
  </si>
  <si>
    <t>Real discount rate</t>
  </si>
  <si>
    <t>%</t>
  </si>
  <si>
    <t>discount_rate</t>
  </si>
  <si>
    <t>Tax Rate</t>
  </si>
  <si>
    <t>tax_rate</t>
  </si>
  <si>
    <t>Section 3 - Uncertainties</t>
  </si>
  <si>
    <t>Index</t>
  </si>
  <si>
    <t>In Use</t>
  </si>
  <si>
    <t>Low</t>
  </si>
  <si>
    <t>Base</t>
  </si>
  <si>
    <t>High</t>
  </si>
  <si>
    <t>Demand uncertainties</t>
  </si>
  <si>
    <t>Section 4 - Calculations</t>
  </si>
  <si>
    <t>Year</t>
  </si>
  <si>
    <t>Period</t>
  </si>
  <si>
    <t>Sales</t>
  </si>
  <si>
    <t>Capacity</t>
  </si>
  <si>
    <t>Revenue</t>
  </si>
  <si>
    <t>Production Cost</t>
  </si>
  <si>
    <t>Plant Cost</t>
  </si>
  <si>
    <t>JV Payment</t>
  </si>
  <si>
    <t>Royalty Payment</t>
  </si>
  <si>
    <t>Earnings Before Tax</t>
  </si>
  <si>
    <t>Taxes</t>
  </si>
  <si>
    <t>Tax Credit Available for Next Year</t>
  </si>
  <si>
    <t>Tax Payment</t>
  </si>
  <si>
    <t>Cash Flow</t>
  </si>
  <si>
    <t>Present Equivalent</t>
  </si>
  <si>
    <t>RBL BioChemical Corporation's Value Model</t>
  </si>
  <si>
    <t>Demand | PuDont Markets</t>
  </si>
  <si>
    <t>Demand | RBL BioChem Markets</t>
  </si>
  <si>
    <t>M units</t>
  </si>
  <si>
    <t>M $</t>
  </si>
  <si>
    <t>Initial Demand | RBL BioChem Markets</t>
  </si>
  <si>
    <t>dem_RBL</t>
  </si>
  <si>
    <t>M 2017 $</t>
  </si>
  <si>
    <t>Demand Growth Rate | RBL Biochem Markets</t>
  </si>
  <si>
    <t>PuDont Multiple | PuDont</t>
  </si>
  <si>
    <t>Plant Construction Cost</t>
  </si>
  <si>
    <t>Unit Production Cost</t>
  </si>
  <si>
    <t>Unit Revenue</t>
  </si>
  <si>
    <t>multiple</t>
  </si>
  <si>
    <t>%/year</t>
  </si>
  <si>
    <t>$/unit</t>
  </si>
  <si>
    <t>plant_const</t>
  </si>
  <si>
    <t>unit_prod</t>
  </si>
  <si>
    <t>unit_rev</t>
  </si>
  <si>
    <t>dem_g_PD</t>
  </si>
  <si>
    <t>mult_PD</t>
  </si>
  <si>
    <t>Production without expansion</t>
  </si>
  <si>
    <t>prod_wo_exp</t>
  </si>
  <si>
    <t>Production with expansion</t>
  </si>
  <si>
    <t>prod_w_exp</t>
  </si>
  <si>
    <t>Risk Tolerance</t>
  </si>
  <si>
    <t>risk_tol</t>
  </si>
  <si>
    <t>Probabilities</t>
  </si>
  <si>
    <t>Production for PuDont</t>
  </si>
  <si>
    <t>prod_PuD</t>
  </si>
  <si>
    <t>Discounted Cash Flow</t>
  </si>
  <si>
    <t>U (PE)</t>
  </si>
  <si>
    <t>Strategy 1 (No Partnership, no expansion)</t>
  </si>
  <si>
    <t>% Var</t>
  </si>
  <si>
    <t>sort by profit</t>
  </si>
  <si>
    <t>copy and paste profit and prob</t>
  </si>
  <si>
    <t>make new column</t>
  </si>
  <si>
    <t>current+last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</si>
</sst>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7" formatCode="&quot;$&quot;#,##0.00_);\(&quot;$&quot;#,##0.00\)"/>
    <numFmt numFmtId="44" formatCode="_(&quot;$&quot;* #,##0.00_);_(&quot;$&quot;* \(#,##0.00\);_(&quot;$&quot;* &quot;-&quot;??_);_(@_)"/>
    <numFmt numFmtId="164" formatCode="0.0"/>
    <numFmt numFmtId="165" formatCode="#,##0.0"/>
    <numFmt numFmtId="166" formatCode="0.0%"/>
    <numFmt numFmtId="167" formatCode="_(&quot;$&quot;* #,##0.0_);_(&quot;$&quot;* \(#,##0.0\);_(&quot;$&quot;* &quot;-&quot;??_);_(@_)"/>
  </numFmts>
  <fonts count="22" x14ac:knownFonts="1">
    <font>
      <sz val="10"/>
      <name val="Arial"/>
    </font>
    <font>
      <sz val="10"/>
      <name val="Arial"/>
      <family val="2"/>
    </font>
    <font>
      <b/>
      <sz val="14"/>
      <name val="Courier New"/>
      <family val="3"/>
    </font>
    <font>
      <sz val="10"/>
      <name val="Courier New"/>
      <family val="3"/>
    </font>
    <font>
      <b/>
      <i/>
      <sz val="12"/>
      <name val="Courier New"/>
      <family val="3"/>
    </font>
    <font>
      <b/>
      <i/>
      <sz val="10"/>
      <name val="Courier New"/>
      <family val="3"/>
    </font>
    <font>
      <sz val="9"/>
      <name val="Courier New"/>
      <family val="3"/>
    </font>
    <font>
      <b/>
      <sz val="12"/>
      <name val="Courier New"/>
      <family val="3"/>
    </font>
    <font>
      <u/>
      <sz val="10"/>
      <name val="Courier New"/>
      <family val="3"/>
    </font>
    <font>
      <b/>
      <i/>
      <sz val="10"/>
      <color indexed="10"/>
      <name val="Courier New"/>
      <family val="3"/>
    </font>
    <font>
      <sz val="10"/>
      <color indexed="10"/>
      <name val="Courier New"/>
      <family val="3"/>
    </font>
    <font>
      <b/>
      <sz val="10"/>
      <name val="Courier New"/>
      <family val="3"/>
    </font>
    <font>
      <i/>
      <sz val="10"/>
      <color indexed="10"/>
      <name val="Courier New"/>
      <family val="3"/>
    </font>
    <font>
      <sz val="10"/>
      <color indexed="8"/>
      <name val="Courier New"/>
      <family val="3"/>
    </font>
    <font>
      <sz val="12"/>
      <name val="Courier New"/>
      <family val="3"/>
    </font>
    <font>
      <sz val="11"/>
      <name val="Courier New"/>
      <family val="3"/>
    </font>
    <font>
      <sz val="11"/>
      <color indexed="8"/>
      <name val="Courier New"/>
      <family val="3"/>
    </font>
    <font>
      <b/>
      <sz val="11"/>
      <color indexed="8"/>
      <name val="Courier New"/>
      <family val="3"/>
    </font>
    <font>
      <i/>
      <sz val="10"/>
      <color indexed="8"/>
      <name val="Courier New"/>
      <family val="3"/>
    </font>
    <font>
      <i/>
      <sz val="10"/>
      <name val="Courier New"/>
      <family val="3"/>
    </font>
    <font>
      <sz val="9"/>
      <color indexed="8"/>
      <name val="Courier New"/>
      <family val="3"/>
    </font>
    <font>
      <sz val="9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3" fillId="0" borderId="1" xfId="0" applyFont="1" applyBorder="1"/>
    <xf numFmtId="0" fontId="5" fillId="0" borderId="0" xfId="0" applyFont="1" applyBorder="1"/>
    <xf numFmtId="0" fontId="3" fillId="0" borderId="0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6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 applyAlignment="1">
      <alignment horizontal="right"/>
    </xf>
    <xf numFmtId="0" fontId="6" fillId="0" borderId="0" xfId="0" applyFont="1"/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0" borderId="0" xfId="0" applyFont="1"/>
    <xf numFmtId="0" fontId="8" fillId="0" borderId="0" xfId="0" applyFont="1" applyBorder="1" applyAlignment="1">
      <alignment horizontal="center"/>
    </xf>
    <xf numFmtId="0" fontId="3" fillId="0" borderId="0" xfId="0" applyFont="1" applyBorder="1" applyProtection="1"/>
    <xf numFmtId="0" fontId="9" fillId="0" borderId="0" xfId="0" applyFont="1"/>
    <xf numFmtId="0" fontId="3" fillId="0" borderId="8" xfId="0" applyFont="1" applyBorder="1"/>
    <xf numFmtId="0" fontId="3" fillId="0" borderId="0" xfId="0" applyFont="1" applyBorder="1" applyAlignment="1">
      <alignment horizontal="center"/>
    </xf>
    <xf numFmtId="9" fontId="3" fillId="0" borderId="10" xfId="0" applyNumberFormat="1" applyFont="1" applyBorder="1" applyAlignment="1">
      <alignment horizontal="center"/>
    </xf>
    <xf numFmtId="0" fontId="6" fillId="0" borderId="9" xfId="0" applyFont="1" applyBorder="1"/>
    <xf numFmtId="9" fontId="3" fillId="0" borderId="0" xfId="0" applyNumberFormat="1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9" fontId="3" fillId="0" borderId="11" xfId="0" applyNumberFormat="1" applyFont="1" applyBorder="1" applyAlignment="1">
      <alignment horizontal="center"/>
    </xf>
    <xf numFmtId="0" fontId="3" fillId="0" borderId="9" xfId="0" applyFont="1" applyBorder="1"/>
    <xf numFmtId="164" fontId="3" fillId="0" borderId="0" xfId="0" applyNumberFormat="1" applyFont="1" applyBorder="1" applyAlignment="1">
      <alignment horizontal="center"/>
    </xf>
    <xf numFmtId="9" fontId="3" fillId="0" borderId="0" xfId="2" applyFont="1" applyBorder="1" applyAlignment="1">
      <alignment horizontal="center"/>
    </xf>
    <xf numFmtId="0" fontId="3" fillId="0" borderId="7" xfId="0" applyFont="1" applyBorder="1"/>
    <xf numFmtId="0" fontId="4" fillId="0" borderId="0" xfId="0" applyFont="1" applyBorder="1"/>
    <xf numFmtId="0" fontId="11" fillId="0" borderId="2" xfId="0" applyFont="1" applyBorder="1"/>
    <xf numFmtId="0" fontId="8" fillId="0" borderId="3" xfId="0" applyFont="1" applyBorder="1" applyAlignment="1">
      <alignment horizontal="center"/>
    </xf>
    <xf numFmtId="0" fontId="3" fillId="0" borderId="3" xfId="0" applyFont="1" applyBorder="1" applyProtection="1"/>
    <xf numFmtId="0" fontId="12" fillId="0" borderId="0" xfId="0" applyFont="1"/>
    <xf numFmtId="0" fontId="13" fillId="0" borderId="8" xfId="0" applyFont="1" applyBorder="1"/>
    <xf numFmtId="2" fontId="3" fillId="0" borderId="0" xfId="0" applyNumberFormat="1" applyFont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6" fontId="3" fillId="0" borderId="0" xfId="2" applyNumberFormat="1" applyFont="1" applyBorder="1" applyAlignment="1">
      <alignment horizontal="center"/>
    </xf>
    <xf numFmtId="0" fontId="13" fillId="2" borderId="0" xfId="0" applyFont="1" applyFill="1" applyBorder="1"/>
    <xf numFmtId="0" fontId="11" fillId="0" borderId="8" xfId="0" applyFont="1" applyBorder="1"/>
    <xf numFmtId="0" fontId="11" fillId="0" borderId="5" xfId="0" applyFont="1" applyBorder="1"/>
    <xf numFmtId="0" fontId="3" fillId="0" borderId="6" xfId="0" applyFont="1" applyBorder="1" applyAlignment="1">
      <alignment horizontal="center"/>
    </xf>
    <xf numFmtId="2" fontId="3" fillId="0" borderId="6" xfId="0" applyNumberFormat="1" applyFont="1" applyBorder="1" applyAlignment="1">
      <alignment horizontal="center"/>
    </xf>
    <xf numFmtId="2" fontId="6" fillId="0" borderId="6" xfId="0" applyNumberFormat="1" applyFont="1" applyBorder="1"/>
    <xf numFmtId="0" fontId="11" fillId="0" borderId="0" xfId="0" applyFont="1"/>
    <xf numFmtId="0" fontId="14" fillId="0" borderId="0" xfId="0" applyFont="1"/>
    <xf numFmtId="0" fontId="6" fillId="0" borderId="0" xfId="0" applyFont="1" applyAlignment="1"/>
    <xf numFmtId="0" fontId="15" fillId="0" borderId="0" xfId="0" applyFont="1" applyAlignment="1"/>
    <xf numFmtId="0" fontId="3" fillId="0" borderId="0" xfId="0" applyFont="1" applyAlignment="1"/>
    <xf numFmtId="0" fontId="16" fillId="0" borderId="0" xfId="0" applyFont="1" applyAlignment="1">
      <alignment horizontal="center"/>
    </xf>
    <xf numFmtId="0" fontId="13" fillId="0" borderId="0" xfId="0" applyFont="1"/>
    <xf numFmtId="0" fontId="16" fillId="0" borderId="0" xfId="0" applyFont="1"/>
    <xf numFmtId="4" fontId="16" fillId="0" borderId="0" xfId="0" applyNumberFormat="1" applyFont="1" applyBorder="1"/>
    <xf numFmtId="164" fontId="16" fillId="0" borderId="0" xfId="0" applyNumberFormat="1" applyFont="1" applyBorder="1"/>
    <xf numFmtId="165" fontId="16" fillId="0" borderId="0" xfId="0" applyNumberFormat="1" applyFont="1" applyBorder="1"/>
    <xf numFmtId="0" fontId="14" fillId="0" borderId="0" xfId="0" applyFont="1" applyBorder="1"/>
    <xf numFmtId="0" fontId="6" fillId="0" borderId="0" xfId="0" applyFont="1" applyBorder="1" applyAlignment="1">
      <alignment horizontal="center"/>
    </xf>
    <xf numFmtId="2" fontId="16" fillId="0" borderId="0" xfId="0" applyNumberFormat="1" applyFont="1" applyBorder="1"/>
    <xf numFmtId="0" fontId="7" fillId="0" borderId="0" xfId="0" applyFont="1" applyBorder="1"/>
    <xf numFmtId="2" fontId="13" fillId="0" borderId="0" xfId="0" applyNumberFormat="1" applyFont="1" applyBorder="1"/>
    <xf numFmtId="7" fontId="17" fillId="0" borderId="0" xfId="0" applyNumberFormat="1" applyFont="1" applyBorder="1"/>
    <xf numFmtId="7" fontId="13" fillId="0" borderId="0" xfId="0" applyNumberFormat="1" applyFont="1" applyBorder="1"/>
    <xf numFmtId="3" fontId="13" fillId="0" borderId="0" xfId="0" applyNumberFormat="1" applyFont="1" applyBorder="1"/>
    <xf numFmtId="0" fontId="13" fillId="0" borderId="0" xfId="0" applyFont="1" applyBorder="1"/>
    <xf numFmtId="0" fontId="11" fillId="0" borderId="0" xfId="0" applyFont="1" applyBorder="1"/>
    <xf numFmtId="0" fontId="18" fillId="0" borderId="0" xfId="0" applyFont="1" applyBorder="1"/>
    <xf numFmtId="0" fontId="18" fillId="0" borderId="0" xfId="0" applyFont="1" applyBorder="1" applyAlignment="1">
      <alignment horizontal="center"/>
    </xf>
    <xf numFmtId="0" fontId="19" fillId="0" borderId="0" xfId="0" applyFont="1" applyBorder="1"/>
    <xf numFmtId="0" fontId="10" fillId="0" borderId="0" xfId="0" applyFont="1" applyBorder="1"/>
    <xf numFmtId="7" fontId="20" fillId="0" borderId="0" xfId="0" applyNumberFormat="1" applyFont="1" applyBorder="1"/>
    <xf numFmtId="0" fontId="21" fillId="0" borderId="0" xfId="0" applyFont="1" applyBorder="1"/>
    <xf numFmtId="0" fontId="19" fillId="0" borderId="0" xfId="0" applyFont="1" applyBorder="1" applyAlignment="1">
      <alignment horizontal="center"/>
    </xf>
    <xf numFmtId="7" fontId="3" fillId="0" borderId="0" xfId="0" applyNumberFormat="1" applyFont="1" applyBorder="1"/>
    <xf numFmtId="7" fontId="6" fillId="0" borderId="0" xfId="0" applyNumberFormat="1" applyFont="1" applyBorder="1"/>
    <xf numFmtId="44" fontId="3" fillId="0" borderId="0" xfId="1" applyFont="1" applyBorder="1"/>
    <xf numFmtId="0" fontId="11" fillId="3" borderId="4" xfId="0" applyFont="1" applyFill="1" applyBorder="1"/>
    <xf numFmtId="0" fontId="3" fillId="0" borderId="0" xfId="2" applyNumberFormat="1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2" fontId="3" fillId="0" borderId="10" xfId="0" applyNumberFormat="1" applyFont="1" applyBorder="1" applyAlignment="1">
      <alignment horizontal="center"/>
    </xf>
    <xf numFmtId="9" fontId="3" fillId="0" borderId="10" xfId="2" applyFont="1" applyBorder="1" applyAlignment="1">
      <alignment horizontal="center"/>
    </xf>
    <xf numFmtId="0" fontId="13" fillId="4" borderId="0" xfId="0" applyFont="1" applyFill="1" applyBorder="1" applyAlignment="1">
      <alignment horizontal="center" vertical="center"/>
    </xf>
    <xf numFmtId="44" fontId="3" fillId="0" borderId="10" xfId="1" applyFont="1" applyBorder="1" applyAlignment="1">
      <alignment horizontal="center"/>
    </xf>
    <xf numFmtId="164" fontId="3" fillId="0" borderId="12" xfId="0" applyNumberFormat="1" applyFont="1" applyBorder="1" applyAlignment="1">
      <alignment horizontal="center"/>
    </xf>
    <xf numFmtId="9" fontId="3" fillId="0" borderId="12" xfId="0" applyNumberFormat="1" applyFont="1" applyBorder="1" applyAlignment="1">
      <alignment horizontal="center"/>
    </xf>
    <xf numFmtId="0" fontId="3" fillId="0" borderId="12" xfId="2" applyNumberFormat="1" applyFont="1" applyBorder="1" applyAlignment="1">
      <alignment horizontal="center"/>
    </xf>
    <xf numFmtId="167" fontId="3" fillId="0" borderId="12" xfId="1" applyNumberFormat="1" applyFont="1" applyBorder="1" applyAlignment="1">
      <alignment horizontal="center"/>
    </xf>
    <xf numFmtId="44" fontId="3" fillId="0" borderId="12" xfId="1" applyFont="1" applyBorder="1" applyAlignment="1">
      <alignment horizontal="center" vertical="center"/>
    </xf>
    <xf numFmtId="44" fontId="3" fillId="0" borderId="12" xfId="1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4" fontId="13" fillId="5" borderId="0" xfId="0" applyNumberFormat="1" applyFont="1" applyFill="1" applyBorder="1"/>
    <xf numFmtId="0" fontId="13" fillId="5" borderId="0" xfId="1" applyNumberFormat="1" applyFont="1" applyFill="1" applyBorder="1"/>
    <xf numFmtId="0" fontId="1" fillId="0" borderId="0" xfId="0" applyFont="1" applyAlignme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66FF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17</xdr:row>
      <xdr:rowOff>66675</xdr:rowOff>
    </xdr:from>
    <xdr:to>
      <xdr:col>12</xdr:col>
      <xdr:colOff>619125</xdr:colOff>
      <xdr:row>20</xdr:row>
      <xdr:rowOff>152400</xdr:rowOff>
    </xdr:to>
    <xdr:sp macro="" textlink="">
      <xdr:nvSpPr>
        <xdr:cNvPr id="1026" name="Text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 txBox="1">
          <a:spLocks noChangeArrowheads="1"/>
        </xdr:cNvSpPr>
      </xdr:nvSpPr>
      <xdr:spPr bwMode="auto">
        <a:xfrm>
          <a:off x="5829300" y="3038475"/>
          <a:ext cx="1914525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D4"/>
              </a:solidFill>
              <a:latin typeface="Arial"/>
              <a:cs typeface="Arial"/>
            </a:rPr>
            <a:t>Place your constants here.  If you know how to name cells this will make things a little easier.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18</xdr:row>
      <xdr:rowOff>33338</xdr:rowOff>
    </xdr:from>
    <xdr:to>
      <xdr:col>1</xdr:col>
      <xdr:colOff>9525</xdr:colOff>
      <xdr:row>21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D726534-BA56-40CF-97DE-D73DF7634E35}"/>
            </a:ext>
          </a:extLst>
        </xdr:cNvPr>
        <xdr:cNvSpPr/>
      </xdr:nvSpPr>
      <xdr:spPr bwMode="auto">
        <a:xfrm>
          <a:off x="142875" y="2947988"/>
          <a:ext cx="514350" cy="452437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V388"/>
  <sheetViews>
    <sheetView showGridLines="0" zoomScale="50" zoomScaleNormal="50" workbookViewId="0">
      <selection activeCell="K6" sqref="K6"/>
    </sheetView>
  </sheetViews>
  <sheetFormatPr defaultColWidth="11.3984375" defaultRowHeight="13.15" x14ac:dyDescent="0.4"/>
  <cols>
    <col min="1" max="4" width="2.86328125" style="2" customWidth="1"/>
    <col min="5" max="5" width="9.86328125" style="2" customWidth="1"/>
    <col min="6" max="6" width="28.86328125" style="2" customWidth="1"/>
    <col min="7" max="7" width="12.73046875" style="2" customWidth="1"/>
    <col min="8" max="8" width="11" style="2" customWidth="1"/>
    <col min="9" max="17" width="11.1328125" style="2" customWidth="1"/>
    <col min="18" max="41" width="9.86328125" style="2" customWidth="1"/>
    <col min="42" max="16384" width="11.3984375" style="2"/>
  </cols>
  <sheetData>
    <row r="1" spans="1:41" ht="18.399999999999999" x14ac:dyDescent="0.6">
      <c r="A1" s="1" t="s">
        <v>44</v>
      </c>
    </row>
    <row r="2" spans="1:41" ht="13.5" thickBot="1" x14ac:dyDescent="0.45"/>
    <row r="3" spans="1:41" ht="16.149999999999999" x14ac:dyDescent="0.55000000000000004">
      <c r="A3" s="3" t="s">
        <v>0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3.5" x14ac:dyDescent="0.45">
      <c r="A4" s="5"/>
      <c r="B4" s="6"/>
      <c r="C4" s="6"/>
      <c r="D4" s="6"/>
      <c r="E4" s="6"/>
      <c r="F4" s="6"/>
      <c r="G4" s="6"/>
      <c r="H4" s="6"/>
      <c r="I4" s="6"/>
      <c r="J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</row>
    <row r="5" spans="1:41" ht="13.5" x14ac:dyDescent="0.45">
      <c r="E5" s="7" t="s">
        <v>1</v>
      </c>
      <c r="F5" s="8"/>
      <c r="G5" s="8"/>
      <c r="H5" s="8"/>
      <c r="I5" s="8"/>
      <c r="J5" s="8"/>
      <c r="K5" s="80">
        <v>4</v>
      </c>
      <c r="L5" s="10" t="s">
        <v>2</v>
      </c>
    </row>
    <row r="6" spans="1:41" x14ac:dyDescent="0.4">
      <c r="E6" s="11" t="s">
        <v>3</v>
      </c>
      <c r="F6" s="12"/>
      <c r="G6" s="12"/>
      <c r="H6" s="12"/>
      <c r="I6" s="12"/>
      <c r="J6" s="12"/>
      <c r="K6" s="13" t="str">
        <f>INDEX(F9:F12,K5)</f>
        <v>Royalty</v>
      </c>
      <c r="L6" s="14" t="s">
        <v>4</v>
      </c>
    </row>
    <row r="8" spans="1:41" x14ac:dyDescent="0.4">
      <c r="E8" s="2" t="s">
        <v>5</v>
      </c>
    </row>
    <row r="9" spans="1:41" x14ac:dyDescent="0.4">
      <c r="E9" s="2">
        <v>1</v>
      </c>
      <c r="F9" s="15" t="s">
        <v>6</v>
      </c>
    </row>
    <row r="10" spans="1:41" x14ac:dyDescent="0.4">
      <c r="E10" s="2">
        <v>2</v>
      </c>
      <c r="F10" s="15" t="s">
        <v>7</v>
      </c>
      <c r="M10" s="16"/>
    </row>
    <row r="11" spans="1:41" x14ac:dyDescent="0.4">
      <c r="E11" s="2">
        <v>3</v>
      </c>
      <c r="F11" s="15" t="s">
        <v>8</v>
      </c>
      <c r="M11" s="16"/>
    </row>
    <row r="12" spans="1:41" x14ac:dyDescent="0.4">
      <c r="E12" s="2">
        <v>4</v>
      </c>
      <c r="F12" s="15" t="s">
        <v>9</v>
      </c>
    </row>
    <row r="13" spans="1:41" ht="13.5" thickBot="1" x14ac:dyDescent="0.45"/>
    <row r="14" spans="1:41" ht="16.149999999999999" x14ac:dyDescent="0.55000000000000004">
      <c r="A14" s="3" t="s">
        <v>10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</row>
    <row r="16" spans="1:41" s="17" customFormat="1" ht="16.149999999999999" x14ac:dyDescent="0.55000000000000004">
      <c r="B16" s="17" t="s">
        <v>11</v>
      </c>
      <c r="H16" s="18" t="s">
        <v>12</v>
      </c>
      <c r="I16" s="18" t="s">
        <v>13</v>
      </c>
      <c r="J16" s="18" t="s">
        <v>14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41" ht="13.5" x14ac:dyDescent="0.45">
      <c r="A17" s="19"/>
      <c r="B17" s="7"/>
      <c r="C17" s="8"/>
      <c r="D17" s="8"/>
      <c r="E17" s="8"/>
      <c r="F17" s="8"/>
      <c r="G17" s="8"/>
      <c r="H17" s="8"/>
      <c r="I17" s="8"/>
      <c r="J17" s="9"/>
      <c r="K17" s="20"/>
      <c r="L17" s="6"/>
      <c r="M17" s="6"/>
      <c r="N17" s="6"/>
      <c r="O17" s="21"/>
      <c r="P17" s="21"/>
      <c r="Q17" s="21"/>
      <c r="R17" s="21"/>
      <c r="S17" s="6"/>
      <c r="T17" s="6"/>
    </row>
    <row r="18" spans="1:41" ht="13.5" x14ac:dyDescent="0.45">
      <c r="A18" s="22" t="s">
        <v>15</v>
      </c>
      <c r="B18" s="23" t="s">
        <v>16</v>
      </c>
      <c r="C18" s="6"/>
      <c r="D18" s="6"/>
      <c r="E18" s="6"/>
      <c r="F18" s="6"/>
      <c r="G18" s="6"/>
      <c r="H18" s="24" t="s">
        <v>17</v>
      </c>
      <c r="I18" s="25">
        <v>0.08</v>
      </c>
      <c r="J18" s="26" t="s">
        <v>18</v>
      </c>
      <c r="K18" s="6"/>
      <c r="L18" s="6"/>
      <c r="M18" s="27"/>
      <c r="N18" s="27"/>
      <c r="O18" s="27"/>
      <c r="P18" s="27"/>
      <c r="Q18" s="27"/>
      <c r="R18" s="27"/>
      <c r="S18" s="6"/>
      <c r="T18" s="28"/>
    </row>
    <row r="19" spans="1:41" ht="13.5" x14ac:dyDescent="0.45">
      <c r="A19" s="22" t="s">
        <v>15</v>
      </c>
      <c r="B19" s="23" t="s">
        <v>19</v>
      </c>
      <c r="C19" s="6"/>
      <c r="D19" s="6"/>
      <c r="E19" s="6"/>
      <c r="F19" s="6"/>
      <c r="G19" s="6"/>
      <c r="H19" s="24" t="s">
        <v>17</v>
      </c>
      <c r="I19" s="29">
        <v>0.38</v>
      </c>
      <c r="J19" s="26" t="s">
        <v>20</v>
      </c>
      <c r="K19" s="6"/>
      <c r="L19" s="6"/>
      <c r="M19" s="27"/>
      <c r="N19" s="27"/>
      <c r="O19" s="27"/>
      <c r="P19" s="27"/>
      <c r="Q19" s="27"/>
      <c r="R19" s="27"/>
      <c r="S19" s="6"/>
      <c r="T19" s="28"/>
    </row>
    <row r="20" spans="1:41" ht="13.5" x14ac:dyDescent="0.45">
      <c r="A20" s="22"/>
      <c r="B20" s="23"/>
      <c r="C20" s="6"/>
      <c r="D20" s="6"/>
      <c r="E20" s="6"/>
      <c r="F20" s="6"/>
      <c r="G20" s="6"/>
      <c r="H20" s="24"/>
      <c r="I20" s="27"/>
      <c r="J20" s="30"/>
      <c r="K20" s="6"/>
      <c r="L20" s="6"/>
      <c r="M20" s="27"/>
      <c r="N20" s="27"/>
      <c r="O20" s="27"/>
      <c r="P20" s="27"/>
      <c r="Q20" s="27"/>
      <c r="R20" s="27"/>
      <c r="S20" s="6"/>
      <c r="T20" s="28"/>
    </row>
    <row r="21" spans="1:41" ht="13.5" x14ac:dyDescent="0.45">
      <c r="A21" s="22"/>
      <c r="B21" s="23" t="s">
        <v>65</v>
      </c>
      <c r="C21" s="6"/>
      <c r="D21" s="6"/>
      <c r="E21" s="6"/>
      <c r="F21" s="6"/>
      <c r="G21" s="6"/>
      <c r="H21" s="24" t="s">
        <v>47</v>
      </c>
      <c r="I21" s="31">
        <v>2.5</v>
      </c>
      <c r="J21" s="26" t="s">
        <v>66</v>
      </c>
      <c r="K21" s="6"/>
      <c r="L21" s="6"/>
      <c r="M21" s="31"/>
      <c r="N21" s="31"/>
      <c r="O21" s="31"/>
      <c r="P21" s="31"/>
      <c r="Q21" s="31"/>
      <c r="R21" s="31"/>
      <c r="S21" s="6"/>
      <c r="T21" s="28"/>
    </row>
    <row r="22" spans="1:41" ht="13.5" x14ac:dyDescent="0.45">
      <c r="A22" s="22"/>
      <c r="B22" s="23" t="s">
        <v>67</v>
      </c>
      <c r="C22" s="6"/>
      <c r="D22" s="6"/>
      <c r="E22" s="6"/>
      <c r="F22" s="6"/>
      <c r="G22" s="6"/>
      <c r="H22" s="24" t="s">
        <v>47</v>
      </c>
      <c r="I22" s="31">
        <v>8.5</v>
      </c>
      <c r="J22" s="26" t="s">
        <v>68</v>
      </c>
      <c r="K22" s="6"/>
      <c r="L22" s="6"/>
      <c r="M22" s="31"/>
      <c r="N22" s="31"/>
      <c r="O22" s="31"/>
      <c r="P22" s="31"/>
      <c r="Q22" s="31"/>
      <c r="R22" s="31"/>
      <c r="S22" s="6"/>
      <c r="T22" s="28"/>
    </row>
    <row r="23" spans="1:41" ht="13.5" x14ac:dyDescent="0.45">
      <c r="A23" s="22"/>
      <c r="B23" s="2" t="s">
        <v>72</v>
      </c>
      <c r="C23" s="6"/>
      <c r="D23" s="6"/>
      <c r="H23" s="2" t="s">
        <v>47</v>
      </c>
      <c r="I23" s="93">
        <v>50</v>
      </c>
      <c r="J23" s="2" t="s">
        <v>73</v>
      </c>
      <c r="K23" s="6"/>
      <c r="L23" s="6"/>
      <c r="M23" s="32"/>
      <c r="N23" s="32"/>
      <c r="O23" s="32"/>
      <c r="P23" s="32"/>
      <c r="Q23" s="32"/>
      <c r="R23" s="32"/>
      <c r="S23" s="6"/>
      <c r="T23" s="28"/>
    </row>
    <row r="24" spans="1:41" ht="13.5" x14ac:dyDescent="0.45">
      <c r="A24" s="22"/>
      <c r="B24" s="23" t="s">
        <v>69</v>
      </c>
      <c r="C24" s="6"/>
      <c r="D24" s="6"/>
      <c r="E24" s="6"/>
      <c r="F24" s="6"/>
      <c r="G24" s="6"/>
      <c r="H24" s="24" t="s">
        <v>48</v>
      </c>
      <c r="I24" s="81">
        <v>30</v>
      </c>
      <c r="J24" s="26" t="s">
        <v>70</v>
      </c>
      <c r="K24" s="6"/>
      <c r="L24" s="6"/>
      <c r="M24" s="32"/>
      <c r="N24" s="32"/>
      <c r="O24" s="32"/>
      <c r="P24" s="32"/>
      <c r="Q24" s="32"/>
      <c r="R24" s="32"/>
      <c r="S24" s="6"/>
      <c r="T24" s="28"/>
    </row>
    <row r="25" spans="1:41" ht="13.5" x14ac:dyDescent="0.45">
      <c r="A25" s="22" t="s">
        <v>15</v>
      </c>
      <c r="B25" s="11"/>
      <c r="C25" s="12"/>
      <c r="D25" s="12"/>
      <c r="E25" s="12"/>
      <c r="F25" s="12"/>
      <c r="G25" s="12"/>
      <c r="H25" s="12"/>
      <c r="I25" s="12"/>
      <c r="J25" s="33"/>
      <c r="K25" s="20"/>
      <c r="L25" s="6"/>
      <c r="M25" s="6"/>
      <c r="N25" s="6"/>
      <c r="O25" s="21"/>
      <c r="P25" s="21"/>
      <c r="Q25" s="21"/>
      <c r="R25" s="21"/>
      <c r="S25" s="6"/>
      <c r="T25" s="28"/>
    </row>
    <row r="26" spans="1:41" ht="13.9" thickBot="1" x14ac:dyDescent="0.5">
      <c r="A26" s="22"/>
      <c r="B26" s="6"/>
      <c r="C26" s="6"/>
      <c r="D26" s="6"/>
      <c r="E26" s="6"/>
      <c r="F26" s="6"/>
      <c r="G26" s="6"/>
      <c r="H26" s="6"/>
      <c r="I26" s="6"/>
      <c r="K26" s="20"/>
      <c r="L26" s="6"/>
      <c r="M26" s="6"/>
      <c r="N26" s="6"/>
      <c r="O26" s="21"/>
      <c r="P26" s="21"/>
      <c r="Q26" s="21"/>
      <c r="R26" s="21"/>
      <c r="S26" s="6"/>
      <c r="T26" s="28"/>
    </row>
    <row r="27" spans="1:41" ht="16.149999999999999" x14ac:dyDescent="0.55000000000000004">
      <c r="A27" s="3" t="s">
        <v>21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</row>
    <row r="28" spans="1:41" ht="16.149999999999999" x14ac:dyDescent="0.55000000000000004">
      <c r="A28" s="34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</row>
    <row r="29" spans="1:41" s="17" customFormat="1" ht="16.149999999999999" x14ac:dyDescent="0.55000000000000004">
      <c r="B29" s="17" t="s">
        <v>11</v>
      </c>
      <c r="H29" s="18" t="s">
        <v>12</v>
      </c>
      <c r="I29" s="18" t="s">
        <v>22</v>
      </c>
      <c r="J29" s="18" t="s">
        <v>71</v>
      </c>
      <c r="K29" s="18" t="s">
        <v>23</v>
      </c>
      <c r="L29" s="18" t="s">
        <v>14</v>
      </c>
      <c r="M29" s="18" t="s">
        <v>24</v>
      </c>
      <c r="N29" s="18" t="s">
        <v>25</v>
      </c>
      <c r="O29" s="18" t="s">
        <v>26</v>
      </c>
      <c r="P29" s="12"/>
      <c r="Q29" s="2"/>
      <c r="R29" s="18"/>
      <c r="S29" s="2"/>
      <c r="T29" s="2"/>
    </row>
    <row r="30" spans="1:41" ht="13.5" x14ac:dyDescent="0.45">
      <c r="A30" s="22" t="s">
        <v>15</v>
      </c>
      <c r="B30" s="35" t="s">
        <v>27</v>
      </c>
      <c r="C30" s="8"/>
      <c r="D30" s="8"/>
      <c r="E30" s="8"/>
      <c r="F30" s="8"/>
      <c r="G30" s="8"/>
      <c r="H30" s="8"/>
      <c r="I30" s="8"/>
      <c r="J30" s="8"/>
      <c r="K30" s="36"/>
      <c r="L30" s="8"/>
      <c r="M30" s="8"/>
      <c r="N30" s="8"/>
      <c r="O30" s="37"/>
      <c r="P30" s="30"/>
      <c r="R30" s="21"/>
    </row>
    <row r="31" spans="1:41" x14ac:dyDescent="0.4">
      <c r="A31" s="38" t="s">
        <v>15</v>
      </c>
      <c r="B31" s="39" t="s">
        <v>49</v>
      </c>
      <c r="C31" s="6"/>
      <c r="D31" s="6"/>
      <c r="E31" s="6"/>
      <c r="F31" s="6"/>
      <c r="G31" s="6"/>
      <c r="H31" s="82" t="s">
        <v>47</v>
      </c>
      <c r="I31" s="85">
        <v>3</v>
      </c>
      <c r="J31" s="10">
        <v>0.25</v>
      </c>
      <c r="K31" s="83">
        <f>INDEX(M31:O31,I31)</f>
        <v>5.5</v>
      </c>
      <c r="L31" s="10" t="s">
        <v>50</v>
      </c>
      <c r="M31" s="87">
        <v>1</v>
      </c>
      <c r="N31" s="87">
        <v>2.5</v>
      </c>
      <c r="O31" s="87">
        <v>5.5</v>
      </c>
      <c r="P31" s="30"/>
      <c r="R31" s="40"/>
    </row>
    <row r="32" spans="1:41" x14ac:dyDescent="0.4">
      <c r="A32" s="38" t="s">
        <v>15</v>
      </c>
      <c r="B32" s="39" t="s">
        <v>52</v>
      </c>
      <c r="C32" s="6"/>
      <c r="D32" s="6"/>
      <c r="E32" s="6"/>
      <c r="F32" s="6"/>
      <c r="G32" s="6"/>
      <c r="H32" s="82" t="s">
        <v>58</v>
      </c>
      <c r="I32" s="85">
        <v>3</v>
      </c>
      <c r="J32" s="10">
        <v>0.25</v>
      </c>
      <c r="K32" s="84">
        <f t="shared" ref="K32:K36" si="0">INDEX(M32:O32,I32)</f>
        <v>0.09</v>
      </c>
      <c r="L32" s="10" t="s">
        <v>63</v>
      </c>
      <c r="M32" s="88">
        <v>-0.05</v>
      </c>
      <c r="N32" s="88">
        <v>7.0000000000000007E-2</v>
      </c>
      <c r="O32" s="88">
        <v>0.09</v>
      </c>
      <c r="P32" s="30"/>
      <c r="R32" s="6"/>
    </row>
    <row r="33" spans="1:22" ht="13.5" x14ac:dyDescent="0.45">
      <c r="A33" s="22" t="s">
        <v>15</v>
      </c>
      <c r="B33" s="39" t="s">
        <v>53</v>
      </c>
      <c r="C33" s="6"/>
      <c r="D33" s="6"/>
      <c r="E33" s="6"/>
      <c r="F33" s="6"/>
      <c r="G33" s="6"/>
      <c r="H33" s="82" t="s">
        <v>57</v>
      </c>
      <c r="I33" s="85">
        <v>3</v>
      </c>
      <c r="J33" s="10">
        <v>0.25</v>
      </c>
      <c r="K33" s="83">
        <f t="shared" si="0"/>
        <v>1.8</v>
      </c>
      <c r="L33" s="10" t="s">
        <v>64</v>
      </c>
      <c r="M33" s="89">
        <v>1.3</v>
      </c>
      <c r="N33" s="89">
        <v>1.6</v>
      </c>
      <c r="O33" s="89">
        <v>1.8</v>
      </c>
      <c r="P33" s="30"/>
      <c r="R33" s="42"/>
    </row>
    <row r="34" spans="1:22" ht="13.5" x14ac:dyDescent="0.45">
      <c r="A34" s="22" t="s">
        <v>15</v>
      </c>
      <c r="B34" s="23" t="s">
        <v>54</v>
      </c>
      <c r="C34" s="6"/>
      <c r="D34" s="6"/>
      <c r="E34" s="6"/>
      <c r="F34" s="6"/>
      <c r="G34" s="6"/>
      <c r="H34" s="82" t="s">
        <v>48</v>
      </c>
      <c r="I34" s="85">
        <v>3</v>
      </c>
      <c r="J34" s="10">
        <v>0.25</v>
      </c>
      <c r="K34" s="86">
        <f t="shared" si="0"/>
        <v>17</v>
      </c>
      <c r="L34" s="10" t="s">
        <v>60</v>
      </c>
      <c r="M34" s="90">
        <v>13</v>
      </c>
      <c r="N34" s="90">
        <v>14.5</v>
      </c>
      <c r="O34" s="90">
        <v>17</v>
      </c>
      <c r="P34" s="30"/>
      <c r="R34" s="6"/>
    </row>
    <row r="35" spans="1:22" ht="13.5" x14ac:dyDescent="0.45">
      <c r="A35" s="22" t="s">
        <v>15</v>
      </c>
      <c r="B35" s="23" t="s">
        <v>55</v>
      </c>
      <c r="C35" s="6"/>
      <c r="D35" s="6"/>
      <c r="E35" s="6"/>
      <c r="F35" s="6"/>
      <c r="G35" s="6"/>
      <c r="H35" s="82" t="s">
        <v>59</v>
      </c>
      <c r="I35" s="85">
        <v>3</v>
      </c>
      <c r="J35" s="10">
        <v>0.25</v>
      </c>
      <c r="K35" s="86">
        <f t="shared" si="0"/>
        <v>9.75</v>
      </c>
      <c r="L35" s="10" t="s">
        <v>61</v>
      </c>
      <c r="M35" s="91">
        <v>9.25</v>
      </c>
      <c r="N35" s="91">
        <v>9.5</v>
      </c>
      <c r="O35" s="91">
        <v>9.75</v>
      </c>
      <c r="P35" s="30"/>
    </row>
    <row r="36" spans="1:22" ht="13.5" x14ac:dyDescent="0.45">
      <c r="A36" s="22" t="s">
        <v>15</v>
      </c>
      <c r="B36" s="23" t="s">
        <v>56</v>
      </c>
      <c r="C36" s="6"/>
      <c r="D36" s="6"/>
      <c r="E36" s="6"/>
      <c r="F36" s="6"/>
      <c r="G36" s="6"/>
      <c r="H36" s="82" t="s">
        <v>59</v>
      </c>
      <c r="I36" s="85">
        <v>3</v>
      </c>
      <c r="J36" s="10">
        <v>0.25</v>
      </c>
      <c r="K36" s="86">
        <f t="shared" si="0"/>
        <v>11.5</v>
      </c>
      <c r="L36" s="10" t="s">
        <v>62</v>
      </c>
      <c r="M36" s="92">
        <v>9.75</v>
      </c>
      <c r="N36" s="92">
        <v>10.75</v>
      </c>
      <c r="O36" s="92">
        <v>11.5</v>
      </c>
      <c r="P36" s="30"/>
    </row>
    <row r="37" spans="1:22" ht="13.5" x14ac:dyDescent="0.45">
      <c r="A37" s="22"/>
      <c r="B37" s="23"/>
      <c r="C37" s="6"/>
      <c r="D37" s="6"/>
      <c r="E37" s="6"/>
      <c r="F37" s="6"/>
      <c r="G37" s="6"/>
      <c r="H37" s="24"/>
      <c r="I37" s="41"/>
      <c r="J37" s="10"/>
      <c r="K37" s="31"/>
      <c r="L37" s="10"/>
      <c r="M37" s="40"/>
      <c r="N37" s="40"/>
      <c r="O37" s="40"/>
      <c r="P37" s="30"/>
    </row>
    <row r="38" spans="1:22" x14ac:dyDescent="0.4">
      <c r="B38" s="23"/>
      <c r="C38" s="6"/>
      <c r="D38" s="6"/>
      <c r="E38" s="6"/>
      <c r="F38" s="6"/>
      <c r="G38" s="6"/>
      <c r="H38" s="6"/>
      <c r="I38" s="43"/>
      <c r="J38" s="6">
        <f>PRODUCT(J31:J36)</f>
        <v>2.44140625E-4</v>
      </c>
      <c r="K38" s="6"/>
      <c r="L38" s="6"/>
      <c r="M38" s="6"/>
      <c r="N38" s="6"/>
      <c r="O38" s="6"/>
      <c r="P38" s="30"/>
    </row>
    <row r="39" spans="1:22" ht="13.5" x14ac:dyDescent="0.45">
      <c r="A39" s="22" t="s">
        <v>15</v>
      </c>
      <c r="B39" s="44"/>
      <c r="C39" s="6"/>
      <c r="D39" s="6"/>
      <c r="E39" s="6"/>
      <c r="F39" s="6"/>
      <c r="G39" s="6"/>
      <c r="H39" s="6"/>
      <c r="I39" s="43"/>
      <c r="J39" s="6"/>
      <c r="K39" s="6"/>
      <c r="L39" s="6"/>
      <c r="M39" s="6"/>
      <c r="N39" s="6"/>
      <c r="O39" s="6"/>
      <c r="P39" s="30"/>
    </row>
    <row r="40" spans="1:22" x14ac:dyDescent="0.4">
      <c r="A40" s="38" t="s">
        <v>15</v>
      </c>
      <c r="B40" s="39"/>
      <c r="C40" s="6"/>
      <c r="D40" s="6"/>
      <c r="E40" s="6"/>
      <c r="F40" s="6"/>
      <c r="G40" s="6"/>
      <c r="H40" s="24"/>
      <c r="I40" s="41"/>
      <c r="J40" s="10"/>
      <c r="K40" s="40"/>
      <c r="L40" s="10"/>
      <c r="M40" s="40"/>
      <c r="N40" s="40"/>
      <c r="O40" s="40"/>
      <c r="P40" s="30"/>
    </row>
    <row r="41" spans="1:22" ht="13.5" x14ac:dyDescent="0.45">
      <c r="A41" s="19"/>
      <c r="B41" s="45"/>
      <c r="C41" s="12"/>
      <c r="D41" s="12"/>
      <c r="E41" s="12"/>
      <c r="F41" s="12"/>
      <c r="G41" s="12"/>
      <c r="H41" s="46"/>
      <c r="I41" s="46"/>
      <c r="J41" s="12"/>
      <c r="K41" s="47"/>
      <c r="L41" s="48"/>
      <c r="M41" s="47"/>
      <c r="N41" s="47"/>
      <c r="O41" s="47"/>
      <c r="P41" s="33"/>
      <c r="R41" s="40"/>
    </row>
    <row r="42" spans="1:22" ht="13.5" thickBot="1" x14ac:dyDescent="0.45"/>
    <row r="43" spans="1:22" ht="16.149999999999999" x14ac:dyDescent="0.55000000000000004">
      <c r="A43" s="3" t="s">
        <v>28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</row>
    <row r="44" spans="1:22" ht="16.149999999999999" x14ac:dyDescent="0.55000000000000004">
      <c r="A44" s="34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spans="1:22" ht="16.149999999999999" x14ac:dyDescent="0.55000000000000004">
      <c r="A45" s="34" t="str">
        <f>strategy_name</f>
        <v>Royalty</v>
      </c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1:22" ht="13.5" x14ac:dyDescent="0.45">
      <c r="A46" s="49"/>
    </row>
    <row r="47" spans="1:22" ht="16.149999999999999" x14ac:dyDescent="0.55000000000000004">
      <c r="A47" s="17" t="s">
        <v>29</v>
      </c>
      <c r="B47" s="50"/>
      <c r="C47" s="50"/>
      <c r="G47" s="51"/>
      <c r="H47" s="52">
        <v>2017</v>
      </c>
      <c r="I47" s="52">
        <f>H47+1</f>
        <v>2018</v>
      </c>
      <c r="J47" s="52">
        <f t="shared" ref="J47:O47" si="1">I47+1</f>
        <v>2019</v>
      </c>
      <c r="K47" s="52">
        <f t="shared" si="1"/>
        <v>2020</v>
      </c>
      <c r="L47" s="52">
        <f t="shared" si="1"/>
        <v>2021</v>
      </c>
      <c r="M47" s="52">
        <f t="shared" si="1"/>
        <v>2022</v>
      </c>
      <c r="N47" s="52">
        <f t="shared" si="1"/>
        <v>2023</v>
      </c>
      <c r="O47" s="52">
        <f t="shared" si="1"/>
        <v>2024</v>
      </c>
      <c r="P47" s="52">
        <f>O47+1</f>
        <v>2025</v>
      </c>
      <c r="Q47" s="52">
        <f>P47+1</f>
        <v>2026</v>
      </c>
      <c r="R47" s="52"/>
      <c r="V47" s="53"/>
    </row>
    <row r="48" spans="1:22" ht="16.149999999999999" x14ac:dyDescent="0.55000000000000004">
      <c r="A48" s="17" t="s">
        <v>30</v>
      </c>
      <c r="B48" s="50"/>
      <c r="C48" s="50"/>
      <c r="G48" s="51"/>
      <c r="H48" s="52">
        <f>H47-$H$47</f>
        <v>0</v>
      </c>
      <c r="I48" s="52">
        <f t="shared" ref="I48:Q48" si="2">I47-$H$47</f>
        <v>1</v>
      </c>
      <c r="J48" s="52">
        <f t="shared" si="2"/>
        <v>2</v>
      </c>
      <c r="K48" s="52">
        <f t="shared" si="2"/>
        <v>3</v>
      </c>
      <c r="L48" s="52">
        <f t="shared" si="2"/>
        <v>4</v>
      </c>
      <c r="M48" s="52">
        <f t="shared" si="2"/>
        <v>5</v>
      </c>
      <c r="N48" s="52">
        <f t="shared" si="2"/>
        <v>6</v>
      </c>
      <c r="O48" s="52">
        <f t="shared" si="2"/>
        <v>7</v>
      </c>
      <c r="P48" s="52">
        <f t="shared" si="2"/>
        <v>8</v>
      </c>
      <c r="Q48" s="52">
        <f t="shared" si="2"/>
        <v>9</v>
      </c>
      <c r="R48" s="52"/>
      <c r="V48" s="53"/>
    </row>
    <row r="49" spans="1:48" ht="16.149999999999999" x14ac:dyDescent="0.55000000000000004">
      <c r="A49" s="17"/>
      <c r="B49" s="50"/>
      <c r="C49" s="50"/>
      <c r="G49" s="51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5"/>
      <c r="S49" s="55"/>
      <c r="T49" s="55"/>
      <c r="U49" s="55"/>
      <c r="V49" s="55"/>
      <c r="W49" s="55"/>
    </row>
    <row r="50" spans="1:48" ht="16.149999999999999" x14ac:dyDescent="0.55000000000000004">
      <c r="A50" s="17" t="s">
        <v>31</v>
      </c>
      <c r="B50" s="50"/>
      <c r="C50" s="50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5"/>
      <c r="S50" s="55"/>
      <c r="T50" s="55"/>
      <c r="U50" s="55"/>
      <c r="V50" s="55"/>
      <c r="W50" s="55"/>
    </row>
    <row r="51" spans="1:48" ht="15.75" x14ac:dyDescent="0.5">
      <c r="A51" s="50"/>
      <c r="B51" s="50" t="s">
        <v>46</v>
      </c>
      <c r="C51" s="50"/>
      <c r="G51" s="16" t="s">
        <v>47</v>
      </c>
      <c r="H51" s="57">
        <f t="shared" ref="H51:Q51" si="3">dem_RBL*(1+dem_g_PD)^H48</f>
        <v>5.5</v>
      </c>
      <c r="I51" s="57">
        <f t="shared" si="3"/>
        <v>5.9950000000000001</v>
      </c>
      <c r="J51" s="57">
        <f t="shared" si="3"/>
        <v>6.5345500000000012</v>
      </c>
      <c r="K51" s="57">
        <f t="shared" si="3"/>
        <v>7.122659500000001</v>
      </c>
      <c r="L51" s="57">
        <f t="shared" si="3"/>
        <v>7.7636988550000012</v>
      </c>
      <c r="M51" s="57">
        <f t="shared" si="3"/>
        <v>8.4624317519500032</v>
      </c>
      <c r="N51" s="57">
        <f t="shared" si="3"/>
        <v>9.2240506096255039</v>
      </c>
      <c r="O51" s="57">
        <f t="shared" si="3"/>
        <v>10.054215164491799</v>
      </c>
      <c r="P51" s="57">
        <f t="shared" si="3"/>
        <v>10.959094529296062</v>
      </c>
      <c r="Q51" s="57">
        <f t="shared" si="3"/>
        <v>11.945413036932708</v>
      </c>
      <c r="R51" s="55"/>
      <c r="S51" s="55"/>
      <c r="T51" s="55"/>
      <c r="U51" s="55"/>
      <c r="V51" s="55"/>
      <c r="W51" s="55"/>
    </row>
    <row r="52" spans="1:48" ht="15.75" x14ac:dyDescent="0.5">
      <c r="A52" s="50"/>
      <c r="B52" s="50" t="s">
        <v>45</v>
      </c>
      <c r="C52" s="50"/>
      <c r="G52" s="16" t="s">
        <v>47</v>
      </c>
      <c r="H52" s="57">
        <f t="shared" ref="H52:Q52" si="4">dem_RBL*mult_PD*(1+dem_g_PD)^H48</f>
        <v>9.9</v>
      </c>
      <c r="I52" s="57">
        <f t="shared" si="4"/>
        <v>10.791</v>
      </c>
      <c r="J52" s="57">
        <f t="shared" si="4"/>
        <v>11.762190000000002</v>
      </c>
      <c r="K52" s="57">
        <f t="shared" si="4"/>
        <v>12.820787100000002</v>
      </c>
      <c r="L52" s="57">
        <f t="shared" si="4"/>
        <v>13.974657939000004</v>
      </c>
      <c r="M52" s="57">
        <f t="shared" si="4"/>
        <v>15.232377153510006</v>
      </c>
      <c r="N52" s="57">
        <f t="shared" si="4"/>
        <v>16.603291097325908</v>
      </c>
      <c r="O52" s="57">
        <f t="shared" si="4"/>
        <v>18.097587296085237</v>
      </c>
      <c r="P52" s="57">
        <f t="shared" si="4"/>
        <v>19.726370152732912</v>
      </c>
      <c r="Q52" s="57">
        <f t="shared" si="4"/>
        <v>21.501743466478874</v>
      </c>
      <c r="R52" s="55"/>
      <c r="S52" s="55"/>
      <c r="T52" s="55"/>
      <c r="U52" s="55"/>
      <c r="V52" s="55"/>
      <c r="W52" s="55"/>
    </row>
    <row r="53" spans="1:48" ht="15.75" x14ac:dyDescent="0.5">
      <c r="A53" s="50"/>
      <c r="B53" s="50" t="s">
        <v>32</v>
      </c>
      <c r="C53" s="50"/>
      <c r="G53" s="16" t="s">
        <v>47</v>
      </c>
      <c r="H53" s="58">
        <f t="shared" ref="H53:Q53" si="5">IF(strategy=1,prod_wo_exp,IF(strategy=4,prod_PuD,prod_w_exp))</f>
        <v>50</v>
      </c>
      <c r="I53" s="58">
        <f t="shared" si="5"/>
        <v>50</v>
      </c>
      <c r="J53" s="58">
        <f t="shared" si="5"/>
        <v>50</v>
      </c>
      <c r="K53" s="58">
        <f t="shared" si="5"/>
        <v>50</v>
      </c>
      <c r="L53" s="58">
        <f t="shared" si="5"/>
        <v>50</v>
      </c>
      <c r="M53" s="58">
        <f t="shared" si="5"/>
        <v>50</v>
      </c>
      <c r="N53" s="58">
        <f t="shared" si="5"/>
        <v>50</v>
      </c>
      <c r="O53" s="58">
        <f t="shared" si="5"/>
        <v>50</v>
      </c>
      <c r="P53" s="58">
        <f t="shared" si="5"/>
        <v>50</v>
      </c>
      <c r="Q53" s="58">
        <f t="shared" si="5"/>
        <v>50</v>
      </c>
      <c r="R53" s="55"/>
      <c r="S53" s="55"/>
      <c r="T53" s="55"/>
      <c r="U53" s="55"/>
      <c r="V53" s="55"/>
      <c r="W53" s="55"/>
    </row>
    <row r="54" spans="1:48" ht="15.75" x14ac:dyDescent="0.5">
      <c r="A54" s="50"/>
      <c r="B54" s="50" t="s">
        <v>31</v>
      </c>
      <c r="C54" s="50"/>
      <c r="G54" s="16" t="s">
        <v>47</v>
      </c>
      <c r="H54" s="57">
        <f t="shared" ref="H54:Q54" si="6">MIN(IF(strategy&lt;=2,H51,H52),H53)</f>
        <v>9.9</v>
      </c>
      <c r="I54" s="57">
        <f t="shared" si="6"/>
        <v>10.791</v>
      </c>
      <c r="J54" s="57">
        <f t="shared" si="6"/>
        <v>11.762190000000002</v>
      </c>
      <c r="K54" s="57">
        <f t="shared" si="6"/>
        <v>12.820787100000002</v>
      </c>
      <c r="L54" s="57">
        <f t="shared" si="6"/>
        <v>13.974657939000004</v>
      </c>
      <c r="M54" s="57">
        <f t="shared" si="6"/>
        <v>15.232377153510006</v>
      </c>
      <c r="N54" s="57">
        <f t="shared" si="6"/>
        <v>16.603291097325908</v>
      </c>
      <c r="O54" s="57">
        <f t="shared" si="6"/>
        <v>18.097587296085237</v>
      </c>
      <c r="P54" s="57">
        <f t="shared" si="6"/>
        <v>19.726370152732912</v>
      </c>
      <c r="Q54" s="57">
        <f t="shared" si="6"/>
        <v>21.501743466478874</v>
      </c>
      <c r="R54" s="55"/>
      <c r="S54" s="55"/>
      <c r="T54" s="55"/>
      <c r="U54" s="55"/>
      <c r="V54" s="55"/>
      <c r="W54" s="55"/>
    </row>
    <row r="55" spans="1:48" ht="15.75" x14ac:dyDescent="0.5">
      <c r="A55" s="50"/>
      <c r="B55" s="50"/>
      <c r="C55" s="50"/>
      <c r="G55" s="16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5"/>
      <c r="S55" s="55"/>
      <c r="T55" s="55"/>
      <c r="U55" s="55"/>
      <c r="V55" s="55"/>
      <c r="W55" s="55"/>
    </row>
    <row r="56" spans="1:48" s="6" customFormat="1" ht="16.149999999999999" x14ac:dyDescent="0.55000000000000004">
      <c r="A56" s="17" t="s">
        <v>33</v>
      </c>
      <c r="B56" s="60"/>
      <c r="C56" s="60"/>
      <c r="G56" s="61" t="s">
        <v>48</v>
      </c>
      <c r="H56" s="62">
        <f t="shared" ref="H56:Q56" si="7">unit_rev*H54</f>
        <v>113.85000000000001</v>
      </c>
      <c r="I56" s="62">
        <f t="shared" si="7"/>
        <v>124.09650000000001</v>
      </c>
      <c r="J56" s="62">
        <f t="shared" si="7"/>
        <v>135.26518500000003</v>
      </c>
      <c r="K56" s="62">
        <f t="shared" si="7"/>
        <v>147.43905165000004</v>
      </c>
      <c r="L56" s="62">
        <f t="shared" si="7"/>
        <v>160.70856629850005</v>
      </c>
      <c r="M56" s="62">
        <f t="shared" si="7"/>
        <v>175.17233726536506</v>
      </c>
      <c r="N56" s="62">
        <f t="shared" si="7"/>
        <v>190.93784761924795</v>
      </c>
      <c r="O56" s="62">
        <f t="shared" si="7"/>
        <v>208.12225390498023</v>
      </c>
      <c r="P56" s="62">
        <f t="shared" si="7"/>
        <v>226.85325675642849</v>
      </c>
      <c r="Q56" s="62">
        <f t="shared" si="7"/>
        <v>247.27004986450706</v>
      </c>
      <c r="R56" s="55"/>
      <c r="S56" s="55"/>
      <c r="T56" s="55"/>
      <c r="U56" s="55"/>
      <c r="V56" s="55"/>
      <c r="W56" s="55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s="6" customFormat="1" ht="15.75" x14ac:dyDescent="0.5">
      <c r="A57" s="50"/>
      <c r="B57" s="60"/>
      <c r="C57" s="60"/>
      <c r="G57" s="61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55"/>
      <c r="S57" s="55"/>
      <c r="T57" s="55"/>
      <c r="U57" s="55"/>
      <c r="V57" s="55"/>
      <c r="W57" s="55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s="6" customFormat="1" ht="16.149999999999999" x14ac:dyDescent="0.55000000000000004">
      <c r="A58" s="17" t="s">
        <v>34</v>
      </c>
      <c r="B58" s="60"/>
      <c r="C58" s="60"/>
      <c r="G58" s="61" t="s">
        <v>48</v>
      </c>
      <c r="H58" s="62">
        <f t="shared" ref="H58:Q58" si="8">IF(strategy&lt;4,unit_prod,0)*H54</f>
        <v>0</v>
      </c>
      <c r="I58" s="62">
        <f t="shared" si="8"/>
        <v>0</v>
      </c>
      <c r="J58" s="62">
        <f t="shared" si="8"/>
        <v>0</v>
      </c>
      <c r="K58" s="62">
        <f t="shared" si="8"/>
        <v>0</v>
      </c>
      <c r="L58" s="62">
        <f t="shared" si="8"/>
        <v>0</v>
      </c>
      <c r="M58" s="62">
        <f t="shared" si="8"/>
        <v>0</v>
      </c>
      <c r="N58" s="62">
        <f t="shared" si="8"/>
        <v>0</v>
      </c>
      <c r="O58" s="62">
        <f t="shared" si="8"/>
        <v>0</v>
      </c>
      <c r="P58" s="62">
        <f t="shared" si="8"/>
        <v>0</v>
      </c>
      <c r="Q58" s="62">
        <f t="shared" si="8"/>
        <v>0</v>
      </c>
      <c r="R58" s="55"/>
      <c r="S58" s="55"/>
      <c r="T58" s="55"/>
      <c r="U58" s="55"/>
      <c r="V58" s="55"/>
      <c r="W58" s="55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s="6" customFormat="1" ht="15.75" x14ac:dyDescent="0.5">
      <c r="A59" s="50"/>
      <c r="B59" s="60"/>
      <c r="C59" s="60"/>
      <c r="G59" s="61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55"/>
      <c r="S59" s="55"/>
      <c r="T59" s="55"/>
      <c r="U59" s="55"/>
      <c r="V59" s="55"/>
      <c r="W59" s="55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s="6" customFormat="1" ht="16.149999999999999" x14ac:dyDescent="0.55000000000000004">
      <c r="A60" s="17" t="s">
        <v>35</v>
      </c>
      <c r="B60" s="60"/>
      <c r="C60" s="60"/>
      <c r="G60" s="61" t="s">
        <v>48</v>
      </c>
      <c r="H60" s="62">
        <f t="shared" ref="H60" si="9">IF(strategy=2,plant_const,0)</f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55"/>
      <c r="S60" s="55"/>
      <c r="T60" s="55"/>
      <c r="U60" s="55"/>
      <c r="V60" s="55"/>
      <c r="W60" s="55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s="6" customFormat="1" ht="15.75" x14ac:dyDescent="0.5">
      <c r="A61" s="60"/>
      <c r="B61" s="60"/>
      <c r="C61" s="60"/>
      <c r="G61" s="61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55"/>
      <c r="S61" s="55"/>
      <c r="T61" s="55"/>
      <c r="U61" s="55"/>
      <c r="V61" s="55"/>
      <c r="W61" s="55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s="6" customFormat="1" ht="16.149999999999999" x14ac:dyDescent="0.55000000000000004">
      <c r="A62" s="63" t="s">
        <v>36</v>
      </c>
      <c r="B62" s="60"/>
      <c r="C62" s="60"/>
      <c r="G62" s="61" t="s">
        <v>48</v>
      </c>
      <c r="H62" s="62">
        <f>IF(strategy=3,0.4*(H56-H58-H60),0)</f>
        <v>0</v>
      </c>
      <c r="I62" s="62">
        <f t="shared" ref="I62:Q62" si="10">IF(strategy=3,0.4*(I56-I58-I60),0)</f>
        <v>0</v>
      </c>
      <c r="J62" s="62">
        <f t="shared" si="10"/>
        <v>0</v>
      </c>
      <c r="K62" s="62">
        <f t="shared" si="10"/>
        <v>0</v>
      </c>
      <c r="L62" s="62">
        <f t="shared" si="10"/>
        <v>0</v>
      </c>
      <c r="M62" s="62">
        <f t="shared" si="10"/>
        <v>0</v>
      </c>
      <c r="N62" s="62">
        <f t="shared" si="10"/>
        <v>0</v>
      </c>
      <c r="O62" s="62">
        <f t="shared" si="10"/>
        <v>0</v>
      </c>
      <c r="P62" s="62">
        <f t="shared" si="10"/>
        <v>0</v>
      </c>
      <c r="Q62" s="62">
        <f t="shared" si="10"/>
        <v>0</v>
      </c>
      <c r="R62" s="55"/>
      <c r="S62" s="55"/>
      <c r="T62" s="55"/>
      <c r="U62" s="55"/>
      <c r="V62" s="55"/>
      <c r="W62" s="55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s="6" customFormat="1" ht="16.149999999999999" x14ac:dyDescent="0.55000000000000004">
      <c r="A63" s="63" t="s">
        <v>37</v>
      </c>
      <c r="B63" s="60"/>
      <c r="C63" s="60"/>
      <c r="G63" s="61" t="s">
        <v>48</v>
      </c>
      <c r="H63" s="62">
        <f t="shared" ref="H63:Q63" si="11">IF(strategy=4,0.97,0)*H56</f>
        <v>110.4345</v>
      </c>
      <c r="I63" s="62">
        <f t="shared" si="11"/>
        <v>120.373605</v>
      </c>
      <c r="J63" s="62">
        <f t="shared" si="11"/>
        <v>131.20722945000003</v>
      </c>
      <c r="K63" s="62">
        <f t="shared" si="11"/>
        <v>143.01588010050003</v>
      </c>
      <c r="L63" s="62">
        <f t="shared" si="11"/>
        <v>155.88730930954503</v>
      </c>
      <c r="M63" s="62">
        <f t="shared" si="11"/>
        <v>169.91716714740411</v>
      </c>
      <c r="N63" s="62">
        <f t="shared" si="11"/>
        <v>185.2097121906705</v>
      </c>
      <c r="O63" s="62">
        <f t="shared" si="11"/>
        <v>201.87858628783081</v>
      </c>
      <c r="P63" s="62">
        <f t="shared" si="11"/>
        <v>220.04765905373563</v>
      </c>
      <c r="Q63" s="62">
        <f t="shared" si="11"/>
        <v>239.85194836857184</v>
      </c>
      <c r="R63" s="55"/>
      <c r="S63" s="55"/>
      <c r="T63" s="55"/>
      <c r="U63" s="55"/>
      <c r="V63" s="55"/>
      <c r="W63" s="55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s="6" customFormat="1" ht="15.75" x14ac:dyDescent="0.5">
      <c r="A64" s="60"/>
      <c r="B64" s="60"/>
      <c r="C64" s="60"/>
      <c r="G64" s="61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55"/>
      <c r="S64" s="55"/>
      <c r="T64" s="55"/>
      <c r="U64" s="55"/>
      <c r="V64" s="55"/>
      <c r="W64" s="55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s="6" customFormat="1" ht="16.149999999999999" x14ac:dyDescent="0.55000000000000004">
      <c r="A65" s="63" t="s">
        <v>38</v>
      </c>
      <c r="B65" s="60"/>
      <c r="C65" s="60"/>
      <c r="G65" s="61" t="s">
        <v>48</v>
      </c>
      <c r="H65" s="62">
        <f>H56-(SUM(H58:H63))</f>
        <v>3.4155000000000086</v>
      </c>
      <c r="I65" s="62">
        <f t="shared" ref="I65:Q65" si="12">I56-(SUM(I58:I63))</f>
        <v>3.7228950000000083</v>
      </c>
      <c r="J65" s="62">
        <f t="shared" si="12"/>
        <v>4.0579555500000026</v>
      </c>
      <c r="K65" s="62">
        <f t="shared" si="12"/>
        <v>4.4231715495000117</v>
      </c>
      <c r="L65" s="62">
        <f t="shared" si="12"/>
        <v>4.8212569889550139</v>
      </c>
      <c r="M65" s="62">
        <f t="shared" si="12"/>
        <v>5.2551701179609438</v>
      </c>
      <c r="N65" s="62">
        <f t="shared" si="12"/>
        <v>5.7281354285774455</v>
      </c>
      <c r="O65" s="62">
        <f t="shared" si="12"/>
        <v>6.2436676171494128</v>
      </c>
      <c r="P65" s="62">
        <f t="shared" si="12"/>
        <v>6.8055977026928645</v>
      </c>
      <c r="Q65" s="62">
        <f t="shared" si="12"/>
        <v>7.4181014959352183</v>
      </c>
      <c r="R65" s="55"/>
      <c r="S65" s="55"/>
      <c r="T65" s="55"/>
      <c r="U65" s="55"/>
      <c r="V65" s="55"/>
      <c r="W65" s="55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s="6" customFormat="1" ht="15.75" x14ac:dyDescent="0.5">
      <c r="A66" s="60"/>
      <c r="B66" s="60"/>
      <c r="C66" s="60"/>
      <c r="G66" s="61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55"/>
      <c r="S66" s="55"/>
      <c r="T66" s="55"/>
      <c r="U66" s="55"/>
      <c r="V66" s="55"/>
      <c r="W66" s="55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s="6" customFormat="1" ht="16.149999999999999" x14ac:dyDescent="0.55000000000000004">
      <c r="A67" s="63" t="s">
        <v>39</v>
      </c>
      <c r="B67" s="60"/>
      <c r="C67" s="60"/>
      <c r="G67" s="61" t="s">
        <v>48</v>
      </c>
      <c r="H67" s="62">
        <f t="shared" ref="H67:Q67" si="13">tax_rate*H65</f>
        <v>1.2978900000000033</v>
      </c>
      <c r="I67" s="62">
        <f t="shared" si="13"/>
        <v>1.4147001000000032</v>
      </c>
      <c r="J67" s="62">
        <f t="shared" si="13"/>
        <v>1.5420231090000009</v>
      </c>
      <c r="K67" s="62">
        <f t="shared" si="13"/>
        <v>1.6808051888100044</v>
      </c>
      <c r="L67" s="62">
        <f t="shared" si="13"/>
        <v>1.8320776558029053</v>
      </c>
      <c r="M67" s="62">
        <f t="shared" si="13"/>
        <v>1.9969646448251586</v>
      </c>
      <c r="N67" s="62">
        <f t="shared" si="13"/>
        <v>2.1766914628594294</v>
      </c>
      <c r="O67" s="62">
        <f t="shared" si="13"/>
        <v>2.3725936945167767</v>
      </c>
      <c r="P67" s="62">
        <f t="shared" si="13"/>
        <v>2.5861271270232886</v>
      </c>
      <c r="Q67" s="62">
        <f t="shared" si="13"/>
        <v>2.818878568455383</v>
      </c>
      <c r="R67" s="55"/>
      <c r="S67" s="55"/>
      <c r="T67" s="55"/>
      <c r="U67" s="55"/>
      <c r="V67" s="55"/>
      <c r="W67" s="55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s="6" customFormat="1" ht="16.149999999999999" x14ac:dyDescent="0.55000000000000004">
      <c r="A68" s="63" t="s">
        <v>40</v>
      </c>
      <c r="B68" s="60"/>
      <c r="C68" s="60"/>
      <c r="G68" s="61" t="s">
        <v>48</v>
      </c>
      <c r="H68" s="62">
        <f>IF(H67&lt;0,H67*-1,0)</f>
        <v>0</v>
      </c>
      <c r="I68" s="62">
        <f>MAX(H68-I67,0)</f>
        <v>0</v>
      </c>
      <c r="J68" s="62">
        <f t="shared" ref="J68:Q68" si="14">MAX(I68-J67,0)</f>
        <v>0</v>
      </c>
      <c r="K68" s="62">
        <f t="shared" si="14"/>
        <v>0</v>
      </c>
      <c r="L68" s="62">
        <f t="shared" si="14"/>
        <v>0</v>
      </c>
      <c r="M68" s="62">
        <f t="shared" si="14"/>
        <v>0</v>
      </c>
      <c r="N68" s="62">
        <f t="shared" si="14"/>
        <v>0</v>
      </c>
      <c r="O68" s="62">
        <f t="shared" si="14"/>
        <v>0</v>
      </c>
      <c r="P68" s="62">
        <f t="shared" si="14"/>
        <v>0</v>
      </c>
      <c r="Q68" s="62">
        <f t="shared" si="14"/>
        <v>0</v>
      </c>
      <c r="R68" s="55"/>
      <c r="S68" s="55"/>
      <c r="T68" s="55"/>
      <c r="U68" s="55"/>
      <c r="V68" s="55"/>
      <c r="W68" s="55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s="6" customFormat="1" ht="16.149999999999999" x14ac:dyDescent="0.55000000000000004">
      <c r="A69" s="63" t="s">
        <v>41</v>
      </c>
      <c r="B69" s="60"/>
      <c r="C69" s="60"/>
      <c r="G69" s="61" t="s">
        <v>48</v>
      </c>
      <c r="H69" s="62">
        <f>IF(H67&lt;0,0,H67)</f>
        <v>1.2978900000000033</v>
      </c>
      <c r="I69" s="62">
        <f>MAX(I67-H68,0)</f>
        <v>1.4147001000000032</v>
      </c>
      <c r="J69" s="62">
        <f t="shared" ref="J69:Q69" si="15">MAX(J67-I68,0)</f>
        <v>1.5420231090000009</v>
      </c>
      <c r="K69" s="62">
        <f t="shared" si="15"/>
        <v>1.6808051888100044</v>
      </c>
      <c r="L69" s="62">
        <f t="shared" si="15"/>
        <v>1.8320776558029053</v>
      </c>
      <c r="M69" s="62">
        <f t="shared" si="15"/>
        <v>1.9969646448251586</v>
      </c>
      <c r="N69" s="62">
        <f t="shared" si="15"/>
        <v>2.1766914628594294</v>
      </c>
      <c r="O69" s="62">
        <f t="shared" si="15"/>
        <v>2.3725936945167767</v>
      </c>
      <c r="P69" s="62">
        <f t="shared" si="15"/>
        <v>2.5861271270232886</v>
      </c>
      <c r="Q69" s="62">
        <f t="shared" si="15"/>
        <v>2.818878568455383</v>
      </c>
      <c r="R69" s="55"/>
      <c r="S69" s="55"/>
      <c r="T69" s="55"/>
      <c r="U69" s="55"/>
      <c r="V69" s="55"/>
      <c r="W69" s="55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s="6" customFormat="1" ht="15.75" x14ac:dyDescent="0.5">
      <c r="A70" s="60"/>
      <c r="B70" s="60"/>
      <c r="C70" s="60"/>
      <c r="G70" s="61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4"/>
      <c r="S70" s="64"/>
      <c r="T70" s="64"/>
      <c r="U70" s="55"/>
      <c r="V70" s="55"/>
      <c r="W70" s="55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s="6" customFormat="1" ht="16.149999999999999" x14ac:dyDescent="0.55000000000000004">
      <c r="A71" s="63" t="s">
        <v>42</v>
      </c>
      <c r="G71" s="61" t="s">
        <v>48</v>
      </c>
      <c r="H71" s="65">
        <f>H65-H69</f>
        <v>2.1176100000000053</v>
      </c>
      <c r="I71" s="65">
        <f t="shared" ref="I71:Q71" si="16">I65-I69</f>
        <v>2.308194900000005</v>
      </c>
      <c r="J71" s="65">
        <f t="shared" si="16"/>
        <v>2.5159324410000017</v>
      </c>
      <c r="K71" s="65">
        <f t="shared" si="16"/>
        <v>2.7423663606900073</v>
      </c>
      <c r="L71" s="65">
        <f t="shared" si="16"/>
        <v>2.9891793331521086</v>
      </c>
      <c r="M71" s="65">
        <f t="shared" si="16"/>
        <v>3.258205473135785</v>
      </c>
      <c r="N71" s="65">
        <f t="shared" si="16"/>
        <v>3.5514439657180161</v>
      </c>
      <c r="O71" s="65">
        <f t="shared" si="16"/>
        <v>3.8710739226326361</v>
      </c>
      <c r="P71" s="65">
        <f t="shared" si="16"/>
        <v>4.2194705756695754</v>
      </c>
      <c r="Q71" s="65">
        <f t="shared" si="16"/>
        <v>4.5992229274798353</v>
      </c>
      <c r="R71" s="66"/>
      <c r="S71" s="66"/>
      <c r="T71" s="66"/>
      <c r="U71" s="55"/>
      <c r="V71" s="55"/>
      <c r="W71" s="55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s="6" customFormat="1" ht="16.149999999999999" x14ac:dyDescent="0.55000000000000004">
      <c r="A72" s="63" t="s">
        <v>74</v>
      </c>
      <c r="G72" s="61" t="s">
        <v>48</v>
      </c>
      <c r="H72" s="65">
        <f t="shared" ref="H72:Q72" si="17">H71/(1+discount_rate)^H48</f>
        <v>2.1176100000000053</v>
      </c>
      <c r="I72" s="65">
        <f t="shared" si="17"/>
        <v>2.1372175000000047</v>
      </c>
      <c r="J72" s="65">
        <f t="shared" si="17"/>
        <v>2.1570065509259271</v>
      </c>
      <c r="K72" s="65">
        <f t="shared" si="17"/>
        <v>2.176978833804875</v>
      </c>
      <c r="L72" s="65">
        <f t="shared" si="17"/>
        <v>2.1971360452289947</v>
      </c>
      <c r="M72" s="65">
        <f t="shared" si="17"/>
        <v>2.2174798974996244</v>
      </c>
      <c r="N72" s="65">
        <f t="shared" si="17"/>
        <v>2.2380121187727755</v>
      </c>
      <c r="O72" s="65">
        <f t="shared" si="17"/>
        <v>2.2587344532058555</v>
      </c>
      <c r="P72" s="65">
        <f t="shared" si="17"/>
        <v>2.2796486611059112</v>
      </c>
      <c r="Q72" s="65">
        <f t="shared" si="17"/>
        <v>2.3007565190791128</v>
      </c>
      <c r="R72" s="66"/>
      <c r="S72" s="66"/>
      <c r="T72" s="66"/>
      <c r="U72" s="55"/>
      <c r="V72" s="55"/>
      <c r="W72" s="55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s="6" customFormat="1" ht="16.149999999999999" x14ac:dyDescent="0.55000000000000004">
      <c r="A73" s="63"/>
      <c r="G73" s="61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6"/>
      <c r="S73" s="66"/>
      <c r="T73" s="66"/>
      <c r="U73" s="55"/>
      <c r="V73" s="55"/>
      <c r="W73" s="55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s="6" customFormat="1" x14ac:dyDescent="0.4"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s="6" customFormat="1" ht="16.149999999999999" x14ac:dyDescent="0.55000000000000004">
      <c r="A75" s="63" t="s">
        <v>43</v>
      </c>
      <c r="B75" s="60"/>
      <c r="C75" s="60"/>
      <c r="G75" s="61" t="s">
        <v>51</v>
      </c>
      <c r="H75" s="96">
        <f>SUM(H72:Q72)</f>
        <v>22.080580579623085</v>
      </c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55"/>
      <c r="V75" s="55"/>
      <c r="W75" s="55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s="6" customFormat="1" x14ac:dyDescent="0.4"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55"/>
      <c r="V76" s="55"/>
      <c r="W76" s="55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s="6" customFormat="1" x14ac:dyDescent="0.4">
      <c r="A77" s="6" t="s">
        <v>75</v>
      </c>
      <c r="H77" s="97">
        <f>1-EXP(-H75/risk_tol)</f>
        <v>0.52098307714976877</v>
      </c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55"/>
      <c r="V77" s="55"/>
      <c r="W77" s="55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s="6" customFormat="1" x14ac:dyDescent="0.4"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55"/>
      <c r="V78" s="55"/>
      <c r="W78" s="55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s="6" customFormat="1" x14ac:dyDescent="0.4">
      <c r="G79" s="10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55"/>
      <c r="V79" s="55"/>
      <c r="W79" s="55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s="6" customFormat="1" x14ac:dyDescent="0.4"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55"/>
      <c r="V80" s="55"/>
      <c r="W80" s="55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s="6" customFormat="1" x14ac:dyDescent="0.4"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55"/>
      <c r="V81" s="55"/>
      <c r="W81" s="55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s="6" customFormat="1" ht="13.5" x14ac:dyDescent="0.45">
      <c r="B82" s="69"/>
      <c r="H82" s="70"/>
      <c r="I82" s="70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55"/>
      <c r="V82" s="55"/>
      <c r="W82" s="55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s="6" customFormat="1" ht="13.5" x14ac:dyDescent="0.45">
      <c r="A83" s="69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55"/>
      <c r="V83" s="55"/>
      <c r="W83" s="55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s="6" customFormat="1" x14ac:dyDescent="0.4"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55"/>
      <c r="V84" s="55"/>
      <c r="W84" s="55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s="6" customFormat="1" x14ac:dyDescent="0.4"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55"/>
      <c r="V85" s="55"/>
      <c r="W85" s="55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s="6" customFormat="1" x14ac:dyDescent="0.4">
      <c r="B86" s="72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55"/>
      <c r="V86" s="55"/>
      <c r="W86" s="55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s="6" customFormat="1" x14ac:dyDescent="0.4">
      <c r="B87" s="72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55"/>
      <c r="V87" s="55"/>
      <c r="W87" s="55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s="6" customFormat="1" x14ac:dyDescent="0.4">
      <c r="B88" s="72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55"/>
      <c r="V88" s="55"/>
      <c r="W88" s="55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s="6" customFormat="1" x14ac:dyDescent="0.4"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55"/>
      <c r="V89" s="55"/>
      <c r="W89" s="55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s="6" customFormat="1" x14ac:dyDescent="0.4"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55"/>
      <c r="V90" s="55"/>
      <c r="W90" s="55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s="6" customFormat="1" x14ac:dyDescent="0.4"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55"/>
      <c r="V91" s="55"/>
      <c r="W91" s="55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s="6" customFormat="1" x14ac:dyDescent="0.4">
      <c r="G92" s="73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55"/>
      <c r="V92" s="55"/>
      <c r="W92" s="55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s="6" customFormat="1" x14ac:dyDescent="0.4"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55"/>
      <c r="V93" s="55"/>
      <c r="W93" s="55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s="6" customFormat="1" x14ac:dyDescent="0.4">
      <c r="H94" s="66"/>
      <c r="I94" s="74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55"/>
      <c r="V94" s="55"/>
      <c r="W94" s="55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s="6" customFormat="1" x14ac:dyDescent="0.4"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55"/>
      <c r="V95" s="55"/>
      <c r="W95" s="55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s="6" customFormat="1" ht="13.5" x14ac:dyDescent="0.45">
      <c r="A96" s="69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55"/>
      <c r="V96" s="55"/>
      <c r="W96" s="55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s="6" customFormat="1" ht="13.5" x14ac:dyDescent="0.45">
      <c r="A97" s="5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55"/>
      <c r="V97" s="55"/>
      <c r="W97" s="55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s="6" customFormat="1" ht="13.5" x14ac:dyDescent="0.45">
      <c r="B98" s="69"/>
      <c r="H98" s="70"/>
      <c r="I98" s="70"/>
      <c r="J98" s="70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55"/>
      <c r="V98" s="55"/>
      <c r="W98" s="55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s="6" customFormat="1" ht="13.5" x14ac:dyDescent="0.45">
      <c r="A99" s="69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55"/>
      <c r="V99" s="55"/>
      <c r="W99" s="55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s="6" customFormat="1" ht="13.5" x14ac:dyDescent="0.45">
      <c r="A100" s="69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55"/>
      <c r="V100" s="55"/>
      <c r="W100" s="55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s="6" customFormat="1" x14ac:dyDescent="0.4">
      <c r="G101" s="75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55"/>
      <c r="V101" s="55"/>
      <c r="W101" s="55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s="6" customFormat="1" x14ac:dyDescent="0.4"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55"/>
      <c r="V102" s="55"/>
      <c r="W102" s="55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s="6" customFormat="1" x14ac:dyDescent="0.4"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55"/>
      <c r="V103" s="55"/>
      <c r="W103" s="55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s="6" customFormat="1" x14ac:dyDescent="0.4"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55"/>
      <c r="V104" s="55"/>
      <c r="W104" s="55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s="6" customFormat="1" x14ac:dyDescent="0.4"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55"/>
      <c r="V105" s="55"/>
      <c r="W105" s="55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s="6" customFormat="1" x14ac:dyDescent="0.4"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55"/>
      <c r="V106" s="55"/>
      <c r="W106" s="55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s="6" customFormat="1" x14ac:dyDescent="0.4"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55"/>
      <c r="V107" s="55"/>
      <c r="W107" s="55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  <row r="108" spans="1:48" s="6" customFormat="1" x14ac:dyDescent="0.4"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55"/>
      <c r="V108" s="55"/>
      <c r="W108" s="55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</row>
    <row r="109" spans="1:48" s="6" customFormat="1" x14ac:dyDescent="0.4"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55"/>
      <c r="V109" s="55"/>
      <c r="W109" s="55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</row>
    <row r="110" spans="1:48" s="6" customFormat="1" x14ac:dyDescent="0.4"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55"/>
      <c r="V110" s="55"/>
      <c r="W110" s="55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</row>
    <row r="111" spans="1:48" s="6" customFormat="1" x14ac:dyDescent="0.4"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55"/>
      <c r="V111" s="55"/>
      <c r="W111" s="55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</row>
    <row r="112" spans="1:48" s="6" customFormat="1" x14ac:dyDescent="0.4"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55"/>
      <c r="V112" s="55"/>
      <c r="W112" s="55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</row>
    <row r="113" spans="1:48" s="6" customFormat="1" x14ac:dyDescent="0.4"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55"/>
      <c r="V113" s="55"/>
      <c r="W113" s="55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</row>
    <row r="114" spans="1:48" s="6" customFormat="1" x14ac:dyDescent="0.4"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55"/>
      <c r="V114" s="55"/>
      <c r="W114" s="55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</row>
    <row r="115" spans="1:48" s="6" customFormat="1" x14ac:dyDescent="0.4"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55"/>
      <c r="V115" s="55"/>
      <c r="W115" s="55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</row>
    <row r="116" spans="1:48" s="6" customFormat="1" x14ac:dyDescent="0.4"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55"/>
      <c r="V116" s="55"/>
      <c r="W116" s="55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</row>
    <row r="117" spans="1:48" s="6" customFormat="1" x14ac:dyDescent="0.4"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55"/>
      <c r="V117" s="55"/>
      <c r="W117" s="55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</row>
    <row r="118" spans="1:48" s="6" customFormat="1" x14ac:dyDescent="0.4"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55"/>
      <c r="V118" s="55"/>
      <c r="W118" s="55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</row>
    <row r="119" spans="1:48" s="6" customFormat="1" x14ac:dyDescent="0.4">
      <c r="G119" s="10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55"/>
      <c r="V119" s="55"/>
      <c r="W119" s="55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</row>
    <row r="120" spans="1:48" s="6" customFormat="1" x14ac:dyDescent="0.4"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55"/>
      <c r="V120" s="55"/>
      <c r="W120" s="55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</row>
    <row r="121" spans="1:48" s="6" customFormat="1" x14ac:dyDescent="0.4"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55"/>
      <c r="V121" s="55"/>
      <c r="W121" s="55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</row>
    <row r="122" spans="1:48" s="6" customFormat="1" ht="13.5" x14ac:dyDescent="0.45">
      <c r="B122" s="69"/>
      <c r="H122" s="70"/>
      <c r="I122" s="70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55"/>
      <c r="V122" s="55"/>
      <c r="W122" s="55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</row>
    <row r="123" spans="1:48" s="6" customFormat="1" ht="13.5" x14ac:dyDescent="0.45">
      <c r="A123" s="69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55"/>
      <c r="V123" s="55"/>
      <c r="W123" s="55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</row>
    <row r="124" spans="1:48" s="6" customFormat="1" x14ac:dyDescent="0.4"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55"/>
      <c r="V124" s="55"/>
      <c r="W124" s="55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</row>
    <row r="125" spans="1:48" s="6" customFormat="1" x14ac:dyDescent="0.4"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55"/>
      <c r="V125" s="55"/>
      <c r="W125" s="55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</row>
    <row r="126" spans="1:48" s="6" customFormat="1" x14ac:dyDescent="0.4">
      <c r="B126" s="72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55"/>
      <c r="V126" s="55"/>
      <c r="W126" s="55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</row>
    <row r="127" spans="1:48" s="6" customFormat="1" x14ac:dyDescent="0.4">
      <c r="B127" s="72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55"/>
      <c r="V127" s="55"/>
      <c r="W127" s="55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</row>
    <row r="128" spans="1:48" s="6" customFormat="1" x14ac:dyDescent="0.4">
      <c r="B128" s="72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55"/>
      <c r="V128" s="55"/>
      <c r="W128" s="55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</row>
    <row r="129" spans="1:48" s="6" customFormat="1" x14ac:dyDescent="0.4"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55"/>
      <c r="V129" s="55"/>
      <c r="W129" s="55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</row>
    <row r="130" spans="1:48" s="6" customFormat="1" x14ac:dyDescent="0.4"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55"/>
      <c r="V130" s="55"/>
      <c r="W130" s="55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</row>
    <row r="131" spans="1:48" s="6" customFormat="1" x14ac:dyDescent="0.4"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55"/>
      <c r="V131" s="55"/>
      <c r="W131" s="55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</row>
    <row r="132" spans="1:48" s="6" customFormat="1" x14ac:dyDescent="0.4">
      <c r="G132" s="73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55"/>
      <c r="V132" s="55"/>
      <c r="W132" s="55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</row>
    <row r="133" spans="1:48" s="6" customFormat="1" x14ac:dyDescent="0.4"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55"/>
      <c r="V133" s="55"/>
      <c r="W133" s="55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</row>
    <row r="134" spans="1:48" s="6" customFormat="1" x14ac:dyDescent="0.4">
      <c r="H134" s="66"/>
      <c r="I134" s="74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55"/>
      <c r="V134" s="55"/>
      <c r="W134" s="55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</row>
    <row r="135" spans="1:48" s="6" customFormat="1" x14ac:dyDescent="0.4"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55"/>
      <c r="V135" s="55"/>
      <c r="W135" s="55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</row>
    <row r="136" spans="1:48" s="6" customFormat="1" ht="13.5" x14ac:dyDescent="0.45">
      <c r="A136" s="69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55"/>
      <c r="V136" s="55"/>
      <c r="W136" s="55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</row>
    <row r="137" spans="1:48" s="6" customFormat="1" ht="13.5" x14ac:dyDescent="0.45">
      <c r="A137" s="5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55"/>
      <c r="V137" s="55"/>
      <c r="W137" s="55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</row>
    <row r="138" spans="1:48" s="6" customFormat="1" ht="13.5" x14ac:dyDescent="0.45">
      <c r="B138" s="69"/>
      <c r="H138" s="70"/>
      <c r="I138" s="70"/>
      <c r="J138" s="70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55"/>
      <c r="V138" s="55"/>
      <c r="W138" s="55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</row>
    <row r="139" spans="1:48" s="6" customFormat="1" ht="13.5" x14ac:dyDescent="0.45">
      <c r="A139" s="69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55"/>
      <c r="V139" s="55"/>
      <c r="W139" s="55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</row>
    <row r="140" spans="1:48" s="6" customFormat="1" ht="13.5" x14ac:dyDescent="0.45">
      <c r="A140" s="69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55"/>
      <c r="V140" s="55"/>
      <c r="W140" s="55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</row>
    <row r="141" spans="1:48" s="6" customFormat="1" x14ac:dyDescent="0.4">
      <c r="G141" s="75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55"/>
      <c r="V141" s="55"/>
      <c r="W141" s="55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</row>
    <row r="142" spans="1:48" s="6" customFormat="1" x14ac:dyDescent="0.4"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55"/>
      <c r="V142" s="55"/>
      <c r="W142" s="55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</row>
    <row r="143" spans="1:48" s="6" customFormat="1" x14ac:dyDescent="0.4"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55"/>
      <c r="V143" s="55"/>
      <c r="W143" s="55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</row>
    <row r="144" spans="1:48" s="6" customFormat="1" x14ac:dyDescent="0.4"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55"/>
      <c r="V144" s="55"/>
      <c r="W144" s="55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</row>
    <row r="145" spans="7:48" s="6" customFormat="1" x14ac:dyDescent="0.4"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55"/>
      <c r="V145" s="55"/>
      <c r="W145" s="55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</row>
    <row r="146" spans="7:48" s="6" customFormat="1" x14ac:dyDescent="0.4"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55"/>
      <c r="V146" s="55"/>
      <c r="W146" s="55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</row>
    <row r="147" spans="7:48" s="6" customFormat="1" x14ac:dyDescent="0.4"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55"/>
      <c r="V147" s="55"/>
      <c r="W147" s="55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</row>
    <row r="148" spans="7:48" s="6" customFormat="1" x14ac:dyDescent="0.4"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55"/>
      <c r="V148" s="55"/>
      <c r="W148" s="55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</row>
    <row r="149" spans="7:48" s="6" customFormat="1" x14ac:dyDescent="0.4"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55"/>
      <c r="V149" s="55"/>
      <c r="W149" s="55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</row>
    <row r="150" spans="7:48" s="6" customFormat="1" x14ac:dyDescent="0.4"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55"/>
      <c r="V150" s="55"/>
      <c r="W150" s="55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</row>
    <row r="151" spans="7:48" s="6" customFormat="1" x14ac:dyDescent="0.4"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55"/>
      <c r="V151" s="55"/>
      <c r="W151" s="55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</row>
    <row r="152" spans="7:48" s="6" customFormat="1" x14ac:dyDescent="0.4"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55"/>
      <c r="V152" s="55"/>
      <c r="W152" s="55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</row>
    <row r="153" spans="7:48" s="6" customFormat="1" x14ac:dyDescent="0.4"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55"/>
      <c r="V153" s="55"/>
      <c r="W153" s="55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</row>
    <row r="154" spans="7:48" s="6" customFormat="1" x14ac:dyDescent="0.4"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55"/>
      <c r="V154" s="55"/>
      <c r="W154" s="55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</row>
    <row r="155" spans="7:48" s="6" customFormat="1" x14ac:dyDescent="0.4"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55"/>
      <c r="V155" s="55"/>
      <c r="W155" s="55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</row>
    <row r="156" spans="7:48" s="6" customFormat="1" x14ac:dyDescent="0.4"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55"/>
      <c r="V156" s="55"/>
      <c r="W156" s="55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</row>
    <row r="157" spans="7:48" s="6" customFormat="1" x14ac:dyDescent="0.4"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55"/>
      <c r="V157" s="55"/>
      <c r="W157" s="55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</row>
    <row r="158" spans="7:48" s="6" customFormat="1" x14ac:dyDescent="0.4"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55"/>
      <c r="V158" s="55"/>
      <c r="W158" s="55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</row>
    <row r="159" spans="7:48" s="6" customFormat="1" x14ac:dyDescent="0.4">
      <c r="G159" s="10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55"/>
      <c r="V159" s="55"/>
      <c r="W159" s="55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</row>
    <row r="160" spans="7:48" s="6" customFormat="1" x14ac:dyDescent="0.4"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55"/>
      <c r="V160" s="55"/>
      <c r="W160" s="55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</row>
    <row r="161" spans="1:48" s="6" customFormat="1" x14ac:dyDescent="0.4"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</row>
    <row r="162" spans="1:48" s="6" customFormat="1" ht="13.5" x14ac:dyDescent="0.45">
      <c r="B162" s="69"/>
      <c r="H162" s="72"/>
      <c r="I162" s="7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</row>
    <row r="163" spans="1:48" s="6" customFormat="1" ht="13.5" x14ac:dyDescent="0.45">
      <c r="A163" s="69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</row>
    <row r="164" spans="1:48" s="6" customFormat="1" x14ac:dyDescent="0.4"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</row>
    <row r="165" spans="1:48" s="6" customFormat="1" x14ac:dyDescent="0.4"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</row>
    <row r="166" spans="1:48" s="6" customFormat="1" x14ac:dyDescent="0.4">
      <c r="B166" s="72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</row>
    <row r="167" spans="1:48" s="6" customFormat="1" x14ac:dyDescent="0.4">
      <c r="B167" s="72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</row>
    <row r="168" spans="1:48" s="6" customFormat="1" x14ac:dyDescent="0.4">
      <c r="B168" s="72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</row>
    <row r="169" spans="1:48" s="6" customFormat="1" x14ac:dyDescent="0.4"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</row>
    <row r="170" spans="1:48" s="6" customFormat="1" x14ac:dyDescent="0.4"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</row>
    <row r="171" spans="1:48" s="6" customFormat="1" x14ac:dyDescent="0.4"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</row>
    <row r="172" spans="1:48" s="6" customFormat="1" x14ac:dyDescent="0.4">
      <c r="G172" s="73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</row>
    <row r="173" spans="1:48" s="6" customFormat="1" x14ac:dyDescent="0.4"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</row>
    <row r="174" spans="1:48" s="6" customFormat="1" x14ac:dyDescent="0.4">
      <c r="H174" s="77"/>
      <c r="I174" s="78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</row>
    <row r="175" spans="1:48" s="6" customFormat="1" x14ac:dyDescent="0.4">
      <c r="H175" s="77"/>
      <c r="I175" s="78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</row>
    <row r="176" spans="1:48" s="6" customFormat="1" ht="13.5" x14ac:dyDescent="0.45">
      <c r="A176" s="69"/>
    </row>
    <row r="177" spans="1:30" s="6" customFormat="1" ht="13.5" x14ac:dyDescent="0.45">
      <c r="A177" s="5"/>
    </row>
    <row r="178" spans="1:30" s="6" customFormat="1" ht="13.5" x14ac:dyDescent="0.45">
      <c r="B178" s="69"/>
      <c r="H178" s="72"/>
      <c r="I178" s="72"/>
      <c r="J178" s="72"/>
    </row>
    <row r="179" spans="1:30" s="6" customFormat="1" ht="13.5" x14ac:dyDescent="0.45">
      <c r="A179" s="69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</row>
    <row r="180" spans="1:30" s="6" customFormat="1" ht="13.5" x14ac:dyDescent="0.45">
      <c r="A180" s="69"/>
    </row>
    <row r="181" spans="1:30" s="6" customFormat="1" x14ac:dyDescent="0.4">
      <c r="G181" s="75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</row>
    <row r="182" spans="1:30" s="6" customFormat="1" x14ac:dyDescent="0.4"/>
    <row r="183" spans="1:30" s="6" customFormat="1" x14ac:dyDescent="0.4"/>
    <row r="184" spans="1:30" s="6" customFormat="1" x14ac:dyDescent="0.4"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</row>
    <row r="185" spans="1:30" s="6" customFormat="1" x14ac:dyDescent="0.4"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</row>
    <row r="186" spans="1:30" s="6" customFormat="1" x14ac:dyDescent="0.4"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</row>
    <row r="187" spans="1:30" s="6" customFormat="1" x14ac:dyDescent="0.4"/>
    <row r="188" spans="1:30" s="6" customFormat="1" x14ac:dyDescent="0.4"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</row>
    <row r="189" spans="1:30" s="6" customFormat="1" x14ac:dyDescent="0.4"/>
    <row r="190" spans="1:30" s="6" customFormat="1" x14ac:dyDescent="0.4"/>
    <row r="191" spans="1:30" s="6" customFormat="1" x14ac:dyDescent="0.4"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</row>
    <row r="192" spans="1:30" s="6" customFormat="1" x14ac:dyDescent="0.4"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</row>
    <row r="193" spans="1:30" s="6" customFormat="1" x14ac:dyDescent="0.4"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</row>
    <row r="194" spans="1:30" s="6" customFormat="1" x14ac:dyDescent="0.4"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</row>
    <row r="195" spans="1:30" s="6" customFormat="1" x14ac:dyDescent="0.4"/>
    <row r="196" spans="1:30" s="6" customFormat="1" x14ac:dyDescent="0.4"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</row>
    <row r="197" spans="1:30" s="6" customFormat="1" x14ac:dyDescent="0.4"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</row>
    <row r="198" spans="1:30" s="6" customFormat="1" x14ac:dyDescent="0.4"/>
    <row r="199" spans="1:30" s="6" customFormat="1" x14ac:dyDescent="0.4">
      <c r="G199" s="10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</row>
    <row r="200" spans="1:30" s="6" customFormat="1" x14ac:dyDescent="0.4"/>
    <row r="201" spans="1:30" s="6" customFormat="1" x14ac:dyDescent="0.4"/>
    <row r="202" spans="1:30" s="6" customFormat="1" ht="13.5" x14ac:dyDescent="0.45">
      <c r="B202" s="69"/>
      <c r="H202" s="72"/>
      <c r="I202" s="72"/>
    </row>
    <row r="203" spans="1:30" s="6" customFormat="1" ht="13.5" x14ac:dyDescent="0.45">
      <c r="A203" s="69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</row>
    <row r="204" spans="1:30" s="6" customFormat="1" x14ac:dyDescent="0.4"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</row>
    <row r="205" spans="1:30" s="6" customFormat="1" x14ac:dyDescent="0.4"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</row>
    <row r="206" spans="1:30" s="6" customFormat="1" x14ac:dyDescent="0.4">
      <c r="B206" s="72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</row>
    <row r="207" spans="1:30" s="6" customFormat="1" x14ac:dyDescent="0.4">
      <c r="B207" s="72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</row>
    <row r="208" spans="1:30" s="6" customFormat="1" x14ac:dyDescent="0.4">
      <c r="B208" s="72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</row>
    <row r="209" spans="1:30" s="6" customFormat="1" x14ac:dyDescent="0.4"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</row>
    <row r="210" spans="1:30" s="6" customFormat="1" x14ac:dyDescent="0.4"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</row>
    <row r="211" spans="1:30" s="6" customFormat="1" x14ac:dyDescent="0.4"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</row>
    <row r="212" spans="1:30" s="6" customFormat="1" x14ac:dyDescent="0.4">
      <c r="G212" s="73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</row>
    <row r="213" spans="1:30" s="6" customFormat="1" x14ac:dyDescent="0.4"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</row>
    <row r="214" spans="1:30" s="6" customFormat="1" x14ac:dyDescent="0.4">
      <c r="H214" s="77"/>
      <c r="I214" s="78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</row>
    <row r="215" spans="1:30" s="6" customFormat="1" x14ac:dyDescent="0.4">
      <c r="H215" s="77"/>
      <c r="I215" s="78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</row>
    <row r="216" spans="1:30" s="6" customFormat="1" ht="13.5" x14ac:dyDescent="0.45">
      <c r="A216" s="69"/>
    </row>
    <row r="217" spans="1:30" s="6" customFormat="1" ht="13.5" x14ac:dyDescent="0.45">
      <c r="A217" s="5"/>
    </row>
    <row r="218" spans="1:30" s="6" customFormat="1" ht="13.5" x14ac:dyDescent="0.45">
      <c r="B218" s="69"/>
      <c r="H218" s="72"/>
      <c r="I218" s="72"/>
      <c r="J218" s="72"/>
    </row>
    <row r="219" spans="1:30" s="6" customFormat="1" ht="13.5" x14ac:dyDescent="0.45">
      <c r="A219" s="69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</row>
    <row r="220" spans="1:30" s="6" customFormat="1" ht="13.5" x14ac:dyDescent="0.45">
      <c r="A220" s="69"/>
    </row>
    <row r="221" spans="1:30" s="6" customFormat="1" x14ac:dyDescent="0.4">
      <c r="G221" s="75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</row>
    <row r="222" spans="1:30" s="6" customFormat="1" x14ac:dyDescent="0.4"/>
    <row r="223" spans="1:30" s="6" customFormat="1" x14ac:dyDescent="0.4"/>
    <row r="224" spans="1:30" s="6" customFormat="1" x14ac:dyDescent="0.4"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</row>
    <row r="225" spans="7:30" s="6" customFormat="1" x14ac:dyDescent="0.4"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</row>
    <row r="226" spans="7:30" s="6" customFormat="1" x14ac:dyDescent="0.4"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</row>
    <row r="227" spans="7:30" s="6" customFormat="1" x14ac:dyDescent="0.4"/>
    <row r="228" spans="7:30" s="6" customFormat="1" x14ac:dyDescent="0.4"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</row>
    <row r="229" spans="7:30" s="6" customFormat="1" x14ac:dyDescent="0.4"/>
    <row r="230" spans="7:30" s="6" customFormat="1" x14ac:dyDescent="0.4"/>
    <row r="231" spans="7:30" s="6" customFormat="1" x14ac:dyDescent="0.4"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</row>
    <row r="232" spans="7:30" s="6" customFormat="1" x14ac:dyDescent="0.4"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</row>
    <row r="233" spans="7:30" s="6" customFormat="1" x14ac:dyDescent="0.4"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</row>
    <row r="234" spans="7:30" s="6" customFormat="1" x14ac:dyDescent="0.4"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</row>
    <row r="235" spans="7:30" s="6" customFormat="1" x14ac:dyDescent="0.4"/>
    <row r="236" spans="7:30" s="6" customFormat="1" x14ac:dyDescent="0.4"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</row>
    <row r="237" spans="7:30" s="6" customFormat="1" x14ac:dyDescent="0.4"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</row>
    <row r="238" spans="7:30" s="6" customFormat="1" x14ac:dyDescent="0.4"/>
    <row r="239" spans="7:30" s="6" customFormat="1" x14ac:dyDescent="0.4">
      <c r="G239" s="10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</row>
    <row r="240" spans="7:30" s="6" customFormat="1" x14ac:dyDescent="0.4"/>
    <row r="241" spans="1:30" s="6" customFormat="1" x14ac:dyDescent="0.4"/>
    <row r="242" spans="1:30" s="6" customFormat="1" ht="13.5" x14ac:dyDescent="0.45">
      <c r="B242" s="69"/>
      <c r="H242" s="72"/>
      <c r="I242" s="72"/>
    </row>
    <row r="243" spans="1:30" s="6" customFormat="1" ht="13.5" x14ac:dyDescent="0.45">
      <c r="A243" s="69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</row>
    <row r="244" spans="1:30" s="6" customFormat="1" x14ac:dyDescent="0.4"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</row>
    <row r="245" spans="1:30" s="6" customFormat="1" x14ac:dyDescent="0.4"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</row>
    <row r="246" spans="1:30" s="6" customFormat="1" x14ac:dyDescent="0.4">
      <c r="B246" s="72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</row>
    <row r="247" spans="1:30" s="6" customFormat="1" x14ac:dyDescent="0.4">
      <c r="B247" s="72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</row>
    <row r="248" spans="1:30" s="6" customFormat="1" x14ac:dyDescent="0.4">
      <c r="B248" s="72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</row>
    <row r="249" spans="1:30" s="6" customFormat="1" x14ac:dyDescent="0.4"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</row>
    <row r="250" spans="1:30" s="6" customFormat="1" x14ac:dyDescent="0.4"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</row>
    <row r="251" spans="1:30" s="6" customFormat="1" x14ac:dyDescent="0.4"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</row>
    <row r="252" spans="1:30" s="6" customFormat="1" x14ac:dyDescent="0.4">
      <c r="G252" s="73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</row>
    <row r="253" spans="1:30" s="6" customFormat="1" x14ac:dyDescent="0.4"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</row>
    <row r="254" spans="1:30" s="6" customFormat="1" x14ac:dyDescent="0.4">
      <c r="H254" s="77"/>
      <c r="I254" s="78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</row>
    <row r="255" spans="1:30" s="6" customFormat="1" x14ac:dyDescent="0.4">
      <c r="H255" s="77"/>
      <c r="I255" s="78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</row>
    <row r="256" spans="1:30" s="6" customFormat="1" ht="13.5" x14ac:dyDescent="0.45">
      <c r="A256" s="69"/>
    </row>
    <row r="257" spans="1:30" s="6" customFormat="1" ht="13.5" x14ac:dyDescent="0.45">
      <c r="A257" s="5"/>
    </row>
    <row r="258" spans="1:30" s="6" customFormat="1" ht="13.5" x14ac:dyDescent="0.45">
      <c r="B258" s="69"/>
      <c r="H258" s="72"/>
      <c r="I258" s="72"/>
      <c r="J258" s="72"/>
    </row>
    <row r="259" spans="1:30" s="6" customFormat="1" ht="13.5" x14ac:dyDescent="0.45">
      <c r="A259" s="69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</row>
    <row r="260" spans="1:30" s="6" customFormat="1" ht="13.5" x14ac:dyDescent="0.45">
      <c r="A260" s="69"/>
    </row>
    <row r="261" spans="1:30" s="6" customFormat="1" x14ac:dyDescent="0.4">
      <c r="G261" s="75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</row>
    <row r="262" spans="1:30" s="6" customFormat="1" x14ac:dyDescent="0.4"/>
    <row r="263" spans="1:30" s="6" customFormat="1" x14ac:dyDescent="0.4"/>
    <row r="264" spans="1:30" s="6" customFormat="1" x14ac:dyDescent="0.4"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</row>
    <row r="265" spans="1:30" s="6" customFormat="1" x14ac:dyDescent="0.4"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</row>
    <row r="266" spans="1:30" s="6" customFormat="1" x14ac:dyDescent="0.4"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</row>
    <row r="267" spans="1:30" s="6" customFormat="1" x14ac:dyDescent="0.4"/>
    <row r="268" spans="1:30" s="6" customFormat="1" x14ac:dyDescent="0.4"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</row>
    <row r="269" spans="1:30" s="6" customFormat="1" x14ac:dyDescent="0.4"/>
    <row r="270" spans="1:30" s="6" customFormat="1" x14ac:dyDescent="0.4"/>
    <row r="271" spans="1:30" s="6" customFormat="1" x14ac:dyDescent="0.4"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</row>
    <row r="272" spans="1:30" s="6" customFormat="1" x14ac:dyDescent="0.4"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</row>
    <row r="273" spans="1:30" s="6" customFormat="1" x14ac:dyDescent="0.4"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</row>
    <row r="274" spans="1:30" s="6" customFormat="1" x14ac:dyDescent="0.4"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</row>
    <row r="275" spans="1:30" s="6" customFormat="1" x14ac:dyDescent="0.4"/>
    <row r="276" spans="1:30" s="6" customFormat="1" x14ac:dyDescent="0.4"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</row>
    <row r="277" spans="1:30" s="6" customFormat="1" x14ac:dyDescent="0.4"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</row>
    <row r="278" spans="1:30" s="6" customFormat="1" x14ac:dyDescent="0.4"/>
    <row r="279" spans="1:30" s="6" customFormat="1" x14ac:dyDescent="0.4">
      <c r="G279" s="10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</row>
    <row r="280" spans="1:30" s="6" customFormat="1" x14ac:dyDescent="0.4"/>
    <row r="281" spans="1:30" s="6" customFormat="1" x14ac:dyDescent="0.4"/>
    <row r="282" spans="1:30" s="6" customFormat="1" ht="13.5" x14ac:dyDescent="0.45">
      <c r="B282" s="69"/>
      <c r="H282" s="72"/>
      <c r="I282" s="72"/>
    </row>
    <row r="283" spans="1:30" s="6" customFormat="1" ht="13.5" x14ac:dyDescent="0.45">
      <c r="A283" s="69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6"/>
      <c r="AC283" s="76"/>
      <c r="AD283" s="76"/>
    </row>
    <row r="284" spans="1:30" s="6" customFormat="1" x14ac:dyDescent="0.4"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</row>
    <row r="285" spans="1:30" s="6" customFormat="1" x14ac:dyDescent="0.4"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</row>
    <row r="286" spans="1:30" s="6" customFormat="1" x14ac:dyDescent="0.4">
      <c r="B286" s="72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</row>
    <row r="287" spans="1:30" s="6" customFormat="1" x14ac:dyDescent="0.4">
      <c r="B287" s="72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</row>
    <row r="288" spans="1:30" s="6" customFormat="1" x14ac:dyDescent="0.4">
      <c r="B288" s="72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</row>
    <row r="289" spans="1:30" s="6" customFormat="1" x14ac:dyDescent="0.4"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</row>
    <row r="290" spans="1:30" s="6" customFormat="1" x14ac:dyDescent="0.4"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</row>
    <row r="291" spans="1:30" s="6" customFormat="1" x14ac:dyDescent="0.4"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</row>
    <row r="292" spans="1:30" s="6" customFormat="1" x14ac:dyDescent="0.4">
      <c r="G292" s="73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</row>
    <row r="293" spans="1:30" s="6" customFormat="1" x14ac:dyDescent="0.4"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</row>
    <row r="294" spans="1:30" s="6" customFormat="1" x14ac:dyDescent="0.4">
      <c r="H294" s="77"/>
      <c r="I294" s="78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</row>
    <row r="295" spans="1:30" s="6" customFormat="1" x14ac:dyDescent="0.4"/>
    <row r="296" spans="1:30" s="6" customFormat="1" x14ac:dyDescent="0.4"/>
    <row r="297" spans="1:30" s="6" customFormat="1" ht="13.5" x14ac:dyDescent="0.45">
      <c r="A297" s="69"/>
    </row>
    <row r="298" spans="1:30" s="6" customFormat="1" ht="13.5" x14ac:dyDescent="0.45">
      <c r="A298" s="5"/>
    </row>
    <row r="299" spans="1:30" s="6" customFormat="1" ht="13.5" x14ac:dyDescent="0.45">
      <c r="B299" s="69"/>
      <c r="H299" s="72"/>
      <c r="I299" s="72"/>
      <c r="J299" s="72"/>
    </row>
    <row r="300" spans="1:30" s="6" customFormat="1" ht="13.5" x14ac:dyDescent="0.45">
      <c r="A300" s="69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/>
      <c r="AA300" s="76"/>
      <c r="AB300" s="76"/>
      <c r="AC300" s="76"/>
      <c r="AD300" s="76"/>
    </row>
    <row r="301" spans="1:30" s="6" customFormat="1" ht="13.5" x14ac:dyDescent="0.45">
      <c r="A301" s="69"/>
    </row>
    <row r="302" spans="1:30" s="6" customFormat="1" x14ac:dyDescent="0.4">
      <c r="G302" s="75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</row>
    <row r="303" spans="1:30" s="6" customFormat="1" x14ac:dyDescent="0.4"/>
    <row r="304" spans="1:30" s="6" customFormat="1" x14ac:dyDescent="0.4"/>
    <row r="305" spans="7:30" s="6" customFormat="1" x14ac:dyDescent="0.4"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</row>
    <row r="306" spans="7:30" s="6" customFormat="1" x14ac:dyDescent="0.4"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</row>
    <row r="307" spans="7:30" s="6" customFormat="1" x14ac:dyDescent="0.4"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</row>
    <row r="308" spans="7:30" s="6" customFormat="1" x14ac:dyDescent="0.4"/>
    <row r="309" spans="7:30" s="6" customFormat="1" x14ac:dyDescent="0.4"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</row>
    <row r="310" spans="7:30" s="6" customFormat="1" x14ac:dyDescent="0.4"/>
    <row r="311" spans="7:30" s="6" customFormat="1" x14ac:dyDescent="0.4"/>
    <row r="312" spans="7:30" s="6" customFormat="1" x14ac:dyDescent="0.4"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</row>
    <row r="313" spans="7:30" s="6" customFormat="1" x14ac:dyDescent="0.4"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</row>
    <row r="314" spans="7:30" s="6" customFormat="1" x14ac:dyDescent="0.4"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</row>
    <row r="315" spans="7:30" s="6" customFormat="1" x14ac:dyDescent="0.4"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</row>
    <row r="316" spans="7:30" s="6" customFormat="1" x14ac:dyDescent="0.4"/>
    <row r="317" spans="7:30" s="6" customFormat="1" x14ac:dyDescent="0.4"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</row>
    <row r="318" spans="7:30" s="6" customFormat="1" x14ac:dyDescent="0.4"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</row>
    <row r="319" spans="7:30" s="6" customFormat="1" x14ac:dyDescent="0.4"/>
    <row r="320" spans="7:30" s="6" customFormat="1" x14ac:dyDescent="0.4">
      <c r="G320" s="10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</row>
    <row r="321" spans="1:30" s="6" customFormat="1" x14ac:dyDescent="0.4"/>
    <row r="322" spans="1:30" s="6" customFormat="1" x14ac:dyDescent="0.4"/>
    <row r="323" spans="1:30" s="6" customFormat="1" ht="13.5" x14ac:dyDescent="0.45">
      <c r="B323" s="69"/>
      <c r="H323" s="72"/>
      <c r="I323" s="72"/>
    </row>
    <row r="324" spans="1:30" s="6" customFormat="1" ht="13.5" x14ac:dyDescent="0.45">
      <c r="A324" s="69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  <c r="AA324" s="76"/>
      <c r="AB324" s="76"/>
      <c r="AC324" s="76"/>
      <c r="AD324" s="76"/>
    </row>
    <row r="325" spans="1:30" s="6" customFormat="1" x14ac:dyDescent="0.4"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</row>
    <row r="326" spans="1:30" s="6" customFormat="1" x14ac:dyDescent="0.4"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</row>
    <row r="327" spans="1:30" s="6" customFormat="1" x14ac:dyDescent="0.4">
      <c r="B327" s="72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</row>
    <row r="328" spans="1:30" s="6" customFormat="1" x14ac:dyDescent="0.4">
      <c r="B328" s="72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</row>
    <row r="329" spans="1:30" s="6" customFormat="1" x14ac:dyDescent="0.4">
      <c r="B329" s="72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</row>
    <row r="330" spans="1:30" s="6" customFormat="1" x14ac:dyDescent="0.4"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</row>
    <row r="331" spans="1:30" s="6" customFormat="1" x14ac:dyDescent="0.4"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</row>
    <row r="332" spans="1:30" s="6" customFormat="1" x14ac:dyDescent="0.4"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</row>
    <row r="333" spans="1:30" s="6" customFormat="1" x14ac:dyDescent="0.4">
      <c r="G333" s="73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</row>
    <row r="334" spans="1:30" s="6" customFormat="1" x14ac:dyDescent="0.4"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</row>
    <row r="335" spans="1:30" s="6" customFormat="1" x14ac:dyDescent="0.4">
      <c r="H335" s="77"/>
      <c r="I335" s="78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</row>
    <row r="336" spans="1:30" s="6" customFormat="1" x14ac:dyDescent="0.4"/>
    <row r="337" spans="8:8" s="6" customFormat="1" x14ac:dyDescent="0.4">
      <c r="H337" s="79"/>
    </row>
    <row r="338" spans="8:8" s="6" customFormat="1" x14ac:dyDescent="0.4"/>
    <row r="339" spans="8:8" s="6" customFormat="1" x14ac:dyDescent="0.4"/>
    <row r="340" spans="8:8" s="6" customFormat="1" x14ac:dyDescent="0.4"/>
    <row r="341" spans="8:8" s="6" customFormat="1" x14ac:dyDescent="0.4"/>
    <row r="342" spans="8:8" s="6" customFormat="1" x14ac:dyDescent="0.4"/>
    <row r="343" spans="8:8" s="6" customFormat="1" x14ac:dyDescent="0.4"/>
    <row r="344" spans="8:8" s="6" customFormat="1" x14ac:dyDescent="0.4"/>
    <row r="345" spans="8:8" s="6" customFormat="1" x14ac:dyDescent="0.4"/>
    <row r="346" spans="8:8" s="6" customFormat="1" x14ac:dyDescent="0.4"/>
    <row r="347" spans="8:8" s="6" customFormat="1" x14ac:dyDescent="0.4"/>
    <row r="348" spans="8:8" s="6" customFormat="1" x14ac:dyDescent="0.4"/>
    <row r="349" spans="8:8" s="6" customFormat="1" x14ac:dyDescent="0.4"/>
    <row r="350" spans="8:8" s="6" customFormat="1" x14ac:dyDescent="0.4"/>
    <row r="351" spans="8:8" s="6" customFormat="1" x14ac:dyDescent="0.4"/>
    <row r="352" spans="8:8" s="6" customFormat="1" x14ac:dyDescent="0.4"/>
    <row r="353" s="6" customFormat="1" x14ac:dyDescent="0.4"/>
    <row r="354" s="6" customFormat="1" x14ac:dyDescent="0.4"/>
    <row r="355" s="6" customFormat="1" x14ac:dyDescent="0.4"/>
    <row r="356" s="6" customFormat="1" x14ac:dyDescent="0.4"/>
    <row r="357" s="6" customFormat="1" x14ac:dyDescent="0.4"/>
    <row r="358" s="6" customFormat="1" x14ac:dyDescent="0.4"/>
    <row r="359" s="6" customFormat="1" x14ac:dyDescent="0.4"/>
    <row r="360" s="6" customFormat="1" x14ac:dyDescent="0.4"/>
    <row r="361" s="6" customFormat="1" x14ac:dyDescent="0.4"/>
    <row r="362" s="6" customFormat="1" x14ac:dyDescent="0.4"/>
    <row r="363" s="6" customFormat="1" x14ac:dyDescent="0.4"/>
    <row r="364" s="6" customFormat="1" x14ac:dyDescent="0.4"/>
    <row r="365" s="6" customFormat="1" x14ac:dyDescent="0.4"/>
    <row r="366" s="6" customFormat="1" x14ac:dyDescent="0.4"/>
    <row r="367" s="6" customFormat="1" x14ac:dyDescent="0.4"/>
    <row r="368" s="6" customFormat="1" x14ac:dyDescent="0.4"/>
    <row r="369" s="6" customFormat="1" x14ac:dyDescent="0.4"/>
    <row r="370" s="6" customFormat="1" x14ac:dyDescent="0.4"/>
    <row r="371" s="6" customFormat="1" x14ac:dyDescent="0.4"/>
    <row r="372" s="6" customFormat="1" x14ac:dyDescent="0.4"/>
    <row r="373" s="6" customFormat="1" x14ac:dyDescent="0.4"/>
    <row r="374" s="6" customFormat="1" x14ac:dyDescent="0.4"/>
    <row r="375" s="6" customFormat="1" x14ac:dyDescent="0.4"/>
    <row r="376" s="6" customFormat="1" x14ac:dyDescent="0.4"/>
    <row r="377" s="6" customFormat="1" x14ac:dyDescent="0.4"/>
    <row r="378" s="6" customFormat="1" x14ac:dyDescent="0.4"/>
    <row r="379" s="6" customFormat="1" x14ac:dyDescent="0.4"/>
    <row r="380" s="6" customFormat="1" x14ac:dyDescent="0.4"/>
    <row r="381" s="6" customFormat="1" x14ac:dyDescent="0.4"/>
    <row r="382" s="6" customFormat="1" x14ac:dyDescent="0.4"/>
    <row r="383" s="6" customFormat="1" x14ac:dyDescent="0.4"/>
    <row r="384" s="6" customFormat="1" x14ac:dyDescent="0.4"/>
    <row r="385" s="6" customFormat="1" x14ac:dyDescent="0.4"/>
    <row r="386" s="6" customFormat="1" x14ac:dyDescent="0.4"/>
    <row r="387" s="6" customFormat="1" x14ac:dyDescent="0.4"/>
    <row r="388" s="6" customFormat="1" x14ac:dyDescent="0.4"/>
  </sheetData>
  <pageMargins left="0.75" right="0.75" top="1" bottom="1" header="0.5" footer="0.5"/>
  <pageSetup scale="80" orientation="landscape" horizontalDpi="300" verticalDpi="300" copies="0"/>
  <headerFooter alignWithMargins="0">
    <oddFooter>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"/>
  <sheetViews>
    <sheetView tabSelected="1" workbookViewId="0">
      <selection activeCell="A5" sqref="A5"/>
    </sheetView>
  </sheetViews>
  <sheetFormatPr defaultRowHeight="12.75" x14ac:dyDescent="0.35"/>
  <sheetData>
    <row r="1" spans="1:1" x14ac:dyDescent="0.35">
      <c r="A1" s="94" t="s">
        <v>79</v>
      </c>
    </row>
    <row r="2" spans="1:1" x14ac:dyDescent="0.35">
      <c r="A2" s="94" t="s">
        <v>78</v>
      </c>
    </row>
    <row r="3" spans="1:1" x14ac:dyDescent="0.35">
      <c r="A3" s="94" t="s">
        <v>80</v>
      </c>
    </row>
    <row r="4" spans="1:1" x14ac:dyDescent="0.35">
      <c r="A4" s="94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H730"/>
    </sheetView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30"/>
  <sheetViews>
    <sheetView workbookViewId="0">
      <selection activeCell="A6" sqref="A6"/>
    </sheetView>
  </sheetViews>
  <sheetFormatPr defaultRowHeight="12.75" x14ac:dyDescent="0.35"/>
  <cols>
    <col min="1" max="1" width="20.06640625" bestFit="1" customWidth="1"/>
    <col min="2" max="2" width="25.73046875" bestFit="1" customWidth="1"/>
    <col min="3" max="3" width="5.73046875" bestFit="1" customWidth="1"/>
    <col min="4" max="4" width="6.06640625" bestFit="1" customWidth="1"/>
    <col min="5" max="5" width="8.73046875" bestFit="1" customWidth="1"/>
    <col min="6" max="6" width="11.73046875" bestFit="1" customWidth="1"/>
  </cols>
  <sheetData>
    <row r="1" spans="1:14" x14ac:dyDescent="0.35">
      <c r="A1" s="101" t="s">
        <v>76</v>
      </c>
      <c r="B1" s="101"/>
      <c r="C1" s="101"/>
      <c r="D1" s="101"/>
      <c r="E1" s="101"/>
      <c r="F1" s="101"/>
      <c r="G1" s="101"/>
      <c r="H1" s="101"/>
      <c r="I1" s="101"/>
    </row>
    <row r="2" spans="1:14" x14ac:dyDescent="0.35">
      <c r="A2">
        <v>1</v>
      </c>
      <c r="B2">
        <v>1</v>
      </c>
      <c r="C2">
        <v>1</v>
      </c>
      <c r="D2">
        <v>1</v>
      </c>
      <c r="E2" s="98">
        <v>1</v>
      </c>
      <c r="F2" s="98">
        <v>1</v>
      </c>
      <c r="G2">
        <v>0</v>
      </c>
      <c r="H2">
        <v>2.44140625E-4</v>
      </c>
    </row>
    <row r="3" spans="1:14" x14ac:dyDescent="0.35">
      <c r="A3" s="94">
        <v>1</v>
      </c>
      <c r="B3" s="94">
        <v>1</v>
      </c>
      <c r="C3" s="94">
        <v>1</v>
      </c>
      <c r="D3" s="94">
        <v>1</v>
      </c>
      <c r="E3" s="94">
        <v>1</v>
      </c>
      <c r="F3" s="94">
        <v>2</v>
      </c>
      <c r="G3" s="94">
        <v>0</v>
      </c>
      <c r="H3" s="94">
        <v>2.44140625E-4</v>
      </c>
      <c r="I3" s="94" t="s">
        <v>77</v>
      </c>
    </row>
    <row r="4" spans="1:14" x14ac:dyDescent="0.3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0</v>
      </c>
      <c r="H4">
        <v>2.44140625E-4</v>
      </c>
      <c r="I4">
        <f>H4/SUM($H$4:$H$9)</f>
        <v>0.16666666666666666</v>
      </c>
      <c r="K4">
        <f>A4</f>
        <v>1</v>
      </c>
      <c r="L4">
        <f>E4</f>
        <v>1</v>
      </c>
      <c r="M4">
        <f>F4</f>
        <v>3</v>
      </c>
      <c r="N4">
        <f>I4</f>
        <v>0.16666666666666666</v>
      </c>
    </row>
    <row r="5" spans="1:14" x14ac:dyDescent="0.3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0</v>
      </c>
      <c r="H5">
        <v>2.44140625E-4</v>
      </c>
      <c r="I5">
        <f t="shared" ref="I5:I9" si="0">H5/SUM($H$4:$H$9)</f>
        <v>0.16666666666666666</v>
      </c>
      <c r="K5">
        <f t="shared" ref="K5:K9" si="1">A5</f>
        <v>1</v>
      </c>
      <c r="L5">
        <f t="shared" ref="L5:L9" si="2">E5</f>
        <v>2</v>
      </c>
      <c r="M5">
        <f t="shared" ref="M5:M9" si="3">F5</f>
        <v>1</v>
      </c>
      <c r="N5">
        <f t="shared" ref="N5:N9" si="4">I5</f>
        <v>0.16666666666666666</v>
      </c>
    </row>
    <row r="6" spans="1:14" x14ac:dyDescent="0.3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0</v>
      </c>
      <c r="H6">
        <v>2.44140625E-4</v>
      </c>
      <c r="I6">
        <f t="shared" si="0"/>
        <v>0.16666666666666666</v>
      </c>
      <c r="K6">
        <f t="shared" si="1"/>
        <v>1</v>
      </c>
      <c r="L6">
        <f t="shared" si="2"/>
        <v>2</v>
      </c>
      <c r="M6">
        <f t="shared" si="3"/>
        <v>2</v>
      </c>
      <c r="N6">
        <f t="shared" si="4"/>
        <v>0.16666666666666666</v>
      </c>
    </row>
    <row r="7" spans="1:14" x14ac:dyDescent="0.3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0</v>
      </c>
      <c r="H7">
        <v>2.44140625E-4</v>
      </c>
      <c r="I7">
        <f t="shared" si="0"/>
        <v>0.16666666666666666</v>
      </c>
      <c r="K7">
        <f t="shared" si="1"/>
        <v>1</v>
      </c>
      <c r="L7">
        <f t="shared" si="2"/>
        <v>2</v>
      </c>
      <c r="M7">
        <f t="shared" si="3"/>
        <v>3</v>
      </c>
      <c r="N7">
        <f t="shared" si="4"/>
        <v>0.16666666666666666</v>
      </c>
    </row>
    <row r="8" spans="1:14" x14ac:dyDescent="0.3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0</v>
      </c>
      <c r="H8">
        <v>2.44140625E-4</v>
      </c>
      <c r="I8">
        <f t="shared" si="0"/>
        <v>0.16666666666666666</v>
      </c>
      <c r="K8">
        <f t="shared" si="1"/>
        <v>1</v>
      </c>
      <c r="L8">
        <f t="shared" si="2"/>
        <v>3</v>
      </c>
      <c r="M8">
        <f t="shared" si="3"/>
        <v>1</v>
      </c>
      <c r="N8">
        <f t="shared" si="4"/>
        <v>0.16666666666666666</v>
      </c>
    </row>
    <row r="9" spans="1:14" x14ac:dyDescent="0.3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0</v>
      </c>
      <c r="H9">
        <v>2.44140625E-4</v>
      </c>
      <c r="I9">
        <f t="shared" si="0"/>
        <v>0.16666666666666666</v>
      </c>
      <c r="K9">
        <f t="shared" si="1"/>
        <v>1</v>
      </c>
      <c r="L9">
        <f t="shared" si="2"/>
        <v>3</v>
      </c>
      <c r="M9">
        <f t="shared" si="3"/>
        <v>2</v>
      </c>
      <c r="N9">
        <f t="shared" si="4"/>
        <v>0.16666666666666666</v>
      </c>
    </row>
    <row r="10" spans="1:14" x14ac:dyDescent="0.3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0</v>
      </c>
      <c r="H10">
        <v>2.44140625E-4</v>
      </c>
    </row>
    <row r="11" spans="1:14" x14ac:dyDescent="0.35">
      <c r="A11" s="94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0</v>
      </c>
      <c r="H11">
        <v>2.44140625E-4</v>
      </c>
    </row>
    <row r="12" spans="1:14" x14ac:dyDescent="0.3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0</v>
      </c>
      <c r="H12">
        <v>2.44140625E-4</v>
      </c>
    </row>
    <row r="13" spans="1:14" x14ac:dyDescent="0.35">
      <c r="A13" s="98">
        <v>1</v>
      </c>
      <c r="B13" s="98">
        <v>1</v>
      </c>
      <c r="C13" s="98">
        <v>1</v>
      </c>
      <c r="D13" s="98">
        <v>2</v>
      </c>
      <c r="E13" s="98">
        <v>1</v>
      </c>
      <c r="F13" s="98">
        <v>3</v>
      </c>
      <c r="G13" s="98">
        <v>0</v>
      </c>
      <c r="H13" s="98">
        <v>2.44140625E-4</v>
      </c>
      <c r="I13" s="98"/>
    </row>
    <row r="14" spans="1:14" x14ac:dyDescent="0.35">
      <c r="A14" s="98">
        <v>1</v>
      </c>
      <c r="B14" s="98">
        <v>1</v>
      </c>
      <c r="C14" s="98">
        <v>1</v>
      </c>
      <c r="D14" s="98">
        <v>2</v>
      </c>
      <c r="E14" s="101">
        <v>2</v>
      </c>
      <c r="F14" s="101"/>
      <c r="G14" s="98">
        <v>0</v>
      </c>
      <c r="H14" s="98">
        <v>2.44140625E-4</v>
      </c>
      <c r="I14" s="98"/>
    </row>
    <row r="15" spans="1:14" x14ac:dyDescent="0.35">
      <c r="A15" s="99">
        <v>1</v>
      </c>
      <c r="B15">
        <v>1</v>
      </c>
      <c r="C15">
        <v>1</v>
      </c>
      <c r="D15">
        <v>2</v>
      </c>
      <c r="E15" s="98">
        <v>2</v>
      </c>
      <c r="F15" s="98">
        <v>2</v>
      </c>
      <c r="G15">
        <v>0</v>
      </c>
      <c r="H15">
        <v>2.44140625E-4</v>
      </c>
      <c r="I15" t="str">
        <f t="shared" ref="H15:I15" si="5">I3</f>
        <v>% Var</v>
      </c>
    </row>
    <row r="16" spans="1:14" x14ac:dyDescent="0.35">
      <c r="A16" s="99">
        <v>1</v>
      </c>
      <c r="B16">
        <v>1</v>
      </c>
      <c r="C16">
        <v>1</v>
      </c>
      <c r="D16">
        <v>2</v>
      </c>
      <c r="E16" s="94">
        <v>2</v>
      </c>
      <c r="F16" s="94">
        <v>3</v>
      </c>
      <c r="G16" s="94">
        <v>0</v>
      </c>
      <c r="H16" s="94">
        <v>2.44140625E-4</v>
      </c>
      <c r="I16" s="94">
        <f>H16/SUM($H$16:$H$21)</f>
        <v>0.16666666666666666</v>
      </c>
      <c r="K16">
        <f>A16</f>
        <v>1</v>
      </c>
      <c r="L16">
        <f>E16</f>
        <v>2</v>
      </c>
      <c r="M16">
        <f>F16</f>
        <v>3</v>
      </c>
      <c r="N16">
        <f>I16</f>
        <v>0.16666666666666666</v>
      </c>
    </row>
    <row r="17" spans="1:14" x14ac:dyDescent="0.35">
      <c r="A17" s="99">
        <v>1</v>
      </c>
      <c r="B17">
        <v>1</v>
      </c>
      <c r="C17">
        <v>1</v>
      </c>
      <c r="D17">
        <v>2</v>
      </c>
      <c r="E17">
        <v>3</v>
      </c>
      <c r="F17">
        <v>1</v>
      </c>
      <c r="G17" s="94">
        <v>0</v>
      </c>
      <c r="H17" s="94">
        <v>2.44140625E-4</v>
      </c>
      <c r="I17" s="94">
        <f t="shared" ref="I17:I21" si="6">H17/SUM($H$16:$H$21)</f>
        <v>0.16666666666666666</v>
      </c>
      <c r="K17">
        <f t="shared" ref="K17:K21" si="7">A17</f>
        <v>1</v>
      </c>
      <c r="L17">
        <f t="shared" ref="L17:L21" si="8">E17</f>
        <v>3</v>
      </c>
      <c r="M17">
        <f t="shared" ref="M17:M21" si="9">F17</f>
        <v>1</v>
      </c>
      <c r="N17">
        <f t="shared" ref="N17:N21" si="10">I17</f>
        <v>0.16666666666666666</v>
      </c>
    </row>
    <row r="18" spans="1:14" x14ac:dyDescent="0.35">
      <c r="A18" s="99">
        <v>1</v>
      </c>
      <c r="B18">
        <v>1</v>
      </c>
      <c r="C18">
        <v>1</v>
      </c>
      <c r="D18">
        <v>2</v>
      </c>
      <c r="E18">
        <v>3</v>
      </c>
      <c r="F18">
        <v>2</v>
      </c>
      <c r="G18" s="94">
        <v>0</v>
      </c>
      <c r="H18" s="94">
        <v>2.44140625E-4</v>
      </c>
      <c r="I18" s="94">
        <f t="shared" si="6"/>
        <v>0.16666666666666666</v>
      </c>
      <c r="K18">
        <f t="shared" si="7"/>
        <v>1</v>
      </c>
      <c r="L18">
        <f t="shared" si="8"/>
        <v>3</v>
      </c>
      <c r="M18">
        <f t="shared" si="9"/>
        <v>2</v>
      </c>
      <c r="N18">
        <f t="shared" si="10"/>
        <v>0.16666666666666666</v>
      </c>
    </row>
    <row r="19" spans="1:14" x14ac:dyDescent="0.35">
      <c r="A19" s="99">
        <v>1</v>
      </c>
      <c r="B19">
        <v>1</v>
      </c>
      <c r="C19">
        <v>1</v>
      </c>
      <c r="D19">
        <v>2</v>
      </c>
      <c r="E19">
        <v>3</v>
      </c>
      <c r="F19">
        <v>3</v>
      </c>
      <c r="G19" s="94">
        <v>0</v>
      </c>
      <c r="H19" s="94">
        <v>2.44140625E-4</v>
      </c>
      <c r="I19" s="94">
        <f t="shared" si="6"/>
        <v>0.16666666666666666</v>
      </c>
      <c r="K19">
        <f t="shared" si="7"/>
        <v>1</v>
      </c>
      <c r="L19">
        <f t="shared" si="8"/>
        <v>3</v>
      </c>
      <c r="M19">
        <f t="shared" si="9"/>
        <v>3</v>
      </c>
      <c r="N19">
        <f t="shared" si="10"/>
        <v>0.16666666666666666</v>
      </c>
    </row>
    <row r="20" spans="1:14" x14ac:dyDescent="0.35">
      <c r="A20" s="99">
        <v>1</v>
      </c>
      <c r="B20">
        <v>1</v>
      </c>
      <c r="C20">
        <v>1</v>
      </c>
      <c r="D20">
        <v>3</v>
      </c>
      <c r="E20">
        <v>1</v>
      </c>
      <c r="F20">
        <v>1</v>
      </c>
      <c r="G20" s="94">
        <v>0</v>
      </c>
      <c r="H20" s="94">
        <v>2.44140625E-4</v>
      </c>
      <c r="I20" s="94">
        <f t="shared" si="6"/>
        <v>0.16666666666666666</v>
      </c>
      <c r="K20">
        <f t="shared" si="7"/>
        <v>1</v>
      </c>
      <c r="L20">
        <f t="shared" si="8"/>
        <v>1</v>
      </c>
      <c r="M20">
        <f t="shared" si="9"/>
        <v>1</v>
      </c>
      <c r="N20">
        <f t="shared" si="10"/>
        <v>0.16666666666666666</v>
      </c>
    </row>
    <row r="21" spans="1:14" x14ac:dyDescent="0.35">
      <c r="A21" s="99">
        <v>1</v>
      </c>
      <c r="B21">
        <v>1</v>
      </c>
      <c r="C21">
        <v>1</v>
      </c>
      <c r="D21">
        <v>3</v>
      </c>
      <c r="E21">
        <v>1</v>
      </c>
      <c r="F21">
        <v>2</v>
      </c>
      <c r="G21" s="94">
        <v>0</v>
      </c>
      <c r="H21" s="94">
        <v>2.44140625E-4</v>
      </c>
      <c r="I21" s="94">
        <f t="shared" si="6"/>
        <v>0.16666666666666666</v>
      </c>
      <c r="K21">
        <f t="shared" si="7"/>
        <v>1</v>
      </c>
      <c r="L21">
        <f t="shared" si="8"/>
        <v>1</v>
      </c>
      <c r="M21">
        <f t="shared" si="9"/>
        <v>2</v>
      </c>
      <c r="N21">
        <f t="shared" si="10"/>
        <v>0.16666666666666666</v>
      </c>
    </row>
    <row r="22" spans="1:14" x14ac:dyDescent="0.35">
      <c r="A22" s="99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0</v>
      </c>
      <c r="H22">
        <v>2.44140625E-4</v>
      </c>
    </row>
    <row r="23" spans="1:14" x14ac:dyDescent="0.35">
      <c r="A23" s="99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0</v>
      </c>
      <c r="H23">
        <v>2.44140625E-4</v>
      </c>
    </row>
    <row r="24" spans="1:14" x14ac:dyDescent="0.35">
      <c r="A24" s="95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0</v>
      </c>
      <c r="H24">
        <v>2.44140625E-4</v>
      </c>
    </row>
    <row r="25" spans="1:14" x14ac:dyDescent="0.35">
      <c r="A25" s="9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0</v>
      </c>
      <c r="H25">
        <v>2.44140625E-4</v>
      </c>
    </row>
    <row r="26" spans="1:14" x14ac:dyDescent="0.35">
      <c r="A26">
        <v>1</v>
      </c>
      <c r="B26">
        <v>1</v>
      </c>
      <c r="C26">
        <v>1</v>
      </c>
      <c r="D26">
        <v>3</v>
      </c>
      <c r="E26" s="100">
        <v>3</v>
      </c>
      <c r="F26" s="100"/>
      <c r="G26">
        <v>0</v>
      </c>
      <c r="H26">
        <v>2.44140625E-4</v>
      </c>
    </row>
    <row r="27" spans="1:14" x14ac:dyDescent="0.3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0</v>
      </c>
      <c r="H27">
        <v>2.44140625E-4</v>
      </c>
      <c r="I27" t="str">
        <f t="shared" ref="H27:I27" si="11">I15</f>
        <v>% Var</v>
      </c>
    </row>
    <row r="28" spans="1:14" x14ac:dyDescent="0.3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0</v>
      </c>
      <c r="H28">
        <v>2.44140625E-4</v>
      </c>
      <c r="I28">
        <f>H28/SUM($H$28:$H$33)</f>
        <v>0.16666666666666666</v>
      </c>
      <c r="K28">
        <f>A28</f>
        <v>1</v>
      </c>
      <c r="L28">
        <f>E28</f>
        <v>3</v>
      </c>
      <c r="M28">
        <f>F28</f>
        <v>3</v>
      </c>
      <c r="N28">
        <f>I28</f>
        <v>0.16666666666666666</v>
      </c>
    </row>
    <row r="29" spans="1:14" x14ac:dyDescent="0.3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0</v>
      </c>
      <c r="H29">
        <v>2.44140625E-4</v>
      </c>
      <c r="I29">
        <f t="shared" ref="I29:I33" si="12">H29/SUM($H$28:$H$33)</f>
        <v>0.16666666666666666</v>
      </c>
      <c r="K29">
        <f t="shared" ref="K29:K33" si="13">A29</f>
        <v>1</v>
      </c>
      <c r="L29">
        <f t="shared" ref="L29:L33" si="14">E29</f>
        <v>1</v>
      </c>
      <c r="M29">
        <f t="shared" ref="M29:M33" si="15">F29</f>
        <v>1</v>
      </c>
      <c r="N29">
        <f t="shared" ref="N29:N33" si="16">I29</f>
        <v>0.16666666666666666</v>
      </c>
    </row>
    <row r="30" spans="1:14" x14ac:dyDescent="0.3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0</v>
      </c>
      <c r="H30">
        <v>2.44140625E-4</v>
      </c>
      <c r="I30">
        <f t="shared" si="12"/>
        <v>0.16666666666666666</v>
      </c>
      <c r="K30">
        <f t="shared" si="13"/>
        <v>1</v>
      </c>
      <c r="L30">
        <f t="shared" si="14"/>
        <v>1</v>
      </c>
      <c r="M30">
        <f t="shared" si="15"/>
        <v>2</v>
      </c>
      <c r="N30">
        <f t="shared" si="16"/>
        <v>0.16666666666666666</v>
      </c>
    </row>
    <row r="31" spans="1:14" x14ac:dyDescent="0.3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0</v>
      </c>
      <c r="H31">
        <v>2.44140625E-4</v>
      </c>
      <c r="I31">
        <f t="shared" si="12"/>
        <v>0.16666666666666666</v>
      </c>
      <c r="K31">
        <f t="shared" si="13"/>
        <v>1</v>
      </c>
      <c r="L31">
        <f t="shared" si="14"/>
        <v>1</v>
      </c>
      <c r="M31">
        <f t="shared" si="15"/>
        <v>3</v>
      </c>
      <c r="N31">
        <f t="shared" si="16"/>
        <v>0.16666666666666666</v>
      </c>
    </row>
    <row r="32" spans="1:14" x14ac:dyDescent="0.3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0</v>
      </c>
      <c r="H32">
        <v>2.44140625E-4</v>
      </c>
      <c r="I32">
        <f t="shared" si="12"/>
        <v>0.16666666666666666</v>
      </c>
      <c r="K32">
        <f t="shared" si="13"/>
        <v>1</v>
      </c>
      <c r="L32">
        <f t="shared" si="14"/>
        <v>2</v>
      </c>
      <c r="M32">
        <f t="shared" si="15"/>
        <v>1</v>
      </c>
      <c r="N32">
        <f t="shared" si="16"/>
        <v>0.16666666666666666</v>
      </c>
    </row>
    <row r="33" spans="1:14" x14ac:dyDescent="0.3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0</v>
      </c>
      <c r="H33">
        <v>2.44140625E-4</v>
      </c>
      <c r="I33">
        <f t="shared" si="12"/>
        <v>0.16666666666666666</v>
      </c>
      <c r="K33">
        <f t="shared" si="13"/>
        <v>1</v>
      </c>
      <c r="L33">
        <f t="shared" si="14"/>
        <v>2</v>
      </c>
      <c r="M33">
        <f t="shared" si="15"/>
        <v>2</v>
      </c>
      <c r="N33">
        <f t="shared" si="16"/>
        <v>0.16666666666666666</v>
      </c>
    </row>
    <row r="34" spans="1:14" x14ac:dyDescent="0.3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0</v>
      </c>
      <c r="H34">
        <v>2.44140625E-4</v>
      </c>
    </row>
    <row r="35" spans="1:14" x14ac:dyDescent="0.3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0</v>
      </c>
      <c r="H35">
        <v>2.44140625E-4</v>
      </c>
    </row>
    <row r="36" spans="1:14" x14ac:dyDescent="0.3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0</v>
      </c>
      <c r="H36">
        <v>2.44140625E-4</v>
      </c>
    </row>
    <row r="37" spans="1:14" x14ac:dyDescent="0.3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0</v>
      </c>
      <c r="H37">
        <v>2.44140625E-4</v>
      </c>
    </row>
    <row r="38" spans="1:14" x14ac:dyDescent="0.35">
      <c r="A38">
        <v>1</v>
      </c>
      <c r="B38">
        <v>1</v>
      </c>
      <c r="C38">
        <v>2</v>
      </c>
      <c r="D38">
        <v>2</v>
      </c>
      <c r="E38" s="100">
        <v>1</v>
      </c>
      <c r="F38" s="100"/>
      <c r="G38">
        <v>0</v>
      </c>
      <c r="H38">
        <v>2.44140625E-4</v>
      </c>
    </row>
    <row r="39" spans="1:14" x14ac:dyDescent="0.3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0</v>
      </c>
      <c r="H39">
        <v>2.44140625E-4</v>
      </c>
      <c r="I39" t="str">
        <f t="shared" ref="H39:I39" si="17">I27</f>
        <v>% Var</v>
      </c>
    </row>
    <row r="40" spans="1:14" x14ac:dyDescent="0.3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0</v>
      </c>
      <c r="H40">
        <v>2.44140625E-4</v>
      </c>
      <c r="I40">
        <f>H40/SUM($H$40:$H$45)</f>
        <v>0.16666666666666666</v>
      </c>
      <c r="K40">
        <f>A40</f>
        <v>1</v>
      </c>
      <c r="L40">
        <f>E40</f>
        <v>1</v>
      </c>
      <c r="M40">
        <f>F40</f>
        <v>3</v>
      </c>
      <c r="N40">
        <f>I40</f>
        <v>0.16666666666666666</v>
      </c>
    </row>
    <row r="41" spans="1:14" x14ac:dyDescent="0.3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0</v>
      </c>
      <c r="H41">
        <v>2.44140625E-4</v>
      </c>
      <c r="I41">
        <f t="shared" ref="I41:I45" si="18">H41/SUM($H$40:$H$45)</f>
        <v>0.16666666666666666</v>
      </c>
      <c r="K41">
        <f t="shared" ref="K41:K45" si="19">A41</f>
        <v>1</v>
      </c>
      <c r="L41">
        <f t="shared" ref="L41:L45" si="20">E41</f>
        <v>2</v>
      </c>
      <c r="M41">
        <f t="shared" ref="M41:M45" si="21">F41</f>
        <v>1</v>
      </c>
      <c r="N41">
        <f t="shared" ref="N41:N45" si="22">I41</f>
        <v>0.16666666666666666</v>
      </c>
    </row>
    <row r="42" spans="1:14" x14ac:dyDescent="0.3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0</v>
      </c>
      <c r="H42">
        <v>2.44140625E-4</v>
      </c>
      <c r="I42">
        <f t="shared" si="18"/>
        <v>0.16666666666666666</v>
      </c>
      <c r="K42">
        <f t="shared" si="19"/>
        <v>1</v>
      </c>
      <c r="L42">
        <f t="shared" si="20"/>
        <v>2</v>
      </c>
      <c r="M42">
        <f t="shared" si="21"/>
        <v>2</v>
      </c>
      <c r="N42">
        <f t="shared" si="22"/>
        <v>0.16666666666666666</v>
      </c>
    </row>
    <row r="43" spans="1:14" x14ac:dyDescent="0.3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0</v>
      </c>
      <c r="H43">
        <v>2.44140625E-4</v>
      </c>
      <c r="I43">
        <f t="shared" si="18"/>
        <v>0.16666666666666666</v>
      </c>
      <c r="K43">
        <f t="shared" si="19"/>
        <v>1</v>
      </c>
      <c r="L43">
        <f t="shared" si="20"/>
        <v>2</v>
      </c>
      <c r="M43">
        <f t="shared" si="21"/>
        <v>3</v>
      </c>
      <c r="N43">
        <f t="shared" si="22"/>
        <v>0.16666666666666666</v>
      </c>
    </row>
    <row r="44" spans="1:14" x14ac:dyDescent="0.3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0</v>
      </c>
      <c r="H44">
        <v>2.44140625E-4</v>
      </c>
      <c r="I44">
        <f t="shared" si="18"/>
        <v>0.16666666666666666</v>
      </c>
      <c r="K44">
        <f t="shared" si="19"/>
        <v>1</v>
      </c>
      <c r="L44">
        <f t="shared" si="20"/>
        <v>3</v>
      </c>
      <c r="M44">
        <f t="shared" si="21"/>
        <v>1</v>
      </c>
      <c r="N44">
        <f t="shared" si="22"/>
        <v>0.16666666666666666</v>
      </c>
    </row>
    <row r="45" spans="1:14" x14ac:dyDescent="0.3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0</v>
      </c>
      <c r="H45">
        <v>2.44140625E-4</v>
      </c>
      <c r="I45">
        <f t="shared" si="18"/>
        <v>0.16666666666666666</v>
      </c>
      <c r="K45">
        <f t="shared" si="19"/>
        <v>1</v>
      </c>
      <c r="L45">
        <f t="shared" si="20"/>
        <v>3</v>
      </c>
      <c r="M45">
        <f t="shared" si="21"/>
        <v>2</v>
      </c>
      <c r="N45">
        <f t="shared" si="22"/>
        <v>0.16666666666666666</v>
      </c>
    </row>
    <row r="46" spans="1:14" x14ac:dyDescent="0.3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0</v>
      </c>
      <c r="H46">
        <v>2.44140625E-4</v>
      </c>
    </row>
    <row r="47" spans="1:14" x14ac:dyDescent="0.3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0</v>
      </c>
      <c r="H47">
        <v>2.44140625E-4</v>
      </c>
    </row>
    <row r="48" spans="1:14" x14ac:dyDescent="0.3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0</v>
      </c>
      <c r="H48">
        <v>2.44140625E-4</v>
      </c>
    </row>
    <row r="49" spans="1:8" x14ac:dyDescent="0.3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0</v>
      </c>
      <c r="H49">
        <v>2.44140625E-4</v>
      </c>
    </row>
    <row r="50" spans="1:8" x14ac:dyDescent="0.3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0</v>
      </c>
      <c r="H50">
        <v>2.44140625E-4</v>
      </c>
    </row>
    <row r="51" spans="1:8" x14ac:dyDescent="0.3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0</v>
      </c>
      <c r="H51">
        <v>2.44140625E-4</v>
      </c>
    </row>
    <row r="52" spans="1:8" x14ac:dyDescent="0.3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0</v>
      </c>
      <c r="H52">
        <v>2.44140625E-4</v>
      </c>
    </row>
    <row r="53" spans="1:8" x14ac:dyDescent="0.3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0</v>
      </c>
      <c r="H53">
        <v>2.44140625E-4</v>
      </c>
    </row>
    <row r="54" spans="1:8" x14ac:dyDescent="0.3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0</v>
      </c>
      <c r="H54">
        <v>2.44140625E-4</v>
      </c>
    </row>
    <row r="55" spans="1:8" x14ac:dyDescent="0.3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0</v>
      </c>
      <c r="H55">
        <v>2.44140625E-4</v>
      </c>
    </row>
    <row r="56" spans="1:8" x14ac:dyDescent="0.3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0</v>
      </c>
      <c r="H56">
        <v>2.44140625E-4</v>
      </c>
    </row>
    <row r="57" spans="1:8" x14ac:dyDescent="0.3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0</v>
      </c>
      <c r="H57">
        <v>2.44140625E-4</v>
      </c>
    </row>
    <row r="58" spans="1:8" x14ac:dyDescent="0.3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0</v>
      </c>
      <c r="H58">
        <v>2.44140625E-4</v>
      </c>
    </row>
    <row r="59" spans="1:8" x14ac:dyDescent="0.3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0</v>
      </c>
      <c r="H59">
        <v>2.44140625E-4</v>
      </c>
    </row>
    <row r="60" spans="1:8" x14ac:dyDescent="0.3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0</v>
      </c>
      <c r="H60">
        <v>2.44140625E-4</v>
      </c>
    </row>
    <row r="61" spans="1:8" x14ac:dyDescent="0.3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0</v>
      </c>
      <c r="H61">
        <v>2.44140625E-4</v>
      </c>
    </row>
    <row r="62" spans="1:8" x14ac:dyDescent="0.3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0</v>
      </c>
      <c r="H62">
        <v>2.44140625E-4</v>
      </c>
    </row>
    <row r="63" spans="1:8" x14ac:dyDescent="0.3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0</v>
      </c>
      <c r="H63">
        <v>2.44140625E-4</v>
      </c>
    </row>
    <row r="64" spans="1:8" x14ac:dyDescent="0.3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0</v>
      </c>
      <c r="H64">
        <v>2.44140625E-4</v>
      </c>
    </row>
    <row r="65" spans="1:8" x14ac:dyDescent="0.3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0</v>
      </c>
      <c r="H65">
        <v>2.44140625E-4</v>
      </c>
    </row>
    <row r="66" spans="1:8" x14ac:dyDescent="0.3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0</v>
      </c>
      <c r="H66">
        <v>2.44140625E-4</v>
      </c>
    </row>
    <row r="67" spans="1:8" x14ac:dyDescent="0.3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0</v>
      </c>
      <c r="H67">
        <v>2.44140625E-4</v>
      </c>
    </row>
    <row r="68" spans="1:8" x14ac:dyDescent="0.3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0</v>
      </c>
      <c r="H68">
        <v>2.44140625E-4</v>
      </c>
    </row>
    <row r="69" spans="1:8" x14ac:dyDescent="0.3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0</v>
      </c>
      <c r="H69">
        <v>2.44140625E-4</v>
      </c>
    </row>
    <row r="70" spans="1:8" x14ac:dyDescent="0.3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0</v>
      </c>
      <c r="H70">
        <v>2.44140625E-4</v>
      </c>
    </row>
    <row r="71" spans="1:8" x14ac:dyDescent="0.3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0</v>
      </c>
      <c r="H71">
        <v>2.44140625E-4</v>
      </c>
    </row>
    <row r="72" spans="1:8" x14ac:dyDescent="0.3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0</v>
      </c>
      <c r="H72">
        <v>2.44140625E-4</v>
      </c>
    </row>
    <row r="73" spans="1:8" x14ac:dyDescent="0.3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0</v>
      </c>
      <c r="H73">
        <v>2.44140625E-4</v>
      </c>
    </row>
    <row r="74" spans="1:8" x14ac:dyDescent="0.3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0</v>
      </c>
      <c r="H74">
        <v>2.44140625E-4</v>
      </c>
    </row>
    <row r="75" spans="1:8" x14ac:dyDescent="0.3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0</v>
      </c>
      <c r="H75">
        <v>2.44140625E-4</v>
      </c>
    </row>
    <row r="76" spans="1:8" x14ac:dyDescent="0.3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0</v>
      </c>
      <c r="H76">
        <v>2.44140625E-4</v>
      </c>
    </row>
    <row r="77" spans="1:8" x14ac:dyDescent="0.3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0</v>
      </c>
      <c r="H77">
        <v>2.44140625E-4</v>
      </c>
    </row>
    <row r="78" spans="1:8" x14ac:dyDescent="0.3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0</v>
      </c>
      <c r="H78">
        <v>2.44140625E-4</v>
      </c>
    </row>
    <row r="79" spans="1:8" x14ac:dyDescent="0.3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0</v>
      </c>
      <c r="H79">
        <v>2.44140625E-4</v>
      </c>
    </row>
    <row r="80" spans="1:8" x14ac:dyDescent="0.3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0</v>
      </c>
      <c r="H80">
        <v>2.44140625E-4</v>
      </c>
    </row>
    <row r="81" spans="1:8" x14ac:dyDescent="0.3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0</v>
      </c>
      <c r="H81">
        <v>2.44140625E-4</v>
      </c>
    </row>
    <row r="82" spans="1:8" x14ac:dyDescent="0.3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0</v>
      </c>
      <c r="H82">
        <v>2.44140625E-4</v>
      </c>
    </row>
    <row r="83" spans="1:8" x14ac:dyDescent="0.3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0</v>
      </c>
      <c r="H83">
        <v>2.44140625E-4</v>
      </c>
    </row>
    <row r="84" spans="1:8" x14ac:dyDescent="0.3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0</v>
      </c>
      <c r="H84">
        <v>2.44140625E-4</v>
      </c>
    </row>
    <row r="85" spans="1:8" x14ac:dyDescent="0.3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0</v>
      </c>
      <c r="H85">
        <v>2.44140625E-4</v>
      </c>
    </row>
    <row r="86" spans="1:8" x14ac:dyDescent="0.3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0</v>
      </c>
      <c r="H86">
        <v>2.44140625E-4</v>
      </c>
    </row>
    <row r="87" spans="1:8" x14ac:dyDescent="0.3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0</v>
      </c>
      <c r="H87">
        <v>2.44140625E-4</v>
      </c>
    </row>
    <row r="88" spans="1:8" x14ac:dyDescent="0.3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0</v>
      </c>
      <c r="H88">
        <v>2.44140625E-4</v>
      </c>
    </row>
    <row r="89" spans="1:8" x14ac:dyDescent="0.3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0</v>
      </c>
      <c r="H89">
        <v>2.44140625E-4</v>
      </c>
    </row>
    <row r="90" spans="1:8" x14ac:dyDescent="0.3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0</v>
      </c>
      <c r="H90">
        <v>2.44140625E-4</v>
      </c>
    </row>
    <row r="91" spans="1:8" x14ac:dyDescent="0.3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0</v>
      </c>
      <c r="H91">
        <v>2.44140625E-4</v>
      </c>
    </row>
    <row r="92" spans="1:8" x14ac:dyDescent="0.3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0</v>
      </c>
      <c r="H92">
        <v>2.44140625E-4</v>
      </c>
    </row>
    <row r="93" spans="1:8" x14ac:dyDescent="0.3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0</v>
      </c>
      <c r="H93">
        <v>2.44140625E-4</v>
      </c>
    </row>
    <row r="94" spans="1:8" x14ac:dyDescent="0.3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0</v>
      </c>
      <c r="H94">
        <v>2.44140625E-4</v>
      </c>
    </row>
    <row r="95" spans="1:8" x14ac:dyDescent="0.3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0</v>
      </c>
      <c r="H95">
        <v>2.44140625E-4</v>
      </c>
    </row>
    <row r="96" spans="1:8" x14ac:dyDescent="0.3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0</v>
      </c>
      <c r="H96">
        <v>2.44140625E-4</v>
      </c>
    </row>
    <row r="97" spans="1:8" x14ac:dyDescent="0.3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0</v>
      </c>
      <c r="H97">
        <v>2.44140625E-4</v>
      </c>
    </row>
    <row r="98" spans="1:8" x14ac:dyDescent="0.3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0</v>
      </c>
      <c r="H98">
        <v>2.44140625E-4</v>
      </c>
    </row>
    <row r="99" spans="1:8" x14ac:dyDescent="0.3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0</v>
      </c>
      <c r="H99">
        <v>2.44140625E-4</v>
      </c>
    </row>
    <row r="100" spans="1:8" x14ac:dyDescent="0.3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0</v>
      </c>
      <c r="H100">
        <v>2.44140625E-4</v>
      </c>
    </row>
    <row r="101" spans="1:8" x14ac:dyDescent="0.3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0</v>
      </c>
      <c r="H101">
        <v>2.44140625E-4</v>
      </c>
    </row>
    <row r="102" spans="1:8" x14ac:dyDescent="0.3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0</v>
      </c>
      <c r="H102">
        <v>2.44140625E-4</v>
      </c>
    </row>
    <row r="103" spans="1:8" x14ac:dyDescent="0.3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0</v>
      </c>
      <c r="H103">
        <v>2.44140625E-4</v>
      </c>
    </row>
    <row r="104" spans="1:8" x14ac:dyDescent="0.3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0</v>
      </c>
      <c r="H104">
        <v>2.44140625E-4</v>
      </c>
    </row>
    <row r="105" spans="1:8" x14ac:dyDescent="0.3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0</v>
      </c>
      <c r="H105">
        <v>2.44140625E-4</v>
      </c>
    </row>
    <row r="106" spans="1:8" x14ac:dyDescent="0.3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0</v>
      </c>
      <c r="H106">
        <v>2.44140625E-4</v>
      </c>
    </row>
    <row r="107" spans="1:8" x14ac:dyDescent="0.3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0</v>
      </c>
      <c r="H107">
        <v>2.44140625E-4</v>
      </c>
    </row>
    <row r="108" spans="1:8" x14ac:dyDescent="0.3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0</v>
      </c>
      <c r="H108">
        <v>2.44140625E-4</v>
      </c>
    </row>
    <row r="109" spans="1:8" x14ac:dyDescent="0.3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0</v>
      </c>
      <c r="H109">
        <v>2.44140625E-4</v>
      </c>
    </row>
    <row r="110" spans="1:8" x14ac:dyDescent="0.3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0</v>
      </c>
      <c r="H110">
        <v>2.44140625E-4</v>
      </c>
    </row>
    <row r="111" spans="1:8" x14ac:dyDescent="0.3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0</v>
      </c>
      <c r="H111">
        <v>2.44140625E-4</v>
      </c>
    </row>
    <row r="112" spans="1:8" x14ac:dyDescent="0.3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0</v>
      </c>
      <c r="H112">
        <v>2.44140625E-4</v>
      </c>
    </row>
    <row r="113" spans="1:8" x14ac:dyDescent="0.3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0</v>
      </c>
      <c r="H113">
        <v>2.44140625E-4</v>
      </c>
    </row>
    <row r="114" spans="1:8" x14ac:dyDescent="0.3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0</v>
      </c>
      <c r="H114">
        <v>2.44140625E-4</v>
      </c>
    </row>
    <row r="115" spans="1:8" x14ac:dyDescent="0.3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0</v>
      </c>
      <c r="H115">
        <v>2.44140625E-4</v>
      </c>
    </row>
    <row r="116" spans="1:8" x14ac:dyDescent="0.3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0</v>
      </c>
      <c r="H116">
        <v>2.44140625E-4</v>
      </c>
    </row>
    <row r="117" spans="1:8" x14ac:dyDescent="0.3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0</v>
      </c>
      <c r="H117">
        <v>2.44140625E-4</v>
      </c>
    </row>
    <row r="118" spans="1:8" x14ac:dyDescent="0.3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0</v>
      </c>
      <c r="H118">
        <v>2.44140625E-4</v>
      </c>
    </row>
    <row r="119" spans="1:8" x14ac:dyDescent="0.3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0</v>
      </c>
      <c r="H119">
        <v>2.44140625E-4</v>
      </c>
    </row>
    <row r="120" spans="1:8" x14ac:dyDescent="0.3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0</v>
      </c>
      <c r="H120">
        <v>2.44140625E-4</v>
      </c>
    </row>
    <row r="121" spans="1:8" x14ac:dyDescent="0.3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0</v>
      </c>
      <c r="H121">
        <v>2.44140625E-4</v>
      </c>
    </row>
    <row r="122" spans="1:8" x14ac:dyDescent="0.3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0</v>
      </c>
      <c r="H122">
        <v>2.44140625E-4</v>
      </c>
    </row>
    <row r="123" spans="1:8" x14ac:dyDescent="0.3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0</v>
      </c>
      <c r="H123">
        <v>2.44140625E-4</v>
      </c>
    </row>
    <row r="124" spans="1:8" x14ac:dyDescent="0.3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0</v>
      </c>
      <c r="H124">
        <v>2.44140625E-4</v>
      </c>
    </row>
    <row r="125" spans="1:8" x14ac:dyDescent="0.3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0</v>
      </c>
      <c r="H125">
        <v>2.44140625E-4</v>
      </c>
    </row>
    <row r="126" spans="1:8" x14ac:dyDescent="0.3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0</v>
      </c>
      <c r="H126">
        <v>2.44140625E-4</v>
      </c>
    </row>
    <row r="127" spans="1:8" x14ac:dyDescent="0.3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0</v>
      </c>
      <c r="H127">
        <v>2.44140625E-4</v>
      </c>
    </row>
    <row r="128" spans="1:8" x14ac:dyDescent="0.3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0</v>
      </c>
      <c r="H128">
        <v>2.44140625E-4</v>
      </c>
    </row>
    <row r="129" spans="1:8" x14ac:dyDescent="0.3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0</v>
      </c>
      <c r="H129">
        <v>2.44140625E-4</v>
      </c>
    </row>
    <row r="130" spans="1:8" x14ac:dyDescent="0.3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0</v>
      </c>
      <c r="H130">
        <v>2.44140625E-4</v>
      </c>
    </row>
    <row r="131" spans="1:8" x14ac:dyDescent="0.3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0</v>
      </c>
      <c r="H131">
        <v>2.44140625E-4</v>
      </c>
    </row>
    <row r="132" spans="1:8" x14ac:dyDescent="0.3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0</v>
      </c>
      <c r="H132">
        <v>2.44140625E-4</v>
      </c>
    </row>
    <row r="133" spans="1:8" x14ac:dyDescent="0.3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0</v>
      </c>
      <c r="H133">
        <v>2.44140625E-4</v>
      </c>
    </row>
    <row r="134" spans="1:8" x14ac:dyDescent="0.3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0</v>
      </c>
      <c r="H134">
        <v>2.44140625E-4</v>
      </c>
    </row>
    <row r="135" spans="1:8" x14ac:dyDescent="0.3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0</v>
      </c>
      <c r="H135">
        <v>2.44140625E-4</v>
      </c>
    </row>
    <row r="136" spans="1:8" x14ac:dyDescent="0.3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0</v>
      </c>
      <c r="H136">
        <v>2.44140625E-4</v>
      </c>
    </row>
    <row r="137" spans="1:8" x14ac:dyDescent="0.3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0</v>
      </c>
      <c r="H137">
        <v>2.44140625E-4</v>
      </c>
    </row>
    <row r="138" spans="1:8" x14ac:dyDescent="0.3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0</v>
      </c>
      <c r="H138">
        <v>2.44140625E-4</v>
      </c>
    </row>
    <row r="139" spans="1:8" x14ac:dyDescent="0.3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0</v>
      </c>
      <c r="H139">
        <v>2.44140625E-4</v>
      </c>
    </row>
    <row r="140" spans="1:8" x14ac:dyDescent="0.3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0</v>
      </c>
      <c r="H140">
        <v>2.44140625E-4</v>
      </c>
    </row>
    <row r="141" spans="1:8" x14ac:dyDescent="0.3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0</v>
      </c>
      <c r="H141">
        <v>2.44140625E-4</v>
      </c>
    </row>
    <row r="142" spans="1:8" x14ac:dyDescent="0.3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0</v>
      </c>
      <c r="H142">
        <v>2.44140625E-4</v>
      </c>
    </row>
    <row r="143" spans="1:8" x14ac:dyDescent="0.3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0</v>
      </c>
      <c r="H143">
        <v>2.44140625E-4</v>
      </c>
    </row>
    <row r="144" spans="1:8" x14ac:dyDescent="0.3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0</v>
      </c>
      <c r="H144">
        <v>2.44140625E-4</v>
      </c>
    </row>
    <row r="145" spans="1:8" x14ac:dyDescent="0.3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0</v>
      </c>
      <c r="H145">
        <v>2.44140625E-4</v>
      </c>
    </row>
    <row r="146" spans="1:8" x14ac:dyDescent="0.3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0</v>
      </c>
      <c r="H146">
        <v>2.44140625E-4</v>
      </c>
    </row>
    <row r="147" spans="1:8" x14ac:dyDescent="0.3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0</v>
      </c>
      <c r="H147">
        <v>2.44140625E-4</v>
      </c>
    </row>
    <row r="148" spans="1:8" x14ac:dyDescent="0.3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0</v>
      </c>
      <c r="H148">
        <v>2.44140625E-4</v>
      </c>
    </row>
    <row r="149" spans="1:8" x14ac:dyDescent="0.3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0</v>
      </c>
      <c r="H149">
        <v>2.44140625E-4</v>
      </c>
    </row>
    <row r="150" spans="1:8" x14ac:dyDescent="0.3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0</v>
      </c>
      <c r="H150">
        <v>2.44140625E-4</v>
      </c>
    </row>
    <row r="151" spans="1:8" x14ac:dyDescent="0.3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0</v>
      </c>
      <c r="H151">
        <v>2.44140625E-4</v>
      </c>
    </row>
    <row r="152" spans="1:8" x14ac:dyDescent="0.3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0</v>
      </c>
      <c r="H152">
        <v>2.44140625E-4</v>
      </c>
    </row>
    <row r="153" spans="1:8" x14ac:dyDescent="0.3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0</v>
      </c>
      <c r="H153">
        <v>2.44140625E-4</v>
      </c>
    </row>
    <row r="154" spans="1:8" x14ac:dyDescent="0.3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0</v>
      </c>
      <c r="H154">
        <v>2.44140625E-4</v>
      </c>
    </row>
    <row r="155" spans="1:8" x14ac:dyDescent="0.3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0</v>
      </c>
      <c r="H155">
        <v>2.44140625E-4</v>
      </c>
    </row>
    <row r="156" spans="1:8" x14ac:dyDescent="0.3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0</v>
      </c>
      <c r="H156">
        <v>2.44140625E-4</v>
      </c>
    </row>
    <row r="157" spans="1:8" x14ac:dyDescent="0.3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0</v>
      </c>
      <c r="H157">
        <v>2.44140625E-4</v>
      </c>
    </row>
    <row r="158" spans="1:8" x14ac:dyDescent="0.3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0</v>
      </c>
      <c r="H158">
        <v>2.44140625E-4</v>
      </c>
    </row>
    <row r="159" spans="1:8" x14ac:dyDescent="0.3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0</v>
      </c>
      <c r="H159">
        <v>2.44140625E-4</v>
      </c>
    </row>
    <row r="160" spans="1:8" x14ac:dyDescent="0.3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0</v>
      </c>
      <c r="H160">
        <v>2.44140625E-4</v>
      </c>
    </row>
    <row r="161" spans="1:8" x14ac:dyDescent="0.3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0</v>
      </c>
      <c r="H161">
        <v>2.44140625E-4</v>
      </c>
    </row>
    <row r="162" spans="1:8" x14ac:dyDescent="0.3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0</v>
      </c>
      <c r="H162">
        <v>2.44140625E-4</v>
      </c>
    </row>
    <row r="163" spans="1:8" x14ac:dyDescent="0.3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0</v>
      </c>
      <c r="H163">
        <v>2.44140625E-4</v>
      </c>
    </row>
    <row r="164" spans="1:8" x14ac:dyDescent="0.3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0</v>
      </c>
      <c r="H164">
        <v>2.44140625E-4</v>
      </c>
    </row>
    <row r="165" spans="1:8" x14ac:dyDescent="0.3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0</v>
      </c>
      <c r="H165">
        <v>2.44140625E-4</v>
      </c>
    </row>
    <row r="166" spans="1:8" x14ac:dyDescent="0.3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0</v>
      </c>
      <c r="H166">
        <v>2.44140625E-4</v>
      </c>
    </row>
    <row r="167" spans="1:8" x14ac:dyDescent="0.3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0</v>
      </c>
      <c r="H167">
        <v>2.44140625E-4</v>
      </c>
    </row>
    <row r="168" spans="1:8" x14ac:dyDescent="0.3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0</v>
      </c>
      <c r="H168">
        <v>2.44140625E-4</v>
      </c>
    </row>
    <row r="169" spans="1:8" x14ac:dyDescent="0.3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0</v>
      </c>
      <c r="H169">
        <v>2.44140625E-4</v>
      </c>
    </row>
    <row r="170" spans="1:8" x14ac:dyDescent="0.3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0</v>
      </c>
      <c r="H170">
        <v>2.44140625E-4</v>
      </c>
    </row>
    <row r="171" spans="1:8" x14ac:dyDescent="0.3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0</v>
      </c>
      <c r="H171">
        <v>2.44140625E-4</v>
      </c>
    </row>
    <row r="172" spans="1:8" x14ac:dyDescent="0.3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0</v>
      </c>
      <c r="H172">
        <v>2.44140625E-4</v>
      </c>
    </row>
    <row r="173" spans="1:8" x14ac:dyDescent="0.3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0</v>
      </c>
      <c r="H173">
        <v>2.44140625E-4</v>
      </c>
    </row>
    <row r="174" spans="1:8" x14ac:dyDescent="0.3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0</v>
      </c>
      <c r="H174">
        <v>2.44140625E-4</v>
      </c>
    </row>
    <row r="175" spans="1:8" x14ac:dyDescent="0.3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0</v>
      </c>
      <c r="H175">
        <v>2.44140625E-4</v>
      </c>
    </row>
    <row r="176" spans="1:8" x14ac:dyDescent="0.3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0</v>
      </c>
      <c r="H176">
        <v>2.44140625E-4</v>
      </c>
    </row>
    <row r="177" spans="1:8" x14ac:dyDescent="0.3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0</v>
      </c>
      <c r="H177">
        <v>2.44140625E-4</v>
      </c>
    </row>
    <row r="178" spans="1:8" x14ac:dyDescent="0.3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0</v>
      </c>
      <c r="H178">
        <v>2.44140625E-4</v>
      </c>
    </row>
    <row r="179" spans="1:8" x14ac:dyDescent="0.3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0</v>
      </c>
      <c r="H179">
        <v>2.44140625E-4</v>
      </c>
    </row>
    <row r="180" spans="1:8" x14ac:dyDescent="0.3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0</v>
      </c>
      <c r="H180">
        <v>2.44140625E-4</v>
      </c>
    </row>
    <row r="181" spans="1:8" x14ac:dyDescent="0.3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0</v>
      </c>
      <c r="H181">
        <v>2.44140625E-4</v>
      </c>
    </row>
    <row r="182" spans="1:8" x14ac:dyDescent="0.3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0</v>
      </c>
      <c r="H182">
        <v>2.44140625E-4</v>
      </c>
    </row>
    <row r="183" spans="1:8" x14ac:dyDescent="0.3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0</v>
      </c>
      <c r="H183">
        <v>2.44140625E-4</v>
      </c>
    </row>
    <row r="184" spans="1:8" x14ac:dyDescent="0.3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0</v>
      </c>
      <c r="H184">
        <v>2.44140625E-4</v>
      </c>
    </row>
    <row r="185" spans="1:8" x14ac:dyDescent="0.3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0</v>
      </c>
      <c r="H185">
        <v>2.44140625E-4</v>
      </c>
    </row>
    <row r="186" spans="1:8" x14ac:dyDescent="0.3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0</v>
      </c>
      <c r="H186">
        <v>2.44140625E-4</v>
      </c>
    </row>
    <row r="187" spans="1:8" x14ac:dyDescent="0.3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0</v>
      </c>
      <c r="H187">
        <v>2.44140625E-4</v>
      </c>
    </row>
    <row r="188" spans="1:8" x14ac:dyDescent="0.3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0</v>
      </c>
      <c r="H188">
        <v>2.44140625E-4</v>
      </c>
    </row>
    <row r="189" spans="1:8" x14ac:dyDescent="0.3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0</v>
      </c>
      <c r="H189">
        <v>2.44140625E-4</v>
      </c>
    </row>
    <row r="190" spans="1:8" x14ac:dyDescent="0.3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0</v>
      </c>
      <c r="H190">
        <v>2.44140625E-4</v>
      </c>
    </row>
    <row r="191" spans="1:8" x14ac:dyDescent="0.3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0</v>
      </c>
      <c r="H191">
        <v>2.44140625E-4</v>
      </c>
    </row>
    <row r="192" spans="1:8" x14ac:dyDescent="0.3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0</v>
      </c>
      <c r="H192">
        <v>2.44140625E-4</v>
      </c>
    </row>
    <row r="193" spans="1:8" x14ac:dyDescent="0.3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0</v>
      </c>
      <c r="H193">
        <v>2.44140625E-4</v>
      </c>
    </row>
    <row r="194" spans="1:8" x14ac:dyDescent="0.3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0</v>
      </c>
      <c r="H194">
        <v>2.44140625E-4</v>
      </c>
    </row>
    <row r="195" spans="1:8" x14ac:dyDescent="0.3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0</v>
      </c>
      <c r="H195">
        <v>2.44140625E-4</v>
      </c>
    </row>
    <row r="196" spans="1:8" x14ac:dyDescent="0.3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0</v>
      </c>
      <c r="H196">
        <v>2.44140625E-4</v>
      </c>
    </row>
    <row r="197" spans="1:8" x14ac:dyDescent="0.3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0</v>
      </c>
      <c r="H197">
        <v>2.44140625E-4</v>
      </c>
    </row>
    <row r="198" spans="1:8" x14ac:dyDescent="0.3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0</v>
      </c>
      <c r="H198">
        <v>2.44140625E-4</v>
      </c>
    </row>
    <row r="199" spans="1:8" x14ac:dyDescent="0.3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0</v>
      </c>
      <c r="H199">
        <v>2.44140625E-4</v>
      </c>
    </row>
    <row r="200" spans="1:8" x14ac:dyDescent="0.3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0</v>
      </c>
      <c r="H200">
        <v>2.44140625E-4</v>
      </c>
    </row>
    <row r="201" spans="1:8" x14ac:dyDescent="0.3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0</v>
      </c>
      <c r="H201">
        <v>2.44140625E-4</v>
      </c>
    </row>
    <row r="202" spans="1:8" x14ac:dyDescent="0.3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0</v>
      </c>
      <c r="H202">
        <v>2.44140625E-4</v>
      </c>
    </row>
    <row r="203" spans="1:8" x14ac:dyDescent="0.3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0</v>
      </c>
      <c r="H203">
        <v>2.44140625E-4</v>
      </c>
    </row>
    <row r="204" spans="1:8" x14ac:dyDescent="0.3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0</v>
      </c>
      <c r="H204">
        <v>2.44140625E-4</v>
      </c>
    </row>
    <row r="205" spans="1:8" x14ac:dyDescent="0.3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0</v>
      </c>
      <c r="H205">
        <v>2.44140625E-4</v>
      </c>
    </row>
    <row r="206" spans="1:8" x14ac:dyDescent="0.3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0</v>
      </c>
      <c r="H206">
        <v>2.44140625E-4</v>
      </c>
    </row>
    <row r="207" spans="1:8" x14ac:dyDescent="0.3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0</v>
      </c>
      <c r="H207">
        <v>2.44140625E-4</v>
      </c>
    </row>
    <row r="208" spans="1:8" x14ac:dyDescent="0.3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0</v>
      </c>
      <c r="H208">
        <v>2.44140625E-4</v>
      </c>
    </row>
    <row r="209" spans="1:8" x14ac:dyDescent="0.3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0</v>
      </c>
      <c r="H209">
        <v>2.44140625E-4</v>
      </c>
    </row>
    <row r="210" spans="1:8" x14ac:dyDescent="0.3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0</v>
      </c>
      <c r="H210">
        <v>2.44140625E-4</v>
      </c>
    </row>
    <row r="211" spans="1:8" x14ac:dyDescent="0.3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0</v>
      </c>
      <c r="H211">
        <v>2.44140625E-4</v>
      </c>
    </row>
    <row r="212" spans="1:8" x14ac:dyDescent="0.3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0</v>
      </c>
      <c r="H212">
        <v>2.44140625E-4</v>
      </c>
    </row>
    <row r="213" spans="1:8" x14ac:dyDescent="0.3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0</v>
      </c>
      <c r="H213">
        <v>2.44140625E-4</v>
      </c>
    </row>
    <row r="214" spans="1:8" x14ac:dyDescent="0.3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0</v>
      </c>
      <c r="H214">
        <v>2.44140625E-4</v>
      </c>
    </row>
    <row r="215" spans="1:8" x14ac:dyDescent="0.3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0</v>
      </c>
      <c r="H215">
        <v>2.44140625E-4</v>
      </c>
    </row>
    <row r="216" spans="1:8" x14ac:dyDescent="0.3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0</v>
      </c>
      <c r="H216">
        <v>2.44140625E-4</v>
      </c>
    </row>
    <row r="217" spans="1:8" x14ac:dyDescent="0.3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0</v>
      </c>
      <c r="H217">
        <v>2.44140625E-4</v>
      </c>
    </row>
    <row r="218" spans="1:8" x14ac:dyDescent="0.3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0</v>
      </c>
      <c r="H218">
        <v>2.44140625E-4</v>
      </c>
    </row>
    <row r="219" spans="1:8" x14ac:dyDescent="0.3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0</v>
      </c>
      <c r="H219">
        <v>2.44140625E-4</v>
      </c>
    </row>
    <row r="220" spans="1:8" x14ac:dyDescent="0.3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0</v>
      </c>
      <c r="H220">
        <v>2.44140625E-4</v>
      </c>
    </row>
    <row r="221" spans="1:8" x14ac:dyDescent="0.3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0</v>
      </c>
      <c r="H221">
        <v>2.44140625E-4</v>
      </c>
    </row>
    <row r="222" spans="1:8" x14ac:dyDescent="0.3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0</v>
      </c>
      <c r="H222">
        <v>2.44140625E-4</v>
      </c>
    </row>
    <row r="223" spans="1:8" x14ac:dyDescent="0.3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0</v>
      </c>
      <c r="H223">
        <v>2.44140625E-4</v>
      </c>
    </row>
    <row r="224" spans="1:8" x14ac:dyDescent="0.3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0</v>
      </c>
      <c r="H224">
        <v>2.44140625E-4</v>
      </c>
    </row>
    <row r="225" spans="1:8" x14ac:dyDescent="0.3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0</v>
      </c>
      <c r="H225">
        <v>2.44140625E-4</v>
      </c>
    </row>
    <row r="226" spans="1:8" x14ac:dyDescent="0.3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0</v>
      </c>
      <c r="H226">
        <v>2.44140625E-4</v>
      </c>
    </row>
    <row r="227" spans="1:8" x14ac:dyDescent="0.3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0</v>
      </c>
      <c r="H227">
        <v>2.44140625E-4</v>
      </c>
    </row>
    <row r="228" spans="1:8" x14ac:dyDescent="0.3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0</v>
      </c>
      <c r="H228">
        <v>2.44140625E-4</v>
      </c>
    </row>
    <row r="229" spans="1:8" x14ac:dyDescent="0.3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0</v>
      </c>
      <c r="H229">
        <v>2.44140625E-4</v>
      </c>
    </row>
    <row r="230" spans="1:8" x14ac:dyDescent="0.3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0</v>
      </c>
      <c r="H230">
        <v>2.44140625E-4</v>
      </c>
    </row>
    <row r="231" spans="1:8" x14ac:dyDescent="0.3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0</v>
      </c>
      <c r="H231">
        <v>2.44140625E-4</v>
      </c>
    </row>
    <row r="232" spans="1:8" x14ac:dyDescent="0.3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0</v>
      </c>
      <c r="H232">
        <v>2.44140625E-4</v>
      </c>
    </row>
    <row r="233" spans="1:8" x14ac:dyDescent="0.3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0</v>
      </c>
      <c r="H233">
        <v>2.44140625E-4</v>
      </c>
    </row>
    <row r="234" spans="1:8" x14ac:dyDescent="0.3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0</v>
      </c>
      <c r="H234">
        <v>2.44140625E-4</v>
      </c>
    </row>
    <row r="235" spans="1:8" x14ac:dyDescent="0.3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0</v>
      </c>
      <c r="H235">
        <v>2.44140625E-4</v>
      </c>
    </row>
    <row r="236" spans="1:8" x14ac:dyDescent="0.3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0</v>
      </c>
      <c r="H236">
        <v>2.44140625E-4</v>
      </c>
    </row>
    <row r="237" spans="1:8" x14ac:dyDescent="0.3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0</v>
      </c>
      <c r="H237">
        <v>2.44140625E-4</v>
      </c>
    </row>
    <row r="238" spans="1:8" x14ac:dyDescent="0.3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0</v>
      </c>
      <c r="H238">
        <v>2.44140625E-4</v>
      </c>
    </row>
    <row r="239" spans="1:8" x14ac:dyDescent="0.3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0</v>
      </c>
      <c r="H239">
        <v>2.44140625E-4</v>
      </c>
    </row>
    <row r="240" spans="1:8" x14ac:dyDescent="0.3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0</v>
      </c>
      <c r="H240">
        <v>2.44140625E-4</v>
      </c>
    </row>
    <row r="241" spans="1:8" x14ac:dyDescent="0.3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0</v>
      </c>
      <c r="H241">
        <v>2.44140625E-4</v>
      </c>
    </row>
    <row r="242" spans="1:8" x14ac:dyDescent="0.3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0</v>
      </c>
      <c r="H242">
        <v>2.44140625E-4</v>
      </c>
    </row>
    <row r="243" spans="1:8" x14ac:dyDescent="0.3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0</v>
      </c>
      <c r="H243">
        <v>2.44140625E-4</v>
      </c>
    </row>
    <row r="244" spans="1:8" x14ac:dyDescent="0.3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0</v>
      </c>
      <c r="H244">
        <v>2.44140625E-4</v>
      </c>
    </row>
    <row r="245" spans="1:8" x14ac:dyDescent="0.3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0</v>
      </c>
      <c r="H245">
        <v>2.44140625E-4</v>
      </c>
    </row>
    <row r="246" spans="1:8" x14ac:dyDescent="0.3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0</v>
      </c>
      <c r="H246">
        <v>2.44140625E-4</v>
      </c>
    </row>
    <row r="247" spans="1:8" x14ac:dyDescent="0.3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0</v>
      </c>
      <c r="H247">
        <v>2.44140625E-4</v>
      </c>
    </row>
    <row r="248" spans="1:8" x14ac:dyDescent="0.3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0</v>
      </c>
      <c r="H248">
        <v>2.44140625E-4</v>
      </c>
    </row>
    <row r="249" spans="1:8" x14ac:dyDescent="0.3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0</v>
      </c>
      <c r="H249">
        <v>2.44140625E-4</v>
      </c>
    </row>
    <row r="250" spans="1:8" x14ac:dyDescent="0.3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0</v>
      </c>
      <c r="H250">
        <v>2.44140625E-4</v>
      </c>
    </row>
    <row r="251" spans="1:8" x14ac:dyDescent="0.3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0</v>
      </c>
      <c r="H251">
        <v>2.44140625E-4</v>
      </c>
    </row>
    <row r="252" spans="1:8" x14ac:dyDescent="0.3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0</v>
      </c>
      <c r="H252">
        <v>2.44140625E-4</v>
      </c>
    </row>
    <row r="253" spans="1:8" x14ac:dyDescent="0.3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0</v>
      </c>
      <c r="H253">
        <v>2.44140625E-4</v>
      </c>
    </row>
    <row r="254" spans="1:8" x14ac:dyDescent="0.3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0</v>
      </c>
      <c r="H254">
        <v>2.44140625E-4</v>
      </c>
    </row>
    <row r="255" spans="1:8" x14ac:dyDescent="0.3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0</v>
      </c>
      <c r="H255">
        <v>2.44140625E-4</v>
      </c>
    </row>
    <row r="256" spans="1:8" x14ac:dyDescent="0.3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0</v>
      </c>
      <c r="H256">
        <v>2.44140625E-4</v>
      </c>
    </row>
    <row r="257" spans="1:8" x14ac:dyDescent="0.3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0</v>
      </c>
      <c r="H257">
        <v>2.44140625E-4</v>
      </c>
    </row>
    <row r="258" spans="1:8" x14ac:dyDescent="0.3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0</v>
      </c>
      <c r="H258">
        <v>2.44140625E-4</v>
      </c>
    </row>
    <row r="259" spans="1:8" x14ac:dyDescent="0.3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0</v>
      </c>
      <c r="H259">
        <v>2.44140625E-4</v>
      </c>
    </row>
    <row r="260" spans="1:8" x14ac:dyDescent="0.3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0</v>
      </c>
      <c r="H260">
        <v>2.44140625E-4</v>
      </c>
    </row>
    <row r="261" spans="1:8" x14ac:dyDescent="0.3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0</v>
      </c>
      <c r="H261">
        <v>2.44140625E-4</v>
      </c>
    </row>
    <row r="262" spans="1:8" x14ac:dyDescent="0.3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0</v>
      </c>
      <c r="H262">
        <v>2.44140625E-4</v>
      </c>
    </row>
    <row r="263" spans="1:8" x14ac:dyDescent="0.3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0</v>
      </c>
      <c r="H263">
        <v>2.44140625E-4</v>
      </c>
    </row>
    <row r="264" spans="1:8" x14ac:dyDescent="0.3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0</v>
      </c>
      <c r="H264">
        <v>2.44140625E-4</v>
      </c>
    </row>
    <row r="265" spans="1:8" x14ac:dyDescent="0.3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0</v>
      </c>
      <c r="H265">
        <v>2.44140625E-4</v>
      </c>
    </row>
    <row r="266" spans="1:8" x14ac:dyDescent="0.3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0</v>
      </c>
      <c r="H266">
        <v>2.44140625E-4</v>
      </c>
    </row>
    <row r="267" spans="1:8" x14ac:dyDescent="0.3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0</v>
      </c>
      <c r="H267">
        <v>2.44140625E-4</v>
      </c>
    </row>
    <row r="268" spans="1:8" x14ac:dyDescent="0.3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0</v>
      </c>
      <c r="H268">
        <v>2.44140625E-4</v>
      </c>
    </row>
    <row r="269" spans="1:8" x14ac:dyDescent="0.3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0</v>
      </c>
      <c r="H269">
        <v>2.44140625E-4</v>
      </c>
    </row>
    <row r="270" spans="1:8" x14ac:dyDescent="0.3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0</v>
      </c>
      <c r="H270">
        <v>2.44140625E-4</v>
      </c>
    </row>
    <row r="271" spans="1:8" x14ac:dyDescent="0.3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0</v>
      </c>
      <c r="H271">
        <v>2.44140625E-4</v>
      </c>
    </row>
    <row r="272" spans="1:8" x14ac:dyDescent="0.3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0</v>
      </c>
      <c r="H272">
        <v>2.44140625E-4</v>
      </c>
    </row>
    <row r="273" spans="1:8" x14ac:dyDescent="0.3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0</v>
      </c>
      <c r="H273">
        <v>2.44140625E-4</v>
      </c>
    </row>
    <row r="274" spans="1:8" x14ac:dyDescent="0.3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0</v>
      </c>
      <c r="H274">
        <v>2.44140625E-4</v>
      </c>
    </row>
    <row r="275" spans="1:8" x14ac:dyDescent="0.3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0</v>
      </c>
      <c r="H275">
        <v>2.44140625E-4</v>
      </c>
    </row>
    <row r="276" spans="1:8" x14ac:dyDescent="0.3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0</v>
      </c>
      <c r="H276">
        <v>2.44140625E-4</v>
      </c>
    </row>
    <row r="277" spans="1:8" x14ac:dyDescent="0.3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0</v>
      </c>
      <c r="H277">
        <v>2.44140625E-4</v>
      </c>
    </row>
    <row r="278" spans="1:8" x14ac:dyDescent="0.3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0</v>
      </c>
      <c r="H278">
        <v>2.44140625E-4</v>
      </c>
    </row>
    <row r="279" spans="1:8" x14ac:dyDescent="0.3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0</v>
      </c>
      <c r="H279">
        <v>2.44140625E-4</v>
      </c>
    </row>
    <row r="280" spans="1:8" x14ac:dyDescent="0.3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0</v>
      </c>
      <c r="H280">
        <v>2.44140625E-4</v>
      </c>
    </row>
    <row r="281" spans="1:8" x14ac:dyDescent="0.3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0</v>
      </c>
      <c r="H281">
        <v>2.44140625E-4</v>
      </c>
    </row>
    <row r="282" spans="1:8" x14ac:dyDescent="0.3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0</v>
      </c>
      <c r="H282">
        <v>2.44140625E-4</v>
      </c>
    </row>
    <row r="283" spans="1:8" x14ac:dyDescent="0.3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0</v>
      </c>
      <c r="H283">
        <v>2.44140625E-4</v>
      </c>
    </row>
    <row r="284" spans="1:8" x14ac:dyDescent="0.3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0</v>
      </c>
      <c r="H284">
        <v>2.44140625E-4</v>
      </c>
    </row>
    <row r="285" spans="1:8" x14ac:dyDescent="0.3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0</v>
      </c>
      <c r="H285">
        <v>2.44140625E-4</v>
      </c>
    </row>
    <row r="286" spans="1:8" x14ac:dyDescent="0.3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0</v>
      </c>
      <c r="H286">
        <v>2.44140625E-4</v>
      </c>
    </row>
    <row r="287" spans="1:8" x14ac:dyDescent="0.3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0</v>
      </c>
      <c r="H287">
        <v>2.44140625E-4</v>
      </c>
    </row>
    <row r="288" spans="1:8" x14ac:dyDescent="0.3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0</v>
      </c>
      <c r="H288">
        <v>2.44140625E-4</v>
      </c>
    </row>
    <row r="289" spans="1:8" x14ac:dyDescent="0.3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0</v>
      </c>
      <c r="H289">
        <v>2.44140625E-4</v>
      </c>
    </row>
    <row r="290" spans="1:8" x14ac:dyDescent="0.3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0</v>
      </c>
      <c r="H290">
        <v>2.44140625E-4</v>
      </c>
    </row>
    <row r="291" spans="1:8" x14ac:dyDescent="0.3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0</v>
      </c>
      <c r="H291">
        <v>2.44140625E-4</v>
      </c>
    </row>
    <row r="292" spans="1:8" x14ac:dyDescent="0.3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0</v>
      </c>
      <c r="H292">
        <v>2.44140625E-4</v>
      </c>
    </row>
    <row r="293" spans="1:8" x14ac:dyDescent="0.3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0</v>
      </c>
      <c r="H293">
        <v>2.44140625E-4</v>
      </c>
    </row>
    <row r="294" spans="1:8" x14ac:dyDescent="0.3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0</v>
      </c>
      <c r="H294">
        <v>2.44140625E-4</v>
      </c>
    </row>
    <row r="295" spans="1:8" x14ac:dyDescent="0.3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0</v>
      </c>
      <c r="H295">
        <v>2.44140625E-4</v>
      </c>
    </row>
    <row r="296" spans="1:8" x14ac:dyDescent="0.3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0</v>
      </c>
      <c r="H296">
        <v>2.44140625E-4</v>
      </c>
    </row>
    <row r="297" spans="1:8" x14ac:dyDescent="0.3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0</v>
      </c>
      <c r="H297">
        <v>2.44140625E-4</v>
      </c>
    </row>
    <row r="298" spans="1:8" x14ac:dyDescent="0.3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0</v>
      </c>
      <c r="H298">
        <v>2.44140625E-4</v>
      </c>
    </row>
    <row r="299" spans="1:8" x14ac:dyDescent="0.3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0</v>
      </c>
      <c r="H299">
        <v>2.44140625E-4</v>
      </c>
    </row>
    <row r="300" spans="1:8" x14ac:dyDescent="0.3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0</v>
      </c>
      <c r="H300">
        <v>2.44140625E-4</v>
      </c>
    </row>
    <row r="301" spans="1:8" x14ac:dyDescent="0.3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0</v>
      </c>
      <c r="H301">
        <v>2.44140625E-4</v>
      </c>
    </row>
    <row r="302" spans="1:8" x14ac:dyDescent="0.3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0</v>
      </c>
      <c r="H302">
        <v>2.44140625E-4</v>
      </c>
    </row>
    <row r="303" spans="1:8" x14ac:dyDescent="0.3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0</v>
      </c>
      <c r="H303">
        <v>2.44140625E-4</v>
      </c>
    </row>
    <row r="304" spans="1:8" x14ac:dyDescent="0.3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0</v>
      </c>
      <c r="H304">
        <v>2.44140625E-4</v>
      </c>
    </row>
    <row r="305" spans="1:8" x14ac:dyDescent="0.3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0</v>
      </c>
      <c r="H305">
        <v>2.44140625E-4</v>
      </c>
    </row>
    <row r="306" spans="1:8" x14ac:dyDescent="0.3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0</v>
      </c>
      <c r="H306">
        <v>2.44140625E-4</v>
      </c>
    </row>
    <row r="307" spans="1:8" x14ac:dyDescent="0.3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0</v>
      </c>
      <c r="H307">
        <v>2.44140625E-4</v>
      </c>
    </row>
    <row r="308" spans="1:8" x14ac:dyDescent="0.3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0</v>
      </c>
      <c r="H308">
        <v>2.44140625E-4</v>
      </c>
    </row>
    <row r="309" spans="1:8" x14ac:dyDescent="0.3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0</v>
      </c>
      <c r="H309">
        <v>2.44140625E-4</v>
      </c>
    </row>
    <row r="310" spans="1:8" x14ac:dyDescent="0.3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0</v>
      </c>
      <c r="H310">
        <v>2.44140625E-4</v>
      </c>
    </row>
    <row r="311" spans="1:8" x14ac:dyDescent="0.3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0</v>
      </c>
      <c r="H311">
        <v>2.44140625E-4</v>
      </c>
    </row>
    <row r="312" spans="1:8" x14ac:dyDescent="0.3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0</v>
      </c>
      <c r="H312">
        <v>2.44140625E-4</v>
      </c>
    </row>
    <row r="313" spans="1:8" x14ac:dyDescent="0.3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0</v>
      </c>
      <c r="H313">
        <v>2.44140625E-4</v>
      </c>
    </row>
    <row r="314" spans="1:8" x14ac:dyDescent="0.3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0</v>
      </c>
      <c r="H314">
        <v>2.44140625E-4</v>
      </c>
    </row>
    <row r="315" spans="1:8" x14ac:dyDescent="0.3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0</v>
      </c>
      <c r="H315">
        <v>2.44140625E-4</v>
      </c>
    </row>
    <row r="316" spans="1:8" x14ac:dyDescent="0.3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0</v>
      </c>
      <c r="H316">
        <v>2.44140625E-4</v>
      </c>
    </row>
    <row r="317" spans="1:8" x14ac:dyDescent="0.3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0</v>
      </c>
      <c r="H317">
        <v>2.44140625E-4</v>
      </c>
    </row>
    <row r="318" spans="1:8" x14ac:dyDescent="0.3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0</v>
      </c>
      <c r="H318">
        <v>2.44140625E-4</v>
      </c>
    </row>
    <row r="319" spans="1:8" x14ac:dyDescent="0.3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0</v>
      </c>
      <c r="H319">
        <v>2.44140625E-4</v>
      </c>
    </row>
    <row r="320" spans="1:8" x14ac:dyDescent="0.3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0</v>
      </c>
      <c r="H320">
        <v>2.44140625E-4</v>
      </c>
    </row>
    <row r="321" spans="1:8" x14ac:dyDescent="0.3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0</v>
      </c>
      <c r="H321">
        <v>2.44140625E-4</v>
      </c>
    </row>
    <row r="322" spans="1:8" x14ac:dyDescent="0.3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0</v>
      </c>
      <c r="H322">
        <v>2.44140625E-4</v>
      </c>
    </row>
    <row r="323" spans="1:8" x14ac:dyDescent="0.3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0</v>
      </c>
      <c r="H323">
        <v>2.44140625E-4</v>
      </c>
    </row>
    <row r="324" spans="1:8" x14ac:dyDescent="0.3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0</v>
      </c>
      <c r="H324">
        <v>2.44140625E-4</v>
      </c>
    </row>
    <row r="325" spans="1:8" x14ac:dyDescent="0.3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0</v>
      </c>
      <c r="H325">
        <v>2.44140625E-4</v>
      </c>
    </row>
    <row r="326" spans="1:8" x14ac:dyDescent="0.3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0</v>
      </c>
      <c r="H326">
        <v>2.44140625E-4</v>
      </c>
    </row>
    <row r="327" spans="1:8" x14ac:dyDescent="0.3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0</v>
      </c>
      <c r="H327">
        <v>2.44140625E-4</v>
      </c>
    </row>
    <row r="328" spans="1:8" x14ac:dyDescent="0.3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0</v>
      </c>
      <c r="H328">
        <v>2.44140625E-4</v>
      </c>
    </row>
    <row r="329" spans="1:8" x14ac:dyDescent="0.3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0</v>
      </c>
      <c r="H329">
        <v>2.44140625E-4</v>
      </c>
    </row>
    <row r="330" spans="1:8" x14ac:dyDescent="0.3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0</v>
      </c>
      <c r="H330">
        <v>2.44140625E-4</v>
      </c>
    </row>
    <row r="331" spans="1:8" x14ac:dyDescent="0.3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0</v>
      </c>
      <c r="H331">
        <v>2.44140625E-4</v>
      </c>
    </row>
    <row r="332" spans="1:8" x14ac:dyDescent="0.3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0</v>
      </c>
      <c r="H332">
        <v>2.44140625E-4</v>
      </c>
    </row>
    <row r="333" spans="1:8" x14ac:dyDescent="0.3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0</v>
      </c>
      <c r="H333">
        <v>2.44140625E-4</v>
      </c>
    </row>
    <row r="334" spans="1:8" x14ac:dyDescent="0.3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0</v>
      </c>
      <c r="H334">
        <v>2.44140625E-4</v>
      </c>
    </row>
    <row r="335" spans="1:8" x14ac:dyDescent="0.3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0</v>
      </c>
      <c r="H335">
        <v>2.44140625E-4</v>
      </c>
    </row>
    <row r="336" spans="1:8" x14ac:dyDescent="0.3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0</v>
      </c>
      <c r="H336">
        <v>2.44140625E-4</v>
      </c>
    </row>
    <row r="337" spans="1:8" x14ac:dyDescent="0.3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0</v>
      </c>
      <c r="H337">
        <v>2.44140625E-4</v>
      </c>
    </row>
    <row r="338" spans="1:8" x14ac:dyDescent="0.3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0</v>
      </c>
      <c r="H338">
        <v>2.44140625E-4</v>
      </c>
    </row>
    <row r="339" spans="1:8" x14ac:dyDescent="0.3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0</v>
      </c>
      <c r="H339">
        <v>2.44140625E-4</v>
      </c>
    </row>
    <row r="340" spans="1:8" x14ac:dyDescent="0.3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0</v>
      </c>
      <c r="H340">
        <v>2.44140625E-4</v>
      </c>
    </row>
    <row r="341" spans="1:8" x14ac:dyDescent="0.3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0</v>
      </c>
      <c r="H341">
        <v>2.44140625E-4</v>
      </c>
    </row>
    <row r="342" spans="1:8" x14ac:dyDescent="0.3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0</v>
      </c>
      <c r="H342">
        <v>2.44140625E-4</v>
      </c>
    </row>
    <row r="343" spans="1:8" x14ac:dyDescent="0.3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0</v>
      </c>
      <c r="H343">
        <v>2.44140625E-4</v>
      </c>
    </row>
    <row r="344" spans="1:8" x14ac:dyDescent="0.3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0</v>
      </c>
      <c r="H344">
        <v>2.44140625E-4</v>
      </c>
    </row>
    <row r="345" spans="1:8" x14ac:dyDescent="0.3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0</v>
      </c>
      <c r="H345">
        <v>2.44140625E-4</v>
      </c>
    </row>
    <row r="346" spans="1:8" x14ac:dyDescent="0.3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0</v>
      </c>
      <c r="H346">
        <v>2.44140625E-4</v>
      </c>
    </row>
    <row r="347" spans="1:8" x14ac:dyDescent="0.3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0</v>
      </c>
      <c r="H347">
        <v>2.44140625E-4</v>
      </c>
    </row>
    <row r="348" spans="1:8" x14ac:dyDescent="0.3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0</v>
      </c>
      <c r="H348">
        <v>2.44140625E-4</v>
      </c>
    </row>
    <row r="349" spans="1:8" x14ac:dyDescent="0.3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0</v>
      </c>
      <c r="H349">
        <v>2.44140625E-4</v>
      </c>
    </row>
    <row r="350" spans="1:8" x14ac:dyDescent="0.3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0</v>
      </c>
      <c r="H350">
        <v>2.44140625E-4</v>
      </c>
    </row>
    <row r="351" spans="1:8" x14ac:dyDescent="0.3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0</v>
      </c>
      <c r="H351">
        <v>2.44140625E-4</v>
      </c>
    </row>
    <row r="352" spans="1:8" x14ac:dyDescent="0.3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0</v>
      </c>
      <c r="H352">
        <v>2.44140625E-4</v>
      </c>
    </row>
    <row r="353" spans="1:8" x14ac:dyDescent="0.3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0</v>
      </c>
      <c r="H353">
        <v>2.44140625E-4</v>
      </c>
    </row>
    <row r="354" spans="1:8" x14ac:dyDescent="0.3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0</v>
      </c>
      <c r="H354">
        <v>2.44140625E-4</v>
      </c>
    </row>
    <row r="355" spans="1:8" x14ac:dyDescent="0.3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0</v>
      </c>
      <c r="H355">
        <v>2.44140625E-4</v>
      </c>
    </row>
    <row r="356" spans="1:8" x14ac:dyDescent="0.3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0</v>
      </c>
      <c r="H356">
        <v>2.44140625E-4</v>
      </c>
    </row>
    <row r="357" spans="1:8" x14ac:dyDescent="0.3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0</v>
      </c>
      <c r="H357">
        <v>2.44140625E-4</v>
      </c>
    </row>
    <row r="358" spans="1:8" x14ac:dyDescent="0.3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0</v>
      </c>
      <c r="H358">
        <v>2.44140625E-4</v>
      </c>
    </row>
    <row r="359" spans="1:8" x14ac:dyDescent="0.3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0</v>
      </c>
      <c r="H359">
        <v>2.44140625E-4</v>
      </c>
    </row>
    <row r="360" spans="1:8" x14ac:dyDescent="0.3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0</v>
      </c>
      <c r="H360">
        <v>2.44140625E-4</v>
      </c>
    </row>
    <row r="361" spans="1:8" x14ac:dyDescent="0.3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0</v>
      </c>
      <c r="H361">
        <v>2.44140625E-4</v>
      </c>
    </row>
    <row r="362" spans="1:8" x14ac:dyDescent="0.3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0</v>
      </c>
      <c r="H362">
        <v>2.44140625E-4</v>
      </c>
    </row>
    <row r="363" spans="1:8" x14ac:dyDescent="0.3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0</v>
      </c>
      <c r="H363">
        <v>2.44140625E-4</v>
      </c>
    </row>
    <row r="364" spans="1:8" x14ac:dyDescent="0.3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0</v>
      </c>
      <c r="H364">
        <v>2.44140625E-4</v>
      </c>
    </row>
    <row r="365" spans="1:8" x14ac:dyDescent="0.3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0</v>
      </c>
      <c r="H365">
        <v>2.44140625E-4</v>
      </c>
    </row>
    <row r="366" spans="1:8" x14ac:dyDescent="0.3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0</v>
      </c>
      <c r="H366">
        <v>2.44140625E-4</v>
      </c>
    </row>
    <row r="367" spans="1:8" x14ac:dyDescent="0.3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0</v>
      </c>
      <c r="H367">
        <v>2.44140625E-4</v>
      </c>
    </row>
    <row r="368" spans="1:8" x14ac:dyDescent="0.3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0</v>
      </c>
      <c r="H368">
        <v>2.44140625E-4</v>
      </c>
    </row>
    <row r="369" spans="1:8" x14ac:dyDescent="0.3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0</v>
      </c>
      <c r="H369">
        <v>2.44140625E-4</v>
      </c>
    </row>
    <row r="370" spans="1:8" x14ac:dyDescent="0.3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0</v>
      </c>
      <c r="H370">
        <v>2.44140625E-4</v>
      </c>
    </row>
    <row r="371" spans="1:8" x14ac:dyDescent="0.3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0</v>
      </c>
      <c r="H371">
        <v>2.44140625E-4</v>
      </c>
    </row>
    <row r="372" spans="1:8" x14ac:dyDescent="0.3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0</v>
      </c>
      <c r="H372">
        <v>2.44140625E-4</v>
      </c>
    </row>
    <row r="373" spans="1:8" x14ac:dyDescent="0.3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0</v>
      </c>
      <c r="H373">
        <v>2.44140625E-4</v>
      </c>
    </row>
    <row r="374" spans="1:8" x14ac:dyDescent="0.3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0</v>
      </c>
      <c r="H374">
        <v>2.44140625E-4</v>
      </c>
    </row>
    <row r="375" spans="1:8" x14ac:dyDescent="0.3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0</v>
      </c>
      <c r="H375">
        <v>2.44140625E-4</v>
      </c>
    </row>
    <row r="376" spans="1:8" x14ac:dyDescent="0.3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0</v>
      </c>
      <c r="H376">
        <v>2.44140625E-4</v>
      </c>
    </row>
    <row r="377" spans="1:8" x14ac:dyDescent="0.3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0</v>
      </c>
      <c r="H377">
        <v>2.44140625E-4</v>
      </c>
    </row>
    <row r="378" spans="1:8" x14ac:dyDescent="0.3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0</v>
      </c>
      <c r="H378">
        <v>2.44140625E-4</v>
      </c>
    </row>
    <row r="379" spans="1:8" x14ac:dyDescent="0.3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0</v>
      </c>
      <c r="H379">
        <v>2.44140625E-4</v>
      </c>
    </row>
    <row r="380" spans="1:8" x14ac:dyDescent="0.3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0</v>
      </c>
      <c r="H380">
        <v>2.44140625E-4</v>
      </c>
    </row>
    <row r="381" spans="1:8" x14ac:dyDescent="0.3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0</v>
      </c>
      <c r="H381">
        <v>2.44140625E-4</v>
      </c>
    </row>
    <row r="382" spans="1:8" x14ac:dyDescent="0.3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0</v>
      </c>
      <c r="H382">
        <v>2.44140625E-4</v>
      </c>
    </row>
    <row r="383" spans="1:8" x14ac:dyDescent="0.3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0</v>
      </c>
      <c r="H383">
        <v>2.44140625E-4</v>
      </c>
    </row>
    <row r="384" spans="1:8" x14ac:dyDescent="0.3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0</v>
      </c>
      <c r="H384">
        <v>2.44140625E-4</v>
      </c>
    </row>
    <row r="385" spans="1:8" x14ac:dyDescent="0.3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0</v>
      </c>
      <c r="H385">
        <v>2.44140625E-4</v>
      </c>
    </row>
    <row r="386" spans="1:8" x14ac:dyDescent="0.3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0</v>
      </c>
      <c r="H386">
        <v>2.44140625E-4</v>
      </c>
    </row>
    <row r="387" spans="1:8" x14ac:dyDescent="0.3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0</v>
      </c>
      <c r="H387">
        <v>2.44140625E-4</v>
      </c>
    </row>
    <row r="388" spans="1:8" x14ac:dyDescent="0.3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0</v>
      </c>
      <c r="H388">
        <v>2.44140625E-4</v>
      </c>
    </row>
    <row r="389" spans="1:8" x14ac:dyDescent="0.3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0</v>
      </c>
      <c r="H389">
        <v>2.44140625E-4</v>
      </c>
    </row>
    <row r="390" spans="1:8" x14ac:dyDescent="0.3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0</v>
      </c>
      <c r="H390">
        <v>2.44140625E-4</v>
      </c>
    </row>
    <row r="391" spans="1:8" x14ac:dyDescent="0.3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0</v>
      </c>
      <c r="H391">
        <v>2.44140625E-4</v>
      </c>
    </row>
    <row r="392" spans="1:8" x14ac:dyDescent="0.3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0</v>
      </c>
      <c r="H392">
        <v>2.44140625E-4</v>
      </c>
    </row>
    <row r="393" spans="1:8" x14ac:dyDescent="0.3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0</v>
      </c>
      <c r="H393">
        <v>2.44140625E-4</v>
      </c>
    </row>
    <row r="394" spans="1:8" x14ac:dyDescent="0.3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0</v>
      </c>
      <c r="H394">
        <v>2.44140625E-4</v>
      </c>
    </row>
    <row r="395" spans="1:8" x14ac:dyDescent="0.3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0</v>
      </c>
      <c r="H395">
        <v>2.44140625E-4</v>
      </c>
    </row>
    <row r="396" spans="1:8" x14ac:dyDescent="0.3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0</v>
      </c>
      <c r="H396">
        <v>2.44140625E-4</v>
      </c>
    </row>
    <row r="397" spans="1:8" x14ac:dyDescent="0.3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0</v>
      </c>
      <c r="H397">
        <v>2.44140625E-4</v>
      </c>
    </row>
    <row r="398" spans="1:8" x14ac:dyDescent="0.3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0</v>
      </c>
      <c r="H398">
        <v>2.44140625E-4</v>
      </c>
    </row>
    <row r="399" spans="1:8" x14ac:dyDescent="0.3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0</v>
      </c>
      <c r="H399">
        <v>2.44140625E-4</v>
      </c>
    </row>
    <row r="400" spans="1:8" x14ac:dyDescent="0.3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0</v>
      </c>
      <c r="H400">
        <v>2.44140625E-4</v>
      </c>
    </row>
    <row r="401" spans="1:8" x14ac:dyDescent="0.3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0</v>
      </c>
      <c r="H401">
        <v>2.44140625E-4</v>
      </c>
    </row>
    <row r="402" spans="1:8" x14ac:dyDescent="0.3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0</v>
      </c>
      <c r="H402">
        <v>2.44140625E-4</v>
      </c>
    </row>
    <row r="403" spans="1:8" x14ac:dyDescent="0.3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0</v>
      </c>
      <c r="H403">
        <v>2.44140625E-4</v>
      </c>
    </row>
    <row r="404" spans="1:8" x14ac:dyDescent="0.3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0</v>
      </c>
      <c r="H404">
        <v>2.44140625E-4</v>
      </c>
    </row>
    <row r="405" spans="1:8" x14ac:dyDescent="0.3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0</v>
      </c>
      <c r="H405">
        <v>2.44140625E-4</v>
      </c>
    </row>
    <row r="406" spans="1:8" x14ac:dyDescent="0.3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0</v>
      </c>
      <c r="H406">
        <v>2.44140625E-4</v>
      </c>
    </row>
    <row r="407" spans="1:8" x14ac:dyDescent="0.3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0</v>
      </c>
      <c r="H407">
        <v>2.44140625E-4</v>
      </c>
    </row>
    <row r="408" spans="1:8" x14ac:dyDescent="0.3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0</v>
      </c>
      <c r="H408">
        <v>2.44140625E-4</v>
      </c>
    </row>
    <row r="409" spans="1:8" x14ac:dyDescent="0.3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0</v>
      </c>
      <c r="H409">
        <v>2.44140625E-4</v>
      </c>
    </row>
    <row r="410" spans="1:8" x14ac:dyDescent="0.3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0</v>
      </c>
      <c r="H410">
        <v>2.44140625E-4</v>
      </c>
    </row>
    <row r="411" spans="1:8" x14ac:dyDescent="0.3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0</v>
      </c>
      <c r="H411">
        <v>2.44140625E-4</v>
      </c>
    </row>
    <row r="412" spans="1:8" x14ac:dyDescent="0.3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0</v>
      </c>
      <c r="H412">
        <v>2.44140625E-4</v>
      </c>
    </row>
    <row r="413" spans="1:8" x14ac:dyDescent="0.3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0</v>
      </c>
      <c r="H413">
        <v>2.44140625E-4</v>
      </c>
    </row>
    <row r="414" spans="1:8" x14ac:dyDescent="0.3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0</v>
      </c>
      <c r="H414">
        <v>2.44140625E-4</v>
      </c>
    </row>
    <row r="415" spans="1:8" x14ac:dyDescent="0.3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0</v>
      </c>
      <c r="H415">
        <v>2.44140625E-4</v>
      </c>
    </row>
    <row r="416" spans="1:8" x14ac:dyDescent="0.3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0</v>
      </c>
      <c r="H416">
        <v>2.44140625E-4</v>
      </c>
    </row>
    <row r="417" spans="1:8" x14ac:dyDescent="0.3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0</v>
      </c>
      <c r="H417">
        <v>2.44140625E-4</v>
      </c>
    </row>
    <row r="418" spans="1:8" x14ac:dyDescent="0.3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0</v>
      </c>
      <c r="H418">
        <v>2.44140625E-4</v>
      </c>
    </row>
    <row r="419" spans="1:8" x14ac:dyDescent="0.3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0</v>
      </c>
      <c r="H419">
        <v>2.44140625E-4</v>
      </c>
    </row>
    <row r="420" spans="1:8" x14ac:dyDescent="0.3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0</v>
      </c>
      <c r="H420">
        <v>2.44140625E-4</v>
      </c>
    </row>
    <row r="421" spans="1:8" x14ac:dyDescent="0.3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0</v>
      </c>
      <c r="H421">
        <v>2.44140625E-4</v>
      </c>
    </row>
    <row r="422" spans="1:8" x14ac:dyDescent="0.3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0</v>
      </c>
      <c r="H422">
        <v>2.44140625E-4</v>
      </c>
    </row>
    <row r="423" spans="1:8" x14ac:dyDescent="0.3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0</v>
      </c>
      <c r="H423">
        <v>2.44140625E-4</v>
      </c>
    </row>
    <row r="424" spans="1:8" x14ac:dyDescent="0.3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0</v>
      </c>
      <c r="H424">
        <v>2.44140625E-4</v>
      </c>
    </row>
    <row r="425" spans="1:8" x14ac:dyDescent="0.3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0</v>
      </c>
      <c r="H425">
        <v>2.44140625E-4</v>
      </c>
    </row>
    <row r="426" spans="1:8" x14ac:dyDescent="0.3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0</v>
      </c>
      <c r="H426">
        <v>2.44140625E-4</v>
      </c>
    </row>
    <row r="427" spans="1:8" x14ac:dyDescent="0.3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0</v>
      </c>
      <c r="H427">
        <v>2.44140625E-4</v>
      </c>
    </row>
    <row r="428" spans="1:8" x14ac:dyDescent="0.3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0</v>
      </c>
      <c r="H428">
        <v>2.44140625E-4</v>
      </c>
    </row>
    <row r="429" spans="1:8" x14ac:dyDescent="0.3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0</v>
      </c>
      <c r="H429">
        <v>2.44140625E-4</v>
      </c>
    </row>
    <row r="430" spans="1:8" x14ac:dyDescent="0.3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0</v>
      </c>
      <c r="H430">
        <v>2.44140625E-4</v>
      </c>
    </row>
    <row r="431" spans="1:8" x14ac:dyDescent="0.3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0</v>
      </c>
      <c r="H431">
        <v>2.44140625E-4</v>
      </c>
    </row>
    <row r="432" spans="1:8" x14ac:dyDescent="0.3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0</v>
      </c>
      <c r="H432">
        <v>2.44140625E-4</v>
      </c>
    </row>
    <row r="433" spans="1:8" x14ac:dyDescent="0.3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0</v>
      </c>
      <c r="H433">
        <v>2.44140625E-4</v>
      </c>
    </row>
    <row r="434" spans="1:8" x14ac:dyDescent="0.3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0</v>
      </c>
      <c r="H434">
        <v>2.44140625E-4</v>
      </c>
    </row>
    <row r="435" spans="1:8" x14ac:dyDescent="0.3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0</v>
      </c>
      <c r="H435">
        <v>2.44140625E-4</v>
      </c>
    </row>
    <row r="436" spans="1:8" x14ac:dyDescent="0.3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0</v>
      </c>
      <c r="H436">
        <v>2.44140625E-4</v>
      </c>
    </row>
    <row r="437" spans="1:8" x14ac:dyDescent="0.3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0</v>
      </c>
      <c r="H437">
        <v>2.44140625E-4</v>
      </c>
    </row>
    <row r="438" spans="1:8" x14ac:dyDescent="0.3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0</v>
      </c>
      <c r="H438">
        <v>2.44140625E-4</v>
      </c>
    </row>
    <row r="439" spans="1:8" x14ac:dyDescent="0.3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0</v>
      </c>
      <c r="H439">
        <v>2.44140625E-4</v>
      </c>
    </row>
    <row r="440" spans="1:8" x14ac:dyDescent="0.3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0</v>
      </c>
      <c r="H440">
        <v>2.44140625E-4</v>
      </c>
    </row>
    <row r="441" spans="1:8" x14ac:dyDescent="0.3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0</v>
      </c>
      <c r="H441">
        <v>2.44140625E-4</v>
      </c>
    </row>
    <row r="442" spans="1:8" x14ac:dyDescent="0.3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0</v>
      </c>
      <c r="H442">
        <v>2.44140625E-4</v>
      </c>
    </row>
    <row r="443" spans="1:8" x14ac:dyDescent="0.3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0</v>
      </c>
      <c r="H443">
        <v>2.44140625E-4</v>
      </c>
    </row>
    <row r="444" spans="1:8" x14ac:dyDescent="0.3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0</v>
      </c>
      <c r="H444">
        <v>2.44140625E-4</v>
      </c>
    </row>
    <row r="445" spans="1:8" x14ac:dyDescent="0.3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0</v>
      </c>
      <c r="H445">
        <v>2.44140625E-4</v>
      </c>
    </row>
    <row r="446" spans="1:8" x14ac:dyDescent="0.3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0</v>
      </c>
      <c r="H446">
        <v>2.44140625E-4</v>
      </c>
    </row>
    <row r="447" spans="1:8" x14ac:dyDescent="0.3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0</v>
      </c>
      <c r="H447">
        <v>2.44140625E-4</v>
      </c>
    </row>
    <row r="448" spans="1:8" x14ac:dyDescent="0.3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0</v>
      </c>
      <c r="H448">
        <v>2.44140625E-4</v>
      </c>
    </row>
    <row r="449" spans="1:8" x14ac:dyDescent="0.3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0</v>
      </c>
      <c r="H449">
        <v>2.44140625E-4</v>
      </c>
    </row>
    <row r="450" spans="1:8" x14ac:dyDescent="0.3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0</v>
      </c>
      <c r="H450">
        <v>2.44140625E-4</v>
      </c>
    </row>
    <row r="451" spans="1:8" x14ac:dyDescent="0.3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0</v>
      </c>
      <c r="H451">
        <v>2.44140625E-4</v>
      </c>
    </row>
    <row r="452" spans="1:8" x14ac:dyDescent="0.3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0</v>
      </c>
      <c r="H452">
        <v>2.44140625E-4</v>
      </c>
    </row>
    <row r="453" spans="1:8" x14ac:dyDescent="0.3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0</v>
      </c>
      <c r="H453">
        <v>2.44140625E-4</v>
      </c>
    </row>
    <row r="454" spans="1:8" x14ac:dyDescent="0.3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0</v>
      </c>
      <c r="H454">
        <v>2.44140625E-4</v>
      </c>
    </row>
    <row r="455" spans="1:8" x14ac:dyDescent="0.3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0</v>
      </c>
      <c r="H455">
        <v>2.44140625E-4</v>
      </c>
    </row>
    <row r="456" spans="1:8" x14ac:dyDescent="0.3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0</v>
      </c>
      <c r="H456">
        <v>2.44140625E-4</v>
      </c>
    </row>
    <row r="457" spans="1:8" x14ac:dyDescent="0.3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0</v>
      </c>
      <c r="H457">
        <v>2.44140625E-4</v>
      </c>
    </row>
    <row r="458" spans="1:8" x14ac:dyDescent="0.3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0</v>
      </c>
      <c r="H458">
        <v>2.44140625E-4</v>
      </c>
    </row>
    <row r="459" spans="1:8" x14ac:dyDescent="0.3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0</v>
      </c>
      <c r="H459">
        <v>2.44140625E-4</v>
      </c>
    </row>
    <row r="460" spans="1:8" x14ac:dyDescent="0.3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0</v>
      </c>
      <c r="H460">
        <v>2.44140625E-4</v>
      </c>
    </row>
    <row r="461" spans="1:8" x14ac:dyDescent="0.3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0</v>
      </c>
      <c r="H461">
        <v>2.44140625E-4</v>
      </c>
    </row>
    <row r="462" spans="1:8" x14ac:dyDescent="0.3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0</v>
      </c>
      <c r="H462">
        <v>2.44140625E-4</v>
      </c>
    </row>
    <row r="463" spans="1:8" x14ac:dyDescent="0.3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0</v>
      </c>
      <c r="H463">
        <v>2.44140625E-4</v>
      </c>
    </row>
    <row r="464" spans="1:8" x14ac:dyDescent="0.3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0</v>
      </c>
      <c r="H464">
        <v>2.44140625E-4</v>
      </c>
    </row>
    <row r="465" spans="1:8" x14ac:dyDescent="0.3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0</v>
      </c>
      <c r="H465">
        <v>2.44140625E-4</v>
      </c>
    </row>
    <row r="466" spans="1:8" x14ac:dyDescent="0.3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0</v>
      </c>
      <c r="H466">
        <v>2.44140625E-4</v>
      </c>
    </row>
    <row r="467" spans="1:8" x14ac:dyDescent="0.3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0</v>
      </c>
      <c r="H467">
        <v>2.44140625E-4</v>
      </c>
    </row>
    <row r="468" spans="1:8" x14ac:dyDescent="0.3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0</v>
      </c>
      <c r="H468">
        <v>2.44140625E-4</v>
      </c>
    </row>
    <row r="469" spans="1:8" x14ac:dyDescent="0.3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0</v>
      </c>
      <c r="H469">
        <v>2.44140625E-4</v>
      </c>
    </row>
    <row r="470" spans="1:8" x14ac:dyDescent="0.3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0</v>
      </c>
      <c r="H470">
        <v>2.44140625E-4</v>
      </c>
    </row>
    <row r="471" spans="1:8" x14ac:dyDescent="0.3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0</v>
      </c>
      <c r="H471">
        <v>2.44140625E-4</v>
      </c>
    </row>
    <row r="472" spans="1:8" x14ac:dyDescent="0.3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0</v>
      </c>
      <c r="H472">
        <v>2.44140625E-4</v>
      </c>
    </row>
    <row r="473" spans="1:8" x14ac:dyDescent="0.3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0</v>
      </c>
      <c r="H473">
        <v>2.44140625E-4</v>
      </c>
    </row>
    <row r="474" spans="1:8" x14ac:dyDescent="0.3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0</v>
      </c>
      <c r="H474">
        <v>2.44140625E-4</v>
      </c>
    </row>
    <row r="475" spans="1:8" x14ac:dyDescent="0.3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0</v>
      </c>
      <c r="H475">
        <v>2.44140625E-4</v>
      </c>
    </row>
    <row r="476" spans="1:8" x14ac:dyDescent="0.3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0</v>
      </c>
      <c r="H476">
        <v>2.44140625E-4</v>
      </c>
    </row>
    <row r="477" spans="1:8" x14ac:dyDescent="0.3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0</v>
      </c>
      <c r="H477">
        <v>2.44140625E-4</v>
      </c>
    </row>
    <row r="478" spans="1:8" x14ac:dyDescent="0.3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0</v>
      </c>
      <c r="H478">
        <v>2.44140625E-4</v>
      </c>
    </row>
    <row r="479" spans="1:8" x14ac:dyDescent="0.3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0</v>
      </c>
      <c r="H479">
        <v>2.44140625E-4</v>
      </c>
    </row>
    <row r="480" spans="1:8" x14ac:dyDescent="0.3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0</v>
      </c>
      <c r="H480">
        <v>2.44140625E-4</v>
      </c>
    </row>
    <row r="481" spans="1:8" x14ac:dyDescent="0.3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0</v>
      </c>
      <c r="H481">
        <v>2.44140625E-4</v>
      </c>
    </row>
    <row r="482" spans="1:8" x14ac:dyDescent="0.3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0</v>
      </c>
      <c r="H482">
        <v>2.44140625E-4</v>
      </c>
    </row>
    <row r="483" spans="1:8" x14ac:dyDescent="0.3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0</v>
      </c>
      <c r="H483">
        <v>2.44140625E-4</v>
      </c>
    </row>
    <row r="484" spans="1:8" x14ac:dyDescent="0.3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0</v>
      </c>
      <c r="H484">
        <v>2.44140625E-4</v>
      </c>
    </row>
    <row r="485" spans="1:8" x14ac:dyDescent="0.3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0</v>
      </c>
      <c r="H485">
        <v>2.44140625E-4</v>
      </c>
    </row>
    <row r="486" spans="1:8" x14ac:dyDescent="0.3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0</v>
      </c>
      <c r="H486">
        <v>2.44140625E-4</v>
      </c>
    </row>
    <row r="487" spans="1:8" x14ac:dyDescent="0.3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0</v>
      </c>
      <c r="H487">
        <v>2.44140625E-4</v>
      </c>
    </row>
    <row r="488" spans="1:8" x14ac:dyDescent="0.3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0</v>
      </c>
      <c r="H488">
        <v>2.44140625E-4</v>
      </c>
    </row>
    <row r="489" spans="1:8" x14ac:dyDescent="0.3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0</v>
      </c>
      <c r="H489">
        <v>2.44140625E-4</v>
      </c>
    </row>
    <row r="490" spans="1:8" x14ac:dyDescent="0.3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0</v>
      </c>
      <c r="H490">
        <v>2.44140625E-4</v>
      </c>
    </row>
    <row r="491" spans="1:8" x14ac:dyDescent="0.3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0</v>
      </c>
      <c r="H491">
        <v>2.44140625E-4</v>
      </c>
    </row>
    <row r="492" spans="1:8" x14ac:dyDescent="0.3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0</v>
      </c>
      <c r="H492">
        <v>2.44140625E-4</v>
      </c>
    </row>
    <row r="493" spans="1:8" x14ac:dyDescent="0.3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0</v>
      </c>
      <c r="H493">
        <v>2.44140625E-4</v>
      </c>
    </row>
    <row r="494" spans="1:8" x14ac:dyDescent="0.3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0</v>
      </c>
      <c r="H494">
        <v>2.44140625E-4</v>
      </c>
    </row>
    <row r="495" spans="1:8" x14ac:dyDescent="0.3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0</v>
      </c>
      <c r="H495">
        <v>2.44140625E-4</v>
      </c>
    </row>
    <row r="496" spans="1:8" x14ac:dyDescent="0.3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0</v>
      </c>
      <c r="H496">
        <v>2.44140625E-4</v>
      </c>
    </row>
    <row r="497" spans="1:8" x14ac:dyDescent="0.3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0</v>
      </c>
      <c r="H497">
        <v>2.44140625E-4</v>
      </c>
    </row>
    <row r="498" spans="1:8" x14ac:dyDescent="0.3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0</v>
      </c>
      <c r="H498">
        <v>2.44140625E-4</v>
      </c>
    </row>
    <row r="499" spans="1:8" x14ac:dyDescent="0.3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0</v>
      </c>
      <c r="H499">
        <v>2.44140625E-4</v>
      </c>
    </row>
    <row r="500" spans="1:8" x14ac:dyDescent="0.3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0</v>
      </c>
      <c r="H500">
        <v>2.44140625E-4</v>
      </c>
    </row>
    <row r="501" spans="1:8" x14ac:dyDescent="0.3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0</v>
      </c>
      <c r="H501">
        <v>2.44140625E-4</v>
      </c>
    </row>
    <row r="502" spans="1:8" x14ac:dyDescent="0.3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0</v>
      </c>
      <c r="H502">
        <v>2.44140625E-4</v>
      </c>
    </row>
    <row r="503" spans="1:8" x14ac:dyDescent="0.3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0</v>
      </c>
      <c r="H503">
        <v>2.44140625E-4</v>
      </c>
    </row>
    <row r="504" spans="1:8" x14ac:dyDescent="0.3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0</v>
      </c>
      <c r="H504">
        <v>2.44140625E-4</v>
      </c>
    </row>
    <row r="505" spans="1:8" x14ac:dyDescent="0.3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0</v>
      </c>
      <c r="H505">
        <v>2.44140625E-4</v>
      </c>
    </row>
    <row r="506" spans="1:8" x14ac:dyDescent="0.3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0</v>
      </c>
      <c r="H506">
        <v>2.44140625E-4</v>
      </c>
    </row>
    <row r="507" spans="1:8" x14ac:dyDescent="0.3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0</v>
      </c>
      <c r="H507">
        <v>2.44140625E-4</v>
      </c>
    </row>
    <row r="508" spans="1:8" x14ac:dyDescent="0.3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0</v>
      </c>
      <c r="H508">
        <v>2.44140625E-4</v>
      </c>
    </row>
    <row r="509" spans="1:8" x14ac:dyDescent="0.3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0</v>
      </c>
      <c r="H509">
        <v>2.44140625E-4</v>
      </c>
    </row>
    <row r="510" spans="1:8" x14ac:dyDescent="0.3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0</v>
      </c>
      <c r="H510">
        <v>2.44140625E-4</v>
      </c>
    </row>
    <row r="511" spans="1:8" x14ac:dyDescent="0.3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0</v>
      </c>
      <c r="H511">
        <v>2.44140625E-4</v>
      </c>
    </row>
    <row r="512" spans="1:8" x14ac:dyDescent="0.3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0</v>
      </c>
      <c r="H512">
        <v>2.44140625E-4</v>
      </c>
    </row>
    <row r="513" spans="1:8" x14ac:dyDescent="0.3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0</v>
      </c>
      <c r="H513">
        <v>2.44140625E-4</v>
      </c>
    </row>
    <row r="514" spans="1:8" x14ac:dyDescent="0.3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0</v>
      </c>
      <c r="H514">
        <v>2.44140625E-4</v>
      </c>
    </row>
    <row r="515" spans="1:8" x14ac:dyDescent="0.3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0</v>
      </c>
      <c r="H515">
        <v>2.44140625E-4</v>
      </c>
    </row>
    <row r="516" spans="1:8" x14ac:dyDescent="0.3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0</v>
      </c>
      <c r="H516">
        <v>2.44140625E-4</v>
      </c>
    </row>
    <row r="517" spans="1:8" x14ac:dyDescent="0.3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0</v>
      </c>
      <c r="H517">
        <v>2.44140625E-4</v>
      </c>
    </row>
    <row r="518" spans="1:8" x14ac:dyDescent="0.3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0</v>
      </c>
      <c r="H518">
        <v>2.44140625E-4</v>
      </c>
    </row>
    <row r="519" spans="1:8" x14ac:dyDescent="0.3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0</v>
      </c>
      <c r="H519">
        <v>2.44140625E-4</v>
      </c>
    </row>
    <row r="520" spans="1:8" x14ac:dyDescent="0.3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0</v>
      </c>
      <c r="H520">
        <v>2.44140625E-4</v>
      </c>
    </row>
    <row r="521" spans="1:8" x14ac:dyDescent="0.3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0</v>
      </c>
      <c r="H521">
        <v>2.44140625E-4</v>
      </c>
    </row>
    <row r="522" spans="1:8" x14ac:dyDescent="0.3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0</v>
      </c>
      <c r="H522">
        <v>2.44140625E-4</v>
      </c>
    </row>
    <row r="523" spans="1:8" x14ac:dyDescent="0.3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0</v>
      </c>
      <c r="H523">
        <v>2.44140625E-4</v>
      </c>
    </row>
    <row r="524" spans="1:8" x14ac:dyDescent="0.3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0</v>
      </c>
      <c r="H524">
        <v>2.44140625E-4</v>
      </c>
    </row>
    <row r="525" spans="1:8" x14ac:dyDescent="0.3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0</v>
      </c>
      <c r="H525">
        <v>2.44140625E-4</v>
      </c>
    </row>
    <row r="526" spans="1:8" x14ac:dyDescent="0.3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0</v>
      </c>
      <c r="H526">
        <v>2.44140625E-4</v>
      </c>
    </row>
    <row r="527" spans="1:8" x14ac:dyDescent="0.3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0</v>
      </c>
      <c r="H527">
        <v>2.44140625E-4</v>
      </c>
    </row>
    <row r="528" spans="1:8" x14ac:dyDescent="0.3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0</v>
      </c>
      <c r="H528">
        <v>2.44140625E-4</v>
      </c>
    </row>
    <row r="529" spans="1:8" x14ac:dyDescent="0.3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0</v>
      </c>
      <c r="H529">
        <v>2.44140625E-4</v>
      </c>
    </row>
    <row r="530" spans="1:8" x14ac:dyDescent="0.3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0</v>
      </c>
      <c r="H530">
        <v>2.44140625E-4</v>
      </c>
    </row>
    <row r="531" spans="1:8" x14ac:dyDescent="0.3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0</v>
      </c>
      <c r="H531">
        <v>2.44140625E-4</v>
      </c>
    </row>
    <row r="532" spans="1:8" x14ac:dyDescent="0.3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0</v>
      </c>
      <c r="H532">
        <v>2.44140625E-4</v>
      </c>
    </row>
    <row r="533" spans="1:8" x14ac:dyDescent="0.3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0</v>
      </c>
      <c r="H533">
        <v>2.44140625E-4</v>
      </c>
    </row>
    <row r="534" spans="1:8" x14ac:dyDescent="0.3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0</v>
      </c>
      <c r="H534">
        <v>2.44140625E-4</v>
      </c>
    </row>
    <row r="535" spans="1:8" x14ac:dyDescent="0.3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0</v>
      </c>
      <c r="H535">
        <v>2.44140625E-4</v>
      </c>
    </row>
    <row r="536" spans="1:8" x14ac:dyDescent="0.3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0</v>
      </c>
      <c r="H536">
        <v>2.44140625E-4</v>
      </c>
    </row>
    <row r="537" spans="1:8" x14ac:dyDescent="0.3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0</v>
      </c>
      <c r="H537">
        <v>2.44140625E-4</v>
      </c>
    </row>
    <row r="538" spans="1:8" x14ac:dyDescent="0.3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0</v>
      </c>
      <c r="H538">
        <v>2.44140625E-4</v>
      </c>
    </row>
    <row r="539" spans="1:8" x14ac:dyDescent="0.3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0</v>
      </c>
      <c r="H539">
        <v>2.44140625E-4</v>
      </c>
    </row>
    <row r="540" spans="1:8" x14ac:dyDescent="0.3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0</v>
      </c>
      <c r="H540">
        <v>2.44140625E-4</v>
      </c>
    </row>
    <row r="541" spans="1:8" x14ac:dyDescent="0.3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0</v>
      </c>
      <c r="H541">
        <v>2.44140625E-4</v>
      </c>
    </row>
    <row r="542" spans="1:8" x14ac:dyDescent="0.3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0</v>
      </c>
      <c r="H542">
        <v>2.44140625E-4</v>
      </c>
    </row>
    <row r="543" spans="1:8" x14ac:dyDescent="0.3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0</v>
      </c>
      <c r="H543">
        <v>2.44140625E-4</v>
      </c>
    </row>
    <row r="544" spans="1:8" x14ac:dyDescent="0.3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0</v>
      </c>
      <c r="H544">
        <v>2.44140625E-4</v>
      </c>
    </row>
    <row r="545" spans="1:8" x14ac:dyDescent="0.3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0</v>
      </c>
      <c r="H545">
        <v>2.44140625E-4</v>
      </c>
    </row>
    <row r="546" spans="1:8" x14ac:dyDescent="0.3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0</v>
      </c>
      <c r="H546">
        <v>2.44140625E-4</v>
      </c>
    </row>
    <row r="547" spans="1:8" x14ac:dyDescent="0.3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0</v>
      </c>
      <c r="H547">
        <v>2.44140625E-4</v>
      </c>
    </row>
    <row r="548" spans="1:8" x14ac:dyDescent="0.3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0</v>
      </c>
      <c r="H548">
        <v>2.44140625E-4</v>
      </c>
    </row>
    <row r="549" spans="1:8" x14ac:dyDescent="0.3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0</v>
      </c>
      <c r="H549">
        <v>2.44140625E-4</v>
      </c>
    </row>
    <row r="550" spans="1:8" x14ac:dyDescent="0.3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0</v>
      </c>
      <c r="H550">
        <v>2.44140625E-4</v>
      </c>
    </row>
    <row r="551" spans="1:8" x14ac:dyDescent="0.3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0</v>
      </c>
      <c r="H551">
        <v>2.44140625E-4</v>
      </c>
    </row>
    <row r="552" spans="1:8" x14ac:dyDescent="0.3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0</v>
      </c>
      <c r="H552">
        <v>2.44140625E-4</v>
      </c>
    </row>
    <row r="553" spans="1:8" x14ac:dyDescent="0.3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0</v>
      </c>
      <c r="H553">
        <v>2.44140625E-4</v>
      </c>
    </row>
    <row r="554" spans="1:8" x14ac:dyDescent="0.3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0</v>
      </c>
      <c r="H554">
        <v>2.44140625E-4</v>
      </c>
    </row>
    <row r="555" spans="1:8" x14ac:dyDescent="0.3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0</v>
      </c>
      <c r="H555">
        <v>2.44140625E-4</v>
      </c>
    </row>
    <row r="556" spans="1:8" x14ac:dyDescent="0.3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0</v>
      </c>
      <c r="H556">
        <v>2.44140625E-4</v>
      </c>
    </row>
    <row r="557" spans="1:8" x14ac:dyDescent="0.3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0</v>
      </c>
      <c r="H557">
        <v>2.44140625E-4</v>
      </c>
    </row>
    <row r="558" spans="1:8" x14ac:dyDescent="0.3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0</v>
      </c>
      <c r="H558">
        <v>2.44140625E-4</v>
      </c>
    </row>
    <row r="559" spans="1:8" x14ac:dyDescent="0.3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0</v>
      </c>
      <c r="H559">
        <v>2.44140625E-4</v>
      </c>
    </row>
    <row r="560" spans="1:8" x14ac:dyDescent="0.3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0</v>
      </c>
      <c r="H560">
        <v>2.44140625E-4</v>
      </c>
    </row>
    <row r="561" spans="1:8" x14ac:dyDescent="0.3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0</v>
      </c>
      <c r="H561">
        <v>2.44140625E-4</v>
      </c>
    </row>
    <row r="562" spans="1:8" x14ac:dyDescent="0.3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0</v>
      </c>
      <c r="H562">
        <v>2.44140625E-4</v>
      </c>
    </row>
    <row r="563" spans="1:8" x14ac:dyDescent="0.3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0</v>
      </c>
      <c r="H563">
        <v>2.44140625E-4</v>
      </c>
    </row>
    <row r="564" spans="1:8" x14ac:dyDescent="0.3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0</v>
      </c>
      <c r="H564">
        <v>2.44140625E-4</v>
      </c>
    </row>
    <row r="565" spans="1:8" x14ac:dyDescent="0.3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0</v>
      </c>
      <c r="H565">
        <v>2.44140625E-4</v>
      </c>
    </row>
    <row r="566" spans="1:8" x14ac:dyDescent="0.3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0</v>
      </c>
      <c r="H566">
        <v>2.44140625E-4</v>
      </c>
    </row>
    <row r="567" spans="1:8" x14ac:dyDescent="0.3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0</v>
      </c>
      <c r="H567">
        <v>2.44140625E-4</v>
      </c>
    </row>
    <row r="568" spans="1:8" x14ac:dyDescent="0.3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0</v>
      </c>
      <c r="H568">
        <v>2.44140625E-4</v>
      </c>
    </row>
    <row r="569" spans="1:8" x14ac:dyDescent="0.3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0</v>
      </c>
      <c r="H569">
        <v>2.44140625E-4</v>
      </c>
    </row>
    <row r="570" spans="1:8" x14ac:dyDescent="0.3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0</v>
      </c>
      <c r="H570">
        <v>2.44140625E-4</v>
      </c>
    </row>
    <row r="571" spans="1:8" x14ac:dyDescent="0.3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0</v>
      </c>
      <c r="H571">
        <v>2.44140625E-4</v>
      </c>
    </row>
    <row r="572" spans="1:8" x14ac:dyDescent="0.3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0</v>
      </c>
      <c r="H572">
        <v>2.44140625E-4</v>
      </c>
    </row>
    <row r="573" spans="1:8" x14ac:dyDescent="0.3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0</v>
      </c>
      <c r="H573">
        <v>2.44140625E-4</v>
      </c>
    </row>
    <row r="574" spans="1:8" x14ac:dyDescent="0.3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0</v>
      </c>
      <c r="H574">
        <v>2.44140625E-4</v>
      </c>
    </row>
    <row r="575" spans="1:8" x14ac:dyDescent="0.3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0</v>
      </c>
      <c r="H575">
        <v>2.44140625E-4</v>
      </c>
    </row>
    <row r="576" spans="1:8" x14ac:dyDescent="0.3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0</v>
      </c>
      <c r="H576">
        <v>2.44140625E-4</v>
      </c>
    </row>
    <row r="577" spans="1:8" x14ac:dyDescent="0.3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0</v>
      </c>
      <c r="H577">
        <v>2.44140625E-4</v>
      </c>
    </row>
    <row r="578" spans="1:8" x14ac:dyDescent="0.3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0</v>
      </c>
      <c r="H578">
        <v>2.44140625E-4</v>
      </c>
    </row>
    <row r="579" spans="1:8" x14ac:dyDescent="0.3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0</v>
      </c>
      <c r="H579">
        <v>2.44140625E-4</v>
      </c>
    </row>
    <row r="580" spans="1:8" x14ac:dyDescent="0.3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0</v>
      </c>
      <c r="H580">
        <v>2.44140625E-4</v>
      </c>
    </row>
    <row r="581" spans="1:8" x14ac:dyDescent="0.3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0</v>
      </c>
      <c r="H581">
        <v>2.44140625E-4</v>
      </c>
    </row>
    <row r="582" spans="1:8" x14ac:dyDescent="0.3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0</v>
      </c>
      <c r="H582">
        <v>2.44140625E-4</v>
      </c>
    </row>
    <row r="583" spans="1:8" x14ac:dyDescent="0.3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0</v>
      </c>
      <c r="H583">
        <v>2.44140625E-4</v>
      </c>
    </row>
    <row r="584" spans="1:8" x14ac:dyDescent="0.3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0</v>
      </c>
      <c r="H584">
        <v>2.44140625E-4</v>
      </c>
    </row>
    <row r="585" spans="1:8" x14ac:dyDescent="0.3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0</v>
      </c>
      <c r="H585">
        <v>2.44140625E-4</v>
      </c>
    </row>
    <row r="586" spans="1:8" x14ac:dyDescent="0.3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0</v>
      </c>
      <c r="H586">
        <v>2.44140625E-4</v>
      </c>
    </row>
    <row r="587" spans="1:8" x14ac:dyDescent="0.3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0</v>
      </c>
      <c r="H587">
        <v>2.44140625E-4</v>
      </c>
    </row>
    <row r="588" spans="1:8" x14ac:dyDescent="0.3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0</v>
      </c>
      <c r="H588">
        <v>2.44140625E-4</v>
      </c>
    </row>
    <row r="589" spans="1:8" x14ac:dyDescent="0.3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0</v>
      </c>
      <c r="H589">
        <v>2.44140625E-4</v>
      </c>
    </row>
    <row r="590" spans="1:8" x14ac:dyDescent="0.3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0</v>
      </c>
      <c r="H590">
        <v>2.44140625E-4</v>
      </c>
    </row>
    <row r="591" spans="1:8" x14ac:dyDescent="0.3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0</v>
      </c>
      <c r="H591">
        <v>2.44140625E-4</v>
      </c>
    </row>
    <row r="592" spans="1:8" x14ac:dyDescent="0.3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0</v>
      </c>
      <c r="H592">
        <v>2.44140625E-4</v>
      </c>
    </row>
    <row r="593" spans="1:8" x14ac:dyDescent="0.3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0</v>
      </c>
      <c r="H593">
        <v>2.44140625E-4</v>
      </c>
    </row>
    <row r="594" spans="1:8" x14ac:dyDescent="0.3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0</v>
      </c>
      <c r="H594">
        <v>2.44140625E-4</v>
      </c>
    </row>
    <row r="595" spans="1:8" x14ac:dyDescent="0.3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0</v>
      </c>
      <c r="H595">
        <v>2.44140625E-4</v>
      </c>
    </row>
    <row r="596" spans="1:8" x14ac:dyDescent="0.3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0</v>
      </c>
      <c r="H596">
        <v>2.44140625E-4</v>
      </c>
    </row>
    <row r="597" spans="1:8" x14ac:dyDescent="0.3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0</v>
      </c>
      <c r="H597">
        <v>2.44140625E-4</v>
      </c>
    </row>
    <row r="598" spans="1:8" x14ac:dyDescent="0.3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0</v>
      </c>
      <c r="H598">
        <v>2.44140625E-4</v>
      </c>
    </row>
    <row r="599" spans="1:8" x14ac:dyDescent="0.3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0</v>
      </c>
      <c r="H599">
        <v>2.44140625E-4</v>
      </c>
    </row>
    <row r="600" spans="1:8" x14ac:dyDescent="0.3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0</v>
      </c>
      <c r="H600">
        <v>2.44140625E-4</v>
      </c>
    </row>
    <row r="601" spans="1:8" x14ac:dyDescent="0.3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0</v>
      </c>
      <c r="H601">
        <v>2.44140625E-4</v>
      </c>
    </row>
    <row r="602" spans="1:8" x14ac:dyDescent="0.3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0</v>
      </c>
      <c r="H602">
        <v>2.44140625E-4</v>
      </c>
    </row>
    <row r="603" spans="1:8" x14ac:dyDescent="0.3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0</v>
      </c>
      <c r="H603">
        <v>2.44140625E-4</v>
      </c>
    </row>
    <row r="604" spans="1:8" x14ac:dyDescent="0.3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0</v>
      </c>
      <c r="H604">
        <v>2.44140625E-4</v>
      </c>
    </row>
    <row r="605" spans="1:8" x14ac:dyDescent="0.3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0</v>
      </c>
      <c r="H605">
        <v>2.44140625E-4</v>
      </c>
    </row>
    <row r="606" spans="1:8" x14ac:dyDescent="0.3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0</v>
      </c>
      <c r="H606">
        <v>2.44140625E-4</v>
      </c>
    </row>
    <row r="607" spans="1:8" x14ac:dyDescent="0.3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0</v>
      </c>
      <c r="H607">
        <v>2.44140625E-4</v>
      </c>
    </row>
    <row r="608" spans="1:8" x14ac:dyDescent="0.3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0</v>
      </c>
      <c r="H608">
        <v>2.44140625E-4</v>
      </c>
    </row>
    <row r="609" spans="1:8" x14ac:dyDescent="0.3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0</v>
      </c>
      <c r="H609">
        <v>2.44140625E-4</v>
      </c>
    </row>
    <row r="610" spans="1:8" x14ac:dyDescent="0.3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0</v>
      </c>
      <c r="H610">
        <v>2.44140625E-4</v>
      </c>
    </row>
    <row r="611" spans="1:8" x14ac:dyDescent="0.3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0</v>
      </c>
      <c r="H611">
        <v>2.44140625E-4</v>
      </c>
    </row>
    <row r="612" spans="1:8" x14ac:dyDescent="0.3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0</v>
      </c>
      <c r="H612">
        <v>2.44140625E-4</v>
      </c>
    </row>
    <row r="613" spans="1:8" x14ac:dyDescent="0.3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0</v>
      </c>
      <c r="H613">
        <v>2.44140625E-4</v>
      </c>
    </row>
    <row r="614" spans="1:8" x14ac:dyDescent="0.3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0</v>
      </c>
      <c r="H614">
        <v>2.44140625E-4</v>
      </c>
    </row>
    <row r="615" spans="1:8" x14ac:dyDescent="0.3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0</v>
      </c>
      <c r="H615">
        <v>2.44140625E-4</v>
      </c>
    </row>
    <row r="616" spans="1:8" x14ac:dyDescent="0.3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0</v>
      </c>
      <c r="H616">
        <v>2.44140625E-4</v>
      </c>
    </row>
    <row r="617" spans="1:8" x14ac:dyDescent="0.3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0</v>
      </c>
      <c r="H617">
        <v>2.44140625E-4</v>
      </c>
    </row>
    <row r="618" spans="1:8" x14ac:dyDescent="0.3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0</v>
      </c>
      <c r="H618">
        <v>2.44140625E-4</v>
      </c>
    </row>
    <row r="619" spans="1:8" x14ac:dyDescent="0.3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0</v>
      </c>
      <c r="H619">
        <v>2.44140625E-4</v>
      </c>
    </row>
    <row r="620" spans="1:8" x14ac:dyDescent="0.3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0</v>
      </c>
      <c r="H620">
        <v>2.44140625E-4</v>
      </c>
    </row>
    <row r="621" spans="1:8" x14ac:dyDescent="0.3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0</v>
      </c>
      <c r="H621">
        <v>2.44140625E-4</v>
      </c>
    </row>
    <row r="622" spans="1:8" x14ac:dyDescent="0.3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0</v>
      </c>
      <c r="H622">
        <v>2.44140625E-4</v>
      </c>
    </row>
    <row r="623" spans="1:8" x14ac:dyDescent="0.3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0</v>
      </c>
      <c r="H623">
        <v>2.44140625E-4</v>
      </c>
    </row>
    <row r="624" spans="1:8" x14ac:dyDescent="0.3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0</v>
      </c>
      <c r="H624">
        <v>2.44140625E-4</v>
      </c>
    </row>
    <row r="625" spans="1:8" x14ac:dyDescent="0.3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0</v>
      </c>
      <c r="H625">
        <v>2.44140625E-4</v>
      </c>
    </row>
    <row r="626" spans="1:8" x14ac:dyDescent="0.3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0</v>
      </c>
      <c r="H626">
        <v>2.44140625E-4</v>
      </c>
    </row>
    <row r="627" spans="1:8" x14ac:dyDescent="0.3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0</v>
      </c>
      <c r="H627">
        <v>2.44140625E-4</v>
      </c>
    </row>
    <row r="628" spans="1:8" x14ac:dyDescent="0.3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0</v>
      </c>
      <c r="H628">
        <v>2.44140625E-4</v>
      </c>
    </row>
    <row r="629" spans="1:8" x14ac:dyDescent="0.3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0</v>
      </c>
      <c r="H629">
        <v>2.44140625E-4</v>
      </c>
    </row>
    <row r="630" spans="1:8" x14ac:dyDescent="0.3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0</v>
      </c>
      <c r="H630">
        <v>2.44140625E-4</v>
      </c>
    </row>
    <row r="631" spans="1:8" x14ac:dyDescent="0.3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0</v>
      </c>
      <c r="H631">
        <v>2.44140625E-4</v>
      </c>
    </row>
    <row r="632" spans="1:8" x14ac:dyDescent="0.3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0</v>
      </c>
      <c r="H632">
        <v>2.44140625E-4</v>
      </c>
    </row>
    <row r="633" spans="1:8" x14ac:dyDescent="0.3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0</v>
      </c>
      <c r="H633">
        <v>2.44140625E-4</v>
      </c>
    </row>
    <row r="634" spans="1:8" x14ac:dyDescent="0.3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0</v>
      </c>
      <c r="H634">
        <v>2.44140625E-4</v>
      </c>
    </row>
    <row r="635" spans="1:8" x14ac:dyDescent="0.3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0</v>
      </c>
      <c r="H635">
        <v>2.44140625E-4</v>
      </c>
    </row>
    <row r="636" spans="1:8" x14ac:dyDescent="0.3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0</v>
      </c>
      <c r="H636">
        <v>2.44140625E-4</v>
      </c>
    </row>
    <row r="637" spans="1:8" x14ac:dyDescent="0.3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0</v>
      </c>
      <c r="H637">
        <v>2.44140625E-4</v>
      </c>
    </row>
    <row r="638" spans="1:8" x14ac:dyDescent="0.3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0</v>
      </c>
      <c r="H638">
        <v>2.44140625E-4</v>
      </c>
    </row>
    <row r="639" spans="1:8" x14ac:dyDescent="0.3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0</v>
      </c>
      <c r="H639">
        <v>2.44140625E-4</v>
      </c>
    </row>
    <row r="640" spans="1:8" x14ac:dyDescent="0.3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0</v>
      </c>
      <c r="H640">
        <v>2.44140625E-4</v>
      </c>
    </row>
    <row r="641" spans="1:8" x14ac:dyDescent="0.3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0</v>
      </c>
      <c r="H641">
        <v>2.44140625E-4</v>
      </c>
    </row>
    <row r="642" spans="1:8" x14ac:dyDescent="0.3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0</v>
      </c>
      <c r="H642">
        <v>2.44140625E-4</v>
      </c>
    </row>
    <row r="643" spans="1:8" x14ac:dyDescent="0.3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0</v>
      </c>
      <c r="H643">
        <v>2.44140625E-4</v>
      </c>
    </row>
    <row r="644" spans="1:8" x14ac:dyDescent="0.3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0</v>
      </c>
      <c r="H644">
        <v>2.44140625E-4</v>
      </c>
    </row>
    <row r="645" spans="1:8" x14ac:dyDescent="0.3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0</v>
      </c>
      <c r="H645">
        <v>2.44140625E-4</v>
      </c>
    </row>
    <row r="646" spans="1:8" x14ac:dyDescent="0.3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0</v>
      </c>
      <c r="H646">
        <v>2.44140625E-4</v>
      </c>
    </row>
    <row r="647" spans="1:8" x14ac:dyDescent="0.3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0</v>
      </c>
      <c r="H647">
        <v>2.44140625E-4</v>
      </c>
    </row>
    <row r="648" spans="1:8" x14ac:dyDescent="0.3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0</v>
      </c>
      <c r="H648">
        <v>2.44140625E-4</v>
      </c>
    </row>
    <row r="649" spans="1:8" x14ac:dyDescent="0.3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0</v>
      </c>
      <c r="H649">
        <v>2.44140625E-4</v>
      </c>
    </row>
    <row r="650" spans="1:8" x14ac:dyDescent="0.3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0</v>
      </c>
      <c r="H650">
        <v>2.44140625E-4</v>
      </c>
    </row>
    <row r="651" spans="1:8" x14ac:dyDescent="0.3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0</v>
      </c>
      <c r="H651">
        <v>2.44140625E-4</v>
      </c>
    </row>
    <row r="652" spans="1:8" x14ac:dyDescent="0.3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0</v>
      </c>
      <c r="H652">
        <v>2.44140625E-4</v>
      </c>
    </row>
    <row r="653" spans="1:8" x14ac:dyDescent="0.3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0</v>
      </c>
      <c r="H653">
        <v>2.44140625E-4</v>
      </c>
    </row>
    <row r="654" spans="1:8" x14ac:dyDescent="0.3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0</v>
      </c>
      <c r="H654">
        <v>2.44140625E-4</v>
      </c>
    </row>
    <row r="655" spans="1:8" x14ac:dyDescent="0.3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0</v>
      </c>
      <c r="H655">
        <v>2.44140625E-4</v>
      </c>
    </row>
    <row r="656" spans="1:8" x14ac:dyDescent="0.3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0</v>
      </c>
      <c r="H656">
        <v>2.44140625E-4</v>
      </c>
    </row>
    <row r="657" spans="1:8" x14ac:dyDescent="0.3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0</v>
      </c>
      <c r="H657">
        <v>2.44140625E-4</v>
      </c>
    </row>
    <row r="658" spans="1:8" x14ac:dyDescent="0.3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0</v>
      </c>
      <c r="H658">
        <v>2.44140625E-4</v>
      </c>
    </row>
    <row r="659" spans="1:8" x14ac:dyDescent="0.3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0</v>
      </c>
      <c r="H659">
        <v>2.44140625E-4</v>
      </c>
    </row>
    <row r="660" spans="1:8" x14ac:dyDescent="0.3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0</v>
      </c>
      <c r="H660">
        <v>2.44140625E-4</v>
      </c>
    </row>
    <row r="661" spans="1:8" x14ac:dyDescent="0.3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0</v>
      </c>
      <c r="H661">
        <v>2.44140625E-4</v>
      </c>
    </row>
    <row r="662" spans="1:8" x14ac:dyDescent="0.3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0</v>
      </c>
      <c r="H662">
        <v>2.44140625E-4</v>
      </c>
    </row>
    <row r="663" spans="1:8" x14ac:dyDescent="0.3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0</v>
      </c>
      <c r="H663">
        <v>2.44140625E-4</v>
      </c>
    </row>
    <row r="664" spans="1:8" x14ac:dyDescent="0.3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0</v>
      </c>
      <c r="H664">
        <v>2.44140625E-4</v>
      </c>
    </row>
    <row r="665" spans="1:8" x14ac:dyDescent="0.3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0</v>
      </c>
      <c r="H665">
        <v>2.44140625E-4</v>
      </c>
    </row>
    <row r="666" spans="1:8" x14ac:dyDescent="0.3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0</v>
      </c>
      <c r="H666">
        <v>2.44140625E-4</v>
      </c>
    </row>
    <row r="667" spans="1:8" x14ac:dyDescent="0.3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0</v>
      </c>
      <c r="H667">
        <v>2.44140625E-4</v>
      </c>
    </row>
    <row r="668" spans="1:8" x14ac:dyDescent="0.3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0</v>
      </c>
      <c r="H668">
        <v>2.44140625E-4</v>
      </c>
    </row>
    <row r="669" spans="1:8" x14ac:dyDescent="0.3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0</v>
      </c>
      <c r="H669">
        <v>2.44140625E-4</v>
      </c>
    </row>
    <row r="670" spans="1:8" x14ac:dyDescent="0.3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0</v>
      </c>
      <c r="H670">
        <v>2.44140625E-4</v>
      </c>
    </row>
    <row r="671" spans="1:8" x14ac:dyDescent="0.3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0</v>
      </c>
      <c r="H671">
        <v>2.44140625E-4</v>
      </c>
    </row>
    <row r="672" spans="1:8" x14ac:dyDescent="0.3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0</v>
      </c>
      <c r="H672">
        <v>2.44140625E-4</v>
      </c>
    </row>
    <row r="673" spans="1:8" x14ac:dyDescent="0.3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0</v>
      </c>
      <c r="H673">
        <v>2.44140625E-4</v>
      </c>
    </row>
    <row r="674" spans="1:8" x14ac:dyDescent="0.3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0</v>
      </c>
      <c r="H674">
        <v>2.44140625E-4</v>
      </c>
    </row>
    <row r="675" spans="1:8" x14ac:dyDescent="0.3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0</v>
      </c>
      <c r="H675">
        <v>2.44140625E-4</v>
      </c>
    </row>
    <row r="676" spans="1:8" x14ac:dyDescent="0.3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0</v>
      </c>
      <c r="H676">
        <v>2.44140625E-4</v>
      </c>
    </row>
    <row r="677" spans="1:8" x14ac:dyDescent="0.3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0</v>
      </c>
      <c r="H677">
        <v>2.44140625E-4</v>
      </c>
    </row>
    <row r="678" spans="1:8" x14ac:dyDescent="0.3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0</v>
      </c>
      <c r="H678">
        <v>2.44140625E-4</v>
      </c>
    </row>
    <row r="679" spans="1:8" x14ac:dyDescent="0.3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0</v>
      </c>
      <c r="H679">
        <v>2.44140625E-4</v>
      </c>
    </row>
    <row r="680" spans="1:8" x14ac:dyDescent="0.3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0</v>
      </c>
      <c r="H680">
        <v>2.44140625E-4</v>
      </c>
    </row>
    <row r="681" spans="1:8" x14ac:dyDescent="0.3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0</v>
      </c>
      <c r="H681">
        <v>2.44140625E-4</v>
      </c>
    </row>
    <row r="682" spans="1:8" x14ac:dyDescent="0.3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0</v>
      </c>
      <c r="H682">
        <v>2.44140625E-4</v>
      </c>
    </row>
    <row r="683" spans="1:8" x14ac:dyDescent="0.3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0</v>
      </c>
      <c r="H683">
        <v>2.44140625E-4</v>
      </c>
    </row>
    <row r="684" spans="1:8" x14ac:dyDescent="0.3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0</v>
      </c>
      <c r="H684">
        <v>2.44140625E-4</v>
      </c>
    </row>
    <row r="685" spans="1:8" x14ac:dyDescent="0.3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0</v>
      </c>
      <c r="H685">
        <v>2.44140625E-4</v>
      </c>
    </row>
    <row r="686" spans="1:8" x14ac:dyDescent="0.3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0</v>
      </c>
      <c r="H686">
        <v>2.44140625E-4</v>
      </c>
    </row>
    <row r="687" spans="1:8" x14ac:dyDescent="0.3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0</v>
      </c>
      <c r="H687">
        <v>2.44140625E-4</v>
      </c>
    </row>
    <row r="688" spans="1:8" x14ac:dyDescent="0.3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0</v>
      </c>
      <c r="H688">
        <v>2.44140625E-4</v>
      </c>
    </row>
    <row r="689" spans="1:8" x14ac:dyDescent="0.3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0</v>
      </c>
      <c r="H689">
        <v>2.44140625E-4</v>
      </c>
    </row>
    <row r="690" spans="1:8" x14ac:dyDescent="0.3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0</v>
      </c>
      <c r="H690">
        <v>2.44140625E-4</v>
      </c>
    </row>
    <row r="691" spans="1:8" x14ac:dyDescent="0.3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0</v>
      </c>
      <c r="H691">
        <v>2.44140625E-4</v>
      </c>
    </row>
    <row r="692" spans="1:8" x14ac:dyDescent="0.3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0</v>
      </c>
      <c r="H692">
        <v>2.44140625E-4</v>
      </c>
    </row>
    <row r="693" spans="1:8" x14ac:dyDescent="0.3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0</v>
      </c>
      <c r="H693">
        <v>2.44140625E-4</v>
      </c>
    </row>
    <row r="694" spans="1:8" x14ac:dyDescent="0.3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0</v>
      </c>
      <c r="H694">
        <v>2.44140625E-4</v>
      </c>
    </row>
    <row r="695" spans="1:8" x14ac:dyDescent="0.3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0</v>
      </c>
      <c r="H695">
        <v>2.44140625E-4</v>
      </c>
    </row>
    <row r="696" spans="1:8" x14ac:dyDescent="0.3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0</v>
      </c>
      <c r="H696">
        <v>2.44140625E-4</v>
      </c>
    </row>
    <row r="697" spans="1:8" x14ac:dyDescent="0.3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0</v>
      </c>
      <c r="H697">
        <v>2.44140625E-4</v>
      </c>
    </row>
    <row r="698" spans="1:8" x14ac:dyDescent="0.3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0</v>
      </c>
      <c r="H698">
        <v>2.44140625E-4</v>
      </c>
    </row>
    <row r="699" spans="1:8" x14ac:dyDescent="0.3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0</v>
      </c>
      <c r="H699">
        <v>2.44140625E-4</v>
      </c>
    </row>
    <row r="700" spans="1:8" x14ac:dyDescent="0.3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0</v>
      </c>
      <c r="H700">
        <v>2.44140625E-4</v>
      </c>
    </row>
    <row r="701" spans="1:8" x14ac:dyDescent="0.3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0</v>
      </c>
      <c r="H701">
        <v>2.44140625E-4</v>
      </c>
    </row>
    <row r="702" spans="1:8" x14ac:dyDescent="0.3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0</v>
      </c>
      <c r="H702">
        <v>2.44140625E-4</v>
      </c>
    </row>
    <row r="703" spans="1:8" x14ac:dyDescent="0.3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0</v>
      </c>
      <c r="H703">
        <v>2.44140625E-4</v>
      </c>
    </row>
    <row r="704" spans="1:8" x14ac:dyDescent="0.3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0</v>
      </c>
      <c r="H704">
        <v>2.44140625E-4</v>
      </c>
    </row>
    <row r="705" spans="1:8" x14ac:dyDescent="0.3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0</v>
      </c>
      <c r="H705">
        <v>2.44140625E-4</v>
      </c>
    </row>
    <row r="706" spans="1:8" x14ac:dyDescent="0.3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0</v>
      </c>
      <c r="H706">
        <v>2.44140625E-4</v>
      </c>
    </row>
    <row r="707" spans="1:8" x14ac:dyDescent="0.3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0</v>
      </c>
      <c r="H707">
        <v>2.44140625E-4</v>
      </c>
    </row>
    <row r="708" spans="1:8" x14ac:dyDescent="0.3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0</v>
      </c>
      <c r="H708">
        <v>2.44140625E-4</v>
      </c>
    </row>
    <row r="709" spans="1:8" x14ac:dyDescent="0.3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0</v>
      </c>
      <c r="H709">
        <v>2.44140625E-4</v>
      </c>
    </row>
    <row r="710" spans="1:8" x14ac:dyDescent="0.3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0</v>
      </c>
      <c r="H710">
        <v>2.44140625E-4</v>
      </c>
    </row>
    <row r="711" spans="1:8" x14ac:dyDescent="0.3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0</v>
      </c>
      <c r="H711">
        <v>2.44140625E-4</v>
      </c>
    </row>
    <row r="712" spans="1:8" x14ac:dyDescent="0.3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0</v>
      </c>
      <c r="H712">
        <v>2.44140625E-4</v>
      </c>
    </row>
    <row r="713" spans="1:8" x14ac:dyDescent="0.3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0</v>
      </c>
      <c r="H713">
        <v>2.44140625E-4</v>
      </c>
    </row>
    <row r="714" spans="1:8" x14ac:dyDescent="0.3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0</v>
      </c>
      <c r="H714">
        <v>2.44140625E-4</v>
      </c>
    </row>
    <row r="715" spans="1:8" x14ac:dyDescent="0.3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0</v>
      </c>
      <c r="H715">
        <v>2.44140625E-4</v>
      </c>
    </row>
    <row r="716" spans="1:8" x14ac:dyDescent="0.3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0</v>
      </c>
      <c r="H716">
        <v>2.44140625E-4</v>
      </c>
    </row>
    <row r="717" spans="1:8" x14ac:dyDescent="0.3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0</v>
      </c>
      <c r="H717">
        <v>2.44140625E-4</v>
      </c>
    </row>
    <row r="718" spans="1:8" x14ac:dyDescent="0.3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0</v>
      </c>
      <c r="H718">
        <v>2.44140625E-4</v>
      </c>
    </row>
    <row r="719" spans="1:8" x14ac:dyDescent="0.3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0</v>
      </c>
      <c r="H719">
        <v>2.44140625E-4</v>
      </c>
    </row>
    <row r="720" spans="1:8" x14ac:dyDescent="0.3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0</v>
      </c>
      <c r="H720">
        <v>2.44140625E-4</v>
      </c>
    </row>
    <row r="721" spans="1:8" x14ac:dyDescent="0.3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0</v>
      </c>
      <c r="H721">
        <v>2.44140625E-4</v>
      </c>
    </row>
    <row r="722" spans="1:8" x14ac:dyDescent="0.3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0</v>
      </c>
      <c r="H722">
        <v>2.44140625E-4</v>
      </c>
    </row>
    <row r="723" spans="1:8" x14ac:dyDescent="0.3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0</v>
      </c>
      <c r="H723">
        <v>2.44140625E-4</v>
      </c>
    </row>
    <row r="724" spans="1:8" x14ac:dyDescent="0.3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0</v>
      </c>
      <c r="H724">
        <v>2.44140625E-4</v>
      </c>
    </row>
    <row r="725" spans="1:8" x14ac:dyDescent="0.3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0</v>
      </c>
      <c r="H725">
        <v>2.44140625E-4</v>
      </c>
    </row>
    <row r="726" spans="1:8" x14ac:dyDescent="0.3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0</v>
      </c>
      <c r="H726">
        <v>2.44140625E-4</v>
      </c>
    </row>
    <row r="727" spans="1:8" x14ac:dyDescent="0.3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0</v>
      </c>
      <c r="H727">
        <v>2.44140625E-4</v>
      </c>
    </row>
    <row r="728" spans="1:8" x14ac:dyDescent="0.3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0</v>
      </c>
      <c r="H728">
        <v>2.44140625E-4</v>
      </c>
    </row>
    <row r="729" spans="1:8" x14ac:dyDescent="0.3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0</v>
      </c>
      <c r="H729">
        <v>2.44140625E-4</v>
      </c>
    </row>
    <row r="730" spans="1:8" x14ac:dyDescent="0.3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0</v>
      </c>
      <c r="H730">
        <v>2.44140625E-4</v>
      </c>
    </row>
  </sheetData>
  <mergeCells count="4">
    <mergeCell ref="E26:F26"/>
    <mergeCell ref="E38:F38"/>
    <mergeCell ref="A1:I1"/>
    <mergeCell ref="E14:F1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730"/>
  <sheetViews>
    <sheetView topLeftCell="A2" workbookViewId="0">
      <selection activeCell="D36" sqref="D36"/>
    </sheetView>
  </sheetViews>
  <sheetFormatPr defaultRowHeight="12.75" x14ac:dyDescent="0.35"/>
  <sheetData>
    <row r="2" spans="1:8" x14ac:dyDescent="0.3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2.44140625E-4</v>
      </c>
    </row>
    <row r="3" spans="1:8" x14ac:dyDescent="0.3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0</v>
      </c>
      <c r="H3">
        <v>2.44140625E-4</v>
      </c>
    </row>
    <row r="4" spans="1:8" x14ac:dyDescent="0.35">
      <c r="A4">
        <v>1</v>
      </c>
      <c r="B4">
        <v>1</v>
      </c>
      <c r="C4">
        <v>1</v>
      </c>
      <c r="D4" s="94">
        <v>1</v>
      </c>
      <c r="E4">
        <v>1</v>
      </c>
      <c r="F4">
        <v>3</v>
      </c>
      <c r="G4">
        <v>0</v>
      </c>
      <c r="H4">
        <v>2.44140625E-4</v>
      </c>
    </row>
    <row r="5" spans="1:8" x14ac:dyDescent="0.35">
      <c r="A5">
        <v>1</v>
      </c>
      <c r="B5">
        <v>1</v>
      </c>
      <c r="C5">
        <v>1</v>
      </c>
      <c r="D5" s="94">
        <v>1</v>
      </c>
      <c r="E5">
        <v>2</v>
      </c>
      <c r="F5">
        <v>1</v>
      </c>
      <c r="G5">
        <v>0</v>
      </c>
      <c r="H5">
        <v>2.44140625E-4</v>
      </c>
    </row>
    <row r="6" spans="1:8" x14ac:dyDescent="0.3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0</v>
      </c>
      <c r="H6">
        <v>2.44140625E-4</v>
      </c>
    </row>
    <row r="7" spans="1:8" x14ac:dyDescent="0.3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0</v>
      </c>
      <c r="H7">
        <v>2.44140625E-4</v>
      </c>
    </row>
    <row r="8" spans="1:8" x14ac:dyDescent="0.3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0</v>
      </c>
      <c r="H8">
        <v>2.44140625E-4</v>
      </c>
    </row>
    <row r="9" spans="1:8" x14ac:dyDescent="0.3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0</v>
      </c>
      <c r="H9">
        <v>2.44140625E-4</v>
      </c>
    </row>
    <row r="10" spans="1:8" x14ac:dyDescent="0.3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0</v>
      </c>
      <c r="H10">
        <v>2.44140625E-4</v>
      </c>
    </row>
    <row r="11" spans="1:8" x14ac:dyDescent="0.3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0</v>
      </c>
      <c r="H11">
        <v>2.44140625E-4</v>
      </c>
    </row>
    <row r="12" spans="1:8" x14ac:dyDescent="0.3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0</v>
      </c>
      <c r="H12">
        <v>2.44140625E-4</v>
      </c>
    </row>
    <row r="13" spans="1:8" x14ac:dyDescent="0.3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0</v>
      </c>
      <c r="H13">
        <v>2.44140625E-4</v>
      </c>
    </row>
    <row r="14" spans="1:8" x14ac:dyDescent="0.3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0</v>
      </c>
      <c r="H14">
        <v>2.44140625E-4</v>
      </c>
    </row>
    <row r="15" spans="1:8" x14ac:dyDescent="0.35">
      <c r="A15">
        <v>1</v>
      </c>
      <c r="B15">
        <v>1</v>
      </c>
      <c r="C15">
        <v>1</v>
      </c>
      <c r="D15" s="94">
        <v>2</v>
      </c>
      <c r="E15">
        <v>2</v>
      </c>
      <c r="F15">
        <v>2</v>
      </c>
      <c r="G15">
        <v>0</v>
      </c>
      <c r="H15">
        <v>2.44140625E-4</v>
      </c>
    </row>
    <row r="16" spans="1:8" x14ac:dyDescent="0.35">
      <c r="A16">
        <v>1</v>
      </c>
      <c r="B16">
        <v>1</v>
      </c>
      <c r="C16">
        <v>1</v>
      </c>
      <c r="D16" s="94">
        <v>2</v>
      </c>
      <c r="E16">
        <v>2</v>
      </c>
      <c r="F16">
        <v>3</v>
      </c>
      <c r="G16">
        <v>0</v>
      </c>
      <c r="H16">
        <v>2.44140625E-4</v>
      </c>
    </row>
    <row r="17" spans="1:8" x14ac:dyDescent="0.3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0</v>
      </c>
      <c r="H17">
        <v>2.44140625E-4</v>
      </c>
    </row>
    <row r="18" spans="1:8" x14ac:dyDescent="0.3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0</v>
      </c>
      <c r="H18">
        <v>2.44140625E-4</v>
      </c>
    </row>
    <row r="19" spans="1:8" x14ac:dyDescent="0.3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0</v>
      </c>
      <c r="H19">
        <v>2.44140625E-4</v>
      </c>
    </row>
    <row r="20" spans="1:8" x14ac:dyDescent="0.3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0</v>
      </c>
      <c r="H20">
        <v>2.44140625E-4</v>
      </c>
    </row>
    <row r="21" spans="1:8" x14ac:dyDescent="0.3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0</v>
      </c>
      <c r="H21">
        <v>2.44140625E-4</v>
      </c>
    </row>
    <row r="22" spans="1:8" x14ac:dyDescent="0.3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0</v>
      </c>
      <c r="H22">
        <v>2.44140625E-4</v>
      </c>
    </row>
    <row r="23" spans="1:8" x14ac:dyDescent="0.3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0</v>
      </c>
      <c r="H23">
        <v>2.44140625E-4</v>
      </c>
    </row>
    <row r="24" spans="1:8" x14ac:dyDescent="0.3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0</v>
      </c>
      <c r="H24">
        <v>2.44140625E-4</v>
      </c>
    </row>
    <row r="25" spans="1:8" x14ac:dyDescent="0.35">
      <c r="A25">
        <v>1</v>
      </c>
      <c r="B25">
        <v>1</v>
      </c>
      <c r="C25">
        <v>1</v>
      </c>
      <c r="D25" s="94">
        <v>3</v>
      </c>
      <c r="E25">
        <v>2</v>
      </c>
      <c r="F25">
        <v>3</v>
      </c>
      <c r="G25">
        <v>0</v>
      </c>
      <c r="H25">
        <v>2.44140625E-4</v>
      </c>
    </row>
    <row r="26" spans="1:8" x14ac:dyDescent="0.35">
      <c r="A26">
        <v>1</v>
      </c>
      <c r="B26">
        <v>1</v>
      </c>
      <c r="C26">
        <v>1</v>
      </c>
      <c r="D26" s="94">
        <v>3</v>
      </c>
      <c r="E26">
        <v>3</v>
      </c>
      <c r="F26">
        <v>1</v>
      </c>
      <c r="G26">
        <v>0</v>
      </c>
      <c r="H26">
        <v>2.44140625E-4</v>
      </c>
    </row>
    <row r="27" spans="1:8" x14ac:dyDescent="0.3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0</v>
      </c>
      <c r="H27">
        <v>2.44140625E-4</v>
      </c>
    </row>
    <row r="28" spans="1:8" x14ac:dyDescent="0.3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0</v>
      </c>
      <c r="H28">
        <v>2.44140625E-4</v>
      </c>
    </row>
    <row r="29" spans="1:8" x14ac:dyDescent="0.3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0</v>
      </c>
      <c r="H29">
        <v>2.44140625E-4</v>
      </c>
    </row>
    <row r="30" spans="1:8" x14ac:dyDescent="0.3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0</v>
      </c>
      <c r="H30">
        <v>2.44140625E-4</v>
      </c>
    </row>
    <row r="31" spans="1:8" x14ac:dyDescent="0.3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0</v>
      </c>
      <c r="H31">
        <v>2.44140625E-4</v>
      </c>
    </row>
    <row r="32" spans="1:8" x14ac:dyDescent="0.3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0</v>
      </c>
      <c r="H32">
        <v>2.44140625E-4</v>
      </c>
    </row>
    <row r="33" spans="1:8" x14ac:dyDescent="0.3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0</v>
      </c>
      <c r="H33">
        <v>2.44140625E-4</v>
      </c>
    </row>
    <row r="34" spans="1:8" x14ac:dyDescent="0.35">
      <c r="A34">
        <v>1</v>
      </c>
      <c r="B34">
        <v>1</v>
      </c>
      <c r="C34">
        <v>2</v>
      </c>
      <c r="D34" s="94">
        <v>1</v>
      </c>
      <c r="E34">
        <v>2</v>
      </c>
      <c r="F34">
        <v>3</v>
      </c>
      <c r="G34">
        <v>0</v>
      </c>
      <c r="H34">
        <v>2.44140625E-4</v>
      </c>
    </row>
    <row r="35" spans="1:8" x14ac:dyDescent="0.35">
      <c r="A35">
        <v>1</v>
      </c>
      <c r="B35">
        <v>1</v>
      </c>
      <c r="C35">
        <v>2</v>
      </c>
      <c r="D35" s="94">
        <v>1</v>
      </c>
      <c r="E35">
        <v>3</v>
      </c>
      <c r="F35">
        <v>1</v>
      </c>
      <c r="G35">
        <v>0</v>
      </c>
      <c r="H35">
        <v>2.44140625E-4</v>
      </c>
    </row>
    <row r="36" spans="1:8" x14ac:dyDescent="0.3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0</v>
      </c>
      <c r="H36">
        <v>2.44140625E-4</v>
      </c>
    </row>
    <row r="37" spans="1:8" x14ac:dyDescent="0.3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0</v>
      </c>
      <c r="H37">
        <v>2.44140625E-4</v>
      </c>
    </row>
    <row r="38" spans="1:8" x14ac:dyDescent="0.3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0</v>
      </c>
      <c r="H38">
        <v>2.44140625E-4</v>
      </c>
    </row>
    <row r="39" spans="1:8" x14ac:dyDescent="0.3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0</v>
      </c>
      <c r="H39">
        <v>2.44140625E-4</v>
      </c>
    </row>
    <row r="40" spans="1:8" x14ac:dyDescent="0.3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0</v>
      </c>
      <c r="H40">
        <v>2.44140625E-4</v>
      </c>
    </row>
    <row r="41" spans="1:8" x14ac:dyDescent="0.3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0</v>
      </c>
      <c r="H41">
        <v>2.44140625E-4</v>
      </c>
    </row>
    <row r="42" spans="1:8" x14ac:dyDescent="0.3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0</v>
      </c>
      <c r="H42">
        <v>2.44140625E-4</v>
      </c>
    </row>
    <row r="43" spans="1:8" x14ac:dyDescent="0.3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0</v>
      </c>
      <c r="H43">
        <v>2.44140625E-4</v>
      </c>
    </row>
    <row r="44" spans="1:8" x14ac:dyDescent="0.3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0</v>
      </c>
      <c r="H44">
        <v>2.44140625E-4</v>
      </c>
    </row>
    <row r="45" spans="1:8" x14ac:dyDescent="0.3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0</v>
      </c>
      <c r="H45">
        <v>2.44140625E-4</v>
      </c>
    </row>
    <row r="46" spans="1:8" x14ac:dyDescent="0.3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0</v>
      </c>
      <c r="H46">
        <v>2.44140625E-4</v>
      </c>
    </row>
    <row r="47" spans="1:8" x14ac:dyDescent="0.3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0</v>
      </c>
      <c r="H47">
        <v>2.44140625E-4</v>
      </c>
    </row>
    <row r="48" spans="1:8" x14ac:dyDescent="0.3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0</v>
      </c>
      <c r="H48">
        <v>2.44140625E-4</v>
      </c>
    </row>
    <row r="49" spans="1:8" x14ac:dyDescent="0.3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0</v>
      </c>
      <c r="H49">
        <v>2.44140625E-4</v>
      </c>
    </row>
    <row r="50" spans="1:8" x14ac:dyDescent="0.3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0</v>
      </c>
      <c r="H50">
        <v>2.44140625E-4</v>
      </c>
    </row>
    <row r="51" spans="1:8" x14ac:dyDescent="0.3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0</v>
      </c>
      <c r="H51">
        <v>2.44140625E-4</v>
      </c>
    </row>
    <row r="52" spans="1:8" x14ac:dyDescent="0.3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0</v>
      </c>
      <c r="H52">
        <v>2.44140625E-4</v>
      </c>
    </row>
    <row r="53" spans="1:8" x14ac:dyDescent="0.3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0</v>
      </c>
      <c r="H53">
        <v>2.44140625E-4</v>
      </c>
    </row>
    <row r="54" spans="1:8" x14ac:dyDescent="0.3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0</v>
      </c>
      <c r="H54">
        <v>2.44140625E-4</v>
      </c>
    </row>
    <row r="55" spans="1:8" x14ac:dyDescent="0.3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0</v>
      </c>
      <c r="H55">
        <v>2.44140625E-4</v>
      </c>
    </row>
    <row r="56" spans="1:8" x14ac:dyDescent="0.3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0</v>
      </c>
      <c r="H56">
        <v>2.44140625E-4</v>
      </c>
    </row>
    <row r="57" spans="1:8" x14ac:dyDescent="0.3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0</v>
      </c>
      <c r="H57">
        <v>2.44140625E-4</v>
      </c>
    </row>
    <row r="58" spans="1:8" x14ac:dyDescent="0.3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0</v>
      </c>
      <c r="H58">
        <v>2.44140625E-4</v>
      </c>
    </row>
    <row r="59" spans="1:8" x14ac:dyDescent="0.3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0</v>
      </c>
      <c r="H59">
        <v>2.44140625E-4</v>
      </c>
    </row>
    <row r="60" spans="1:8" x14ac:dyDescent="0.3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0</v>
      </c>
      <c r="H60">
        <v>2.44140625E-4</v>
      </c>
    </row>
    <row r="61" spans="1:8" x14ac:dyDescent="0.3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0</v>
      </c>
      <c r="H61">
        <v>2.44140625E-4</v>
      </c>
    </row>
    <row r="62" spans="1:8" x14ac:dyDescent="0.3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0</v>
      </c>
      <c r="H62">
        <v>2.44140625E-4</v>
      </c>
    </row>
    <row r="63" spans="1:8" x14ac:dyDescent="0.3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0</v>
      </c>
      <c r="H63">
        <v>2.44140625E-4</v>
      </c>
    </row>
    <row r="64" spans="1:8" x14ac:dyDescent="0.3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0</v>
      </c>
      <c r="H64">
        <v>2.44140625E-4</v>
      </c>
    </row>
    <row r="65" spans="1:8" x14ac:dyDescent="0.3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0</v>
      </c>
      <c r="H65">
        <v>2.44140625E-4</v>
      </c>
    </row>
    <row r="66" spans="1:8" x14ac:dyDescent="0.3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0</v>
      </c>
      <c r="H66">
        <v>2.44140625E-4</v>
      </c>
    </row>
    <row r="67" spans="1:8" x14ac:dyDescent="0.3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0</v>
      </c>
      <c r="H67">
        <v>2.44140625E-4</v>
      </c>
    </row>
    <row r="68" spans="1:8" x14ac:dyDescent="0.3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0</v>
      </c>
      <c r="H68">
        <v>2.44140625E-4</v>
      </c>
    </row>
    <row r="69" spans="1:8" x14ac:dyDescent="0.3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0</v>
      </c>
      <c r="H69">
        <v>2.44140625E-4</v>
      </c>
    </row>
    <row r="70" spans="1:8" x14ac:dyDescent="0.3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0</v>
      </c>
      <c r="H70">
        <v>2.44140625E-4</v>
      </c>
    </row>
    <row r="71" spans="1:8" x14ac:dyDescent="0.3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0</v>
      </c>
      <c r="H71">
        <v>2.44140625E-4</v>
      </c>
    </row>
    <row r="72" spans="1:8" x14ac:dyDescent="0.3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0</v>
      </c>
      <c r="H72">
        <v>2.44140625E-4</v>
      </c>
    </row>
    <row r="73" spans="1:8" x14ac:dyDescent="0.3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0</v>
      </c>
      <c r="H73">
        <v>2.44140625E-4</v>
      </c>
    </row>
    <row r="74" spans="1:8" x14ac:dyDescent="0.3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0</v>
      </c>
      <c r="H74">
        <v>2.44140625E-4</v>
      </c>
    </row>
    <row r="75" spans="1:8" x14ac:dyDescent="0.3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0</v>
      </c>
      <c r="H75">
        <v>2.44140625E-4</v>
      </c>
    </row>
    <row r="76" spans="1:8" x14ac:dyDescent="0.3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0</v>
      </c>
      <c r="H76">
        <v>2.44140625E-4</v>
      </c>
    </row>
    <row r="77" spans="1:8" x14ac:dyDescent="0.3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0</v>
      </c>
      <c r="H77">
        <v>2.44140625E-4</v>
      </c>
    </row>
    <row r="78" spans="1:8" x14ac:dyDescent="0.3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0</v>
      </c>
      <c r="H78">
        <v>2.44140625E-4</v>
      </c>
    </row>
    <row r="79" spans="1:8" x14ac:dyDescent="0.3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0</v>
      </c>
      <c r="H79">
        <v>2.44140625E-4</v>
      </c>
    </row>
    <row r="80" spans="1:8" x14ac:dyDescent="0.3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0</v>
      </c>
      <c r="H80">
        <v>2.44140625E-4</v>
      </c>
    </row>
    <row r="81" spans="1:8" x14ac:dyDescent="0.3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0</v>
      </c>
      <c r="H81">
        <v>2.44140625E-4</v>
      </c>
    </row>
    <row r="82" spans="1:8" x14ac:dyDescent="0.3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0</v>
      </c>
      <c r="H82">
        <v>2.44140625E-4</v>
      </c>
    </row>
    <row r="83" spans="1:8" x14ac:dyDescent="0.3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0</v>
      </c>
      <c r="H83">
        <v>2.44140625E-4</v>
      </c>
    </row>
    <row r="84" spans="1:8" x14ac:dyDescent="0.3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0</v>
      </c>
      <c r="H84">
        <v>2.44140625E-4</v>
      </c>
    </row>
    <row r="85" spans="1:8" x14ac:dyDescent="0.3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0</v>
      </c>
      <c r="H85">
        <v>2.44140625E-4</v>
      </c>
    </row>
    <row r="86" spans="1:8" x14ac:dyDescent="0.3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0</v>
      </c>
      <c r="H86">
        <v>2.44140625E-4</v>
      </c>
    </row>
    <row r="87" spans="1:8" x14ac:dyDescent="0.3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0</v>
      </c>
      <c r="H87">
        <v>2.44140625E-4</v>
      </c>
    </row>
    <row r="88" spans="1:8" x14ac:dyDescent="0.3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0</v>
      </c>
      <c r="H88">
        <v>2.44140625E-4</v>
      </c>
    </row>
    <row r="89" spans="1:8" x14ac:dyDescent="0.3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0</v>
      </c>
      <c r="H89">
        <v>2.44140625E-4</v>
      </c>
    </row>
    <row r="90" spans="1:8" x14ac:dyDescent="0.3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0</v>
      </c>
      <c r="H90">
        <v>2.44140625E-4</v>
      </c>
    </row>
    <row r="91" spans="1:8" x14ac:dyDescent="0.3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0</v>
      </c>
      <c r="H91">
        <v>2.44140625E-4</v>
      </c>
    </row>
    <row r="92" spans="1:8" x14ac:dyDescent="0.3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0</v>
      </c>
      <c r="H92">
        <v>2.44140625E-4</v>
      </c>
    </row>
    <row r="93" spans="1:8" x14ac:dyDescent="0.3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0</v>
      </c>
      <c r="H93">
        <v>2.44140625E-4</v>
      </c>
    </row>
    <row r="94" spans="1:8" x14ac:dyDescent="0.3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0</v>
      </c>
      <c r="H94">
        <v>2.44140625E-4</v>
      </c>
    </row>
    <row r="95" spans="1:8" x14ac:dyDescent="0.3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0</v>
      </c>
      <c r="H95">
        <v>2.44140625E-4</v>
      </c>
    </row>
    <row r="96" spans="1:8" x14ac:dyDescent="0.3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0</v>
      </c>
      <c r="H96">
        <v>2.44140625E-4</v>
      </c>
    </row>
    <row r="97" spans="1:8" x14ac:dyDescent="0.3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0</v>
      </c>
      <c r="H97">
        <v>2.44140625E-4</v>
      </c>
    </row>
    <row r="98" spans="1:8" x14ac:dyDescent="0.3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0</v>
      </c>
      <c r="H98">
        <v>2.44140625E-4</v>
      </c>
    </row>
    <row r="99" spans="1:8" x14ac:dyDescent="0.3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0</v>
      </c>
      <c r="H99">
        <v>2.44140625E-4</v>
      </c>
    </row>
    <row r="100" spans="1:8" x14ac:dyDescent="0.3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0</v>
      </c>
      <c r="H100">
        <v>2.44140625E-4</v>
      </c>
    </row>
    <row r="101" spans="1:8" x14ac:dyDescent="0.3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0</v>
      </c>
      <c r="H101">
        <v>2.44140625E-4</v>
      </c>
    </row>
    <row r="102" spans="1:8" x14ac:dyDescent="0.3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0</v>
      </c>
      <c r="H102">
        <v>2.44140625E-4</v>
      </c>
    </row>
    <row r="103" spans="1:8" x14ac:dyDescent="0.3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0</v>
      </c>
      <c r="H103">
        <v>2.44140625E-4</v>
      </c>
    </row>
    <row r="104" spans="1:8" x14ac:dyDescent="0.3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0</v>
      </c>
      <c r="H104">
        <v>2.44140625E-4</v>
      </c>
    </row>
    <row r="105" spans="1:8" x14ac:dyDescent="0.3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0</v>
      </c>
      <c r="H105">
        <v>2.44140625E-4</v>
      </c>
    </row>
    <row r="106" spans="1:8" x14ac:dyDescent="0.3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0</v>
      </c>
      <c r="H106">
        <v>2.44140625E-4</v>
      </c>
    </row>
    <row r="107" spans="1:8" x14ac:dyDescent="0.3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0</v>
      </c>
      <c r="H107">
        <v>2.44140625E-4</v>
      </c>
    </row>
    <row r="108" spans="1:8" x14ac:dyDescent="0.3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0</v>
      </c>
      <c r="H108">
        <v>2.44140625E-4</v>
      </c>
    </row>
    <row r="109" spans="1:8" x14ac:dyDescent="0.3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0</v>
      </c>
      <c r="H109">
        <v>2.44140625E-4</v>
      </c>
    </row>
    <row r="110" spans="1:8" x14ac:dyDescent="0.3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0</v>
      </c>
      <c r="H110">
        <v>2.44140625E-4</v>
      </c>
    </row>
    <row r="111" spans="1:8" x14ac:dyDescent="0.3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0</v>
      </c>
      <c r="H111">
        <v>2.44140625E-4</v>
      </c>
    </row>
    <row r="112" spans="1:8" x14ac:dyDescent="0.3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0</v>
      </c>
      <c r="H112">
        <v>2.44140625E-4</v>
      </c>
    </row>
    <row r="113" spans="1:8" x14ac:dyDescent="0.3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0</v>
      </c>
      <c r="H113">
        <v>2.44140625E-4</v>
      </c>
    </row>
    <row r="114" spans="1:8" x14ac:dyDescent="0.3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0</v>
      </c>
      <c r="H114">
        <v>2.44140625E-4</v>
      </c>
    </row>
    <row r="115" spans="1:8" x14ac:dyDescent="0.3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0</v>
      </c>
      <c r="H115">
        <v>2.44140625E-4</v>
      </c>
    </row>
    <row r="116" spans="1:8" x14ac:dyDescent="0.3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0</v>
      </c>
      <c r="H116">
        <v>2.44140625E-4</v>
      </c>
    </row>
    <row r="117" spans="1:8" x14ac:dyDescent="0.3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0</v>
      </c>
      <c r="H117">
        <v>2.44140625E-4</v>
      </c>
    </row>
    <row r="118" spans="1:8" x14ac:dyDescent="0.3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0</v>
      </c>
      <c r="H118">
        <v>2.44140625E-4</v>
      </c>
    </row>
    <row r="119" spans="1:8" x14ac:dyDescent="0.3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0</v>
      </c>
      <c r="H119">
        <v>2.44140625E-4</v>
      </c>
    </row>
    <row r="120" spans="1:8" x14ac:dyDescent="0.3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0</v>
      </c>
      <c r="H120">
        <v>2.44140625E-4</v>
      </c>
    </row>
    <row r="121" spans="1:8" x14ac:dyDescent="0.3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0</v>
      </c>
      <c r="H121">
        <v>2.44140625E-4</v>
      </c>
    </row>
    <row r="122" spans="1:8" x14ac:dyDescent="0.3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0</v>
      </c>
      <c r="H122">
        <v>2.44140625E-4</v>
      </c>
    </row>
    <row r="123" spans="1:8" x14ac:dyDescent="0.3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0</v>
      </c>
      <c r="H123">
        <v>2.44140625E-4</v>
      </c>
    </row>
    <row r="124" spans="1:8" x14ac:dyDescent="0.3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0</v>
      </c>
      <c r="H124">
        <v>2.44140625E-4</v>
      </c>
    </row>
    <row r="125" spans="1:8" x14ac:dyDescent="0.3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0</v>
      </c>
      <c r="H125">
        <v>2.44140625E-4</v>
      </c>
    </row>
    <row r="126" spans="1:8" x14ac:dyDescent="0.3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0</v>
      </c>
      <c r="H126">
        <v>2.44140625E-4</v>
      </c>
    </row>
    <row r="127" spans="1:8" x14ac:dyDescent="0.3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0</v>
      </c>
      <c r="H127">
        <v>2.44140625E-4</v>
      </c>
    </row>
    <row r="128" spans="1:8" x14ac:dyDescent="0.3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0</v>
      </c>
      <c r="H128">
        <v>2.44140625E-4</v>
      </c>
    </row>
    <row r="129" spans="1:8" x14ac:dyDescent="0.3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0</v>
      </c>
      <c r="H129">
        <v>2.44140625E-4</v>
      </c>
    </row>
    <row r="130" spans="1:8" x14ac:dyDescent="0.3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0</v>
      </c>
      <c r="H130">
        <v>2.44140625E-4</v>
      </c>
    </row>
    <row r="131" spans="1:8" x14ac:dyDescent="0.3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0</v>
      </c>
      <c r="H131">
        <v>2.44140625E-4</v>
      </c>
    </row>
    <row r="132" spans="1:8" x14ac:dyDescent="0.3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0</v>
      </c>
      <c r="H132">
        <v>2.44140625E-4</v>
      </c>
    </row>
    <row r="133" spans="1:8" x14ac:dyDescent="0.3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0</v>
      </c>
      <c r="H133">
        <v>2.44140625E-4</v>
      </c>
    </row>
    <row r="134" spans="1:8" x14ac:dyDescent="0.3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0</v>
      </c>
      <c r="H134">
        <v>2.44140625E-4</v>
      </c>
    </row>
    <row r="135" spans="1:8" x14ac:dyDescent="0.3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0</v>
      </c>
      <c r="H135">
        <v>2.44140625E-4</v>
      </c>
    </row>
    <row r="136" spans="1:8" x14ac:dyDescent="0.3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0</v>
      </c>
      <c r="H136">
        <v>2.44140625E-4</v>
      </c>
    </row>
    <row r="137" spans="1:8" x14ac:dyDescent="0.3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0</v>
      </c>
      <c r="H137">
        <v>2.44140625E-4</v>
      </c>
    </row>
    <row r="138" spans="1:8" x14ac:dyDescent="0.3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0</v>
      </c>
      <c r="H138">
        <v>2.44140625E-4</v>
      </c>
    </row>
    <row r="139" spans="1:8" x14ac:dyDescent="0.3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0</v>
      </c>
      <c r="H139">
        <v>2.44140625E-4</v>
      </c>
    </row>
    <row r="140" spans="1:8" x14ac:dyDescent="0.3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0</v>
      </c>
      <c r="H140">
        <v>2.44140625E-4</v>
      </c>
    </row>
    <row r="141" spans="1:8" x14ac:dyDescent="0.3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0</v>
      </c>
      <c r="H141">
        <v>2.44140625E-4</v>
      </c>
    </row>
    <row r="142" spans="1:8" x14ac:dyDescent="0.3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0</v>
      </c>
      <c r="H142">
        <v>2.44140625E-4</v>
      </c>
    </row>
    <row r="143" spans="1:8" x14ac:dyDescent="0.3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0</v>
      </c>
      <c r="H143">
        <v>2.44140625E-4</v>
      </c>
    </row>
    <row r="144" spans="1:8" x14ac:dyDescent="0.3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0</v>
      </c>
      <c r="H144">
        <v>2.44140625E-4</v>
      </c>
    </row>
    <row r="145" spans="1:8" x14ac:dyDescent="0.3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0</v>
      </c>
      <c r="H145">
        <v>2.44140625E-4</v>
      </c>
    </row>
    <row r="146" spans="1:8" x14ac:dyDescent="0.3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0</v>
      </c>
      <c r="H146">
        <v>2.44140625E-4</v>
      </c>
    </row>
    <row r="147" spans="1:8" x14ac:dyDescent="0.3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0</v>
      </c>
      <c r="H147">
        <v>2.44140625E-4</v>
      </c>
    </row>
    <row r="148" spans="1:8" x14ac:dyDescent="0.3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0</v>
      </c>
      <c r="H148">
        <v>2.44140625E-4</v>
      </c>
    </row>
    <row r="149" spans="1:8" x14ac:dyDescent="0.3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0</v>
      </c>
      <c r="H149">
        <v>2.44140625E-4</v>
      </c>
    </row>
    <row r="150" spans="1:8" x14ac:dyDescent="0.3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0</v>
      </c>
      <c r="H150">
        <v>2.44140625E-4</v>
      </c>
    </row>
    <row r="151" spans="1:8" x14ac:dyDescent="0.3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0</v>
      </c>
      <c r="H151">
        <v>2.44140625E-4</v>
      </c>
    </row>
    <row r="152" spans="1:8" x14ac:dyDescent="0.3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0</v>
      </c>
      <c r="H152">
        <v>2.44140625E-4</v>
      </c>
    </row>
    <row r="153" spans="1:8" x14ac:dyDescent="0.3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0</v>
      </c>
      <c r="H153">
        <v>2.44140625E-4</v>
      </c>
    </row>
    <row r="154" spans="1:8" x14ac:dyDescent="0.3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0</v>
      </c>
      <c r="H154">
        <v>2.44140625E-4</v>
      </c>
    </row>
    <row r="155" spans="1:8" x14ac:dyDescent="0.3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0</v>
      </c>
      <c r="H155">
        <v>2.44140625E-4</v>
      </c>
    </row>
    <row r="156" spans="1:8" x14ac:dyDescent="0.3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0</v>
      </c>
      <c r="H156">
        <v>2.44140625E-4</v>
      </c>
    </row>
    <row r="157" spans="1:8" x14ac:dyDescent="0.3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0</v>
      </c>
      <c r="H157">
        <v>2.44140625E-4</v>
      </c>
    </row>
    <row r="158" spans="1:8" x14ac:dyDescent="0.3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0</v>
      </c>
      <c r="H158">
        <v>2.44140625E-4</v>
      </c>
    </row>
    <row r="159" spans="1:8" x14ac:dyDescent="0.3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0</v>
      </c>
      <c r="H159">
        <v>2.44140625E-4</v>
      </c>
    </row>
    <row r="160" spans="1:8" x14ac:dyDescent="0.3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0</v>
      </c>
      <c r="H160">
        <v>2.44140625E-4</v>
      </c>
    </row>
    <row r="161" spans="1:8" x14ac:dyDescent="0.3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0</v>
      </c>
      <c r="H161">
        <v>2.44140625E-4</v>
      </c>
    </row>
    <row r="162" spans="1:8" x14ac:dyDescent="0.3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0</v>
      </c>
      <c r="H162">
        <v>2.44140625E-4</v>
      </c>
    </row>
    <row r="163" spans="1:8" x14ac:dyDescent="0.3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0</v>
      </c>
      <c r="H163">
        <v>2.44140625E-4</v>
      </c>
    </row>
    <row r="164" spans="1:8" x14ac:dyDescent="0.3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0</v>
      </c>
      <c r="H164">
        <v>2.44140625E-4</v>
      </c>
    </row>
    <row r="165" spans="1:8" x14ac:dyDescent="0.3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0</v>
      </c>
      <c r="H165">
        <v>2.44140625E-4</v>
      </c>
    </row>
    <row r="166" spans="1:8" x14ac:dyDescent="0.3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0</v>
      </c>
      <c r="H166">
        <v>2.44140625E-4</v>
      </c>
    </row>
    <row r="167" spans="1:8" x14ac:dyDescent="0.3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0</v>
      </c>
      <c r="H167">
        <v>2.44140625E-4</v>
      </c>
    </row>
    <row r="168" spans="1:8" x14ac:dyDescent="0.3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0</v>
      </c>
      <c r="H168">
        <v>2.44140625E-4</v>
      </c>
    </row>
    <row r="169" spans="1:8" x14ac:dyDescent="0.3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0</v>
      </c>
      <c r="H169">
        <v>2.44140625E-4</v>
      </c>
    </row>
    <row r="170" spans="1:8" x14ac:dyDescent="0.3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0</v>
      </c>
      <c r="H170">
        <v>2.44140625E-4</v>
      </c>
    </row>
    <row r="171" spans="1:8" x14ac:dyDescent="0.3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0</v>
      </c>
      <c r="H171">
        <v>2.44140625E-4</v>
      </c>
    </row>
    <row r="172" spans="1:8" x14ac:dyDescent="0.3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0</v>
      </c>
      <c r="H172">
        <v>2.44140625E-4</v>
      </c>
    </row>
    <row r="173" spans="1:8" x14ac:dyDescent="0.3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0</v>
      </c>
      <c r="H173">
        <v>2.44140625E-4</v>
      </c>
    </row>
    <row r="174" spans="1:8" x14ac:dyDescent="0.3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0</v>
      </c>
      <c r="H174">
        <v>2.44140625E-4</v>
      </c>
    </row>
    <row r="175" spans="1:8" x14ac:dyDescent="0.3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0</v>
      </c>
      <c r="H175">
        <v>2.44140625E-4</v>
      </c>
    </row>
    <row r="176" spans="1:8" x14ac:dyDescent="0.3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0</v>
      </c>
      <c r="H176">
        <v>2.44140625E-4</v>
      </c>
    </row>
    <row r="177" spans="1:8" x14ac:dyDescent="0.3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0</v>
      </c>
      <c r="H177">
        <v>2.44140625E-4</v>
      </c>
    </row>
    <row r="178" spans="1:8" x14ac:dyDescent="0.3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0</v>
      </c>
      <c r="H178">
        <v>2.44140625E-4</v>
      </c>
    </row>
    <row r="179" spans="1:8" x14ac:dyDescent="0.3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0</v>
      </c>
      <c r="H179">
        <v>2.44140625E-4</v>
      </c>
    </row>
    <row r="180" spans="1:8" x14ac:dyDescent="0.3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0</v>
      </c>
      <c r="H180">
        <v>2.44140625E-4</v>
      </c>
    </row>
    <row r="181" spans="1:8" x14ac:dyDescent="0.3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0</v>
      </c>
      <c r="H181">
        <v>2.44140625E-4</v>
      </c>
    </row>
    <row r="182" spans="1:8" x14ac:dyDescent="0.3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0</v>
      </c>
      <c r="H182">
        <v>2.44140625E-4</v>
      </c>
    </row>
    <row r="183" spans="1:8" x14ac:dyDescent="0.3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0</v>
      </c>
      <c r="H183">
        <v>2.44140625E-4</v>
      </c>
    </row>
    <row r="184" spans="1:8" x14ac:dyDescent="0.3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0</v>
      </c>
      <c r="H184">
        <v>2.44140625E-4</v>
      </c>
    </row>
    <row r="185" spans="1:8" x14ac:dyDescent="0.3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0</v>
      </c>
      <c r="H185">
        <v>2.44140625E-4</v>
      </c>
    </row>
    <row r="186" spans="1:8" x14ac:dyDescent="0.3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0</v>
      </c>
      <c r="H186">
        <v>2.44140625E-4</v>
      </c>
    </row>
    <row r="187" spans="1:8" x14ac:dyDescent="0.3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0</v>
      </c>
      <c r="H187">
        <v>2.44140625E-4</v>
      </c>
    </row>
    <row r="188" spans="1:8" x14ac:dyDescent="0.3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0</v>
      </c>
      <c r="H188">
        <v>2.44140625E-4</v>
      </c>
    </row>
    <row r="189" spans="1:8" x14ac:dyDescent="0.3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0</v>
      </c>
      <c r="H189">
        <v>2.44140625E-4</v>
      </c>
    </row>
    <row r="190" spans="1:8" x14ac:dyDescent="0.3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0</v>
      </c>
      <c r="H190">
        <v>2.44140625E-4</v>
      </c>
    </row>
    <row r="191" spans="1:8" x14ac:dyDescent="0.3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0</v>
      </c>
      <c r="H191">
        <v>2.44140625E-4</v>
      </c>
    </row>
    <row r="192" spans="1:8" x14ac:dyDescent="0.3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0</v>
      </c>
      <c r="H192">
        <v>2.44140625E-4</v>
      </c>
    </row>
    <row r="193" spans="1:8" x14ac:dyDescent="0.3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0</v>
      </c>
      <c r="H193">
        <v>2.44140625E-4</v>
      </c>
    </row>
    <row r="194" spans="1:8" x14ac:dyDescent="0.3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0</v>
      </c>
      <c r="H194">
        <v>2.44140625E-4</v>
      </c>
    </row>
    <row r="195" spans="1:8" x14ac:dyDescent="0.3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0</v>
      </c>
      <c r="H195">
        <v>2.44140625E-4</v>
      </c>
    </row>
    <row r="196" spans="1:8" x14ac:dyDescent="0.3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0</v>
      </c>
      <c r="H196">
        <v>2.44140625E-4</v>
      </c>
    </row>
    <row r="197" spans="1:8" x14ac:dyDescent="0.3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0</v>
      </c>
      <c r="H197">
        <v>2.44140625E-4</v>
      </c>
    </row>
    <row r="198" spans="1:8" x14ac:dyDescent="0.3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0</v>
      </c>
      <c r="H198">
        <v>2.44140625E-4</v>
      </c>
    </row>
    <row r="199" spans="1:8" x14ac:dyDescent="0.3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0</v>
      </c>
      <c r="H199">
        <v>2.44140625E-4</v>
      </c>
    </row>
    <row r="200" spans="1:8" x14ac:dyDescent="0.3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0</v>
      </c>
      <c r="H200">
        <v>2.44140625E-4</v>
      </c>
    </row>
    <row r="201" spans="1:8" x14ac:dyDescent="0.3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0</v>
      </c>
      <c r="H201">
        <v>2.44140625E-4</v>
      </c>
    </row>
    <row r="202" spans="1:8" x14ac:dyDescent="0.3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0</v>
      </c>
      <c r="H202">
        <v>2.44140625E-4</v>
      </c>
    </row>
    <row r="203" spans="1:8" x14ac:dyDescent="0.3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0</v>
      </c>
      <c r="H203">
        <v>2.44140625E-4</v>
      </c>
    </row>
    <row r="204" spans="1:8" x14ac:dyDescent="0.3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0</v>
      </c>
      <c r="H204">
        <v>2.44140625E-4</v>
      </c>
    </row>
    <row r="205" spans="1:8" x14ac:dyDescent="0.3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0</v>
      </c>
      <c r="H205">
        <v>2.44140625E-4</v>
      </c>
    </row>
    <row r="206" spans="1:8" x14ac:dyDescent="0.3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0</v>
      </c>
      <c r="H206">
        <v>2.44140625E-4</v>
      </c>
    </row>
    <row r="207" spans="1:8" x14ac:dyDescent="0.3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0</v>
      </c>
      <c r="H207">
        <v>2.44140625E-4</v>
      </c>
    </row>
    <row r="208" spans="1:8" x14ac:dyDescent="0.3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0</v>
      </c>
      <c r="H208">
        <v>2.44140625E-4</v>
      </c>
    </row>
    <row r="209" spans="1:8" x14ac:dyDescent="0.3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0</v>
      </c>
      <c r="H209">
        <v>2.44140625E-4</v>
      </c>
    </row>
    <row r="210" spans="1:8" x14ac:dyDescent="0.3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0</v>
      </c>
      <c r="H210">
        <v>2.44140625E-4</v>
      </c>
    </row>
    <row r="211" spans="1:8" x14ac:dyDescent="0.3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0</v>
      </c>
      <c r="H211">
        <v>2.44140625E-4</v>
      </c>
    </row>
    <row r="212" spans="1:8" x14ac:dyDescent="0.3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0</v>
      </c>
      <c r="H212">
        <v>2.44140625E-4</v>
      </c>
    </row>
    <row r="213" spans="1:8" x14ac:dyDescent="0.3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0</v>
      </c>
      <c r="H213">
        <v>2.44140625E-4</v>
      </c>
    </row>
    <row r="214" spans="1:8" x14ac:dyDescent="0.3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0</v>
      </c>
      <c r="H214">
        <v>2.44140625E-4</v>
      </c>
    </row>
    <row r="215" spans="1:8" x14ac:dyDescent="0.3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0</v>
      </c>
      <c r="H215">
        <v>2.44140625E-4</v>
      </c>
    </row>
    <row r="216" spans="1:8" x14ac:dyDescent="0.3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0</v>
      </c>
      <c r="H216">
        <v>2.44140625E-4</v>
      </c>
    </row>
    <row r="217" spans="1:8" x14ac:dyDescent="0.3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0</v>
      </c>
      <c r="H217">
        <v>2.44140625E-4</v>
      </c>
    </row>
    <row r="218" spans="1:8" x14ac:dyDescent="0.3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0</v>
      </c>
      <c r="H218">
        <v>2.44140625E-4</v>
      </c>
    </row>
    <row r="219" spans="1:8" x14ac:dyDescent="0.3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0</v>
      </c>
      <c r="H219">
        <v>2.44140625E-4</v>
      </c>
    </row>
    <row r="220" spans="1:8" x14ac:dyDescent="0.3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0</v>
      </c>
      <c r="H220">
        <v>2.44140625E-4</v>
      </c>
    </row>
    <row r="221" spans="1:8" x14ac:dyDescent="0.3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0</v>
      </c>
      <c r="H221">
        <v>2.44140625E-4</v>
      </c>
    </row>
    <row r="222" spans="1:8" x14ac:dyDescent="0.3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0</v>
      </c>
      <c r="H222">
        <v>2.44140625E-4</v>
      </c>
    </row>
    <row r="223" spans="1:8" x14ac:dyDescent="0.3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0</v>
      </c>
      <c r="H223">
        <v>2.44140625E-4</v>
      </c>
    </row>
    <row r="224" spans="1:8" x14ac:dyDescent="0.3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0</v>
      </c>
      <c r="H224">
        <v>2.44140625E-4</v>
      </c>
    </row>
    <row r="225" spans="1:8" x14ac:dyDescent="0.3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0</v>
      </c>
      <c r="H225">
        <v>2.44140625E-4</v>
      </c>
    </row>
    <row r="226" spans="1:8" x14ac:dyDescent="0.3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0</v>
      </c>
      <c r="H226">
        <v>2.44140625E-4</v>
      </c>
    </row>
    <row r="227" spans="1:8" x14ac:dyDescent="0.3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0</v>
      </c>
      <c r="H227">
        <v>2.44140625E-4</v>
      </c>
    </row>
    <row r="228" spans="1:8" x14ac:dyDescent="0.3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0</v>
      </c>
      <c r="H228">
        <v>2.44140625E-4</v>
      </c>
    </row>
    <row r="229" spans="1:8" x14ac:dyDescent="0.3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0</v>
      </c>
      <c r="H229">
        <v>2.44140625E-4</v>
      </c>
    </row>
    <row r="230" spans="1:8" x14ac:dyDescent="0.3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0</v>
      </c>
      <c r="H230">
        <v>2.44140625E-4</v>
      </c>
    </row>
    <row r="231" spans="1:8" x14ac:dyDescent="0.3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0</v>
      </c>
      <c r="H231">
        <v>2.44140625E-4</v>
      </c>
    </row>
    <row r="232" spans="1:8" x14ac:dyDescent="0.3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0</v>
      </c>
      <c r="H232">
        <v>2.44140625E-4</v>
      </c>
    </row>
    <row r="233" spans="1:8" x14ac:dyDescent="0.3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0</v>
      </c>
      <c r="H233">
        <v>2.44140625E-4</v>
      </c>
    </row>
    <row r="234" spans="1:8" x14ac:dyDescent="0.3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0</v>
      </c>
      <c r="H234">
        <v>2.44140625E-4</v>
      </c>
    </row>
    <row r="235" spans="1:8" x14ac:dyDescent="0.3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0</v>
      </c>
      <c r="H235">
        <v>2.44140625E-4</v>
      </c>
    </row>
    <row r="236" spans="1:8" x14ac:dyDescent="0.3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0</v>
      </c>
      <c r="H236">
        <v>2.44140625E-4</v>
      </c>
    </row>
    <row r="237" spans="1:8" x14ac:dyDescent="0.3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0</v>
      </c>
      <c r="H237">
        <v>2.44140625E-4</v>
      </c>
    </row>
    <row r="238" spans="1:8" x14ac:dyDescent="0.3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0</v>
      </c>
      <c r="H238">
        <v>2.44140625E-4</v>
      </c>
    </row>
    <row r="239" spans="1:8" x14ac:dyDescent="0.3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0</v>
      </c>
      <c r="H239">
        <v>2.44140625E-4</v>
      </c>
    </row>
    <row r="240" spans="1:8" x14ac:dyDescent="0.3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0</v>
      </c>
      <c r="H240">
        <v>2.44140625E-4</v>
      </c>
    </row>
    <row r="241" spans="1:8" x14ac:dyDescent="0.3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0</v>
      </c>
      <c r="H241">
        <v>2.44140625E-4</v>
      </c>
    </row>
    <row r="242" spans="1:8" x14ac:dyDescent="0.3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0</v>
      </c>
      <c r="H242">
        <v>2.44140625E-4</v>
      </c>
    </row>
    <row r="243" spans="1:8" x14ac:dyDescent="0.3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0</v>
      </c>
      <c r="H243">
        <v>2.44140625E-4</v>
      </c>
    </row>
    <row r="244" spans="1:8" x14ac:dyDescent="0.3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0</v>
      </c>
      <c r="H244">
        <v>2.44140625E-4</v>
      </c>
    </row>
    <row r="245" spans="1:8" x14ac:dyDescent="0.3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0</v>
      </c>
      <c r="H245">
        <v>2.44140625E-4</v>
      </c>
    </row>
    <row r="246" spans="1:8" x14ac:dyDescent="0.3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0</v>
      </c>
      <c r="H246">
        <v>2.44140625E-4</v>
      </c>
    </row>
    <row r="247" spans="1:8" x14ac:dyDescent="0.3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0</v>
      </c>
      <c r="H247">
        <v>2.44140625E-4</v>
      </c>
    </row>
    <row r="248" spans="1:8" x14ac:dyDescent="0.3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0</v>
      </c>
      <c r="H248">
        <v>2.44140625E-4</v>
      </c>
    </row>
    <row r="249" spans="1:8" x14ac:dyDescent="0.3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0</v>
      </c>
      <c r="H249">
        <v>2.44140625E-4</v>
      </c>
    </row>
    <row r="250" spans="1:8" x14ac:dyDescent="0.3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0</v>
      </c>
      <c r="H250">
        <v>2.44140625E-4</v>
      </c>
    </row>
    <row r="251" spans="1:8" x14ac:dyDescent="0.3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0</v>
      </c>
      <c r="H251">
        <v>2.44140625E-4</v>
      </c>
    </row>
    <row r="252" spans="1:8" x14ac:dyDescent="0.3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0</v>
      </c>
      <c r="H252">
        <v>2.44140625E-4</v>
      </c>
    </row>
    <row r="253" spans="1:8" x14ac:dyDescent="0.3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0</v>
      </c>
      <c r="H253">
        <v>2.44140625E-4</v>
      </c>
    </row>
    <row r="254" spans="1:8" x14ac:dyDescent="0.3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0</v>
      </c>
      <c r="H254">
        <v>2.44140625E-4</v>
      </c>
    </row>
    <row r="255" spans="1:8" x14ac:dyDescent="0.3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0</v>
      </c>
      <c r="H255">
        <v>2.44140625E-4</v>
      </c>
    </row>
    <row r="256" spans="1:8" x14ac:dyDescent="0.3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0</v>
      </c>
      <c r="H256">
        <v>2.44140625E-4</v>
      </c>
    </row>
    <row r="257" spans="1:8" x14ac:dyDescent="0.3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0</v>
      </c>
      <c r="H257">
        <v>2.44140625E-4</v>
      </c>
    </row>
    <row r="258" spans="1:8" x14ac:dyDescent="0.3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0</v>
      </c>
      <c r="H258">
        <v>2.44140625E-4</v>
      </c>
    </row>
    <row r="259" spans="1:8" x14ac:dyDescent="0.3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0</v>
      </c>
      <c r="H259">
        <v>2.44140625E-4</v>
      </c>
    </row>
    <row r="260" spans="1:8" x14ac:dyDescent="0.3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0</v>
      </c>
      <c r="H260">
        <v>2.44140625E-4</v>
      </c>
    </row>
    <row r="261" spans="1:8" x14ac:dyDescent="0.3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0</v>
      </c>
      <c r="H261">
        <v>2.44140625E-4</v>
      </c>
    </row>
    <row r="262" spans="1:8" x14ac:dyDescent="0.3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0</v>
      </c>
      <c r="H262">
        <v>2.44140625E-4</v>
      </c>
    </row>
    <row r="263" spans="1:8" x14ac:dyDescent="0.3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0</v>
      </c>
      <c r="H263">
        <v>2.44140625E-4</v>
      </c>
    </row>
    <row r="264" spans="1:8" x14ac:dyDescent="0.3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0</v>
      </c>
      <c r="H264">
        <v>2.44140625E-4</v>
      </c>
    </row>
    <row r="265" spans="1:8" x14ac:dyDescent="0.3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0</v>
      </c>
      <c r="H265">
        <v>2.44140625E-4</v>
      </c>
    </row>
    <row r="266" spans="1:8" x14ac:dyDescent="0.3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0</v>
      </c>
      <c r="H266">
        <v>2.44140625E-4</v>
      </c>
    </row>
    <row r="267" spans="1:8" x14ac:dyDescent="0.3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0</v>
      </c>
      <c r="H267">
        <v>2.44140625E-4</v>
      </c>
    </row>
    <row r="268" spans="1:8" x14ac:dyDescent="0.3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0</v>
      </c>
      <c r="H268">
        <v>2.44140625E-4</v>
      </c>
    </row>
    <row r="269" spans="1:8" x14ac:dyDescent="0.3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0</v>
      </c>
      <c r="H269">
        <v>2.44140625E-4</v>
      </c>
    </row>
    <row r="270" spans="1:8" x14ac:dyDescent="0.3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0</v>
      </c>
      <c r="H270">
        <v>2.44140625E-4</v>
      </c>
    </row>
    <row r="271" spans="1:8" x14ac:dyDescent="0.3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0</v>
      </c>
      <c r="H271">
        <v>2.44140625E-4</v>
      </c>
    </row>
    <row r="272" spans="1:8" x14ac:dyDescent="0.3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0</v>
      </c>
      <c r="H272">
        <v>2.44140625E-4</v>
      </c>
    </row>
    <row r="273" spans="1:8" x14ac:dyDescent="0.3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0</v>
      </c>
      <c r="H273">
        <v>2.44140625E-4</v>
      </c>
    </row>
    <row r="274" spans="1:8" x14ac:dyDescent="0.3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0</v>
      </c>
      <c r="H274">
        <v>2.44140625E-4</v>
      </c>
    </row>
    <row r="275" spans="1:8" x14ac:dyDescent="0.3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0</v>
      </c>
      <c r="H275">
        <v>2.44140625E-4</v>
      </c>
    </row>
    <row r="276" spans="1:8" x14ac:dyDescent="0.3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0</v>
      </c>
      <c r="H276">
        <v>2.44140625E-4</v>
      </c>
    </row>
    <row r="277" spans="1:8" x14ac:dyDescent="0.3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0</v>
      </c>
      <c r="H277">
        <v>2.44140625E-4</v>
      </c>
    </row>
    <row r="278" spans="1:8" x14ac:dyDescent="0.3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0</v>
      </c>
      <c r="H278">
        <v>2.44140625E-4</v>
      </c>
    </row>
    <row r="279" spans="1:8" x14ac:dyDescent="0.3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0</v>
      </c>
      <c r="H279">
        <v>2.44140625E-4</v>
      </c>
    </row>
    <row r="280" spans="1:8" x14ac:dyDescent="0.3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0</v>
      </c>
      <c r="H280">
        <v>2.44140625E-4</v>
      </c>
    </row>
    <row r="281" spans="1:8" x14ac:dyDescent="0.3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0</v>
      </c>
      <c r="H281">
        <v>2.44140625E-4</v>
      </c>
    </row>
    <row r="282" spans="1:8" x14ac:dyDescent="0.3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0</v>
      </c>
      <c r="H282">
        <v>2.44140625E-4</v>
      </c>
    </row>
    <row r="283" spans="1:8" x14ac:dyDescent="0.3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0</v>
      </c>
      <c r="H283">
        <v>2.44140625E-4</v>
      </c>
    </row>
    <row r="284" spans="1:8" x14ac:dyDescent="0.3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0</v>
      </c>
      <c r="H284">
        <v>2.44140625E-4</v>
      </c>
    </row>
    <row r="285" spans="1:8" x14ac:dyDescent="0.3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0</v>
      </c>
      <c r="H285">
        <v>2.44140625E-4</v>
      </c>
    </row>
    <row r="286" spans="1:8" x14ac:dyDescent="0.3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0</v>
      </c>
      <c r="H286">
        <v>2.44140625E-4</v>
      </c>
    </row>
    <row r="287" spans="1:8" x14ac:dyDescent="0.3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0</v>
      </c>
      <c r="H287">
        <v>2.44140625E-4</v>
      </c>
    </row>
    <row r="288" spans="1:8" x14ac:dyDescent="0.3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0</v>
      </c>
      <c r="H288">
        <v>2.44140625E-4</v>
      </c>
    </row>
    <row r="289" spans="1:8" x14ac:dyDescent="0.3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0</v>
      </c>
      <c r="H289">
        <v>2.44140625E-4</v>
      </c>
    </row>
    <row r="290" spans="1:8" x14ac:dyDescent="0.3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0</v>
      </c>
      <c r="H290">
        <v>2.44140625E-4</v>
      </c>
    </row>
    <row r="291" spans="1:8" x14ac:dyDescent="0.3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0</v>
      </c>
      <c r="H291">
        <v>2.44140625E-4</v>
      </c>
    </row>
    <row r="292" spans="1:8" x14ac:dyDescent="0.3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0</v>
      </c>
      <c r="H292">
        <v>2.44140625E-4</v>
      </c>
    </row>
    <row r="293" spans="1:8" x14ac:dyDescent="0.3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0</v>
      </c>
      <c r="H293">
        <v>2.44140625E-4</v>
      </c>
    </row>
    <row r="294" spans="1:8" x14ac:dyDescent="0.3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0</v>
      </c>
      <c r="H294">
        <v>2.44140625E-4</v>
      </c>
    </row>
    <row r="295" spans="1:8" x14ac:dyDescent="0.3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0</v>
      </c>
      <c r="H295">
        <v>2.44140625E-4</v>
      </c>
    </row>
    <row r="296" spans="1:8" x14ac:dyDescent="0.3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0</v>
      </c>
      <c r="H296">
        <v>2.44140625E-4</v>
      </c>
    </row>
    <row r="297" spans="1:8" x14ac:dyDescent="0.3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0</v>
      </c>
      <c r="H297">
        <v>2.44140625E-4</v>
      </c>
    </row>
    <row r="298" spans="1:8" x14ac:dyDescent="0.3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0</v>
      </c>
      <c r="H298">
        <v>2.44140625E-4</v>
      </c>
    </row>
    <row r="299" spans="1:8" x14ac:dyDescent="0.3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0</v>
      </c>
      <c r="H299">
        <v>2.44140625E-4</v>
      </c>
    </row>
    <row r="300" spans="1:8" x14ac:dyDescent="0.3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0</v>
      </c>
      <c r="H300">
        <v>2.44140625E-4</v>
      </c>
    </row>
    <row r="301" spans="1:8" x14ac:dyDescent="0.3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0</v>
      </c>
      <c r="H301">
        <v>2.44140625E-4</v>
      </c>
    </row>
    <row r="302" spans="1:8" x14ac:dyDescent="0.3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0</v>
      </c>
      <c r="H302">
        <v>2.44140625E-4</v>
      </c>
    </row>
    <row r="303" spans="1:8" x14ac:dyDescent="0.3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0</v>
      </c>
      <c r="H303">
        <v>2.44140625E-4</v>
      </c>
    </row>
    <row r="304" spans="1:8" x14ac:dyDescent="0.3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0</v>
      </c>
      <c r="H304">
        <v>2.44140625E-4</v>
      </c>
    </row>
    <row r="305" spans="1:8" x14ac:dyDescent="0.3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0</v>
      </c>
      <c r="H305">
        <v>2.44140625E-4</v>
      </c>
    </row>
    <row r="306" spans="1:8" x14ac:dyDescent="0.3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0</v>
      </c>
      <c r="H306">
        <v>2.44140625E-4</v>
      </c>
    </row>
    <row r="307" spans="1:8" x14ac:dyDescent="0.3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0</v>
      </c>
      <c r="H307">
        <v>2.44140625E-4</v>
      </c>
    </row>
    <row r="308" spans="1:8" x14ac:dyDescent="0.3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0</v>
      </c>
      <c r="H308">
        <v>2.44140625E-4</v>
      </c>
    </row>
    <row r="309" spans="1:8" x14ac:dyDescent="0.3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0</v>
      </c>
      <c r="H309">
        <v>2.44140625E-4</v>
      </c>
    </row>
    <row r="310" spans="1:8" x14ac:dyDescent="0.3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0</v>
      </c>
      <c r="H310">
        <v>2.44140625E-4</v>
      </c>
    </row>
    <row r="311" spans="1:8" x14ac:dyDescent="0.3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0</v>
      </c>
      <c r="H311">
        <v>2.44140625E-4</v>
      </c>
    </row>
    <row r="312" spans="1:8" x14ac:dyDescent="0.3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0</v>
      </c>
      <c r="H312">
        <v>2.44140625E-4</v>
      </c>
    </row>
    <row r="313" spans="1:8" x14ac:dyDescent="0.3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0</v>
      </c>
      <c r="H313">
        <v>2.44140625E-4</v>
      </c>
    </row>
    <row r="314" spans="1:8" x14ac:dyDescent="0.3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0</v>
      </c>
      <c r="H314">
        <v>2.44140625E-4</v>
      </c>
    </row>
    <row r="315" spans="1:8" x14ac:dyDescent="0.3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0</v>
      </c>
      <c r="H315">
        <v>2.44140625E-4</v>
      </c>
    </row>
    <row r="316" spans="1:8" x14ac:dyDescent="0.3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0</v>
      </c>
      <c r="H316">
        <v>2.44140625E-4</v>
      </c>
    </row>
    <row r="317" spans="1:8" x14ac:dyDescent="0.3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0</v>
      </c>
      <c r="H317">
        <v>2.44140625E-4</v>
      </c>
    </row>
    <row r="318" spans="1:8" x14ac:dyDescent="0.3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0</v>
      </c>
      <c r="H318">
        <v>2.44140625E-4</v>
      </c>
    </row>
    <row r="319" spans="1:8" x14ac:dyDescent="0.3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0</v>
      </c>
      <c r="H319">
        <v>2.44140625E-4</v>
      </c>
    </row>
    <row r="320" spans="1:8" x14ac:dyDescent="0.3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0</v>
      </c>
      <c r="H320">
        <v>2.44140625E-4</v>
      </c>
    </row>
    <row r="321" spans="1:8" x14ac:dyDescent="0.3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0</v>
      </c>
      <c r="H321">
        <v>2.44140625E-4</v>
      </c>
    </row>
    <row r="322" spans="1:8" x14ac:dyDescent="0.3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0</v>
      </c>
      <c r="H322">
        <v>2.44140625E-4</v>
      </c>
    </row>
    <row r="323" spans="1:8" x14ac:dyDescent="0.3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0</v>
      </c>
      <c r="H323">
        <v>2.44140625E-4</v>
      </c>
    </row>
    <row r="324" spans="1:8" x14ac:dyDescent="0.3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0</v>
      </c>
      <c r="H324">
        <v>2.44140625E-4</v>
      </c>
    </row>
    <row r="325" spans="1:8" x14ac:dyDescent="0.3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0</v>
      </c>
      <c r="H325">
        <v>2.44140625E-4</v>
      </c>
    </row>
    <row r="326" spans="1:8" x14ac:dyDescent="0.3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0</v>
      </c>
      <c r="H326">
        <v>2.44140625E-4</v>
      </c>
    </row>
    <row r="327" spans="1:8" x14ac:dyDescent="0.3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0</v>
      </c>
      <c r="H327">
        <v>2.44140625E-4</v>
      </c>
    </row>
    <row r="328" spans="1:8" x14ac:dyDescent="0.3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0</v>
      </c>
      <c r="H328">
        <v>2.44140625E-4</v>
      </c>
    </row>
    <row r="329" spans="1:8" x14ac:dyDescent="0.3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0</v>
      </c>
      <c r="H329">
        <v>2.44140625E-4</v>
      </c>
    </row>
    <row r="330" spans="1:8" x14ac:dyDescent="0.3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0</v>
      </c>
      <c r="H330">
        <v>2.44140625E-4</v>
      </c>
    </row>
    <row r="331" spans="1:8" x14ac:dyDescent="0.3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0</v>
      </c>
      <c r="H331">
        <v>2.44140625E-4</v>
      </c>
    </row>
    <row r="332" spans="1:8" x14ac:dyDescent="0.3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0</v>
      </c>
      <c r="H332">
        <v>2.44140625E-4</v>
      </c>
    </row>
    <row r="333" spans="1:8" x14ac:dyDescent="0.3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0</v>
      </c>
      <c r="H333">
        <v>2.44140625E-4</v>
      </c>
    </row>
    <row r="334" spans="1:8" x14ac:dyDescent="0.3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0</v>
      </c>
      <c r="H334">
        <v>2.44140625E-4</v>
      </c>
    </row>
    <row r="335" spans="1:8" x14ac:dyDescent="0.3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0</v>
      </c>
      <c r="H335">
        <v>2.44140625E-4</v>
      </c>
    </row>
    <row r="336" spans="1:8" x14ac:dyDescent="0.3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0</v>
      </c>
      <c r="H336">
        <v>2.44140625E-4</v>
      </c>
    </row>
    <row r="337" spans="1:8" x14ac:dyDescent="0.3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0</v>
      </c>
      <c r="H337">
        <v>2.44140625E-4</v>
      </c>
    </row>
    <row r="338" spans="1:8" x14ac:dyDescent="0.3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0</v>
      </c>
      <c r="H338">
        <v>2.44140625E-4</v>
      </c>
    </row>
    <row r="339" spans="1:8" x14ac:dyDescent="0.3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0</v>
      </c>
      <c r="H339">
        <v>2.44140625E-4</v>
      </c>
    </row>
    <row r="340" spans="1:8" x14ac:dyDescent="0.3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0</v>
      </c>
      <c r="H340">
        <v>2.44140625E-4</v>
      </c>
    </row>
    <row r="341" spans="1:8" x14ac:dyDescent="0.3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0</v>
      </c>
      <c r="H341">
        <v>2.44140625E-4</v>
      </c>
    </row>
    <row r="342" spans="1:8" x14ac:dyDescent="0.3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0</v>
      </c>
      <c r="H342">
        <v>2.44140625E-4</v>
      </c>
    </row>
    <row r="343" spans="1:8" x14ac:dyDescent="0.3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0</v>
      </c>
      <c r="H343">
        <v>2.44140625E-4</v>
      </c>
    </row>
    <row r="344" spans="1:8" x14ac:dyDescent="0.3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0</v>
      </c>
      <c r="H344">
        <v>2.44140625E-4</v>
      </c>
    </row>
    <row r="345" spans="1:8" x14ac:dyDescent="0.3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0</v>
      </c>
      <c r="H345">
        <v>2.44140625E-4</v>
      </c>
    </row>
    <row r="346" spans="1:8" x14ac:dyDescent="0.3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0</v>
      </c>
      <c r="H346">
        <v>2.44140625E-4</v>
      </c>
    </row>
    <row r="347" spans="1:8" x14ac:dyDescent="0.3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0</v>
      </c>
      <c r="H347">
        <v>2.44140625E-4</v>
      </c>
    </row>
    <row r="348" spans="1:8" x14ac:dyDescent="0.3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0</v>
      </c>
      <c r="H348">
        <v>2.44140625E-4</v>
      </c>
    </row>
    <row r="349" spans="1:8" x14ac:dyDescent="0.3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0</v>
      </c>
      <c r="H349">
        <v>2.44140625E-4</v>
      </c>
    </row>
    <row r="350" spans="1:8" x14ac:dyDescent="0.3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0</v>
      </c>
      <c r="H350">
        <v>2.44140625E-4</v>
      </c>
    </row>
    <row r="351" spans="1:8" x14ac:dyDescent="0.3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0</v>
      </c>
      <c r="H351">
        <v>2.44140625E-4</v>
      </c>
    </row>
    <row r="352" spans="1:8" x14ac:dyDescent="0.3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0</v>
      </c>
      <c r="H352">
        <v>2.44140625E-4</v>
      </c>
    </row>
    <row r="353" spans="1:8" x14ac:dyDescent="0.3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0</v>
      </c>
      <c r="H353">
        <v>2.44140625E-4</v>
      </c>
    </row>
    <row r="354" spans="1:8" x14ac:dyDescent="0.3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0</v>
      </c>
      <c r="H354">
        <v>2.44140625E-4</v>
      </c>
    </row>
    <row r="355" spans="1:8" x14ac:dyDescent="0.3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0</v>
      </c>
      <c r="H355">
        <v>2.44140625E-4</v>
      </c>
    </row>
    <row r="356" spans="1:8" x14ac:dyDescent="0.3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0</v>
      </c>
      <c r="H356">
        <v>2.44140625E-4</v>
      </c>
    </row>
    <row r="357" spans="1:8" x14ac:dyDescent="0.3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0</v>
      </c>
      <c r="H357">
        <v>2.44140625E-4</v>
      </c>
    </row>
    <row r="358" spans="1:8" x14ac:dyDescent="0.3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0</v>
      </c>
      <c r="H358">
        <v>2.44140625E-4</v>
      </c>
    </row>
    <row r="359" spans="1:8" x14ac:dyDescent="0.3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0</v>
      </c>
      <c r="H359">
        <v>2.44140625E-4</v>
      </c>
    </row>
    <row r="360" spans="1:8" x14ac:dyDescent="0.3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0</v>
      </c>
      <c r="H360">
        <v>2.44140625E-4</v>
      </c>
    </row>
    <row r="361" spans="1:8" x14ac:dyDescent="0.3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0</v>
      </c>
      <c r="H361">
        <v>2.44140625E-4</v>
      </c>
    </row>
    <row r="362" spans="1:8" x14ac:dyDescent="0.3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0</v>
      </c>
      <c r="H362">
        <v>2.44140625E-4</v>
      </c>
    </row>
    <row r="363" spans="1:8" x14ac:dyDescent="0.3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0</v>
      </c>
      <c r="H363">
        <v>2.44140625E-4</v>
      </c>
    </row>
    <row r="364" spans="1:8" x14ac:dyDescent="0.3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0</v>
      </c>
      <c r="H364">
        <v>2.44140625E-4</v>
      </c>
    </row>
    <row r="365" spans="1:8" x14ac:dyDescent="0.3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0</v>
      </c>
      <c r="H365">
        <v>2.44140625E-4</v>
      </c>
    </row>
    <row r="366" spans="1:8" x14ac:dyDescent="0.3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0</v>
      </c>
      <c r="H366">
        <v>2.44140625E-4</v>
      </c>
    </row>
    <row r="367" spans="1:8" x14ac:dyDescent="0.3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0</v>
      </c>
      <c r="H367">
        <v>2.44140625E-4</v>
      </c>
    </row>
    <row r="368" spans="1:8" x14ac:dyDescent="0.3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0</v>
      </c>
      <c r="H368">
        <v>2.44140625E-4</v>
      </c>
    </row>
    <row r="369" spans="1:8" x14ac:dyDescent="0.3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0</v>
      </c>
      <c r="H369">
        <v>2.44140625E-4</v>
      </c>
    </row>
    <row r="370" spans="1:8" x14ac:dyDescent="0.3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0</v>
      </c>
      <c r="H370">
        <v>2.44140625E-4</v>
      </c>
    </row>
    <row r="371" spans="1:8" x14ac:dyDescent="0.3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0</v>
      </c>
      <c r="H371">
        <v>2.44140625E-4</v>
      </c>
    </row>
    <row r="372" spans="1:8" x14ac:dyDescent="0.3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0</v>
      </c>
      <c r="H372">
        <v>2.44140625E-4</v>
      </c>
    </row>
    <row r="373" spans="1:8" x14ac:dyDescent="0.3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0</v>
      </c>
      <c r="H373">
        <v>2.44140625E-4</v>
      </c>
    </row>
    <row r="374" spans="1:8" x14ac:dyDescent="0.3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0</v>
      </c>
      <c r="H374">
        <v>2.44140625E-4</v>
      </c>
    </row>
    <row r="375" spans="1:8" x14ac:dyDescent="0.3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0</v>
      </c>
      <c r="H375">
        <v>2.44140625E-4</v>
      </c>
    </row>
    <row r="376" spans="1:8" x14ac:dyDescent="0.3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0</v>
      </c>
      <c r="H376">
        <v>2.44140625E-4</v>
      </c>
    </row>
    <row r="377" spans="1:8" x14ac:dyDescent="0.3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0</v>
      </c>
      <c r="H377">
        <v>2.44140625E-4</v>
      </c>
    </row>
    <row r="378" spans="1:8" x14ac:dyDescent="0.3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0</v>
      </c>
      <c r="H378">
        <v>2.44140625E-4</v>
      </c>
    </row>
    <row r="379" spans="1:8" x14ac:dyDescent="0.3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0</v>
      </c>
      <c r="H379">
        <v>2.44140625E-4</v>
      </c>
    </row>
    <row r="380" spans="1:8" x14ac:dyDescent="0.3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0</v>
      </c>
      <c r="H380">
        <v>2.44140625E-4</v>
      </c>
    </row>
    <row r="381" spans="1:8" x14ac:dyDescent="0.3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0</v>
      </c>
      <c r="H381">
        <v>2.44140625E-4</v>
      </c>
    </row>
    <row r="382" spans="1:8" x14ac:dyDescent="0.3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0</v>
      </c>
      <c r="H382">
        <v>2.44140625E-4</v>
      </c>
    </row>
    <row r="383" spans="1:8" x14ac:dyDescent="0.3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0</v>
      </c>
      <c r="H383">
        <v>2.44140625E-4</v>
      </c>
    </row>
    <row r="384" spans="1:8" x14ac:dyDescent="0.3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0</v>
      </c>
      <c r="H384">
        <v>2.44140625E-4</v>
      </c>
    </row>
    <row r="385" spans="1:8" x14ac:dyDescent="0.3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0</v>
      </c>
      <c r="H385">
        <v>2.44140625E-4</v>
      </c>
    </row>
    <row r="386" spans="1:8" x14ac:dyDescent="0.3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0</v>
      </c>
      <c r="H386">
        <v>2.44140625E-4</v>
      </c>
    </row>
    <row r="387" spans="1:8" x14ac:dyDescent="0.3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0</v>
      </c>
      <c r="H387">
        <v>2.44140625E-4</v>
      </c>
    </row>
    <row r="388" spans="1:8" x14ac:dyDescent="0.3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0</v>
      </c>
      <c r="H388">
        <v>2.44140625E-4</v>
      </c>
    </row>
    <row r="389" spans="1:8" x14ac:dyDescent="0.3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0</v>
      </c>
      <c r="H389">
        <v>2.44140625E-4</v>
      </c>
    </row>
    <row r="390" spans="1:8" x14ac:dyDescent="0.3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0</v>
      </c>
      <c r="H390">
        <v>2.44140625E-4</v>
      </c>
    </row>
    <row r="391" spans="1:8" x14ac:dyDescent="0.3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0</v>
      </c>
      <c r="H391">
        <v>2.44140625E-4</v>
      </c>
    </row>
    <row r="392" spans="1:8" x14ac:dyDescent="0.3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0</v>
      </c>
      <c r="H392">
        <v>2.44140625E-4</v>
      </c>
    </row>
    <row r="393" spans="1:8" x14ac:dyDescent="0.3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0</v>
      </c>
      <c r="H393">
        <v>2.44140625E-4</v>
      </c>
    </row>
    <row r="394" spans="1:8" x14ac:dyDescent="0.3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0</v>
      </c>
      <c r="H394">
        <v>2.44140625E-4</v>
      </c>
    </row>
    <row r="395" spans="1:8" x14ac:dyDescent="0.3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0</v>
      </c>
      <c r="H395">
        <v>2.44140625E-4</v>
      </c>
    </row>
    <row r="396" spans="1:8" x14ac:dyDescent="0.3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0</v>
      </c>
      <c r="H396">
        <v>2.44140625E-4</v>
      </c>
    </row>
    <row r="397" spans="1:8" x14ac:dyDescent="0.3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0</v>
      </c>
      <c r="H397">
        <v>2.44140625E-4</v>
      </c>
    </row>
    <row r="398" spans="1:8" x14ac:dyDescent="0.3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0</v>
      </c>
      <c r="H398">
        <v>2.44140625E-4</v>
      </c>
    </row>
    <row r="399" spans="1:8" x14ac:dyDescent="0.3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0</v>
      </c>
      <c r="H399">
        <v>2.44140625E-4</v>
      </c>
    </row>
    <row r="400" spans="1:8" x14ac:dyDescent="0.3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0</v>
      </c>
      <c r="H400">
        <v>2.44140625E-4</v>
      </c>
    </row>
    <row r="401" spans="1:8" x14ac:dyDescent="0.3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0</v>
      </c>
      <c r="H401">
        <v>2.44140625E-4</v>
      </c>
    </row>
    <row r="402" spans="1:8" x14ac:dyDescent="0.3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0</v>
      </c>
      <c r="H402">
        <v>2.44140625E-4</v>
      </c>
    </row>
    <row r="403" spans="1:8" x14ac:dyDescent="0.3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0</v>
      </c>
      <c r="H403">
        <v>2.44140625E-4</v>
      </c>
    </row>
    <row r="404" spans="1:8" x14ac:dyDescent="0.3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0</v>
      </c>
      <c r="H404">
        <v>2.44140625E-4</v>
      </c>
    </row>
    <row r="405" spans="1:8" x14ac:dyDescent="0.3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0</v>
      </c>
      <c r="H405">
        <v>2.44140625E-4</v>
      </c>
    </row>
    <row r="406" spans="1:8" x14ac:dyDescent="0.3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0</v>
      </c>
      <c r="H406">
        <v>2.44140625E-4</v>
      </c>
    </row>
    <row r="407" spans="1:8" x14ac:dyDescent="0.3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0</v>
      </c>
      <c r="H407">
        <v>2.44140625E-4</v>
      </c>
    </row>
    <row r="408" spans="1:8" x14ac:dyDescent="0.3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0</v>
      </c>
      <c r="H408">
        <v>2.44140625E-4</v>
      </c>
    </row>
    <row r="409" spans="1:8" x14ac:dyDescent="0.3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0</v>
      </c>
      <c r="H409">
        <v>2.44140625E-4</v>
      </c>
    </row>
    <row r="410" spans="1:8" x14ac:dyDescent="0.3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0</v>
      </c>
      <c r="H410">
        <v>2.44140625E-4</v>
      </c>
    </row>
    <row r="411" spans="1:8" x14ac:dyDescent="0.3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0</v>
      </c>
      <c r="H411">
        <v>2.44140625E-4</v>
      </c>
    </row>
    <row r="412" spans="1:8" x14ac:dyDescent="0.3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0</v>
      </c>
      <c r="H412">
        <v>2.44140625E-4</v>
      </c>
    </row>
    <row r="413" spans="1:8" x14ac:dyDescent="0.3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0</v>
      </c>
      <c r="H413">
        <v>2.44140625E-4</v>
      </c>
    </row>
    <row r="414" spans="1:8" x14ac:dyDescent="0.3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0</v>
      </c>
      <c r="H414">
        <v>2.44140625E-4</v>
      </c>
    </row>
    <row r="415" spans="1:8" x14ac:dyDescent="0.3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0</v>
      </c>
      <c r="H415">
        <v>2.44140625E-4</v>
      </c>
    </row>
    <row r="416" spans="1:8" x14ac:dyDescent="0.3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0</v>
      </c>
      <c r="H416">
        <v>2.44140625E-4</v>
      </c>
    </row>
    <row r="417" spans="1:8" x14ac:dyDescent="0.3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0</v>
      </c>
      <c r="H417">
        <v>2.44140625E-4</v>
      </c>
    </row>
    <row r="418" spans="1:8" x14ac:dyDescent="0.3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0</v>
      </c>
      <c r="H418">
        <v>2.44140625E-4</v>
      </c>
    </row>
    <row r="419" spans="1:8" x14ac:dyDescent="0.3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0</v>
      </c>
      <c r="H419">
        <v>2.44140625E-4</v>
      </c>
    </row>
    <row r="420" spans="1:8" x14ac:dyDescent="0.3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0</v>
      </c>
      <c r="H420">
        <v>2.44140625E-4</v>
      </c>
    </row>
    <row r="421" spans="1:8" x14ac:dyDescent="0.3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0</v>
      </c>
      <c r="H421">
        <v>2.44140625E-4</v>
      </c>
    </row>
    <row r="422" spans="1:8" x14ac:dyDescent="0.3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0</v>
      </c>
      <c r="H422">
        <v>2.44140625E-4</v>
      </c>
    </row>
    <row r="423" spans="1:8" x14ac:dyDescent="0.3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0</v>
      </c>
      <c r="H423">
        <v>2.44140625E-4</v>
      </c>
    </row>
    <row r="424" spans="1:8" x14ac:dyDescent="0.3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0</v>
      </c>
      <c r="H424">
        <v>2.44140625E-4</v>
      </c>
    </row>
    <row r="425" spans="1:8" x14ac:dyDescent="0.3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0</v>
      </c>
      <c r="H425">
        <v>2.44140625E-4</v>
      </c>
    </row>
    <row r="426" spans="1:8" x14ac:dyDescent="0.3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0</v>
      </c>
      <c r="H426">
        <v>2.44140625E-4</v>
      </c>
    </row>
    <row r="427" spans="1:8" x14ac:dyDescent="0.3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0</v>
      </c>
      <c r="H427">
        <v>2.44140625E-4</v>
      </c>
    </row>
    <row r="428" spans="1:8" x14ac:dyDescent="0.3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0</v>
      </c>
      <c r="H428">
        <v>2.44140625E-4</v>
      </c>
    </row>
    <row r="429" spans="1:8" x14ac:dyDescent="0.3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0</v>
      </c>
      <c r="H429">
        <v>2.44140625E-4</v>
      </c>
    </row>
    <row r="430" spans="1:8" x14ac:dyDescent="0.3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0</v>
      </c>
      <c r="H430">
        <v>2.44140625E-4</v>
      </c>
    </row>
    <row r="431" spans="1:8" x14ac:dyDescent="0.3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0</v>
      </c>
      <c r="H431">
        <v>2.44140625E-4</v>
      </c>
    </row>
    <row r="432" spans="1:8" x14ac:dyDescent="0.3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0</v>
      </c>
      <c r="H432">
        <v>2.44140625E-4</v>
      </c>
    </row>
    <row r="433" spans="1:8" x14ac:dyDescent="0.3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0</v>
      </c>
      <c r="H433">
        <v>2.44140625E-4</v>
      </c>
    </row>
    <row r="434" spans="1:8" x14ac:dyDescent="0.3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0</v>
      </c>
      <c r="H434">
        <v>2.44140625E-4</v>
      </c>
    </row>
    <row r="435" spans="1:8" x14ac:dyDescent="0.3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0</v>
      </c>
      <c r="H435">
        <v>2.44140625E-4</v>
      </c>
    </row>
    <row r="436" spans="1:8" x14ac:dyDescent="0.3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0</v>
      </c>
      <c r="H436">
        <v>2.44140625E-4</v>
      </c>
    </row>
    <row r="437" spans="1:8" x14ac:dyDescent="0.3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0</v>
      </c>
      <c r="H437">
        <v>2.44140625E-4</v>
      </c>
    </row>
    <row r="438" spans="1:8" x14ac:dyDescent="0.3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0</v>
      </c>
      <c r="H438">
        <v>2.44140625E-4</v>
      </c>
    </row>
    <row r="439" spans="1:8" x14ac:dyDescent="0.3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0</v>
      </c>
      <c r="H439">
        <v>2.44140625E-4</v>
      </c>
    </row>
    <row r="440" spans="1:8" x14ac:dyDescent="0.3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0</v>
      </c>
      <c r="H440">
        <v>2.44140625E-4</v>
      </c>
    </row>
    <row r="441" spans="1:8" x14ac:dyDescent="0.3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0</v>
      </c>
      <c r="H441">
        <v>2.44140625E-4</v>
      </c>
    </row>
    <row r="442" spans="1:8" x14ac:dyDescent="0.3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0</v>
      </c>
      <c r="H442">
        <v>2.44140625E-4</v>
      </c>
    </row>
    <row r="443" spans="1:8" x14ac:dyDescent="0.3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0</v>
      </c>
      <c r="H443">
        <v>2.44140625E-4</v>
      </c>
    </row>
    <row r="444" spans="1:8" x14ac:dyDescent="0.3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0</v>
      </c>
      <c r="H444">
        <v>2.44140625E-4</v>
      </c>
    </row>
    <row r="445" spans="1:8" x14ac:dyDescent="0.3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0</v>
      </c>
      <c r="H445">
        <v>2.44140625E-4</v>
      </c>
    </row>
    <row r="446" spans="1:8" x14ac:dyDescent="0.3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0</v>
      </c>
      <c r="H446">
        <v>2.44140625E-4</v>
      </c>
    </row>
    <row r="447" spans="1:8" x14ac:dyDescent="0.3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0</v>
      </c>
      <c r="H447">
        <v>2.44140625E-4</v>
      </c>
    </row>
    <row r="448" spans="1:8" x14ac:dyDescent="0.3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0</v>
      </c>
      <c r="H448">
        <v>2.44140625E-4</v>
      </c>
    </row>
    <row r="449" spans="1:8" x14ac:dyDescent="0.3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0</v>
      </c>
      <c r="H449">
        <v>2.44140625E-4</v>
      </c>
    </row>
    <row r="450" spans="1:8" x14ac:dyDescent="0.3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0</v>
      </c>
      <c r="H450">
        <v>2.44140625E-4</v>
      </c>
    </row>
    <row r="451" spans="1:8" x14ac:dyDescent="0.3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0</v>
      </c>
      <c r="H451">
        <v>2.44140625E-4</v>
      </c>
    </row>
    <row r="452" spans="1:8" x14ac:dyDescent="0.3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0</v>
      </c>
      <c r="H452">
        <v>2.44140625E-4</v>
      </c>
    </row>
    <row r="453" spans="1:8" x14ac:dyDescent="0.3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0</v>
      </c>
      <c r="H453">
        <v>2.44140625E-4</v>
      </c>
    </row>
    <row r="454" spans="1:8" x14ac:dyDescent="0.3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0</v>
      </c>
      <c r="H454">
        <v>2.44140625E-4</v>
      </c>
    </row>
    <row r="455" spans="1:8" x14ac:dyDescent="0.3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0</v>
      </c>
      <c r="H455">
        <v>2.44140625E-4</v>
      </c>
    </row>
    <row r="456" spans="1:8" x14ac:dyDescent="0.3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0</v>
      </c>
      <c r="H456">
        <v>2.44140625E-4</v>
      </c>
    </row>
    <row r="457" spans="1:8" x14ac:dyDescent="0.3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0</v>
      </c>
      <c r="H457">
        <v>2.44140625E-4</v>
      </c>
    </row>
    <row r="458" spans="1:8" x14ac:dyDescent="0.3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0</v>
      </c>
      <c r="H458">
        <v>2.44140625E-4</v>
      </c>
    </row>
    <row r="459" spans="1:8" x14ac:dyDescent="0.3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0</v>
      </c>
      <c r="H459">
        <v>2.44140625E-4</v>
      </c>
    </row>
    <row r="460" spans="1:8" x14ac:dyDescent="0.3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0</v>
      </c>
      <c r="H460">
        <v>2.44140625E-4</v>
      </c>
    </row>
    <row r="461" spans="1:8" x14ac:dyDescent="0.3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0</v>
      </c>
      <c r="H461">
        <v>2.44140625E-4</v>
      </c>
    </row>
    <row r="462" spans="1:8" x14ac:dyDescent="0.3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0</v>
      </c>
      <c r="H462">
        <v>2.44140625E-4</v>
      </c>
    </row>
    <row r="463" spans="1:8" x14ac:dyDescent="0.3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0</v>
      </c>
      <c r="H463">
        <v>2.44140625E-4</v>
      </c>
    </row>
    <row r="464" spans="1:8" x14ac:dyDescent="0.3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0</v>
      </c>
      <c r="H464">
        <v>2.44140625E-4</v>
      </c>
    </row>
    <row r="465" spans="1:8" x14ac:dyDescent="0.3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0</v>
      </c>
      <c r="H465">
        <v>2.44140625E-4</v>
      </c>
    </row>
    <row r="466" spans="1:8" x14ac:dyDescent="0.3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0</v>
      </c>
      <c r="H466">
        <v>2.44140625E-4</v>
      </c>
    </row>
    <row r="467" spans="1:8" x14ac:dyDescent="0.3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0</v>
      </c>
      <c r="H467">
        <v>2.44140625E-4</v>
      </c>
    </row>
    <row r="468" spans="1:8" x14ac:dyDescent="0.3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0</v>
      </c>
      <c r="H468">
        <v>2.44140625E-4</v>
      </c>
    </row>
    <row r="469" spans="1:8" x14ac:dyDescent="0.3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0</v>
      </c>
      <c r="H469">
        <v>2.44140625E-4</v>
      </c>
    </row>
    <row r="470" spans="1:8" x14ac:dyDescent="0.3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0</v>
      </c>
      <c r="H470">
        <v>2.44140625E-4</v>
      </c>
    </row>
    <row r="471" spans="1:8" x14ac:dyDescent="0.3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0</v>
      </c>
      <c r="H471">
        <v>2.44140625E-4</v>
      </c>
    </row>
    <row r="472" spans="1:8" x14ac:dyDescent="0.3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0</v>
      </c>
      <c r="H472">
        <v>2.44140625E-4</v>
      </c>
    </row>
    <row r="473" spans="1:8" x14ac:dyDescent="0.3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0</v>
      </c>
      <c r="H473">
        <v>2.44140625E-4</v>
      </c>
    </row>
    <row r="474" spans="1:8" x14ac:dyDescent="0.3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0</v>
      </c>
      <c r="H474">
        <v>2.44140625E-4</v>
      </c>
    </row>
    <row r="475" spans="1:8" x14ac:dyDescent="0.3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0</v>
      </c>
      <c r="H475">
        <v>2.44140625E-4</v>
      </c>
    </row>
    <row r="476" spans="1:8" x14ac:dyDescent="0.3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0</v>
      </c>
      <c r="H476">
        <v>2.44140625E-4</v>
      </c>
    </row>
    <row r="477" spans="1:8" x14ac:dyDescent="0.3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0</v>
      </c>
      <c r="H477">
        <v>2.44140625E-4</v>
      </c>
    </row>
    <row r="478" spans="1:8" x14ac:dyDescent="0.3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0</v>
      </c>
      <c r="H478">
        <v>2.44140625E-4</v>
      </c>
    </row>
    <row r="479" spans="1:8" x14ac:dyDescent="0.3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0</v>
      </c>
      <c r="H479">
        <v>2.44140625E-4</v>
      </c>
    </row>
    <row r="480" spans="1:8" x14ac:dyDescent="0.3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0</v>
      </c>
      <c r="H480">
        <v>2.44140625E-4</v>
      </c>
    </row>
    <row r="481" spans="1:8" x14ac:dyDescent="0.3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0</v>
      </c>
      <c r="H481">
        <v>2.44140625E-4</v>
      </c>
    </row>
    <row r="482" spans="1:8" x14ac:dyDescent="0.3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0</v>
      </c>
      <c r="H482">
        <v>2.44140625E-4</v>
      </c>
    </row>
    <row r="483" spans="1:8" x14ac:dyDescent="0.3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0</v>
      </c>
      <c r="H483">
        <v>2.44140625E-4</v>
      </c>
    </row>
    <row r="484" spans="1:8" x14ac:dyDescent="0.3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0</v>
      </c>
      <c r="H484">
        <v>2.44140625E-4</v>
      </c>
    </row>
    <row r="485" spans="1:8" x14ac:dyDescent="0.3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0</v>
      </c>
      <c r="H485">
        <v>2.44140625E-4</v>
      </c>
    </row>
    <row r="486" spans="1:8" x14ac:dyDescent="0.3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0</v>
      </c>
      <c r="H486">
        <v>2.44140625E-4</v>
      </c>
    </row>
    <row r="487" spans="1:8" x14ac:dyDescent="0.3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0</v>
      </c>
      <c r="H487">
        <v>2.44140625E-4</v>
      </c>
    </row>
    <row r="488" spans="1:8" x14ac:dyDescent="0.3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0</v>
      </c>
      <c r="H488">
        <v>2.44140625E-4</v>
      </c>
    </row>
    <row r="489" spans="1:8" x14ac:dyDescent="0.3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0</v>
      </c>
      <c r="H489">
        <v>2.44140625E-4</v>
      </c>
    </row>
    <row r="490" spans="1:8" x14ac:dyDescent="0.3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0</v>
      </c>
      <c r="H490">
        <v>2.44140625E-4</v>
      </c>
    </row>
    <row r="491" spans="1:8" x14ac:dyDescent="0.3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0</v>
      </c>
      <c r="H491">
        <v>2.44140625E-4</v>
      </c>
    </row>
    <row r="492" spans="1:8" x14ac:dyDescent="0.3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0</v>
      </c>
      <c r="H492">
        <v>2.44140625E-4</v>
      </c>
    </row>
    <row r="493" spans="1:8" x14ac:dyDescent="0.3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0</v>
      </c>
      <c r="H493">
        <v>2.44140625E-4</v>
      </c>
    </row>
    <row r="494" spans="1:8" x14ac:dyDescent="0.3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0</v>
      </c>
      <c r="H494">
        <v>2.44140625E-4</v>
      </c>
    </row>
    <row r="495" spans="1:8" x14ac:dyDescent="0.3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0</v>
      </c>
      <c r="H495">
        <v>2.44140625E-4</v>
      </c>
    </row>
    <row r="496" spans="1:8" x14ac:dyDescent="0.3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0</v>
      </c>
      <c r="H496">
        <v>2.44140625E-4</v>
      </c>
    </row>
    <row r="497" spans="1:8" x14ac:dyDescent="0.3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0</v>
      </c>
      <c r="H497">
        <v>2.44140625E-4</v>
      </c>
    </row>
    <row r="498" spans="1:8" x14ac:dyDescent="0.3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0</v>
      </c>
      <c r="H498">
        <v>2.44140625E-4</v>
      </c>
    </row>
    <row r="499" spans="1:8" x14ac:dyDescent="0.3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0</v>
      </c>
      <c r="H499">
        <v>2.44140625E-4</v>
      </c>
    </row>
    <row r="500" spans="1:8" x14ac:dyDescent="0.3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0</v>
      </c>
      <c r="H500">
        <v>2.44140625E-4</v>
      </c>
    </row>
    <row r="501" spans="1:8" x14ac:dyDescent="0.3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0</v>
      </c>
      <c r="H501">
        <v>2.44140625E-4</v>
      </c>
    </row>
    <row r="502" spans="1:8" x14ac:dyDescent="0.3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0</v>
      </c>
      <c r="H502">
        <v>2.44140625E-4</v>
      </c>
    </row>
    <row r="503" spans="1:8" x14ac:dyDescent="0.3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0</v>
      </c>
      <c r="H503">
        <v>2.44140625E-4</v>
      </c>
    </row>
    <row r="504" spans="1:8" x14ac:dyDescent="0.3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0</v>
      </c>
      <c r="H504">
        <v>2.44140625E-4</v>
      </c>
    </row>
    <row r="505" spans="1:8" x14ac:dyDescent="0.3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0</v>
      </c>
      <c r="H505">
        <v>2.44140625E-4</v>
      </c>
    </row>
    <row r="506" spans="1:8" x14ac:dyDescent="0.3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0</v>
      </c>
      <c r="H506">
        <v>2.44140625E-4</v>
      </c>
    </row>
    <row r="507" spans="1:8" x14ac:dyDescent="0.3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0</v>
      </c>
      <c r="H507">
        <v>2.44140625E-4</v>
      </c>
    </row>
    <row r="508" spans="1:8" x14ac:dyDescent="0.3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0</v>
      </c>
      <c r="H508">
        <v>2.44140625E-4</v>
      </c>
    </row>
    <row r="509" spans="1:8" x14ac:dyDescent="0.3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0</v>
      </c>
      <c r="H509">
        <v>2.44140625E-4</v>
      </c>
    </row>
    <row r="510" spans="1:8" x14ac:dyDescent="0.3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0</v>
      </c>
      <c r="H510">
        <v>2.44140625E-4</v>
      </c>
    </row>
    <row r="511" spans="1:8" x14ac:dyDescent="0.3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0</v>
      </c>
      <c r="H511">
        <v>2.44140625E-4</v>
      </c>
    </row>
    <row r="512" spans="1:8" x14ac:dyDescent="0.3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0</v>
      </c>
      <c r="H512">
        <v>2.44140625E-4</v>
      </c>
    </row>
    <row r="513" spans="1:8" x14ac:dyDescent="0.3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0</v>
      </c>
      <c r="H513">
        <v>2.44140625E-4</v>
      </c>
    </row>
    <row r="514" spans="1:8" x14ac:dyDescent="0.3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0</v>
      </c>
      <c r="H514">
        <v>2.44140625E-4</v>
      </c>
    </row>
    <row r="515" spans="1:8" x14ac:dyDescent="0.3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0</v>
      </c>
      <c r="H515">
        <v>2.44140625E-4</v>
      </c>
    </row>
    <row r="516" spans="1:8" x14ac:dyDescent="0.3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0</v>
      </c>
      <c r="H516">
        <v>2.44140625E-4</v>
      </c>
    </row>
    <row r="517" spans="1:8" x14ac:dyDescent="0.3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0</v>
      </c>
      <c r="H517">
        <v>2.44140625E-4</v>
      </c>
    </row>
    <row r="518" spans="1:8" x14ac:dyDescent="0.3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0</v>
      </c>
      <c r="H518">
        <v>2.44140625E-4</v>
      </c>
    </row>
    <row r="519" spans="1:8" x14ac:dyDescent="0.3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0</v>
      </c>
      <c r="H519">
        <v>2.44140625E-4</v>
      </c>
    </row>
    <row r="520" spans="1:8" x14ac:dyDescent="0.3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0</v>
      </c>
      <c r="H520">
        <v>2.44140625E-4</v>
      </c>
    </row>
    <row r="521" spans="1:8" x14ac:dyDescent="0.3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0</v>
      </c>
      <c r="H521">
        <v>2.44140625E-4</v>
      </c>
    </row>
    <row r="522" spans="1:8" x14ac:dyDescent="0.3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0</v>
      </c>
      <c r="H522">
        <v>2.44140625E-4</v>
      </c>
    </row>
    <row r="523" spans="1:8" x14ac:dyDescent="0.3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0</v>
      </c>
      <c r="H523">
        <v>2.44140625E-4</v>
      </c>
    </row>
    <row r="524" spans="1:8" x14ac:dyDescent="0.3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0</v>
      </c>
      <c r="H524">
        <v>2.44140625E-4</v>
      </c>
    </row>
    <row r="525" spans="1:8" x14ac:dyDescent="0.3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0</v>
      </c>
      <c r="H525">
        <v>2.44140625E-4</v>
      </c>
    </row>
    <row r="526" spans="1:8" x14ac:dyDescent="0.3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0</v>
      </c>
      <c r="H526">
        <v>2.44140625E-4</v>
      </c>
    </row>
    <row r="527" spans="1:8" x14ac:dyDescent="0.3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0</v>
      </c>
      <c r="H527">
        <v>2.44140625E-4</v>
      </c>
    </row>
    <row r="528" spans="1:8" x14ac:dyDescent="0.3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0</v>
      </c>
      <c r="H528">
        <v>2.44140625E-4</v>
      </c>
    </row>
    <row r="529" spans="1:8" x14ac:dyDescent="0.3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0</v>
      </c>
      <c r="H529">
        <v>2.44140625E-4</v>
      </c>
    </row>
    <row r="530" spans="1:8" x14ac:dyDescent="0.3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0</v>
      </c>
      <c r="H530">
        <v>2.44140625E-4</v>
      </c>
    </row>
    <row r="531" spans="1:8" x14ac:dyDescent="0.3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0</v>
      </c>
      <c r="H531">
        <v>2.44140625E-4</v>
      </c>
    </row>
    <row r="532" spans="1:8" x14ac:dyDescent="0.3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0</v>
      </c>
      <c r="H532">
        <v>2.44140625E-4</v>
      </c>
    </row>
    <row r="533" spans="1:8" x14ac:dyDescent="0.3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0</v>
      </c>
      <c r="H533">
        <v>2.44140625E-4</v>
      </c>
    </row>
    <row r="534" spans="1:8" x14ac:dyDescent="0.3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0</v>
      </c>
      <c r="H534">
        <v>2.44140625E-4</v>
      </c>
    </row>
    <row r="535" spans="1:8" x14ac:dyDescent="0.3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0</v>
      </c>
      <c r="H535">
        <v>2.44140625E-4</v>
      </c>
    </row>
    <row r="536" spans="1:8" x14ac:dyDescent="0.3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0</v>
      </c>
      <c r="H536">
        <v>2.44140625E-4</v>
      </c>
    </row>
    <row r="537" spans="1:8" x14ac:dyDescent="0.3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0</v>
      </c>
      <c r="H537">
        <v>2.44140625E-4</v>
      </c>
    </row>
    <row r="538" spans="1:8" x14ac:dyDescent="0.3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0</v>
      </c>
      <c r="H538">
        <v>2.44140625E-4</v>
      </c>
    </row>
    <row r="539" spans="1:8" x14ac:dyDescent="0.3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0</v>
      </c>
      <c r="H539">
        <v>2.44140625E-4</v>
      </c>
    </row>
    <row r="540" spans="1:8" x14ac:dyDescent="0.3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0</v>
      </c>
      <c r="H540">
        <v>2.44140625E-4</v>
      </c>
    </row>
    <row r="541" spans="1:8" x14ac:dyDescent="0.3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0</v>
      </c>
      <c r="H541">
        <v>2.44140625E-4</v>
      </c>
    </row>
    <row r="542" spans="1:8" x14ac:dyDescent="0.3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0</v>
      </c>
      <c r="H542">
        <v>2.44140625E-4</v>
      </c>
    </row>
    <row r="543" spans="1:8" x14ac:dyDescent="0.3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0</v>
      </c>
      <c r="H543">
        <v>2.44140625E-4</v>
      </c>
    </row>
    <row r="544" spans="1:8" x14ac:dyDescent="0.3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0</v>
      </c>
      <c r="H544">
        <v>2.44140625E-4</v>
      </c>
    </row>
    <row r="545" spans="1:8" x14ac:dyDescent="0.3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0</v>
      </c>
      <c r="H545">
        <v>2.44140625E-4</v>
      </c>
    </row>
    <row r="546" spans="1:8" x14ac:dyDescent="0.3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0</v>
      </c>
      <c r="H546">
        <v>2.44140625E-4</v>
      </c>
    </row>
    <row r="547" spans="1:8" x14ac:dyDescent="0.3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0</v>
      </c>
      <c r="H547">
        <v>2.44140625E-4</v>
      </c>
    </row>
    <row r="548" spans="1:8" x14ac:dyDescent="0.3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0</v>
      </c>
      <c r="H548">
        <v>2.44140625E-4</v>
      </c>
    </row>
    <row r="549" spans="1:8" x14ac:dyDescent="0.3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0</v>
      </c>
      <c r="H549">
        <v>2.44140625E-4</v>
      </c>
    </row>
    <row r="550" spans="1:8" x14ac:dyDescent="0.3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0</v>
      </c>
      <c r="H550">
        <v>2.44140625E-4</v>
      </c>
    </row>
    <row r="551" spans="1:8" x14ac:dyDescent="0.3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0</v>
      </c>
      <c r="H551">
        <v>2.44140625E-4</v>
      </c>
    </row>
    <row r="552" spans="1:8" x14ac:dyDescent="0.3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0</v>
      </c>
      <c r="H552">
        <v>2.44140625E-4</v>
      </c>
    </row>
    <row r="553" spans="1:8" x14ac:dyDescent="0.3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0</v>
      </c>
      <c r="H553">
        <v>2.44140625E-4</v>
      </c>
    </row>
    <row r="554" spans="1:8" x14ac:dyDescent="0.3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0</v>
      </c>
      <c r="H554">
        <v>2.44140625E-4</v>
      </c>
    </row>
    <row r="555" spans="1:8" x14ac:dyDescent="0.3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0</v>
      </c>
      <c r="H555">
        <v>2.44140625E-4</v>
      </c>
    </row>
    <row r="556" spans="1:8" x14ac:dyDescent="0.3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0</v>
      </c>
      <c r="H556">
        <v>2.44140625E-4</v>
      </c>
    </row>
    <row r="557" spans="1:8" x14ac:dyDescent="0.3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0</v>
      </c>
      <c r="H557">
        <v>2.44140625E-4</v>
      </c>
    </row>
    <row r="558" spans="1:8" x14ac:dyDescent="0.3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0</v>
      </c>
      <c r="H558">
        <v>2.44140625E-4</v>
      </c>
    </row>
    <row r="559" spans="1:8" x14ac:dyDescent="0.3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0</v>
      </c>
      <c r="H559">
        <v>2.44140625E-4</v>
      </c>
    </row>
    <row r="560" spans="1:8" x14ac:dyDescent="0.3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0</v>
      </c>
      <c r="H560">
        <v>2.44140625E-4</v>
      </c>
    </row>
    <row r="561" spans="1:8" x14ac:dyDescent="0.3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0</v>
      </c>
      <c r="H561">
        <v>2.44140625E-4</v>
      </c>
    </row>
    <row r="562" spans="1:8" x14ac:dyDescent="0.3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0</v>
      </c>
      <c r="H562">
        <v>2.44140625E-4</v>
      </c>
    </row>
    <row r="563" spans="1:8" x14ac:dyDescent="0.3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0</v>
      </c>
      <c r="H563">
        <v>2.44140625E-4</v>
      </c>
    </row>
    <row r="564" spans="1:8" x14ac:dyDescent="0.3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0</v>
      </c>
      <c r="H564">
        <v>2.44140625E-4</v>
      </c>
    </row>
    <row r="565" spans="1:8" x14ac:dyDescent="0.3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0</v>
      </c>
      <c r="H565">
        <v>2.44140625E-4</v>
      </c>
    </row>
    <row r="566" spans="1:8" x14ac:dyDescent="0.3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0</v>
      </c>
      <c r="H566">
        <v>2.44140625E-4</v>
      </c>
    </row>
    <row r="567" spans="1:8" x14ac:dyDescent="0.3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0</v>
      </c>
      <c r="H567">
        <v>2.44140625E-4</v>
      </c>
    </row>
    <row r="568" spans="1:8" x14ac:dyDescent="0.3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0</v>
      </c>
      <c r="H568">
        <v>2.44140625E-4</v>
      </c>
    </row>
    <row r="569" spans="1:8" x14ac:dyDescent="0.3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0</v>
      </c>
      <c r="H569">
        <v>2.44140625E-4</v>
      </c>
    </row>
    <row r="570" spans="1:8" x14ac:dyDescent="0.3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0</v>
      </c>
      <c r="H570">
        <v>2.44140625E-4</v>
      </c>
    </row>
    <row r="571" spans="1:8" x14ac:dyDescent="0.3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0</v>
      </c>
      <c r="H571">
        <v>2.44140625E-4</v>
      </c>
    </row>
    <row r="572" spans="1:8" x14ac:dyDescent="0.3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0</v>
      </c>
      <c r="H572">
        <v>2.44140625E-4</v>
      </c>
    </row>
    <row r="573" spans="1:8" x14ac:dyDescent="0.3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0</v>
      </c>
      <c r="H573">
        <v>2.44140625E-4</v>
      </c>
    </row>
    <row r="574" spans="1:8" x14ac:dyDescent="0.3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0</v>
      </c>
      <c r="H574">
        <v>2.44140625E-4</v>
      </c>
    </row>
    <row r="575" spans="1:8" x14ac:dyDescent="0.3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0</v>
      </c>
      <c r="H575">
        <v>2.44140625E-4</v>
      </c>
    </row>
    <row r="576" spans="1:8" x14ac:dyDescent="0.3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0</v>
      </c>
      <c r="H576">
        <v>2.44140625E-4</v>
      </c>
    </row>
    <row r="577" spans="1:8" x14ac:dyDescent="0.3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0</v>
      </c>
      <c r="H577">
        <v>2.44140625E-4</v>
      </c>
    </row>
    <row r="578" spans="1:8" x14ac:dyDescent="0.3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0</v>
      </c>
      <c r="H578">
        <v>2.44140625E-4</v>
      </c>
    </row>
    <row r="579" spans="1:8" x14ac:dyDescent="0.3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0</v>
      </c>
      <c r="H579">
        <v>2.44140625E-4</v>
      </c>
    </row>
    <row r="580" spans="1:8" x14ac:dyDescent="0.3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0</v>
      </c>
      <c r="H580">
        <v>2.44140625E-4</v>
      </c>
    </row>
    <row r="581" spans="1:8" x14ac:dyDescent="0.3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0</v>
      </c>
      <c r="H581">
        <v>2.44140625E-4</v>
      </c>
    </row>
    <row r="582" spans="1:8" x14ac:dyDescent="0.3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0</v>
      </c>
      <c r="H582">
        <v>2.44140625E-4</v>
      </c>
    </row>
    <row r="583" spans="1:8" x14ac:dyDescent="0.3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0</v>
      </c>
      <c r="H583">
        <v>2.44140625E-4</v>
      </c>
    </row>
    <row r="584" spans="1:8" x14ac:dyDescent="0.3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0</v>
      </c>
      <c r="H584">
        <v>2.44140625E-4</v>
      </c>
    </row>
    <row r="585" spans="1:8" x14ac:dyDescent="0.3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0</v>
      </c>
      <c r="H585">
        <v>2.44140625E-4</v>
      </c>
    </row>
    <row r="586" spans="1:8" x14ac:dyDescent="0.3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0</v>
      </c>
      <c r="H586">
        <v>2.44140625E-4</v>
      </c>
    </row>
    <row r="587" spans="1:8" x14ac:dyDescent="0.3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0</v>
      </c>
      <c r="H587">
        <v>2.44140625E-4</v>
      </c>
    </row>
    <row r="588" spans="1:8" x14ac:dyDescent="0.3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0</v>
      </c>
      <c r="H588">
        <v>2.44140625E-4</v>
      </c>
    </row>
    <row r="589" spans="1:8" x14ac:dyDescent="0.3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0</v>
      </c>
      <c r="H589">
        <v>2.44140625E-4</v>
      </c>
    </row>
    <row r="590" spans="1:8" x14ac:dyDescent="0.3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0</v>
      </c>
      <c r="H590">
        <v>2.44140625E-4</v>
      </c>
    </row>
    <row r="591" spans="1:8" x14ac:dyDescent="0.3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0</v>
      </c>
      <c r="H591">
        <v>2.44140625E-4</v>
      </c>
    </row>
    <row r="592" spans="1:8" x14ac:dyDescent="0.3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0</v>
      </c>
      <c r="H592">
        <v>2.44140625E-4</v>
      </c>
    </row>
    <row r="593" spans="1:8" x14ac:dyDescent="0.3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0</v>
      </c>
      <c r="H593">
        <v>2.44140625E-4</v>
      </c>
    </row>
    <row r="594" spans="1:8" x14ac:dyDescent="0.3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0</v>
      </c>
      <c r="H594">
        <v>2.44140625E-4</v>
      </c>
    </row>
    <row r="595" spans="1:8" x14ac:dyDescent="0.3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0</v>
      </c>
      <c r="H595">
        <v>2.44140625E-4</v>
      </c>
    </row>
    <row r="596" spans="1:8" x14ac:dyDescent="0.3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0</v>
      </c>
      <c r="H596">
        <v>2.44140625E-4</v>
      </c>
    </row>
    <row r="597" spans="1:8" x14ac:dyDescent="0.3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0</v>
      </c>
      <c r="H597">
        <v>2.44140625E-4</v>
      </c>
    </row>
    <row r="598" spans="1:8" x14ac:dyDescent="0.3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0</v>
      </c>
      <c r="H598">
        <v>2.44140625E-4</v>
      </c>
    </row>
    <row r="599" spans="1:8" x14ac:dyDescent="0.3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0</v>
      </c>
      <c r="H599">
        <v>2.44140625E-4</v>
      </c>
    </row>
    <row r="600" spans="1:8" x14ac:dyDescent="0.3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0</v>
      </c>
      <c r="H600">
        <v>2.44140625E-4</v>
      </c>
    </row>
    <row r="601" spans="1:8" x14ac:dyDescent="0.3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0</v>
      </c>
      <c r="H601">
        <v>2.44140625E-4</v>
      </c>
    </row>
    <row r="602" spans="1:8" x14ac:dyDescent="0.3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0</v>
      </c>
      <c r="H602">
        <v>2.44140625E-4</v>
      </c>
    </row>
    <row r="603" spans="1:8" x14ac:dyDescent="0.3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0</v>
      </c>
      <c r="H603">
        <v>2.44140625E-4</v>
      </c>
    </row>
    <row r="604" spans="1:8" x14ac:dyDescent="0.3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0</v>
      </c>
      <c r="H604">
        <v>2.44140625E-4</v>
      </c>
    </row>
    <row r="605" spans="1:8" x14ac:dyDescent="0.3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0</v>
      </c>
      <c r="H605">
        <v>2.44140625E-4</v>
      </c>
    </row>
    <row r="606" spans="1:8" x14ac:dyDescent="0.3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0</v>
      </c>
      <c r="H606">
        <v>2.44140625E-4</v>
      </c>
    </row>
    <row r="607" spans="1:8" x14ac:dyDescent="0.3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0</v>
      </c>
      <c r="H607">
        <v>2.44140625E-4</v>
      </c>
    </row>
    <row r="608" spans="1:8" x14ac:dyDescent="0.3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0</v>
      </c>
      <c r="H608">
        <v>2.44140625E-4</v>
      </c>
    </row>
    <row r="609" spans="1:8" x14ac:dyDescent="0.3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0</v>
      </c>
      <c r="H609">
        <v>2.44140625E-4</v>
      </c>
    </row>
    <row r="610" spans="1:8" x14ac:dyDescent="0.3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0</v>
      </c>
      <c r="H610">
        <v>2.44140625E-4</v>
      </c>
    </row>
    <row r="611" spans="1:8" x14ac:dyDescent="0.3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0</v>
      </c>
      <c r="H611">
        <v>2.44140625E-4</v>
      </c>
    </row>
    <row r="612" spans="1:8" x14ac:dyDescent="0.3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0</v>
      </c>
      <c r="H612">
        <v>2.44140625E-4</v>
      </c>
    </row>
    <row r="613" spans="1:8" x14ac:dyDescent="0.3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0</v>
      </c>
      <c r="H613">
        <v>2.44140625E-4</v>
      </c>
    </row>
    <row r="614" spans="1:8" x14ac:dyDescent="0.3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0</v>
      </c>
      <c r="H614">
        <v>2.44140625E-4</v>
      </c>
    </row>
    <row r="615" spans="1:8" x14ac:dyDescent="0.3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0</v>
      </c>
      <c r="H615">
        <v>2.44140625E-4</v>
      </c>
    </row>
    <row r="616" spans="1:8" x14ac:dyDescent="0.3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0</v>
      </c>
      <c r="H616">
        <v>2.44140625E-4</v>
      </c>
    </row>
    <row r="617" spans="1:8" x14ac:dyDescent="0.3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0</v>
      </c>
      <c r="H617">
        <v>2.44140625E-4</v>
      </c>
    </row>
    <row r="618" spans="1:8" x14ac:dyDescent="0.3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0</v>
      </c>
      <c r="H618">
        <v>2.44140625E-4</v>
      </c>
    </row>
    <row r="619" spans="1:8" x14ac:dyDescent="0.3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0</v>
      </c>
      <c r="H619">
        <v>2.44140625E-4</v>
      </c>
    </row>
    <row r="620" spans="1:8" x14ac:dyDescent="0.3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0</v>
      </c>
      <c r="H620">
        <v>2.44140625E-4</v>
      </c>
    </row>
    <row r="621" spans="1:8" x14ac:dyDescent="0.3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0</v>
      </c>
      <c r="H621">
        <v>2.44140625E-4</v>
      </c>
    </row>
    <row r="622" spans="1:8" x14ac:dyDescent="0.3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0</v>
      </c>
      <c r="H622">
        <v>2.44140625E-4</v>
      </c>
    </row>
    <row r="623" spans="1:8" x14ac:dyDescent="0.3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0</v>
      </c>
      <c r="H623">
        <v>2.44140625E-4</v>
      </c>
    </row>
    <row r="624" spans="1:8" x14ac:dyDescent="0.3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0</v>
      </c>
      <c r="H624">
        <v>2.44140625E-4</v>
      </c>
    </row>
    <row r="625" spans="1:8" x14ac:dyDescent="0.3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0</v>
      </c>
      <c r="H625">
        <v>2.44140625E-4</v>
      </c>
    </row>
    <row r="626" spans="1:8" x14ac:dyDescent="0.3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0</v>
      </c>
      <c r="H626">
        <v>2.44140625E-4</v>
      </c>
    </row>
    <row r="627" spans="1:8" x14ac:dyDescent="0.3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0</v>
      </c>
      <c r="H627">
        <v>2.44140625E-4</v>
      </c>
    </row>
    <row r="628" spans="1:8" x14ac:dyDescent="0.3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0</v>
      </c>
      <c r="H628">
        <v>2.44140625E-4</v>
      </c>
    </row>
    <row r="629" spans="1:8" x14ac:dyDescent="0.3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0</v>
      </c>
      <c r="H629">
        <v>2.44140625E-4</v>
      </c>
    </row>
    <row r="630" spans="1:8" x14ac:dyDescent="0.3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0</v>
      </c>
      <c r="H630">
        <v>2.44140625E-4</v>
      </c>
    </row>
    <row r="631" spans="1:8" x14ac:dyDescent="0.3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0</v>
      </c>
      <c r="H631">
        <v>2.44140625E-4</v>
      </c>
    </row>
    <row r="632" spans="1:8" x14ac:dyDescent="0.3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0</v>
      </c>
      <c r="H632">
        <v>2.44140625E-4</v>
      </c>
    </row>
    <row r="633" spans="1:8" x14ac:dyDescent="0.3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0</v>
      </c>
      <c r="H633">
        <v>2.44140625E-4</v>
      </c>
    </row>
    <row r="634" spans="1:8" x14ac:dyDescent="0.3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0</v>
      </c>
      <c r="H634">
        <v>2.44140625E-4</v>
      </c>
    </row>
    <row r="635" spans="1:8" x14ac:dyDescent="0.3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0</v>
      </c>
      <c r="H635">
        <v>2.44140625E-4</v>
      </c>
    </row>
    <row r="636" spans="1:8" x14ac:dyDescent="0.3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0</v>
      </c>
      <c r="H636">
        <v>2.44140625E-4</v>
      </c>
    </row>
    <row r="637" spans="1:8" x14ac:dyDescent="0.3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0</v>
      </c>
      <c r="H637">
        <v>2.44140625E-4</v>
      </c>
    </row>
    <row r="638" spans="1:8" x14ac:dyDescent="0.3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0</v>
      </c>
      <c r="H638">
        <v>2.44140625E-4</v>
      </c>
    </row>
    <row r="639" spans="1:8" x14ac:dyDescent="0.3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0</v>
      </c>
      <c r="H639">
        <v>2.44140625E-4</v>
      </c>
    </row>
    <row r="640" spans="1:8" x14ac:dyDescent="0.3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0</v>
      </c>
      <c r="H640">
        <v>2.44140625E-4</v>
      </c>
    </row>
    <row r="641" spans="1:8" x14ac:dyDescent="0.3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0</v>
      </c>
      <c r="H641">
        <v>2.44140625E-4</v>
      </c>
    </row>
    <row r="642" spans="1:8" x14ac:dyDescent="0.3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0</v>
      </c>
      <c r="H642">
        <v>2.44140625E-4</v>
      </c>
    </row>
    <row r="643" spans="1:8" x14ac:dyDescent="0.3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0</v>
      </c>
      <c r="H643">
        <v>2.44140625E-4</v>
      </c>
    </row>
    <row r="644" spans="1:8" x14ac:dyDescent="0.3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0</v>
      </c>
      <c r="H644">
        <v>2.44140625E-4</v>
      </c>
    </row>
    <row r="645" spans="1:8" x14ac:dyDescent="0.3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0</v>
      </c>
      <c r="H645">
        <v>2.44140625E-4</v>
      </c>
    </row>
    <row r="646" spans="1:8" x14ac:dyDescent="0.3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0</v>
      </c>
      <c r="H646">
        <v>2.44140625E-4</v>
      </c>
    </row>
    <row r="647" spans="1:8" x14ac:dyDescent="0.3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0</v>
      </c>
      <c r="H647">
        <v>2.44140625E-4</v>
      </c>
    </row>
    <row r="648" spans="1:8" x14ac:dyDescent="0.3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0</v>
      </c>
      <c r="H648">
        <v>2.44140625E-4</v>
      </c>
    </row>
    <row r="649" spans="1:8" x14ac:dyDescent="0.3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0</v>
      </c>
      <c r="H649">
        <v>2.44140625E-4</v>
      </c>
    </row>
    <row r="650" spans="1:8" x14ac:dyDescent="0.3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0</v>
      </c>
      <c r="H650">
        <v>2.44140625E-4</v>
      </c>
    </row>
    <row r="651" spans="1:8" x14ac:dyDescent="0.3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0</v>
      </c>
      <c r="H651">
        <v>2.44140625E-4</v>
      </c>
    </row>
    <row r="652" spans="1:8" x14ac:dyDescent="0.3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0</v>
      </c>
      <c r="H652">
        <v>2.44140625E-4</v>
      </c>
    </row>
    <row r="653" spans="1:8" x14ac:dyDescent="0.3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0</v>
      </c>
      <c r="H653">
        <v>2.44140625E-4</v>
      </c>
    </row>
    <row r="654" spans="1:8" x14ac:dyDescent="0.3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0</v>
      </c>
      <c r="H654">
        <v>2.44140625E-4</v>
      </c>
    </row>
    <row r="655" spans="1:8" x14ac:dyDescent="0.3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0</v>
      </c>
      <c r="H655">
        <v>2.44140625E-4</v>
      </c>
    </row>
    <row r="656" spans="1:8" x14ac:dyDescent="0.3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0</v>
      </c>
      <c r="H656">
        <v>2.44140625E-4</v>
      </c>
    </row>
    <row r="657" spans="1:8" x14ac:dyDescent="0.3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0</v>
      </c>
      <c r="H657">
        <v>2.44140625E-4</v>
      </c>
    </row>
    <row r="658" spans="1:8" x14ac:dyDescent="0.3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0</v>
      </c>
      <c r="H658">
        <v>2.44140625E-4</v>
      </c>
    </row>
    <row r="659" spans="1:8" x14ac:dyDescent="0.3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0</v>
      </c>
      <c r="H659">
        <v>2.44140625E-4</v>
      </c>
    </row>
    <row r="660" spans="1:8" x14ac:dyDescent="0.3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0</v>
      </c>
      <c r="H660">
        <v>2.44140625E-4</v>
      </c>
    </row>
    <row r="661" spans="1:8" x14ac:dyDescent="0.3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0</v>
      </c>
      <c r="H661">
        <v>2.44140625E-4</v>
      </c>
    </row>
    <row r="662" spans="1:8" x14ac:dyDescent="0.3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0</v>
      </c>
      <c r="H662">
        <v>2.44140625E-4</v>
      </c>
    </row>
    <row r="663" spans="1:8" x14ac:dyDescent="0.3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0</v>
      </c>
      <c r="H663">
        <v>2.44140625E-4</v>
      </c>
    </row>
    <row r="664" spans="1:8" x14ac:dyDescent="0.3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0</v>
      </c>
      <c r="H664">
        <v>2.44140625E-4</v>
      </c>
    </row>
    <row r="665" spans="1:8" x14ac:dyDescent="0.3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0</v>
      </c>
      <c r="H665">
        <v>2.44140625E-4</v>
      </c>
    </row>
    <row r="666" spans="1:8" x14ac:dyDescent="0.3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0</v>
      </c>
      <c r="H666">
        <v>2.44140625E-4</v>
      </c>
    </row>
    <row r="667" spans="1:8" x14ac:dyDescent="0.3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0</v>
      </c>
      <c r="H667">
        <v>2.44140625E-4</v>
      </c>
    </row>
    <row r="668" spans="1:8" x14ac:dyDescent="0.3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0</v>
      </c>
      <c r="H668">
        <v>2.44140625E-4</v>
      </c>
    </row>
    <row r="669" spans="1:8" x14ac:dyDescent="0.3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0</v>
      </c>
      <c r="H669">
        <v>2.44140625E-4</v>
      </c>
    </row>
    <row r="670" spans="1:8" x14ac:dyDescent="0.3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0</v>
      </c>
      <c r="H670">
        <v>2.44140625E-4</v>
      </c>
    </row>
    <row r="671" spans="1:8" x14ac:dyDescent="0.3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0</v>
      </c>
      <c r="H671">
        <v>2.44140625E-4</v>
      </c>
    </row>
    <row r="672" spans="1:8" x14ac:dyDescent="0.3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0</v>
      </c>
      <c r="H672">
        <v>2.44140625E-4</v>
      </c>
    </row>
    <row r="673" spans="1:8" x14ac:dyDescent="0.3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0</v>
      </c>
      <c r="H673">
        <v>2.44140625E-4</v>
      </c>
    </row>
    <row r="674" spans="1:8" x14ac:dyDescent="0.3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0</v>
      </c>
      <c r="H674">
        <v>2.44140625E-4</v>
      </c>
    </row>
    <row r="675" spans="1:8" x14ac:dyDescent="0.3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0</v>
      </c>
      <c r="H675">
        <v>2.44140625E-4</v>
      </c>
    </row>
    <row r="676" spans="1:8" x14ac:dyDescent="0.3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0</v>
      </c>
      <c r="H676">
        <v>2.44140625E-4</v>
      </c>
    </row>
    <row r="677" spans="1:8" x14ac:dyDescent="0.3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0</v>
      </c>
      <c r="H677">
        <v>2.44140625E-4</v>
      </c>
    </row>
    <row r="678" spans="1:8" x14ac:dyDescent="0.3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0</v>
      </c>
      <c r="H678">
        <v>2.44140625E-4</v>
      </c>
    </row>
    <row r="679" spans="1:8" x14ac:dyDescent="0.3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0</v>
      </c>
      <c r="H679">
        <v>2.44140625E-4</v>
      </c>
    </row>
    <row r="680" spans="1:8" x14ac:dyDescent="0.3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0</v>
      </c>
      <c r="H680">
        <v>2.44140625E-4</v>
      </c>
    </row>
    <row r="681" spans="1:8" x14ac:dyDescent="0.3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0</v>
      </c>
      <c r="H681">
        <v>2.44140625E-4</v>
      </c>
    </row>
    <row r="682" spans="1:8" x14ac:dyDescent="0.3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0</v>
      </c>
      <c r="H682">
        <v>2.44140625E-4</v>
      </c>
    </row>
    <row r="683" spans="1:8" x14ac:dyDescent="0.3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0</v>
      </c>
      <c r="H683">
        <v>2.44140625E-4</v>
      </c>
    </row>
    <row r="684" spans="1:8" x14ac:dyDescent="0.3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0</v>
      </c>
      <c r="H684">
        <v>2.44140625E-4</v>
      </c>
    </row>
    <row r="685" spans="1:8" x14ac:dyDescent="0.3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0</v>
      </c>
      <c r="H685">
        <v>2.44140625E-4</v>
      </c>
    </row>
    <row r="686" spans="1:8" x14ac:dyDescent="0.3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0</v>
      </c>
      <c r="H686">
        <v>2.44140625E-4</v>
      </c>
    </row>
    <row r="687" spans="1:8" x14ac:dyDescent="0.3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0</v>
      </c>
      <c r="H687">
        <v>2.44140625E-4</v>
      </c>
    </row>
    <row r="688" spans="1:8" x14ac:dyDescent="0.3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0</v>
      </c>
      <c r="H688">
        <v>2.44140625E-4</v>
      </c>
    </row>
    <row r="689" spans="1:8" x14ac:dyDescent="0.3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0</v>
      </c>
      <c r="H689">
        <v>2.44140625E-4</v>
      </c>
    </row>
    <row r="690" spans="1:8" x14ac:dyDescent="0.3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0</v>
      </c>
      <c r="H690">
        <v>2.44140625E-4</v>
      </c>
    </row>
    <row r="691" spans="1:8" x14ac:dyDescent="0.3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0</v>
      </c>
      <c r="H691">
        <v>2.44140625E-4</v>
      </c>
    </row>
    <row r="692" spans="1:8" x14ac:dyDescent="0.3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0</v>
      </c>
      <c r="H692">
        <v>2.44140625E-4</v>
      </c>
    </row>
    <row r="693" spans="1:8" x14ac:dyDescent="0.3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0</v>
      </c>
      <c r="H693">
        <v>2.44140625E-4</v>
      </c>
    </row>
    <row r="694" spans="1:8" x14ac:dyDescent="0.3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0</v>
      </c>
      <c r="H694">
        <v>2.44140625E-4</v>
      </c>
    </row>
    <row r="695" spans="1:8" x14ac:dyDescent="0.3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0</v>
      </c>
      <c r="H695">
        <v>2.44140625E-4</v>
      </c>
    </row>
    <row r="696" spans="1:8" x14ac:dyDescent="0.3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0</v>
      </c>
      <c r="H696">
        <v>2.44140625E-4</v>
      </c>
    </row>
    <row r="697" spans="1:8" x14ac:dyDescent="0.3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0</v>
      </c>
      <c r="H697">
        <v>2.44140625E-4</v>
      </c>
    </row>
    <row r="698" spans="1:8" x14ac:dyDescent="0.3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0</v>
      </c>
      <c r="H698">
        <v>2.44140625E-4</v>
      </c>
    </row>
    <row r="699" spans="1:8" x14ac:dyDescent="0.3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0</v>
      </c>
      <c r="H699">
        <v>2.44140625E-4</v>
      </c>
    </row>
    <row r="700" spans="1:8" x14ac:dyDescent="0.3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0</v>
      </c>
      <c r="H700">
        <v>2.44140625E-4</v>
      </c>
    </row>
    <row r="701" spans="1:8" x14ac:dyDescent="0.3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0</v>
      </c>
      <c r="H701">
        <v>2.44140625E-4</v>
      </c>
    </row>
    <row r="702" spans="1:8" x14ac:dyDescent="0.3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0</v>
      </c>
      <c r="H702">
        <v>2.44140625E-4</v>
      </c>
    </row>
    <row r="703" spans="1:8" x14ac:dyDescent="0.3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0</v>
      </c>
      <c r="H703">
        <v>2.44140625E-4</v>
      </c>
    </row>
    <row r="704" spans="1:8" x14ac:dyDescent="0.3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0</v>
      </c>
      <c r="H704">
        <v>2.44140625E-4</v>
      </c>
    </row>
    <row r="705" spans="1:8" x14ac:dyDescent="0.3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0</v>
      </c>
      <c r="H705">
        <v>2.44140625E-4</v>
      </c>
    </row>
    <row r="706" spans="1:8" x14ac:dyDescent="0.3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0</v>
      </c>
      <c r="H706">
        <v>2.44140625E-4</v>
      </c>
    </row>
    <row r="707" spans="1:8" x14ac:dyDescent="0.3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0</v>
      </c>
      <c r="H707">
        <v>2.44140625E-4</v>
      </c>
    </row>
    <row r="708" spans="1:8" x14ac:dyDescent="0.3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0</v>
      </c>
      <c r="H708">
        <v>2.44140625E-4</v>
      </c>
    </row>
    <row r="709" spans="1:8" x14ac:dyDescent="0.3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0</v>
      </c>
      <c r="H709">
        <v>2.44140625E-4</v>
      </c>
    </row>
    <row r="710" spans="1:8" x14ac:dyDescent="0.3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0</v>
      </c>
      <c r="H710">
        <v>2.44140625E-4</v>
      </c>
    </row>
    <row r="711" spans="1:8" x14ac:dyDescent="0.3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0</v>
      </c>
      <c r="H711">
        <v>2.44140625E-4</v>
      </c>
    </row>
    <row r="712" spans="1:8" x14ac:dyDescent="0.3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0</v>
      </c>
      <c r="H712">
        <v>2.44140625E-4</v>
      </c>
    </row>
    <row r="713" spans="1:8" x14ac:dyDescent="0.3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0</v>
      </c>
      <c r="H713">
        <v>2.44140625E-4</v>
      </c>
    </row>
    <row r="714" spans="1:8" x14ac:dyDescent="0.3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0</v>
      </c>
      <c r="H714">
        <v>2.44140625E-4</v>
      </c>
    </row>
    <row r="715" spans="1:8" x14ac:dyDescent="0.3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0</v>
      </c>
      <c r="H715">
        <v>2.44140625E-4</v>
      </c>
    </row>
    <row r="716" spans="1:8" x14ac:dyDescent="0.3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0</v>
      </c>
      <c r="H716">
        <v>2.44140625E-4</v>
      </c>
    </row>
    <row r="717" spans="1:8" x14ac:dyDescent="0.3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0</v>
      </c>
      <c r="H717">
        <v>2.44140625E-4</v>
      </c>
    </row>
    <row r="718" spans="1:8" x14ac:dyDescent="0.3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0</v>
      </c>
      <c r="H718">
        <v>2.44140625E-4</v>
      </c>
    </row>
    <row r="719" spans="1:8" x14ac:dyDescent="0.3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0</v>
      </c>
      <c r="H719">
        <v>2.44140625E-4</v>
      </c>
    </row>
    <row r="720" spans="1:8" x14ac:dyDescent="0.3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0</v>
      </c>
      <c r="H720">
        <v>2.44140625E-4</v>
      </c>
    </row>
    <row r="721" spans="1:8" x14ac:dyDescent="0.3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0</v>
      </c>
      <c r="H721">
        <v>2.44140625E-4</v>
      </c>
    </row>
    <row r="722" spans="1:8" x14ac:dyDescent="0.3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0</v>
      </c>
      <c r="H722">
        <v>2.44140625E-4</v>
      </c>
    </row>
    <row r="723" spans="1:8" x14ac:dyDescent="0.3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0</v>
      </c>
      <c r="H723">
        <v>2.44140625E-4</v>
      </c>
    </row>
    <row r="724" spans="1:8" x14ac:dyDescent="0.3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0</v>
      </c>
      <c r="H724">
        <v>2.44140625E-4</v>
      </c>
    </row>
    <row r="725" spans="1:8" x14ac:dyDescent="0.3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0</v>
      </c>
      <c r="H725">
        <v>2.44140625E-4</v>
      </c>
    </row>
    <row r="726" spans="1:8" x14ac:dyDescent="0.3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0</v>
      </c>
      <c r="H726">
        <v>2.44140625E-4</v>
      </c>
    </row>
    <row r="727" spans="1:8" x14ac:dyDescent="0.3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0</v>
      </c>
      <c r="H727">
        <v>2.44140625E-4</v>
      </c>
    </row>
    <row r="728" spans="1:8" x14ac:dyDescent="0.3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0</v>
      </c>
      <c r="H728">
        <v>2.44140625E-4</v>
      </c>
    </row>
    <row r="729" spans="1:8" x14ac:dyDescent="0.3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0</v>
      </c>
      <c r="H729">
        <v>2.44140625E-4</v>
      </c>
    </row>
    <row r="730" spans="1:8" x14ac:dyDescent="0.3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0</v>
      </c>
      <c r="H730">
        <v>2.44140625E-4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Sheet1</vt:lpstr>
      <vt:lpstr>Sheet2</vt:lpstr>
      <vt:lpstr>Sheet3</vt:lpstr>
      <vt:lpstr>Sheet4</vt:lpstr>
      <vt:lpstr>Sheet5</vt:lpstr>
      <vt:lpstr>Tornado Diagrams</vt:lpstr>
      <vt:lpstr>Decision Tree</vt:lpstr>
      <vt:lpstr>dem_g_PD</vt:lpstr>
      <vt:lpstr>dem_g_RBL</vt:lpstr>
      <vt:lpstr>dem_RBL</vt:lpstr>
      <vt:lpstr>discount_rate</vt:lpstr>
      <vt:lpstr>mult_PD</vt:lpstr>
      <vt:lpstr>mult_pudont</vt:lpstr>
      <vt:lpstr>plant_const</vt:lpstr>
      <vt:lpstr>prod_PuD</vt:lpstr>
      <vt:lpstr>prod_w_exp</vt:lpstr>
      <vt:lpstr>prod_wo_exp</vt:lpstr>
      <vt:lpstr>risk_tol</vt:lpstr>
      <vt:lpstr>strategy</vt:lpstr>
      <vt:lpstr>strategy_name</vt:lpstr>
      <vt:lpstr>tax_rate</vt:lpstr>
      <vt:lpstr>unit_prod</vt:lpstr>
      <vt:lpstr>unit_rev</vt:lpstr>
    </vt:vector>
  </TitlesOfParts>
  <Company>DA 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Abbas</dc:creator>
  <cp:lastModifiedBy>Jake</cp:lastModifiedBy>
  <cp:lastPrinted>1997-03-10T18:56:12Z</cp:lastPrinted>
  <dcterms:created xsi:type="dcterms:W3CDTF">1997-03-02T21:49:27Z</dcterms:created>
  <dcterms:modified xsi:type="dcterms:W3CDTF">2017-02-14T14:52:14Z</dcterms:modified>
</cp:coreProperties>
</file>