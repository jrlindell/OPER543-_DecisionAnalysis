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otb\Desktop\School\OPER 543\Project\"/>
    </mc:Choice>
  </mc:AlternateContent>
  <bookViews>
    <workbookView xWindow="0" yWindow="0" windowWidth="22500" windowHeight="10305" activeTab="3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7" sheetId="7" r:id="rId6"/>
    <sheet name="Sheet8" sheetId="8" r:id="rId7"/>
    <sheet name="Sheet6" sheetId="9" r:id="rId8"/>
    <sheet name="Sheet9" sheetId="10" r:id="rId9"/>
    <sheet name="Sheet10" sheetId="11" r:id="rId10"/>
    <sheet name="Tornado Data" sheetId="12" r:id="rId11"/>
    <sheet name="TORNADOES AAAHHH!!!" sheetId="13" r:id="rId12"/>
    <sheet name="Hi-Base-Lo" sheetId="14" r:id="rId13"/>
    <sheet name="Decision Tree" sheetId="15" r:id="rId14"/>
  </sheets>
  <externalReferences>
    <externalReference r:id="rId15"/>
  </externalReferences>
  <definedNames>
    <definedName name="dem_g_PD" localSheetId="13">[1]Sheet1!$K$32</definedName>
    <definedName name="dem_g_PD" localSheetId="12">[1]Sheet1!$K$32</definedName>
    <definedName name="dem_g_PD" localSheetId="10">[1]Sheet1!$K$32</definedName>
    <definedName name="dem_g_PD" localSheetId="11">[1]Sheet1!$K$32</definedName>
    <definedName name="dem_g_PD">Sheet1!$K$32</definedName>
    <definedName name="dem_RBL" localSheetId="13">[1]Sheet1!$K$31</definedName>
    <definedName name="dem_RBL" localSheetId="12">[1]Sheet1!$K$31</definedName>
    <definedName name="dem_RBL" localSheetId="10">[1]Sheet1!$K$31</definedName>
    <definedName name="dem_RBL" localSheetId="11">[1]Sheet1!$K$31</definedName>
    <definedName name="dem_RBL">Sheet1!$K$31</definedName>
    <definedName name="discount_rate" localSheetId="13">[1]Sheet1!$I$18</definedName>
    <definedName name="discount_rate" localSheetId="12">[1]Sheet1!$I$18</definedName>
    <definedName name="discount_rate" localSheetId="10">[1]Sheet1!$I$18</definedName>
    <definedName name="discount_rate" localSheetId="11">[1]Sheet1!$I$18</definedName>
    <definedName name="discount_rate">Sheet1!$I$18</definedName>
    <definedName name="mult_PD" localSheetId="13">[1]Sheet1!$K$33</definedName>
    <definedName name="mult_PD" localSheetId="12">[1]Sheet1!$K$33</definedName>
    <definedName name="mult_PD" localSheetId="10">[1]Sheet1!$K$33</definedName>
    <definedName name="mult_PD" localSheetId="11">[1]Sheet1!$K$33</definedName>
    <definedName name="mult_PD">Sheet1!$K$33</definedName>
    <definedName name="plant_const" localSheetId="13">[1]Sheet1!$K$34</definedName>
    <definedName name="plant_const" localSheetId="12">[1]Sheet1!$K$34</definedName>
    <definedName name="plant_const" localSheetId="10">[1]Sheet1!$K$34</definedName>
    <definedName name="plant_const" localSheetId="11">[1]Sheet1!$K$34</definedName>
    <definedName name="plant_const">Sheet1!$K$34</definedName>
    <definedName name="prod_PuD" localSheetId="13">[1]Sheet1!$I$23</definedName>
    <definedName name="prod_PuD" localSheetId="12">[1]Sheet1!$I$23</definedName>
    <definedName name="prod_PuD" localSheetId="10">[1]Sheet1!$I$23</definedName>
    <definedName name="prod_PuD" localSheetId="11">[1]Sheet1!$I$23</definedName>
    <definedName name="prod_PuD">Sheet1!$I$23</definedName>
    <definedName name="prod_w_exp" localSheetId="13">[1]Sheet1!$I$22</definedName>
    <definedName name="prod_w_exp" localSheetId="12">[1]Sheet1!$I$22</definedName>
    <definedName name="prod_w_exp" localSheetId="10">[1]Sheet1!$I$22</definedName>
    <definedName name="prod_w_exp" localSheetId="11">[1]Sheet1!$I$22</definedName>
    <definedName name="prod_w_exp">Sheet1!$I$22</definedName>
    <definedName name="prod_wo_exp" localSheetId="13">[1]Sheet1!$I$21</definedName>
    <definedName name="prod_wo_exp" localSheetId="12">[1]Sheet1!$I$21</definedName>
    <definedName name="prod_wo_exp" localSheetId="10">[1]Sheet1!$I$21</definedName>
    <definedName name="prod_wo_exp" localSheetId="11">[1]Sheet1!$I$21</definedName>
    <definedName name="prod_wo_exp">Sheet1!$I$21</definedName>
    <definedName name="risk_tol" localSheetId="13">[1]Sheet1!$I$24</definedName>
    <definedName name="risk_tol" localSheetId="12">[1]Sheet1!$I$24</definedName>
    <definedName name="risk_tol" localSheetId="10">[1]Sheet1!$I$24</definedName>
    <definedName name="risk_tol" localSheetId="11">[1]Sheet1!$I$24</definedName>
    <definedName name="risk_tol">Sheet1!$I$24</definedName>
    <definedName name="strategy" localSheetId="13">[1]Sheet1!$K$5</definedName>
    <definedName name="strategy" localSheetId="12">[1]Sheet1!$K$5</definedName>
    <definedName name="strategy" localSheetId="10">[1]Sheet1!$K$5</definedName>
    <definedName name="strategy" localSheetId="11">[1]Sheet1!$K$5</definedName>
    <definedName name="strategy">Sheet1!$K$5</definedName>
    <definedName name="strategy_name" localSheetId="13">[1]Sheet1!$K$6</definedName>
    <definedName name="strategy_name" localSheetId="12">[1]Sheet1!$K$6</definedName>
    <definedName name="strategy_name" localSheetId="10">[1]Sheet1!$K$6</definedName>
    <definedName name="strategy_name" localSheetId="11">[1]Sheet1!$K$6</definedName>
    <definedName name="strategy_name">Sheet1!$K$6</definedName>
    <definedName name="tax_rate" localSheetId="13">[1]Sheet1!$I$19</definedName>
    <definedName name="tax_rate" localSheetId="12">[1]Sheet1!$I$19</definedName>
    <definedName name="tax_rate" localSheetId="10">[1]Sheet1!$I$19</definedName>
    <definedName name="tax_rate" localSheetId="11">[1]Sheet1!$I$19</definedName>
    <definedName name="tax_rate">Sheet1!$I$19</definedName>
    <definedName name="unit_prod" localSheetId="13">[1]Sheet1!$K$35</definedName>
    <definedName name="unit_prod" localSheetId="12">[1]Sheet1!$K$35</definedName>
    <definedName name="unit_prod" localSheetId="10">[1]Sheet1!$K$35</definedName>
    <definedName name="unit_prod" localSheetId="11">[1]Sheet1!$K$35</definedName>
    <definedName name="unit_prod">Sheet1!$K$35</definedName>
    <definedName name="unit_rev" localSheetId="13">[1]Sheet1!$K$36</definedName>
    <definedName name="unit_rev" localSheetId="12">[1]Sheet1!$K$36</definedName>
    <definedName name="unit_rev" localSheetId="10">[1]Sheet1!$K$36</definedName>
    <definedName name="unit_rev" localSheetId="11">[1]Sheet1!$K$36</definedName>
    <definedName name="unit_rev">Sheet1!$K$36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1" l="1"/>
  <c r="L3" i="11"/>
  <c r="M3" i="11"/>
  <c r="K4" i="11"/>
  <c r="L4" i="11"/>
  <c r="M4" i="11"/>
  <c r="K5" i="11"/>
  <c r="L5" i="11"/>
  <c r="M5" i="11"/>
  <c r="K6" i="11"/>
  <c r="L6" i="11"/>
  <c r="M6" i="11"/>
  <c r="K7" i="11"/>
  <c r="L7" i="11"/>
  <c r="M7" i="11"/>
  <c r="K8" i="11"/>
  <c r="L8" i="11"/>
  <c r="M8" i="11"/>
  <c r="K9" i="11"/>
  <c r="L9" i="11"/>
  <c r="M9" i="11"/>
  <c r="K10" i="11"/>
  <c r="L10" i="11"/>
  <c r="M10" i="11"/>
  <c r="K11" i="11"/>
  <c r="L11" i="11"/>
  <c r="M11" i="11"/>
  <c r="K12" i="11"/>
  <c r="L12" i="11"/>
  <c r="M12" i="11"/>
  <c r="K13" i="11"/>
  <c r="L13" i="11"/>
  <c r="M13" i="11"/>
  <c r="K14" i="11"/>
  <c r="L14" i="11"/>
  <c r="M14" i="11"/>
  <c r="K15" i="11"/>
  <c r="L15" i="11"/>
  <c r="M15" i="11"/>
  <c r="K16" i="11"/>
  <c r="L16" i="11"/>
  <c r="M16" i="11"/>
  <c r="K17" i="11"/>
  <c r="L17" i="11"/>
  <c r="M17" i="11"/>
  <c r="K18" i="11"/>
  <c r="L18" i="11"/>
  <c r="M18" i="11"/>
  <c r="K19" i="11"/>
  <c r="L19" i="11"/>
  <c r="M19" i="11"/>
  <c r="K20" i="11"/>
  <c r="L20" i="11"/>
  <c r="M20" i="11"/>
  <c r="K21" i="11"/>
  <c r="L21" i="11"/>
  <c r="M21" i="11"/>
  <c r="K22" i="11"/>
  <c r="L22" i="11"/>
  <c r="M22" i="11"/>
  <c r="K23" i="11"/>
  <c r="L23" i="11"/>
  <c r="M23" i="11"/>
  <c r="K24" i="11"/>
  <c r="L24" i="11"/>
  <c r="M24" i="11"/>
  <c r="K25" i="11"/>
  <c r="L25" i="11"/>
  <c r="M25" i="11"/>
  <c r="K26" i="11"/>
  <c r="L26" i="11"/>
  <c r="M26" i="11"/>
  <c r="K27" i="11"/>
  <c r="L27" i="11"/>
  <c r="M27" i="11"/>
  <c r="K28" i="11"/>
  <c r="L28" i="11"/>
  <c r="M28" i="11"/>
  <c r="K29" i="11"/>
  <c r="L29" i="11"/>
  <c r="M29" i="11"/>
  <c r="K30" i="11"/>
  <c r="L30" i="11"/>
  <c r="M30" i="11"/>
  <c r="K31" i="11"/>
  <c r="L31" i="11"/>
  <c r="M31" i="11"/>
  <c r="K32" i="11"/>
  <c r="L32" i="11"/>
  <c r="M32" i="11"/>
  <c r="K33" i="11"/>
  <c r="L33" i="11"/>
  <c r="M33" i="11"/>
  <c r="K34" i="11"/>
  <c r="L34" i="11"/>
  <c r="M34" i="11"/>
  <c r="K35" i="11"/>
  <c r="L35" i="11"/>
  <c r="M35" i="11"/>
  <c r="K36" i="11"/>
  <c r="L36" i="11"/>
  <c r="M36" i="11"/>
  <c r="K37" i="11"/>
  <c r="L37" i="11"/>
  <c r="M37" i="11"/>
  <c r="K38" i="11"/>
  <c r="L38" i="11"/>
  <c r="M38" i="11"/>
  <c r="K39" i="11"/>
  <c r="L39" i="11"/>
  <c r="M39" i="11"/>
  <c r="K40" i="11"/>
  <c r="L40" i="11"/>
  <c r="M40" i="11"/>
  <c r="K41" i="11"/>
  <c r="L41" i="11"/>
  <c r="M41" i="11"/>
  <c r="K42" i="11"/>
  <c r="L42" i="11"/>
  <c r="M42" i="11"/>
  <c r="K43" i="11"/>
  <c r="L43" i="11"/>
  <c r="M43" i="11"/>
  <c r="K44" i="11"/>
  <c r="L44" i="11"/>
  <c r="M44" i="11"/>
  <c r="K45" i="11"/>
  <c r="L45" i="11"/>
  <c r="M45" i="11"/>
  <c r="K46" i="11"/>
  <c r="L46" i="11"/>
  <c r="M46" i="11"/>
  <c r="K47" i="11"/>
  <c r="L47" i="11"/>
  <c r="M47" i="11"/>
  <c r="K48" i="11"/>
  <c r="L48" i="11"/>
  <c r="M48" i="11"/>
  <c r="K49" i="11"/>
  <c r="L49" i="11"/>
  <c r="M49" i="11"/>
  <c r="K50" i="11"/>
  <c r="L50" i="11"/>
  <c r="M50" i="11"/>
  <c r="K51" i="11"/>
  <c r="L51" i="11"/>
  <c r="M51" i="11"/>
  <c r="K52" i="11"/>
  <c r="L52" i="11"/>
  <c r="M52" i="11"/>
  <c r="K53" i="11"/>
  <c r="L53" i="11"/>
  <c r="M53" i="11"/>
  <c r="K54" i="11"/>
  <c r="L54" i="11"/>
  <c r="M54" i="11"/>
  <c r="K55" i="11"/>
  <c r="L55" i="11"/>
  <c r="M55" i="11"/>
  <c r="K56" i="11"/>
  <c r="L56" i="11"/>
  <c r="M56" i="11"/>
  <c r="K57" i="11"/>
  <c r="L57" i="11"/>
  <c r="M57" i="11"/>
  <c r="K58" i="11"/>
  <c r="L58" i="11"/>
  <c r="M58" i="11"/>
  <c r="K59" i="11"/>
  <c r="L59" i="11"/>
  <c r="M59" i="11"/>
  <c r="K60" i="11"/>
  <c r="L60" i="11"/>
  <c r="M60" i="11"/>
  <c r="K61" i="11"/>
  <c r="L61" i="11"/>
  <c r="M61" i="11"/>
  <c r="K62" i="11"/>
  <c r="L62" i="11"/>
  <c r="M62" i="11"/>
  <c r="K63" i="11"/>
  <c r="L63" i="11"/>
  <c r="M63" i="11"/>
  <c r="K64" i="11"/>
  <c r="L64" i="11"/>
  <c r="M64" i="11"/>
  <c r="K65" i="11"/>
  <c r="L65" i="11"/>
  <c r="M65" i="11"/>
  <c r="K66" i="11"/>
  <c r="L66" i="11"/>
  <c r="M66" i="11"/>
  <c r="K67" i="11"/>
  <c r="L67" i="11"/>
  <c r="M67" i="11"/>
  <c r="K68" i="11"/>
  <c r="L68" i="11"/>
  <c r="M68" i="11"/>
  <c r="K69" i="11"/>
  <c r="L69" i="11"/>
  <c r="M69" i="11"/>
  <c r="K70" i="11"/>
  <c r="L70" i="11"/>
  <c r="M70" i="11"/>
  <c r="K71" i="11"/>
  <c r="L71" i="11"/>
  <c r="M71" i="11"/>
  <c r="K72" i="11"/>
  <c r="L72" i="11"/>
  <c r="M72" i="11"/>
  <c r="K73" i="11"/>
  <c r="L73" i="11"/>
  <c r="M73" i="11"/>
  <c r="K74" i="11"/>
  <c r="L74" i="11"/>
  <c r="M74" i="11"/>
  <c r="K75" i="11"/>
  <c r="L75" i="11"/>
  <c r="M75" i="11"/>
  <c r="K76" i="11"/>
  <c r="L76" i="11"/>
  <c r="M76" i="11"/>
  <c r="K77" i="11"/>
  <c r="L77" i="11"/>
  <c r="M77" i="11"/>
  <c r="K78" i="11"/>
  <c r="L78" i="11"/>
  <c r="M78" i="11"/>
  <c r="K79" i="11"/>
  <c r="L79" i="11"/>
  <c r="M79" i="11"/>
  <c r="K80" i="11"/>
  <c r="L80" i="11"/>
  <c r="M80" i="11"/>
  <c r="K81" i="11"/>
  <c r="L81" i="11"/>
  <c r="M81" i="11"/>
  <c r="K82" i="11"/>
  <c r="L82" i="11"/>
  <c r="M82" i="11"/>
  <c r="K83" i="11"/>
  <c r="L83" i="11"/>
  <c r="M83" i="11"/>
  <c r="K84" i="11"/>
  <c r="L84" i="11"/>
  <c r="M84" i="11"/>
  <c r="K85" i="11"/>
  <c r="L85" i="11"/>
  <c r="M85" i="11"/>
  <c r="K86" i="11"/>
  <c r="L86" i="11"/>
  <c r="M86" i="11"/>
  <c r="K87" i="11"/>
  <c r="L87" i="11"/>
  <c r="M87" i="11"/>
  <c r="K88" i="11"/>
  <c r="L88" i="11"/>
  <c r="M88" i="11"/>
  <c r="K89" i="11"/>
  <c r="L89" i="11"/>
  <c r="M89" i="11"/>
  <c r="K90" i="11"/>
  <c r="L90" i="11"/>
  <c r="M90" i="11"/>
  <c r="K91" i="11"/>
  <c r="L91" i="11"/>
  <c r="M91" i="11"/>
  <c r="K92" i="11"/>
  <c r="L92" i="11"/>
  <c r="M92" i="11"/>
  <c r="K93" i="11"/>
  <c r="L93" i="11"/>
  <c r="M93" i="11"/>
  <c r="K94" i="11"/>
  <c r="L94" i="11"/>
  <c r="M94" i="11"/>
  <c r="K95" i="11"/>
  <c r="L95" i="11"/>
  <c r="M95" i="11"/>
  <c r="K96" i="11"/>
  <c r="L96" i="11"/>
  <c r="M96" i="11"/>
  <c r="K97" i="11"/>
  <c r="L97" i="11"/>
  <c r="M97" i="11"/>
  <c r="K98" i="11"/>
  <c r="L98" i="11"/>
  <c r="M98" i="11"/>
  <c r="K99" i="11"/>
  <c r="L99" i="11"/>
  <c r="M99" i="11"/>
  <c r="K100" i="11"/>
  <c r="L100" i="11"/>
  <c r="M100" i="11"/>
  <c r="K101" i="11"/>
  <c r="L101" i="11"/>
  <c r="M101" i="11"/>
  <c r="K102" i="11"/>
  <c r="L102" i="11"/>
  <c r="M102" i="11"/>
  <c r="K103" i="11"/>
  <c r="L103" i="11"/>
  <c r="M103" i="11"/>
  <c r="K104" i="11"/>
  <c r="L104" i="11"/>
  <c r="M104" i="11"/>
  <c r="K105" i="11"/>
  <c r="L105" i="11"/>
  <c r="M105" i="11"/>
  <c r="K106" i="11"/>
  <c r="L106" i="11"/>
  <c r="M106" i="11"/>
  <c r="K107" i="11"/>
  <c r="L107" i="11"/>
  <c r="M107" i="11"/>
  <c r="K108" i="11"/>
  <c r="L108" i="11"/>
  <c r="M108" i="11"/>
  <c r="K109" i="11"/>
  <c r="L109" i="11"/>
  <c r="M109" i="11"/>
  <c r="K110" i="11"/>
  <c r="L110" i="11"/>
  <c r="M110" i="11"/>
  <c r="K111" i="11"/>
  <c r="L111" i="11"/>
  <c r="M111" i="11"/>
  <c r="K112" i="11"/>
  <c r="L112" i="11"/>
  <c r="M112" i="11"/>
  <c r="K113" i="11"/>
  <c r="L113" i="11"/>
  <c r="M113" i="11"/>
  <c r="K114" i="11"/>
  <c r="L114" i="11"/>
  <c r="M114" i="11"/>
  <c r="K115" i="11"/>
  <c r="L115" i="11"/>
  <c r="M115" i="11"/>
  <c r="K116" i="11"/>
  <c r="L116" i="11"/>
  <c r="M116" i="11"/>
  <c r="K117" i="11"/>
  <c r="L117" i="11"/>
  <c r="M117" i="11"/>
  <c r="K118" i="11"/>
  <c r="L118" i="11"/>
  <c r="M118" i="11"/>
  <c r="K119" i="11"/>
  <c r="L119" i="11"/>
  <c r="M119" i="11"/>
  <c r="K120" i="11"/>
  <c r="L120" i="11"/>
  <c r="M120" i="11"/>
  <c r="K121" i="11"/>
  <c r="L121" i="11"/>
  <c r="M121" i="11"/>
  <c r="K122" i="11"/>
  <c r="L122" i="11"/>
  <c r="M122" i="11"/>
  <c r="K123" i="11"/>
  <c r="L123" i="11"/>
  <c r="M123" i="11"/>
  <c r="K124" i="11"/>
  <c r="L124" i="11"/>
  <c r="M124" i="11"/>
  <c r="K125" i="11"/>
  <c r="L125" i="11"/>
  <c r="M125" i="11"/>
  <c r="K126" i="11"/>
  <c r="L126" i="11"/>
  <c r="M126" i="11"/>
  <c r="K127" i="11"/>
  <c r="L127" i="11"/>
  <c r="M127" i="11"/>
  <c r="K128" i="11"/>
  <c r="L128" i="11"/>
  <c r="M128" i="11"/>
  <c r="K129" i="11"/>
  <c r="L129" i="11"/>
  <c r="M129" i="11"/>
  <c r="K130" i="11"/>
  <c r="L130" i="11"/>
  <c r="M130" i="11"/>
  <c r="K131" i="11"/>
  <c r="L131" i="11"/>
  <c r="M131" i="11"/>
  <c r="K132" i="11"/>
  <c r="L132" i="11"/>
  <c r="M132" i="11"/>
  <c r="K133" i="11"/>
  <c r="L133" i="11"/>
  <c r="M133" i="11"/>
  <c r="K134" i="11"/>
  <c r="L134" i="11"/>
  <c r="M134" i="11"/>
  <c r="K135" i="11"/>
  <c r="L135" i="11"/>
  <c r="M135" i="11"/>
  <c r="K136" i="11"/>
  <c r="L136" i="11"/>
  <c r="M136" i="11"/>
  <c r="K137" i="11"/>
  <c r="L137" i="11"/>
  <c r="M137" i="11"/>
  <c r="K138" i="11"/>
  <c r="L138" i="11"/>
  <c r="M138" i="11"/>
  <c r="K139" i="11"/>
  <c r="L139" i="11"/>
  <c r="M139" i="11"/>
  <c r="K140" i="11"/>
  <c r="L140" i="11"/>
  <c r="M140" i="11"/>
  <c r="K141" i="11"/>
  <c r="L141" i="11"/>
  <c r="M141" i="11"/>
  <c r="K142" i="11"/>
  <c r="L142" i="11"/>
  <c r="M142" i="11"/>
  <c r="K143" i="11"/>
  <c r="L143" i="11"/>
  <c r="M143" i="11"/>
  <c r="K144" i="11"/>
  <c r="L144" i="11"/>
  <c r="M144" i="11"/>
  <c r="K145" i="11"/>
  <c r="L145" i="11"/>
  <c r="M145" i="11"/>
  <c r="K146" i="11"/>
  <c r="L146" i="11"/>
  <c r="M146" i="11"/>
  <c r="K147" i="11"/>
  <c r="L147" i="11"/>
  <c r="M147" i="11"/>
  <c r="K148" i="11"/>
  <c r="L148" i="11"/>
  <c r="M148" i="11"/>
  <c r="K149" i="11"/>
  <c r="L149" i="11"/>
  <c r="M149" i="11"/>
  <c r="K150" i="11"/>
  <c r="L150" i="11"/>
  <c r="M150" i="11"/>
  <c r="K151" i="11"/>
  <c r="L151" i="11"/>
  <c r="M151" i="11"/>
  <c r="K152" i="11"/>
  <c r="L152" i="11"/>
  <c r="M152" i="11"/>
  <c r="K153" i="11"/>
  <c r="L153" i="11"/>
  <c r="M153" i="11"/>
  <c r="K154" i="11"/>
  <c r="L154" i="11"/>
  <c r="M154" i="11"/>
  <c r="K155" i="11"/>
  <c r="L155" i="11"/>
  <c r="M155" i="11"/>
  <c r="K156" i="11"/>
  <c r="L156" i="11"/>
  <c r="M156" i="11"/>
  <c r="K157" i="11"/>
  <c r="L157" i="11"/>
  <c r="M157" i="11"/>
  <c r="K158" i="11"/>
  <c r="L158" i="11"/>
  <c r="M158" i="11"/>
  <c r="K159" i="11"/>
  <c r="L159" i="11"/>
  <c r="M159" i="11"/>
  <c r="K160" i="11"/>
  <c r="L160" i="11"/>
  <c r="M160" i="11"/>
  <c r="K161" i="11"/>
  <c r="L161" i="11"/>
  <c r="M161" i="11"/>
  <c r="K162" i="11"/>
  <c r="L162" i="11"/>
  <c r="M162" i="11"/>
  <c r="K163" i="11"/>
  <c r="L163" i="11"/>
  <c r="M163" i="11"/>
  <c r="K164" i="11"/>
  <c r="L164" i="11"/>
  <c r="M164" i="11"/>
  <c r="K165" i="11"/>
  <c r="L165" i="11"/>
  <c r="M165" i="11"/>
  <c r="K166" i="11"/>
  <c r="L166" i="11"/>
  <c r="M166" i="11"/>
  <c r="K167" i="11"/>
  <c r="L167" i="11"/>
  <c r="M167" i="11"/>
  <c r="K168" i="11"/>
  <c r="L168" i="11"/>
  <c r="M168" i="11"/>
  <c r="K169" i="11"/>
  <c r="L169" i="11"/>
  <c r="M169" i="11"/>
  <c r="K170" i="11"/>
  <c r="L170" i="11"/>
  <c r="M170" i="11"/>
  <c r="K171" i="11"/>
  <c r="L171" i="11"/>
  <c r="M171" i="11"/>
  <c r="K172" i="11"/>
  <c r="L172" i="11"/>
  <c r="M172" i="11"/>
  <c r="K173" i="11"/>
  <c r="L173" i="11"/>
  <c r="M173" i="11"/>
  <c r="K174" i="11"/>
  <c r="L174" i="11"/>
  <c r="M174" i="11"/>
  <c r="K175" i="11"/>
  <c r="L175" i="11"/>
  <c r="M175" i="11"/>
  <c r="K176" i="11"/>
  <c r="L176" i="11"/>
  <c r="M176" i="11"/>
  <c r="K177" i="11"/>
  <c r="L177" i="11"/>
  <c r="M177" i="11"/>
  <c r="K178" i="11"/>
  <c r="L178" i="11"/>
  <c r="M178" i="11"/>
  <c r="K179" i="11"/>
  <c r="L179" i="11"/>
  <c r="M179" i="11"/>
  <c r="K180" i="11"/>
  <c r="L180" i="11"/>
  <c r="M180" i="11"/>
  <c r="K181" i="11"/>
  <c r="L181" i="11"/>
  <c r="M181" i="11"/>
  <c r="K182" i="11"/>
  <c r="L182" i="11"/>
  <c r="M182" i="11"/>
  <c r="K183" i="11"/>
  <c r="L183" i="11"/>
  <c r="M183" i="11"/>
  <c r="K184" i="11"/>
  <c r="L184" i="11"/>
  <c r="M184" i="11"/>
  <c r="K185" i="11"/>
  <c r="L185" i="11"/>
  <c r="M185" i="11"/>
  <c r="K186" i="11"/>
  <c r="L186" i="11"/>
  <c r="M186" i="11"/>
  <c r="K187" i="11"/>
  <c r="L187" i="11"/>
  <c r="M187" i="11"/>
  <c r="K188" i="11"/>
  <c r="L188" i="11"/>
  <c r="M188" i="11"/>
  <c r="K189" i="11"/>
  <c r="L189" i="11"/>
  <c r="M189" i="11"/>
  <c r="K190" i="11"/>
  <c r="L190" i="11"/>
  <c r="M190" i="11"/>
  <c r="K191" i="11"/>
  <c r="L191" i="11"/>
  <c r="M191" i="11"/>
  <c r="K192" i="11"/>
  <c r="L192" i="11"/>
  <c r="M192" i="11"/>
  <c r="K193" i="11"/>
  <c r="L193" i="11"/>
  <c r="M193" i="11"/>
  <c r="K194" i="11"/>
  <c r="L194" i="11"/>
  <c r="M194" i="11"/>
  <c r="K195" i="11"/>
  <c r="L195" i="11"/>
  <c r="M195" i="11"/>
  <c r="K196" i="11"/>
  <c r="L196" i="11"/>
  <c r="M196" i="11"/>
  <c r="K197" i="11"/>
  <c r="L197" i="11"/>
  <c r="M197" i="11"/>
  <c r="K198" i="11"/>
  <c r="L198" i="11"/>
  <c r="M198" i="11"/>
  <c r="K199" i="11"/>
  <c r="L199" i="11"/>
  <c r="M199" i="11"/>
  <c r="K200" i="11"/>
  <c r="L200" i="11"/>
  <c r="M200" i="11"/>
  <c r="K201" i="11"/>
  <c r="L201" i="11"/>
  <c r="M201" i="11"/>
  <c r="K202" i="11"/>
  <c r="L202" i="11"/>
  <c r="M202" i="11"/>
  <c r="K203" i="11"/>
  <c r="L203" i="11"/>
  <c r="M203" i="11"/>
  <c r="K204" i="11"/>
  <c r="L204" i="11"/>
  <c r="M204" i="11"/>
  <c r="K205" i="11"/>
  <c r="L205" i="11"/>
  <c r="M205" i="11"/>
  <c r="K206" i="11"/>
  <c r="L206" i="11"/>
  <c r="M206" i="11"/>
  <c r="K207" i="11"/>
  <c r="L207" i="11"/>
  <c r="M207" i="11"/>
  <c r="K208" i="11"/>
  <c r="L208" i="11"/>
  <c r="M208" i="11"/>
  <c r="K209" i="11"/>
  <c r="L209" i="11"/>
  <c r="M209" i="11"/>
  <c r="K210" i="11"/>
  <c r="L210" i="11"/>
  <c r="M210" i="11"/>
  <c r="K211" i="11"/>
  <c r="L211" i="11"/>
  <c r="M211" i="11"/>
  <c r="K212" i="11"/>
  <c r="L212" i="11"/>
  <c r="M212" i="11"/>
  <c r="K213" i="11"/>
  <c r="L213" i="11"/>
  <c r="M213" i="11"/>
  <c r="K214" i="11"/>
  <c r="L214" i="11"/>
  <c r="M214" i="11"/>
  <c r="K215" i="11"/>
  <c r="L215" i="11"/>
  <c r="M215" i="11"/>
  <c r="K216" i="11"/>
  <c r="L216" i="11"/>
  <c r="M216" i="11"/>
  <c r="K217" i="11"/>
  <c r="L217" i="11"/>
  <c r="M217" i="11"/>
  <c r="K218" i="11"/>
  <c r="L218" i="11"/>
  <c r="M218" i="11"/>
  <c r="K219" i="11"/>
  <c r="L219" i="11"/>
  <c r="M219" i="11"/>
  <c r="K220" i="11"/>
  <c r="L220" i="11"/>
  <c r="M220" i="11"/>
  <c r="K221" i="11"/>
  <c r="L221" i="11"/>
  <c r="M221" i="11"/>
  <c r="K222" i="11"/>
  <c r="L222" i="11"/>
  <c r="M222" i="11"/>
  <c r="K223" i="11"/>
  <c r="L223" i="11"/>
  <c r="M223" i="11"/>
  <c r="K224" i="11"/>
  <c r="L224" i="11"/>
  <c r="M224" i="11"/>
  <c r="K225" i="11"/>
  <c r="L225" i="11"/>
  <c r="M225" i="11"/>
  <c r="K226" i="11"/>
  <c r="L226" i="11"/>
  <c r="M226" i="11"/>
  <c r="K227" i="11"/>
  <c r="L227" i="11"/>
  <c r="M227" i="11"/>
  <c r="K228" i="11"/>
  <c r="L228" i="11"/>
  <c r="M228" i="11"/>
  <c r="K229" i="11"/>
  <c r="L229" i="11"/>
  <c r="M229" i="11"/>
  <c r="K230" i="11"/>
  <c r="L230" i="11"/>
  <c r="M230" i="11"/>
  <c r="K231" i="11"/>
  <c r="L231" i="11"/>
  <c r="M231" i="11"/>
  <c r="K232" i="11"/>
  <c r="L232" i="11"/>
  <c r="M232" i="11"/>
  <c r="K233" i="11"/>
  <c r="L233" i="11"/>
  <c r="M233" i="11"/>
  <c r="K234" i="11"/>
  <c r="L234" i="11"/>
  <c r="M234" i="11"/>
  <c r="K235" i="11"/>
  <c r="L235" i="11"/>
  <c r="M235" i="11"/>
  <c r="K236" i="11"/>
  <c r="L236" i="11"/>
  <c r="M236" i="11"/>
  <c r="K237" i="11"/>
  <c r="L237" i="11"/>
  <c r="M237" i="11"/>
  <c r="K238" i="11"/>
  <c r="L238" i="11"/>
  <c r="M238" i="11"/>
  <c r="K239" i="11"/>
  <c r="L239" i="11"/>
  <c r="M239" i="11"/>
  <c r="K240" i="11"/>
  <c r="L240" i="11"/>
  <c r="M240" i="11"/>
  <c r="K241" i="11"/>
  <c r="L241" i="11"/>
  <c r="M241" i="11"/>
  <c r="K242" i="11"/>
  <c r="L242" i="11"/>
  <c r="M242" i="11"/>
  <c r="K243" i="11"/>
  <c r="L243" i="11"/>
  <c r="M243" i="11"/>
  <c r="K244" i="11"/>
  <c r="L244" i="11"/>
  <c r="M244" i="11"/>
  <c r="K245" i="11"/>
  <c r="L245" i="11"/>
  <c r="M245" i="11"/>
  <c r="K246" i="11"/>
  <c r="L246" i="11"/>
  <c r="M246" i="11"/>
  <c r="K247" i="11"/>
  <c r="L247" i="11"/>
  <c r="M247" i="11"/>
  <c r="K248" i="11"/>
  <c r="L248" i="11"/>
  <c r="M248" i="11"/>
  <c r="K249" i="11"/>
  <c r="L249" i="11"/>
  <c r="M249" i="11"/>
  <c r="K250" i="11"/>
  <c r="L250" i="11"/>
  <c r="M250" i="11"/>
  <c r="K251" i="11"/>
  <c r="L251" i="11"/>
  <c r="M251" i="11"/>
  <c r="K252" i="11"/>
  <c r="L252" i="11"/>
  <c r="M252" i="11"/>
  <c r="K253" i="11"/>
  <c r="L253" i="11"/>
  <c r="M253" i="11"/>
  <c r="K254" i="11"/>
  <c r="L254" i="11"/>
  <c r="M254" i="11"/>
  <c r="K255" i="11"/>
  <c r="L255" i="11"/>
  <c r="M255" i="11"/>
  <c r="K256" i="11"/>
  <c r="L256" i="11"/>
  <c r="M256" i="11"/>
  <c r="K257" i="11"/>
  <c r="L257" i="11"/>
  <c r="M257" i="11"/>
  <c r="K258" i="11"/>
  <c r="L258" i="11"/>
  <c r="M258" i="11"/>
  <c r="K259" i="11"/>
  <c r="L259" i="11"/>
  <c r="M259" i="11"/>
  <c r="K260" i="11"/>
  <c r="L260" i="11"/>
  <c r="M260" i="11"/>
  <c r="K261" i="11"/>
  <c r="L261" i="11"/>
  <c r="M261" i="11"/>
  <c r="K262" i="11"/>
  <c r="L262" i="11"/>
  <c r="M262" i="11"/>
  <c r="K263" i="11"/>
  <c r="L263" i="11"/>
  <c r="M263" i="11"/>
  <c r="K264" i="11"/>
  <c r="L264" i="11"/>
  <c r="M264" i="11"/>
  <c r="K265" i="11"/>
  <c r="L265" i="11"/>
  <c r="M265" i="11"/>
  <c r="K266" i="11"/>
  <c r="L266" i="11"/>
  <c r="M266" i="11"/>
  <c r="K267" i="11"/>
  <c r="L267" i="11"/>
  <c r="M267" i="11"/>
  <c r="K268" i="11"/>
  <c r="L268" i="11"/>
  <c r="M268" i="11"/>
  <c r="K269" i="11"/>
  <c r="L269" i="11"/>
  <c r="M269" i="11"/>
  <c r="K270" i="11"/>
  <c r="L270" i="11"/>
  <c r="M270" i="11"/>
  <c r="K271" i="11"/>
  <c r="L271" i="11"/>
  <c r="M271" i="11"/>
  <c r="K272" i="11"/>
  <c r="L272" i="11"/>
  <c r="M272" i="11"/>
  <c r="K273" i="11"/>
  <c r="L273" i="11"/>
  <c r="M273" i="11"/>
  <c r="K274" i="11"/>
  <c r="L274" i="11"/>
  <c r="M274" i="11"/>
  <c r="K275" i="11"/>
  <c r="L275" i="11"/>
  <c r="M275" i="11"/>
  <c r="K276" i="11"/>
  <c r="L276" i="11"/>
  <c r="M276" i="11"/>
  <c r="K277" i="11"/>
  <c r="L277" i="11"/>
  <c r="M277" i="11"/>
  <c r="K278" i="11"/>
  <c r="L278" i="11"/>
  <c r="M278" i="11"/>
  <c r="K279" i="11"/>
  <c r="L279" i="11"/>
  <c r="M279" i="11"/>
  <c r="K280" i="11"/>
  <c r="L280" i="11"/>
  <c r="M280" i="11"/>
  <c r="K281" i="11"/>
  <c r="L281" i="11"/>
  <c r="M281" i="11"/>
  <c r="K282" i="11"/>
  <c r="L282" i="11"/>
  <c r="M282" i="11"/>
  <c r="K283" i="11"/>
  <c r="L283" i="11"/>
  <c r="M283" i="11"/>
  <c r="K284" i="11"/>
  <c r="L284" i="11"/>
  <c r="M284" i="11"/>
  <c r="K285" i="11"/>
  <c r="L285" i="11"/>
  <c r="M285" i="11"/>
  <c r="K286" i="11"/>
  <c r="L286" i="11"/>
  <c r="M286" i="11"/>
  <c r="K287" i="11"/>
  <c r="L287" i="11"/>
  <c r="M287" i="11"/>
  <c r="K288" i="11"/>
  <c r="L288" i="11"/>
  <c r="M288" i="11"/>
  <c r="K289" i="11"/>
  <c r="L289" i="11"/>
  <c r="M289" i="11"/>
  <c r="K290" i="11"/>
  <c r="L290" i="11"/>
  <c r="M290" i="11"/>
  <c r="K291" i="11"/>
  <c r="L291" i="11"/>
  <c r="M291" i="11"/>
  <c r="K292" i="11"/>
  <c r="L292" i="11"/>
  <c r="M292" i="11"/>
  <c r="K293" i="11"/>
  <c r="L293" i="11"/>
  <c r="M293" i="11"/>
  <c r="K294" i="11"/>
  <c r="L294" i="11"/>
  <c r="M294" i="11"/>
  <c r="K295" i="11"/>
  <c r="L295" i="11"/>
  <c r="M295" i="11"/>
  <c r="K296" i="11"/>
  <c r="L296" i="11"/>
  <c r="M296" i="11"/>
  <c r="K297" i="11"/>
  <c r="L297" i="11"/>
  <c r="M297" i="11"/>
  <c r="K298" i="11"/>
  <c r="L298" i="11"/>
  <c r="M298" i="11"/>
  <c r="K299" i="11"/>
  <c r="L299" i="11"/>
  <c r="M299" i="11"/>
  <c r="K300" i="11"/>
  <c r="L300" i="11"/>
  <c r="M300" i="11"/>
  <c r="K301" i="11"/>
  <c r="L301" i="11"/>
  <c r="M301" i="11"/>
  <c r="K302" i="11"/>
  <c r="L302" i="11"/>
  <c r="M302" i="11"/>
  <c r="K303" i="11"/>
  <c r="L303" i="11"/>
  <c r="M303" i="11"/>
  <c r="K304" i="11"/>
  <c r="L304" i="11"/>
  <c r="M304" i="11"/>
  <c r="K305" i="11"/>
  <c r="L305" i="11"/>
  <c r="M305" i="11"/>
  <c r="K306" i="11"/>
  <c r="L306" i="11"/>
  <c r="M306" i="11"/>
  <c r="K307" i="11"/>
  <c r="L307" i="11"/>
  <c r="M307" i="11"/>
  <c r="K308" i="11"/>
  <c r="L308" i="11"/>
  <c r="M308" i="11"/>
  <c r="K309" i="11"/>
  <c r="L309" i="11"/>
  <c r="M309" i="11"/>
  <c r="K310" i="11"/>
  <c r="L310" i="11"/>
  <c r="M310" i="11"/>
  <c r="K311" i="11"/>
  <c r="L311" i="11"/>
  <c r="M311" i="11"/>
  <c r="K312" i="11"/>
  <c r="L312" i="11"/>
  <c r="M312" i="11"/>
  <c r="K313" i="11"/>
  <c r="L313" i="11"/>
  <c r="M313" i="11"/>
  <c r="K314" i="11"/>
  <c r="L314" i="11"/>
  <c r="M314" i="11"/>
  <c r="K315" i="11"/>
  <c r="L315" i="11"/>
  <c r="M315" i="11"/>
  <c r="K316" i="11"/>
  <c r="L316" i="11"/>
  <c r="M316" i="11"/>
  <c r="K317" i="11"/>
  <c r="L317" i="11"/>
  <c r="M317" i="11"/>
  <c r="K318" i="11"/>
  <c r="L318" i="11"/>
  <c r="M318" i="11"/>
  <c r="K319" i="11"/>
  <c r="L319" i="11"/>
  <c r="M319" i="11"/>
  <c r="K320" i="11"/>
  <c r="L320" i="11"/>
  <c r="M320" i="11"/>
  <c r="K321" i="11"/>
  <c r="L321" i="11"/>
  <c r="M321" i="11"/>
  <c r="K322" i="11"/>
  <c r="L322" i="11"/>
  <c r="M322" i="11"/>
  <c r="K323" i="11"/>
  <c r="L323" i="11"/>
  <c r="M323" i="11"/>
  <c r="K324" i="11"/>
  <c r="L324" i="11"/>
  <c r="M324" i="11"/>
  <c r="K325" i="11"/>
  <c r="L325" i="11"/>
  <c r="M325" i="11"/>
  <c r="K326" i="11"/>
  <c r="L326" i="11"/>
  <c r="M326" i="11"/>
  <c r="K327" i="11"/>
  <c r="L327" i="11"/>
  <c r="M327" i="11"/>
  <c r="K328" i="11"/>
  <c r="L328" i="11"/>
  <c r="M328" i="11"/>
  <c r="K329" i="11"/>
  <c r="L329" i="11"/>
  <c r="M329" i="11"/>
  <c r="K330" i="11"/>
  <c r="L330" i="11"/>
  <c r="M330" i="11"/>
  <c r="K331" i="11"/>
  <c r="L331" i="11"/>
  <c r="M331" i="11"/>
  <c r="K332" i="11"/>
  <c r="L332" i="11"/>
  <c r="M332" i="11"/>
  <c r="K333" i="11"/>
  <c r="L333" i="11"/>
  <c r="M333" i="11"/>
  <c r="K334" i="11"/>
  <c r="L334" i="11"/>
  <c r="M334" i="11"/>
  <c r="K335" i="11"/>
  <c r="L335" i="11"/>
  <c r="M335" i="11"/>
  <c r="K336" i="11"/>
  <c r="L336" i="11"/>
  <c r="M336" i="11"/>
  <c r="K337" i="11"/>
  <c r="L337" i="11"/>
  <c r="M337" i="11"/>
  <c r="K338" i="11"/>
  <c r="L338" i="11"/>
  <c r="M338" i="11"/>
  <c r="K339" i="11"/>
  <c r="L339" i="11"/>
  <c r="M339" i="11"/>
  <c r="K340" i="11"/>
  <c r="L340" i="11"/>
  <c r="M340" i="11"/>
  <c r="K341" i="11"/>
  <c r="L341" i="11"/>
  <c r="M341" i="11"/>
  <c r="K342" i="11"/>
  <c r="L342" i="11"/>
  <c r="M342" i="11"/>
  <c r="K343" i="11"/>
  <c r="L343" i="11"/>
  <c r="M343" i="11"/>
  <c r="K344" i="11"/>
  <c r="L344" i="11"/>
  <c r="M344" i="11"/>
  <c r="K345" i="11"/>
  <c r="L345" i="11"/>
  <c r="M345" i="11"/>
  <c r="K346" i="11"/>
  <c r="L346" i="11"/>
  <c r="M346" i="11"/>
  <c r="K347" i="11"/>
  <c r="L347" i="11"/>
  <c r="M347" i="11"/>
  <c r="K348" i="11"/>
  <c r="L348" i="11"/>
  <c r="M348" i="11"/>
  <c r="K349" i="11"/>
  <c r="L349" i="11"/>
  <c r="M349" i="11"/>
  <c r="K350" i="11"/>
  <c r="L350" i="11"/>
  <c r="M350" i="11"/>
  <c r="K351" i="11"/>
  <c r="L351" i="11"/>
  <c r="M351" i="11"/>
  <c r="K352" i="11"/>
  <c r="L352" i="11"/>
  <c r="M352" i="11"/>
  <c r="K353" i="11"/>
  <c r="L353" i="11"/>
  <c r="M353" i="11"/>
  <c r="K354" i="11"/>
  <c r="L354" i="11"/>
  <c r="M354" i="11"/>
  <c r="K355" i="11"/>
  <c r="L355" i="11"/>
  <c r="M355" i="11"/>
  <c r="K356" i="11"/>
  <c r="L356" i="11"/>
  <c r="M356" i="11"/>
  <c r="K357" i="11"/>
  <c r="L357" i="11"/>
  <c r="M357" i="11"/>
  <c r="K358" i="11"/>
  <c r="L358" i="11"/>
  <c r="M358" i="11"/>
  <c r="K359" i="11"/>
  <c r="L359" i="11"/>
  <c r="M359" i="11"/>
  <c r="K360" i="11"/>
  <c r="L360" i="11"/>
  <c r="M360" i="11"/>
  <c r="K361" i="11"/>
  <c r="L361" i="11"/>
  <c r="M361" i="11"/>
  <c r="K362" i="11"/>
  <c r="L362" i="11"/>
  <c r="M362" i="11"/>
  <c r="K363" i="11"/>
  <c r="L363" i="11"/>
  <c r="M363" i="11"/>
  <c r="K364" i="11"/>
  <c r="L364" i="11"/>
  <c r="M364" i="11"/>
  <c r="K365" i="11"/>
  <c r="L365" i="11"/>
  <c r="M365" i="11"/>
  <c r="K366" i="11"/>
  <c r="L366" i="11"/>
  <c r="M366" i="11"/>
  <c r="K367" i="11"/>
  <c r="L367" i="11"/>
  <c r="M367" i="11"/>
  <c r="K368" i="11"/>
  <c r="L368" i="11"/>
  <c r="M368" i="11"/>
  <c r="K369" i="11"/>
  <c r="L369" i="11"/>
  <c r="M369" i="11"/>
  <c r="K370" i="11"/>
  <c r="L370" i="11"/>
  <c r="M370" i="11"/>
  <c r="K371" i="11"/>
  <c r="L371" i="11"/>
  <c r="M371" i="11"/>
  <c r="K372" i="11"/>
  <c r="L372" i="11"/>
  <c r="M372" i="11"/>
  <c r="K373" i="11"/>
  <c r="L373" i="11"/>
  <c r="M373" i="11"/>
  <c r="K374" i="11"/>
  <c r="L374" i="11"/>
  <c r="M374" i="11"/>
  <c r="K375" i="11"/>
  <c r="L375" i="11"/>
  <c r="M375" i="11"/>
  <c r="K376" i="11"/>
  <c r="L376" i="11"/>
  <c r="M376" i="11"/>
  <c r="K377" i="11"/>
  <c r="L377" i="11"/>
  <c r="M377" i="11"/>
  <c r="K378" i="11"/>
  <c r="L378" i="11"/>
  <c r="M378" i="11"/>
  <c r="K379" i="11"/>
  <c r="L379" i="11"/>
  <c r="M379" i="11"/>
  <c r="K380" i="11"/>
  <c r="L380" i="11"/>
  <c r="M380" i="11"/>
  <c r="K381" i="11"/>
  <c r="L381" i="11"/>
  <c r="M381" i="11"/>
  <c r="K382" i="11"/>
  <c r="L382" i="11"/>
  <c r="M382" i="11"/>
  <c r="K383" i="11"/>
  <c r="L383" i="11"/>
  <c r="M383" i="11"/>
  <c r="K384" i="11"/>
  <c r="L384" i="11"/>
  <c r="M384" i="11"/>
  <c r="K385" i="11"/>
  <c r="L385" i="11"/>
  <c r="M385" i="11"/>
  <c r="K386" i="11"/>
  <c r="L386" i="11"/>
  <c r="M386" i="11"/>
  <c r="K387" i="11"/>
  <c r="L387" i="11"/>
  <c r="M387" i="11"/>
  <c r="K388" i="11"/>
  <c r="L388" i="11"/>
  <c r="M388" i="11"/>
  <c r="K389" i="11"/>
  <c r="L389" i="11"/>
  <c r="M389" i="11"/>
  <c r="K390" i="11"/>
  <c r="L390" i="11"/>
  <c r="M390" i="11"/>
  <c r="K391" i="11"/>
  <c r="L391" i="11"/>
  <c r="M391" i="11"/>
  <c r="K392" i="11"/>
  <c r="L392" i="11"/>
  <c r="M392" i="11"/>
  <c r="K393" i="11"/>
  <c r="L393" i="11"/>
  <c r="M393" i="11"/>
  <c r="K394" i="11"/>
  <c r="L394" i="11"/>
  <c r="M394" i="11"/>
  <c r="K395" i="11"/>
  <c r="L395" i="11"/>
  <c r="M395" i="11"/>
  <c r="K396" i="11"/>
  <c r="L396" i="11"/>
  <c r="M396" i="11"/>
  <c r="K397" i="11"/>
  <c r="L397" i="11"/>
  <c r="M397" i="11"/>
  <c r="K398" i="11"/>
  <c r="L398" i="11"/>
  <c r="M398" i="11"/>
  <c r="K399" i="11"/>
  <c r="L399" i="11"/>
  <c r="M399" i="11"/>
  <c r="K400" i="11"/>
  <c r="L400" i="11"/>
  <c r="M400" i="11"/>
  <c r="K401" i="11"/>
  <c r="L401" i="11"/>
  <c r="M401" i="11"/>
  <c r="K402" i="11"/>
  <c r="L402" i="11"/>
  <c r="M402" i="11"/>
  <c r="K403" i="11"/>
  <c r="L403" i="11"/>
  <c r="M403" i="11"/>
  <c r="K404" i="11"/>
  <c r="L404" i="11"/>
  <c r="M404" i="11"/>
  <c r="K405" i="11"/>
  <c r="L405" i="11"/>
  <c r="M405" i="11"/>
  <c r="K406" i="11"/>
  <c r="L406" i="11"/>
  <c r="M406" i="11"/>
  <c r="K407" i="11"/>
  <c r="L407" i="11"/>
  <c r="M407" i="11"/>
  <c r="K408" i="11"/>
  <c r="L408" i="11"/>
  <c r="M408" i="11"/>
  <c r="K409" i="11"/>
  <c r="L409" i="11"/>
  <c r="M409" i="11"/>
  <c r="K410" i="11"/>
  <c r="L410" i="11"/>
  <c r="M410" i="11"/>
  <c r="K411" i="11"/>
  <c r="L411" i="11"/>
  <c r="M411" i="11"/>
  <c r="K412" i="11"/>
  <c r="L412" i="11"/>
  <c r="M412" i="11"/>
  <c r="K413" i="11"/>
  <c r="L413" i="11"/>
  <c r="M413" i="11"/>
  <c r="K414" i="11"/>
  <c r="L414" i="11"/>
  <c r="M414" i="11"/>
  <c r="K415" i="11"/>
  <c r="L415" i="11"/>
  <c r="M415" i="11"/>
  <c r="K416" i="11"/>
  <c r="L416" i="11"/>
  <c r="M416" i="11"/>
  <c r="K417" i="11"/>
  <c r="L417" i="11"/>
  <c r="M417" i="11"/>
  <c r="K418" i="11"/>
  <c r="L418" i="11"/>
  <c r="M418" i="11"/>
  <c r="K419" i="11"/>
  <c r="L419" i="11"/>
  <c r="M419" i="11"/>
  <c r="K420" i="11"/>
  <c r="L420" i="11"/>
  <c r="M420" i="11"/>
  <c r="K421" i="11"/>
  <c r="L421" i="11"/>
  <c r="M421" i="11"/>
  <c r="K422" i="11"/>
  <c r="L422" i="11"/>
  <c r="M422" i="11"/>
  <c r="K423" i="11"/>
  <c r="L423" i="11"/>
  <c r="M423" i="11"/>
  <c r="K424" i="11"/>
  <c r="L424" i="11"/>
  <c r="M424" i="11"/>
  <c r="K425" i="11"/>
  <c r="L425" i="11"/>
  <c r="M425" i="11"/>
  <c r="K426" i="11"/>
  <c r="L426" i="11"/>
  <c r="M426" i="11"/>
  <c r="K427" i="11"/>
  <c r="L427" i="11"/>
  <c r="M427" i="11"/>
  <c r="K428" i="11"/>
  <c r="L428" i="11"/>
  <c r="M428" i="11"/>
  <c r="K429" i="11"/>
  <c r="L429" i="11"/>
  <c r="M429" i="11"/>
  <c r="K430" i="11"/>
  <c r="L430" i="11"/>
  <c r="M430" i="11"/>
  <c r="K431" i="11"/>
  <c r="L431" i="11"/>
  <c r="M431" i="11"/>
  <c r="K432" i="11"/>
  <c r="L432" i="11"/>
  <c r="M432" i="11"/>
  <c r="K433" i="11"/>
  <c r="L433" i="11"/>
  <c r="M433" i="11"/>
  <c r="K434" i="11"/>
  <c r="L434" i="11"/>
  <c r="M434" i="11"/>
  <c r="K435" i="11"/>
  <c r="L435" i="11"/>
  <c r="M435" i="11"/>
  <c r="K436" i="11"/>
  <c r="L436" i="11"/>
  <c r="M436" i="11"/>
  <c r="K437" i="11"/>
  <c r="L437" i="11"/>
  <c r="M437" i="11"/>
  <c r="K438" i="11"/>
  <c r="L438" i="11"/>
  <c r="M438" i="11"/>
  <c r="K439" i="11"/>
  <c r="L439" i="11"/>
  <c r="M439" i="11"/>
  <c r="K440" i="11"/>
  <c r="L440" i="11"/>
  <c r="M440" i="11"/>
  <c r="K441" i="11"/>
  <c r="L441" i="11"/>
  <c r="M441" i="11"/>
  <c r="K442" i="11"/>
  <c r="L442" i="11"/>
  <c r="M442" i="11"/>
  <c r="K443" i="11"/>
  <c r="L443" i="11"/>
  <c r="M443" i="11"/>
  <c r="K444" i="11"/>
  <c r="L444" i="11"/>
  <c r="M444" i="11"/>
  <c r="K445" i="11"/>
  <c r="L445" i="11"/>
  <c r="M445" i="11"/>
  <c r="K446" i="11"/>
  <c r="L446" i="11"/>
  <c r="M446" i="11"/>
  <c r="K447" i="11"/>
  <c r="L447" i="11"/>
  <c r="M447" i="11"/>
  <c r="K448" i="11"/>
  <c r="L448" i="11"/>
  <c r="M448" i="11"/>
  <c r="K449" i="11"/>
  <c r="L449" i="11"/>
  <c r="M449" i="11"/>
  <c r="K450" i="11"/>
  <c r="L450" i="11"/>
  <c r="M450" i="11"/>
  <c r="K451" i="11"/>
  <c r="L451" i="11"/>
  <c r="M451" i="11"/>
  <c r="K452" i="11"/>
  <c r="L452" i="11"/>
  <c r="M452" i="11"/>
  <c r="K453" i="11"/>
  <c r="L453" i="11"/>
  <c r="M453" i="11"/>
  <c r="K454" i="11"/>
  <c r="L454" i="11"/>
  <c r="M454" i="11"/>
  <c r="K455" i="11"/>
  <c r="L455" i="11"/>
  <c r="M455" i="11"/>
  <c r="K456" i="11"/>
  <c r="L456" i="11"/>
  <c r="M456" i="11"/>
  <c r="K457" i="11"/>
  <c r="L457" i="11"/>
  <c r="M457" i="11"/>
  <c r="K458" i="11"/>
  <c r="L458" i="11"/>
  <c r="M458" i="11"/>
  <c r="K459" i="11"/>
  <c r="L459" i="11"/>
  <c r="M459" i="11"/>
  <c r="K460" i="11"/>
  <c r="L460" i="11"/>
  <c r="M460" i="11"/>
  <c r="K461" i="11"/>
  <c r="L461" i="11"/>
  <c r="M461" i="11"/>
  <c r="K462" i="11"/>
  <c r="L462" i="11"/>
  <c r="M462" i="11"/>
  <c r="K463" i="11"/>
  <c r="L463" i="11"/>
  <c r="M463" i="11"/>
  <c r="K464" i="11"/>
  <c r="L464" i="11"/>
  <c r="M464" i="11"/>
  <c r="K465" i="11"/>
  <c r="L465" i="11"/>
  <c r="M465" i="11"/>
  <c r="K466" i="11"/>
  <c r="L466" i="11"/>
  <c r="M466" i="11"/>
  <c r="K467" i="11"/>
  <c r="L467" i="11"/>
  <c r="M467" i="11"/>
  <c r="K468" i="11"/>
  <c r="L468" i="11"/>
  <c r="M468" i="11"/>
  <c r="K469" i="11"/>
  <c r="L469" i="11"/>
  <c r="M469" i="11"/>
  <c r="K470" i="11"/>
  <c r="L470" i="11"/>
  <c r="M470" i="11"/>
  <c r="K471" i="11"/>
  <c r="L471" i="11"/>
  <c r="M471" i="11"/>
  <c r="K472" i="11"/>
  <c r="L472" i="11"/>
  <c r="M472" i="11"/>
  <c r="K473" i="11"/>
  <c r="L473" i="11"/>
  <c r="M473" i="11"/>
  <c r="K474" i="11"/>
  <c r="L474" i="11"/>
  <c r="M474" i="11"/>
  <c r="K475" i="11"/>
  <c r="L475" i="11"/>
  <c r="M475" i="11"/>
  <c r="K476" i="11"/>
  <c r="L476" i="11"/>
  <c r="M476" i="11"/>
  <c r="K477" i="11"/>
  <c r="L477" i="11"/>
  <c r="M477" i="11"/>
  <c r="K478" i="11"/>
  <c r="L478" i="11"/>
  <c r="M478" i="11"/>
  <c r="K479" i="11"/>
  <c r="L479" i="11"/>
  <c r="M479" i="11"/>
  <c r="K480" i="11"/>
  <c r="L480" i="11"/>
  <c r="M480" i="11"/>
  <c r="K481" i="11"/>
  <c r="L481" i="11"/>
  <c r="M481" i="11"/>
  <c r="K482" i="11"/>
  <c r="L482" i="11"/>
  <c r="M482" i="11"/>
  <c r="K483" i="11"/>
  <c r="L483" i="11"/>
  <c r="M483" i="11"/>
  <c r="K484" i="11"/>
  <c r="L484" i="11"/>
  <c r="M484" i="11"/>
  <c r="K485" i="11"/>
  <c r="L485" i="11"/>
  <c r="M485" i="11"/>
  <c r="K486" i="11"/>
  <c r="L486" i="11"/>
  <c r="M486" i="11"/>
  <c r="K487" i="11"/>
  <c r="L487" i="11"/>
  <c r="M487" i="11"/>
  <c r="K488" i="11"/>
  <c r="L488" i="11"/>
  <c r="M488" i="11"/>
  <c r="K489" i="11"/>
  <c r="L489" i="11"/>
  <c r="M489" i="11"/>
  <c r="K490" i="11"/>
  <c r="L490" i="11"/>
  <c r="M490" i="11"/>
  <c r="K491" i="11"/>
  <c r="L491" i="11"/>
  <c r="M491" i="11"/>
  <c r="K492" i="11"/>
  <c r="L492" i="11"/>
  <c r="M492" i="11"/>
  <c r="K493" i="11"/>
  <c r="L493" i="11"/>
  <c r="M493" i="11"/>
  <c r="K494" i="11"/>
  <c r="L494" i="11"/>
  <c r="M494" i="11"/>
  <c r="K495" i="11"/>
  <c r="L495" i="11"/>
  <c r="M495" i="11"/>
  <c r="K496" i="11"/>
  <c r="L496" i="11"/>
  <c r="M496" i="11"/>
  <c r="K497" i="11"/>
  <c r="L497" i="11"/>
  <c r="M497" i="11"/>
  <c r="K498" i="11"/>
  <c r="L498" i="11"/>
  <c r="M498" i="11"/>
  <c r="K499" i="11"/>
  <c r="L499" i="11"/>
  <c r="M499" i="11"/>
  <c r="K500" i="11"/>
  <c r="L500" i="11"/>
  <c r="M500" i="11"/>
  <c r="K501" i="11"/>
  <c r="L501" i="11"/>
  <c r="M501" i="11"/>
  <c r="K502" i="11"/>
  <c r="L502" i="11"/>
  <c r="M502" i="11"/>
  <c r="K503" i="11"/>
  <c r="L503" i="11"/>
  <c r="M503" i="11"/>
  <c r="K504" i="11"/>
  <c r="L504" i="11"/>
  <c r="M504" i="11"/>
  <c r="K505" i="11"/>
  <c r="L505" i="11"/>
  <c r="M505" i="11"/>
  <c r="K506" i="11"/>
  <c r="L506" i="11"/>
  <c r="M506" i="11"/>
  <c r="K507" i="11"/>
  <c r="L507" i="11"/>
  <c r="M507" i="11"/>
  <c r="K508" i="11"/>
  <c r="L508" i="11"/>
  <c r="M508" i="11"/>
  <c r="K509" i="11"/>
  <c r="L509" i="11"/>
  <c r="M509" i="11"/>
  <c r="K510" i="11"/>
  <c r="L510" i="11"/>
  <c r="M510" i="11"/>
  <c r="K511" i="11"/>
  <c r="L511" i="11"/>
  <c r="M511" i="11"/>
  <c r="K512" i="11"/>
  <c r="L512" i="11"/>
  <c r="M512" i="11"/>
  <c r="K513" i="11"/>
  <c r="L513" i="11"/>
  <c r="M513" i="11"/>
  <c r="K514" i="11"/>
  <c r="L514" i="11"/>
  <c r="M514" i="11"/>
  <c r="K515" i="11"/>
  <c r="L515" i="11"/>
  <c r="M515" i="11"/>
  <c r="K516" i="11"/>
  <c r="L516" i="11"/>
  <c r="M516" i="11"/>
  <c r="K517" i="11"/>
  <c r="L517" i="11"/>
  <c r="M517" i="11"/>
  <c r="K518" i="11"/>
  <c r="L518" i="11"/>
  <c r="M518" i="11"/>
  <c r="K519" i="11"/>
  <c r="L519" i="11"/>
  <c r="M519" i="11"/>
  <c r="K520" i="11"/>
  <c r="L520" i="11"/>
  <c r="M520" i="11"/>
  <c r="K521" i="11"/>
  <c r="L521" i="11"/>
  <c r="M521" i="11"/>
  <c r="K522" i="11"/>
  <c r="L522" i="11"/>
  <c r="M522" i="11"/>
  <c r="K523" i="11"/>
  <c r="L523" i="11"/>
  <c r="M523" i="11"/>
  <c r="K524" i="11"/>
  <c r="L524" i="11"/>
  <c r="M524" i="11"/>
  <c r="K525" i="11"/>
  <c r="L525" i="11"/>
  <c r="M525" i="11"/>
  <c r="K526" i="11"/>
  <c r="L526" i="11"/>
  <c r="M526" i="11"/>
  <c r="K527" i="11"/>
  <c r="L527" i="11"/>
  <c r="M527" i="11"/>
  <c r="K528" i="11"/>
  <c r="L528" i="11"/>
  <c r="M528" i="11"/>
  <c r="K529" i="11"/>
  <c r="L529" i="11"/>
  <c r="M529" i="11"/>
  <c r="K530" i="11"/>
  <c r="L530" i="11"/>
  <c r="M530" i="11"/>
  <c r="K531" i="11"/>
  <c r="L531" i="11"/>
  <c r="M531" i="11"/>
  <c r="K532" i="11"/>
  <c r="L532" i="11"/>
  <c r="M532" i="11"/>
  <c r="K533" i="11"/>
  <c r="L533" i="11"/>
  <c r="M533" i="11"/>
  <c r="K534" i="11"/>
  <c r="L534" i="11"/>
  <c r="M534" i="11"/>
  <c r="K535" i="11"/>
  <c r="L535" i="11"/>
  <c r="M535" i="11"/>
  <c r="K536" i="11"/>
  <c r="L536" i="11"/>
  <c r="M536" i="11"/>
  <c r="K537" i="11"/>
  <c r="L537" i="11"/>
  <c r="M537" i="11"/>
  <c r="K538" i="11"/>
  <c r="L538" i="11"/>
  <c r="M538" i="11"/>
  <c r="K539" i="11"/>
  <c r="L539" i="11"/>
  <c r="M539" i="11"/>
  <c r="K540" i="11"/>
  <c r="L540" i="11"/>
  <c r="M540" i="11"/>
  <c r="K541" i="11"/>
  <c r="L541" i="11"/>
  <c r="M541" i="11"/>
  <c r="K542" i="11"/>
  <c r="L542" i="11"/>
  <c r="M542" i="11"/>
  <c r="K543" i="11"/>
  <c r="L543" i="11"/>
  <c r="M543" i="11"/>
  <c r="K544" i="11"/>
  <c r="L544" i="11"/>
  <c r="M544" i="11"/>
  <c r="K545" i="11"/>
  <c r="L545" i="11"/>
  <c r="M545" i="11"/>
  <c r="K546" i="11"/>
  <c r="L546" i="11"/>
  <c r="M546" i="11"/>
  <c r="K547" i="11"/>
  <c r="L547" i="11"/>
  <c r="M547" i="11"/>
  <c r="K548" i="11"/>
  <c r="L548" i="11"/>
  <c r="M548" i="11"/>
  <c r="K549" i="11"/>
  <c r="L549" i="11"/>
  <c r="M549" i="11"/>
  <c r="K550" i="11"/>
  <c r="L550" i="11"/>
  <c r="M550" i="11"/>
  <c r="K551" i="11"/>
  <c r="L551" i="11"/>
  <c r="M551" i="11"/>
  <c r="K552" i="11"/>
  <c r="L552" i="11"/>
  <c r="M552" i="11"/>
  <c r="K553" i="11"/>
  <c r="L553" i="11"/>
  <c r="M553" i="11"/>
  <c r="K554" i="11"/>
  <c r="L554" i="11"/>
  <c r="M554" i="11"/>
  <c r="K555" i="11"/>
  <c r="L555" i="11"/>
  <c r="M555" i="11"/>
  <c r="K556" i="11"/>
  <c r="L556" i="11"/>
  <c r="M556" i="11"/>
  <c r="K557" i="11"/>
  <c r="L557" i="11"/>
  <c r="M557" i="11"/>
  <c r="K558" i="11"/>
  <c r="L558" i="11"/>
  <c r="M558" i="11"/>
  <c r="K559" i="11"/>
  <c r="L559" i="11"/>
  <c r="M559" i="11"/>
  <c r="K560" i="11"/>
  <c r="L560" i="11"/>
  <c r="M560" i="11"/>
  <c r="K561" i="11"/>
  <c r="L561" i="11"/>
  <c r="M561" i="11"/>
  <c r="K562" i="11"/>
  <c r="L562" i="11"/>
  <c r="M562" i="11"/>
  <c r="K563" i="11"/>
  <c r="L563" i="11"/>
  <c r="M563" i="11"/>
  <c r="K564" i="11"/>
  <c r="L564" i="11"/>
  <c r="M564" i="11"/>
  <c r="K565" i="11"/>
  <c r="L565" i="11"/>
  <c r="M565" i="11"/>
  <c r="K566" i="11"/>
  <c r="L566" i="11"/>
  <c r="M566" i="11"/>
  <c r="K567" i="11"/>
  <c r="L567" i="11"/>
  <c r="M567" i="11"/>
  <c r="K568" i="11"/>
  <c r="L568" i="11"/>
  <c r="M568" i="11"/>
  <c r="K569" i="11"/>
  <c r="L569" i="11"/>
  <c r="M569" i="11"/>
  <c r="K570" i="11"/>
  <c r="L570" i="11"/>
  <c r="M570" i="11"/>
  <c r="K571" i="11"/>
  <c r="L571" i="11"/>
  <c r="M571" i="11"/>
  <c r="K572" i="11"/>
  <c r="L572" i="11"/>
  <c r="M572" i="11"/>
  <c r="K573" i="11"/>
  <c r="L573" i="11"/>
  <c r="M573" i="11"/>
  <c r="K574" i="11"/>
  <c r="L574" i="11"/>
  <c r="M574" i="11"/>
  <c r="K575" i="11"/>
  <c r="L575" i="11"/>
  <c r="M575" i="11"/>
  <c r="K576" i="11"/>
  <c r="L576" i="11"/>
  <c r="M576" i="11"/>
  <c r="K577" i="11"/>
  <c r="L577" i="11"/>
  <c r="M577" i="11"/>
  <c r="K578" i="11"/>
  <c r="L578" i="11"/>
  <c r="M578" i="11"/>
  <c r="K579" i="11"/>
  <c r="L579" i="11"/>
  <c r="M579" i="11"/>
  <c r="K580" i="11"/>
  <c r="L580" i="11"/>
  <c r="M580" i="11"/>
  <c r="K581" i="11"/>
  <c r="L581" i="11"/>
  <c r="M581" i="11"/>
  <c r="K582" i="11"/>
  <c r="L582" i="11"/>
  <c r="M582" i="11"/>
  <c r="K583" i="11"/>
  <c r="L583" i="11"/>
  <c r="M583" i="11"/>
  <c r="K584" i="11"/>
  <c r="L584" i="11"/>
  <c r="M584" i="11"/>
  <c r="K585" i="11"/>
  <c r="L585" i="11"/>
  <c r="M585" i="11"/>
  <c r="K586" i="11"/>
  <c r="L586" i="11"/>
  <c r="M586" i="11"/>
  <c r="K587" i="11"/>
  <c r="L587" i="11"/>
  <c r="M587" i="11"/>
  <c r="K588" i="11"/>
  <c r="L588" i="11"/>
  <c r="M588" i="11"/>
  <c r="K589" i="11"/>
  <c r="L589" i="11"/>
  <c r="M589" i="11"/>
  <c r="K590" i="11"/>
  <c r="L590" i="11"/>
  <c r="M590" i="11"/>
  <c r="K591" i="11"/>
  <c r="L591" i="11"/>
  <c r="M591" i="11"/>
  <c r="K592" i="11"/>
  <c r="L592" i="11"/>
  <c r="M592" i="11"/>
  <c r="K593" i="11"/>
  <c r="L593" i="11"/>
  <c r="M593" i="11"/>
  <c r="K594" i="11"/>
  <c r="L594" i="11"/>
  <c r="M594" i="11"/>
  <c r="K595" i="11"/>
  <c r="L595" i="11"/>
  <c r="M595" i="11"/>
  <c r="K596" i="11"/>
  <c r="L596" i="11"/>
  <c r="M596" i="11"/>
  <c r="K597" i="11"/>
  <c r="L597" i="11"/>
  <c r="M597" i="11"/>
  <c r="K598" i="11"/>
  <c r="L598" i="11"/>
  <c r="M598" i="11"/>
  <c r="K599" i="11"/>
  <c r="L599" i="11"/>
  <c r="M599" i="11"/>
  <c r="K600" i="11"/>
  <c r="L600" i="11"/>
  <c r="M600" i="11"/>
  <c r="K601" i="11"/>
  <c r="L601" i="11"/>
  <c r="M601" i="11"/>
  <c r="K602" i="11"/>
  <c r="L602" i="11"/>
  <c r="M602" i="11"/>
  <c r="K603" i="11"/>
  <c r="L603" i="11"/>
  <c r="M603" i="11"/>
  <c r="K604" i="11"/>
  <c r="L604" i="11"/>
  <c r="M604" i="11"/>
  <c r="K605" i="11"/>
  <c r="L605" i="11"/>
  <c r="M605" i="11"/>
  <c r="K606" i="11"/>
  <c r="L606" i="11"/>
  <c r="M606" i="11"/>
  <c r="K607" i="11"/>
  <c r="L607" i="11"/>
  <c r="M607" i="11"/>
  <c r="K608" i="11"/>
  <c r="L608" i="11"/>
  <c r="M608" i="11"/>
  <c r="K609" i="11"/>
  <c r="L609" i="11"/>
  <c r="M609" i="11"/>
  <c r="K610" i="11"/>
  <c r="L610" i="11"/>
  <c r="M610" i="11"/>
  <c r="K611" i="11"/>
  <c r="L611" i="11"/>
  <c r="M611" i="11"/>
  <c r="K612" i="11"/>
  <c r="L612" i="11"/>
  <c r="M612" i="11"/>
  <c r="K613" i="11"/>
  <c r="L613" i="11"/>
  <c r="M613" i="11"/>
  <c r="K614" i="11"/>
  <c r="L614" i="11"/>
  <c r="M614" i="11"/>
  <c r="K615" i="11"/>
  <c r="L615" i="11"/>
  <c r="M615" i="11"/>
  <c r="K616" i="11"/>
  <c r="L616" i="11"/>
  <c r="M616" i="11"/>
  <c r="K617" i="11"/>
  <c r="L617" i="11"/>
  <c r="M617" i="11"/>
  <c r="K618" i="11"/>
  <c r="L618" i="11"/>
  <c r="M618" i="11"/>
  <c r="K619" i="11"/>
  <c r="L619" i="11"/>
  <c r="M619" i="11"/>
  <c r="K620" i="11"/>
  <c r="L620" i="11"/>
  <c r="M620" i="11"/>
  <c r="K621" i="11"/>
  <c r="L621" i="11"/>
  <c r="M621" i="11"/>
  <c r="K622" i="11"/>
  <c r="L622" i="11"/>
  <c r="M622" i="11"/>
  <c r="K623" i="11"/>
  <c r="L623" i="11"/>
  <c r="M623" i="11"/>
  <c r="K624" i="11"/>
  <c r="L624" i="11"/>
  <c r="M624" i="11"/>
  <c r="K625" i="11"/>
  <c r="L625" i="11"/>
  <c r="M625" i="11"/>
  <c r="K626" i="11"/>
  <c r="L626" i="11"/>
  <c r="M626" i="11"/>
  <c r="K627" i="11"/>
  <c r="L627" i="11"/>
  <c r="M627" i="11"/>
  <c r="K628" i="11"/>
  <c r="L628" i="11"/>
  <c r="M628" i="11"/>
  <c r="K629" i="11"/>
  <c r="L629" i="11"/>
  <c r="M629" i="11"/>
  <c r="K630" i="11"/>
  <c r="L630" i="11"/>
  <c r="M630" i="11"/>
  <c r="K631" i="11"/>
  <c r="L631" i="11"/>
  <c r="M631" i="11"/>
  <c r="K632" i="11"/>
  <c r="L632" i="11"/>
  <c r="M632" i="11"/>
  <c r="K633" i="11"/>
  <c r="L633" i="11"/>
  <c r="M633" i="11"/>
  <c r="K634" i="11"/>
  <c r="L634" i="11"/>
  <c r="M634" i="11"/>
  <c r="K635" i="11"/>
  <c r="L635" i="11"/>
  <c r="M635" i="11"/>
  <c r="K636" i="11"/>
  <c r="L636" i="11"/>
  <c r="M636" i="11"/>
  <c r="K637" i="11"/>
  <c r="L637" i="11"/>
  <c r="M637" i="11"/>
  <c r="K638" i="11"/>
  <c r="L638" i="11"/>
  <c r="M638" i="11"/>
  <c r="K639" i="11"/>
  <c r="L639" i="11"/>
  <c r="M639" i="11"/>
  <c r="K640" i="11"/>
  <c r="L640" i="11"/>
  <c r="M640" i="11"/>
  <c r="K641" i="11"/>
  <c r="L641" i="11"/>
  <c r="M641" i="11"/>
  <c r="K642" i="11"/>
  <c r="L642" i="11"/>
  <c r="M642" i="11"/>
  <c r="K643" i="11"/>
  <c r="L643" i="11"/>
  <c r="M643" i="11"/>
  <c r="K644" i="11"/>
  <c r="L644" i="11"/>
  <c r="M644" i="11"/>
  <c r="K645" i="11"/>
  <c r="L645" i="11"/>
  <c r="M645" i="11"/>
  <c r="K646" i="11"/>
  <c r="L646" i="11"/>
  <c r="M646" i="11"/>
  <c r="K647" i="11"/>
  <c r="L647" i="11"/>
  <c r="M647" i="11"/>
  <c r="K648" i="11"/>
  <c r="L648" i="11"/>
  <c r="M648" i="11"/>
  <c r="K649" i="11"/>
  <c r="L649" i="11"/>
  <c r="M649" i="11"/>
  <c r="K650" i="11"/>
  <c r="L650" i="11"/>
  <c r="M650" i="11"/>
  <c r="K651" i="11"/>
  <c r="L651" i="11"/>
  <c r="M651" i="11"/>
  <c r="K652" i="11"/>
  <c r="L652" i="11"/>
  <c r="M652" i="11"/>
  <c r="K653" i="11"/>
  <c r="L653" i="11"/>
  <c r="M653" i="11"/>
  <c r="K654" i="11"/>
  <c r="L654" i="11"/>
  <c r="M654" i="11"/>
  <c r="K655" i="11"/>
  <c r="L655" i="11"/>
  <c r="M655" i="11"/>
  <c r="K656" i="11"/>
  <c r="L656" i="11"/>
  <c r="M656" i="11"/>
  <c r="K657" i="11"/>
  <c r="L657" i="11"/>
  <c r="M657" i="11"/>
  <c r="K658" i="11"/>
  <c r="L658" i="11"/>
  <c r="M658" i="11"/>
  <c r="K659" i="11"/>
  <c r="L659" i="11"/>
  <c r="M659" i="11"/>
  <c r="K660" i="11"/>
  <c r="L660" i="11"/>
  <c r="M660" i="11"/>
  <c r="K661" i="11"/>
  <c r="L661" i="11"/>
  <c r="M661" i="11"/>
  <c r="K662" i="11"/>
  <c r="L662" i="11"/>
  <c r="M662" i="11"/>
  <c r="K663" i="11"/>
  <c r="L663" i="11"/>
  <c r="M663" i="11"/>
  <c r="K664" i="11"/>
  <c r="L664" i="11"/>
  <c r="M664" i="11"/>
  <c r="K665" i="11"/>
  <c r="L665" i="11"/>
  <c r="M665" i="11"/>
  <c r="K666" i="11"/>
  <c r="L666" i="11"/>
  <c r="M666" i="11"/>
  <c r="K667" i="11"/>
  <c r="L667" i="11"/>
  <c r="M667" i="11"/>
  <c r="K668" i="11"/>
  <c r="L668" i="11"/>
  <c r="M668" i="11"/>
  <c r="K669" i="11"/>
  <c r="L669" i="11"/>
  <c r="M669" i="11"/>
  <c r="K670" i="11"/>
  <c r="L670" i="11"/>
  <c r="M670" i="11"/>
  <c r="K671" i="11"/>
  <c r="L671" i="11"/>
  <c r="M671" i="11"/>
  <c r="K672" i="11"/>
  <c r="L672" i="11"/>
  <c r="M672" i="11"/>
  <c r="K673" i="11"/>
  <c r="L673" i="11"/>
  <c r="M673" i="11"/>
  <c r="K674" i="11"/>
  <c r="L674" i="11"/>
  <c r="M674" i="11"/>
  <c r="K675" i="11"/>
  <c r="L675" i="11"/>
  <c r="M675" i="11"/>
  <c r="K676" i="11"/>
  <c r="L676" i="11"/>
  <c r="M676" i="11"/>
  <c r="K677" i="11"/>
  <c r="L677" i="11"/>
  <c r="M677" i="11"/>
  <c r="K678" i="11"/>
  <c r="L678" i="11"/>
  <c r="M678" i="11"/>
  <c r="K679" i="11"/>
  <c r="L679" i="11"/>
  <c r="M679" i="11"/>
  <c r="K680" i="11"/>
  <c r="L680" i="11"/>
  <c r="M680" i="11"/>
  <c r="K681" i="11"/>
  <c r="L681" i="11"/>
  <c r="M681" i="11"/>
  <c r="K682" i="11"/>
  <c r="L682" i="11"/>
  <c r="M682" i="11"/>
  <c r="K683" i="11"/>
  <c r="L683" i="11"/>
  <c r="M683" i="11"/>
  <c r="K684" i="11"/>
  <c r="L684" i="11"/>
  <c r="M684" i="11"/>
  <c r="K685" i="11"/>
  <c r="L685" i="11"/>
  <c r="M685" i="11"/>
  <c r="K686" i="11"/>
  <c r="L686" i="11"/>
  <c r="M686" i="11"/>
  <c r="K687" i="11"/>
  <c r="L687" i="11"/>
  <c r="M687" i="11"/>
  <c r="K688" i="11"/>
  <c r="L688" i="11"/>
  <c r="M688" i="11"/>
  <c r="K689" i="11"/>
  <c r="L689" i="11"/>
  <c r="M689" i="11"/>
  <c r="K690" i="11"/>
  <c r="L690" i="11"/>
  <c r="M690" i="11"/>
  <c r="K691" i="11"/>
  <c r="L691" i="11"/>
  <c r="M691" i="11"/>
  <c r="K692" i="11"/>
  <c r="L692" i="11"/>
  <c r="M692" i="11"/>
  <c r="K693" i="11"/>
  <c r="L693" i="11"/>
  <c r="M693" i="11"/>
  <c r="K694" i="11"/>
  <c r="L694" i="11"/>
  <c r="M694" i="11"/>
  <c r="K695" i="11"/>
  <c r="L695" i="11"/>
  <c r="M695" i="11"/>
  <c r="K696" i="11"/>
  <c r="L696" i="11"/>
  <c r="M696" i="11"/>
  <c r="K697" i="11"/>
  <c r="L697" i="11"/>
  <c r="M697" i="11"/>
  <c r="K698" i="11"/>
  <c r="L698" i="11"/>
  <c r="M698" i="11"/>
  <c r="K699" i="11"/>
  <c r="L699" i="11"/>
  <c r="M699" i="11"/>
  <c r="K700" i="11"/>
  <c r="L700" i="11"/>
  <c r="M700" i="11"/>
  <c r="K701" i="11"/>
  <c r="L701" i="11"/>
  <c r="M701" i="11"/>
  <c r="K702" i="11"/>
  <c r="L702" i="11"/>
  <c r="M702" i="11"/>
  <c r="K703" i="11"/>
  <c r="L703" i="11"/>
  <c r="M703" i="11"/>
  <c r="K704" i="11"/>
  <c r="L704" i="11"/>
  <c r="M704" i="11"/>
  <c r="K705" i="11"/>
  <c r="L705" i="11"/>
  <c r="M705" i="11"/>
  <c r="K706" i="11"/>
  <c r="L706" i="11"/>
  <c r="M706" i="11"/>
  <c r="K707" i="11"/>
  <c r="L707" i="11"/>
  <c r="M707" i="11"/>
  <c r="K708" i="11"/>
  <c r="L708" i="11"/>
  <c r="M708" i="11"/>
  <c r="K709" i="11"/>
  <c r="L709" i="11"/>
  <c r="M709" i="11"/>
  <c r="K710" i="11"/>
  <c r="L710" i="11"/>
  <c r="M710" i="11"/>
  <c r="K711" i="11"/>
  <c r="L711" i="11"/>
  <c r="M711" i="11"/>
  <c r="K712" i="11"/>
  <c r="L712" i="11"/>
  <c r="M712" i="11"/>
  <c r="K713" i="11"/>
  <c r="L713" i="11"/>
  <c r="M713" i="11"/>
  <c r="K714" i="11"/>
  <c r="L714" i="11"/>
  <c r="M714" i="11"/>
  <c r="K715" i="11"/>
  <c r="L715" i="11"/>
  <c r="M715" i="11"/>
  <c r="K716" i="11"/>
  <c r="L716" i="11"/>
  <c r="M716" i="11"/>
  <c r="K717" i="11"/>
  <c r="L717" i="11"/>
  <c r="M717" i="11"/>
  <c r="K718" i="11"/>
  <c r="L718" i="11"/>
  <c r="M718" i="11"/>
  <c r="K719" i="11"/>
  <c r="L719" i="11"/>
  <c r="M719" i="11"/>
  <c r="K720" i="11"/>
  <c r="L720" i="11"/>
  <c r="M720" i="11"/>
  <c r="K721" i="11"/>
  <c r="L721" i="11"/>
  <c r="M721" i="11"/>
  <c r="K722" i="11"/>
  <c r="L722" i="11"/>
  <c r="M722" i="11"/>
  <c r="K723" i="11"/>
  <c r="L723" i="11"/>
  <c r="M723" i="11"/>
  <c r="K724" i="11"/>
  <c r="L724" i="11"/>
  <c r="M724" i="11"/>
  <c r="K725" i="11"/>
  <c r="L725" i="11"/>
  <c r="M725" i="11"/>
  <c r="K726" i="11"/>
  <c r="L726" i="11"/>
  <c r="M726" i="11"/>
  <c r="K727" i="11"/>
  <c r="L727" i="11"/>
  <c r="M727" i="11"/>
  <c r="K728" i="11"/>
  <c r="L728" i="11"/>
  <c r="M728" i="11"/>
  <c r="K729" i="11"/>
  <c r="L729" i="11"/>
  <c r="M729" i="11"/>
  <c r="K730" i="11"/>
  <c r="L730" i="11"/>
  <c r="M730" i="11"/>
  <c r="S6" i="11"/>
  <c r="E26" i="7" s="1"/>
  <c r="S2" i="11"/>
  <c r="S4" i="11" s="1"/>
  <c r="M2" i="11"/>
  <c r="L2" i="11"/>
  <c r="K2" i="11"/>
  <c r="K3" i="10"/>
  <c r="L3" i="10"/>
  <c r="M3" i="10"/>
  <c r="K4" i="10"/>
  <c r="L4" i="10"/>
  <c r="M4" i="10"/>
  <c r="K5" i="10"/>
  <c r="L5" i="10"/>
  <c r="M5" i="10"/>
  <c r="K6" i="10"/>
  <c r="L6" i="10"/>
  <c r="M6" i="10"/>
  <c r="K7" i="10"/>
  <c r="L7" i="10"/>
  <c r="M7" i="10"/>
  <c r="K8" i="10"/>
  <c r="L8" i="10"/>
  <c r="M8" i="10"/>
  <c r="K9" i="10"/>
  <c r="L9" i="10"/>
  <c r="M9" i="10"/>
  <c r="K10" i="10"/>
  <c r="L10" i="10"/>
  <c r="M10" i="10"/>
  <c r="K11" i="10"/>
  <c r="L11" i="10"/>
  <c r="M11" i="10"/>
  <c r="K12" i="10"/>
  <c r="L12" i="10"/>
  <c r="M12" i="10"/>
  <c r="K13" i="10"/>
  <c r="L13" i="10"/>
  <c r="M13" i="10"/>
  <c r="K14" i="10"/>
  <c r="L14" i="10"/>
  <c r="M14" i="10"/>
  <c r="K15" i="10"/>
  <c r="L15" i="10"/>
  <c r="M15" i="10"/>
  <c r="K16" i="10"/>
  <c r="L16" i="10"/>
  <c r="M16" i="10"/>
  <c r="K17" i="10"/>
  <c r="L17" i="10"/>
  <c r="M17" i="10"/>
  <c r="K18" i="10"/>
  <c r="L18" i="10"/>
  <c r="M18" i="10"/>
  <c r="K19" i="10"/>
  <c r="L19" i="10"/>
  <c r="M19" i="10"/>
  <c r="K20" i="10"/>
  <c r="L20" i="10"/>
  <c r="M20" i="10"/>
  <c r="K21" i="10"/>
  <c r="L21" i="10"/>
  <c r="M21" i="10"/>
  <c r="K22" i="10"/>
  <c r="L22" i="10"/>
  <c r="M22" i="10"/>
  <c r="K23" i="10"/>
  <c r="L23" i="10"/>
  <c r="M23" i="10"/>
  <c r="K24" i="10"/>
  <c r="L24" i="10"/>
  <c r="M24" i="10"/>
  <c r="K25" i="10"/>
  <c r="L25" i="10"/>
  <c r="M25" i="10"/>
  <c r="K26" i="10"/>
  <c r="L26" i="10"/>
  <c r="M26" i="10"/>
  <c r="K27" i="10"/>
  <c r="L27" i="10"/>
  <c r="M27" i="10"/>
  <c r="K28" i="10"/>
  <c r="L28" i="10"/>
  <c r="M28" i="10"/>
  <c r="K29" i="10"/>
  <c r="L29" i="10"/>
  <c r="M29" i="10"/>
  <c r="K30" i="10"/>
  <c r="L30" i="10"/>
  <c r="M30" i="10"/>
  <c r="K31" i="10"/>
  <c r="L31" i="10"/>
  <c r="M31" i="10"/>
  <c r="K32" i="10"/>
  <c r="L32" i="10"/>
  <c r="M32" i="10"/>
  <c r="K33" i="10"/>
  <c r="L33" i="10"/>
  <c r="M33" i="10"/>
  <c r="K34" i="10"/>
  <c r="L34" i="10"/>
  <c r="M34" i="10"/>
  <c r="K35" i="10"/>
  <c r="L35" i="10"/>
  <c r="M35" i="10"/>
  <c r="K36" i="10"/>
  <c r="L36" i="10"/>
  <c r="M36" i="10"/>
  <c r="K37" i="10"/>
  <c r="L37" i="10"/>
  <c r="M37" i="10"/>
  <c r="K38" i="10"/>
  <c r="L38" i="10"/>
  <c r="M38" i="10"/>
  <c r="K39" i="10"/>
  <c r="L39" i="10"/>
  <c r="M39" i="10"/>
  <c r="K40" i="10"/>
  <c r="L40" i="10"/>
  <c r="M40" i="10"/>
  <c r="K41" i="10"/>
  <c r="L41" i="10"/>
  <c r="M41" i="10"/>
  <c r="K42" i="10"/>
  <c r="L42" i="10"/>
  <c r="M42" i="10"/>
  <c r="K43" i="10"/>
  <c r="L43" i="10"/>
  <c r="M43" i="10"/>
  <c r="K44" i="10"/>
  <c r="L44" i="10"/>
  <c r="M44" i="10"/>
  <c r="K45" i="10"/>
  <c r="L45" i="10"/>
  <c r="M45" i="10"/>
  <c r="K46" i="10"/>
  <c r="L46" i="10"/>
  <c r="M46" i="10"/>
  <c r="K47" i="10"/>
  <c r="L47" i="10"/>
  <c r="M47" i="10"/>
  <c r="K48" i="10"/>
  <c r="L48" i="10"/>
  <c r="M48" i="10"/>
  <c r="K49" i="10"/>
  <c r="L49" i="10"/>
  <c r="M49" i="10"/>
  <c r="K50" i="10"/>
  <c r="L50" i="10"/>
  <c r="M50" i="10"/>
  <c r="K51" i="10"/>
  <c r="L51" i="10"/>
  <c r="M51" i="10"/>
  <c r="K52" i="10"/>
  <c r="L52" i="10"/>
  <c r="M52" i="10"/>
  <c r="K53" i="10"/>
  <c r="L53" i="10"/>
  <c r="M53" i="10"/>
  <c r="K54" i="10"/>
  <c r="L54" i="10"/>
  <c r="M54" i="10"/>
  <c r="K55" i="10"/>
  <c r="L55" i="10"/>
  <c r="M55" i="10"/>
  <c r="K56" i="10"/>
  <c r="L56" i="10"/>
  <c r="M56" i="10"/>
  <c r="K57" i="10"/>
  <c r="L57" i="10"/>
  <c r="M57" i="10"/>
  <c r="K58" i="10"/>
  <c r="L58" i="10"/>
  <c r="M58" i="10"/>
  <c r="K59" i="10"/>
  <c r="L59" i="10"/>
  <c r="M59" i="10"/>
  <c r="K60" i="10"/>
  <c r="L60" i="10"/>
  <c r="M60" i="10"/>
  <c r="K61" i="10"/>
  <c r="L61" i="10"/>
  <c r="M61" i="10"/>
  <c r="K62" i="10"/>
  <c r="L62" i="10"/>
  <c r="M62" i="10"/>
  <c r="K63" i="10"/>
  <c r="L63" i="10"/>
  <c r="M63" i="10"/>
  <c r="K64" i="10"/>
  <c r="L64" i="10"/>
  <c r="M64" i="10"/>
  <c r="K65" i="10"/>
  <c r="L65" i="10"/>
  <c r="M65" i="10"/>
  <c r="K66" i="10"/>
  <c r="L66" i="10"/>
  <c r="M66" i="10"/>
  <c r="K67" i="10"/>
  <c r="L67" i="10"/>
  <c r="M67" i="10"/>
  <c r="K68" i="10"/>
  <c r="L68" i="10"/>
  <c r="M68" i="10"/>
  <c r="K69" i="10"/>
  <c r="L69" i="10"/>
  <c r="M69" i="10"/>
  <c r="K70" i="10"/>
  <c r="L70" i="10"/>
  <c r="M70" i="10"/>
  <c r="K71" i="10"/>
  <c r="L71" i="10"/>
  <c r="M71" i="10"/>
  <c r="K72" i="10"/>
  <c r="L72" i="10"/>
  <c r="M72" i="10"/>
  <c r="K73" i="10"/>
  <c r="L73" i="10"/>
  <c r="M73" i="10"/>
  <c r="K74" i="10"/>
  <c r="L74" i="10"/>
  <c r="M74" i="10"/>
  <c r="K75" i="10"/>
  <c r="L75" i="10"/>
  <c r="M75" i="10"/>
  <c r="K76" i="10"/>
  <c r="L76" i="10"/>
  <c r="M76" i="10"/>
  <c r="K77" i="10"/>
  <c r="L77" i="10"/>
  <c r="M77" i="10"/>
  <c r="K78" i="10"/>
  <c r="L78" i="10"/>
  <c r="M78" i="10"/>
  <c r="K79" i="10"/>
  <c r="L79" i="10"/>
  <c r="M79" i="10"/>
  <c r="K80" i="10"/>
  <c r="L80" i="10"/>
  <c r="M80" i="10"/>
  <c r="K81" i="10"/>
  <c r="L81" i="10"/>
  <c r="M81" i="10"/>
  <c r="K82" i="10"/>
  <c r="L82" i="10"/>
  <c r="M82" i="10"/>
  <c r="K83" i="10"/>
  <c r="L83" i="10"/>
  <c r="M83" i="10"/>
  <c r="K84" i="10"/>
  <c r="L84" i="10"/>
  <c r="M84" i="10"/>
  <c r="K85" i="10"/>
  <c r="L85" i="10"/>
  <c r="M85" i="10"/>
  <c r="K86" i="10"/>
  <c r="L86" i="10"/>
  <c r="M86" i="10"/>
  <c r="K87" i="10"/>
  <c r="L87" i="10"/>
  <c r="M87" i="10"/>
  <c r="K88" i="10"/>
  <c r="L88" i="10"/>
  <c r="M88" i="10"/>
  <c r="K89" i="10"/>
  <c r="L89" i="10"/>
  <c r="M89" i="10"/>
  <c r="K90" i="10"/>
  <c r="L90" i="10"/>
  <c r="M90" i="10"/>
  <c r="K91" i="10"/>
  <c r="L91" i="10"/>
  <c r="M91" i="10"/>
  <c r="K92" i="10"/>
  <c r="L92" i="10"/>
  <c r="M92" i="10"/>
  <c r="K93" i="10"/>
  <c r="L93" i="10"/>
  <c r="M93" i="10"/>
  <c r="K94" i="10"/>
  <c r="L94" i="10"/>
  <c r="M94" i="10"/>
  <c r="K95" i="10"/>
  <c r="L95" i="10"/>
  <c r="M95" i="10"/>
  <c r="K96" i="10"/>
  <c r="L96" i="10"/>
  <c r="M96" i="10"/>
  <c r="K97" i="10"/>
  <c r="L97" i="10"/>
  <c r="M97" i="10"/>
  <c r="K98" i="10"/>
  <c r="L98" i="10"/>
  <c r="M98" i="10"/>
  <c r="K99" i="10"/>
  <c r="L99" i="10"/>
  <c r="M99" i="10"/>
  <c r="K100" i="10"/>
  <c r="L100" i="10"/>
  <c r="M100" i="10"/>
  <c r="K101" i="10"/>
  <c r="L101" i="10"/>
  <c r="M101" i="10"/>
  <c r="K102" i="10"/>
  <c r="L102" i="10"/>
  <c r="M102" i="10"/>
  <c r="K103" i="10"/>
  <c r="L103" i="10"/>
  <c r="M103" i="10"/>
  <c r="K104" i="10"/>
  <c r="L104" i="10"/>
  <c r="M104" i="10"/>
  <c r="K105" i="10"/>
  <c r="L105" i="10"/>
  <c r="M105" i="10"/>
  <c r="K106" i="10"/>
  <c r="L106" i="10"/>
  <c r="M106" i="10"/>
  <c r="K107" i="10"/>
  <c r="L107" i="10"/>
  <c r="M107" i="10"/>
  <c r="K108" i="10"/>
  <c r="L108" i="10"/>
  <c r="M108" i="10"/>
  <c r="K109" i="10"/>
  <c r="L109" i="10"/>
  <c r="M109" i="10"/>
  <c r="K110" i="10"/>
  <c r="L110" i="10"/>
  <c r="M110" i="10"/>
  <c r="K111" i="10"/>
  <c r="L111" i="10"/>
  <c r="M111" i="10"/>
  <c r="K112" i="10"/>
  <c r="L112" i="10"/>
  <c r="M112" i="10"/>
  <c r="K113" i="10"/>
  <c r="L113" i="10"/>
  <c r="M113" i="10"/>
  <c r="K114" i="10"/>
  <c r="L114" i="10"/>
  <c r="M114" i="10"/>
  <c r="K115" i="10"/>
  <c r="L115" i="10"/>
  <c r="M115" i="10"/>
  <c r="K116" i="10"/>
  <c r="L116" i="10"/>
  <c r="M116" i="10"/>
  <c r="K117" i="10"/>
  <c r="L117" i="10"/>
  <c r="M117" i="10"/>
  <c r="K118" i="10"/>
  <c r="L118" i="10"/>
  <c r="M118" i="10"/>
  <c r="K119" i="10"/>
  <c r="L119" i="10"/>
  <c r="M119" i="10"/>
  <c r="K120" i="10"/>
  <c r="L120" i="10"/>
  <c r="M120" i="10"/>
  <c r="K121" i="10"/>
  <c r="L121" i="10"/>
  <c r="M121" i="10"/>
  <c r="K122" i="10"/>
  <c r="L122" i="10"/>
  <c r="M122" i="10"/>
  <c r="K123" i="10"/>
  <c r="L123" i="10"/>
  <c r="M123" i="10"/>
  <c r="K124" i="10"/>
  <c r="L124" i="10"/>
  <c r="M124" i="10"/>
  <c r="K125" i="10"/>
  <c r="L125" i="10"/>
  <c r="M125" i="10"/>
  <c r="K126" i="10"/>
  <c r="L126" i="10"/>
  <c r="M126" i="10"/>
  <c r="K127" i="10"/>
  <c r="L127" i="10"/>
  <c r="M127" i="10"/>
  <c r="K128" i="10"/>
  <c r="L128" i="10"/>
  <c r="M128" i="10"/>
  <c r="K129" i="10"/>
  <c r="L129" i="10"/>
  <c r="M129" i="10"/>
  <c r="K130" i="10"/>
  <c r="L130" i="10"/>
  <c r="M130" i="10"/>
  <c r="K131" i="10"/>
  <c r="L131" i="10"/>
  <c r="M131" i="10"/>
  <c r="K132" i="10"/>
  <c r="L132" i="10"/>
  <c r="M132" i="10"/>
  <c r="K133" i="10"/>
  <c r="L133" i="10"/>
  <c r="M133" i="10"/>
  <c r="K134" i="10"/>
  <c r="L134" i="10"/>
  <c r="M134" i="10"/>
  <c r="K135" i="10"/>
  <c r="L135" i="10"/>
  <c r="M135" i="10"/>
  <c r="K136" i="10"/>
  <c r="L136" i="10"/>
  <c r="M136" i="10"/>
  <c r="K137" i="10"/>
  <c r="L137" i="10"/>
  <c r="M137" i="10"/>
  <c r="K138" i="10"/>
  <c r="L138" i="10"/>
  <c r="M138" i="10"/>
  <c r="K139" i="10"/>
  <c r="L139" i="10"/>
  <c r="M139" i="10"/>
  <c r="K140" i="10"/>
  <c r="L140" i="10"/>
  <c r="M140" i="10"/>
  <c r="K141" i="10"/>
  <c r="L141" i="10"/>
  <c r="M141" i="10"/>
  <c r="K142" i="10"/>
  <c r="L142" i="10"/>
  <c r="M142" i="10"/>
  <c r="K143" i="10"/>
  <c r="L143" i="10"/>
  <c r="M143" i="10"/>
  <c r="K144" i="10"/>
  <c r="L144" i="10"/>
  <c r="M144" i="10"/>
  <c r="K145" i="10"/>
  <c r="L145" i="10"/>
  <c r="M145" i="10"/>
  <c r="K146" i="10"/>
  <c r="L146" i="10"/>
  <c r="M146" i="10"/>
  <c r="K147" i="10"/>
  <c r="L147" i="10"/>
  <c r="M147" i="10"/>
  <c r="K148" i="10"/>
  <c r="L148" i="10"/>
  <c r="M148" i="10"/>
  <c r="K149" i="10"/>
  <c r="L149" i="10"/>
  <c r="M149" i="10"/>
  <c r="K150" i="10"/>
  <c r="L150" i="10"/>
  <c r="M150" i="10"/>
  <c r="K151" i="10"/>
  <c r="L151" i="10"/>
  <c r="M151" i="10"/>
  <c r="K152" i="10"/>
  <c r="L152" i="10"/>
  <c r="M152" i="10"/>
  <c r="K153" i="10"/>
  <c r="L153" i="10"/>
  <c r="M153" i="10"/>
  <c r="K154" i="10"/>
  <c r="L154" i="10"/>
  <c r="M154" i="10"/>
  <c r="K155" i="10"/>
  <c r="L155" i="10"/>
  <c r="M155" i="10"/>
  <c r="K156" i="10"/>
  <c r="L156" i="10"/>
  <c r="M156" i="10"/>
  <c r="K157" i="10"/>
  <c r="L157" i="10"/>
  <c r="M157" i="10"/>
  <c r="K158" i="10"/>
  <c r="L158" i="10"/>
  <c r="M158" i="10"/>
  <c r="K159" i="10"/>
  <c r="L159" i="10"/>
  <c r="M159" i="10"/>
  <c r="K160" i="10"/>
  <c r="L160" i="10"/>
  <c r="M160" i="10"/>
  <c r="K161" i="10"/>
  <c r="L161" i="10"/>
  <c r="M161" i="10"/>
  <c r="K162" i="10"/>
  <c r="L162" i="10"/>
  <c r="M162" i="10"/>
  <c r="K163" i="10"/>
  <c r="L163" i="10"/>
  <c r="M163" i="10"/>
  <c r="K164" i="10"/>
  <c r="L164" i="10"/>
  <c r="M164" i="10"/>
  <c r="K165" i="10"/>
  <c r="L165" i="10"/>
  <c r="M165" i="10"/>
  <c r="K166" i="10"/>
  <c r="L166" i="10"/>
  <c r="M166" i="10"/>
  <c r="K167" i="10"/>
  <c r="L167" i="10"/>
  <c r="M167" i="10"/>
  <c r="K168" i="10"/>
  <c r="L168" i="10"/>
  <c r="M168" i="10"/>
  <c r="K169" i="10"/>
  <c r="L169" i="10"/>
  <c r="M169" i="10"/>
  <c r="K170" i="10"/>
  <c r="L170" i="10"/>
  <c r="M170" i="10"/>
  <c r="K171" i="10"/>
  <c r="L171" i="10"/>
  <c r="M171" i="10"/>
  <c r="K172" i="10"/>
  <c r="L172" i="10"/>
  <c r="M172" i="10"/>
  <c r="K173" i="10"/>
  <c r="L173" i="10"/>
  <c r="M173" i="10"/>
  <c r="K174" i="10"/>
  <c r="L174" i="10"/>
  <c r="M174" i="10"/>
  <c r="K175" i="10"/>
  <c r="L175" i="10"/>
  <c r="M175" i="10"/>
  <c r="K176" i="10"/>
  <c r="L176" i="10"/>
  <c r="M176" i="10"/>
  <c r="K177" i="10"/>
  <c r="L177" i="10"/>
  <c r="M177" i="10"/>
  <c r="K178" i="10"/>
  <c r="L178" i="10"/>
  <c r="M178" i="10"/>
  <c r="K179" i="10"/>
  <c r="L179" i="10"/>
  <c r="M179" i="10"/>
  <c r="K180" i="10"/>
  <c r="L180" i="10"/>
  <c r="M180" i="10"/>
  <c r="K181" i="10"/>
  <c r="L181" i="10"/>
  <c r="M181" i="10"/>
  <c r="K182" i="10"/>
  <c r="L182" i="10"/>
  <c r="M182" i="10"/>
  <c r="K183" i="10"/>
  <c r="L183" i="10"/>
  <c r="M183" i="10"/>
  <c r="K184" i="10"/>
  <c r="L184" i="10"/>
  <c r="M184" i="10"/>
  <c r="K185" i="10"/>
  <c r="L185" i="10"/>
  <c r="M185" i="10"/>
  <c r="K186" i="10"/>
  <c r="L186" i="10"/>
  <c r="M186" i="10"/>
  <c r="K187" i="10"/>
  <c r="L187" i="10"/>
  <c r="M187" i="10"/>
  <c r="K188" i="10"/>
  <c r="L188" i="10"/>
  <c r="M188" i="10"/>
  <c r="K189" i="10"/>
  <c r="L189" i="10"/>
  <c r="M189" i="10"/>
  <c r="K190" i="10"/>
  <c r="L190" i="10"/>
  <c r="M190" i="10"/>
  <c r="K191" i="10"/>
  <c r="L191" i="10"/>
  <c r="M191" i="10"/>
  <c r="K192" i="10"/>
  <c r="L192" i="10"/>
  <c r="M192" i="10"/>
  <c r="K193" i="10"/>
  <c r="L193" i="10"/>
  <c r="M193" i="10"/>
  <c r="K194" i="10"/>
  <c r="L194" i="10"/>
  <c r="M194" i="10"/>
  <c r="K195" i="10"/>
  <c r="L195" i="10"/>
  <c r="M195" i="10"/>
  <c r="K196" i="10"/>
  <c r="L196" i="10"/>
  <c r="M196" i="10"/>
  <c r="K197" i="10"/>
  <c r="L197" i="10"/>
  <c r="M197" i="10"/>
  <c r="K198" i="10"/>
  <c r="L198" i="10"/>
  <c r="M198" i="10"/>
  <c r="K199" i="10"/>
  <c r="L199" i="10"/>
  <c r="M199" i="10"/>
  <c r="K200" i="10"/>
  <c r="L200" i="10"/>
  <c r="M200" i="10"/>
  <c r="K201" i="10"/>
  <c r="L201" i="10"/>
  <c r="M201" i="10"/>
  <c r="K202" i="10"/>
  <c r="L202" i="10"/>
  <c r="M202" i="10"/>
  <c r="K203" i="10"/>
  <c r="L203" i="10"/>
  <c r="M203" i="10"/>
  <c r="K204" i="10"/>
  <c r="L204" i="10"/>
  <c r="M204" i="10"/>
  <c r="K205" i="10"/>
  <c r="L205" i="10"/>
  <c r="M205" i="10"/>
  <c r="K206" i="10"/>
  <c r="L206" i="10"/>
  <c r="M206" i="10"/>
  <c r="K207" i="10"/>
  <c r="L207" i="10"/>
  <c r="M207" i="10"/>
  <c r="K208" i="10"/>
  <c r="L208" i="10"/>
  <c r="M208" i="10"/>
  <c r="K209" i="10"/>
  <c r="L209" i="10"/>
  <c r="M209" i="10"/>
  <c r="K210" i="10"/>
  <c r="L210" i="10"/>
  <c r="M210" i="10"/>
  <c r="K211" i="10"/>
  <c r="L211" i="10"/>
  <c r="M211" i="10"/>
  <c r="K212" i="10"/>
  <c r="L212" i="10"/>
  <c r="M212" i="10"/>
  <c r="K213" i="10"/>
  <c r="L213" i="10"/>
  <c r="M213" i="10"/>
  <c r="K214" i="10"/>
  <c r="L214" i="10"/>
  <c r="M214" i="10"/>
  <c r="K215" i="10"/>
  <c r="L215" i="10"/>
  <c r="M215" i="10"/>
  <c r="K216" i="10"/>
  <c r="L216" i="10"/>
  <c r="M216" i="10"/>
  <c r="K217" i="10"/>
  <c r="L217" i="10"/>
  <c r="M217" i="10"/>
  <c r="K218" i="10"/>
  <c r="L218" i="10"/>
  <c r="M218" i="10"/>
  <c r="K219" i="10"/>
  <c r="L219" i="10"/>
  <c r="M219" i="10"/>
  <c r="K220" i="10"/>
  <c r="L220" i="10"/>
  <c r="M220" i="10"/>
  <c r="K221" i="10"/>
  <c r="L221" i="10"/>
  <c r="M221" i="10"/>
  <c r="K222" i="10"/>
  <c r="L222" i="10"/>
  <c r="M222" i="10"/>
  <c r="K223" i="10"/>
  <c r="L223" i="10"/>
  <c r="M223" i="10"/>
  <c r="K224" i="10"/>
  <c r="L224" i="10"/>
  <c r="M224" i="10"/>
  <c r="K225" i="10"/>
  <c r="L225" i="10"/>
  <c r="M225" i="10"/>
  <c r="K226" i="10"/>
  <c r="L226" i="10"/>
  <c r="M226" i="10"/>
  <c r="K227" i="10"/>
  <c r="L227" i="10"/>
  <c r="M227" i="10"/>
  <c r="K228" i="10"/>
  <c r="L228" i="10"/>
  <c r="M228" i="10"/>
  <c r="K229" i="10"/>
  <c r="L229" i="10"/>
  <c r="M229" i="10"/>
  <c r="K230" i="10"/>
  <c r="L230" i="10"/>
  <c r="M230" i="10"/>
  <c r="K231" i="10"/>
  <c r="L231" i="10"/>
  <c r="M231" i="10"/>
  <c r="K232" i="10"/>
  <c r="L232" i="10"/>
  <c r="M232" i="10"/>
  <c r="K233" i="10"/>
  <c r="L233" i="10"/>
  <c r="M233" i="10"/>
  <c r="K234" i="10"/>
  <c r="L234" i="10"/>
  <c r="M234" i="10"/>
  <c r="K235" i="10"/>
  <c r="L235" i="10"/>
  <c r="M235" i="10"/>
  <c r="K236" i="10"/>
  <c r="L236" i="10"/>
  <c r="M236" i="10"/>
  <c r="K237" i="10"/>
  <c r="L237" i="10"/>
  <c r="M237" i="10"/>
  <c r="K238" i="10"/>
  <c r="L238" i="10"/>
  <c r="M238" i="10"/>
  <c r="K239" i="10"/>
  <c r="L239" i="10"/>
  <c r="M239" i="10"/>
  <c r="K240" i="10"/>
  <c r="L240" i="10"/>
  <c r="M240" i="10"/>
  <c r="K241" i="10"/>
  <c r="L241" i="10"/>
  <c r="M241" i="10"/>
  <c r="K242" i="10"/>
  <c r="L242" i="10"/>
  <c r="M242" i="10"/>
  <c r="K243" i="10"/>
  <c r="L243" i="10"/>
  <c r="M243" i="10"/>
  <c r="K244" i="10"/>
  <c r="L244" i="10"/>
  <c r="M244" i="10"/>
  <c r="K245" i="10"/>
  <c r="L245" i="10"/>
  <c r="M245" i="10"/>
  <c r="K246" i="10"/>
  <c r="L246" i="10"/>
  <c r="M246" i="10"/>
  <c r="K247" i="10"/>
  <c r="L247" i="10"/>
  <c r="M247" i="10"/>
  <c r="K248" i="10"/>
  <c r="L248" i="10"/>
  <c r="M248" i="10"/>
  <c r="K249" i="10"/>
  <c r="L249" i="10"/>
  <c r="M249" i="10"/>
  <c r="K250" i="10"/>
  <c r="L250" i="10"/>
  <c r="M250" i="10"/>
  <c r="K251" i="10"/>
  <c r="L251" i="10"/>
  <c r="M251" i="10"/>
  <c r="K252" i="10"/>
  <c r="L252" i="10"/>
  <c r="M252" i="10"/>
  <c r="K253" i="10"/>
  <c r="L253" i="10"/>
  <c r="M253" i="10"/>
  <c r="K254" i="10"/>
  <c r="L254" i="10"/>
  <c r="M254" i="10"/>
  <c r="K255" i="10"/>
  <c r="L255" i="10"/>
  <c r="M255" i="10"/>
  <c r="K256" i="10"/>
  <c r="L256" i="10"/>
  <c r="M256" i="10"/>
  <c r="K257" i="10"/>
  <c r="L257" i="10"/>
  <c r="M257" i="10"/>
  <c r="K258" i="10"/>
  <c r="L258" i="10"/>
  <c r="M258" i="10"/>
  <c r="K259" i="10"/>
  <c r="L259" i="10"/>
  <c r="M259" i="10"/>
  <c r="K260" i="10"/>
  <c r="L260" i="10"/>
  <c r="M260" i="10"/>
  <c r="K261" i="10"/>
  <c r="L261" i="10"/>
  <c r="M261" i="10"/>
  <c r="K262" i="10"/>
  <c r="L262" i="10"/>
  <c r="M262" i="10"/>
  <c r="K263" i="10"/>
  <c r="L263" i="10"/>
  <c r="M263" i="10"/>
  <c r="K264" i="10"/>
  <c r="L264" i="10"/>
  <c r="M264" i="10"/>
  <c r="K265" i="10"/>
  <c r="L265" i="10"/>
  <c r="M265" i="10"/>
  <c r="K266" i="10"/>
  <c r="L266" i="10"/>
  <c r="M266" i="10"/>
  <c r="K267" i="10"/>
  <c r="L267" i="10"/>
  <c r="M267" i="10"/>
  <c r="K268" i="10"/>
  <c r="L268" i="10"/>
  <c r="M268" i="10"/>
  <c r="K269" i="10"/>
  <c r="L269" i="10"/>
  <c r="M269" i="10"/>
  <c r="K270" i="10"/>
  <c r="L270" i="10"/>
  <c r="M270" i="10"/>
  <c r="K271" i="10"/>
  <c r="L271" i="10"/>
  <c r="M271" i="10"/>
  <c r="K272" i="10"/>
  <c r="L272" i="10"/>
  <c r="M272" i="10"/>
  <c r="K273" i="10"/>
  <c r="L273" i="10"/>
  <c r="M273" i="10"/>
  <c r="K274" i="10"/>
  <c r="L274" i="10"/>
  <c r="M274" i="10"/>
  <c r="K275" i="10"/>
  <c r="L275" i="10"/>
  <c r="M275" i="10"/>
  <c r="K276" i="10"/>
  <c r="L276" i="10"/>
  <c r="M276" i="10"/>
  <c r="K277" i="10"/>
  <c r="L277" i="10"/>
  <c r="M277" i="10"/>
  <c r="K278" i="10"/>
  <c r="L278" i="10"/>
  <c r="M278" i="10"/>
  <c r="K279" i="10"/>
  <c r="L279" i="10"/>
  <c r="M279" i="10"/>
  <c r="K280" i="10"/>
  <c r="L280" i="10"/>
  <c r="M280" i="10"/>
  <c r="K281" i="10"/>
  <c r="L281" i="10"/>
  <c r="M281" i="10"/>
  <c r="K282" i="10"/>
  <c r="L282" i="10"/>
  <c r="M282" i="10"/>
  <c r="K283" i="10"/>
  <c r="L283" i="10"/>
  <c r="M283" i="10"/>
  <c r="K284" i="10"/>
  <c r="L284" i="10"/>
  <c r="M284" i="10"/>
  <c r="K285" i="10"/>
  <c r="L285" i="10"/>
  <c r="M285" i="10"/>
  <c r="K286" i="10"/>
  <c r="L286" i="10"/>
  <c r="M286" i="10"/>
  <c r="K287" i="10"/>
  <c r="L287" i="10"/>
  <c r="M287" i="10"/>
  <c r="K288" i="10"/>
  <c r="L288" i="10"/>
  <c r="M288" i="10"/>
  <c r="K289" i="10"/>
  <c r="L289" i="10"/>
  <c r="M289" i="10"/>
  <c r="K290" i="10"/>
  <c r="L290" i="10"/>
  <c r="M290" i="10"/>
  <c r="K291" i="10"/>
  <c r="L291" i="10"/>
  <c r="M291" i="10"/>
  <c r="K292" i="10"/>
  <c r="L292" i="10"/>
  <c r="M292" i="10"/>
  <c r="K293" i="10"/>
  <c r="L293" i="10"/>
  <c r="M293" i="10"/>
  <c r="K294" i="10"/>
  <c r="L294" i="10"/>
  <c r="M294" i="10"/>
  <c r="K295" i="10"/>
  <c r="L295" i="10"/>
  <c r="M295" i="10"/>
  <c r="K296" i="10"/>
  <c r="L296" i="10"/>
  <c r="M296" i="10"/>
  <c r="K297" i="10"/>
  <c r="L297" i="10"/>
  <c r="M297" i="10"/>
  <c r="K298" i="10"/>
  <c r="L298" i="10"/>
  <c r="M298" i="10"/>
  <c r="K299" i="10"/>
  <c r="L299" i="10"/>
  <c r="M299" i="10"/>
  <c r="K300" i="10"/>
  <c r="L300" i="10"/>
  <c r="M300" i="10"/>
  <c r="K301" i="10"/>
  <c r="L301" i="10"/>
  <c r="M301" i="10"/>
  <c r="K302" i="10"/>
  <c r="L302" i="10"/>
  <c r="M302" i="10"/>
  <c r="K303" i="10"/>
  <c r="L303" i="10"/>
  <c r="M303" i="10"/>
  <c r="K304" i="10"/>
  <c r="L304" i="10"/>
  <c r="M304" i="10"/>
  <c r="K305" i="10"/>
  <c r="L305" i="10"/>
  <c r="M305" i="10"/>
  <c r="K306" i="10"/>
  <c r="L306" i="10"/>
  <c r="M306" i="10"/>
  <c r="K307" i="10"/>
  <c r="L307" i="10"/>
  <c r="M307" i="10"/>
  <c r="K308" i="10"/>
  <c r="L308" i="10"/>
  <c r="M308" i="10"/>
  <c r="K309" i="10"/>
  <c r="L309" i="10"/>
  <c r="M309" i="10"/>
  <c r="K310" i="10"/>
  <c r="L310" i="10"/>
  <c r="M310" i="10"/>
  <c r="K311" i="10"/>
  <c r="L311" i="10"/>
  <c r="M311" i="10"/>
  <c r="K312" i="10"/>
  <c r="L312" i="10"/>
  <c r="M312" i="10"/>
  <c r="K313" i="10"/>
  <c r="L313" i="10"/>
  <c r="M313" i="10"/>
  <c r="K314" i="10"/>
  <c r="L314" i="10"/>
  <c r="M314" i="10"/>
  <c r="K315" i="10"/>
  <c r="L315" i="10"/>
  <c r="M315" i="10"/>
  <c r="K316" i="10"/>
  <c r="L316" i="10"/>
  <c r="M316" i="10"/>
  <c r="K317" i="10"/>
  <c r="L317" i="10"/>
  <c r="M317" i="10"/>
  <c r="K318" i="10"/>
  <c r="L318" i="10"/>
  <c r="M318" i="10"/>
  <c r="K319" i="10"/>
  <c r="L319" i="10"/>
  <c r="M319" i="10"/>
  <c r="K320" i="10"/>
  <c r="L320" i="10"/>
  <c r="M320" i="10"/>
  <c r="K321" i="10"/>
  <c r="L321" i="10"/>
  <c r="M321" i="10"/>
  <c r="K322" i="10"/>
  <c r="L322" i="10"/>
  <c r="M322" i="10"/>
  <c r="K323" i="10"/>
  <c r="L323" i="10"/>
  <c r="M323" i="10"/>
  <c r="K324" i="10"/>
  <c r="L324" i="10"/>
  <c r="M324" i="10"/>
  <c r="K325" i="10"/>
  <c r="L325" i="10"/>
  <c r="M325" i="10"/>
  <c r="K326" i="10"/>
  <c r="L326" i="10"/>
  <c r="M326" i="10"/>
  <c r="K327" i="10"/>
  <c r="L327" i="10"/>
  <c r="M327" i="10"/>
  <c r="K328" i="10"/>
  <c r="L328" i="10"/>
  <c r="M328" i="10"/>
  <c r="K329" i="10"/>
  <c r="L329" i="10"/>
  <c r="M329" i="10"/>
  <c r="K330" i="10"/>
  <c r="L330" i="10"/>
  <c r="M330" i="10"/>
  <c r="K331" i="10"/>
  <c r="L331" i="10"/>
  <c r="M331" i="10"/>
  <c r="K332" i="10"/>
  <c r="L332" i="10"/>
  <c r="M332" i="10"/>
  <c r="K333" i="10"/>
  <c r="L333" i="10"/>
  <c r="M333" i="10"/>
  <c r="K334" i="10"/>
  <c r="L334" i="10"/>
  <c r="M334" i="10"/>
  <c r="K335" i="10"/>
  <c r="L335" i="10"/>
  <c r="M335" i="10"/>
  <c r="K336" i="10"/>
  <c r="L336" i="10"/>
  <c r="M336" i="10"/>
  <c r="K337" i="10"/>
  <c r="L337" i="10"/>
  <c r="M337" i="10"/>
  <c r="K338" i="10"/>
  <c r="L338" i="10"/>
  <c r="M338" i="10"/>
  <c r="K339" i="10"/>
  <c r="L339" i="10"/>
  <c r="M339" i="10"/>
  <c r="K340" i="10"/>
  <c r="L340" i="10"/>
  <c r="M340" i="10"/>
  <c r="K341" i="10"/>
  <c r="L341" i="10"/>
  <c r="M341" i="10"/>
  <c r="K342" i="10"/>
  <c r="L342" i="10"/>
  <c r="M342" i="10"/>
  <c r="K343" i="10"/>
  <c r="L343" i="10"/>
  <c r="M343" i="10"/>
  <c r="K344" i="10"/>
  <c r="L344" i="10"/>
  <c r="M344" i="10"/>
  <c r="K345" i="10"/>
  <c r="L345" i="10"/>
  <c r="M345" i="10"/>
  <c r="K346" i="10"/>
  <c r="L346" i="10"/>
  <c r="M346" i="10"/>
  <c r="K347" i="10"/>
  <c r="L347" i="10"/>
  <c r="M347" i="10"/>
  <c r="K348" i="10"/>
  <c r="L348" i="10"/>
  <c r="M348" i="10"/>
  <c r="K349" i="10"/>
  <c r="L349" i="10"/>
  <c r="M349" i="10"/>
  <c r="K350" i="10"/>
  <c r="L350" i="10"/>
  <c r="M350" i="10"/>
  <c r="K351" i="10"/>
  <c r="L351" i="10"/>
  <c r="M351" i="10"/>
  <c r="K352" i="10"/>
  <c r="L352" i="10"/>
  <c r="M352" i="10"/>
  <c r="K353" i="10"/>
  <c r="L353" i="10"/>
  <c r="M353" i="10"/>
  <c r="K354" i="10"/>
  <c r="L354" i="10"/>
  <c r="M354" i="10"/>
  <c r="K355" i="10"/>
  <c r="L355" i="10"/>
  <c r="M355" i="10"/>
  <c r="K356" i="10"/>
  <c r="L356" i="10"/>
  <c r="M356" i="10"/>
  <c r="K357" i="10"/>
  <c r="L357" i="10"/>
  <c r="M357" i="10"/>
  <c r="K358" i="10"/>
  <c r="L358" i="10"/>
  <c r="M358" i="10"/>
  <c r="K359" i="10"/>
  <c r="L359" i="10"/>
  <c r="M359" i="10"/>
  <c r="K360" i="10"/>
  <c r="L360" i="10"/>
  <c r="M360" i="10"/>
  <c r="K361" i="10"/>
  <c r="L361" i="10"/>
  <c r="M361" i="10"/>
  <c r="K362" i="10"/>
  <c r="L362" i="10"/>
  <c r="M362" i="10"/>
  <c r="K363" i="10"/>
  <c r="L363" i="10"/>
  <c r="M363" i="10"/>
  <c r="K364" i="10"/>
  <c r="L364" i="10"/>
  <c r="M364" i="10"/>
  <c r="K365" i="10"/>
  <c r="L365" i="10"/>
  <c r="M365" i="10"/>
  <c r="K366" i="10"/>
  <c r="L366" i="10"/>
  <c r="M366" i="10"/>
  <c r="K367" i="10"/>
  <c r="L367" i="10"/>
  <c r="M367" i="10"/>
  <c r="K368" i="10"/>
  <c r="L368" i="10"/>
  <c r="M368" i="10"/>
  <c r="K369" i="10"/>
  <c r="L369" i="10"/>
  <c r="M369" i="10"/>
  <c r="K370" i="10"/>
  <c r="L370" i="10"/>
  <c r="M370" i="10"/>
  <c r="K371" i="10"/>
  <c r="L371" i="10"/>
  <c r="M371" i="10"/>
  <c r="K372" i="10"/>
  <c r="L372" i="10"/>
  <c r="M372" i="10"/>
  <c r="K373" i="10"/>
  <c r="L373" i="10"/>
  <c r="M373" i="10"/>
  <c r="K374" i="10"/>
  <c r="L374" i="10"/>
  <c r="M374" i="10"/>
  <c r="K375" i="10"/>
  <c r="L375" i="10"/>
  <c r="M375" i="10"/>
  <c r="K376" i="10"/>
  <c r="L376" i="10"/>
  <c r="M376" i="10"/>
  <c r="K377" i="10"/>
  <c r="L377" i="10"/>
  <c r="M377" i="10"/>
  <c r="K378" i="10"/>
  <c r="L378" i="10"/>
  <c r="M378" i="10"/>
  <c r="K379" i="10"/>
  <c r="L379" i="10"/>
  <c r="M379" i="10"/>
  <c r="K380" i="10"/>
  <c r="L380" i="10"/>
  <c r="M380" i="10"/>
  <c r="K381" i="10"/>
  <c r="L381" i="10"/>
  <c r="M381" i="10"/>
  <c r="K382" i="10"/>
  <c r="L382" i="10"/>
  <c r="M382" i="10"/>
  <c r="K383" i="10"/>
  <c r="L383" i="10"/>
  <c r="M383" i="10"/>
  <c r="K384" i="10"/>
  <c r="L384" i="10"/>
  <c r="M384" i="10"/>
  <c r="K385" i="10"/>
  <c r="L385" i="10"/>
  <c r="M385" i="10"/>
  <c r="K386" i="10"/>
  <c r="L386" i="10"/>
  <c r="M386" i="10"/>
  <c r="K387" i="10"/>
  <c r="L387" i="10"/>
  <c r="M387" i="10"/>
  <c r="K388" i="10"/>
  <c r="L388" i="10"/>
  <c r="M388" i="10"/>
  <c r="K389" i="10"/>
  <c r="L389" i="10"/>
  <c r="M389" i="10"/>
  <c r="K390" i="10"/>
  <c r="L390" i="10"/>
  <c r="M390" i="10"/>
  <c r="K391" i="10"/>
  <c r="L391" i="10"/>
  <c r="M391" i="10"/>
  <c r="K392" i="10"/>
  <c r="L392" i="10"/>
  <c r="M392" i="10"/>
  <c r="K393" i="10"/>
  <c r="L393" i="10"/>
  <c r="M393" i="10"/>
  <c r="K394" i="10"/>
  <c r="L394" i="10"/>
  <c r="M394" i="10"/>
  <c r="K395" i="10"/>
  <c r="L395" i="10"/>
  <c r="M395" i="10"/>
  <c r="K396" i="10"/>
  <c r="L396" i="10"/>
  <c r="M396" i="10"/>
  <c r="K397" i="10"/>
  <c r="L397" i="10"/>
  <c r="M397" i="10"/>
  <c r="K398" i="10"/>
  <c r="L398" i="10"/>
  <c r="M398" i="10"/>
  <c r="K399" i="10"/>
  <c r="L399" i="10"/>
  <c r="M399" i="10"/>
  <c r="K400" i="10"/>
  <c r="L400" i="10"/>
  <c r="M400" i="10"/>
  <c r="K401" i="10"/>
  <c r="L401" i="10"/>
  <c r="M401" i="10"/>
  <c r="K402" i="10"/>
  <c r="L402" i="10"/>
  <c r="M402" i="10"/>
  <c r="K403" i="10"/>
  <c r="L403" i="10"/>
  <c r="M403" i="10"/>
  <c r="K404" i="10"/>
  <c r="L404" i="10"/>
  <c r="M404" i="10"/>
  <c r="K405" i="10"/>
  <c r="L405" i="10"/>
  <c r="M405" i="10"/>
  <c r="K406" i="10"/>
  <c r="L406" i="10"/>
  <c r="M406" i="10"/>
  <c r="K407" i="10"/>
  <c r="L407" i="10"/>
  <c r="M407" i="10"/>
  <c r="K408" i="10"/>
  <c r="L408" i="10"/>
  <c r="M408" i="10"/>
  <c r="K409" i="10"/>
  <c r="L409" i="10"/>
  <c r="M409" i="10"/>
  <c r="K410" i="10"/>
  <c r="L410" i="10"/>
  <c r="M410" i="10"/>
  <c r="K411" i="10"/>
  <c r="L411" i="10"/>
  <c r="M411" i="10"/>
  <c r="K412" i="10"/>
  <c r="L412" i="10"/>
  <c r="M412" i="10"/>
  <c r="K413" i="10"/>
  <c r="L413" i="10"/>
  <c r="M413" i="10"/>
  <c r="K414" i="10"/>
  <c r="L414" i="10"/>
  <c r="M414" i="10"/>
  <c r="K415" i="10"/>
  <c r="L415" i="10"/>
  <c r="M415" i="10"/>
  <c r="K416" i="10"/>
  <c r="L416" i="10"/>
  <c r="M416" i="10"/>
  <c r="K417" i="10"/>
  <c r="L417" i="10"/>
  <c r="M417" i="10"/>
  <c r="K418" i="10"/>
  <c r="L418" i="10"/>
  <c r="M418" i="10"/>
  <c r="K419" i="10"/>
  <c r="L419" i="10"/>
  <c r="M419" i="10"/>
  <c r="K420" i="10"/>
  <c r="L420" i="10"/>
  <c r="M420" i="10"/>
  <c r="K421" i="10"/>
  <c r="L421" i="10"/>
  <c r="M421" i="10"/>
  <c r="K422" i="10"/>
  <c r="L422" i="10"/>
  <c r="M422" i="10"/>
  <c r="K423" i="10"/>
  <c r="L423" i="10"/>
  <c r="M423" i="10"/>
  <c r="K424" i="10"/>
  <c r="L424" i="10"/>
  <c r="M424" i="10"/>
  <c r="K425" i="10"/>
  <c r="L425" i="10"/>
  <c r="M425" i="10"/>
  <c r="K426" i="10"/>
  <c r="L426" i="10"/>
  <c r="M426" i="10"/>
  <c r="K427" i="10"/>
  <c r="L427" i="10"/>
  <c r="M427" i="10"/>
  <c r="K428" i="10"/>
  <c r="L428" i="10"/>
  <c r="M428" i="10"/>
  <c r="K429" i="10"/>
  <c r="L429" i="10"/>
  <c r="M429" i="10"/>
  <c r="K430" i="10"/>
  <c r="L430" i="10"/>
  <c r="M430" i="10"/>
  <c r="K431" i="10"/>
  <c r="L431" i="10"/>
  <c r="M431" i="10"/>
  <c r="K432" i="10"/>
  <c r="L432" i="10"/>
  <c r="M432" i="10"/>
  <c r="K433" i="10"/>
  <c r="L433" i="10"/>
  <c r="M433" i="10"/>
  <c r="K434" i="10"/>
  <c r="L434" i="10"/>
  <c r="M434" i="10"/>
  <c r="K435" i="10"/>
  <c r="L435" i="10"/>
  <c r="M435" i="10"/>
  <c r="K436" i="10"/>
  <c r="L436" i="10"/>
  <c r="M436" i="10"/>
  <c r="K437" i="10"/>
  <c r="L437" i="10"/>
  <c r="M437" i="10"/>
  <c r="K438" i="10"/>
  <c r="L438" i="10"/>
  <c r="M438" i="10"/>
  <c r="K439" i="10"/>
  <c r="L439" i="10"/>
  <c r="M439" i="10"/>
  <c r="K440" i="10"/>
  <c r="L440" i="10"/>
  <c r="M440" i="10"/>
  <c r="K441" i="10"/>
  <c r="L441" i="10"/>
  <c r="M441" i="10"/>
  <c r="K442" i="10"/>
  <c r="L442" i="10"/>
  <c r="M442" i="10"/>
  <c r="K443" i="10"/>
  <c r="L443" i="10"/>
  <c r="M443" i="10"/>
  <c r="K444" i="10"/>
  <c r="L444" i="10"/>
  <c r="M444" i="10"/>
  <c r="K445" i="10"/>
  <c r="L445" i="10"/>
  <c r="M445" i="10"/>
  <c r="K446" i="10"/>
  <c r="L446" i="10"/>
  <c r="M446" i="10"/>
  <c r="K447" i="10"/>
  <c r="L447" i="10"/>
  <c r="M447" i="10"/>
  <c r="K448" i="10"/>
  <c r="L448" i="10"/>
  <c r="M448" i="10"/>
  <c r="K449" i="10"/>
  <c r="L449" i="10"/>
  <c r="M449" i="10"/>
  <c r="K450" i="10"/>
  <c r="L450" i="10"/>
  <c r="M450" i="10"/>
  <c r="K451" i="10"/>
  <c r="L451" i="10"/>
  <c r="M451" i="10"/>
  <c r="K452" i="10"/>
  <c r="L452" i="10"/>
  <c r="M452" i="10"/>
  <c r="K453" i="10"/>
  <c r="L453" i="10"/>
  <c r="M453" i="10"/>
  <c r="K454" i="10"/>
  <c r="L454" i="10"/>
  <c r="M454" i="10"/>
  <c r="K455" i="10"/>
  <c r="L455" i="10"/>
  <c r="M455" i="10"/>
  <c r="K456" i="10"/>
  <c r="L456" i="10"/>
  <c r="M456" i="10"/>
  <c r="K457" i="10"/>
  <c r="L457" i="10"/>
  <c r="M457" i="10"/>
  <c r="K458" i="10"/>
  <c r="L458" i="10"/>
  <c r="M458" i="10"/>
  <c r="K459" i="10"/>
  <c r="L459" i="10"/>
  <c r="M459" i="10"/>
  <c r="K460" i="10"/>
  <c r="L460" i="10"/>
  <c r="M460" i="10"/>
  <c r="K461" i="10"/>
  <c r="L461" i="10"/>
  <c r="M461" i="10"/>
  <c r="K462" i="10"/>
  <c r="L462" i="10"/>
  <c r="M462" i="10"/>
  <c r="K463" i="10"/>
  <c r="L463" i="10"/>
  <c r="M463" i="10"/>
  <c r="K464" i="10"/>
  <c r="L464" i="10"/>
  <c r="M464" i="10"/>
  <c r="K465" i="10"/>
  <c r="L465" i="10"/>
  <c r="M465" i="10"/>
  <c r="K466" i="10"/>
  <c r="L466" i="10"/>
  <c r="M466" i="10"/>
  <c r="K467" i="10"/>
  <c r="L467" i="10"/>
  <c r="M467" i="10"/>
  <c r="K468" i="10"/>
  <c r="L468" i="10"/>
  <c r="M468" i="10"/>
  <c r="K469" i="10"/>
  <c r="L469" i="10"/>
  <c r="M469" i="10"/>
  <c r="K470" i="10"/>
  <c r="L470" i="10"/>
  <c r="M470" i="10"/>
  <c r="K471" i="10"/>
  <c r="L471" i="10"/>
  <c r="M471" i="10"/>
  <c r="K472" i="10"/>
  <c r="L472" i="10"/>
  <c r="M472" i="10"/>
  <c r="K473" i="10"/>
  <c r="L473" i="10"/>
  <c r="M473" i="10"/>
  <c r="K474" i="10"/>
  <c r="L474" i="10"/>
  <c r="M474" i="10"/>
  <c r="K475" i="10"/>
  <c r="L475" i="10"/>
  <c r="M475" i="10"/>
  <c r="K476" i="10"/>
  <c r="L476" i="10"/>
  <c r="M476" i="10"/>
  <c r="K477" i="10"/>
  <c r="L477" i="10"/>
  <c r="M477" i="10"/>
  <c r="K478" i="10"/>
  <c r="L478" i="10"/>
  <c r="M478" i="10"/>
  <c r="K479" i="10"/>
  <c r="L479" i="10"/>
  <c r="M479" i="10"/>
  <c r="K480" i="10"/>
  <c r="L480" i="10"/>
  <c r="M480" i="10"/>
  <c r="K481" i="10"/>
  <c r="L481" i="10"/>
  <c r="M481" i="10"/>
  <c r="K482" i="10"/>
  <c r="L482" i="10"/>
  <c r="M482" i="10"/>
  <c r="K483" i="10"/>
  <c r="L483" i="10"/>
  <c r="M483" i="10"/>
  <c r="K484" i="10"/>
  <c r="L484" i="10"/>
  <c r="M484" i="10"/>
  <c r="K485" i="10"/>
  <c r="L485" i="10"/>
  <c r="M485" i="10"/>
  <c r="K486" i="10"/>
  <c r="L486" i="10"/>
  <c r="M486" i="10"/>
  <c r="K487" i="10"/>
  <c r="L487" i="10"/>
  <c r="M487" i="10"/>
  <c r="K488" i="10"/>
  <c r="L488" i="10"/>
  <c r="M488" i="10"/>
  <c r="K489" i="10"/>
  <c r="L489" i="10"/>
  <c r="M489" i="10"/>
  <c r="K490" i="10"/>
  <c r="L490" i="10"/>
  <c r="M490" i="10"/>
  <c r="K491" i="10"/>
  <c r="L491" i="10"/>
  <c r="M491" i="10"/>
  <c r="K492" i="10"/>
  <c r="L492" i="10"/>
  <c r="M492" i="10"/>
  <c r="K493" i="10"/>
  <c r="L493" i="10"/>
  <c r="M493" i="10"/>
  <c r="K494" i="10"/>
  <c r="L494" i="10"/>
  <c r="M494" i="10"/>
  <c r="K495" i="10"/>
  <c r="L495" i="10"/>
  <c r="M495" i="10"/>
  <c r="K496" i="10"/>
  <c r="L496" i="10"/>
  <c r="M496" i="10"/>
  <c r="K497" i="10"/>
  <c r="L497" i="10"/>
  <c r="M497" i="10"/>
  <c r="K498" i="10"/>
  <c r="L498" i="10"/>
  <c r="M498" i="10"/>
  <c r="K499" i="10"/>
  <c r="L499" i="10"/>
  <c r="M499" i="10"/>
  <c r="K500" i="10"/>
  <c r="L500" i="10"/>
  <c r="M500" i="10"/>
  <c r="K501" i="10"/>
  <c r="L501" i="10"/>
  <c r="M501" i="10"/>
  <c r="K502" i="10"/>
  <c r="L502" i="10"/>
  <c r="M502" i="10"/>
  <c r="K503" i="10"/>
  <c r="L503" i="10"/>
  <c r="M503" i="10"/>
  <c r="K504" i="10"/>
  <c r="L504" i="10"/>
  <c r="M504" i="10"/>
  <c r="K505" i="10"/>
  <c r="L505" i="10"/>
  <c r="M505" i="10"/>
  <c r="K506" i="10"/>
  <c r="L506" i="10"/>
  <c r="M506" i="10"/>
  <c r="K507" i="10"/>
  <c r="L507" i="10"/>
  <c r="M507" i="10"/>
  <c r="K508" i="10"/>
  <c r="L508" i="10"/>
  <c r="M508" i="10"/>
  <c r="K509" i="10"/>
  <c r="L509" i="10"/>
  <c r="M509" i="10"/>
  <c r="K510" i="10"/>
  <c r="L510" i="10"/>
  <c r="M510" i="10"/>
  <c r="K511" i="10"/>
  <c r="L511" i="10"/>
  <c r="M511" i="10"/>
  <c r="K512" i="10"/>
  <c r="L512" i="10"/>
  <c r="M512" i="10"/>
  <c r="K513" i="10"/>
  <c r="L513" i="10"/>
  <c r="M513" i="10"/>
  <c r="K514" i="10"/>
  <c r="L514" i="10"/>
  <c r="M514" i="10"/>
  <c r="K515" i="10"/>
  <c r="L515" i="10"/>
  <c r="M515" i="10"/>
  <c r="K516" i="10"/>
  <c r="L516" i="10"/>
  <c r="M516" i="10"/>
  <c r="K517" i="10"/>
  <c r="L517" i="10"/>
  <c r="M517" i="10"/>
  <c r="K518" i="10"/>
  <c r="L518" i="10"/>
  <c r="M518" i="10"/>
  <c r="K519" i="10"/>
  <c r="L519" i="10"/>
  <c r="M519" i="10"/>
  <c r="K520" i="10"/>
  <c r="L520" i="10"/>
  <c r="M520" i="10"/>
  <c r="K521" i="10"/>
  <c r="L521" i="10"/>
  <c r="M521" i="10"/>
  <c r="K522" i="10"/>
  <c r="L522" i="10"/>
  <c r="M522" i="10"/>
  <c r="K523" i="10"/>
  <c r="L523" i="10"/>
  <c r="M523" i="10"/>
  <c r="K524" i="10"/>
  <c r="L524" i="10"/>
  <c r="M524" i="10"/>
  <c r="K525" i="10"/>
  <c r="L525" i="10"/>
  <c r="M525" i="10"/>
  <c r="K526" i="10"/>
  <c r="L526" i="10"/>
  <c r="M526" i="10"/>
  <c r="K527" i="10"/>
  <c r="L527" i="10"/>
  <c r="M527" i="10"/>
  <c r="K528" i="10"/>
  <c r="L528" i="10"/>
  <c r="M528" i="10"/>
  <c r="K529" i="10"/>
  <c r="L529" i="10"/>
  <c r="M529" i="10"/>
  <c r="K530" i="10"/>
  <c r="L530" i="10"/>
  <c r="M530" i="10"/>
  <c r="K531" i="10"/>
  <c r="L531" i="10"/>
  <c r="M531" i="10"/>
  <c r="K532" i="10"/>
  <c r="L532" i="10"/>
  <c r="M532" i="10"/>
  <c r="K533" i="10"/>
  <c r="L533" i="10"/>
  <c r="M533" i="10"/>
  <c r="K534" i="10"/>
  <c r="L534" i="10"/>
  <c r="M534" i="10"/>
  <c r="K535" i="10"/>
  <c r="L535" i="10"/>
  <c r="M535" i="10"/>
  <c r="K536" i="10"/>
  <c r="L536" i="10"/>
  <c r="M536" i="10"/>
  <c r="K537" i="10"/>
  <c r="L537" i="10"/>
  <c r="M537" i="10"/>
  <c r="K538" i="10"/>
  <c r="L538" i="10"/>
  <c r="M538" i="10"/>
  <c r="K539" i="10"/>
  <c r="L539" i="10"/>
  <c r="M539" i="10"/>
  <c r="K540" i="10"/>
  <c r="L540" i="10"/>
  <c r="M540" i="10"/>
  <c r="K541" i="10"/>
  <c r="L541" i="10"/>
  <c r="M541" i="10"/>
  <c r="K542" i="10"/>
  <c r="L542" i="10"/>
  <c r="M542" i="10"/>
  <c r="K543" i="10"/>
  <c r="L543" i="10"/>
  <c r="M543" i="10"/>
  <c r="K544" i="10"/>
  <c r="L544" i="10"/>
  <c r="M544" i="10"/>
  <c r="K545" i="10"/>
  <c r="L545" i="10"/>
  <c r="M545" i="10"/>
  <c r="K546" i="10"/>
  <c r="L546" i="10"/>
  <c r="M546" i="10"/>
  <c r="K547" i="10"/>
  <c r="L547" i="10"/>
  <c r="M547" i="10"/>
  <c r="K548" i="10"/>
  <c r="L548" i="10"/>
  <c r="M548" i="10"/>
  <c r="K549" i="10"/>
  <c r="L549" i="10"/>
  <c r="M549" i="10"/>
  <c r="K550" i="10"/>
  <c r="L550" i="10"/>
  <c r="M550" i="10"/>
  <c r="K551" i="10"/>
  <c r="L551" i="10"/>
  <c r="M551" i="10"/>
  <c r="K552" i="10"/>
  <c r="L552" i="10"/>
  <c r="M552" i="10"/>
  <c r="K553" i="10"/>
  <c r="L553" i="10"/>
  <c r="M553" i="10"/>
  <c r="K554" i="10"/>
  <c r="L554" i="10"/>
  <c r="M554" i="10"/>
  <c r="K555" i="10"/>
  <c r="L555" i="10"/>
  <c r="M555" i="10"/>
  <c r="K556" i="10"/>
  <c r="L556" i="10"/>
  <c r="M556" i="10"/>
  <c r="K557" i="10"/>
  <c r="L557" i="10"/>
  <c r="M557" i="10"/>
  <c r="K558" i="10"/>
  <c r="L558" i="10"/>
  <c r="M558" i="10"/>
  <c r="K559" i="10"/>
  <c r="L559" i="10"/>
  <c r="M559" i="10"/>
  <c r="K560" i="10"/>
  <c r="L560" i="10"/>
  <c r="M560" i="10"/>
  <c r="K561" i="10"/>
  <c r="L561" i="10"/>
  <c r="M561" i="10"/>
  <c r="K562" i="10"/>
  <c r="L562" i="10"/>
  <c r="M562" i="10"/>
  <c r="K563" i="10"/>
  <c r="L563" i="10"/>
  <c r="M563" i="10"/>
  <c r="K564" i="10"/>
  <c r="L564" i="10"/>
  <c r="M564" i="10"/>
  <c r="K565" i="10"/>
  <c r="L565" i="10"/>
  <c r="M565" i="10"/>
  <c r="K566" i="10"/>
  <c r="L566" i="10"/>
  <c r="M566" i="10"/>
  <c r="K567" i="10"/>
  <c r="L567" i="10"/>
  <c r="M567" i="10"/>
  <c r="K568" i="10"/>
  <c r="L568" i="10"/>
  <c r="M568" i="10"/>
  <c r="K569" i="10"/>
  <c r="L569" i="10"/>
  <c r="M569" i="10"/>
  <c r="K570" i="10"/>
  <c r="L570" i="10"/>
  <c r="M570" i="10"/>
  <c r="K571" i="10"/>
  <c r="L571" i="10"/>
  <c r="M571" i="10"/>
  <c r="K572" i="10"/>
  <c r="L572" i="10"/>
  <c r="M572" i="10"/>
  <c r="K573" i="10"/>
  <c r="L573" i="10"/>
  <c r="M573" i="10"/>
  <c r="K574" i="10"/>
  <c r="L574" i="10"/>
  <c r="M574" i="10"/>
  <c r="K575" i="10"/>
  <c r="L575" i="10"/>
  <c r="M575" i="10"/>
  <c r="K576" i="10"/>
  <c r="L576" i="10"/>
  <c r="M576" i="10"/>
  <c r="K577" i="10"/>
  <c r="L577" i="10"/>
  <c r="M577" i="10"/>
  <c r="K578" i="10"/>
  <c r="L578" i="10"/>
  <c r="M578" i="10"/>
  <c r="K579" i="10"/>
  <c r="L579" i="10"/>
  <c r="M579" i="10"/>
  <c r="K580" i="10"/>
  <c r="L580" i="10"/>
  <c r="M580" i="10"/>
  <c r="K581" i="10"/>
  <c r="L581" i="10"/>
  <c r="M581" i="10"/>
  <c r="K582" i="10"/>
  <c r="L582" i="10"/>
  <c r="M582" i="10"/>
  <c r="K583" i="10"/>
  <c r="L583" i="10"/>
  <c r="M583" i="10"/>
  <c r="K584" i="10"/>
  <c r="L584" i="10"/>
  <c r="M584" i="10"/>
  <c r="K585" i="10"/>
  <c r="L585" i="10"/>
  <c r="M585" i="10"/>
  <c r="K586" i="10"/>
  <c r="L586" i="10"/>
  <c r="M586" i="10"/>
  <c r="K587" i="10"/>
  <c r="L587" i="10"/>
  <c r="M587" i="10"/>
  <c r="K588" i="10"/>
  <c r="L588" i="10"/>
  <c r="M588" i="10"/>
  <c r="K589" i="10"/>
  <c r="L589" i="10"/>
  <c r="M589" i="10"/>
  <c r="K590" i="10"/>
  <c r="L590" i="10"/>
  <c r="M590" i="10"/>
  <c r="K591" i="10"/>
  <c r="L591" i="10"/>
  <c r="M591" i="10"/>
  <c r="K592" i="10"/>
  <c r="L592" i="10"/>
  <c r="M592" i="10"/>
  <c r="K593" i="10"/>
  <c r="L593" i="10"/>
  <c r="M593" i="10"/>
  <c r="K594" i="10"/>
  <c r="L594" i="10"/>
  <c r="M594" i="10"/>
  <c r="K595" i="10"/>
  <c r="L595" i="10"/>
  <c r="M595" i="10"/>
  <c r="K596" i="10"/>
  <c r="L596" i="10"/>
  <c r="M596" i="10"/>
  <c r="K597" i="10"/>
  <c r="L597" i="10"/>
  <c r="M597" i="10"/>
  <c r="K598" i="10"/>
  <c r="L598" i="10"/>
  <c r="M598" i="10"/>
  <c r="K599" i="10"/>
  <c r="L599" i="10"/>
  <c r="M599" i="10"/>
  <c r="K600" i="10"/>
  <c r="L600" i="10"/>
  <c r="M600" i="10"/>
  <c r="K601" i="10"/>
  <c r="L601" i="10"/>
  <c r="M601" i="10"/>
  <c r="K602" i="10"/>
  <c r="L602" i="10"/>
  <c r="M602" i="10"/>
  <c r="K603" i="10"/>
  <c r="L603" i="10"/>
  <c r="M603" i="10"/>
  <c r="K604" i="10"/>
  <c r="L604" i="10"/>
  <c r="M604" i="10"/>
  <c r="K605" i="10"/>
  <c r="L605" i="10"/>
  <c r="M605" i="10"/>
  <c r="K606" i="10"/>
  <c r="L606" i="10"/>
  <c r="M606" i="10"/>
  <c r="K607" i="10"/>
  <c r="L607" i="10"/>
  <c r="M607" i="10"/>
  <c r="K608" i="10"/>
  <c r="L608" i="10"/>
  <c r="M608" i="10"/>
  <c r="K609" i="10"/>
  <c r="L609" i="10"/>
  <c r="M609" i="10"/>
  <c r="K610" i="10"/>
  <c r="L610" i="10"/>
  <c r="M610" i="10"/>
  <c r="K611" i="10"/>
  <c r="L611" i="10"/>
  <c r="M611" i="10"/>
  <c r="K612" i="10"/>
  <c r="L612" i="10"/>
  <c r="M612" i="10"/>
  <c r="K613" i="10"/>
  <c r="L613" i="10"/>
  <c r="M613" i="10"/>
  <c r="K614" i="10"/>
  <c r="L614" i="10"/>
  <c r="M614" i="10"/>
  <c r="K615" i="10"/>
  <c r="L615" i="10"/>
  <c r="M615" i="10"/>
  <c r="K616" i="10"/>
  <c r="L616" i="10"/>
  <c r="M616" i="10"/>
  <c r="K617" i="10"/>
  <c r="L617" i="10"/>
  <c r="M617" i="10"/>
  <c r="K618" i="10"/>
  <c r="L618" i="10"/>
  <c r="M618" i="10"/>
  <c r="K619" i="10"/>
  <c r="L619" i="10"/>
  <c r="M619" i="10"/>
  <c r="K620" i="10"/>
  <c r="L620" i="10"/>
  <c r="M620" i="10"/>
  <c r="K621" i="10"/>
  <c r="L621" i="10"/>
  <c r="M621" i="10"/>
  <c r="K622" i="10"/>
  <c r="L622" i="10"/>
  <c r="M622" i="10"/>
  <c r="K623" i="10"/>
  <c r="L623" i="10"/>
  <c r="M623" i="10"/>
  <c r="K624" i="10"/>
  <c r="L624" i="10"/>
  <c r="M624" i="10"/>
  <c r="K625" i="10"/>
  <c r="L625" i="10"/>
  <c r="M625" i="10"/>
  <c r="K626" i="10"/>
  <c r="L626" i="10"/>
  <c r="M626" i="10"/>
  <c r="K627" i="10"/>
  <c r="L627" i="10"/>
  <c r="M627" i="10"/>
  <c r="K628" i="10"/>
  <c r="L628" i="10"/>
  <c r="M628" i="10"/>
  <c r="K629" i="10"/>
  <c r="L629" i="10"/>
  <c r="M629" i="10"/>
  <c r="K630" i="10"/>
  <c r="L630" i="10"/>
  <c r="M630" i="10"/>
  <c r="K631" i="10"/>
  <c r="L631" i="10"/>
  <c r="M631" i="10"/>
  <c r="K632" i="10"/>
  <c r="L632" i="10"/>
  <c r="M632" i="10"/>
  <c r="K633" i="10"/>
  <c r="L633" i="10"/>
  <c r="M633" i="10"/>
  <c r="K634" i="10"/>
  <c r="L634" i="10"/>
  <c r="M634" i="10"/>
  <c r="K635" i="10"/>
  <c r="L635" i="10"/>
  <c r="M635" i="10"/>
  <c r="K636" i="10"/>
  <c r="L636" i="10"/>
  <c r="M636" i="10"/>
  <c r="K637" i="10"/>
  <c r="L637" i="10"/>
  <c r="M637" i="10"/>
  <c r="K638" i="10"/>
  <c r="L638" i="10"/>
  <c r="M638" i="10"/>
  <c r="K639" i="10"/>
  <c r="L639" i="10"/>
  <c r="M639" i="10"/>
  <c r="K640" i="10"/>
  <c r="L640" i="10"/>
  <c r="M640" i="10"/>
  <c r="K641" i="10"/>
  <c r="L641" i="10"/>
  <c r="M641" i="10"/>
  <c r="K642" i="10"/>
  <c r="L642" i="10"/>
  <c r="M642" i="10"/>
  <c r="K643" i="10"/>
  <c r="L643" i="10"/>
  <c r="M643" i="10"/>
  <c r="K644" i="10"/>
  <c r="L644" i="10"/>
  <c r="M644" i="10"/>
  <c r="K645" i="10"/>
  <c r="L645" i="10"/>
  <c r="M645" i="10"/>
  <c r="K646" i="10"/>
  <c r="L646" i="10"/>
  <c r="M646" i="10"/>
  <c r="K647" i="10"/>
  <c r="L647" i="10"/>
  <c r="M647" i="10"/>
  <c r="K648" i="10"/>
  <c r="L648" i="10"/>
  <c r="M648" i="10"/>
  <c r="K649" i="10"/>
  <c r="L649" i="10"/>
  <c r="M649" i="10"/>
  <c r="K650" i="10"/>
  <c r="L650" i="10"/>
  <c r="M650" i="10"/>
  <c r="K651" i="10"/>
  <c r="L651" i="10"/>
  <c r="M651" i="10"/>
  <c r="K652" i="10"/>
  <c r="L652" i="10"/>
  <c r="M652" i="10"/>
  <c r="K653" i="10"/>
  <c r="L653" i="10"/>
  <c r="M653" i="10"/>
  <c r="K654" i="10"/>
  <c r="L654" i="10"/>
  <c r="M654" i="10"/>
  <c r="K655" i="10"/>
  <c r="L655" i="10"/>
  <c r="M655" i="10"/>
  <c r="K656" i="10"/>
  <c r="L656" i="10"/>
  <c r="M656" i="10"/>
  <c r="K657" i="10"/>
  <c r="L657" i="10"/>
  <c r="M657" i="10"/>
  <c r="K658" i="10"/>
  <c r="L658" i="10"/>
  <c r="M658" i="10"/>
  <c r="K659" i="10"/>
  <c r="L659" i="10"/>
  <c r="M659" i="10"/>
  <c r="K660" i="10"/>
  <c r="L660" i="10"/>
  <c r="M660" i="10"/>
  <c r="K661" i="10"/>
  <c r="L661" i="10"/>
  <c r="M661" i="10"/>
  <c r="K662" i="10"/>
  <c r="L662" i="10"/>
  <c r="M662" i="10"/>
  <c r="K663" i="10"/>
  <c r="L663" i="10"/>
  <c r="M663" i="10"/>
  <c r="K664" i="10"/>
  <c r="L664" i="10"/>
  <c r="M664" i="10"/>
  <c r="K665" i="10"/>
  <c r="L665" i="10"/>
  <c r="M665" i="10"/>
  <c r="K666" i="10"/>
  <c r="L666" i="10"/>
  <c r="M666" i="10"/>
  <c r="K667" i="10"/>
  <c r="L667" i="10"/>
  <c r="M667" i="10"/>
  <c r="K668" i="10"/>
  <c r="L668" i="10"/>
  <c r="M668" i="10"/>
  <c r="K669" i="10"/>
  <c r="L669" i="10"/>
  <c r="M669" i="10"/>
  <c r="K670" i="10"/>
  <c r="L670" i="10"/>
  <c r="M670" i="10"/>
  <c r="K671" i="10"/>
  <c r="L671" i="10"/>
  <c r="M671" i="10"/>
  <c r="K672" i="10"/>
  <c r="L672" i="10"/>
  <c r="M672" i="10"/>
  <c r="K673" i="10"/>
  <c r="L673" i="10"/>
  <c r="M673" i="10"/>
  <c r="K674" i="10"/>
  <c r="L674" i="10"/>
  <c r="M674" i="10"/>
  <c r="K675" i="10"/>
  <c r="L675" i="10"/>
  <c r="M675" i="10"/>
  <c r="K676" i="10"/>
  <c r="L676" i="10"/>
  <c r="M676" i="10"/>
  <c r="K677" i="10"/>
  <c r="L677" i="10"/>
  <c r="M677" i="10"/>
  <c r="K678" i="10"/>
  <c r="L678" i="10"/>
  <c r="M678" i="10"/>
  <c r="K679" i="10"/>
  <c r="L679" i="10"/>
  <c r="M679" i="10"/>
  <c r="K680" i="10"/>
  <c r="L680" i="10"/>
  <c r="M680" i="10"/>
  <c r="K681" i="10"/>
  <c r="L681" i="10"/>
  <c r="M681" i="10"/>
  <c r="K682" i="10"/>
  <c r="L682" i="10"/>
  <c r="M682" i="10"/>
  <c r="K683" i="10"/>
  <c r="L683" i="10"/>
  <c r="M683" i="10"/>
  <c r="K684" i="10"/>
  <c r="L684" i="10"/>
  <c r="M684" i="10"/>
  <c r="K685" i="10"/>
  <c r="L685" i="10"/>
  <c r="M685" i="10"/>
  <c r="K686" i="10"/>
  <c r="L686" i="10"/>
  <c r="M686" i="10"/>
  <c r="K687" i="10"/>
  <c r="L687" i="10"/>
  <c r="M687" i="10"/>
  <c r="K688" i="10"/>
  <c r="L688" i="10"/>
  <c r="M688" i="10"/>
  <c r="K689" i="10"/>
  <c r="L689" i="10"/>
  <c r="M689" i="10"/>
  <c r="K690" i="10"/>
  <c r="L690" i="10"/>
  <c r="M690" i="10"/>
  <c r="K691" i="10"/>
  <c r="L691" i="10"/>
  <c r="M691" i="10"/>
  <c r="K692" i="10"/>
  <c r="L692" i="10"/>
  <c r="M692" i="10"/>
  <c r="K693" i="10"/>
  <c r="L693" i="10"/>
  <c r="M693" i="10"/>
  <c r="K694" i="10"/>
  <c r="L694" i="10"/>
  <c r="M694" i="10"/>
  <c r="K695" i="10"/>
  <c r="L695" i="10"/>
  <c r="M695" i="10"/>
  <c r="K696" i="10"/>
  <c r="L696" i="10"/>
  <c r="M696" i="10"/>
  <c r="K697" i="10"/>
  <c r="L697" i="10"/>
  <c r="M697" i="10"/>
  <c r="K698" i="10"/>
  <c r="L698" i="10"/>
  <c r="M698" i="10"/>
  <c r="K699" i="10"/>
  <c r="L699" i="10"/>
  <c r="M699" i="10"/>
  <c r="K700" i="10"/>
  <c r="L700" i="10"/>
  <c r="M700" i="10"/>
  <c r="K701" i="10"/>
  <c r="L701" i="10"/>
  <c r="M701" i="10"/>
  <c r="K702" i="10"/>
  <c r="L702" i="10"/>
  <c r="M702" i="10"/>
  <c r="K703" i="10"/>
  <c r="L703" i="10"/>
  <c r="M703" i="10"/>
  <c r="K704" i="10"/>
  <c r="L704" i="10"/>
  <c r="M704" i="10"/>
  <c r="K705" i="10"/>
  <c r="L705" i="10"/>
  <c r="M705" i="10"/>
  <c r="K706" i="10"/>
  <c r="L706" i="10"/>
  <c r="M706" i="10"/>
  <c r="K707" i="10"/>
  <c r="L707" i="10"/>
  <c r="M707" i="10"/>
  <c r="K708" i="10"/>
  <c r="L708" i="10"/>
  <c r="M708" i="10"/>
  <c r="K709" i="10"/>
  <c r="L709" i="10"/>
  <c r="M709" i="10"/>
  <c r="K710" i="10"/>
  <c r="L710" i="10"/>
  <c r="M710" i="10"/>
  <c r="K711" i="10"/>
  <c r="L711" i="10"/>
  <c r="M711" i="10"/>
  <c r="K712" i="10"/>
  <c r="L712" i="10"/>
  <c r="M712" i="10"/>
  <c r="K713" i="10"/>
  <c r="L713" i="10"/>
  <c r="M713" i="10"/>
  <c r="K714" i="10"/>
  <c r="L714" i="10"/>
  <c r="M714" i="10"/>
  <c r="K715" i="10"/>
  <c r="L715" i="10"/>
  <c r="M715" i="10"/>
  <c r="K716" i="10"/>
  <c r="L716" i="10"/>
  <c r="M716" i="10"/>
  <c r="K717" i="10"/>
  <c r="L717" i="10"/>
  <c r="M717" i="10"/>
  <c r="K718" i="10"/>
  <c r="L718" i="10"/>
  <c r="M718" i="10"/>
  <c r="K719" i="10"/>
  <c r="L719" i="10"/>
  <c r="M719" i="10"/>
  <c r="K720" i="10"/>
  <c r="L720" i="10"/>
  <c r="M720" i="10"/>
  <c r="K721" i="10"/>
  <c r="L721" i="10"/>
  <c r="M721" i="10"/>
  <c r="K722" i="10"/>
  <c r="L722" i="10"/>
  <c r="M722" i="10"/>
  <c r="K723" i="10"/>
  <c r="L723" i="10"/>
  <c r="M723" i="10"/>
  <c r="K724" i="10"/>
  <c r="L724" i="10"/>
  <c r="M724" i="10"/>
  <c r="K725" i="10"/>
  <c r="L725" i="10"/>
  <c r="M725" i="10"/>
  <c r="K726" i="10"/>
  <c r="L726" i="10"/>
  <c r="M726" i="10"/>
  <c r="K727" i="10"/>
  <c r="L727" i="10"/>
  <c r="M727" i="10"/>
  <c r="K728" i="10"/>
  <c r="L728" i="10"/>
  <c r="M728" i="10"/>
  <c r="K729" i="10"/>
  <c r="L729" i="10"/>
  <c r="M729" i="10"/>
  <c r="K730" i="10"/>
  <c r="L730" i="10"/>
  <c r="M730" i="10"/>
  <c r="S6" i="10"/>
  <c r="D26" i="7" s="1"/>
  <c r="S2" i="10"/>
  <c r="S4" i="10" s="1"/>
  <c r="M2" i="10"/>
  <c r="L2" i="10"/>
  <c r="K2" i="10"/>
  <c r="K3" i="9"/>
  <c r="L3" i="9"/>
  <c r="M3" i="9"/>
  <c r="K4" i="9"/>
  <c r="L4" i="9"/>
  <c r="M4" i="9"/>
  <c r="K5" i="9"/>
  <c r="L5" i="9"/>
  <c r="M5" i="9"/>
  <c r="K6" i="9"/>
  <c r="L6" i="9"/>
  <c r="M6" i="9"/>
  <c r="K7" i="9"/>
  <c r="L7" i="9"/>
  <c r="M7" i="9"/>
  <c r="K8" i="9"/>
  <c r="L8" i="9"/>
  <c r="M8" i="9"/>
  <c r="K9" i="9"/>
  <c r="L9" i="9"/>
  <c r="M9" i="9"/>
  <c r="K10" i="9"/>
  <c r="L10" i="9"/>
  <c r="M10" i="9"/>
  <c r="K11" i="9"/>
  <c r="L11" i="9"/>
  <c r="M11" i="9"/>
  <c r="K12" i="9"/>
  <c r="L12" i="9"/>
  <c r="M12" i="9"/>
  <c r="K13" i="9"/>
  <c r="L13" i="9"/>
  <c r="M13" i="9"/>
  <c r="K14" i="9"/>
  <c r="L14" i="9"/>
  <c r="M14" i="9"/>
  <c r="K15" i="9"/>
  <c r="L15" i="9"/>
  <c r="M15" i="9"/>
  <c r="K16" i="9"/>
  <c r="L16" i="9"/>
  <c r="M16" i="9"/>
  <c r="K17" i="9"/>
  <c r="L17" i="9"/>
  <c r="M17" i="9"/>
  <c r="K18" i="9"/>
  <c r="L18" i="9"/>
  <c r="M18" i="9"/>
  <c r="K19" i="9"/>
  <c r="L19" i="9"/>
  <c r="M19" i="9"/>
  <c r="K20" i="9"/>
  <c r="L20" i="9"/>
  <c r="M20" i="9"/>
  <c r="K21" i="9"/>
  <c r="L21" i="9"/>
  <c r="M21" i="9"/>
  <c r="K22" i="9"/>
  <c r="L22" i="9"/>
  <c r="M22" i="9"/>
  <c r="K23" i="9"/>
  <c r="L23" i="9"/>
  <c r="M23" i="9"/>
  <c r="K24" i="9"/>
  <c r="L24" i="9"/>
  <c r="M24" i="9"/>
  <c r="K25" i="9"/>
  <c r="L25" i="9"/>
  <c r="M25" i="9"/>
  <c r="K26" i="9"/>
  <c r="L26" i="9"/>
  <c r="M26" i="9"/>
  <c r="K27" i="9"/>
  <c r="L27" i="9"/>
  <c r="M27" i="9"/>
  <c r="K28" i="9"/>
  <c r="L28" i="9"/>
  <c r="M28" i="9"/>
  <c r="K29" i="9"/>
  <c r="L29" i="9"/>
  <c r="M29" i="9"/>
  <c r="K30" i="9"/>
  <c r="L30" i="9"/>
  <c r="M30" i="9"/>
  <c r="K31" i="9"/>
  <c r="L31" i="9"/>
  <c r="M31" i="9"/>
  <c r="K32" i="9"/>
  <c r="L32" i="9"/>
  <c r="M32" i="9"/>
  <c r="K33" i="9"/>
  <c r="L33" i="9"/>
  <c r="M33" i="9"/>
  <c r="K34" i="9"/>
  <c r="L34" i="9"/>
  <c r="M34" i="9"/>
  <c r="K35" i="9"/>
  <c r="L35" i="9"/>
  <c r="M35" i="9"/>
  <c r="K36" i="9"/>
  <c r="L36" i="9"/>
  <c r="M36" i="9"/>
  <c r="K37" i="9"/>
  <c r="L37" i="9"/>
  <c r="M37" i="9"/>
  <c r="K38" i="9"/>
  <c r="L38" i="9"/>
  <c r="M38" i="9"/>
  <c r="K39" i="9"/>
  <c r="L39" i="9"/>
  <c r="M39" i="9"/>
  <c r="K40" i="9"/>
  <c r="L40" i="9"/>
  <c r="M40" i="9"/>
  <c r="K41" i="9"/>
  <c r="L41" i="9"/>
  <c r="M41" i="9"/>
  <c r="K42" i="9"/>
  <c r="L42" i="9"/>
  <c r="M42" i="9"/>
  <c r="K43" i="9"/>
  <c r="L43" i="9"/>
  <c r="M43" i="9"/>
  <c r="K44" i="9"/>
  <c r="L44" i="9"/>
  <c r="M44" i="9"/>
  <c r="K45" i="9"/>
  <c r="L45" i="9"/>
  <c r="M45" i="9"/>
  <c r="K46" i="9"/>
  <c r="L46" i="9"/>
  <c r="M46" i="9"/>
  <c r="K47" i="9"/>
  <c r="L47" i="9"/>
  <c r="M47" i="9"/>
  <c r="K48" i="9"/>
  <c r="L48" i="9"/>
  <c r="M48" i="9"/>
  <c r="K49" i="9"/>
  <c r="L49" i="9"/>
  <c r="M49" i="9"/>
  <c r="K50" i="9"/>
  <c r="L50" i="9"/>
  <c r="M50" i="9"/>
  <c r="K51" i="9"/>
  <c r="L51" i="9"/>
  <c r="M51" i="9"/>
  <c r="K52" i="9"/>
  <c r="L52" i="9"/>
  <c r="M52" i="9"/>
  <c r="K53" i="9"/>
  <c r="L53" i="9"/>
  <c r="M53" i="9"/>
  <c r="K54" i="9"/>
  <c r="L54" i="9"/>
  <c r="M54" i="9"/>
  <c r="K55" i="9"/>
  <c r="L55" i="9"/>
  <c r="M55" i="9"/>
  <c r="K56" i="9"/>
  <c r="L56" i="9"/>
  <c r="M56" i="9"/>
  <c r="K57" i="9"/>
  <c r="L57" i="9"/>
  <c r="M57" i="9"/>
  <c r="K58" i="9"/>
  <c r="L58" i="9"/>
  <c r="M58" i="9"/>
  <c r="K59" i="9"/>
  <c r="L59" i="9"/>
  <c r="M59" i="9"/>
  <c r="K60" i="9"/>
  <c r="L60" i="9"/>
  <c r="M60" i="9"/>
  <c r="K61" i="9"/>
  <c r="L61" i="9"/>
  <c r="M61" i="9"/>
  <c r="K62" i="9"/>
  <c r="L62" i="9"/>
  <c r="M62" i="9"/>
  <c r="K63" i="9"/>
  <c r="L63" i="9"/>
  <c r="M63" i="9"/>
  <c r="K64" i="9"/>
  <c r="L64" i="9"/>
  <c r="M64" i="9"/>
  <c r="K65" i="9"/>
  <c r="L65" i="9"/>
  <c r="M65" i="9"/>
  <c r="K66" i="9"/>
  <c r="L66" i="9"/>
  <c r="M66" i="9"/>
  <c r="K67" i="9"/>
  <c r="L67" i="9"/>
  <c r="M67" i="9"/>
  <c r="K68" i="9"/>
  <c r="L68" i="9"/>
  <c r="M68" i="9"/>
  <c r="K69" i="9"/>
  <c r="L69" i="9"/>
  <c r="M69" i="9"/>
  <c r="K70" i="9"/>
  <c r="L70" i="9"/>
  <c r="M70" i="9"/>
  <c r="K71" i="9"/>
  <c r="L71" i="9"/>
  <c r="M71" i="9"/>
  <c r="K72" i="9"/>
  <c r="L72" i="9"/>
  <c r="M72" i="9"/>
  <c r="K73" i="9"/>
  <c r="L73" i="9"/>
  <c r="M73" i="9"/>
  <c r="K74" i="9"/>
  <c r="L74" i="9"/>
  <c r="M74" i="9"/>
  <c r="K75" i="9"/>
  <c r="L75" i="9"/>
  <c r="M75" i="9"/>
  <c r="K76" i="9"/>
  <c r="L76" i="9"/>
  <c r="M76" i="9"/>
  <c r="K77" i="9"/>
  <c r="L77" i="9"/>
  <c r="M77" i="9"/>
  <c r="K78" i="9"/>
  <c r="L78" i="9"/>
  <c r="M78" i="9"/>
  <c r="K79" i="9"/>
  <c r="L79" i="9"/>
  <c r="M79" i="9"/>
  <c r="K80" i="9"/>
  <c r="L80" i="9"/>
  <c r="M80" i="9"/>
  <c r="K81" i="9"/>
  <c r="L81" i="9"/>
  <c r="M81" i="9"/>
  <c r="K82" i="9"/>
  <c r="L82" i="9"/>
  <c r="M82" i="9"/>
  <c r="K83" i="9"/>
  <c r="L83" i="9"/>
  <c r="M83" i="9"/>
  <c r="K84" i="9"/>
  <c r="L84" i="9"/>
  <c r="M84" i="9"/>
  <c r="K85" i="9"/>
  <c r="L85" i="9"/>
  <c r="M85" i="9"/>
  <c r="K86" i="9"/>
  <c r="L86" i="9"/>
  <c r="M86" i="9"/>
  <c r="K87" i="9"/>
  <c r="L87" i="9"/>
  <c r="M87" i="9"/>
  <c r="K88" i="9"/>
  <c r="L88" i="9"/>
  <c r="M88" i="9"/>
  <c r="K89" i="9"/>
  <c r="L89" i="9"/>
  <c r="M89" i="9"/>
  <c r="K90" i="9"/>
  <c r="L90" i="9"/>
  <c r="M90" i="9"/>
  <c r="K91" i="9"/>
  <c r="L91" i="9"/>
  <c r="M91" i="9"/>
  <c r="K92" i="9"/>
  <c r="L92" i="9"/>
  <c r="M92" i="9"/>
  <c r="K93" i="9"/>
  <c r="L93" i="9"/>
  <c r="M93" i="9"/>
  <c r="K94" i="9"/>
  <c r="L94" i="9"/>
  <c r="M94" i="9"/>
  <c r="K95" i="9"/>
  <c r="L95" i="9"/>
  <c r="M95" i="9"/>
  <c r="K96" i="9"/>
  <c r="L96" i="9"/>
  <c r="M96" i="9"/>
  <c r="K97" i="9"/>
  <c r="L97" i="9"/>
  <c r="M97" i="9"/>
  <c r="K98" i="9"/>
  <c r="L98" i="9"/>
  <c r="M98" i="9"/>
  <c r="K99" i="9"/>
  <c r="L99" i="9"/>
  <c r="M99" i="9"/>
  <c r="K100" i="9"/>
  <c r="L100" i="9"/>
  <c r="M100" i="9"/>
  <c r="K101" i="9"/>
  <c r="L101" i="9"/>
  <c r="M101" i="9"/>
  <c r="K102" i="9"/>
  <c r="L102" i="9"/>
  <c r="M102" i="9"/>
  <c r="K103" i="9"/>
  <c r="L103" i="9"/>
  <c r="M103" i="9"/>
  <c r="K104" i="9"/>
  <c r="L104" i="9"/>
  <c r="M104" i="9"/>
  <c r="K105" i="9"/>
  <c r="L105" i="9"/>
  <c r="M105" i="9"/>
  <c r="K106" i="9"/>
  <c r="L106" i="9"/>
  <c r="M106" i="9"/>
  <c r="K107" i="9"/>
  <c r="L107" i="9"/>
  <c r="M107" i="9"/>
  <c r="K108" i="9"/>
  <c r="L108" i="9"/>
  <c r="M108" i="9"/>
  <c r="K109" i="9"/>
  <c r="L109" i="9"/>
  <c r="M109" i="9"/>
  <c r="K110" i="9"/>
  <c r="L110" i="9"/>
  <c r="M110" i="9"/>
  <c r="K111" i="9"/>
  <c r="L111" i="9"/>
  <c r="M111" i="9"/>
  <c r="K112" i="9"/>
  <c r="L112" i="9"/>
  <c r="M112" i="9"/>
  <c r="K113" i="9"/>
  <c r="L113" i="9"/>
  <c r="M113" i="9"/>
  <c r="K114" i="9"/>
  <c r="L114" i="9"/>
  <c r="M114" i="9"/>
  <c r="K115" i="9"/>
  <c r="L115" i="9"/>
  <c r="M115" i="9"/>
  <c r="K116" i="9"/>
  <c r="L116" i="9"/>
  <c r="M116" i="9"/>
  <c r="K117" i="9"/>
  <c r="L117" i="9"/>
  <c r="M117" i="9"/>
  <c r="K118" i="9"/>
  <c r="L118" i="9"/>
  <c r="M118" i="9"/>
  <c r="K119" i="9"/>
  <c r="L119" i="9"/>
  <c r="M119" i="9"/>
  <c r="K120" i="9"/>
  <c r="L120" i="9"/>
  <c r="M120" i="9"/>
  <c r="K121" i="9"/>
  <c r="L121" i="9"/>
  <c r="M121" i="9"/>
  <c r="K122" i="9"/>
  <c r="L122" i="9"/>
  <c r="M122" i="9"/>
  <c r="K123" i="9"/>
  <c r="L123" i="9"/>
  <c r="M123" i="9"/>
  <c r="K124" i="9"/>
  <c r="L124" i="9"/>
  <c r="M124" i="9"/>
  <c r="K125" i="9"/>
  <c r="L125" i="9"/>
  <c r="M125" i="9"/>
  <c r="K126" i="9"/>
  <c r="L126" i="9"/>
  <c r="M126" i="9"/>
  <c r="K127" i="9"/>
  <c r="L127" i="9"/>
  <c r="M127" i="9"/>
  <c r="K128" i="9"/>
  <c r="L128" i="9"/>
  <c r="M128" i="9"/>
  <c r="K129" i="9"/>
  <c r="L129" i="9"/>
  <c r="M129" i="9"/>
  <c r="K130" i="9"/>
  <c r="L130" i="9"/>
  <c r="M130" i="9"/>
  <c r="K131" i="9"/>
  <c r="L131" i="9"/>
  <c r="M131" i="9"/>
  <c r="K132" i="9"/>
  <c r="L132" i="9"/>
  <c r="M132" i="9"/>
  <c r="K133" i="9"/>
  <c r="L133" i="9"/>
  <c r="M133" i="9"/>
  <c r="K134" i="9"/>
  <c r="L134" i="9"/>
  <c r="M134" i="9"/>
  <c r="K135" i="9"/>
  <c r="L135" i="9"/>
  <c r="M135" i="9"/>
  <c r="K136" i="9"/>
  <c r="L136" i="9"/>
  <c r="M136" i="9"/>
  <c r="K137" i="9"/>
  <c r="L137" i="9"/>
  <c r="M137" i="9"/>
  <c r="K138" i="9"/>
  <c r="L138" i="9"/>
  <c r="M138" i="9"/>
  <c r="K139" i="9"/>
  <c r="L139" i="9"/>
  <c r="M139" i="9"/>
  <c r="K140" i="9"/>
  <c r="L140" i="9"/>
  <c r="M140" i="9"/>
  <c r="K141" i="9"/>
  <c r="L141" i="9"/>
  <c r="M141" i="9"/>
  <c r="K142" i="9"/>
  <c r="L142" i="9"/>
  <c r="M142" i="9"/>
  <c r="K143" i="9"/>
  <c r="L143" i="9"/>
  <c r="M143" i="9"/>
  <c r="K144" i="9"/>
  <c r="L144" i="9"/>
  <c r="M144" i="9"/>
  <c r="K145" i="9"/>
  <c r="L145" i="9"/>
  <c r="M145" i="9"/>
  <c r="K146" i="9"/>
  <c r="L146" i="9"/>
  <c r="M146" i="9"/>
  <c r="K147" i="9"/>
  <c r="L147" i="9"/>
  <c r="M147" i="9"/>
  <c r="K148" i="9"/>
  <c r="L148" i="9"/>
  <c r="M148" i="9"/>
  <c r="K149" i="9"/>
  <c r="L149" i="9"/>
  <c r="M149" i="9"/>
  <c r="K150" i="9"/>
  <c r="L150" i="9"/>
  <c r="M150" i="9"/>
  <c r="K151" i="9"/>
  <c r="L151" i="9"/>
  <c r="M151" i="9"/>
  <c r="K152" i="9"/>
  <c r="L152" i="9"/>
  <c r="M152" i="9"/>
  <c r="K153" i="9"/>
  <c r="L153" i="9"/>
  <c r="M153" i="9"/>
  <c r="K154" i="9"/>
  <c r="L154" i="9"/>
  <c r="M154" i="9"/>
  <c r="K155" i="9"/>
  <c r="L155" i="9"/>
  <c r="M155" i="9"/>
  <c r="K156" i="9"/>
  <c r="L156" i="9"/>
  <c r="M156" i="9"/>
  <c r="K157" i="9"/>
  <c r="L157" i="9"/>
  <c r="M157" i="9"/>
  <c r="K158" i="9"/>
  <c r="L158" i="9"/>
  <c r="M158" i="9"/>
  <c r="K159" i="9"/>
  <c r="L159" i="9"/>
  <c r="M159" i="9"/>
  <c r="K160" i="9"/>
  <c r="L160" i="9"/>
  <c r="M160" i="9"/>
  <c r="K161" i="9"/>
  <c r="L161" i="9"/>
  <c r="M161" i="9"/>
  <c r="K162" i="9"/>
  <c r="L162" i="9"/>
  <c r="M162" i="9"/>
  <c r="K163" i="9"/>
  <c r="L163" i="9"/>
  <c r="M163" i="9"/>
  <c r="K164" i="9"/>
  <c r="L164" i="9"/>
  <c r="M164" i="9"/>
  <c r="K165" i="9"/>
  <c r="L165" i="9"/>
  <c r="M165" i="9"/>
  <c r="K166" i="9"/>
  <c r="L166" i="9"/>
  <c r="M166" i="9"/>
  <c r="K167" i="9"/>
  <c r="L167" i="9"/>
  <c r="M167" i="9"/>
  <c r="K168" i="9"/>
  <c r="L168" i="9"/>
  <c r="M168" i="9"/>
  <c r="K169" i="9"/>
  <c r="L169" i="9"/>
  <c r="M169" i="9"/>
  <c r="K170" i="9"/>
  <c r="L170" i="9"/>
  <c r="M170" i="9"/>
  <c r="K171" i="9"/>
  <c r="L171" i="9"/>
  <c r="M171" i="9"/>
  <c r="K172" i="9"/>
  <c r="L172" i="9"/>
  <c r="M172" i="9"/>
  <c r="K173" i="9"/>
  <c r="L173" i="9"/>
  <c r="M173" i="9"/>
  <c r="K174" i="9"/>
  <c r="L174" i="9"/>
  <c r="M174" i="9"/>
  <c r="K175" i="9"/>
  <c r="L175" i="9"/>
  <c r="M175" i="9"/>
  <c r="K176" i="9"/>
  <c r="L176" i="9"/>
  <c r="M176" i="9"/>
  <c r="K177" i="9"/>
  <c r="L177" i="9"/>
  <c r="M177" i="9"/>
  <c r="K178" i="9"/>
  <c r="L178" i="9"/>
  <c r="M178" i="9"/>
  <c r="K179" i="9"/>
  <c r="L179" i="9"/>
  <c r="M179" i="9"/>
  <c r="K180" i="9"/>
  <c r="L180" i="9"/>
  <c r="M180" i="9"/>
  <c r="K181" i="9"/>
  <c r="L181" i="9"/>
  <c r="M181" i="9"/>
  <c r="K182" i="9"/>
  <c r="L182" i="9"/>
  <c r="M182" i="9"/>
  <c r="K183" i="9"/>
  <c r="L183" i="9"/>
  <c r="M183" i="9"/>
  <c r="K184" i="9"/>
  <c r="L184" i="9"/>
  <c r="M184" i="9"/>
  <c r="K185" i="9"/>
  <c r="L185" i="9"/>
  <c r="M185" i="9"/>
  <c r="K186" i="9"/>
  <c r="L186" i="9"/>
  <c r="M186" i="9"/>
  <c r="K187" i="9"/>
  <c r="L187" i="9"/>
  <c r="M187" i="9"/>
  <c r="K188" i="9"/>
  <c r="L188" i="9"/>
  <c r="M188" i="9"/>
  <c r="K189" i="9"/>
  <c r="L189" i="9"/>
  <c r="M189" i="9"/>
  <c r="K190" i="9"/>
  <c r="L190" i="9"/>
  <c r="M190" i="9"/>
  <c r="K191" i="9"/>
  <c r="L191" i="9"/>
  <c r="M191" i="9"/>
  <c r="K192" i="9"/>
  <c r="L192" i="9"/>
  <c r="M192" i="9"/>
  <c r="K193" i="9"/>
  <c r="L193" i="9"/>
  <c r="M193" i="9"/>
  <c r="K194" i="9"/>
  <c r="L194" i="9"/>
  <c r="M194" i="9"/>
  <c r="K195" i="9"/>
  <c r="L195" i="9"/>
  <c r="M195" i="9"/>
  <c r="K196" i="9"/>
  <c r="L196" i="9"/>
  <c r="M196" i="9"/>
  <c r="K197" i="9"/>
  <c r="L197" i="9"/>
  <c r="M197" i="9"/>
  <c r="K198" i="9"/>
  <c r="L198" i="9"/>
  <c r="M198" i="9"/>
  <c r="K199" i="9"/>
  <c r="L199" i="9"/>
  <c r="M199" i="9"/>
  <c r="K200" i="9"/>
  <c r="L200" i="9"/>
  <c r="M200" i="9"/>
  <c r="K201" i="9"/>
  <c r="L201" i="9"/>
  <c r="M201" i="9"/>
  <c r="K202" i="9"/>
  <c r="L202" i="9"/>
  <c r="M202" i="9"/>
  <c r="K203" i="9"/>
  <c r="L203" i="9"/>
  <c r="M203" i="9"/>
  <c r="K204" i="9"/>
  <c r="L204" i="9"/>
  <c r="M204" i="9"/>
  <c r="K205" i="9"/>
  <c r="L205" i="9"/>
  <c r="M205" i="9"/>
  <c r="K206" i="9"/>
  <c r="L206" i="9"/>
  <c r="M206" i="9"/>
  <c r="K207" i="9"/>
  <c r="L207" i="9"/>
  <c r="M207" i="9"/>
  <c r="K208" i="9"/>
  <c r="L208" i="9"/>
  <c r="M208" i="9"/>
  <c r="K209" i="9"/>
  <c r="L209" i="9"/>
  <c r="M209" i="9"/>
  <c r="K210" i="9"/>
  <c r="L210" i="9"/>
  <c r="M210" i="9"/>
  <c r="K211" i="9"/>
  <c r="L211" i="9"/>
  <c r="M211" i="9"/>
  <c r="K212" i="9"/>
  <c r="L212" i="9"/>
  <c r="M212" i="9"/>
  <c r="K213" i="9"/>
  <c r="L213" i="9"/>
  <c r="M213" i="9"/>
  <c r="K214" i="9"/>
  <c r="L214" i="9"/>
  <c r="M214" i="9"/>
  <c r="K215" i="9"/>
  <c r="L215" i="9"/>
  <c r="M215" i="9"/>
  <c r="K216" i="9"/>
  <c r="L216" i="9"/>
  <c r="M216" i="9"/>
  <c r="K217" i="9"/>
  <c r="L217" i="9"/>
  <c r="M217" i="9"/>
  <c r="K218" i="9"/>
  <c r="L218" i="9"/>
  <c r="M218" i="9"/>
  <c r="K219" i="9"/>
  <c r="L219" i="9"/>
  <c r="M219" i="9"/>
  <c r="K220" i="9"/>
  <c r="L220" i="9"/>
  <c r="M220" i="9"/>
  <c r="K221" i="9"/>
  <c r="L221" i="9"/>
  <c r="M221" i="9"/>
  <c r="K222" i="9"/>
  <c r="L222" i="9"/>
  <c r="M222" i="9"/>
  <c r="K223" i="9"/>
  <c r="L223" i="9"/>
  <c r="M223" i="9"/>
  <c r="K224" i="9"/>
  <c r="L224" i="9"/>
  <c r="M224" i="9"/>
  <c r="K225" i="9"/>
  <c r="L225" i="9"/>
  <c r="M225" i="9"/>
  <c r="K226" i="9"/>
  <c r="L226" i="9"/>
  <c r="M226" i="9"/>
  <c r="K227" i="9"/>
  <c r="L227" i="9"/>
  <c r="M227" i="9"/>
  <c r="K228" i="9"/>
  <c r="L228" i="9"/>
  <c r="M228" i="9"/>
  <c r="K229" i="9"/>
  <c r="L229" i="9"/>
  <c r="M229" i="9"/>
  <c r="K230" i="9"/>
  <c r="L230" i="9"/>
  <c r="M230" i="9"/>
  <c r="K231" i="9"/>
  <c r="L231" i="9"/>
  <c r="M231" i="9"/>
  <c r="K232" i="9"/>
  <c r="L232" i="9"/>
  <c r="M232" i="9"/>
  <c r="K233" i="9"/>
  <c r="L233" i="9"/>
  <c r="M233" i="9"/>
  <c r="K234" i="9"/>
  <c r="L234" i="9"/>
  <c r="M234" i="9"/>
  <c r="K235" i="9"/>
  <c r="L235" i="9"/>
  <c r="M235" i="9"/>
  <c r="K236" i="9"/>
  <c r="L236" i="9"/>
  <c r="M236" i="9"/>
  <c r="K237" i="9"/>
  <c r="L237" i="9"/>
  <c r="M237" i="9"/>
  <c r="K238" i="9"/>
  <c r="L238" i="9"/>
  <c r="M238" i="9"/>
  <c r="K239" i="9"/>
  <c r="L239" i="9"/>
  <c r="M239" i="9"/>
  <c r="K240" i="9"/>
  <c r="L240" i="9"/>
  <c r="M240" i="9"/>
  <c r="K241" i="9"/>
  <c r="L241" i="9"/>
  <c r="M241" i="9"/>
  <c r="K242" i="9"/>
  <c r="L242" i="9"/>
  <c r="M242" i="9"/>
  <c r="K243" i="9"/>
  <c r="L243" i="9"/>
  <c r="M243" i="9"/>
  <c r="K244" i="9"/>
  <c r="L244" i="9"/>
  <c r="M244" i="9"/>
  <c r="K245" i="9"/>
  <c r="L245" i="9"/>
  <c r="M245" i="9"/>
  <c r="K246" i="9"/>
  <c r="L246" i="9"/>
  <c r="M246" i="9"/>
  <c r="K247" i="9"/>
  <c r="L247" i="9"/>
  <c r="M247" i="9"/>
  <c r="K248" i="9"/>
  <c r="L248" i="9"/>
  <c r="M248" i="9"/>
  <c r="K249" i="9"/>
  <c r="L249" i="9"/>
  <c r="M249" i="9"/>
  <c r="K250" i="9"/>
  <c r="L250" i="9"/>
  <c r="M250" i="9"/>
  <c r="K251" i="9"/>
  <c r="L251" i="9"/>
  <c r="M251" i="9"/>
  <c r="K252" i="9"/>
  <c r="L252" i="9"/>
  <c r="M252" i="9"/>
  <c r="K253" i="9"/>
  <c r="L253" i="9"/>
  <c r="M253" i="9"/>
  <c r="K254" i="9"/>
  <c r="L254" i="9"/>
  <c r="M254" i="9"/>
  <c r="K255" i="9"/>
  <c r="L255" i="9"/>
  <c r="M255" i="9"/>
  <c r="K256" i="9"/>
  <c r="L256" i="9"/>
  <c r="M256" i="9"/>
  <c r="K257" i="9"/>
  <c r="L257" i="9"/>
  <c r="M257" i="9"/>
  <c r="K258" i="9"/>
  <c r="L258" i="9"/>
  <c r="M258" i="9"/>
  <c r="K259" i="9"/>
  <c r="L259" i="9"/>
  <c r="M259" i="9"/>
  <c r="K260" i="9"/>
  <c r="L260" i="9"/>
  <c r="M260" i="9"/>
  <c r="K261" i="9"/>
  <c r="L261" i="9"/>
  <c r="M261" i="9"/>
  <c r="K262" i="9"/>
  <c r="L262" i="9"/>
  <c r="M262" i="9"/>
  <c r="K263" i="9"/>
  <c r="L263" i="9"/>
  <c r="M263" i="9"/>
  <c r="K264" i="9"/>
  <c r="L264" i="9"/>
  <c r="M264" i="9"/>
  <c r="K265" i="9"/>
  <c r="L265" i="9"/>
  <c r="M265" i="9"/>
  <c r="K266" i="9"/>
  <c r="L266" i="9"/>
  <c r="M266" i="9"/>
  <c r="K267" i="9"/>
  <c r="L267" i="9"/>
  <c r="M267" i="9"/>
  <c r="K268" i="9"/>
  <c r="L268" i="9"/>
  <c r="M268" i="9"/>
  <c r="K269" i="9"/>
  <c r="L269" i="9"/>
  <c r="M269" i="9"/>
  <c r="K270" i="9"/>
  <c r="L270" i="9"/>
  <c r="M270" i="9"/>
  <c r="K271" i="9"/>
  <c r="L271" i="9"/>
  <c r="M271" i="9"/>
  <c r="K272" i="9"/>
  <c r="L272" i="9"/>
  <c r="M272" i="9"/>
  <c r="K273" i="9"/>
  <c r="L273" i="9"/>
  <c r="M273" i="9"/>
  <c r="K274" i="9"/>
  <c r="L274" i="9"/>
  <c r="M274" i="9"/>
  <c r="K275" i="9"/>
  <c r="L275" i="9"/>
  <c r="M275" i="9"/>
  <c r="K276" i="9"/>
  <c r="L276" i="9"/>
  <c r="M276" i="9"/>
  <c r="K277" i="9"/>
  <c r="L277" i="9"/>
  <c r="M277" i="9"/>
  <c r="K278" i="9"/>
  <c r="L278" i="9"/>
  <c r="M278" i="9"/>
  <c r="K279" i="9"/>
  <c r="L279" i="9"/>
  <c r="M279" i="9"/>
  <c r="K280" i="9"/>
  <c r="L280" i="9"/>
  <c r="M280" i="9"/>
  <c r="K281" i="9"/>
  <c r="L281" i="9"/>
  <c r="M281" i="9"/>
  <c r="K282" i="9"/>
  <c r="L282" i="9"/>
  <c r="M282" i="9"/>
  <c r="K283" i="9"/>
  <c r="L283" i="9"/>
  <c r="M283" i="9"/>
  <c r="K284" i="9"/>
  <c r="L284" i="9"/>
  <c r="M284" i="9"/>
  <c r="K285" i="9"/>
  <c r="L285" i="9"/>
  <c r="M285" i="9"/>
  <c r="K286" i="9"/>
  <c r="L286" i="9"/>
  <c r="M286" i="9"/>
  <c r="K287" i="9"/>
  <c r="L287" i="9"/>
  <c r="M287" i="9"/>
  <c r="K288" i="9"/>
  <c r="L288" i="9"/>
  <c r="M288" i="9"/>
  <c r="K289" i="9"/>
  <c r="L289" i="9"/>
  <c r="M289" i="9"/>
  <c r="K290" i="9"/>
  <c r="L290" i="9"/>
  <c r="M290" i="9"/>
  <c r="K291" i="9"/>
  <c r="L291" i="9"/>
  <c r="M291" i="9"/>
  <c r="K292" i="9"/>
  <c r="L292" i="9"/>
  <c r="M292" i="9"/>
  <c r="K293" i="9"/>
  <c r="L293" i="9"/>
  <c r="M293" i="9"/>
  <c r="K294" i="9"/>
  <c r="L294" i="9"/>
  <c r="M294" i="9"/>
  <c r="K295" i="9"/>
  <c r="L295" i="9"/>
  <c r="M295" i="9"/>
  <c r="K296" i="9"/>
  <c r="L296" i="9"/>
  <c r="M296" i="9"/>
  <c r="K297" i="9"/>
  <c r="L297" i="9"/>
  <c r="M297" i="9"/>
  <c r="K298" i="9"/>
  <c r="L298" i="9"/>
  <c r="M298" i="9"/>
  <c r="K299" i="9"/>
  <c r="L299" i="9"/>
  <c r="M299" i="9"/>
  <c r="K300" i="9"/>
  <c r="L300" i="9"/>
  <c r="M300" i="9"/>
  <c r="K301" i="9"/>
  <c r="L301" i="9"/>
  <c r="M301" i="9"/>
  <c r="K302" i="9"/>
  <c r="L302" i="9"/>
  <c r="M302" i="9"/>
  <c r="K303" i="9"/>
  <c r="L303" i="9"/>
  <c r="M303" i="9"/>
  <c r="K304" i="9"/>
  <c r="L304" i="9"/>
  <c r="M304" i="9"/>
  <c r="K305" i="9"/>
  <c r="L305" i="9"/>
  <c r="M305" i="9"/>
  <c r="K306" i="9"/>
  <c r="L306" i="9"/>
  <c r="M306" i="9"/>
  <c r="K307" i="9"/>
  <c r="L307" i="9"/>
  <c r="M307" i="9"/>
  <c r="K308" i="9"/>
  <c r="L308" i="9"/>
  <c r="M308" i="9"/>
  <c r="K309" i="9"/>
  <c r="L309" i="9"/>
  <c r="M309" i="9"/>
  <c r="K310" i="9"/>
  <c r="L310" i="9"/>
  <c r="M310" i="9"/>
  <c r="K311" i="9"/>
  <c r="L311" i="9"/>
  <c r="M311" i="9"/>
  <c r="K312" i="9"/>
  <c r="L312" i="9"/>
  <c r="M312" i="9"/>
  <c r="K313" i="9"/>
  <c r="L313" i="9"/>
  <c r="M313" i="9"/>
  <c r="K314" i="9"/>
  <c r="L314" i="9"/>
  <c r="M314" i="9"/>
  <c r="K315" i="9"/>
  <c r="L315" i="9"/>
  <c r="M315" i="9"/>
  <c r="K316" i="9"/>
  <c r="L316" i="9"/>
  <c r="M316" i="9"/>
  <c r="K317" i="9"/>
  <c r="L317" i="9"/>
  <c r="M317" i="9"/>
  <c r="K318" i="9"/>
  <c r="L318" i="9"/>
  <c r="M318" i="9"/>
  <c r="K319" i="9"/>
  <c r="L319" i="9"/>
  <c r="M319" i="9"/>
  <c r="K320" i="9"/>
  <c r="L320" i="9"/>
  <c r="M320" i="9"/>
  <c r="K321" i="9"/>
  <c r="L321" i="9"/>
  <c r="M321" i="9"/>
  <c r="K322" i="9"/>
  <c r="L322" i="9"/>
  <c r="M322" i="9"/>
  <c r="K323" i="9"/>
  <c r="L323" i="9"/>
  <c r="M323" i="9"/>
  <c r="K324" i="9"/>
  <c r="L324" i="9"/>
  <c r="M324" i="9"/>
  <c r="K325" i="9"/>
  <c r="L325" i="9"/>
  <c r="M325" i="9"/>
  <c r="K326" i="9"/>
  <c r="L326" i="9"/>
  <c r="M326" i="9"/>
  <c r="K327" i="9"/>
  <c r="L327" i="9"/>
  <c r="M327" i="9"/>
  <c r="K328" i="9"/>
  <c r="L328" i="9"/>
  <c r="M328" i="9"/>
  <c r="K329" i="9"/>
  <c r="L329" i="9"/>
  <c r="M329" i="9"/>
  <c r="K330" i="9"/>
  <c r="L330" i="9"/>
  <c r="M330" i="9"/>
  <c r="K331" i="9"/>
  <c r="L331" i="9"/>
  <c r="M331" i="9"/>
  <c r="K332" i="9"/>
  <c r="L332" i="9"/>
  <c r="M332" i="9"/>
  <c r="K333" i="9"/>
  <c r="L333" i="9"/>
  <c r="M333" i="9"/>
  <c r="K334" i="9"/>
  <c r="L334" i="9"/>
  <c r="M334" i="9"/>
  <c r="K335" i="9"/>
  <c r="L335" i="9"/>
  <c r="M335" i="9"/>
  <c r="K336" i="9"/>
  <c r="L336" i="9"/>
  <c r="M336" i="9"/>
  <c r="K337" i="9"/>
  <c r="L337" i="9"/>
  <c r="M337" i="9"/>
  <c r="K338" i="9"/>
  <c r="L338" i="9"/>
  <c r="M338" i="9"/>
  <c r="K339" i="9"/>
  <c r="L339" i="9"/>
  <c r="M339" i="9"/>
  <c r="K340" i="9"/>
  <c r="L340" i="9"/>
  <c r="M340" i="9"/>
  <c r="K341" i="9"/>
  <c r="L341" i="9"/>
  <c r="M341" i="9"/>
  <c r="K342" i="9"/>
  <c r="L342" i="9"/>
  <c r="M342" i="9"/>
  <c r="K343" i="9"/>
  <c r="L343" i="9"/>
  <c r="M343" i="9"/>
  <c r="K344" i="9"/>
  <c r="L344" i="9"/>
  <c r="M344" i="9"/>
  <c r="K345" i="9"/>
  <c r="L345" i="9"/>
  <c r="M345" i="9"/>
  <c r="K346" i="9"/>
  <c r="L346" i="9"/>
  <c r="M346" i="9"/>
  <c r="K347" i="9"/>
  <c r="L347" i="9"/>
  <c r="M347" i="9"/>
  <c r="K348" i="9"/>
  <c r="L348" i="9"/>
  <c r="M348" i="9"/>
  <c r="K349" i="9"/>
  <c r="L349" i="9"/>
  <c r="M349" i="9"/>
  <c r="K350" i="9"/>
  <c r="L350" i="9"/>
  <c r="M350" i="9"/>
  <c r="K351" i="9"/>
  <c r="L351" i="9"/>
  <c r="M351" i="9"/>
  <c r="K352" i="9"/>
  <c r="L352" i="9"/>
  <c r="M352" i="9"/>
  <c r="K353" i="9"/>
  <c r="L353" i="9"/>
  <c r="M353" i="9"/>
  <c r="K354" i="9"/>
  <c r="L354" i="9"/>
  <c r="M354" i="9"/>
  <c r="K355" i="9"/>
  <c r="L355" i="9"/>
  <c r="M355" i="9"/>
  <c r="K356" i="9"/>
  <c r="L356" i="9"/>
  <c r="M356" i="9"/>
  <c r="K357" i="9"/>
  <c r="L357" i="9"/>
  <c r="M357" i="9"/>
  <c r="K358" i="9"/>
  <c r="L358" i="9"/>
  <c r="M358" i="9"/>
  <c r="K359" i="9"/>
  <c r="L359" i="9"/>
  <c r="M359" i="9"/>
  <c r="K360" i="9"/>
  <c r="L360" i="9"/>
  <c r="M360" i="9"/>
  <c r="K361" i="9"/>
  <c r="L361" i="9"/>
  <c r="M361" i="9"/>
  <c r="K362" i="9"/>
  <c r="L362" i="9"/>
  <c r="M362" i="9"/>
  <c r="K363" i="9"/>
  <c r="L363" i="9"/>
  <c r="M363" i="9"/>
  <c r="K364" i="9"/>
  <c r="L364" i="9"/>
  <c r="M364" i="9"/>
  <c r="K365" i="9"/>
  <c r="L365" i="9"/>
  <c r="M365" i="9"/>
  <c r="K366" i="9"/>
  <c r="L366" i="9"/>
  <c r="M366" i="9"/>
  <c r="K367" i="9"/>
  <c r="L367" i="9"/>
  <c r="M367" i="9"/>
  <c r="K368" i="9"/>
  <c r="L368" i="9"/>
  <c r="M368" i="9"/>
  <c r="K369" i="9"/>
  <c r="L369" i="9"/>
  <c r="M369" i="9"/>
  <c r="K370" i="9"/>
  <c r="L370" i="9"/>
  <c r="M370" i="9"/>
  <c r="K371" i="9"/>
  <c r="L371" i="9"/>
  <c r="M371" i="9"/>
  <c r="K372" i="9"/>
  <c r="L372" i="9"/>
  <c r="M372" i="9"/>
  <c r="K373" i="9"/>
  <c r="L373" i="9"/>
  <c r="M373" i="9"/>
  <c r="K374" i="9"/>
  <c r="L374" i="9"/>
  <c r="M374" i="9"/>
  <c r="K375" i="9"/>
  <c r="L375" i="9"/>
  <c r="M375" i="9"/>
  <c r="K376" i="9"/>
  <c r="L376" i="9"/>
  <c r="M376" i="9"/>
  <c r="K377" i="9"/>
  <c r="L377" i="9"/>
  <c r="M377" i="9"/>
  <c r="K378" i="9"/>
  <c r="L378" i="9"/>
  <c r="M378" i="9"/>
  <c r="K379" i="9"/>
  <c r="L379" i="9"/>
  <c r="M379" i="9"/>
  <c r="K380" i="9"/>
  <c r="L380" i="9"/>
  <c r="M380" i="9"/>
  <c r="K381" i="9"/>
  <c r="L381" i="9"/>
  <c r="M381" i="9"/>
  <c r="K382" i="9"/>
  <c r="L382" i="9"/>
  <c r="M382" i="9"/>
  <c r="K383" i="9"/>
  <c r="L383" i="9"/>
  <c r="M383" i="9"/>
  <c r="K384" i="9"/>
  <c r="L384" i="9"/>
  <c r="M384" i="9"/>
  <c r="K385" i="9"/>
  <c r="L385" i="9"/>
  <c r="M385" i="9"/>
  <c r="K386" i="9"/>
  <c r="L386" i="9"/>
  <c r="M386" i="9"/>
  <c r="K387" i="9"/>
  <c r="L387" i="9"/>
  <c r="M387" i="9"/>
  <c r="K388" i="9"/>
  <c r="L388" i="9"/>
  <c r="M388" i="9"/>
  <c r="K389" i="9"/>
  <c r="L389" i="9"/>
  <c r="M389" i="9"/>
  <c r="K390" i="9"/>
  <c r="L390" i="9"/>
  <c r="M390" i="9"/>
  <c r="K391" i="9"/>
  <c r="L391" i="9"/>
  <c r="M391" i="9"/>
  <c r="K392" i="9"/>
  <c r="L392" i="9"/>
  <c r="M392" i="9"/>
  <c r="K393" i="9"/>
  <c r="L393" i="9"/>
  <c r="M393" i="9"/>
  <c r="K394" i="9"/>
  <c r="L394" i="9"/>
  <c r="M394" i="9"/>
  <c r="K395" i="9"/>
  <c r="L395" i="9"/>
  <c r="M395" i="9"/>
  <c r="K396" i="9"/>
  <c r="L396" i="9"/>
  <c r="M396" i="9"/>
  <c r="K397" i="9"/>
  <c r="L397" i="9"/>
  <c r="M397" i="9"/>
  <c r="K398" i="9"/>
  <c r="L398" i="9"/>
  <c r="M398" i="9"/>
  <c r="K399" i="9"/>
  <c r="L399" i="9"/>
  <c r="M399" i="9"/>
  <c r="K400" i="9"/>
  <c r="L400" i="9"/>
  <c r="M400" i="9"/>
  <c r="K401" i="9"/>
  <c r="L401" i="9"/>
  <c r="M401" i="9"/>
  <c r="K402" i="9"/>
  <c r="L402" i="9"/>
  <c r="M402" i="9"/>
  <c r="K403" i="9"/>
  <c r="L403" i="9"/>
  <c r="M403" i="9"/>
  <c r="K404" i="9"/>
  <c r="L404" i="9"/>
  <c r="M404" i="9"/>
  <c r="K405" i="9"/>
  <c r="L405" i="9"/>
  <c r="M405" i="9"/>
  <c r="K406" i="9"/>
  <c r="L406" i="9"/>
  <c r="M406" i="9"/>
  <c r="K407" i="9"/>
  <c r="L407" i="9"/>
  <c r="M407" i="9"/>
  <c r="K408" i="9"/>
  <c r="L408" i="9"/>
  <c r="M408" i="9"/>
  <c r="K409" i="9"/>
  <c r="L409" i="9"/>
  <c r="M409" i="9"/>
  <c r="K410" i="9"/>
  <c r="L410" i="9"/>
  <c r="M410" i="9"/>
  <c r="K411" i="9"/>
  <c r="L411" i="9"/>
  <c r="M411" i="9"/>
  <c r="K412" i="9"/>
  <c r="L412" i="9"/>
  <c r="M412" i="9"/>
  <c r="K413" i="9"/>
  <c r="L413" i="9"/>
  <c r="M413" i="9"/>
  <c r="K414" i="9"/>
  <c r="L414" i="9"/>
  <c r="M414" i="9"/>
  <c r="K415" i="9"/>
  <c r="L415" i="9"/>
  <c r="M415" i="9"/>
  <c r="K416" i="9"/>
  <c r="L416" i="9"/>
  <c r="M416" i="9"/>
  <c r="K417" i="9"/>
  <c r="L417" i="9"/>
  <c r="M417" i="9"/>
  <c r="K418" i="9"/>
  <c r="L418" i="9"/>
  <c r="M418" i="9"/>
  <c r="K419" i="9"/>
  <c r="L419" i="9"/>
  <c r="M419" i="9"/>
  <c r="K420" i="9"/>
  <c r="L420" i="9"/>
  <c r="M420" i="9"/>
  <c r="K421" i="9"/>
  <c r="L421" i="9"/>
  <c r="M421" i="9"/>
  <c r="K422" i="9"/>
  <c r="L422" i="9"/>
  <c r="M422" i="9"/>
  <c r="K423" i="9"/>
  <c r="L423" i="9"/>
  <c r="M423" i="9"/>
  <c r="K424" i="9"/>
  <c r="L424" i="9"/>
  <c r="M424" i="9"/>
  <c r="K425" i="9"/>
  <c r="L425" i="9"/>
  <c r="M425" i="9"/>
  <c r="K426" i="9"/>
  <c r="L426" i="9"/>
  <c r="M426" i="9"/>
  <c r="K427" i="9"/>
  <c r="L427" i="9"/>
  <c r="M427" i="9"/>
  <c r="K428" i="9"/>
  <c r="L428" i="9"/>
  <c r="M428" i="9"/>
  <c r="K429" i="9"/>
  <c r="L429" i="9"/>
  <c r="M429" i="9"/>
  <c r="K430" i="9"/>
  <c r="L430" i="9"/>
  <c r="M430" i="9"/>
  <c r="K431" i="9"/>
  <c r="L431" i="9"/>
  <c r="M431" i="9"/>
  <c r="K432" i="9"/>
  <c r="L432" i="9"/>
  <c r="M432" i="9"/>
  <c r="K433" i="9"/>
  <c r="L433" i="9"/>
  <c r="M433" i="9"/>
  <c r="K434" i="9"/>
  <c r="L434" i="9"/>
  <c r="M434" i="9"/>
  <c r="K435" i="9"/>
  <c r="L435" i="9"/>
  <c r="M435" i="9"/>
  <c r="K436" i="9"/>
  <c r="L436" i="9"/>
  <c r="M436" i="9"/>
  <c r="K437" i="9"/>
  <c r="L437" i="9"/>
  <c r="M437" i="9"/>
  <c r="K438" i="9"/>
  <c r="L438" i="9"/>
  <c r="M438" i="9"/>
  <c r="K439" i="9"/>
  <c r="L439" i="9"/>
  <c r="M439" i="9"/>
  <c r="K440" i="9"/>
  <c r="L440" i="9"/>
  <c r="M440" i="9"/>
  <c r="K441" i="9"/>
  <c r="L441" i="9"/>
  <c r="M441" i="9"/>
  <c r="K442" i="9"/>
  <c r="L442" i="9"/>
  <c r="M442" i="9"/>
  <c r="K443" i="9"/>
  <c r="L443" i="9"/>
  <c r="M443" i="9"/>
  <c r="K444" i="9"/>
  <c r="L444" i="9"/>
  <c r="M444" i="9"/>
  <c r="K445" i="9"/>
  <c r="L445" i="9"/>
  <c r="M445" i="9"/>
  <c r="K446" i="9"/>
  <c r="L446" i="9"/>
  <c r="M446" i="9"/>
  <c r="K447" i="9"/>
  <c r="L447" i="9"/>
  <c r="M447" i="9"/>
  <c r="K448" i="9"/>
  <c r="L448" i="9"/>
  <c r="M448" i="9"/>
  <c r="K449" i="9"/>
  <c r="L449" i="9"/>
  <c r="M449" i="9"/>
  <c r="K450" i="9"/>
  <c r="L450" i="9"/>
  <c r="M450" i="9"/>
  <c r="K451" i="9"/>
  <c r="L451" i="9"/>
  <c r="M451" i="9"/>
  <c r="K452" i="9"/>
  <c r="L452" i="9"/>
  <c r="M452" i="9"/>
  <c r="K453" i="9"/>
  <c r="L453" i="9"/>
  <c r="M453" i="9"/>
  <c r="K454" i="9"/>
  <c r="L454" i="9"/>
  <c r="M454" i="9"/>
  <c r="K455" i="9"/>
  <c r="L455" i="9"/>
  <c r="M455" i="9"/>
  <c r="K456" i="9"/>
  <c r="L456" i="9"/>
  <c r="M456" i="9"/>
  <c r="K457" i="9"/>
  <c r="L457" i="9"/>
  <c r="M457" i="9"/>
  <c r="K458" i="9"/>
  <c r="L458" i="9"/>
  <c r="M458" i="9"/>
  <c r="K459" i="9"/>
  <c r="L459" i="9"/>
  <c r="M459" i="9"/>
  <c r="K460" i="9"/>
  <c r="L460" i="9"/>
  <c r="M460" i="9"/>
  <c r="K461" i="9"/>
  <c r="L461" i="9"/>
  <c r="M461" i="9"/>
  <c r="K462" i="9"/>
  <c r="L462" i="9"/>
  <c r="M462" i="9"/>
  <c r="K463" i="9"/>
  <c r="L463" i="9"/>
  <c r="M463" i="9"/>
  <c r="K464" i="9"/>
  <c r="L464" i="9"/>
  <c r="M464" i="9"/>
  <c r="K465" i="9"/>
  <c r="L465" i="9"/>
  <c r="M465" i="9"/>
  <c r="K466" i="9"/>
  <c r="L466" i="9"/>
  <c r="M466" i="9"/>
  <c r="K467" i="9"/>
  <c r="L467" i="9"/>
  <c r="M467" i="9"/>
  <c r="K468" i="9"/>
  <c r="L468" i="9"/>
  <c r="M468" i="9"/>
  <c r="K469" i="9"/>
  <c r="L469" i="9"/>
  <c r="M469" i="9"/>
  <c r="K470" i="9"/>
  <c r="L470" i="9"/>
  <c r="M470" i="9"/>
  <c r="K471" i="9"/>
  <c r="L471" i="9"/>
  <c r="M471" i="9"/>
  <c r="K472" i="9"/>
  <c r="L472" i="9"/>
  <c r="M472" i="9"/>
  <c r="K473" i="9"/>
  <c r="L473" i="9"/>
  <c r="M473" i="9"/>
  <c r="K474" i="9"/>
  <c r="L474" i="9"/>
  <c r="M474" i="9"/>
  <c r="K475" i="9"/>
  <c r="L475" i="9"/>
  <c r="M475" i="9"/>
  <c r="K476" i="9"/>
  <c r="L476" i="9"/>
  <c r="M476" i="9"/>
  <c r="K477" i="9"/>
  <c r="L477" i="9"/>
  <c r="M477" i="9"/>
  <c r="K478" i="9"/>
  <c r="L478" i="9"/>
  <c r="M478" i="9"/>
  <c r="K479" i="9"/>
  <c r="L479" i="9"/>
  <c r="M479" i="9"/>
  <c r="K480" i="9"/>
  <c r="L480" i="9"/>
  <c r="M480" i="9"/>
  <c r="K481" i="9"/>
  <c r="L481" i="9"/>
  <c r="M481" i="9"/>
  <c r="K482" i="9"/>
  <c r="L482" i="9"/>
  <c r="M482" i="9"/>
  <c r="K483" i="9"/>
  <c r="L483" i="9"/>
  <c r="M483" i="9"/>
  <c r="K484" i="9"/>
  <c r="L484" i="9"/>
  <c r="M484" i="9"/>
  <c r="K485" i="9"/>
  <c r="L485" i="9"/>
  <c r="M485" i="9"/>
  <c r="K486" i="9"/>
  <c r="L486" i="9"/>
  <c r="M486" i="9"/>
  <c r="K487" i="9"/>
  <c r="L487" i="9"/>
  <c r="M487" i="9"/>
  <c r="K488" i="9"/>
  <c r="L488" i="9"/>
  <c r="M488" i="9"/>
  <c r="K489" i="9"/>
  <c r="L489" i="9"/>
  <c r="M489" i="9"/>
  <c r="K490" i="9"/>
  <c r="L490" i="9"/>
  <c r="M490" i="9"/>
  <c r="K491" i="9"/>
  <c r="L491" i="9"/>
  <c r="M491" i="9"/>
  <c r="K492" i="9"/>
  <c r="L492" i="9"/>
  <c r="M492" i="9"/>
  <c r="K493" i="9"/>
  <c r="L493" i="9"/>
  <c r="M493" i="9"/>
  <c r="K494" i="9"/>
  <c r="L494" i="9"/>
  <c r="M494" i="9"/>
  <c r="K495" i="9"/>
  <c r="L495" i="9"/>
  <c r="M495" i="9"/>
  <c r="K496" i="9"/>
  <c r="L496" i="9"/>
  <c r="M496" i="9"/>
  <c r="K497" i="9"/>
  <c r="L497" i="9"/>
  <c r="M497" i="9"/>
  <c r="K498" i="9"/>
  <c r="L498" i="9"/>
  <c r="M498" i="9"/>
  <c r="K499" i="9"/>
  <c r="L499" i="9"/>
  <c r="M499" i="9"/>
  <c r="K500" i="9"/>
  <c r="L500" i="9"/>
  <c r="M500" i="9"/>
  <c r="K501" i="9"/>
  <c r="L501" i="9"/>
  <c r="M501" i="9"/>
  <c r="K502" i="9"/>
  <c r="L502" i="9"/>
  <c r="M502" i="9"/>
  <c r="K503" i="9"/>
  <c r="L503" i="9"/>
  <c r="M503" i="9"/>
  <c r="K504" i="9"/>
  <c r="L504" i="9"/>
  <c r="M504" i="9"/>
  <c r="K505" i="9"/>
  <c r="L505" i="9"/>
  <c r="M505" i="9"/>
  <c r="K506" i="9"/>
  <c r="L506" i="9"/>
  <c r="M506" i="9"/>
  <c r="K507" i="9"/>
  <c r="L507" i="9"/>
  <c r="M507" i="9"/>
  <c r="K508" i="9"/>
  <c r="L508" i="9"/>
  <c r="M508" i="9"/>
  <c r="K509" i="9"/>
  <c r="L509" i="9"/>
  <c r="M509" i="9"/>
  <c r="K510" i="9"/>
  <c r="L510" i="9"/>
  <c r="M510" i="9"/>
  <c r="K511" i="9"/>
  <c r="L511" i="9"/>
  <c r="M511" i="9"/>
  <c r="K512" i="9"/>
  <c r="L512" i="9"/>
  <c r="M512" i="9"/>
  <c r="K513" i="9"/>
  <c r="L513" i="9"/>
  <c r="M513" i="9"/>
  <c r="K514" i="9"/>
  <c r="L514" i="9"/>
  <c r="M514" i="9"/>
  <c r="K515" i="9"/>
  <c r="L515" i="9"/>
  <c r="M515" i="9"/>
  <c r="K516" i="9"/>
  <c r="L516" i="9"/>
  <c r="M516" i="9"/>
  <c r="K517" i="9"/>
  <c r="L517" i="9"/>
  <c r="M517" i="9"/>
  <c r="K518" i="9"/>
  <c r="L518" i="9"/>
  <c r="M518" i="9"/>
  <c r="K519" i="9"/>
  <c r="L519" i="9"/>
  <c r="M519" i="9"/>
  <c r="K520" i="9"/>
  <c r="L520" i="9"/>
  <c r="M520" i="9"/>
  <c r="K521" i="9"/>
  <c r="L521" i="9"/>
  <c r="M521" i="9"/>
  <c r="K522" i="9"/>
  <c r="L522" i="9"/>
  <c r="M522" i="9"/>
  <c r="K523" i="9"/>
  <c r="L523" i="9"/>
  <c r="M523" i="9"/>
  <c r="K524" i="9"/>
  <c r="L524" i="9"/>
  <c r="M524" i="9"/>
  <c r="K525" i="9"/>
  <c r="L525" i="9"/>
  <c r="M525" i="9"/>
  <c r="K526" i="9"/>
  <c r="L526" i="9"/>
  <c r="M526" i="9"/>
  <c r="K527" i="9"/>
  <c r="L527" i="9"/>
  <c r="M527" i="9"/>
  <c r="K528" i="9"/>
  <c r="L528" i="9"/>
  <c r="M528" i="9"/>
  <c r="K529" i="9"/>
  <c r="L529" i="9"/>
  <c r="M529" i="9"/>
  <c r="K530" i="9"/>
  <c r="L530" i="9"/>
  <c r="M530" i="9"/>
  <c r="K531" i="9"/>
  <c r="L531" i="9"/>
  <c r="M531" i="9"/>
  <c r="K532" i="9"/>
  <c r="L532" i="9"/>
  <c r="M532" i="9"/>
  <c r="K533" i="9"/>
  <c r="L533" i="9"/>
  <c r="M533" i="9"/>
  <c r="K534" i="9"/>
  <c r="L534" i="9"/>
  <c r="M534" i="9"/>
  <c r="K535" i="9"/>
  <c r="L535" i="9"/>
  <c r="M535" i="9"/>
  <c r="K536" i="9"/>
  <c r="L536" i="9"/>
  <c r="M536" i="9"/>
  <c r="K537" i="9"/>
  <c r="L537" i="9"/>
  <c r="M537" i="9"/>
  <c r="K538" i="9"/>
  <c r="L538" i="9"/>
  <c r="M538" i="9"/>
  <c r="K539" i="9"/>
  <c r="L539" i="9"/>
  <c r="M539" i="9"/>
  <c r="K540" i="9"/>
  <c r="L540" i="9"/>
  <c r="M540" i="9"/>
  <c r="K541" i="9"/>
  <c r="L541" i="9"/>
  <c r="M541" i="9"/>
  <c r="K542" i="9"/>
  <c r="L542" i="9"/>
  <c r="M542" i="9"/>
  <c r="K543" i="9"/>
  <c r="L543" i="9"/>
  <c r="M543" i="9"/>
  <c r="K544" i="9"/>
  <c r="L544" i="9"/>
  <c r="M544" i="9"/>
  <c r="K545" i="9"/>
  <c r="L545" i="9"/>
  <c r="M545" i="9"/>
  <c r="K546" i="9"/>
  <c r="L546" i="9"/>
  <c r="M546" i="9"/>
  <c r="K547" i="9"/>
  <c r="L547" i="9"/>
  <c r="M547" i="9"/>
  <c r="K548" i="9"/>
  <c r="L548" i="9"/>
  <c r="M548" i="9"/>
  <c r="K549" i="9"/>
  <c r="L549" i="9"/>
  <c r="M549" i="9"/>
  <c r="K550" i="9"/>
  <c r="L550" i="9"/>
  <c r="M550" i="9"/>
  <c r="K551" i="9"/>
  <c r="L551" i="9"/>
  <c r="M551" i="9"/>
  <c r="K552" i="9"/>
  <c r="L552" i="9"/>
  <c r="M552" i="9"/>
  <c r="K553" i="9"/>
  <c r="L553" i="9"/>
  <c r="M553" i="9"/>
  <c r="K554" i="9"/>
  <c r="L554" i="9"/>
  <c r="M554" i="9"/>
  <c r="K555" i="9"/>
  <c r="L555" i="9"/>
  <c r="M555" i="9"/>
  <c r="K556" i="9"/>
  <c r="L556" i="9"/>
  <c r="M556" i="9"/>
  <c r="K557" i="9"/>
  <c r="L557" i="9"/>
  <c r="M557" i="9"/>
  <c r="K558" i="9"/>
  <c r="L558" i="9"/>
  <c r="M558" i="9"/>
  <c r="K559" i="9"/>
  <c r="L559" i="9"/>
  <c r="M559" i="9"/>
  <c r="K560" i="9"/>
  <c r="L560" i="9"/>
  <c r="M560" i="9"/>
  <c r="K561" i="9"/>
  <c r="L561" i="9"/>
  <c r="M561" i="9"/>
  <c r="K562" i="9"/>
  <c r="L562" i="9"/>
  <c r="M562" i="9"/>
  <c r="K563" i="9"/>
  <c r="L563" i="9"/>
  <c r="M563" i="9"/>
  <c r="K564" i="9"/>
  <c r="L564" i="9"/>
  <c r="M564" i="9"/>
  <c r="K565" i="9"/>
  <c r="L565" i="9"/>
  <c r="M565" i="9"/>
  <c r="K566" i="9"/>
  <c r="L566" i="9"/>
  <c r="M566" i="9"/>
  <c r="K567" i="9"/>
  <c r="L567" i="9"/>
  <c r="M567" i="9"/>
  <c r="K568" i="9"/>
  <c r="L568" i="9"/>
  <c r="M568" i="9"/>
  <c r="K569" i="9"/>
  <c r="L569" i="9"/>
  <c r="M569" i="9"/>
  <c r="K570" i="9"/>
  <c r="L570" i="9"/>
  <c r="M570" i="9"/>
  <c r="K571" i="9"/>
  <c r="L571" i="9"/>
  <c r="M571" i="9"/>
  <c r="K572" i="9"/>
  <c r="L572" i="9"/>
  <c r="M572" i="9"/>
  <c r="K573" i="9"/>
  <c r="L573" i="9"/>
  <c r="M573" i="9"/>
  <c r="K574" i="9"/>
  <c r="L574" i="9"/>
  <c r="M574" i="9"/>
  <c r="K575" i="9"/>
  <c r="L575" i="9"/>
  <c r="M575" i="9"/>
  <c r="K576" i="9"/>
  <c r="L576" i="9"/>
  <c r="M576" i="9"/>
  <c r="K577" i="9"/>
  <c r="L577" i="9"/>
  <c r="M577" i="9"/>
  <c r="K578" i="9"/>
  <c r="L578" i="9"/>
  <c r="M578" i="9"/>
  <c r="K579" i="9"/>
  <c r="L579" i="9"/>
  <c r="M579" i="9"/>
  <c r="K580" i="9"/>
  <c r="L580" i="9"/>
  <c r="M580" i="9"/>
  <c r="K581" i="9"/>
  <c r="L581" i="9"/>
  <c r="M581" i="9"/>
  <c r="K582" i="9"/>
  <c r="L582" i="9"/>
  <c r="M582" i="9"/>
  <c r="K583" i="9"/>
  <c r="L583" i="9"/>
  <c r="M583" i="9"/>
  <c r="K584" i="9"/>
  <c r="L584" i="9"/>
  <c r="M584" i="9"/>
  <c r="K585" i="9"/>
  <c r="L585" i="9"/>
  <c r="M585" i="9"/>
  <c r="K586" i="9"/>
  <c r="L586" i="9"/>
  <c r="M586" i="9"/>
  <c r="K587" i="9"/>
  <c r="L587" i="9"/>
  <c r="M587" i="9"/>
  <c r="K588" i="9"/>
  <c r="L588" i="9"/>
  <c r="M588" i="9"/>
  <c r="K589" i="9"/>
  <c r="L589" i="9"/>
  <c r="M589" i="9"/>
  <c r="K590" i="9"/>
  <c r="L590" i="9"/>
  <c r="M590" i="9"/>
  <c r="K591" i="9"/>
  <c r="L591" i="9"/>
  <c r="M591" i="9"/>
  <c r="K592" i="9"/>
  <c r="L592" i="9"/>
  <c r="M592" i="9"/>
  <c r="K593" i="9"/>
  <c r="L593" i="9"/>
  <c r="M593" i="9"/>
  <c r="K594" i="9"/>
  <c r="L594" i="9"/>
  <c r="M594" i="9"/>
  <c r="K595" i="9"/>
  <c r="L595" i="9"/>
  <c r="M595" i="9"/>
  <c r="K596" i="9"/>
  <c r="L596" i="9"/>
  <c r="M596" i="9"/>
  <c r="K597" i="9"/>
  <c r="L597" i="9"/>
  <c r="M597" i="9"/>
  <c r="K598" i="9"/>
  <c r="L598" i="9"/>
  <c r="M598" i="9"/>
  <c r="K599" i="9"/>
  <c r="L599" i="9"/>
  <c r="M599" i="9"/>
  <c r="K600" i="9"/>
  <c r="L600" i="9"/>
  <c r="M600" i="9"/>
  <c r="K601" i="9"/>
  <c r="L601" i="9"/>
  <c r="M601" i="9"/>
  <c r="K602" i="9"/>
  <c r="L602" i="9"/>
  <c r="M602" i="9"/>
  <c r="K603" i="9"/>
  <c r="L603" i="9"/>
  <c r="M603" i="9"/>
  <c r="K604" i="9"/>
  <c r="L604" i="9"/>
  <c r="M604" i="9"/>
  <c r="K605" i="9"/>
  <c r="L605" i="9"/>
  <c r="M605" i="9"/>
  <c r="K606" i="9"/>
  <c r="L606" i="9"/>
  <c r="M606" i="9"/>
  <c r="K607" i="9"/>
  <c r="L607" i="9"/>
  <c r="M607" i="9"/>
  <c r="K608" i="9"/>
  <c r="L608" i="9"/>
  <c r="M608" i="9"/>
  <c r="K609" i="9"/>
  <c r="L609" i="9"/>
  <c r="M609" i="9"/>
  <c r="K610" i="9"/>
  <c r="L610" i="9"/>
  <c r="M610" i="9"/>
  <c r="K611" i="9"/>
  <c r="L611" i="9"/>
  <c r="M611" i="9"/>
  <c r="K612" i="9"/>
  <c r="L612" i="9"/>
  <c r="M612" i="9"/>
  <c r="K613" i="9"/>
  <c r="L613" i="9"/>
  <c r="M613" i="9"/>
  <c r="K614" i="9"/>
  <c r="L614" i="9"/>
  <c r="M614" i="9"/>
  <c r="K615" i="9"/>
  <c r="L615" i="9"/>
  <c r="M615" i="9"/>
  <c r="K616" i="9"/>
  <c r="L616" i="9"/>
  <c r="M616" i="9"/>
  <c r="K617" i="9"/>
  <c r="L617" i="9"/>
  <c r="M617" i="9"/>
  <c r="K618" i="9"/>
  <c r="L618" i="9"/>
  <c r="M618" i="9"/>
  <c r="K619" i="9"/>
  <c r="L619" i="9"/>
  <c r="M619" i="9"/>
  <c r="K620" i="9"/>
  <c r="L620" i="9"/>
  <c r="M620" i="9"/>
  <c r="K621" i="9"/>
  <c r="L621" i="9"/>
  <c r="M621" i="9"/>
  <c r="K622" i="9"/>
  <c r="L622" i="9"/>
  <c r="M622" i="9"/>
  <c r="K623" i="9"/>
  <c r="L623" i="9"/>
  <c r="M623" i="9"/>
  <c r="K624" i="9"/>
  <c r="L624" i="9"/>
  <c r="M624" i="9"/>
  <c r="K625" i="9"/>
  <c r="L625" i="9"/>
  <c r="M625" i="9"/>
  <c r="K626" i="9"/>
  <c r="L626" i="9"/>
  <c r="M626" i="9"/>
  <c r="K627" i="9"/>
  <c r="L627" i="9"/>
  <c r="M627" i="9"/>
  <c r="K628" i="9"/>
  <c r="L628" i="9"/>
  <c r="M628" i="9"/>
  <c r="K629" i="9"/>
  <c r="L629" i="9"/>
  <c r="M629" i="9"/>
  <c r="K630" i="9"/>
  <c r="L630" i="9"/>
  <c r="M630" i="9"/>
  <c r="K631" i="9"/>
  <c r="L631" i="9"/>
  <c r="M631" i="9"/>
  <c r="K632" i="9"/>
  <c r="L632" i="9"/>
  <c r="M632" i="9"/>
  <c r="K633" i="9"/>
  <c r="L633" i="9"/>
  <c r="M633" i="9"/>
  <c r="K634" i="9"/>
  <c r="L634" i="9"/>
  <c r="M634" i="9"/>
  <c r="K635" i="9"/>
  <c r="L635" i="9"/>
  <c r="M635" i="9"/>
  <c r="K636" i="9"/>
  <c r="L636" i="9"/>
  <c r="M636" i="9"/>
  <c r="K637" i="9"/>
  <c r="L637" i="9"/>
  <c r="M637" i="9"/>
  <c r="K638" i="9"/>
  <c r="L638" i="9"/>
  <c r="M638" i="9"/>
  <c r="K639" i="9"/>
  <c r="L639" i="9"/>
  <c r="M639" i="9"/>
  <c r="K640" i="9"/>
  <c r="L640" i="9"/>
  <c r="M640" i="9"/>
  <c r="K641" i="9"/>
  <c r="L641" i="9"/>
  <c r="M641" i="9"/>
  <c r="K642" i="9"/>
  <c r="L642" i="9"/>
  <c r="M642" i="9"/>
  <c r="K643" i="9"/>
  <c r="L643" i="9"/>
  <c r="M643" i="9"/>
  <c r="K644" i="9"/>
  <c r="L644" i="9"/>
  <c r="M644" i="9"/>
  <c r="K645" i="9"/>
  <c r="L645" i="9"/>
  <c r="M645" i="9"/>
  <c r="K646" i="9"/>
  <c r="L646" i="9"/>
  <c r="M646" i="9"/>
  <c r="K647" i="9"/>
  <c r="L647" i="9"/>
  <c r="M647" i="9"/>
  <c r="K648" i="9"/>
  <c r="L648" i="9"/>
  <c r="M648" i="9"/>
  <c r="K649" i="9"/>
  <c r="L649" i="9"/>
  <c r="M649" i="9"/>
  <c r="K650" i="9"/>
  <c r="L650" i="9"/>
  <c r="M650" i="9"/>
  <c r="K651" i="9"/>
  <c r="L651" i="9"/>
  <c r="M651" i="9"/>
  <c r="K652" i="9"/>
  <c r="L652" i="9"/>
  <c r="M652" i="9"/>
  <c r="K653" i="9"/>
  <c r="L653" i="9"/>
  <c r="M653" i="9"/>
  <c r="K654" i="9"/>
  <c r="L654" i="9"/>
  <c r="M654" i="9"/>
  <c r="K655" i="9"/>
  <c r="L655" i="9"/>
  <c r="M655" i="9"/>
  <c r="K656" i="9"/>
  <c r="L656" i="9"/>
  <c r="M656" i="9"/>
  <c r="K657" i="9"/>
  <c r="L657" i="9"/>
  <c r="M657" i="9"/>
  <c r="K658" i="9"/>
  <c r="L658" i="9"/>
  <c r="M658" i="9"/>
  <c r="K659" i="9"/>
  <c r="L659" i="9"/>
  <c r="M659" i="9"/>
  <c r="K660" i="9"/>
  <c r="L660" i="9"/>
  <c r="M660" i="9"/>
  <c r="K661" i="9"/>
  <c r="L661" i="9"/>
  <c r="M661" i="9"/>
  <c r="K662" i="9"/>
  <c r="L662" i="9"/>
  <c r="M662" i="9"/>
  <c r="K663" i="9"/>
  <c r="L663" i="9"/>
  <c r="M663" i="9"/>
  <c r="K664" i="9"/>
  <c r="L664" i="9"/>
  <c r="M664" i="9"/>
  <c r="K665" i="9"/>
  <c r="L665" i="9"/>
  <c r="M665" i="9"/>
  <c r="K666" i="9"/>
  <c r="L666" i="9"/>
  <c r="M666" i="9"/>
  <c r="K667" i="9"/>
  <c r="L667" i="9"/>
  <c r="M667" i="9"/>
  <c r="K668" i="9"/>
  <c r="L668" i="9"/>
  <c r="M668" i="9"/>
  <c r="K669" i="9"/>
  <c r="L669" i="9"/>
  <c r="M669" i="9"/>
  <c r="K670" i="9"/>
  <c r="L670" i="9"/>
  <c r="M670" i="9"/>
  <c r="K671" i="9"/>
  <c r="L671" i="9"/>
  <c r="M671" i="9"/>
  <c r="K672" i="9"/>
  <c r="L672" i="9"/>
  <c r="M672" i="9"/>
  <c r="K673" i="9"/>
  <c r="L673" i="9"/>
  <c r="M673" i="9"/>
  <c r="K674" i="9"/>
  <c r="L674" i="9"/>
  <c r="M674" i="9"/>
  <c r="K675" i="9"/>
  <c r="L675" i="9"/>
  <c r="M675" i="9"/>
  <c r="K676" i="9"/>
  <c r="L676" i="9"/>
  <c r="M676" i="9"/>
  <c r="K677" i="9"/>
  <c r="L677" i="9"/>
  <c r="M677" i="9"/>
  <c r="K678" i="9"/>
  <c r="L678" i="9"/>
  <c r="M678" i="9"/>
  <c r="K679" i="9"/>
  <c r="L679" i="9"/>
  <c r="M679" i="9"/>
  <c r="K680" i="9"/>
  <c r="L680" i="9"/>
  <c r="M680" i="9"/>
  <c r="K681" i="9"/>
  <c r="L681" i="9"/>
  <c r="M681" i="9"/>
  <c r="K682" i="9"/>
  <c r="L682" i="9"/>
  <c r="M682" i="9"/>
  <c r="K683" i="9"/>
  <c r="L683" i="9"/>
  <c r="M683" i="9"/>
  <c r="K684" i="9"/>
  <c r="L684" i="9"/>
  <c r="M684" i="9"/>
  <c r="K685" i="9"/>
  <c r="L685" i="9"/>
  <c r="M685" i="9"/>
  <c r="K686" i="9"/>
  <c r="L686" i="9"/>
  <c r="M686" i="9"/>
  <c r="K687" i="9"/>
  <c r="L687" i="9"/>
  <c r="M687" i="9"/>
  <c r="K688" i="9"/>
  <c r="L688" i="9"/>
  <c r="M688" i="9"/>
  <c r="K689" i="9"/>
  <c r="L689" i="9"/>
  <c r="M689" i="9"/>
  <c r="K690" i="9"/>
  <c r="L690" i="9"/>
  <c r="M690" i="9"/>
  <c r="K691" i="9"/>
  <c r="L691" i="9"/>
  <c r="M691" i="9"/>
  <c r="K692" i="9"/>
  <c r="L692" i="9"/>
  <c r="M692" i="9"/>
  <c r="K693" i="9"/>
  <c r="L693" i="9"/>
  <c r="M693" i="9"/>
  <c r="K694" i="9"/>
  <c r="L694" i="9"/>
  <c r="M694" i="9"/>
  <c r="K695" i="9"/>
  <c r="L695" i="9"/>
  <c r="M695" i="9"/>
  <c r="K696" i="9"/>
  <c r="L696" i="9"/>
  <c r="M696" i="9"/>
  <c r="K697" i="9"/>
  <c r="L697" i="9"/>
  <c r="M697" i="9"/>
  <c r="K698" i="9"/>
  <c r="L698" i="9"/>
  <c r="M698" i="9"/>
  <c r="K699" i="9"/>
  <c r="L699" i="9"/>
  <c r="M699" i="9"/>
  <c r="K700" i="9"/>
  <c r="L700" i="9"/>
  <c r="M700" i="9"/>
  <c r="K701" i="9"/>
  <c r="L701" i="9"/>
  <c r="M701" i="9"/>
  <c r="K702" i="9"/>
  <c r="L702" i="9"/>
  <c r="M702" i="9"/>
  <c r="K703" i="9"/>
  <c r="L703" i="9"/>
  <c r="M703" i="9"/>
  <c r="K704" i="9"/>
  <c r="L704" i="9"/>
  <c r="M704" i="9"/>
  <c r="K705" i="9"/>
  <c r="L705" i="9"/>
  <c r="M705" i="9"/>
  <c r="K706" i="9"/>
  <c r="L706" i="9"/>
  <c r="M706" i="9"/>
  <c r="K707" i="9"/>
  <c r="L707" i="9"/>
  <c r="M707" i="9"/>
  <c r="K708" i="9"/>
  <c r="L708" i="9"/>
  <c r="M708" i="9"/>
  <c r="K709" i="9"/>
  <c r="L709" i="9"/>
  <c r="M709" i="9"/>
  <c r="K710" i="9"/>
  <c r="L710" i="9"/>
  <c r="M710" i="9"/>
  <c r="K711" i="9"/>
  <c r="L711" i="9"/>
  <c r="M711" i="9"/>
  <c r="K712" i="9"/>
  <c r="L712" i="9"/>
  <c r="M712" i="9"/>
  <c r="K713" i="9"/>
  <c r="L713" i="9"/>
  <c r="M713" i="9"/>
  <c r="K714" i="9"/>
  <c r="L714" i="9"/>
  <c r="M714" i="9"/>
  <c r="K715" i="9"/>
  <c r="L715" i="9"/>
  <c r="M715" i="9"/>
  <c r="K716" i="9"/>
  <c r="L716" i="9"/>
  <c r="M716" i="9"/>
  <c r="K717" i="9"/>
  <c r="L717" i="9"/>
  <c r="M717" i="9"/>
  <c r="K718" i="9"/>
  <c r="L718" i="9"/>
  <c r="M718" i="9"/>
  <c r="K719" i="9"/>
  <c r="L719" i="9"/>
  <c r="M719" i="9"/>
  <c r="K720" i="9"/>
  <c r="L720" i="9"/>
  <c r="M720" i="9"/>
  <c r="K721" i="9"/>
  <c r="L721" i="9"/>
  <c r="M721" i="9"/>
  <c r="K722" i="9"/>
  <c r="L722" i="9"/>
  <c r="M722" i="9"/>
  <c r="K723" i="9"/>
  <c r="L723" i="9"/>
  <c r="M723" i="9"/>
  <c r="K724" i="9"/>
  <c r="L724" i="9"/>
  <c r="M724" i="9"/>
  <c r="K725" i="9"/>
  <c r="L725" i="9"/>
  <c r="M725" i="9"/>
  <c r="K726" i="9"/>
  <c r="L726" i="9"/>
  <c r="M726" i="9"/>
  <c r="K727" i="9"/>
  <c r="L727" i="9"/>
  <c r="M727" i="9"/>
  <c r="K728" i="9"/>
  <c r="L728" i="9"/>
  <c r="M728" i="9"/>
  <c r="K729" i="9"/>
  <c r="L729" i="9"/>
  <c r="M729" i="9"/>
  <c r="K730" i="9"/>
  <c r="L730" i="9"/>
  <c r="M730" i="9"/>
  <c r="S6" i="9"/>
  <c r="C26" i="7" s="1"/>
  <c r="S2" i="9"/>
  <c r="S4" i="9" s="1"/>
  <c r="M2" i="9"/>
  <c r="L2" i="9"/>
  <c r="K2" i="9"/>
  <c r="K3" i="8"/>
  <c r="L3" i="8"/>
  <c r="M3" i="8"/>
  <c r="K4" i="8"/>
  <c r="L4" i="8"/>
  <c r="M4" i="8"/>
  <c r="K5" i="8"/>
  <c r="L5" i="8"/>
  <c r="M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K11" i="8"/>
  <c r="L11" i="8"/>
  <c r="M11" i="8"/>
  <c r="K12" i="8"/>
  <c r="L12" i="8"/>
  <c r="M12" i="8"/>
  <c r="K13" i="8"/>
  <c r="L13" i="8"/>
  <c r="M13" i="8"/>
  <c r="K14" i="8"/>
  <c r="L14" i="8"/>
  <c r="M14" i="8"/>
  <c r="K15" i="8"/>
  <c r="L15" i="8"/>
  <c r="M15" i="8"/>
  <c r="K16" i="8"/>
  <c r="L16" i="8"/>
  <c r="M16" i="8"/>
  <c r="K17" i="8"/>
  <c r="L17" i="8"/>
  <c r="M17" i="8"/>
  <c r="K18" i="8"/>
  <c r="L18" i="8"/>
  <c r="M18" i="8"/>
  <c r="K19" i="8"/>
  <c r="L19" i="8"/>
  <c r="M19" i="8"/>
  <c r="K20" i="8"/>
  <c r="L20" i="8"/>
  <c r="M20" i="8"/>
  <c r="K21" i="8"/>
  <c r="L21" i="8"/>
  <c r="M21" i="8"/>
  <c r="K22" i="8"/>
  <c r="L22" i="8"/>
  <c r="M22" i="8"/>
  <c r="K23" i="8"/>
  <c r="L23" i="8"/>
  <c r="M23" i="8"/>
  <c r="K24" i="8"/>
  <c r="L24" i="8"/>
  <c r="M24" i="8"/>
  <c r="K25" i="8"/>
  <c r="L25" i="8"/>
  <c r="M25" i="8"/>
  <c r="K26" i="8"/>
  <c r="L26" i="8"/>
  <c r="M26" i="8"/>
  <c r="K27" i="8"/>
  <c r="L27" i="8"/>
  <c r="M27" i="8"/>
  <c r="K28" i="8"/>
  <c r="L28" i="8"/>
  <c r="M28" i="8"/>
  <c r="K29" i="8"/>
  <c r="L29" i="8"/>
  <c r="M29" i="8"/>
  <c r="K30" i="8"/>
  <c r="L30" i="8"/>
  <c r="M30" i="8"/>
  <c r="K31" i="8"/>
  <c r="L31" i="8"/>
  <c r="M31" i="8"/>
  <c r="K32" i="8"/>
  <c r="L32" i="8"/>
  <c r="M32" i="8"/>
  <c r="K33" i="8"/>
  <c r="L33" i="8"/>
  <c r="M33" i="8"/>
  <c r="K34" i="8"/>
  <c r="L34" i="8"/>
  <c r="M34" i="8"/>
  <c r="K35" i="8"/>
  <c r="L35" i="8"/>
  <c r="M35" i="8"/>
  <c r="K36" i="8"/>
  <c r="L36" i="8"/>
  <c r="M36" i="8"/>
  <c r="K37" i="8"/>
  <c r="L37" i="8"/>
  <c r="M37" i="8"/>
  <c r="K38" i="8"/>
  <c r="L38" i="8"/>
  <c r="M38" i="8"/>
  <c r="K39" i="8"/>
  <c r="L39" i="8"/>
  <c r="M39" i="8"/>
  <c r="K40" i="8"/>
  <c r="L40" i="8"/>
  <c r="M40" i="8"/>
  <c r="K41" i="8"/>
  <c r="L41" i="8"/>
  <c r="M41" i="8"/>
  <c r="K42" i="8"/>
  <c r="L42" i="8"/>
  <c r="M42" i="8"/>
  <c r="K43" i="8"/>
  <c r="L43" i="8"/>
  <c r="M43" i="8"/>
  <c r="K44" i="8"/>
  <c r="L44" i="8"/>
  <c r="M44" i="8"/>
  <c r="K45" i="8"/>
  <c r="L45" i="8"/>
  <c r="M45" i="8"/>
  <c r="K46" i="8"/>
  <c r="L46" i="8"/>
  <c r="M46" i="8"/>
  <c r="K47" i="8"/>
  <c r="L47" i="8"/>
  <c r="M47" i="8"/>
  <c r="K48" i="8"/>
  <c r="L48" i="8"/>
  <c r="M48" i="8"/>
  <c r="K49" i="8"/>
  <c r="L49" i="8"/>
  <c r="M49" i="8"/>
  <c r="K50" i="8"/>
  <c r="L50" i="8"/>
  <c r="M50" i="8"/>
  <c r="K51" i="8"/>
  <c r="L51" i="8"/>
  <c r="M51" i="8"/>
  <c r="K52" i="8"/>
  <c r="L52" i="8"/>
  <c r="M52" i="8"/>
  <c r="K53" i="8"/>
  <c r="L53" i="8"/>
  <c r="M53" i="8"/>
  <c r="K54" i="8"/>
  <c r="L54" i="8"/>
  <c r="M54" i="8"/>
  <c r="K55" i="8"/>
  <c r="L55" i="8"/>
  <c r="M55" i="8"/>
  <c r="K56" i="8"/>
  <c r="L56" i="8"/>
  <c r="M56" i="8"/>
  <c r="K57" i="8"/>
  <c r="L57" i="8"/>
  <c r="M57" i="8"/>
  <c r="K58" i="8"/>
  <c r="L58" i="8"/>
  <c r="M58" i="8"/>
  <c r="K59" i="8"/>
  <c r="L59" i="8"/>
  <c r="M59" i="8"/>
  <c r="K60" i="8"/>
  <c r="L60" i="8"/>
  <c r="M60" i="8"/>
  <c r="K61" i="8"/>
  <c r="L61" i="8"/>
  <c r="M61" i="8"/>
  <c r="K62" i="8"/>
  <c r="L62" i="8"/>
  <c r="M62" i="8"/>
  <c r="K63" i="8"/>
  <c r="L63" i="8"/>
  <c r="M63" i="8"/>
  <c r="K64" i="8"/>
  <c r="L64" i="8"/>
  <c r="M64" i="8"/>
  <c r="K65" i="8"/>
  <c r="L65" i="8"/>
  <c r="M65" i="8"/>
  <c r="K66" i="8"/>
  <c r="L66" i="8"/>
  <c r="M66" i="8"/>
  <c r="K67" i="8"/>
  <c r="L67" i="8"/>
  <c r="M67" i="8"/>
  <c r="K68" i="8"/>
  <c r="L68" i="8"/>
  <c r="M68" i="8"/>
  <c r="K69" i="8"/>
  <c r="L69" i="8"/>
  <c r="M69" i="8"/>
  <c r="K70" i="8"/>
  <c r="L70" i="8"/>
  <c r="M70" i="8"/>
  <c r="K71" i="8"/>
  <c r="L71" i="8"/>
  <c r="M71" i="8"/>
  <c r="K72" i="8"/>
  <c r="L72" i="8"/>
  <c r="M72" i="8"/>
  <c r="K73" i="8"/>
  <c r="L73" i="8"/>
  <c r="M73" i="8"/>
  <c r="K74" i="8"/>
  <c r="L74" i="8"/>
  <c r="M74" i="8"/>
  <c r="K75" i="8"/>
  <c r="L75" i="8"/>
  <c r="M75" i="8"/>
  <c r="K76" i="8"/>
  <c r="L76" i="8"/>
  <c r="M76" i="8"/>
  <c r="K77" i="8"/>
  <c r="L77" i="8"/>
  <c r="M77" i="8"/>
  <c r="K78" i="8"/>
  <c r="L78" i="8"/>
  <c r="M78" i="8"/>
  <c r="K79" i="8"/>
  <c r="L79" i="8"/>
  <c r="M79" i="8"/>
  <c r="K80" i="8"/>
  <c r="L80" i="8"/>
  <c r="M80" i="8"/>
  <c r="K81" i="8"/>
  <c r="L81" i="8"/>
  <c r="M81" i="8"/>
  <c r="K82" i="8"/>
  <c r="L82" i="8"/>
  <c r="M82" i="8"/>
  <c r="K83" i="8"/>
  <c r="L83" i="8"/>
  <c r="M83" i="8"/>
  <c r="K84" i="8"/>
  <c r="L84" i="8"/>
  <c r="M84" i="8"/>
  <c r="K85" i="8"/>
  <c r="L85" i="8"/>
  <c r="M85" i="8"/>
  <c r="K86" i="8"/>
  <c r="L86" i="8"/>
  <c r="M86" i="8"/>
  <c r="K87" i="8"/>
  <c r="L87" i="8"/>
  <c r="M87" i="8"/>
  <c r="K88" i="8"/>
  <c r="L88" i="8"/>
  <c r="M88" i="8"/>
  <c r="K89" i="8"/>
  <c r="L89" i="8"/>
  <c r="M89" i="8"/>
  <c r="K90" i="8"/>
  <c r="L90" i="8"/>
  <c r="M90" i="8"/>
  <c r="K91" i="8"/>
  <c r="L91" i="8"/>
  <c r="M91" i="8"/>
  <c r="K92" i="8"/>
  <c r="L92" i="8"/>
  <c r="M92" i="8"/>
  <c r="K93" i="8"/>
  <c r="L93" i="8"/>
  <c r="M93" i="8"/>
  <c r="K94" i="8"/>
  <c r="L94" i="8"/>
  <c r="M94" i="8"/>
  <c r="K95" i="8"/>
  <c r="L95" i="8"/>
  <c r="M95" i="8"/>
  <c r="K96" i="8"/>
  <c r="L96" i="8"/>
  <c r="M96" i="8"/>
  <c r="K97" i="8"/>
  <c r="L97" i="8"/>
  <c r="M97" i="8"/>
  <c r="K98" i="8"/>
  <c r="L98" i="8"/>
  <c r="M98" i="8"/>
  <c r="K99" i="8"/>
  <c r="L99" i="8"/>
  <c r="M99" i="8"/>
  <c r="K100" i="8"/>
  <c r="L100" i="8"/>
  <c r="M100" i="8"/>
  <c r="K101" i="8"/>
  <c r="L101" i="8"/>
  <c r="M101" i="8"/>
  <c r="K102" i="8"/>
  <c r="L102" i="8"/>
  <c r="M102" i="8"/>
  <c r="K103" i="8"/>
  <c r="L103" i="8"/>
  <c r="M103" i="8"/>
  <c r="K104" i="8"/>
  <c r="L104" i="8"/>
  <c r="M104" i="8"/>
  <c r="K105" i="8"/>
  <c r="L105" i="8"/>
  <c r="M105" i="8"/>
  <c r="K106" i="8"/>
  <c r="L106" i="8"/>
  <c r="M106" i="8"/>
  <c r="K107" i="8"/>
  <c r="L107" i="8"/>
  <c r="M107" i="8"/>
  <c r="K108" i="8"/>
  <c r="L108" i="8"/>
  <c r="M108" i="8"/>
  <c r="K109" i="8"/>
  <c r="L109" i="8"/>
  <c r="M109" i="8"/>
  <c r="K110" i="8"/>
  <c r="L110" i="8"/>
  <c r="M110" i="8"/>
  <c r="K111" i="8"/>
  <c r="L111" i="8"/>
  <c r="M111" i="8"/>
  <c r="K112" i="8"/>
  <c r="L112" i="8"/>
  <c r="M112" i="8"/>
  <c r="K113" i="8"/>
  <c r="L113" i="8"/>
  <c r="M113" i="8"/>
  <c r="K114" i="8"/>
  <c r="L114" i="8"/>
  <c r="M114" i="8"/>
  <c r="K115" i="8"/>
  <c r="L115" i="8"/>
  <c r="M115" i="8"/>
  <c r="K116" i="8"/>
  <c r="L116" i="8"/>
  <c r="M116" i="8"/>
  <c r="K117" i="8"/>
  <c r="L117" i="8"/>
  <c r="M117" i="8"/>
  <c r="K118" i="8"/>
  <c r="L118" i="8"/>
  <c r="M118" i="8"/>
  <c r="K119" i="8"/>
  <c r="L119" i="8"/>
  <c r="M119" i="8"/>
  <c r="K120" i="8"/>
  <c r="L120" i="8"/>
  <c r="M120" i="8"/>
  <c r="K121" i="8"/>
  <c r="L121" i="8"/>
  <c r="M121" i="8"/>
  <c r="K122" i="8"/>
  <c r="L122" i="8"/>
  <c r="M122" i="8"/>
  <c r="K123" i="8"/>
  <c r="L123" i="8"/>
  <c r="M123" i="8"/>
  <c r="K124" i="8"/>
  <c r="L124" i="8"/>
  <c r="M124" i="8"/>
  <c r="K125" i="8"/>
  <c r="L125" i="8"/>
  <c r="M125" i="8"/>
  <c r="K126" i="8"/>
  <c r="L126" i="8"/>
  <c r="M126" i="8"/>
  <c r="K127" i="8"/>
  <c r="L127" i="8"/>
  <c r="M127" i="8"/>
  <c r="K128" i="8"/>
  <c r="L128" i="8"/>
  <c r="M128" i="8"/>
  <c r="K129" i="8"/>
  <c r="L129" i="8"/>
  <c r="M129" i="8"/>
  <c r="K130" i="8"/>
  <c r="L130" i="8"/>
  <c r="M130" i="8"/>
  <c r="K131" i="8"/>
  <c r="L131" i="8"/>
  <c r="M131" i="8"/>
  <c r="K132" i="8"/>
  <c r="L132" i="8"/>
  <c r="M132" i="8"/>
  <c r="K133" i="8"/>
  <c r="L133" i="8"/>
  <c r="M133" i="8"/>
  <c r="K134" i="8"/>
  <c r="L134" i="8"/>
  <c r="M134" i="8"/>
  <c r="K135" i="8"/>
  <c r="L135" i="8"/>
  <c r="M135" i="8"/>
  <c r="K136" i="8"/>
  <c r="L136" i="8"/>
  <c r="M136" i="8"/>
  <c r="K137" i="8"/>
  <c r="L137" i="8"/>
  <c r="M137" i="8"/>
  <c r="K138" i="8"/>
  <c r="L138" i="8"/>
  <c r="M138" i="8"/>
  <c r="K139" i="8"/>
  <c r="L139" i="8"/>
  <c r="M139" i="8"/>
  <c r="K140" i="8"/>
  <c r="L140" i="8"/>
  <c r="M140" i="8"/>
  <c r="K141" i="8"/>
  <c r="L141" i="8"/>
  <c r="M141" i="8"/>
  <c r="K142" i="8"/>
  <c r="L142" i="8"/>
  <c r="M142" i="8"/>
  <c r="K143" i="8"/>
  <c r="L143" i="8"/>
  <c r="M143" i="8"/>
  <c r="K144" i="8"/>
  <c r="L144" i="8"/>
  <c r="M144" i="8"/>
  <c r="K145" i="8"/>
  <c r="L145" i="8"/>
  <c r="M145" i="8"/>
  <c r="K146" i="8"/>
  <c r="L146" i="8"/>
  <c r="M146" i="8"/>
  <c r="K147" i="8"/>
  <c r="L147" i="8"/>
  <c r="M147" i="8"/>
  <c r="K148" i="8"/>
  <c r="L148" i="8"/>
  <c r="M148" i="8"/>
  <c r="K149" i="8"/>
  <c r="L149" i="8"/>
  <c r="M149" i="8"/>
  <c r="K150" i="8"/>
  <c r="L150" i="8"/>
  <c r="M150" i="8"/>
  <c r="K151" i="8"/>
  <c r="L151" i="8"/>
  <c r="M151" i="8"/>
  <c r="K152" i="8"/>
  <c r="L152" i="8"/>
  <c r="M152" i="8"/>
  <c r="K153" i="8"/>
  <c r="L153" i="8"/>
  <c r="M153" i="8"/>
  <c r="K154" i="8"/>
  <c r="L154" i="8"/>
  <c r="M154" i="8"/>
  <c r="K155" i="8"/>
  <c r="L155" i="8"/>
  <c r="M155" i="8"/>
  <c r="K156" i="8"/>
  <c r="L156" i="8"/>
  <c r="M156" i="8"/>
  <c r="K157" i="8"/>
  <c r="L157" i="8"/>
  <c r="M157" i="8"/>
  <c r="K158" i="8"/>
  <c r="L158" i="8"/>
  <c r="M158" i="8"/>
  <c r="K159" i="8"/>
  <c r="L159" i="8"/>
  <c r="M159" i="8"/>
  <c r="K160" i="8"/>
  <c r="L160" i="8"/>
  <c r="M160" i="8"/>
  <c r="K161" i="8"/>
  <c r="L161" i="8"/>
  <c r="M161" i="8"/>
  <c r="K162" i="8"/>
  <c r="L162" i="8"/>
  <c r="M162" i="8"/>
  <c r="K163" i="8"/>
  <c r="L163" i="8"/>
  <c r="M163" i="8"/>
  <c r="K164" i="8"/>
  <c r="L164" i="8"/>
  <c r="M164" i="8"/>
  <c r="K165" i="8"/>
  <c r="L165" i="8"/>
  <c r="M165" i="8"/>
  <c r="K166" i="8"/>
  <c r="L166" i="8"/>
  <c r="M166" i="8"/>
  <c r="K167" i="8"/>
  <c r="L167" i="8"/>
  <c r="M167" i="8"/>
  <c r="K168" i="8"/>
  <c r="L168" i="8"/>
  <c r="M168" i="8"/>
  <c r="K169" i="8"/>
  <c r="L169" i="8"/>
  <c r="M169" i="8"/>
  <c r="K170" i="8"/>
  <c r="L170" i="8"/>
  <c r="M170" i="8"/>
  <c r="K171" i="8"/>
  <c r="L171" i="8"/>
  <c r="M171" i="8"/>
  <c r="K172" i="8"/>
  <c r="L172" i="8"/>
  <c r="M172" i="8"/>
  <c r="K173" i="8"/>
  <c r="L173" i="8"/>
  <c r="M173" i="8"/>
  <c r="K174" i="8"/>
  <c r="L174" i="8"/>
  <c r="M174" i="8"/>
  <c r="K175" i="8"/>
  <c r="L175" i="8"/>
  <c r="M175" i="8"/>
  <c r="K176" i="8"/>
  <c r="L176" i="8"/>
  <c r="M176" i="8"/>
  <c r="K177" i="8"/>
  <c r="L177" i="8"/>
  <c r="M177" i="8"/>
  <c r="K178" i="8"/>
  <c r="L178" i="8"/>
  <c r="M178" i="8"/>
  <c r="K179" i="8"/>
  <c r="L179" i="8"/>
  <c r="M179" i="8"/>
  <c r="K180" i="8"/>
  <c r="L180" i="8"/>
  <c r="M180" i="8"/>
  <c r="K181" i="8"/>
  <c r="L181" i="8"/>
  <c r="M181" i="8"/>
  <c r="K182" i="8"/>
  <c r="L182" i="8"/>
  <c r="M182" i="8"/>
  <c r="K183" i="8"/>
  <c r="L183" i="8"/>
  <c r="M183" i="8"/>
  <c r="K184" i="8"/>
  <c r="L184" i="8"/>
  <c r="M184" i="8"/>
  <c r="K185" i="8"/>
  <c r="L185" i="8"/>
  <c r="M185" i="8"/>
  <c r="K186" i="8"/>
  <c r="L186" i="8"/>
  <c r="M186" i="8"/>
  <c r="K187" i="8"/>
  <c r="L187" i="8"/>
  <c r="M187" i="8"/>
  <c r="K188" i="8"/>
  <c r="L188" i="8"/>
  <c r="M188" i="8"/>
  <c r="K189" i="8"/>
  <c r="L189" i="8"/>
  <c r="M189" i="8"/>
  <c r="K190" i="8"/>
  <c r="L190" i="8"/>
  <c r="M190" i="8"/>
  <c r="K191" i="8"/>
  <c r="L191" i="8"/>
  <c r="M191" i="8"/>
  <c r="K192" i="8"/>
  <c r="L192" i="8"/>
  <c r="M192" i="8"/>
  <c r="K193" i="8"/>
  <c r="L193" i="8"/>
  <c r="M193" i="8"/>
  <c r="K194" i="8"/>
  <c r="L194" i="8"/>
  <c r="M194" i="8"/>
  <c r="K195" i="8"/>
  <c r="L195" i="8"/>
  <c r="M195" i="8"/>
  <c r="K196" i="8"/>
  <c r="L196" i="8"/>
  <c r="M196" i="8"/>
  <c r="K197" i="8"/>
  <c r="L197" i="8"/>
  <c r="M197" i="8"/>
  <c r="K198" i="8"/>
  <c r="L198" i="8"/>
  <c r="M198" i="8"/>
  <c r="K199" i="8"/>
  <c r="L199" i="8"/>
  <c r="M199" i="8"/>
  <c r="K200" i="8"/>
  <c r="L200" i="8"/>
  <c r="M200" i="8"/>
  <c r="K201" i="8"/>
  <c r="L201" i="8"/>
  <c r="M201" i="8"/>
  <c r="K202" i="8"/>
  <c r="L202" i="8"/>
  <c r="M202" i="8"/>
  <c r="K203" i="8"/>
  <c r="L203" i="8"/>
  <c r="M203" i="8"/>
  <c r="K204" i="8"/>
  <c r="L204" i="8"/>
  <c r="M204" i="8"/>
  <c r="K205" i="8"/>
  <c r="L205" i="8"/>
  <c r="M205" i="8"/>
  <c r="K206" i="8"/>
  <c r="L206" i="8"/>
  <c r="M206" i="8"/>
  <c r="K207" i="8"/>
  <c r="L207" i="8"/>
  <c r="M207" i="8"/>
  <c r="K208" i="8"/>
  <c r="L208" i="8"/>
  <c r="M208" i="8"/>
  <c r="K209" i="8"/>
  <c r="L209" i="8"/>
  <c r="M209" i="8"/>
  <c r="K210" i="8"/>
  <c r="L210" i="8"/>
  <c r="M210" i="8"/>
  <c r="K211" i="8"/>
  <c r="L211" i="8"/>
  <c r="M211" i="8"/>
  <c r="K212" i="8"/>
  <c r="L212" i="8"/>
  <c r="M212" i="8"/>
  <c r="K213" i="8"/>
  <c r="L213" i="8"/>
  <c r="M213" i="8"/>
  <c r="K214" i="8"/>
  <c r="L214" i="8"/>
  <c r="M214" i="8"/>
  <c r="K215" i="8"/>
  <c r="L215" i="8"/>
  <c r="M215" i="8"/>
  <c r="K216" i="8"/>
  <c r="L216" i="8"/>
  <c r="M216" i="8"/>
  <c r="K217" i="8"/>
  <c r="L217" i="8"/>
  <c r="M217" i="8"/>
  <c r="K218" i="8"/>
  <c r="L218" i="8"/>
  <c r="M218" i="8"/>
  <c r="K219" i="8"/>
  <c r="L219" i="8"/>
  <c r="M219" i="8"/>
  <c r="K220" i="8"/>
  <c r="L220" i="8"/>
  <c r="M220" i="8"/>
  <c r="K221" i="8"/>
  <c r="L221" i="8"/>
  <c r="M221" i="8"/>
  <c r="K222" i="8"/>
  <c r="L222" i="8"/>
  <c r="M222" i="8"/>
  <c r="K223" i="8"/>
  <c r="L223" i="8"/>
  <c r="M223" i="8"/>
  <c r="K224" i="8"/>
  <c r="L224" i="8"/>
  <c r="M224" i="8"/>
  <c r="K225" i="8"/>
  <c r="L225" i="8"/>
  <c r="M225" i="8"/>
  <c r="K226" i="8"/>
  <c r="L226" i="8"/>
  <c r="M226" i="8"/>
  <c r="K227" i="8"/>
  <c r="L227" i="8"/>
  <c r="M227" i="8"/>
  <c r="K228" i="8"/>
  <c r="L228" i="8"/>
  <c r="M228" i="8"/>
  <c r="K229" i="8"/>
  <c r="L229" i="8"/>
  <c r="M229" i="8"/>
  <c r="K230" i="8"/>
  <c r="L230" i="8"/>
  <c r="M230" i="8"/>
  <c r="K231" i="8"/>
  <c r="L231" i="8"/>
  <c r="M231" i="8"/>
  <c r="K232" i="8"/>
  <c r="L232" i="8"/>
  <c r="M232" i="8"/>
  <c r="K233" i="8"/>
  <c r="L233" i="8"/>
  <c r="M233" i="8"/>
  <c r="K234" i="8"/>
  <c r="L234" i="8"/>
  <c r="M234" i="8"/>
  <c r="K235" i="8"/>
  <c r="L235" i="8"/>
  <c r="M235" i="8"/>
  <c r="K236" i="8"/>
  <c r="L236" i="8"/>
  <c r="M236" i="8"/>
  <c r="K237" i="8"/>
  <c r="L237" i="8"/>
  <c r="M237" i="8"/>
  <c r="K238" i="8"/>
  <c r="L238" i="8"/>
  <c r="M238" i="8"/>
  <c r="K239" i="8"/>
  <c r="L239" i="8"/>
  <c r="M239" i="8"/>
  <c r="K240" i="8"/>
  <c r="L240" i="8"/>
  <c r="M240" i="8"/>
  <c r="K241" i="8"/>
  <c r="L241" i="8"/>
  <c r="M241" i="8"/>
  <c r="K242" i="8"/>
  <c r="L242" i="8"/>
  <c r="M242" i="8"/>
  <c r="K243" i="8"/>
  <c r="L243" i="8"/>
  <c r="M243" i="8"/>
  <c r="K244" i="8"/>
  <c r="L244" i="8"/>
  <c r="M244" i="8"/>
  <c r="K245" i="8"/>
  <c r="L245" i="8"/>
  <c r="M245" i="8"/>
  <c r="K246" i="8"/>
  <c r="L246" i="8"/>
  <c r="M246" i="8"/>
  <c r="K247" i="8"/>
  <c r="L247" i="8"/>
  <c r="M247" i="8"/>
  <c r="K248" i="8"/>
  <c r="L248" i="8"/>
  <c r="M248" i="8"/>
  <c r="K249" i="8"/>
  <c r="L249" i="8"/>
  <c r="M249" i="8"/>
  <c r="K250" i="8"/>
  <c r="L250" i="8"/>
  <c r="M250" i="8"/>
  <c r="K251" i="8"/>
  <c r="L251" i="8"/>
  <c r="M251" i="8"/>
  <c r="K252" i="8"/>
  <c r="L252" i="8"/>
  <c r="M252" i="8"/>
  <c r="K253" i="8"/>
  <c r="L253" i="8"/>
  <c r="M253" i="8"/>
  <c r="K254" i="8"/>
  <c r="L254" i="8"/>
  <c r="M254" i="8"/>
  <c r="K255" i="8"/>
  <c r="L255" i="8"/>
  <c r="M255" i="8"/>
  <c r="K256" i="8"/>
  <c r="L256" i="8"/>
  <c r="M256" i="8"/>
  <c r="K257" i="8"/>
  <c r="L257" i="8"/>
  <c r="M257" i="8"/>
  <c r="K258" i="8"/>
  <c r="L258" i="8"/>
  <c r="M258" i="8"/>
  <c r="K259" i="8"/>
  <c r="L259" i="8"/>
  <c r="M259" i="8"/>
  <c r="K260" i="8"/>
  <c r="L260" i="8"/>
  <c r="M260" i="8"/>
  <c r="K261" i="8"/>
  <c r="L261" i="8"/>
  <c r="M261" i="8"/>
  <c r="K262" i="8"/>
  <c r="L262" i="8"/>
  <c r="M262" i="8"/>
  <c r="K263" i="8"/>
  <c r="L263" i="8"/>
  <c r="M263" i="8"/>
  <c r="K264" i="8"/>
  <c r="L264" i="8"/>
  <c r="M264" i="8"/>
  <c r="K265" i="8"/>
  <c r="L265" i="8"/>
  <c r="M265" i="8"/>
  <c r="K266" i="8"/>
  <c r="L266" i="8"/>
  <c r="M266" i="8"/>
  <c r="K267" i="8"/>
  <c r="L267" i="8"/>
  <c r="M267" i="8"/>
  <c r="K268" i="8"/>
  <c r="L268" i="8"/>
  <c r="M268" i="8"/>
  <c r="K269" i="8"/>
  <c r="L269" i="8"/>
  <c r="M269" i="8"/>
  <c r="K270" i="8"/>
  <c r="L270" i="8"/>
  <c r="M270" i="8"/>
  <c r="K271" i="8"/>
  <c r="L271" i="8"/>
  <c r="M271" i="8"/>
  <c r="K272" i="8"/>
  <c r="L272" i="8"/>
  <c r="M272" i="8"/>
  <c r="K273" i="8"/>
  <c r="L273" i="8"/>
  <c r="M273" i="8"/>
  <c r="K274" i="8"/>
  <c r="L274" i="8"/>
  <c r="M274" i="8"/>
  <c r="K275" i="8"/>
  <c r="L275" i="8"/>
  <c r="M275" i="8"/>
  <c r="K276" i="8"/>
  <c r="L276" i="8"/>
  <c r="M276" i="8"/>
  <c r="K277" i="8"/>
  <c r="L277" i="8"/>
  <c r="M277" i="8"/>
  <c r="K278" i="8"/>
  <c r="L278" i="8"/>
  <c r="M278" i="8"/>
  <c r="K279" i="8"/>
  <c r="L279" i="8"/>
  <c r="M279" i="8"/>
  <c r="K280" i="8"/>
  <c r="L280" i="8"/>
  <c r="M280" i="8"/>
  <c r="K281" i="8"/>
  <c r="L281" i="8"/>
  <c r="M281" i="8"/>
  <c r="K282" i="8"/>
  <c r="L282" i="8"/>
  <c r="M282" i="8"/>
  <c r="K283" i="8"/>
  <c r="L283" i="8"/>
  <c r="M283" i="8"/>
  <c r="K284" i="8"/>
  <c r="L284" i="8"/>
  <c r="M284" i="8"/>
  <c r="K285" i="8"/>
  <c r="L285" i="8"/>
  <c r="M285" i="8"/>
  <c r="K286" i="8"/>
  <c r="L286" i="8"/>
  <c r="M286" i="8"/>
  <c r="K287" i="8"/>
  <c r="L287" i="8"/>
  <c r="M287" i="8"/>
  <c r="K288" i="8"/>
  <c r="L288" i="8"/>
  <c r="M288" i="8"/>
  <c r="K289" i="8"/>
  <c r="L289" i="8"/>
  <c r="M289" i="8"/>
  <c r="K290" i="8"/>
  <c r="L290" i="8"/>
  <c r="M290" i="8"/>
  <c r="K291" i="8"/>
  <c r="L291" i="8"/>
  <c r="M291" i="8"/>
  <c r="K292" i="8"/>
  <c r="L292" i="8"/>
  <c r="M292" i="8"/>
  <c r="K293" i="8"/>
  <c r="L293" i="8"/>
  <c r="M293" i="8"/>
  <c r="K294" i="8"/>
  <c r="L294" i="8"/>
  <c r="M294" i="8"/>
  <c r="K295" i="8"/>
  <c r="L295" i="8"/>
  <c r="M295" i="8"/>
  <c r="K296" i="8"/>
  <c r="L296" i="8"/>
  <c r="M296" i="8"/>
  <c r="K297" i="8"/>
  <c r="L297" i="8"/>
  <c r="M297" i="8"/>
  <c r="K298" i="8"/>
  <c r="L298" i="8"/>
  <c r="M298" i="8"/>
  <c r="K299" i="8"/>
  <c r="L299" i="8"/>
  <c r="M299" i="8"/>
  <c r="K300" i="8"/>
  <c r="L300" i="8"/>
  <c r="M300" i="8"/>
  <c r="K301" i="8"/>
  <c r="L301" i="8"/>
  <c r="M301" i="8"/>
  <c r="K302" i="8"/>
  <c r="L302" i="8"/>
  <c r="M302" i="8"/>
  <c r="K303" i="8"/>
  <c r="L303" i="8"/>
  <c r="M303" i="8"/>
  <c r="K304" i="8"/>
  <c r="L304" i="8"/>
  <c r="M304" i="8"/>
  <c r="K305" i="8"/>
  <c r="L305" i="8"/>
  <c r="M305" i="8"/>
  <c r="K306" i="8"/>
  <c r="L306" i="8"/>
  <c r="M306" i="8"/>
  <c r="K307" i="8"/>
  <c r="L307" i="8"/>
  <c r="M307" i="8"/>
  <c r="K308" i="8"/>
  <c r="L308" i="8"/>
  <c r="M308" i="8"/>
  <c r="K309" i="8"/>
  <c r="L309" i="8"/>
  <c r="M309" i="8"/>
  <c r="K310" i="8"/>
  <c r="L310" i="8"/>
  <c r="M310" i="8"/>
  <c r="K311" i="8"/>
  <c r="L311" i="8"/>
  <c r="M311" i="8"/>
  <c r="K312" i="8"/>
  <c r="L312" i="8"/>
  <c r="M312" i="8"/>
  <c r="K313" i="8"/>
  <c r="L313" i="8"/>
  <c r="M313" i="8"/>
  <c r="K314" i="8"/>
  <c r="L314" i="8"/>
  <c r="M314" i="8"/>
  <c r="K315" i="8"/>
  <c r="L315" i="8"/>
  <c r="M315" i="8"/>
  <c r="K316" i="8"/>
  <c r="L316" i="8"/>
  <c r="M316" i="8"/>
  <c r="K317" i="8"/>
  <c r="L317" i="8"/>
  <c r="M317" i="8"/>
  <c r="K318" i="8"/>
  <c r="L318" i="8"/>
  <c r="M318" i="8"/>
  <c r="K319" i="8"/>
  <c r="L319" i="8"/>
  <c r="M319" i="8"/>
  <c r="K320" i="8"/>
  <c r="L320" i="8"/>
  <c r="M320" i="8"/>
  <c r="K321" i="8"/>
  <c r="L321" i="8"/>
  <c r="M321" i="8"/>
  <c r="K322" i="8"/>
  <c r="L322" i="8"/>
  <c r="M322" i="8"/>
  <c r="K323" i="8"/>
  <c r="L323" i="8"/>
  <c r="M323" i="8"/>
  <c r="K324" i="8"/>
  <c r="L324" i="8"/>
  <c r="M324" i="8"/>
  <c r="K325" i="8"/>
  <c r="L325" i="8"/>
  <c r="M325" i="8"/>
  <c r="K326" i="8"/>
  <c r="L326" i="8"/>
  <c r="M326" i="8"/>
  <c r="K327" i="8"/>
  <c r="L327" i="8"/>
  <c r="M327" i="8"/>
  <c r="K328" i="8"/>
  <c r="L328" i="8"/>
  <c r="M328" i="8"/>
  <c r="K329" i="8"/>
  <c r="L329" i="8"/>
  <c r="M329" i="8"/>
  <c r="K330" i="8"/>
  <c r="L330" i="8"/>
  <c r="M330" i="8"/>
  <c r="K331" i="8"/>
  <c r="L331" i="8"/>
  <c r="M331" i="8"/>
  <c r="K332" i="8"/>
  <c r="L332" i="8"/>
  <c r="M332" i="8"/>
  <c r="K333" i="8"/>
  <c r="L333" i="8"/>
  <c r="M333" i="8"/>
  <c r="K334" i="8"/>
  <c r="L334" i="8"/>
  <c r="M334" i="8"/>
  <c r="K335" i="8"/>
  <c r="L335" i="8"/>
  <c r="M335" i="8"/>
  <c r="K336" i="8"/>
  <c r="L336" i="8"/>
  <c r="M336" i="8"/>
  <c r="K337" i="8"/>
  <c r="L337" i="8"/>
  <c r="M337" i="8"/>
  <c r="K338" i="8"/>
  <c r="L338" i="8"/>
  <c r="M338" i="8"/>
  <c r="K339" i="8"/>
  <c r="L339" i="8"/>
  <c r="M339" i="8"/>
  <c r="K340" i="8"/>
  <c r="L340" i="8"/>
  <c r="M340" i="8"/>
  <c r="K341" i="8"/>
  <c r="L341" i="8"/>
  <c r="M341" i="8"/>
  <c r="K342" i="8"/>
  <c r="L342" i="8"/>
  <c r="M342" i="8"/>
  <c r="K343" i="8"/>
  <c r="L343" i="8"/>
  <c r="M343" i="8"/>
  <c r="K344" i="8"/>
  <c r="L344" i="8"/>
  <c r="M344" i="8"/>
  <c r="K345" i="8"/>
  <c r="L345" i="8"/>
  <c r="M345" i="8"/>
  <c r="K346" i="8"/>
  <c r="L346" i="8"/>
  <c r="M346" i="8"/>
  <c r="K347" i="8"/>
  <c r="L347" i="8"/>
  <c r="M347" i="8"/>
  <c r="K348" i="8"/>
  <c r="L348" i="8"/>
  <c r="M348" i="8"/>
  <c r="K349" i="8"/>
  <c r="L349" i="8"/>
  <c r="M349" i="8"/>
  <c r="K350" i="8"/>
  <c r="L350" i="8"/>
  <c r="M350" i="8"/>
  <c r="K351" i="8"/>
  <c r="L351" i="8"/>
  <c r="M351" i="8"/>
  <c r="K352" i="8"/>
  <c r="L352" i="8"/>
  <c r="M352" i="8"/>
  <c r="K353" i="8"/>
  <c r="L353" i="8"/>
  <c r="M353" i="8"/>
  <c r="K354" i="8"/>
  <c r="L354" i="8"/>
  <c r="M354" i="8"/>
  <c r="K355" i="8"/>
  <c r="L355" i="8"/>
  <c r="M355" i="8"/>
  <c r="K356" i="8"/>
  <c r="L356" i="8"/>
  <c r="M356" i="8"/>
  <c r="K357" i="8"/>
  <c r="L357" i="8"/>
  <c r="M357" i="8"/>
  <c r="K358" i="8"/>
  <c r="L358" i="8"/>
  <c r="M358" i="8"/>
  <c r="K359" i="8"/>
  <c r="L359" i="8"/>
  <c r="M359" i="8"/>
  <c r="K360" i="8"/>
  <c r="L360" i="8"/>
  <c r="M360" i="8"/>
  <c r="K361" i="8"/>
  <c r="L361" i="8"/>
  <c r="M361" i="8"/>
  <c r="K362" i="8"/>
  <c r="L362" i="8"/>
  <c r="M362" i="8"/>
  <c r="K363" i="8"/>
  <c r="L363" i="8"/>
  <c r="M363" i="8"/>
  <c r="K364" i="8"/>
  <c r="L364" i="8"/>
  <c r="M364" i="8"/>
  <c r="K365" i="8"/>
  <c r="L365" i="8"/>
  <c r="M365" i="8"/>
  <c r="K366" i="8"/>
  <c r="L366" i="8"/>
  <c r="M366" i="8"/>
  <c r="K367" i="8"/>
  <c r="L367" i="8"/>
  <c r="M367" i="8"/>
  <c r="K368" i="8"/>
  <c r="L368" i="8"/>
  <c r="M368" i="8"/>
  <c r="K369" i="8"/>
  <c r="L369" i="8"/>
  <c r="M369" i="8"/>
  <c r="K370" i="8"/>
  <c r="L370" i="8"/>
  <c r="M370" i="8"/>
  <c r="K371" i="8"/>
  <c r="L371" i="8"/>
  <c r="M371" i="8"/>
  <c r="K372" i="8"/>
  <c r="L372" i="8"/>
  <c r="M372" i="8"/>
  <c r="K373" i="8"/>
  <c r="L373" i="8"/>
  <c r="M373" i="8"/>
  <c r="K374" i="8"/>
  <c r="L374" i="8"/>
  <c r="M374" i="8"/>
  <c r="K375" i="8"/>
  <c r="L375" i="8"/>
  <c r="M375" i="8"/>
  <c r="K376" i="8"/>
  <c r="L376" i="8"/>
  <c r="M376" i="8"/>
  <c r="K377" i="8"/>
  <c r="L377" i="8"/>
  <c r="M377" i="8"/>
  <c r="K378" i="8"/>
  <c r="L378" i="8"/>
  <c r="M378" i="8"/>
  <c r="K379" i="8"/>
  <c r="L379" i="8"/>
  <c r="M379" i="8"/>
  <c r="K380" i="8"/>
  <c r="L380" i="8"/>
  <c r="M380" i="8"/>
  <c r="K381" i="8"/>
  <c r="L381" i="8"/>
  <c r="M381" i="8"/>
  <c r="K382" i="8"/>
  <c r="L382" i="8"/>
  <c r="M382" i="8"/>
  <c r="K383" i="8"/>
  <c r="L383" i="8"/>
  <c r="M383" i="8"/>
  <c r="K384" i="8"/>
  <c r="L384" i="8"/>
  <c r="M384" i="8"/>
  <c r="K385" i="8"/>
  <c r="L385" i="8"/>
  <c r="M385" i="8"/>
  <c r="K386" i="8"/>
  <c r="L386" i="8"/>
  <c r="M386" i="8"/>
  <c r="K387" i="8"/>
  <c r="L387" i="8"/>
  <c r="M387" i="8"/>
  <c r="K388" i="8"/>
  <c r="L388" i="8"/>
  <c r="M388" i="8"/>
  <c r="K389" i="8"/>
  <c r="L389" i="8"/>
  <c r="M389" i="8"/>
  <c r="K390" i="8"/>
  <c r="L390" i="8"/>
  <c r="M390" i="8"/>
  <c r="K391" i="8"/>
  <c r="L391" i="8"/>
  <c r="M391" i="8"/>
  <c r="K392" i="8"/>
  <c r="L392" i="8"/>
  <c r="M392" i="8"/>
  <c r="K393" i="8"/>
  <c r="L393" i="8"/>
  <c r="M393" i="8"/>
  <c r="K394" i="8"/>
  <c r="L394" i="8"/>
  <c r="M394" i="8"/>
  <c r="K395" i="8"/>
  <c r="L395" i="8"/>
  <c r="M395" i="8"/>
  <c r="K396" i="8"/>
  <c r="L396" i="8"/>
  <c r="M396" i="8"/>
  <c r="K397" i="8"/>
  <c r="L397" i="8"/>
  <c r="M397" i="8"/>
  <c r="K398" i="8"/>
  <c r="L398" i="8"/>
  <c r="M398" i="8"/>
  <c r="K399" i="8"/>
  <c r="L399" i="8"/>
  <c r="M399" i="8"/>
  <c r="K400" i="8"/>
  <c r="L400" i="8"/>
  <c r="M400" i="8"/>
  <c r="K401" i="8"/>
  <c r="L401" i="8"/>
  <c r="M401" i="8"/>
  <c r="K402" i="8"/>
  <c r="L402" i="8"/>
  <c r="M402" i="8"/>
  <c r="K403" i="8"/>
  <c r="L403" i="8"/>
  <c r="M403" i="8"/>
  <c r="K404" i="8"/>
  <c r="L404" i="8"/>
  <c r="M404" i="8"/>
  <c r="K405" i="8"/>
  <c r="L405" i="8"/>
  <c r="M405" i="8"/>
  <c r="K406" i="8"/>
  <c r="L406" i="8"/>
  <c r="M406" i="8"/>
  <c r="K407" i="8"/>
  <c r="L407" i="8"/>
  <c r="M407" i="8"/>
  <c r="K408" i="8"/>
  <c r="L408" i="8"/>
  <c r="M408" i="8"/>
  <c r="K409" i="8"/>
  <c r="L409" i="8"/>
  <c r="M409" i="8"/>
  <c r="K410" i="8"/>
  <c r="L410" i="8"/>
  <c r="M410" i="8"/>
  <c r="K411" i="8"/>
  <c r="L411" i="8"/>
  <c r="M411" i="8"/>
  <c r="K412" i="8"/>
  <c r="L412" i="8"/>
  <c r="M412" i="8"/>
  <c r="K413" i="8"/>
  <c r="L413" i="8"/>
  <c r="M413" i="8"/>
  <c r="K414" i="8"/>
  <c r="L414" i="8"/>
  <c r="M414" i="8"/>
  <c r="K415" i="8"/>
  <c r="L415" i="8"/>
  <c r="M415" i="8"/>
  <c r="K416" i="8"/>
  <c r="L416" i="8"/>
  <c r="M416" i="8"/>
  <c r="K417" i="8"/>
  <c r="L417" i="8"/>
  <c r="M417" i="8"/>
  <c r="K418" i="8"/>
  <c r="L418" i="8"/>
  <c r="M418" i="8"/>
  <c r="K419" i="8"/>
  <c r="L419" i="8"/>
  <c r="M419" i="8"/>
  <c r="K420" i="8"/>
  <c r="L420" i="8"/>
  <c r="M420" i="8"/>
  <c r="K421" i="8"/>
  <c r="L421" i="8"/>
  <c r="M421" i="8"/>
  <c r="K422" i="8"/>
  <c r="L422" i="8"/>
  <c r="M422" i="8"/>
  <c r="K423" i="8"/>
  <c r="L423" i="8"/>
  <c r="M423" i="8"/>
  <c r="K424" i="8"/>
  <c r="L424" i="8"/>
  <c r="M424" i="8"/>
  <c r="K425" i="8"/>
  <c r="L425" i="8"/>
  <c r="M425" i="8"/>
  <c r="K426" i="8"/>
  <c r="L426" i="8"/>
  <c r="M426" i="8"/>
  <c r="K427" i="8"/>
  <c r="L427" i="8"/>
  <c r="M427" i="8"/>
  <c r="K428" i="8"/>
  <c r="L428" i="8"/>
  <c r="M428" i="8"/>
  <c r="K429" i="8"/>
  <c r="L429" i="8"/>
  <c r="M429" i="8"/>
  <c r="K430" i="8"/>
  <c r="L430" i="8"/>
  <c r="M430" i="8"/>
  <c r="K431" i="8"/>
  <c r="L431" i="8"/>
  <c r="M431" i="8"/>
  <c r="K432" i="8"/>
  <c r="L432" i="8"/>
  <c r="M432" i="8"/>
  <c r="K433" i="8"/>
  <c r="L433" i="8"/>
  <c r="M433" i="8"/>
  <c r="K434" i="8"/>
  <c r="L434" i="8"/>
  <c r="M434" i="8"/>
  <c r="K435" i="8"/>
  <c r="L435" i="8"/>
  <c r="M435" i="8"/>
  <c r="K436" i="8"/>
  <c r="L436" i="8"/>
  <c r="M436" i="8"/>
  <c r="K437" i="8"/>
  <c r="L437" i="8"/>
  <c r="M437" i="8"/>
  <c r="K438" i="8"/>
  <c r="L438" i="8"/>
  <c r="M438" i="8"/>
  <c r="K439" i="8"/>
  <c r="L439" i="8"/>
  <c r="M439" i="8"/>
  <c r="K440" i="8"/>
  <c r="L440" i="8"/>
  <c r="M440" i="8"/>
  <c r="K441" i="8"/>
  <c r="L441" i="8"/>
  <c r="M441" i="8"/>
  <c r="K442" i="8"/>
  <c r="L442" i="8"/>
  <c r="M442" i="8"/>
  <c r="K443" i="8"/>
  <c r="L443" i="8"/>
  <c r="M443" i="8"/>
  <c r="K444" i="8"/>
  <c r="L444" i="8"/>
  <c r="M444" i="8"/>
  <c r="K445" i="8"/>
  <c r="L445" i="8"/>
  <c r="M445" i="8"/>
  <c r="K446" i="8"/>
  <c r="L446" i="8"/>
  <c r="M446" i="8"/>
  <c r="K447" i="8"/>
  <c r="L447" i="8"/>
  <c r="M447" i="8"/>
  <c r="K448" i="8"/>
  <c r="L448" i="8"/>
  <c r="M448" i="8"/>
  <c r="K449" i="8"/>
  <c r="L449" i="8"/>
  <c r="M449" i="8"/>
  <c r="K450" i="8"/>
  <c r="L450" i="8"/>
  <c r="M450" i="8"/>
  <c r="K451" i="8"/>
  <c r="L451" i="8"/>
  <c r="M451" i="8"/>
  <c r="K452" i="8"/>
  <c r="L452" i="8"/>
  <c r="M452" i="8"/>
  <c r="K453" i="8"/>
  <c r="L453" i="8"/>
  <c r="M453" i="8"/>
  <c r="K454" i="8"/>
  <c r="L454" i="8"/>
  <c r="M454" i="8"/>
  <c r="K455" i="8"/>
  <c r="L455" i="8"/>
  <c r="M455" i="8"/>
  <c r="K456" i="8"/>
  <c r="L456" i="8"/>
  <c r="M456" i="8"/>
  <c r="K457" i="8"/>
  <c r="L457" i="8"/>
  <c r="M457" i="8"/>
  <c r="K458" i="8"/>
  <c r="L458" i="8"/>
  <c r="M458" i="8"/>
  <c r="K459" i="8"/>
  <c r="L459" i="8"/>
  <c r="M459" i="8"/>
  <c r="K460" i="8"/>
  <c r="L460" i="8"/>
  <c r="M460" i="8"/>
  <c r="K461" i="8"/>
  <c r="L461" i="8"/>
  <c r="M461" i="8"/>
  <c r="K462" i="8"/>
  <c r="L462" i="8"/>
  <c r="M462" i="8"/>
  <c r="K463" i="8"/>
  <c r="L463" i="8"/>
  <c r="M463" i="8"/>
  <c r="K464" i="8"/>
  <c r="L464" i="8"/>
  <c r="M464" i="8"/>
  <c r="K465" i="8"/>
  <c r="L465" i="8"/>
  <c r="M465" i="8"/>
  <c r="K466" i="8"/>
  <c r="L466" i="8"/>
  <c r="M466" i="8"/>
  <c r="K467" i="8"/>
  <c r="L467" i="8"/>
  <c r="M467" i="8"/>
  <c r="K468" i="8"/>
  <c r="L468" i="8"/>
  <c r="M468" i="8"/>
  <c r="K469" i="8"/>
  <c r="L469" i="8"/>
  <c r="M469" i="8"/>
  <c r="K470" i="8"/>
  <c r="L470" i="8"/>
  <c r="M470" i="8"/>
  <c r="K471" i="8"/>
  <c r="L471" i="8"/>
  <c r="M471" i="8"/>
  <c r="K472" i="8"/>
  <c r="L472" i="8"/>
  <c r="M472" i="8"/>
  <c r="K473" i="8"/>
  <c r="L473" i="8"/>
  <c r="M473" i="8"/>
  <c r="K474" i="8"/>
  <c r="L474" i="8"/>
  <c r="M474" i="8"/>
  <c r="K475" i="8"/>
  <c r="L475" i="8"/>
  <c r="M475" i="8"/>
  <c r="K476" i="8"/>
  <c r="L476" i="8"/>
  <c r="M476" i="8"/>
  <c r="K477" i="8"/>
  <c r="L477" i="8"/>
  <c r="M477" i="8"/>
  <c r="K478" i="8"/>
  <c r="L478" i="8"/>
  <c r="M478" i="8"/>
  <c r="K479" i="8"/>
  <c r="L479" i="8"/>
  <c r="M479" i="8"/>
  <c r="K480" i="8"/>
  <c r="L480" i="8"/>
  <c r="M480" i="8"/>
  <c r="K481" i="8"/>
  <c r="L481" i="8"/>
  <c r="M481" i="8"/>
  <c r="K482" i="8"/>
  <c r="L482" i="8"/>
  <c r="M482" i="8"/>
  <c r="K483" i="8"/>
  <c r="L483" i="8"/>
  <c r="M483" i="8"/>
  <c r="K484" i="8"/>
  <c r="L484" i="8"/>
  <c r="M484" i="8"/>
  <c r="K485" i="8"/>
  <c r="L485" i="8"/>
  <c r="M485" i="8"/>
  <c r="K486" i="8"/>
  <c r="L486" i="8"/>
  <c r="M486" i="8"/>
  <c r="K487" i="8"/>
  <c r="L487" i="8"/>
  <c r="M487" i="8"/>
  <c r="K488" i="8"/>
  <c r="L488" i="8"/>
  <c r="M488" i="8"/>
  <c r="K489" i="8"/>
  <c r="L489" i="8"/>
  <c r="M489" i="8"/>
  <c r="K490" i="8"/>
  <c r="L490" i="8"/>
  <c r="M490" i="8"/>
  <c r="K491" i="8"/>
  <c r="L491" i="8"/>
  <c r="M491" i="8"/>
  <c r="K492" i="8"/>
  <c r="L492" i="8"/>
  <c r="M492" i="8"/>
  <c r="K493" i="8"/>
  <c r="L493" i="8"/>
  <c r="M493" i="8"/>
  <c r="K494" i="8"/>
  <c r="L494" i="8"/>
  <c r="M494" i="8"/>
  <c r="K495" i="8"/>
  <c r="L495" i="8"/>
  <c r="M495" i="8"/>
  <c r="K496" i="8"/>
  <c r="L496" i="8"/>
  <c r="M496" i="8"/>
  <c r="K497" i="8"/>
  <c r="L497" i="8"/>
  <c r="M497" i="8"/>
  <c r="K498" i="8"/>
  <c r="L498" i="8"/>
  <c r="M498" i="8"/>
  <c r="K499" i="8"/>
  <c r="L499" i="8"/>
  <c r="M499" i="8"/>
  <c r="K500" i="8"/>
  <c r="L500" i="8"/>
  <c r="M500" i="8"/>
  <c r="K501" i="8"/>
  <c r="L501" i="8"/>
  <c r="M501" i="8"/>
  <c r="K502" i="8"/>
  <c r="L502" i="8"/>
  <c r="M502" i="8"/>
  <c r="K503" i="8"/>
  <c r="L503" i="8"/>
  <c r="M503" i="8"/>
  <c r="K504" i="8"/>
  <c r="L504" i="8"/>
  <c r="M504" i="8"/>
  <c r="K505" i="8"/>
  <c r="L505" i="8"/>
  <c r="M505" i="8"/>
  <c r="K506" i="8"/>
  <c r="L506" i="8"/>
  <c r="M506" i="8"/>
  <c r="K507" i="8"/>
  <c r="L507" i="8"/>
  <c r="M507" i="8"/>
  <c r="K508" i="8"/>
  <c r="L508" i="8"/>
  <c r="M508" i="8"/>
  <c r="K509" i="8"/>
  <c r="L509" i="8"/>
  <c r="M509" i="8"/>
  <c r="K510" i="8"/>
  <c r="L510" i="8"/>
  <c r="M510" i="8"/>
  <c r="K511" i="8"/>
  <c r="L511" i="8"/>
  <c r="M511" i="8"/>
  <c r="K512" i="8"/>
  <c r="L512" i="8"/>
  <c r="M512" i="8"/>
  <c r="K513" i="8"/>
  <c r="L513" i="8"/>
  <c r="M513" i="8"/>
  <c r="K514" i="8"/>
  <c r="L514" i="8"/>
  <c r="M514" i="8"/>
  <c r="K515" i="8"/>
  <c r="L515" i="8"/>
  <c r="M515" i="8"/>
  <c r="K516" i="8"/>
  <c r="L516" i="8"/>
  <c r="M516" i="8"/>
  <c r="K517" i="8"/>
  <c r="L517" i="8"/>
  <c r="M517" i="8"/>
  <c r="K518" i="8"/>
  <c r="L518" i="8"/>
  <c r="M518" i="8"/>
  <c r="K519" i="8"/>
  <c r="L519" i="8"/>
  <c r="M519" i="8"/>
  <c r="K520" i="8"/>
  <c r="L520" i="8"/>
  <c r="M520" i="8"/>
  <c r="K521" i="8"/>
  <c r="L521" i="8"/>
  <c r="M521" i="8"/>
  <c r="K522" i="8"/>
  <c r="L522" i="8"/>
  <c r="M522" i="8"/>
  <c r="K523" i="8"/>
  <c r="L523" i="8"/>
  <c r="M523" i="8"/>
  <c r="K524" i="8"/>
  <c r="L524" i="8"/>
  <c r="M524" i="8"/>
  <c r="K525" i="8"/>
  <c r="L525" i="8"/>
  <c r="M525" i="8"/>
  <c r="K526" i="8"/>
  <c r="L526" i="8"/>
  <c r="M526" i="8"/>
  <c r="K527" i="8"/>
  <c r="L527" i="8"/>
  <c r="M527" i="8"/>
  <c r="K528" i="8"/>
  <c r="L528" i="8"/>
  <c r="M528" i="8"/>
  <c r="K529" i="8"/>
  <c r="L529" i="8"/>
  <c r="M529" i="8"/>
  <c r="K530" i="8"/>
  <c r="L530" i="8"/>
  <c r="M530" i="8"/>
  <c r="K531" i="8"/>
  <c r="L531" i="8"/>
  <c r="M531" i="8"/>
  <c r="K532" i="8"/>
  <c r="L532" i="8"/>
  <c r="M532" i="8"/>
  <c r="K533" i="8"/>
  <c r="L533" i="8"/>
  <c r="M533" i="8"/>
  <c r="K534" i="8"/>
  <c r="L534" i="8"/>
  <c r="M534" i="8"/>
  <c r="K535" i="8"/>
  <c r="L535" i="8"/>
  <c r="M535" i="8"/>
  <c r="K536" i="8"/>
  <c r="L536" i="8"/>
  <c r="M536" i="8"/>
  <c r="K537" i="8"/>
  <c r="L537" i="8"/>
  <c r="M537" i="8"/>
  <c r="K538" i="8"/>
  <c r="L538" i="8"/>
  <c r="M538" i="8"/>
  <c r="K539" i="8"/>
  <c r="L539" i="8"/>
  <c r="M539" i="8"/>
  <c r="K540" i="8"/>
  <c r="L540" i="8"/>
  <c r="M540" i="8"/>
  <c r="K541" i="8"/>
  <c r="L541" i="8"/>
  <c r="M541" i="8"/>
  <c r="K542" i="8"/>
  <c r="L542" i="8"/>
  <c r="M542" i="8"/>
  <c r="K543" i="8"/>
  <c r="L543" i="8"/>
  <c r="M543" i="8"/>
  <c r="K544" i="8"/>
  <c r="L544" i="8"/>
  <c r="M544" i="8"/>
  <c r="K545" i="8"/>
  <c r="L545" i="8"/>
  <c r="M545" i="8"/>
  <c r="K546" i="8"/>
  <c r="L546" i="8"/>
  <c r="M546" i="8"/>
  <c r="K547" i="8"/>
  <c r="L547" i="8"/>
  <c r="M547" i="8"/>
  <c r="K548" i="8"/>
  <c r="L548" i="8"/>
  <c r="M548" i="8"/>
  <c r="K549" i="8"/>
  <c r="L549" i="8"/>
  <c r="M549" i="8"/>
  <c r="K550" i="8"/>
  <c r="L550" i="8"/>
  <c r="M550" i="8"/>
  <c r="K551" i="8"/>
  <c r="L551" i="8"/>
  <c r="M551" i="8"/>
  <c r="K552" i="8"/>
  <c r="L552" i="8"/>
  <c r="M552" i="8"/>
  <c r="K553" i="8"/>
  <c r="L553" i="8"/>
  <c r="M553" i="8"/>
  <c r="K554" i="8"/>
  <c r="L554" i="8"/>
  <c r="M554" i="8"/>
  <c r="K555" i="8"/>
  <c r="L555" i="8"/>
  <c r="M555" i="8"/>
  <c r="K556" i="8"/>
  <c r="L556" i="8"/>
  <c r="M556" i="8"/>
  <c r="K557" i="8"/>
  <c r="L557" i="8"/>
  <c r="M557" i="8"/>
  <c r="K558" i="8"/>
  <c r="L558" i="8"/>
  <c r="M558" i="8"/>
  <c r="K559" i="8"/>
  <c r="L559" i="8"/>
  <c r="M559" i="8"/>
  <c r="K560" i="8"/>
  <c r="L560" i="8"/>
  <c r="M560" i="8"/>
  <c r="K561" i="8"/>
  <c r="L561" i="8"/>
  <c r="M561" i="8"/>
  <c r="K562" i="8"/>
  <c r="L562" i="8"/>
  <c r="M562" i="8"/>
  <c r="K563" i="8"/>
  <c r="L563" i="8"/>
  <c r="M563" i="8"/>
  <c r="K564" i="8"/>
  <c r="L564" i="8"/>
  <c r="M564" i="8"/>
  <c r="K565" i="8"/>
  <c r="L565" i="8"/>
  <c r="M565" i="8"/>
  <c r="K566" i="8"/>
  <c r="L566" i="8"/>
  <c r="M566" i="8"/>
  <c r="K567" i="8"/>
  <c r="L567" i="8"/>
  <c r="M567" i="8"/>
  <c r="K568" i="8"/>
  <c r="L568" i="8"/>
  <c r="M568" i="8"/>
  <c r="K569" i="8"/>
  <c r="L569" i="8"/>
  <c r="M569" i="8"/>
  <c r="K570" i="8"/>
  <c r="L570" i="8"/>
  <c r="M570" i="8"/>
  <c r="K571" i="8"/>
  <c r="L571" i="8"/>
  <c r="M571" i="8"/>
  <c r="K572" i="8"/>
  <c r="L572" i="8"/>
  <c r="M572" i="8"/>
  <c r="K573" i="8"/>
  <c r="L573" i="8"/>
  <c r="M573" i="8"/>
  <c r="K574" i="8"/>
  <c r="L574" i="8"/>
  <c r="M574" i="8"/>
  <c r="K575" i="8"/>
  <c r="L575" i="8"/>
  <c r="M575" i="8"/>
  <c r="K576" i="8"/>
  <c r="L576" i="8"/>
  <c r="M576" i="8"/>
  <c r="K577" i="8"/>
  <c r="L577" i="8"/>
  <c r="M577" i="8"/>
  <c r="K578" i="8"/>
  <c r="L578" i="8"/>
  <c r="M578" i="8"/>
  <c r="K579" i="8"/>
  <c r="L579" i="8"/>
  <c r="M579" i="8"/>
  <c r="K580" i="8"/>
  <c r="L580" i="8"/>
  <c r="M580" i="8"/>
  <c r="K581" i="8"/>
  <c r="L581" i="8"/>
  <c r="M581" i="8"/>
  <c r="K582" i="8"/>
  <c r="L582" i="8"/>
  <c r="M582" i="8"/>
  <c r="K583" i="8"/>
  <c r="L583" i="8"/>
  <c r="M583" i="8"/>
  <c r="K584" i="8"/>
  <c r="L584" i="8"/>
  <c r="M584" i="8"/>
  <c r="K585" i="8"/>
  <c r="L585" i="8"/>
  <c r="M585" i="8"/>
  <c r="K586" i="8"/>
  <c r="L586" i="8"/>
  <c r="M586" i="8"/>
  <c r="K587" i="8"/>
  <c r="L587" i="8"/>
  <c r="M587" i="8"/>
  <c r="K588" i="8"/>
  <c r="L588" i="8"/>
  <c r="M588" i="8"/>
  <c r="K589" i="8"/>
  <c r="L589" i="8"/>
  <c r="M589" i="8"/>
  <c r="K590" i="8"/>
  <c r="L590" i="8"/>
  <c r="M590" i="8"/>
  <c r="K591" i="8"/>
  <c r="L591" i="8"/>
  <c r="M591" i="8"/>
  <c r="K592" i="8"/>
  <c r="L592" i="8"/>
  <c r="M592" i="8"/>
  <c r="K593" i="8"/>
  <c r="L593" i="8"/>
  <c r="M593" i="8"/>
  <c r="K594" i="8"/>
  <c r="L594" i="8"/>
  <c r="M594" i="8"/>
  <c r="K595" i="8"/>
  <c r="L595" i="8"/>
  <c r="M595" i="8"/>
  <c r="K596" i="8"/>
  <c r="L596" i="8"/>
  <c r="M596" i="8"/>
  <c r="K597" i="8"/>
  <c r="L597" i="8"/>
  <c r="M597" i="8"/>
  <c r="K598" i="8"/>
  <c r="L598" i="8"/>
  <c r="M598" i="8"/>
  <c r="K599" i="8"/>
  <c r="L599" i="8"/>
  <c r="M599" i="8"/>
  <c r="K600" i="8"/>
  <c r="L600" i="8"/>
  <c r="M600" i="8"/>
  <c r="K601" i="8"/>
  <c r="L601" i="8"/>
  <c r="M601" i="8"/>
  <c r="K602" i="8"/>
  <c r="L602" i="8"/>
  <c r="M602" i="8"/>
  <c r="K603" i="8"/>
  <c r="L603" i="8"/>
  <c r="M603" i="8"/>
  <c r="K604" i="8"/>
  <c r="L604" i="8"/>
  <c r="M604" i="8"/>
  <c r="K605" i="8"/>
  <c r="L605" i="8"/>
  <c r="M605" i="8"/>
  <c r="K606" i="8"/>
  <c r="L606" i="8"/>
  <c r="M606" i="8"/>
  <c r="K607" i="8"/>
  <c r="L607" i="8"/>
  <c r="M607" i="8"/>
  <c r="K608" i="8"/>
  <c r="L608" i="8"/>
  <c r="M608" i="8"/>
  <c r="K609" i="8"/>
  <c r="L609" i="8"/>
  <c r="M609" i="8"/>
  <c r="K610" i="8"/>
  <c r="L610" i="8"/>
  <c r="M610" i="8"/>
  <c r="K611" i="8"/>
  <c r="L611" i="8"/>
  <c r="M611" i="8"/>
  <c r="K612" i="8"/>
  <c r="L612" i="8"/>
  <c r="M612" i="8"/>
  <c r="K613" i="8"/>
  <c r="L613" i="8"/>
  <c r="M613" i="8"/>
  <c r="K614" i="8"/>
  <c r="L614" i="8"/>
  <c r="M614" i="8"/>
  <c r="K615" i="8"/>
  <c r="L615" i="8"/>
  <c r="M615" i="8"/>
  <c r="K616" i="8"/>
  <c r="L616" i="8"/>
  <c r="M616" i="8"/>
  <c r="K617" i="8"/>
  <c r="L617" i="8"/>
  <c r="M617" i="8"/>
  <c r="K618" i="8"/>
  <c r="L618" i="8"/>
  <c r="M618" i="8"/>
  <c r="K619" i="8"/>
  <c r="L619" i="8"/>
  <c r="M619" i="8"/>
  <c r="K620" i="8"/>
  <c r="L620" i="8"/>
  <c r="M620" i="8"/>
  <c r="K621" i="8"/>
  <c r="L621" i="8"/>
  <c r="M621" i="8"/>
  <c r="K622" i="8"/>
  <c r="L622" i="8"/>
  <c r="M622" i="8"/>
  <c r="K623" i="8"/>
  <c r="L623" i="8"/>
  <c r="M623" i="8"/>
  <c r="K624" i="8"/>
  <c r="L624" i="8"/>
  <c r="M624" i="8"/>
  <c r="K625" i="8"/>
  <c r="L625" i="8"/>
  <c r="M625" i="8"/>
  <c r="K626" i="8"/>
  <c r="L626" i="8"/>
  <c r="M626" i="8"/>
  <c r="K627" i="8"/>
  <c r="L627" i="8"/>
  <c r="M627" i="8"/>
  <c r="K628" i="8"/>
  <c r="L628" i="8"/>
  <c r="M628" i="8"/>
  <c r="K629" i="8"/>
  <c r="L629" i="8"/>
  <c r="M629" i="8"/>
  <c r="K630" i="8"/>
  <c r="L630" i="8"/>
  <c r="M630" i="8"/>
  <c r="K631" i="8"/>
  <c r="L631" i="8"/>
  <c r="M631" i="8"/>
  <c r="K632" i="8"/>
  <c r="L632" i="8"/>
  <c r="M632" i="8"/>
  <c r="K633" i="8"/>
  <c r="L633" i="8"/>
  <c r="M633" i="8"/>
  <c r="K634" i="8"/>
  <c r="L634" i="8"/>
  <c r="M634" i="8"/>
  <c r="K635" i="8"/>
  <c r="L635" i="8"/>
  <c r="M635" i="8"/>
  <c r="K636" i="8"/>
  <c r="L636" i="8"/>
  <c r="M636" i="8"/>
  <c r="K637" i="8"/>
  <c r="L637" i="8"/>
  <c r="M637" i="8"/>
  <c r="K638" i="8"/>
  <c r="L638" i="8"/>
  <c r="M638" i="8"/>
  <c r="K639" i="8"/>
  <c r="L639" i="8"/>
  <c r="M639" i="8"/>
  <c r="K640" i="8"/>
  <c r="L640" i="8"/>
  <c r="M640" i="8"/>
  <c r="K641" i="8"/>
  <c r="L641" i="8"/>
  <c r="M641" i="8"/>
  <c r="K642" i="8"/>
  <c r="L642" i="8"/>
  <c r="M642" i="8"/>
  <c r="K643" i="8"/>
  <c r="L643" i="8"/>
  <c r="M643" i="8"/>
  <c r="K644" i="8"/>
  <c r="L644" i="8"/>
  <c r="M644" i="8"/>
  <c r="K645" i="8"/>
  <c r="L645" i="8"/>
  <c r="M645" i="8"/>
  <c r="K646" i="8"/>
  <c r="L646" i="8"/>
  <c r="M646" i="8"/>
  <c r="K647" i="8"/>
  <c r="L647" i="8"/>
  <c r="M647" i="8"/>
  <c r="K648" i="8"/>
  <c r="L648" i="8"/>
  <c r="M648" i="8"/>
  <c r="K649" i="8"/>
  <c r="L649" i="8"/>
  <c r="M649" i="8"/>
  <c r="K650" i="8"/>
  <c r="L650" i="8"/>
  <c r="M650" i="8"/>
  <c r="K651" i="8"/>
  <c r="L651" i="8"/>
  <c r="M651" i="8"/>
  <c r="K652" i="8"/>
  <c r="L652" i="8"/>
  <c r="M652" i="8"/>
  <c r="K653" i="8"/>
  <c r="L653" i="8"/>
  <c r="M653" i="8"/>
  <c r="K654" i="8"/>
  <c r="L654" i="8"/>
  <c r="M654" i="8"/>
  <c r="K655" i="8"/>
  <c r="L655" i="8"/>
  <c r="M655" i="8"/>
  <c r="K656" i="8"/>
  <c r="L656" i="8"/>
  <c r="M656" i="8"/>
  <c r="K657" i="8"/>
  <c r="L657" i="8"/>
  <c r="M657" i="8"/>
  <c r="K658" i="8"/>
  <c r="L658" i="8"/>
  <c r="M658" i="8"/>
  <c r="K659" i="8"/>
  <c r="L659" i="8"/>
  <c r="M659" i="8"/>
  <c r="K660" i="8"/>
  <c r="L660" i="8"/>
  <c r="M660" i="8"/>
  <c r="K661" i="8"/>
  <c r="L661" i="8"/>
  <c r="M661" i="8"/>
  <c r="K662" i="8"/>
  <c r="L662" i="8"/>
  <c r="M662" i="8"/>
  <c r="K663" i="8"/>
  <c r="L663" i="8"/>
  <c r="M663" i="8"/>
  <c r="K664" i="8"/>
  <c r="L664" i="8"/>
  <c r="M664" i="8"/>
  <c r="K665" i="8"/>
  <c r="L665" i="8"/>
  <c r="M665" i="8"/>
  <c r="K666" i="8"/>
  <c r="L666" i="8"/>
  <c r="M666" i="8"/>
  <c r="K667" i="8"/>
  <c r="L667" i="8"/>
  <c r="M667" i="8"/>
  <c r="K668" i="8"/>
  <c r="L668" i="8"/>
  <c r="M668" i="8"/>
  <c r="K669" i="8"/>
  <c r="L669" i="8"/>
  <c r="M669" i="8"/>
  <c r="K670" i="8"/>
  <c r="L670" i="8"/>
  <c r="M670" i="8"/>
  <c r="K671" i="8"/>
  <c r="L671" i="8"/>
  <c r="M671" i="8"/>
  <c r="K672" i="8"/>
  <c r="L672" i="8"/>
  <c r="M672" i="8"/>
  <c r="K673" i="8"/>
  <c r="L673" i="8"/>
  <c r="M673" i="8"/>
  <c r="K674" i="8"/>
  <c r="L674" i="8"/>
  <c r="M674" i="8"/>
  <c r="K675" i="8"/>
  <c r="L675" i="8"/>
  <c r="M675" i="8"/>
  <c r="K676" i="8"/>
  <c r="L676" i="8"/>
  <c r="M676" i="8"/>
  <c r="K677" i="8"/>
  <c r="L677" i="8"/>
  <c r="M677" i="8"/>
  <c r="K678" i="8"/>
  <c r="L678" i="8"/>
  <c r="M678" i="8"/>
  <c r="K679" i="8"/>
  <c r="L679" i="8"/>
  <c r="M679" i="8"/>
  <c r="K680" i="8"/>
  <c r="L680" i="8"/>
  <c r="M680" i="8"/>
  <c r="K681" i="8"/>
  <c r="L681" i="8"/>
  <c r="M681" i="8"/>
  <c r="K682" i="8"/>
  <c r="L682" i="8"/>
  <c r="M682" i="8"/>
  <c r="K683" i="8"/>
  <c r="L683" i="8"/>
  <c r="M683" i="8"/>
  <c r="K684" i="8"/>
  <c r="L684" i="8"/>
  <c r="M684" i="8"/>
  <c r="K685" i="8"/>
  <c r="L685" i="8"/>
  <c r="M685" i="8"/>
  <c r="K686" i="8"/>
  <c r="L686" i="8"/>
  <c r="M686" i="8"/>
  <c r="K687" i="8"/>
  <c r="L687" i="8"/>
  <c r="M687" i="8"/>
  <c r="K688" i="8"/>
  <c r="L688" i="8"/>
  <c r="M688" i="8"/>
  <c r="K689" i="8"/>
  <c r="L689" i="8"/>
  <c r="M689" i="8"/>
  <c r="K690" i="8"/>
  <c r="L690" i="8"/>
  <c r="M690" i="8"/>
  <c r="K691" i="8"/>
  <c r="L691" i="8"/>
  <c r="M691" i="8"/>
  <c r="K692" i="8"/>
  <c r="L692" i="8"/>
  <c r="M692" i="8"/>
  <c r="K693" i="8"/>
  <c r="L693" i="8"/>
  <c r="M693" i="8"/>
  <c r="K694" i="8"/>
  <c r="L694" i="8"/>
  <c r="M694" i="8"/>
  <c r="K695" i="8"/>
  <c r="L695" i="8"/>
  <c r="M695" i="8"/>
  <c r="K696" i="8"/>
  <c r="L696" i="8"/>
  <c r="M696" i="8"/>
  <c r="K697" i="8"/>
  <c r="L697" i="8"/>
  <c r="M697" i="8"/>
  <c r="K698" i="8"/>
  <c r="L698" i="8"/>
  <c r="M698" i="8"/>
  <c r="K699" i="8"/>
  <c r="L699" i="8"/>
  <c r="M699" i="8"/>
  <c r="K700" i="8"/>
  <c r="L700" i="8"/>
  <c r="M700" i="8"/>
  <c r="K701" i="8"/>
  <c r="L701" i="8"/>
  <c r="M701" i="8"/>
  <c r="K702" i="8"/>
  <c r="L702" i="8"/>
  <c r="M702" i="8"/>
  <c r="K703" i="8"/>
  <c r="L703" i="8"/>
  <c r="M703" i="8"/>
  <c r="K704" i="8"/>
  <c r="L704" i="8"/>
  <c r="M704" i="8"/>
  <c r="K705" i="8"/>
  <c r="L705" i="8"/>
  <c r="M705" i="8"/>
  <c r="K706" i="8"/>
  <c r="L706" i="8"/>
  <c r="M706" i="8"/>
  <c r="K707" i="8"/>
  <c r="L707" i="8"/>
  <c r="M707" i="8"/>
  <c r="K708" i="8"/>
  <c r="L708" i="8"/>
  <c r="M708" i="8"/>
  <c r="K709" i="8"/>
  <c r="L709" i="8"/>
  <c r="M709" i="8"/>
  <c r="K710" i="8"/>
  <c r="L710" i="8"/>
  <c r="M710" i="8"/>
  <c r="K711" i="8"/>
  <c r="L711" i="8"/>
  <c r="M711" i="8"/>
  <c r="K712" i="8"/>
  <c r="L712" i="8"/>
  <c r="M712" i="8"/>
  <c r="K713" i="8"/>
  <c r="L713" i="8"/>
  <c r="M713" i="8"/>
  <c r="K714" i="8"/>
  <c r="L714" i="8"/>
  <c r="M714" i="8"/>
  <c r="K715" i="8"/>
  <c r="L715" i="8"/>
  <c r="M715" i="8"/>
  <c r="K716" i="8"/>
  <c r="L716" i="8"/>
  <c r="M716" i="8"/>
  <c r="K717" i="8"/>
  <c r="L717" i="8"/>
  <c r="M717" i="8"/>
  <c r="K718" i="8"/>
  <c r="L718" i="8"/>
  <c r="M718" i="8"/>
  <c r="K719" i="8"/>
  <c r="L719" i="8"/>
  <c r="M719" i="8"/>
  <c r="K720" i="8"/>
  <c r="L720" i="8"/>
  <c r="M720" i="8"/>
  <c r="K721" i="8"/>
  <c r="L721" i="8"/>
  <c r="M721" i="8"/>
  <c r="K722" i="8"/>
  <c r="L722" i="8"/>
  <c r="M722" i="8"/>
  <c r="K723" i="8"/>
  <c r="L723" i="8"/>
  <c r="M723" i="8"/>
  <c r="K724" i="8"/>
  <c r="L724" i="8"/>
  <c r="M724" i="8"/>
  <c r="K725" i="8"/>
  <c r="L725" i="8"/>
  <c r="M725" i="8"/>
  <c r="K726" i="8"/>
  <c r="L726" i="8"/>
  <c r="M726" i="8"/>
  <c r="K727" i="8"/>
  <c r="L727" i="8"/>
  <c r="M727" i="8"/>
  <c r="K728" i="8"/>
  <c r="L728" i="8"/>
  <c r="M728" i="8"/>
  <c r="K729" i="8"/>
  <c r="L729" i="8"/>
  <c r="M729" i="8"/>
  <c r="K730" i="8"/>
  <c r="L730" i="8"/>
  <c r="M730" i="8"/>
  <c r="M2" i="8"/>
  <c r="L2" i="8"/>
  <c r="K2" i="8"/>
  <c r="S6" i="8"/>
  <c r="B26" i="7" s="1"/>
  <c r="S2" i="8"/>
  <c r="S4" i="8" s="1"/>
  <c r="N2" i="8" l="1"/>
  <c r="B27" i="7" s="1"/>
  <c r="O2" i="8"/>
  <c r="B28" i="7" s="1"/>
  <c r="P2" i="8"/>
  <c r="B29" i="7" s="1"/>
  <c r="P2" i="11"/>
  <c r="E29" i="7" s="1"/>
  <c r="P2" i="10"/>
  <c r="D29" i="7" s="1"/>
  <c r="N2" i="9"/>
  <c r="C27" i="7" s="1"/>
  <c r="O2" i="9"/>
  <c r="C28" i="7" s="1"/>
  <c r="P2" i="9"/>
  <c r="C29" i="7" s="1"/>
  <c r="N2" i="11"/>
  <c r="E27" i="7" s="1"/>
  <c r="O2" i="11"/>
  <c r="E28" i="7" s="1"/>
  <c r="N2" i="10"/>
  <c r="D27" i="7" s="1"/>
  <c r="O2" i="10"/>
  <c r="D28" i="7" s="1"/>
  <c r="D4" i="12"/>
  <c r="E4" i="12"/>
  <c r="K4" i="12"/>
  <c r="L4" i="12" s="1"/>
  <c r="D5" i="12"/>
  <c r="E5" i="12" s="1"/>
  <c r="K5" i="12"/>
  <c r="L5" i="12"/>
  <c r="M5" i="12" s="1"/>
  <c r="D6" i="12"/>
  <c r="E6" i="12"/>
  <c r="K6" i="12"/>
  <c r="L6" i="12" s="1"/>
  <c r="M6" i="12" s="1"/>
  <c r="D7" i="12"/>
  <c r="E7" i="12" s="1"/>
  <c r="F7" i="12" s="1"/>
  <c r="K7" i="12"/>
  <c r="L7" i="12"/>
  <c r="D8" i="12"/>
  <c r="E8" i="12"/>
  <c r="K8" i="12"/>
  <c r="L8" i="12" s="1"/>
  <c r="D9" i="12"/>
  <c r="E9" i="12" s="1"/>
  <c r="K9" i="12"/>
  <c r="L9" i="12"/>
  <c r="M9" i="12" s="1"/>
  <c r="D24" i="12"/>
  <c r="E24" i="12"/>
  <c r="K24" i="12"/>
  <c r="L24" i="12" s="1"/>
  <c r="D25" i="12"/>
  <c r="E25" i="12" s="1"/>
  <c r="K25" i="12"/>
  <c r="L25" i="12"/>
  <c r="D26" i="12"/>
  <c r="E26" i="12"/>
  <c r="K26" i="12"/>
  <c r="L26" i="12" s="1"/>
  <c r="D27" i="12"/>
  <c r="E27" i="12" s="1"/>
  <c r="K27" i="12"/>
  <c r="L27" i="12"/>
  <c r="M27" i="12" s="1"/>
  <c r="D28" i="12"/>
  <c r="E28" i="12"/>
  <c r="K28" i="12"/>
  <c r="L28" i="12" s="1"/>
  <c r="D29" i="12"/>
  <c r="E29" i="12" s="1"/>
  <c r="F29" i="12" s="1"/>
  <c r="K29" i="12"/>
  <c r="L29" i="12"/>
  <c r="F25" i="12" l="1"/>
  <c r="F24" i="12"/>
  <c r="F26" i="12"/>
  <c r="F28" i="12"/>
  <c r="M28" i="12"/>
  <c r="M24" i="12"/>
  <c r="M29" i="12"/>
  <c r="F27" i="12"/>
  <c r="M25" i="12"/>
  <c r="F9" i="12"/>
  <c r="M7" i="12"/>
  <c r="F5" i="12"/>
  <c r="F4" i="12"/>
  <c r="F6" i="12"/>
  <c r="F8" i="12"/>
  <c r="M26" i="12"/>
  <c r="M8" i="12"/>
  <c r="M4" i="12"/>
  <c r="C24" i="7"/>
  <c r="D24" i="7"/>
  <c r="E24" i="7"/>
  <c r="C25" i="7"/>
  <c r="D25" i="7"/>
  <c r="E25" i="7"/>
  <c r="B25" i="7"/>
  <c r="B24" i="7"/>
  <c r="F16" i="7" l="1"/>
  <c r="L6" i="5"/>
  <c r="L6" i="4"/>
  <c r="L6" i="3"/>
  <c r="L6" i="2"/>
  <c r="E18" i="7"/>
  <c r="E19" i="7"/>
  <c r="E17" i="7"/>
  <c r="D18" i="7"/>
  <c r="D19" i="7"/>
  <c r="D17" i="7"/>
  <c r="C19" i="7"/>
  <c r="C18" i="7"/>
  <c r="C17" i="7"/>
  <c r="C16" i="7" l="1"/>
  <c r="E16" i="7"/>
  <c r="D16" i="7"/>
  <c r="O4" i="5"/>
  <c r="O5" i="5" s="1"/>
  <c r="O6" i="5" s="1"/>
  <c r="O7" i="5" s="1"/>
  <c r="O8" i="5" s="1"/>
  <c r="O9" i="5" s="1"/>
  <c r="O10" i="5" s="1"/>
  <c r="O11" i="5"/>
  <c r="O12" i="5" s="1"/>
  <c r="O13" i="5" s="1"/>
  <c r="O14" i="5" s="1"/>
  <c r="O15" i="5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O103" i="5" s="1"/>
  <c r="O104" i="5" s="1"/>
  <c r="O105" i="5" s="1"/>
  <c r="O106" i="5" s="1"/>
  <c r="O107" i="5" s="1"/>
  <c r="O108" i="5" s="1"/>
  <c r="O109" i="5" s="1"/>
  <c r="O110" i="5" s="1"/>
  <c r="O111" i="5" s="1"/>
  <c r="O112" i="5" s="1"/>
  <c r="O113" i="5" s="1"/>
  <c r="O114" i="5" s="1"/>
  <c r="O115" i="5" s="1"/>
  <c r="O116" i="5" s="1"/>
  <c r="O117" i="5" s="1"/>
  <c r="O118" i="5" s="1"/>
  <c r="O119" i="5" s="1"/>
  <c r="O120" i="5" s="1"/>
  <c r="O121" i="5" s="1"/>
  <c r="O122" i="5" s="1"/>
  <c r="O123" i="5" s="1"/>
  <c r="O124" i="5" s="1"/>
  <c r="O125" i="5" s="1"/>
  <c r="O126" i="5" s="1"/>
  <c r="O127" i="5" s="1"/>
  <c r="O128" i="5" s="1"/>
  <c r="O129" i="5" s="1"/>
  <c r="O130" i="5" s="1"/>
  <c r="O131" i="5" s="1"/>
  <c r="O132" i="5" s="1"/>
  <c r="O133" i="5" s="1"/>
  <c r="O134" i="5" s="1"/>
  <c r="O135" i="5" s="1"/>
  <c r="O136" i="5" s="1"/>
  <c r="O137" i="5" s="1"/>
  <c r="O138" i="5" s="1"/>
  <c r="O139" i="5" s="1"/>
  <c r="O140" i="5" s="1"/>
  <c r="O141" i="5" s="1"/>
  <c r="O142" i="5" s="1"/>
  <c r="O143" i="5" s="1"/>
  <c r="O144" i="5" s="1"/>
  <c r="O145" i="5" s="1"/>
  <c r="O146" i="5" s="1"/>
  <c r="O147" i="5" s="1"/>
  <c r="O148" i="5" s="1"/>
  <c r="O149" i="5" s="1"/>
  <c r="O150" i="5" s="1"/>
  <c r="O151" i="5" s="1"/>
  <c r="O152" i="5" s="1"/>
  <c r="O153" i="5" s="1"/>
  <c r="O154" i="5" s="1"/>
  <c r="O155" i="5" s="1"/>
  <c r="O156" i="5" s="1"/>
  <c r="O157" i="5" s="1"/>
  <c r="O158" i="5" s="1"/>
  <c r="O159" i="5" s="1"/>
  <c r="O160" i="5" s="1"/>
  <c r="O161" i="5" s="1"/>
  <c r="O162" i="5" s="1"/>
  <c r="O163" i="5" s="1"/>
  <c r="O164" i="5" s="1"/>
  <c r="O165" i="5" s="1"/>
  <c r="O166" i="5" s="1"/>
  <c r="O167" i="5" s="1"/>
  <c r="O168" i="5" s="1"/>
  <c r="O169" i="5" s="1"/>
  <c r="O170" i="5" s="1"/>
  <c r="O171" i="5" s="1"/>
  <c r="O172" i="5" s="1"/>
  <c r="O173" i="5" s="1"/>
  <c r="O174" i="5" s="1"/>
  <c r="O175" i="5" s="1"/>
  <c r="O176" i="5" s="1"/>
  <c r="O177" i="5" s="1"/>
  <c r="O178" i="5" s="1"/>
  <c r="O179" i="5" s="1"/>
  <c r="O180" i="5" s="1"/>
  <c r="O181" i="5" s="1"/>
  <c r="O182" i="5" s="1"/>
  <c r="O183" i="5" s="1"/>
  <c r="O184" i="5" s="1"/>
  <c r="O185" i="5" s="1"/>
  <c r="O186" i="5" s="1"/>
  <c r="O187" i="5" s="1"/>
  <c r="O188" i="5" s="1"/>
  <c r="O189" i="5" s="1"/>
  <c r="O190" i="5" s="1"/>
  <c r="O191" i="5" s="1"/>
  <c r="O192" i="5" s="1"/>
  <c r="O193" i="5" s="1"/>
  <c r="O194" i="5" s="1"/>
  <c r="O195" i="5" s="1"/>
  <c r="O196" i="5" s="1"/>
  <c r="O197" i="5" s="1"/>
  <c r="O198" i="5" s="1"/>
  <c r="O199" i="5" s="1"/>
  <c r="O200" i="5" s="1"/>
  <c r="O201" i="5" s="1"/>
  <c r="O202" i="5" s="1"/>
  <c r="O203" i="5" s="1"/>
  <c r="O204" i="5" s="1"/>
  <c r="O205" i="5" s="1"/>
  <c r="O206" i="5" s="1"/>
  <c r="O207" i="5" s="1"/>
  <c r="O208" i="5" s="1"/>
  <c r="O209" i="5" s="1"/>
  <c r="O210" i="5" s="1"/>
  <c r="O211" i="5" s="1"/>
  <c r="O212" i="5" s="1"/>
  <c r="O213" i="5" s="1"/>
  <c r="O214" i="5" s="1"/>
  <c r="O215" i="5" s="1"/>
  <c r="O216" i="5" s="1"/>
  <c r="O217" i="5" s="1"/>
  <c r="O218" i="5" s="1"/>
  <c r="O219" i="5" s="1"/>
  <c r="O220" i="5" s="1"/>
  <c r="O221" i="5" s="1"/>
  <c r="O222" i="5" s="1"/>
  <c r="O223" i="5" s="1"/>
  <c r="O224" i="5" s="1"/>
  <c r="O225" i="5" s="1"/>
  <c r="O226" i="5" s="1"/>
  <c r="O227" i="5" s="1"/>
  <c r="O228" i="5" s="1"/>
  <c r="O229" i="5" s="1"/>
  <c r="O230" i="5" s="1"/>
  <c r="O231" i="5" s="1"/>
  <c r="O232" i="5" s="1"/>
  <c r="O233" i="5" s="1"/>
  <c r="O234" i="5" s="1"/>
  <c r="O235" i="5" s="1"/>
  <c r="O236" i="5" s="1"/>
  <c r="O237" i="5" s="1"/>
  <c r="O238" i="5" s="1"/>
  <c r="O239" i="5" s="1"/>
  <c r="O240" i="5" s="1"/>
  <c r="O241" i="5" s="1"/>
  <c r="O242" i="5" s="1"/>
  <c r="O243" i="5" s="1"/>
  <c r="O244" i="5" s="1"/>
  <c r="O245" i="5" s="1"/>
  <c r="O246" i="5" s="1"/>
  <c r="O247" i="5" s="1"/>
  <c r="O248" i="5" s="1"/>
  <c r="O249" i="5" s="1"/>
  <c r="O250" i="5" s="1"/>
  <c r="O251" i="5" s="1"/>
  <c r="O252" i="5" s="1"/>
  <c r="O253" i="5" s="1"/>
  <c r="O254" i="5" s="1"/>
  <c r="O255" i="5" s="1"/>
  <c r="O256" i="5" s="1"/>
  <c r="O257" i="5" s="1"/>
  <c r="O258" i="5" s="1"/>
  <c r="O259" i="5" s="1"/>
  <c r="O260" i="5" s="1"/>
  <c r="O261" i="5" s="1"/>
  <c r="O262" i="5" s="1"/>
  <c r="O263" i="5" s="1"/>
  <c r="O264" i="5" s="1"/>
  <c r="O265" i="5" s="1"/>
  <c r="O266" i="5" s="1"/>
  <c r="O267" i="5" s="1"/>
  <c r="O268" i="5" s="1"/>
  <c r="O269" i="5" s="1"/>
  <c r="O270" i="5" s="1"/>
  <c r="O271" i="5" s="1"/>
  <c r="O272" i="5" s="1"/>
  <c r="O273" i="5" s="1"/>
  <c r="O274" i="5" s="1"/>
  <c r="O275" i="5" s="1"/>
  <c r="O276" i="5" s="1"/>
  <c r="O277" i="5" s="1"/>
  <c r="O278" i="5" s="1"/>
  <c r="O279" i="5" s="1"/>
  <c r="O280" i="5" s="1"/>
  <c r="O281" i="5" s="1"/>
  <c r="O282" i="5" s="1"/>
  <c r="O283" i="5" s="1"/>
  <c r="O284" i="5" s="1"/>
  <c r="O285" i="5" s="1"/>
  <c r="O286" i="5" s="1"/>
  <c r="O287" i="5" s="1"/>
  <c r="O288" i="5" s="1"/>
  <c r="O289" i="5" s="1"/>
  <c r="O290" i="5" s="1"/>
  <c r="O291" i="5" s="1"/>
  <c r="O292" i="5" s="1"/>
  <c r="O293" i="5" s="1"/>
  <c r="O294" i="5" s="1"/>
  <c r="O295" i="5" s="1"/>
  <c r="O296" i="5" s="1"/>
  <c r="O297" i="5" s="1"/>
  <c r="O298" i="5" s="1"/>
  <c r="O299" i="5" s="1"/>
  <c r="O300" i="5" s="1"/>
  <c r="O301" i="5" s="1"/>
  <c r="O302" i="5" s="1"/>
  <c r="O303" i="5" s="1"/>
  <c r="O304" i="5" s="1"/>
  <c r="O305" i="5" s="1"/>
  <c r="O306" i="5" s="1"/>
  <c r="O307" i="5" s="1"/>
  <c r="O308" i="5" s="1"/>
  <c r="O309" i="5" s="1"/>
  <c r="O310" i="5" s="1"/>
  <c r="O311" i="5" s="1"/>
  <c r="O312" i="5" s="1"/>
  <c r="O313" i="5" s="1"/>
  <c r="O314" i="5" s="1"/>
  <c r="O315" i="5" s="1"/>
  <c r="O316" i="5" s="1"/>
  <c r="O317" i="5" s="1"/>
  <c r="O318" i="5" s="1"/>
  <c r="O319" i="5" s="1"/>
  <c r="O320" i="5" s="1"/>
  <c r="O321" i="5" s="1"/>
  <c r="O322" i="5" s="1"/>
  <c r="O323" i="5" s="1"/>
  <c r="O324" i="5" s="1"/>
  <c r="O325" i="5" s="1"/>
  <c r="O326" i="5" s="1"/>
  <c r="O327" i="5" s="1"/>
  <c r="O328" i="5" s="1"/>
  <c r="O329" i="5" s="1"/>
  <c r="O330" i="5" s="1"/>
  <c r="O331" i="5" s="1"/>
  <c r="O332" i="5" s="1"/>
  <c r="O333" i="5" s="1"/>
  <c r="O334" i="5" s="1"/>
  <c r="O335" i="5" s="1"/>
  <c r="O336" i="5" s="1"/>
  <c r="O337" i="5" s="1"/>
  <c r="O338" i="5" s="1"/>
  <c r="O339" i="5" s="1"/>
  <c r="O340" i="5" s="1"/>
  <c r="O341" i="5" s="1"/>
  <c r="O342" i="5" s="1"/>
  <c r="O343" i="5" s="1"/>
  <c r="O344" i="5" s="1"/>
  <c r="O345" i="5" s="1"/>
  <c r="O346" i="5" s="1"/>
  <c r="O347" i="5" s="1"/>
  <c r="O348" i="5" s="1"/>
  <c r="O349" i="5" s="1"/>
  <c r="O350" i="5" s="1"/>
  <c r="O351" i="5" s="1"/>
  <c r="O352" i="5" s="1"/>
  <c r="O353" i="5" s="1"/>
  <c r="O354" i="5" s="1"/>
  <c r="O355" i="5" s="1"/>
  <c r="O356" i="5" s="1"/>
  <c r="O357" i="5" s="1"/>
  <c r="O358" i="5" s="1"/>
  <c r="O359" i="5" s="1"/>
  <c r="O360" i="5" s="1"/>
  <c r="O361" i="5" s="1"/>
  <c r="O362" i="5" s="1"/>
  <c r="O363" i="5" s="1"/>
  <c r="O364" i="5" s="1"/>
  <c r="O365" i="5" s="1"/>
  <c r="O366" i="5" s="1"/>
  <c r="O367" i="5" s="1"/>
  <c r="O368" i="5" s="1"/>
  <c r="O369" i="5" s="1"/>
  <c r="O370" i="5" s="1"/>
  <c r="O371" i="5" s="1"/>
  <c r="O372" i="5" s="1"/>
  <c r="O373" i="5" s="1"/>
  <c r="O374" i="5" s="1"/>
  <c r="O375" i="5" s="1"/>
  <c r="O376" i="5" s="1"/>
  <c r="O377" i="5" s="1"/>
  <c r="O378" i="5" s="1"/>
  <c r="O379" i="5" s="1"/>
  <c r="O380" i="5" s="1"/>
  <c r="O381" i="5" s="1"/>
  <c r="O382" i="5" s="1"/>
  <c r="O383" i="5" s="1"/>
  <c r="O384" i="5" s="1"/>
  <c r="O385" i="5" s="1"/>
  <c r="O386" i="5" s="1"/>
  <c r="O387" i="5" s="1"/>
  <c r="O388" i="5" s="1"/>
  <c r="O389" i="5" s="1"/>
  <c r="O390" i="5" s="1"/>
  <c r="O391" i="5" s="1"/>
  <c r="O392" i="5" s="1"/>
  <c r="O393" i="5" s="1"/>
  <c r="O394" i="5" s="1"/>
  <c r="O395" i="5" s="1"/>
  <c r="O396" i="5" s="1"/>
  <c r="O397" i="5" s="1"/>
  <c r="O398" i="5" s="1"/>
  <c r="O399" i="5" s="1"/>
  <c r="O400" i="5" s="1"/>
  <c r="O401" i="5" s="1"/>
  <c r="O402" i="5" s="1"/>
  <c r="O403" i="5" s="1"/>
  <c r="O404" i="5" s="1"/>
  <c r="O405" i="5" s="1"/>
  <c r="O406" i="5" s="1"/>
  <c r="O407" i="5" s="1"/>
  <c r="O408" i="5" s="1"/>
  <c r="O409" i="5" s="1"/>
  <c r="O410" i="5" s="1"/>
  <c r="O411" i="5" s="1"/>
  <c r="O412" i="5" s="1"/>
  <c r="O413" i="5" s="1"/>
  <c r="O414" i="5" s="1"/>
  <c r="O415" i="5" s="1"/>
  <c r="O416" i="5" s="1"/>
  <c r="O417" i="5" s="1"/>
  <c r="O418" i="5" s="1"/>
  <c r="O419" i="5" s="1"/>
  <c r="O420" i="5" s="1"/>
  <c r="O421" i="5" s="1"/>
  <c r="O422" i="5" s="1"/>
  <c r="O423" i="5" s="1"/>
  <c r="O424" i="5" s="1"/>
  <c r="O425" i="5" s="1"/>
  <c r="O426" i="5" s="1"/>
  <c r="O427" i="5" s="1"/>
  <c r="O428" i="5" s="1"/>
  <c r="O429" i="5" s="1"/>
  <c r="O430" i="5" s="1"/>
  <c r="O431" i="5" s="1"/>
  <c r="O432" i="5" s="1"/>
  <c r="O433" i="5" s="1"/>
  <c r="O434" i="5" s="1"/>
  <c r="O435" i="5" s="1"/>
  <c r="O436" i="5" s="1"/>
  <c r="O437" i="5" s="1"/>
  <c r="O438" i="5" s="1"/>
  <c r="O439" i="5" s="1"/>
  <c r="O440" i="5" s="1"/>
  <c r="O441" i="5" s="1"/>
  <c r="O442" i="5" s="1"/>
  <c r="O443" i="5" s="1"/>
  <c r="O444" i="5" s="1"/>
  <c r="O445" i="5" s="1"/>
  <c r="O446" i="5" s="1"/>
  <c r="O447" i="5" s="1"/>
  <c r="O448" i="5" s="1"/>
  <c r="O449" i="5" s="1"/>
  <c r="O450" i="5" s="1"/>
  <c r="O451" i="5" s="1"/>
  <c r="O452" i="5" s="1"/>
  <c r="O453" i="5" s="1"/>
  <c r="O454" i="5" s="1"/>
  <c r="O455" i="5" s="1"/>
  <c r="O456" i="5" s="1"/>
  <c r="O457" i="5" s="1"/>
  <c r="O458" i="5" s="1"/>
  <c r="O459" i="5" s="1"/>
  <c r="O460" i="5" s="1"/>
  <c r="O461" i="5" s="1"/>
  <c r="O462" i="5" s="1"/>
  <c r="O463" i="5" s="1"/>
  <c r="O464" i="5" s="1"/>
  <c r="O465" i="5" s="1"/>
  <c r="O466" i="5" s="1"/>
  <c r="O467" i="5" s="1"/>
  <c r="O468" i="5" s="1"/>
  <c r="O469" i="5" s="1"/>
  <c r="O470" i="5" s="1"/>
  <c r="O471" i="5" s="1"/>
  <c r="O472" i="5" s="1"/>
  <c r="O473" i="5" s="1"/>
  <c r="O474" i="5" s="1"/>
  <c r="O475" i="5" s="1"/>
  <c r="O476" i="5" s="1"/>
  <c r="O477" i="5" s="1"/>
  <c r="O478" i="5" s="1"/>
  <c r="O479" i="5" s="1"/>
  <c r="O480" i="5" s="1"/>
  <c r="O481" i="5" s="1"/>
  <c r="O482" i="5" s="1"/>
  <c r="O483" i="5" s="1"/>
  <c r="O484" i="5" s="1"/>
  <c r="O485" i="5" s="1"/>
  <c r="O486" i="5" s="1"/>
  <c r="O487" i="5" s="1"/>
  <c r="O488" i="5" s="1"/>
  <c r="O489" i="5" s="1"/>
  <c r="O490" i="5" s="1"/>
  <c r="O491" i="5" s="1"/>
  <c r="O492" i="5" s="1"/>
  <c r="O493" i="5" s="1"/>
  <c r="O494" i="5" s="1"/>
  <c r="O495" i="5" s="1"/>
  <c r="O496" i="5" s="1"/>
  <c r="O497" i="5" s="1"/>
  <c r="O498" i="5" s="1"/>
  <c r="O499" i="5" s="1"/>
  <c r="O500" i="5" s="1"/>
  <c r="O501" i="5" s="1"/>
  <c r="O502" i="5" s="1"/>
  <c r="O503" i="5" s="1"/>
  <c r="O504" i="5" s="1"/>
  <c r="O505" i="5" s="1"/>
  <c r="O506" i="5" s="1"/>
  <c r="O507" i="5" s="1"/>
  <c r="O508" i="5" s="1"/>
  <c r="O509" i="5" s="1"/>
  <c r="O510" i="5" s="1"/>
  <c r="O511" i="5" s="1"/>
  <c r="O512" i="5" s="1"/>
  <c r="O513" i="5" s="1"/>
  <c r="O514" i="5" s="1"/>
  <c r="O515" i="5" s="1"/>
  <c r="O516" i="5" s="1"/>
  <c r="O517" i="5" s="1"/>
  <c r="O518" i="5" s="1"/>
  <c r="O519" i="5" s="1"/>
  <c r="O520" i="5" s="1"/>
  <c r="O521" i="5" s="1"/>
  <c r="O522" i="5" s="1"/>
  <c r="O523" i="5" s="1"/>
  <c r="O524" i="5" s="1"/>
  <c r="O525" i="5" s="1"/>
  <c r="O526" i="5" s="1"/>
  <c r="O527" i="5" s="1"/>
  <c r="O528" i="5" s="1"/>
  <c r="O529" i="5" s="1"/>
  <c r="O530" i="5" s="1"/>
  <c r="O531" i="5" s="1"/>
  <c r="O532" i="5" s="1"/>
  <c r="O533" i="5" s="1"/>
  <c r="O534" i="5" s="1"/>
  <c r="O535" i="5" s="1"/>
  <c r="O536" i="5" s="1"/>
  <c r="O537" i="5" s="1"/>
  <c r="O538" i="5" s="1"/>
  <c r="O539" i="5" s="1"/>
  <c r="O540" i="5" s="1"/>
  <c r="O541" i="5" s="1"/>
  <c r="O542" i="5" s="1"/>
  <c r="O543" i="5" s="1"/>
  <c r="O544" i="5" s="1"/>
  <c r="O545" i="5" s="1"/>
  <c r="O546" i="5" s="1"/>
  <c r="O547" i="5" s="1"/>
  <c r="O548" i="5" s="1"/>
  <c r="O549" i="5" s="1"/>
  <c r="O550" i="5" s="1"/>
  <c r="O551" i="5" s="1"/>
  <c r="O552" i="5" s="1"/>
  <c r="O553" i="5" s="1"/>
  <c r="O554" i="5" s="1"/>
  <c r="O555" i="5" s="1"/>
  <c r="O556" i="5" s="1"/>
  <c r="O557" i="5" s="1"/>
  <c r="O558" i="5" s="1"/>
  <c r="O559" i="5" s="1"/>
  <c r="O560" i="5" s="1"/>
  <c r="O561" i="5" s="1"/>
  <c r="O562" i="5" s="1"/>
  <c r="O563" i="5" s="1"/>
  <c r="O564" i="5" s="1"/>
  <c r="O565" i="5" s="1"/>
  <c r="O566" i="5" s="1"/>
  <c r="O567" i="5" s="1"/>
  <c r="O568" i="5" s="1"/>
  <c r="O569" i="5" s="1"/>
  <c r="O570" i="5" s="1"/>
  <c r="O571" i="5" s="1"/>
  <c r="O572" i="5" s="1"/>
  <c r="O573" i="5" s="1"/>
  <c r="O574" i="5" s="1"/>
  <c r="O575" i="5" s="1"/>
  <c r="O576" i="5" s="1"/>
  <c r="O577" i="5" s="1"/>
  <c r="O578" i="5" s="1"/>
  <c r="O579" i="5" s="1"/>
  <c r="O580" i="5" s="1"/>
  <c r="O581" i="5" s="1"/>
  <c r="O582" i="5" s="1"/>
  <c r="O583" i="5" s="1"/>
  <c r="O584" i="5" s="1"/>
  <c r="O585" i="5" s="1"/>
  <c r="O586" i="5" s="1"/>
  <c r="O587" i="5" s="1"/>
  <c r="O588" i="5" s="1"/>
  <c r="O589" i="5" s="1"/>
  <c r="O590" i="5" s="1"/>
  <c r="O591" i="5" s="1"/>
  <c r="O592" i="5" s="1"/>
  <c r="O593" i="5" s="1"/>
  <c r="O594" i="5" s="1"/>
  <c r="O595" i="5" s="1"/>
  <c r="O596" i="5" s="1"/>
  <c r="O597" i="5" s="1"/>
  <c r="O598" i="5" s="1"/>
  <c r="O599" i="5" s="1"/>
  <c r="O600" i="5" s="1"/>
  <c r="O601" i="5" s="1"/>
  <c r="O602" i="5" s="1"/>
  <c r="O603" i="5" s="1"/>
  <c r="O604" i="5" s="1"/>
  <c r="O605" i="5" s="1"/>
  <c r="O606" i="5" s="1"/>
  <c r="O607" i="5" s="1"/>
  <c r="O608" i="5" s="1"/>
  <c r="O609" i="5" s="1"/>
  <c r="O610" i="5" s="1"/>
  <c r="O611" i="5" s="1"/>
  <c r="O612" i="5" s="1"/>
  <c r="O613" i="5" s="1"/>
  <c r="O614" i="5" s="1"/>
  <c r="O615" i="5" s="1"/>
  <c r="O616" i="5" s="1"/>
  <c r="O617" i="5" s="1"/>
  <c r="O618" i="5" s="1"/>
  <c r="O619" i="5" s="1"/>
  <c r="O620" i="5" s="1"/>
  <c r="O621" i="5" s="1"/>
  <c r="O622" i="5" s="1"/>
  <c r="O623" i="5" s="1"/>
  <c r="O624" i="5" s="1"/>
  <c r="O625" i="5" s="1"/>
  <c r="O626" i="5" s="1"/>
  <c r="O627" i="5" s="1"/>
  <c r="O628" i="5" s="1"/>
  <c r="O629" i="5" s="1"/>
  <c r="O630" i="5" s="1"/>
  <c r="O631" i="5" s="1"/>
  <c r="O632" i="5" s="1"/>
  <c r="O633" i="5" s="1"/>
  <c r="O634" i="5" s="1"/>
  <c r="O635" i="5" s="1"/>
  <c r="O636" i="5" s="1"/>
  <c r="O637" i="5" s="1"/>
  <c r="O638" i="5" s="1"/>
  <c r="O639" i="5" s="1"/>
  <c r="O640" i="5" s="1"/>
  <c r="O641" i="5" s="1"/>
  <c r="O642" i="5" s="1"/>
  <c r="O643" i="5" s="1"/>
  <c r="O644" i="5" s="1"/>
  <c r="O645" i="5" s="1"/>
  <c r="O646" i="5" s="1"/>
  <c r="O647" i="5" s="1"/>
  <c r="O648" i="5" s="1"/>
  <c r="O649" i="5" s="1"/>
  <c r="O650" i="5" s="1"/>
  <c r="O651" i="5" s="1"/>
  <c r="O652" i="5" s="1"/>
  <c r="O653" i="5" s="1"/>
  <c r="O654" i="5" s="1"/>
  <c r="O655" i="5" s="1"/>
  <c r="O656" i="5" s="1"/>
  <c r="O657" i="5" s="1"/>
  <c r="O658" i="5" s="1"/>
  <c r="O659" i="5" s="1"/>
  <c r="O660" i="5" s="1"/>
  <c r="O661" i="5" s="1"/>
  <c r="O662" i="5" s="1"/>
  <c r="O663" i="5" s="1"/>
  <c r="O664" i="5" s="1"/>
  <c r="O665" i="5" s="1"/>
  <c r="O666" i="5" s="1"/>
  <c r="O667" i="5" s="1"/>
  <c r="O668" i="5" s="1"/>
  <c r="O669" i="5" s="1"/>
  <c r="O670" i="5" s="1"/>
  <c r="O671" i="5" s="1"/>
  <c r="O672" i="5" s="1"/>
  <c r="O673" i="5" s="1"/>
  <c r="O674" i="5" s="1"/>
  <c r="O675" i="5" s="1"/>
  <c r="O676" i="5" s="1"/>
  <c r="O677" i="5" s="1"/>
  <c r="O678" i="5" s="1"/>
  <c r="O679" i="5" s="1"/>
  <c r="O680" i="5" s="1"/>
  <c r="O681" i="5" s="1"/>
  <c r="O682" i="5" s="1"/>
  <c r="O683" i="5" s="1"/>
  <c r="O684" i="5" s="1"/>
  <c r="O685" i="5" s="1"/>
  <c r="O686" i="5" s="1"/>
  <c r="O687" i="5" s="1"/>
  <c r="O688" i="5" s="1"/>
  <c r="O689" i="5" s="1"/>
  <c r="O690" i="5" s="1"/>
  <c r="O691" i="5" s="1"/>
  <c r="O692" i="5" s="1"/>
  <c r="O693" i="5" s="1"/>
  <c r="O694" i="5" s="1"/>
  <c r="O695" i="5" s="1"/>
  <c r="O696" i="5" s="1"/>
  <c r="O697" i="5" s="1"/>
  <c r="O698" i="5" s="1"/>
  <c r="O699" i="5" s="1"/>
  <c r="O700" i="5" s="1"/>
  <c r="O701" i="5" s="1"/>
  <c r="O702" i="5" s="1"/>
  <c r="O703" i="5" s="1"/>
  <c r="O704" i="5" s="1"/>
  <c r="O705" i="5" s="1"/>
  <c r="O706" i="5" s="1"/>
  <c r="O707" i="5" s="1"/>
  <c r="O708" i="5" s="1"/>
  <c r="O709" i="5" s="1"/>
  <c r="O710" i="5" s="1"/>
  <c r="O711" i="5" s="1"/>
  <c r="O712" i="5" s="1"/>
  <c r="O713" i="5" s="1"/>
  <c r="O714" i="5" s="1"/>
  <c r="O715" i="5" s="1"/>
  <c r="O716" i="5" s="1"/>
  <c r="O717" i="5" s="1"/>
  <c r="O718" i="5" s="1"/>
  <c r="O719" i="5" s="1"/>
  <c r="O720" i="5" s="1"/>
  <c r="O721" i="5" s="1"/>
  <c r="O722" i="5" s="1"/>
  <c r="O723" i="5" s="1"/>
  <c r="O724" i="5" s="1"/>
  <c r="O725" i="5" s="1"/>
  <c r="O726" i="5" s="1"/>
  <c r="O727" i="5" s="1"/>
  <c r="O728" i="5" s="1"/>
  <c r="O729" i="5" s="1"/>
  <c r="O730" i="5" s="1"/>
  <c r="O3" i="5"/>
  <c r="O2" i="5"/>
  <c r="O2" i="4"/>
  <c r="O3" i="4" s="1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3" i="4" s="1"/>
  <c r="O104" i="4" s="1"/>
  <c r="O105" i="4" s="1"/>
  <c r="O106" i="4" s="1"/>
  <c r="O107" i="4" s="1"/>
  <c r="O108" i="4" s="1"/>
  <c r="O109" i="4" s="1"/>
  <c r="O110" i="4" s="1"/>
  <c r="O111" i="4" s="1"/>
  <c r="O112" i="4" s="1"/>
  <c r="O113" i="4" s="1"/>
  <c r="O114" i="4" s="1"/>
  <c r="O115" i="4" s="1"/>
  <c r="O116" i="4" s="1"/>
  <c r="O117" i="4" s="1"/>
  <c r="O118" i="4" s="1"/>
  <c r="O119" i="4" s="1"/>
  <c r="O120" i="4" s="1"/>
  <c r="O121" i="4" s="1"/>
  <c r="O122" i="4" s="1"/>
  <c r="O123" i="4" s="1"/>
  <c r="O124" i="4" s="1"/>
  <c r="O125" i="4" s="1"/>
  <c r="O126" i="4" s="1"/>
  <c r="O127" i="4" s="1"/>
  <c r="O128" i="4" s="1"/>
  <c r="O129" i="4" s="1"/>
  <c r="O130" i="4" s="1"/>
  <c r="O131" i="4" s="1"/>
  <c r="O132" i="4" s="1"/>
  <c r="O133" i="4" s="1"/>
  <c r="O134" i="4" s="1"/>
  <c r="O135" i="4" s="1"/>
  <c r="O136" i="4" s="1"/>
  <c r="O137" i="4" s="1"/>
  <c r="O138" i="4" s="1"/>
  <c r="O139" i="4" s="1"/>
  <c r="O140" i="4" s="1"/>
  <c r="O141" i="4" s="1"/>
  <c r="O142" i="4" s="1"/>
  <c r="O143" i="4" s="1"/>
  <c r="O144" i="4" s="1"/>
  <c r="O145" i="4" s="1"/>
  <c r="O146" i="4" s="1"/>
  <c r="O147" i="4" s="1"/>
  <c r="O148" i="4" s="1"/>
  <c r="O149" i="4" s="1"/>
  <c r="O150" i="4" s="1"/>
  <c r="O151" i="4" s="1"/>
  <c r="O152" i="4" s="1"/>
  <c r="O153" i="4" s="1"/>
  <c r="O154" i="4" s="1"/>
  <c r="O155" i="4" s="1"/>
  <c r="O156" i="4" s="1"/>
  <c r="O157" i="4" s="1"/>
  <c r="O158" i="4" s="1"/>
  <c r="O159" i="4" s="1"/>
  <c r="O160" i="4" s="1"/>
  <c r="O161" i="4" s="1"/>
  <c r="O162" i="4" s="1"/>
  <c r="O163" i="4" s="1"/>
  <c r="O164" i="4" s="1"/>
  <c r="O165" i="4" s="1"/>
  <c r="O166" i="4" s="1"/>
  <c r="O167" i="4" s="1"/>
  <c r="O168" i="4" s="1"/>
  <c r="O169" i="4" s="1"/>
  <c r="O170" i="4" s="1"/>
  <c r="O171" i="4" s="1"/>
  <c r="O172" i="4" s="1"/>
  <c r="O173" i="4" s="1"/>
  <c r="O174" i="4" s="1"/>
  <c r="O175" i="4" s="1"/>
  <c r="O176" i="4" s="1"/>
  <c r="O177" i="4" s="1"/>
  <c r="O178" i="4" s="1"/>
  <c r="O179" i="4" s="1"/>
  <c r="O180" i="4" s="1"/>
  <c r="O181" i="4" s="1"/>
  <c r="O182" i="4" s="1"/>
  <c r="O183" i="4" s="1"/>
  <c r="O184" i="4" s="1"/>
  <c r="O185" i="4" s="1"/>
  <c r="O186" i="4" s="1"/>
  <c r="O187" i="4" s="1"/>
  <c r="O188" i="4" s="1"/>
  <c r="O189" i="4" s="1"/>
  <c r="O190" i="4" s="1"/>
  <c r="O191" i="4" s="1"/>
  <c r="O192" i="4" s="1"/>
  <c r="O193" i="4" s="1"/>
  <c r="O194" i="4" s="1"/>
  <c r="O195" i="4" s="1"/>
  <c r="O196" i="4" s="1"/>
  <c r="O197" i="4" s="1"/>
  <c r="O198" i="4" s="1"/>
  <c r="O199" i="4" s="1"/>
  <c r="O200" i="4" s="1"/>
  <c r="O201" i="4" s="1"/>
  <c r="O202" i="4" s="1"/>
  <c r="O203" i="4" s="1"/>
  <c r="O204" i="4" s="1"/>
  <c r="O205" i="4" s="1"/>
  <c r="O206" i="4" s="1"/>
  <c r="O207" i="4" s="1"/>
  <c r="O208" i="4" s="1"/>
  <c r="O209" i="4" s="1"/>
  <c r="O210" i="4" s="1"/>
  <c r="O211" i="4" s="1"/>
  <c r="O212" i="4" s="1"/>
  <c r="O213" i="4" s="1"/>
  <c r="O214" i="4" s="1"/>
  <c r="O215" i="4" s="1"/>
  <c r="O216" i="4" s="1"/>
  <c r="O217" i="4" s="1"/>
  <c r="O218" i="4" s="1"/>
  <c r="O219" i="4" s="1"/>
  <c r="O220" i="4" s="1"/>
  <c r="O221" i="4" s="1"/>
  <c r="O222" i="4" s="1"/>
  <c r="O223" i="4" s="1"/>
  <c r="O224" i="4" s="1"/>
  <c r="O225" i="4" s="1"/>
  <c r="O226" i="4" s="1"/>
  <c r="O227" i="4" s="1"/>
  <c r="O228" i="4" s="1"/>
  <c r="O229" i="4" s="1"/>
  <c r="O230" i="4" s="1"/>
  <c r="O231" i="4" s="1"/>
  <c r="O232" i="4" s="1"/>
  <c r="O233" i="4" s="1"/>
  <c r="O234" i="4" s="1"/>
  <c r="O235" i="4" s="1"/>
  <c r="O236" i="4" s="1"/>
  <c r="O237" i="4" s="1"/>
  <c r="O238" i="4" s="1"/>
  <c r="O239" i="4" s="1"/>
  <c r="O240" i="4" s="1"/>
  <c r="O241" i="4" s="1"/>
  <c r="O242" i="4" s="1"/>
  <c r="O243" i="4" s="1"/>
  <c r="O244" i="4" s="1"/>
  <c r="O245" i="4" s="1"/>
  <c r="O246" i="4" s="1"/>
  <c r="O247" i="4" s="1"/>
  <c r="O248" i="4" s="1"/>
  <c r="O249" i="4" s="1"/>
  <c r="O250" i="4" s="1"/>
  <c r="O251" i="4" s="1"/>
  <c r="O252" i="4" s="1"/>
  <c r="O253" i="4" s="1"/>
  <c r="O254" i="4" s="1"/>
  <c r="O255" i="4" s="1"/>
  <c r="O256" i="4" s="1"/>
  <c r="O257" i="4" s="1"/>
  <c r="O258" i="4" s="1"/>
  <c r="O259" i="4" s="1"/>
  <c r="O260" i="4" s="1"/>
  <c r="O261" i="4" s="1"/>
  <c r="O262" i="4" s="1"/>
  <c r="O263" i="4" s="1"/>
  <c r="O264" i="4" s="1"/>
  <c r="O265" i="4" s="1"/>
  <c r="O266" i="4" s="1"/>
  <c r="O267" i="4" s="1"/>
  <c r="O268" i="4" s="1"/>
  <c r="O269" i="4" s="1"/>
  <c r="O270" i="4" s="1"/>
  <c r="O271" i="4" s="1"/>
  <c r="O272" i="4" s="1"/>
  <c r="O273" i="4" s="1"/>
  <c r="O274" i="4" s="1"/>
  <c r="O275" i="4" s="1"/>
  <c r="O276" i="4" s="1"/>
  <c r="O277" i="4" s="1"/>
  <c r="O278" i="4" s="1"/>
  <c r="O279" i="4" s="1"/>
  <c r="O280" i="4" s="1"/>
  <c r="O281" i="4" s="1"/>
  <c r="O282" i="4" s="1"/>
  <c r="O283" i="4" s="1"/>
  <c r="O284" i="4" s="1"/>
  <c r="O285" i="4" s="1"/>
  <c r="O286" i="4" s="1"/>
  <c r="O287" i="4" s="1"/>
  <c r="O288" i="4" s="1"/>
  <c r="O289" i="4" s="1"/>
  <c r="O290" i="4" s="1"/>
  <c r="O291" i="4" s="1"/>
  <c r="O292" i="4" s="1"/>
  <c r="O293" i="4" s="1"/>
  <c r="O294" i="4" s="1"/>
  <c r="O295" i="4" s="1"/>
  <c r="O296" i="4" s="1"/>
  <c r="O297" i="4" s="1"/>
  <c r="O298" i="4" s="1"/>
  <c r="O299" i="4" s="1"/>
  <c r="O300" i="4" s="1"/>
  <c r="O301" i="4" s="1"/>
  <c r="O302" i="4" s="1"/>
  <c r="O303" i="4" s="1"/>
  <c r="O304" i="4" s="1"/>
  <c r="O305" i="4" s="1"/>
  <c r="O306" i="4" s="1"/>
  <c r="O307" i="4" s="1"/>
  <c r="O308" i="4" s="1"/>
  <c r="O309" i="4" s="1"/>
  <c r="O310" i="4" s="1"/>
  <c r="O311" i="4" s="1"/>
  <c r="O312" i="4" s="1"/>
  <c r="O313" i="4" s="1"/>
  <c r="O314" i="4" s="1"/>
  <c r="O315" i="4" s="1"/>
  <c r="O316" i="4" s="1"/>
  <c r="O317" i="4" s="1"/>
  <c r="O318" i="4" s="1"/>
  <c r="O319" i="4" s="1"/>
  <c r="O320" i="4" s="1"/>
  <c r="O321" i="4" s="1"/>
  <c r="O322" i="4" s="1"/>
  <c r="O323" i="4" s="1"/>
  <c r="O324" i="4" s="1"/>
  <c r="O325" i="4" s="1"/>
  <c r="O326" i="4" s="1"/>
  <c r="O327" i="4" s="1"/>
  <c r="O328" i="4" s="1"/>
  <c r="O329" i="4" s="1"/>
  <c r="O330" i="4" s="1"/>
  <c r="O331" i="4" s="1"/>
  <c r="O332" i="4" s="1"/>
  <c r="O333" i="4" s="1"/>
  <c r="O334" i="4" s="1"/>
  <c r="O335" i="4" s="1"/>
  <c r="O336" i="4" s="1"/>
  <c r="O337" i="4" s="1"/>
  <c r="O338" i="4" s="1"/>
  <c r="O339" i="4" s="1"/>
  <c r="O340" i="4" s="1"/>
  <c r="O341" i="4" s="1"/>
  <c r="O342" i="4" s="1"/>
  <c r="O343" i="4" s="1"/>
  <c r="O344" i="4" s="1"/>
  <c r="O345" i="4" s="1"/>
  <c r="O346" i="4" s="1"/>
  <c r="O347" i="4" s="1"/>
  <c r="O348" i="4" s="1"/>
  <c r="O349" i="4" s="1"/>
  <c r="O350" i="4" s="1"/>
  <c r="O351" i="4" s="1"/>
  <c r="O352" i="4" s="1"/>
  <c r="O353" i="4" s="1"/>
  <c r="O354" i="4" s="1"/>
  <c r="O355" i="4" s="1"/>
  <c r="O356" i="4" s="1"/>
  <c r="O357" i="4" s="1"/>
  <c r="O358" i="4" s="1"/>
  <c r="O359" i="4" s="1"/>
  <c r="O360" i="4" s="1"/>
  <c r="O361" i="4" s="1"/>
  <c r="O362" i="4" s="1"/>
  <c r="O363" i="4" s="1"/>
  <c r="O364" i="4" s="1"/>
  <c r="O365" i="4" s="1"/>
  <c r="O366" i="4" s="1"/>
  <c r="O367" i="4" s="1"/>
  <c r="O368" i="4" s="1"/>
  <c r="O369" i="4" s="1"/>
  <c r="O370" i="4" s="1"/>
  <c r="O371" i="4" s="1"/>
  <c r="O372" i="4" s="1"/>
  <c r="O373" i="4" s="1"/>
  <c r="O374" i="4" s="1"/>
  <c r="O375" i="4" s="1"/>
  <c r="O376" i="4" s="1"/>
  <c r="O377" i="4" s="1"/>
  <c r="O378" i="4" s="1"/>
  <c r="O379" i="4" s="1"/>
  <c r="O380" i="4" s="1"/>
  <c r="O381" i="4" s="1"/>
  <c r="O382" i="4" s="1"/>
  <c r="O383" i="4" s="1"/>
  <c r="O384" i="4" s="1"/>
  <c r="O385" i="4" s="1"/>
  <c r="O386" i="4" s="1"/>
  <c r="O387" i="4" s="1"/>
  <c r="O388" i="4" s="1"/>
  <c r="O389" i="4" s="1"/>
  <c r="O390" i="4" s="1"/>
  <c r="O391" i="4" s="1"/>
  <c r="O392" i="4" s="1"/>
  <c r="O393" i="4" s="1"/>
  <c r="O394" i="4" s="1"/>
  <c r="O395" i="4" s="1"/>
  <c r="O396" i="4" s="1"/>
  <c r="O397" i="4" s="1"/>
  <c r="O398" i="4" s="1"/>
  <c r="O399" i="4" s="1"/>
  <c r="O400" i="4" s="1"/>
  <c r="O401" i="4" s="1"/>
  <c r="O402" i="4" s="1"/>
  <c r="O403" i="4" s="1"/>
  <c r="O404" i="4" s="1"/>
  <c r="O405" i="4" s="1"/>
  <c r="O406" i="4" s="1"/>
  <c r="O407" i="4" s="1"/>
  <c r="O408" i="4" s="1"/>
  <c r="O409" i="4" s="1"/>
  <c r="O410" i="4" s="1"/>
  <c r="O411" i="4" s="1"/>
  <c r="O412" i="4" s="1"/>
  <c r="O413" i="4" s="1"/>
  <c r="O414" i="4" s="1"/>
  <c r="O415" i="4" s="1"/>
  <c r="O416" i="4" s="1"/>
  <c r="O417" i="4" s="1"/>
  <c r="O418" i="4" s="1"/>
  <c r="O419" i="4" s="1"/>
  <c r="O420" i="4" s="1"/>
  <c r="O421" i="4" s="1"/>
  <c r="O422" i="4" s="1"/>
  <c r="O423" i="4" s="1"/>
  <c r="O424" i="4" s="1"/>
  <c r="O425" i="4" s="1"/>
  <c r="O426" i="4" s="1"/>
  <c r="O427" i="4" s="1"/>
  <c r="O428" i="4" s="1"/>
  <c r="O429" i="4" s="1"/>
  <c r="O430" i="4" s="1"/>
  <c r="O431" i="4" s="1"/>
  <c r="O432" i="4" s="1"/>
  <c r="O433" i="4" s="1"/>
  <c r="O434" i="4" s="1"/>
  <c r="O435" i="4" s="1"/>
  <c r="O436" i="4" s="1"/>
  <c r="O437" i="4" s="1"/>
  <c r="O438" i="4" s="1"/>
  <c r="O439" i="4" s="1"/>
  <c r="O440" i="4" s="1"/>
  <c r="O441" i="4" s="1"/>
  <c r="O442" i="4" s="1"/>
  <c r="O443" i="4" s="1"/>
  <c r="O444" i="4" s="1"/>
  <c r="O445" i="4" s="1"/>
  <c r="O446" i="4" s="1"/>
  <c r="O447" i="4" s="1"/>
  <c r="O448" i="4" s="1"/>
  <c r="O449" i="4" s="1"/>
  <c r="O450" i="4" s="1"/>
  <c r="O451" i="4" s="1"/>
  <c r="O452" i="4" s="1"/>
  <c r="O453" i="4" s="1"/>
  <c r="O454" i="4" s="1"/>
  <c r="O455" i="4" s="1"/>
  <c r="O456" i="4" s="1"/>
  <c r="O457" i="4" s="1"/>
  <c r="O458" i="4" s="1"/>
  <c r="O459" i="4" s="1"/>
  <c r="O460" i="4" s="1"/>
  <c r="O461" i="4" s="1"/>
  <c r="O462" i="4" s="1"/>
  <c r="O463" i="4" s="1"/>
  <c r="O464" i="4" s="1"/>
  <c r="O465" i="4" s="1"/>
  <c r="O466" i="4" s="1"/>
  <c r="O467" i="4" s="1"/>
  <c r="O468" i="4" s="1"/>
  <c r="O469" i="4" s="1"/>
  <c r="O470" i="4" s="1"/>
  <c r="O471" i="4" s="1"/>
  <c r="O472" i="4" s="1"/>
  <c r="O473" i="4" s="1"/>
  <c r="O474" i="4" s="1"/>
  <c r="O475" i="4" s="1"/>
  <c r="O476" i="4" s="1"/>
  <c r="O477" i="4" s="1"/>
  <c r="O478" i="4" s="1"/>
  <c r="O479" i="4" s="1"/>
  <c r="O480" i="4" s="1"/>
  <c r="O481" i="4" s="1"/>
  <c r="O482" i="4" s="1"/>
  <c r="O483" i="4" s="1"/>
  <c r="O484" i="4" s="1"/>
  <c r="O485" i="4" s="1"/>
  <c r="O486" i="4" s="1"/>
  <c r="O487" i="4" s="1"/>
  <c r="O488" i="4" s="1"/>
  <c r="O489" i="4" s="1"/>
  <c r="O490" i="4" s="1"/>
  <c r="O491" i="4" s="1"/>
  <c r="O492" i="4" s="1"/>
  <c r="O493" i="4" s="1"/>
  <c r="O494" i="4" s="1"/>
  <c r="O495" i="4" s="1"/>
  <c r="O496" i="4" s="1"/>
  <c r="O497" i="4" s="1"/>
  <c r="O498" i="4" s="1"/>
  <c r="O499" i="4" s="1"/>
  <c r="O500" i="4" s="1"/>
  <c r="O501" i="4" s="1"/>
  <c r="O502" i="4" s="1"/>
  <c r="O503" i="4" s="1"/>
  <c r="O504" i="4" s="1"/>
  <c r="O505" i="4" s="1"/>
  <c r="O506" i="4" s="1"/>
  <c r="O507" i="4" s="1"/>
  <c r="O508" i="4" s="1"/>
  <c r="O509" i="4" s="1"/>
  <c r="O510" i="4" s="1"/>
  <c r="O511" i="4" s="1"/>
  <c r="O512" i="4" s="1"/>
  <c r="O513" i="4" s="1"/>
  <c r="O514" i="4" s="1"/>
  <c r="O515" i="4" s="1"/>
  <c r="O516" i="4" s="1"/>
  <c r="O517" i="4" s="1"/>
  <c r="O518" i="4" s="1"/>
  <c r="O519" i="4" s="1"/>
  <c r="O520" i="4" s="1"/>
  <c r="O521" i="4" s="1"/>
  <c r="O522" i="4" s="1"/>
  <c r="O523" i="4" s="1"/>
  <c r="O524" i="4" s="1"/>
  <c r="O525" i="4" s="1"/>
  <c r="O526" i="4" s="1"/>
  <c r="O527" i="4" s="1"/>
  <c r="O528" i="4" s="1"/>
  <c r="O529" i="4" s="1"/>
  <c r="O530" i="4" s="1"/>
  <c r="O531" i="4" s="1"/>
  <c r="O532" i="4" s="1"/>
  <c r="O533" i="4" s="1"/>
  <c r="O534" i="4" s="1"/>
  <c r="O535" i="4" s="1"/>
  <c r="O536" i="4" s="1"/>
  <c r="O537" i="4" s="1"/>
  <c r="O538" i="4" s="1"/>
  <c r="O539" i="4" s="1"/>
  <c r="O540" i="4" s="1"/>
  <c r="O541" i="4" s="1"/>
  <c r="O542" i="4" s="1"/>
  <c r="O543" i="4" s="1"/>
  <c r="O544" i="4" s="1"/>
  <c r="O545" i="4" s="1"/>
  <c r="O546" i="4" s="1"/>
  <c r="O547" i="4" s="1"/>
  <c r="O548" i="4" s="1"/>
  <c r="O549" i="4" s="1"/>
  <c r="O550" i="4" s="1"/>
  <c r="O551" i="4" s="1"/>
  <c r="O552" i="4" s="1"/>
  <c r="O553" i="4" s="1"/>
  <c r="O554" i="4" s="1"/>
  <c r="O555" i="4" s="1"/>
  <c r="O556" i="4" s="1"/>
  <c r="O557" i="4" s="1"/>
  <c r="O558" i="4" s="1"/>
  <c r="O559" i="4" s="1"/>
  <c r="O560" i="4" s="1"/>
  <c r="O561" i="4" s="1"/>
  <c r="O562" i="4" s="1"/>
  <c r="O563" i="4" s="1"/>
  <c r="O564" i="4" s="1"/>
  <c r="O565" i="4" s="1"/>
  <c r="O566" i="4" s="1"/>
  <c r="O567" i="4" s="1"/>
  <c r="O568" i="4" s="1"/>
  <c r="O569" i="4" s="1"/>
  <c r="O570" i="4" s="1"/>
  <c r="O571" i="4" s="1"/>
  <c r="O572" i="4" s="1"/>
  <c r="O573" i="4" s="1"/>
  <c r="O574" i="4" s="1"/>
  <c r="O575" i="4" s="1"/>
  <c r="O576" i="4" s="1"/>
  <c r="O577" i="4" s="1"/>
  <c r="O578" i="4" s="1"/>
  <c r="O579" i="4" s="1"/>
  <c r="O580" i="4" s="1"/>
  <c r="O581" i="4" s="1"/>
  <c r="O582" i="4" s="1"/>
  <c r="O583" i="4" s="1"/>
  <c r="O584" i="4" s="1"/>
  <c r="O585" i="4" s="1"/>
  <c r="O586" i="4" s="1"/>
  <c r="O587" i="4" s="1"/>
  <c r="O588" i="4" s="1"/>
  <c r="O589" i="4" s="1"/>
  <c r="O590" i="4" s="1"/>
  <c r="O591" i="4" s="1"/>
  <c r="O592" i="4" s="1"/>
  <c r="O593" i="4" s="1"/>
  <c r="O594" i="4" s="1"/>
  <c r="O595" i="4" s="1"/>
  <c r="O596" i="4" s="1"/>
  <c r="O597" i="4" s="1"/>
  <c r="O598" i="4" s="1"/>
  <c r="O599" i="4" s="1"/>
  <c r="O600" i="4" s="1"/>
  <c r="O601" i="4" s="1"/>
  <c r="O602" i="4" s="1"/>
  <c r="O603" i="4" s="1"/>
  <c r="O604" i="4" s="1"/>
  <c r="O605" i="4" s="1"/>
  <c r="O606" i="4" s="1"/>
  <c r="O607" i="4" s="1"/>
  <c r="O608" i="4" s="1"/>
  <c r="O609" i="4" s="1"/>
  <c r="O610" i="4" s="1"/>
  <c r="O611" i="4" s="1"/>
  <c r="O612" i="4" s="1"/>
  <c r="O613" i="4" s="1"/>
  <c r="O614" i="4" s="1"/>
  <c r="O615" i="4" s="1"/>
  <c r="O616" i="4" s="1"/>
  <c r="O617" i="4" s="1"/>
  <c r="O618" i="4" s="1"/>
  <c r="O619" i="4" s="1"/>
  <c r="O620" i="4" s="1"/>
  <c r="O621" i="4" s="1"/>
  <c r="O622" i="4" s="1"/>
  <c r="O623" i="4" s="1"/>
  <c r="O624" i="4" s="1"/>
  <c r="O625" i="4" s="1"/>
  <c r="O626" i="4" s="1"/>
  <c r="O627" i="4" s="1"/>
  <c r="O628" i="4" s="1"/>
  <c r="O629" i="4" s="1"/>
  <c r="O630" i="4" s="1"/>
  <c r="O631" i="4" s="1"/>
  <c r="O632" i="4" s="1"/>
  <c r="O633" i="4" s="1"/>
  <c r="O634" i="4" s="1"/>
  <c r="O635" i="4" s="1"/>
  <c r="O636" i="4" s="1"/>
  <c r="O637" i="4" s="1"/>
  <c r="O638" i="4" s="1"/>
  <c r="O639" i="4" s="1"/>
  <c r="O640" i="4" s="1"/>
  <c r="O641" i="4" s="1"/>
  <c r="O642" i="4" s="1"/>
  <c r="O643" i="4" s="1"/>
  <c r="O644" i="4" s="1"/>
  <c r="O645" i="4" s="1"/>
  <c r="O646" i="4" s="1"/>
  <c r="O647" i="4" s="1"/>
  <c r="O648" i="4" s="1"/>
  <c r="O649" i="4" s="1"/>
  <c r="O650" i="4" s="1"/>
  <c r="O651" i="4" s="1"/>
  <c r="O652" i="4" s="1"/>
  <c r="O653" i="4" s="1"/>
  <c r="O654" i="4" s="1"/>
  <c r="O655" i="4" s="1"/>
  <c r="O656" i="4" s="1"/>
  <c r="O657" i="4" s="1"/>
  <c r="O658" i="4" s="1"/>
  <c r="O659" i="4" s="1"/>
  <c r="O660" i="4" s="1"/>
  <c r="O661" i="4" s="1"/>
  <c r="O662" i="4" s="1"/>
  <c r="O663" i="4" s="1"/>
  <c r="O664" i="4" s="1"/>
  <c r="O665" i="4" s="1"/>
  <c r="O666" i="4" s="1"/>
  <c r="O667" i="4" s="1"/>
  <c r="O668" i="4" s="1"/>
  <c r="O669" i="4" s="1"/>
  <c r="O670" i="4" s="1"/>
  <c r="O671" i="4" s="1"/>
  <c r="O672" i="4" s="1"/>
  <c r="O673" i="4" s="1"/>
  <c r="O674" i="4" s="1"/>
  <c r="O675" i="4" s="1"/>
  <c r="O676" i="4" s="1"/>
  <c r="O677" i="4" s="1"/>
  <c r="O678" i="4" s="1"/>
  <c r="O679" i="4" s="1"/>
  <c r="O680" i="4" s="1"/>
  <c r="O681" i="4" s="1"/>
  <c r="O682" i="4" s="1"/>
  <c r="O683" i="4" s="1"/>
  <c r="O684" i="4" s="1"/>
  <c r="O685" i="4" s="1"/>
  <c r="O686" i="4" s="1"/>
  <c r="O687" i="4" s="1"/>
  <c r="O688" i="4" s="1"/>
  <c r="O689" i="4" s="1"/>
  <c r="O690" i="4" s="1"/>
  <c r="O691" i="4" s="1"/>
  <c r="O692" i="4" s="1"/>
  <c r="O693" i="4" s="1"/>
  <c r="O694" i="4" s="1"/>
  <c r="O695" i="4" s="1"/>
  <c r="O696" i="4" s="1"/>
  <c r="O697" i="4" s="1"/>
  <c r="O698" i="4" s="1"/>
  <c r="O699" i="4" s="1"/>
  <c r="O700" i="4" s="1"/>
  <c r="O701" i="4" s="1"/>
  <c r="O702" i="4" s="1"/>
  <c r="O703" i="4" s="1"/>
  <c r="O704" i="4" s="1"/>
  <c r="O705" i="4" s="1"/>
  <c r="O706" i="4" s="1"/>
  <c r="O707" i="4" s="1"/>
  <c r="O708" i="4" s="1"/>
  <c r="O709" i="4" s="1"/>
  <c r="O710" i="4" s="1"/>
  <c r="O711" i="4" s="1"/>
  <c r="O712" i="4" s="1"/>
  <c r="O713" i="4" s="1"/>
  <c r="O714" i="4" s="1"/>
  <c r="O715" i="4" s="1"/>
  <c r="O716" i="4" s="1"/>
  <c r="O717" i="4" s="1"/>
  <c r="O718" i="4" s="1"/>
  <c r="O719" i="4" s="1"/>
  <c r="O720" i="4" s="1"/>
  <c r="O721" i="4" s="1"/>
  <c r="O722" i="4" s="1"/>
  <c r="O723" i="4" s="1"/>
  <c r="O724" i="4" s="1"/>
  <c r="O725" i="4" s="1"/>
  <c r="O726" i="4" s="1"/>
  <c r="O727" i="4" s="1"/>
  <c r="O728" i="4" s="1"/>
  <c r="O729" i="4" s="1"/>
  <c r="O730" i="4" s="1"/>
  <c r="O4" i="3"/>
  <c r="O5" i="3" s="1"/>
  <c r="O6" i="3" s="1"/>
  <c r="O7" i="3" s="1"/>
  <c r="O8" i="3" s="1"/>
  <c r="O9" i="3"/>
  <c r="O10" i="3" s="1"/>
  <c r="O11" i="3" s="1"/>
  <c r="O12" i="3" s="1"/>
  <c r="O13" i="3" s="1"/>
  <c r="O14" i="3" s="1"/>
  <c r="O15" i="3" s="1"/>
  <c r="O16" i="3" s="1"/>
  <c r="O17" i="3"/>
  <c r="O18" i="3" s="1"/>
  <c r="O19" i="3" s="1"/>
  <c r="O20" i="3" s="1"/>
  <c r="O21" i="3" s="1"/>
  <c r="O22" i="3" s="1"/>
  <c r="O23" i="3" s="1"/>
  <c r="O24" i="3" s="1"/>
  <c r="O25" i="3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O212" i="3" s="1"/>
  <c r="O213" i="3" s="1"/>
  <c r="O214" i="3" s="1"/>
  <c r="O215" i="3" s="1"/>
  <c r="O216" i="3" s="1"/>
  <c r="O217" i="3" s="1"/>
  <c r="O218" i="3" s="1"/>
  <c r="O219" i="3" s="1"/>
  <c r="O220" i="3" s="1"/>
  <c r="O221" i="3" s="1"/>
  <c r="O222" i="3" s="1"/>
  <c r="O223" i="3" s="1"/>
  <c r="O224" i="3" s="1"/>
  <c r="O225" i="3" s="1"/>
  <c r="O226" i="3" s="1"/>
  <c r="O227" i="3" s="1"/>
  <c r="O228" i="3" s="1"/>
  <c r="O229" i="3" s="1"/>
  <c r="O230" i="3" s="1"/>
  <c r="O231" i="3" s="1"/>
  <c r="O232" i="3" s="1"/>
  <c r="O233" i="3" s="1"/>
  <c r="O234" i="3" s="1"/>
  <c r="O235" i="3" s="1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O259" i="3" s="1"/>
  <c r="O260" i="3" s="1"/>
  <c r="O261" i="3" s="1"/>
  <c r="O262" i="3" s="1"/>
  <c r="O263" i="3" s="1"/>
  <c r="O264" i="3" s="1"/>
  <c r="O265" i="3" s="1"/>
  <c r="O266" i="3" s="1"/>
  <c r="O267" i="3" s="1"/>
  <c r="O268" i="3" s="1"/>
  <c r="O269" i="3" s="1"/>
  <c r="O270" i="3" s="1"/>
  <c r="O271" i="3" s="1"/>
  <c r="O272" i="3" s="1"/>
  <c r="O273" i="3" s="1"/>
  <c r="O274" i="3" s="1"/>
  <c r="O275" i="3" s="1"/>
  <c r="O276" i="3" s="1"/>
  <c r="O277" i="3" s="1"/>
  <c r="O278" i="3" s="1"/>
  <c r="O279" i="3" s="1"/>
  <c r="O280" i="3" s="1"/>
  <c r="O281" i="3" s="1"/>
  <c r="O282" i="3" s="1"/>
  <c r="O283" i="3" s="1"/>
  <c r="O284" i="3" s="1"/>
  <c r="O285" i="3" s="1"/>
  <c r="O286" i="3" s="1"/>
  <c r="O287" i="3" s="1"/>
  <c r="O288" i="3" s="1"/>
  <c r="O289" i="3" s="1"/>
  <c r="O290" i="3" s="1"/>
  <c r="O291" i="3" s="1"/>
  <c r="O292" i="3" s="1"/>
  <c r="O293" i="3" s="1"/>
  <c r="O294" i="3" s="1"/>
  <c r="O295" i="3" s="1"/>
  <c r="O296" i="3" s="1"/>
  <c r="O297" i="3" s="1"/>
  <c r="O298" i="3" s="1"/>
  <c r="O299" i="3" s="1"/>
  <c r="O300" i="3" s="1"/>
  <c r="O301" i="3" s="1"/>
  <c r="O302" i="3" s="1"/>
  <c r="O303" i="3" s="1"/>
  <c r="O304" i="3" s="1"/>
  <c r="O305" i="3" s="1"/>
  <c r="O306" i="3" s="1"/>
  <c r="O307" i="3" s="1"/>
  <c r="O308" i="3" s="1"/>
  <c r="O309" i="3" s="1"/>
  <c r="O310" i="3" s="1"/>
  <c r="O311" i="3" s="1"/>
  <c r="O312" i="3" s="1"/>
  <c r="O313" i="3" s="1"/>
  <c r="O314" i="3" s="1"/>
  <c r="O315" i="3" s="1"/>
  <c r="O316" i="3" s="1"/>
  <c r="O317" i="3" s="1"/>
  <c r="O318" i="3" s="1"/>
  <c r="O319" i="3" s="1"/>
  <c r="O320" i="3" s="1"/>
  <c r="O321" i="3" s="1"/>
  <c r="O322" i="3" s="1"/>
  <c r="O323" i="3" s="1"/>
  <c r="O324" i="3" s="1"/>
  <c r="O325" i="3" s="1"/>
  <c r="O326" i="3" s="1"/>
  <c r="O327" i="3" s="1"/>
  <c r="O328" i="3" s="1"/>
  <c r="O329" i="3" s="1"/>
  <c r="O330" i="3" s="1"/>
  <c r="O331" i="3" s="1"/>
  <c r="O332" i="3" s="1"/>
  <c r="O333" i="3" s="1"/>
  <c r="O334" i="3" s="1"/>
  <c r="O335" i="3" s="1"/>
  <c r="O336" i="3" s="1"/>
  <c r="O337" i="3" s="1"/>
  <c r="O338" i="3" s="1"/>
  <c r="O339" i="3" s="1"/>
  <c r="O340" i="3" s="1"/>
  <c r="O341" i="3" s="1"/>
  <c r="O342" i="3" s="1"/>
  <c r="O343" i="3" s="1"/>
  <c r="O344" i="3" s="1"/>
  <c r="O345" i="3" s="1"/>
  <c r="O346" i="3" s="1"/>
  <c r="O347" i="3" s="1"/>
  <c r="O348" i="3" s="1"/>
  <c r="O349" i="3" s="1"/>
  <c r="O350" i="3" s="1"/>
  <c r="O351" i="3" s="1"/>
  <c r="O352" i="3" s="1"/>
  <c r="O353" i="3" s="1"/>
  <c r="O354" i="3" s="1"/>
  <c r="O355" i="3" s="1"/>
  <c r="O356" i="3" s="1"/>
  <c r="O357" i="3" s="1"/>
  <c r="O358" i="3" s="1"/>
  <c r="O359" i="3" s="1"/>
  <c r="O360" i="3" s="1"/>
  <c r="O361" i="3" s="1"/>
  <c r="O362" i="3" s="1"/>
  <c r="O363" i="3" s="1"/>
  <c r="O364" i="3" s="1"/>
  <c r="O365" i="3" s="1"/>
  <c r="O366" i="3" s="1"/>
  <c r="O367" i="3" s="1"/>
  <c r="O368" i="3" s="1"/>
  <c r="O369" i="3" s="1"/>
  <c r="O370" i="3" s="1"/>
  <c r="O371" i="3" s="1"/>
  <c r="O372" i="3" s="1"/>
  <c r="O373" i="3" s="1"/>
  <c r="O374" i="3" s="1"/>
  <c r="O375" i="3" s="1"/>
  <c r="O376" i="3" s="1"/>
  <c r="O377" i="3" s="1"/>
  <c r="O378" i="3" s="1"/>
  <c r="O379" i="3" s="1"/>
  <c r="O380" i="3" s="1"/>
  <c r="O381" i="3" s="1"/>
  <c r="O382" i="3" s="1"/>
  <c r="O383" i="3" s="1"/>
  <c r="O384" i="3" s="1"/>
  <c r="O385" i="3" s="1"/>
  <c r="O386" i="3" s="1"/>
  <c r="O387" i="3" s="1"/>
  <c r="O388" i="3" s="1"/>
  <c r="O389" i="3" s="1"/>
  <c r="O390" i="3" s="1"/>
  <c r="O391" i="3" s="1"/>
  <c r="O392" i="3" s="1"/>
  <c r="O393" i="3" s="1"/>
  <c r="O394" i="3" s="1"/>
  <c r="O395" i="3" s="1"/>
  <c r="O396" i="3" s="1"/>
  <c r="O397" i="3" s="1"/>
  <c r="O398" i="3" s="1"/>
  <c r="O399" i="3" s="1"/>
  <c r="O400" i="3" s="1"/>
  <c r="O401" i="3" s="1"/>
  <c r="O402" i="3" s="1"/>
  <c r="O403" i="3" s="1"/>
  <c r="O404" i="3" s="1"/>
  <c r="O405" i="3" s="1"/>
  <c r="O406" i="3" s="1"/>
  <c r="O407" i="3" s="1"/>
  <c r="O408" i="3" s="1"/>
  <c r="O409" i="3" s="1"/>
  <c r="O410" i="3" s="1"/>
  <c r="O411" i="3" s="1"/>
  <c r="O412" i="3" s="1"/>
  <c r="O413" i="3" s="1"/>
  <c r="O414" i="3" s="1"/>
  <c r="O415" i="3" s="1"/>
  <c r="O416" i="3" s="1"/>
  <c r="O417" i="3" s="1"/>
  <c r="O418" i="3" s="1"/>
  <c r="O419" i="3" s="1"/>
  <c r="O420" i="3" s="1"/>
  <c r="O421" i="3" s="1"/>
  <c r="O422" i="3" s="1"/>
  <c r="O423" i="3" s="1"/>
  <c r="O424" i="3" s="1"/>
  <c r="O425" i="3" s="1"/>
  <c r="O426" i="3" s="1"/>
  <c r="O427" i="3" s="1"/>
  <c r="O428" i="3" s="1"/>
  <c r="O429" i="3" s="1"/>
  <c r="O430" i="3" s="1"/>
  <c r="O431" i="3" s="1"/>
  <c r="O432" i="3" s="1"/>
  <c r="O433" i="3" s="1"/>
  <c r="O434" i="3" s="1"/>
  <c r="O435" i="3" s="1"/>
  <c r="O436" i="3" s="1"/>
  <c r="O437" i="3" s="1"/>
  <c r="O438" i="3" s="1"/>
  <c r="O439" i="3" s="1"/>
  <c r="O440" i="3" s="1"/>
  <c r="O441" i="3" s="1"/>
  <c r="O442" i="3" s="1"/>
  <c r="O443" i="3" s="1"/>
  <c r="O444" i="3" s="1"/>
  <c r="O445" i="3" s="1"/>
  <c r="O446" i="3" s="1"/>
  <c r="O447" i="3" s="1"/>
  <c r="O448" i="3" s="1"/>
  <c r="O449" i="3" s="1"/>
  <c r="O450" i="3" s="1"/>
  <c r="O451" i="3" s="1"/>
  <c r="O452" i="3" s="1"/>
  <c r="O453" i="3" s="1"/>
  <c r="O454" i="3" s="1"/>
  <c r="O455" i="3" s="1"/>
  <c r="O456" i="3" s="1"/>
  <c r="O457" i="3" s="1"/>
  <c r="O458" i="3" s="1"/>
  <c r="O459" i="3" s="1"/>
  <c r="O460" i="3" s="1"/>
  <c r="O461" i="3" s="1"/>
  <c r="O462" i="3" s="1"/>
  <c r="O463" i="3" s="1"/>
  <c r="O464" i="3" s="1"/>
  <c r="O465" i="3" s="1"/>
  <c r="O466" i="3" s="1"/>
  <c r="O467" i="3" s="1"/>
  <c r="O468" i="3" s="1"/>
  <c r="O469" i="3" s="1"/>
  <c r="O470" i="3" s="1"/>
  <c r="O471" i="3" s="1"/>
  <c r="O472" i="3" s="1"/>
  <c r="O473" i="3" s="1"/>
  <c r="O474" i="3" s="1"/>
  <c r="O475" i="3" s="1"/>
  <c r="O476" i="3" s="1"/>
  <c r="O477" i="3" s="1"/>
  <c r="O478" i="3" s="1"/>
  <c r="O479" i="3" s="1"/>
  <c r="O480" i="3" s="1"/>
  <c r="O481" i="3" s="1"/>
  <c r="O482" i="3" s="1"/>
  <c r="O483" i="3" s="1"/>
  <c r="O484" i="3" s="1"/>
  <c r="O485" i="3" s="1"/>
  <c r="O486" i="3" s="1"/>
  <c r="O487" i="3" s="1"/>
  <c r="O488" i="3" s="1"/>
  <c r="O489" i="3" s="1"/>
  <c r="O490" i="3" s="1"/>
  <c r="O491" i="3" s="1"/>
  <c r="O492" i="3" s="1"/>
  <c r="O493" i="3" s="1"/>
  <c r="O494" i="3" s="1"/>
  <c r="O495" i="3" s="1"/>
  <c r="O496" i="3" s="1"/>
  <c r="O497" i="3" s="1"/>
  <c r="O498" i="3" s="1"/>
  <c r="O499" i="3" s="1"/>
  <c r="O500" i="3" s="1"/>
  <c r="O501" i="3" s="1"/>
  <c r="O502" i="3" s="1"/>
  <c r="O503" i="3" s="1"/>
  <c r="O504" i="3" s="1"/>
  <c r="O505" i="3" s="1"/>
  <c r="O506" i="3" s="1"/>
  <c r="O507" i="3" s="1"/>
  <c r="O508" i="3" s="1"/>
  <c r="O509" i="3" s="1"/>
  <c r="O510" i="3" s="1"/>
  <c r="O511" i="3" s="1"/>
  <c r="O512" i="3" s="1"/>
  <c r="O513" i="3" s="1"/>
  <c r="O514" i="3" s="1"/>
  <c r="O515" i="3" s="1"/>
  <c r="O516" i="3" s="1"/>
  <c r="O517" i="3" s="1"/>
  <c r="O518" i="3" s="1"/>
  <c r="O519" i="3" s="1"/>
  <c r="O520" i="3" s="1"/>
  <c r="O521" i="3" s="1"/>
  <c r="O522" i="3" s="1"/>
  <c r="O523" i="3" s="1"/>
  <c r="O524" i="3" s="1"/>
  <c r="O525" i="3" s="1"/>
  <c r="O526" i="3" s="1"/>
  <c r="O527" i="3" s="1"/>
  <c r="O528" i="3" s="1"/>
  <c r="O529" i="3" s="1"/>
  <c r="O530" i="3" s="1"/>
  <c r="O531" i="3" s="1"/>
  <c r="O532" i="3" s="1"/>
  <c r="O533" i="3" s="1"/>
  <c r="O534" i="3" s="1"/>
  <c r="O535" i="3" s="1"/>
  <c r="O536" i="3" s="1"/>
  <c r="O537" i="3" s="1"/>
  <c r="O538" i="3" s="1"/>
  <c r="O539" i="3" s="1"/>
  <c r="O540" i="3" s="1"/>
  <c r="O541" i="3" s="1"/>
  <c r="O542" i="3" s="1"/>
  <c r="O543" i="3" s="1"/>
  <c r="O544" i="3" s="1"/>
  <c r="O545" i="3" s="1"/>
  <c r="O546" i="3" s="1"/>
  <c r="O547" i="3" s="1"/>
  <c r="O548" i="3" s="1"/>
  <c r="O549" i="3" s="1"/>
  <c r="O550" i="3" s="1"/>
  <c r="O551" i="3" s="1"/>
  <c r="O552" i="3" s="1"/>
  <c r="O553" i="3" s="1"/>
  <c r="O554" i="3" s="1"/>
  <c r="O555" i="3" s="1"/>
  <c r="O556" i="3" s="1"/>
  <c r="O557" i="3" s="1"/>
  <c r="O558" i="3" s="1"/>
  <c r="O559" i="3" s="1"/>
  <c r="O560" i="3" s="1"/>
  <c r="O561" i="3" s="1"/>
  <c r="O562" i="3" s="1"/>
  <c r="O563" i="3" s="1"/>
  <c r="O564" i="3" s="1"/>
  <c r="O565" i="3" s="1"/>
  <c r="O566" i="3" s="1"/>
  <c r="O567" i="3" s="1"/>
  <c r="O568" i="3" s="1"/>
  <c r="O569" i="3" s="1"/>
  <c r="O570" i="3" s="1"/>
  <c r="O571" i="3" s="1"/>
  <c r="O572" i="3" s="1"/>
  <c r="O573" i="3" s="1"/>
  <c r="O574" i="3" s="1"/>
  <c r="O575" i="3" s="1"/>
  <c r="O576" i="3" s="1"/>
  <c r="O577" i="3" s="1"/>
  <c r="O578" i="3" s="1"/>
  <c r="O579" i="3" s="1"/>
  <c r="O580" i="3" s="1"/>
  <c r="O581" i="3" s="1"/>
  <c r="O582" i="3" s="1"/>
  <c r="O583" i="3" s="1"/>
  <c r="O584" i="3" s="1"/>
  <c r="O585" i="3" s="1"/>
  <c r="O586" i="3" s="1"/>
  <c r="O587" i="3" s="1"/>
  <c r="O588" i="3" s="1"/>
  <c r="O589" i="3" s="1"/>
  <c r="O590" i="3" s="1"/>
  <c r="O591" i="3" s="1"/>
  <c r="O592" i="3" s="1"/>
  <c r="O593" i="3" s="1"/>
  <c r="O594" i="3" s="1"/>
  <c r="O595" i="3" s="1"/>
  <c r="O596" i="3" s="1"/>
  <c r="O597" i="3" s="1"/>
  <c r="O598" i="3" s="1"/>
  <c r="O599" i="3" s="1"/>
  <c r="O600" i="3" s="1"/>
  <c r="O601" i="3" s="1"/>
  <c r="O602" i="3" s="1"/>
  <c r="O603" i="3" s="1"/>
  <c r="O604" i="3" s="1"/>
  <c r="O605" i="3" s="1"/>
  <c r="O606" i="3" s="1"/>
  <c r="O607" i="3" s="1"/>
  <c r="O608" i="3" s="1"/>
  <c r="O609" i="3" s="1"/>
  <c r="O610" i="3" s="1"/>
  <c r="O611" i="3" s="1"/>
  <c r="O612" i="3" s="1"/>
  <c r="O613" i="3" s="1"/>
  <c r="O614" i="3" s="1"/>
  <c r="O615" i="3" s="1"/>
  <c r="O616" i="3" s="1"/>
  <c r="O617" i="3" s="1"/>
  <c r="O618" i="3" s="1"/>
  <c r="O619" i="3" s="1"/>
  <c r="O620" i="3" s="1"/>
  <c r="O621" i="3" s="1"/>
  <c r="O622" i="3" s="1"/>
  <c r="O623" i="3" s="1"/>
  <c r="O624" i="3" s="1"/>
  <c r="O625" i="3" s="1"/>
  <c r="O626" i="3" s="1"/>
  <c r="O627" i="3" s="1"/>
  <c r="O628" i="3" s="1"/>
  <c r="O629" i="3" s="1"/>
  <c r="O630" i="3" s="1"/>
  <c r="O631" i="3" s="1"/>
  <c r="O632" i="3" s="1"/>
  <c r="O633" i="3" s="1"/>
  <c r="O634" i="3" s="1"/>
  <c r="O635" i="3" s="1"/>
  <c r="O636" i="3" s="1"/>
  <c r="O637" i="3" s="1"/>
  <c r="O638" i="3" s="1"/>
  <c r="O639" i="3" s="1"/>
  <c r="O640" i="3" s="1"/>
  <c r="O641" i="3" s="1"/>
  <c r="O642" i="3" s="1"/>
  <c r="O643" i="3" s="1"/>
  <c r="O644" i="3" s="1"/>
  <c r="O645" i="3" s="1"/>
  <c r="O646" i="3" s="1"/>
  <c r="O647" i="3" s="1"/>
  <c r="O648" i="3" s="1"/>
  <c r="O649" i="3" s="1"/>
  <c r="O650" i="3" s="1"/>
  <c r="O651" i="3" s="1"/>
  <c r="O652" i="3" s="1"/>
  <c r="O653" i="3" s="1"/>
  <c r="O654" i="3" s="1"/>
  <c r="O655" i="3" s="1"/>
  <c r="O656" i="3" s="1"/>
  <c r="O657" i="3" s="1"/>
  <c r="O658" i="3" s="1"/>
  <c r="O659" i="3" s="1"/>
  <c r="O660" i="3" s="1"/>
  <c r="O661" i="3" s="1"/>
  <c r="O662" i="3" s="1"/>
  <c r="O663" i="3" s="1"/>
  <c r="O664" i="3" s="1"/>
  <c r="O665" i="3" s="1"/>
  <c r="O666" i="3" s="1"/>
  <c r="O667" i="3" s="1"/>
  <c r="O668" i="3" s="1"/>
  <c r="O669" i="3" s="1"/>
  <c r="O670" i="3" s="1"/>
  <c r="O671" i="3" s="1"/>
  <c r="O672" i="3" s="1"/>
  <c r="O673" i="3" s="1"/>
  <c r="O674" i="3" s="1"/>
  <c r="O675" i="3" s="1"/>
  <c r="O676" i="3" s="1"/>
  <c r="O677" i="3" s="1"/>
  <c r="O678" i="3" s="1"/>
  <c r="O679" i="3" s="1"/>
  <c r="O680" i="3" s="1"/>
  <c r="O681" i="3" s="1"/>
  <c r="O682" i="3" s="1"/>
  <c r="O683" i="3" s="1"/>
  <c r="O684" i="3" s="1"/>
  <c r="O685" i="3" s="1"/>
  <c r="O686" i="3" s="1"/>
  <c r="O687" i="3" s="1"/>
  <c r="O688" i="3" s="1"/>
  <c r="O689" i="3" s="1"/>
  <c r="O690" i="3" s="1"/>
  <c r="O691" i="3" s="1"/>
  <c r="O692" i="3" s="1"/>
  <c r="O693" i="3" s="1"/>
  <c r="O694" i="3" s="1"/>
  <c r="O695" i="3" s="1"/>
  <c r="O696" i="3" s="1"/>
  <c r="O697" i="3" s="1"/>
  <c r="O698" i="3" s="1"/>
  <c r="O699" i="3" s="1"/>
  <c r="O700" i="3" s="1"/>
  <c r="O701" i="3" s="1"/>
  <c r="O702" i="3" s="1"/>
  <c r="O703" i="3" s="1"/>
  <c r="O704" i="3" s="1"/>
  <c r="O705" i="3" s="1"/>
  <c r="O706" i="3" s="1"/>
  <c r="O707" i="3" s="1"/>
  <c r="O708" i="3" s="1"/>
  <c r="O709" i="3" s="1"/>
  <c r="O710" i="3" s="1"/>
  <c r="O711" i="3" s="1"/>
  <c r="O712" i="3" s="1"/>
  <c r="O713" i="3" s="1"/>
  <c r="O714" i="3" s="1"/>
  <c r="O715" i="3" s="1"/>
  <c r="O716" i="3" s="1"/>
  <c r="O717" i="3" s="1"/>
  <c r="O718" i="3" s="1"/>
  <c r="O719" i="3" s="1"/>
  <c r="O720" i="3" s="1"/>
  <c r="O721" i="3" s="1"/>
  <c r="O722" i="3" s="1"/>
  <c r="O723" i="3" s="1"/>
  <c r="O724" i="3" s="1"/>
  <c r="O725" i="3" s="1"/>
  <c r="O726" i="3" s="1"/>
  <c r="O727" i="3" s="1"/>
  <c r="O728" i="3" s="1"/>
  <c r="O729" i="3" s="1"/>
  <c r="O730" i="3" s="1"/>
  <c r="O3" i="3"/>
  <c r="O2" i="3"/>
  <c r="O4" i="2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86" i="2" s="1"/>
  <c r="O187" i="2" s="1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339" i="2" s="1"/>
  <c r="O340" i="2" s="1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70" i="2" s="1"/>
  <c r="O371" i="2" s="1"/>
  <c r="O372" i="2" s="1"/>
  <c r="O373" i="2" s="1"/>
  <c r="O374" i="2" s="1"/>
  <c r="O375" i="2" s="1"/>
  <c r="O376" i="2" s="1"/>
  <c r="O377" i="2" s="1"/>
  <c r="O378" i="2" s="1"/>
  <c r="O379" i="2" s="1"/>
  <c r="O380" i="2" s="1"/>
  <c r="O381" i="2" s="1"/>
  <c r="O382" i="2" s="1"/>
  <c r="O383" i="2" s="1"/>
  <c r="O384" i="2" s="1"/>
  <c r="O385" i="2" s="1"/>
  <c r="O386" i="2" s="1"/>
  <c r="O387" i="2" s="1"/>
  <c r="O388" i="2" s="1"/>
  <c r="O389" i="2" s="1"/>
  <c r="O390" i="2" s="1"/>
  <c r="O391" i="2" s="1"/>
  <c r="O392" i="2" s="1"/>
  <c r="O393" i="2" s="1"/>
  <c r="O394" i="2" s="1"/>
  <c r="O395" i="2" s="1"/>
  <c r="O396" i="2" s="1"/>
  <c r="O397" i="2" s="1"/>
  <c r="O398" i="2" s="1"/>
  <c r="O399" i="2" s="1"/>
  <c r="O400" i="2" s="1"/>
  <c r="O401" i="2" s="1"/>
  <c r="O402" i="2" s="1"/>
  <c r="O403" i="2" s="1"/>
  <c r="O404" i="2" s="1"/>
  <c r="O405" i="2" s="1"/>
  <c r="O406" i="2" s="1"/>
  <c r="O407" i="2" s="1"/>
  <c r="O408" i="2" s="1"/>
  <c r="O409" i="2" s="1"/>
  <c r="O410" i="2" s="1"/>
  <c r="O411" i="2" s="1"/>
  <c r="O412" i="2" s="1"/>
  <c r="O413" i="2" s="1"/>
  <c r="O414" i="2" s="1"/>
  <c r="O415" i="2" s="1"/>
  <c r="O416" i="2" s="1"/>
  <c r="O417" i="2" s="1"/>
  <c r="O418" i="2" s="1"/>
  <c r="O419" i="2" s="1"/>
  <c r="O420" i="2" s="1"/>
  <c r="O421" i="2" s="1"/>
  <c r="O422" i="2" s="1"/>
  <c r="O423" i="2" s="1"/>
  <c r="O424" i="2" s="1"/>
  <c r="O425" i="2" s="1"/>
  <c r="O426" i="2" s="1"/>
  <c r="O427" i="2" s="1"/>
  <c r="O428" i="2" s="1"/>
  <c r="O429" i="2" s="1"/>
  <c r="O430" i="2" s="1"/>
  <c r="O431" i="2" s="1"/>
  <c r="O432" i="2" s="1"/>
  <c r="O433" i="2" s="1"/>
  <c r="O434" i="2" s="1"/>
  <c r="O435" i="2" s="1"/>
  <c r="O436" i="2" s="1"/>
  <c r="O437" i="2" s="1"/>
  <c r="O438" i="2" s="1"/>
  <c r="O439" i="2" s="1"/>
  <c r="O440" i="2" s="1"/>
  <c r="O441" i="2" s="1"/>
  <c r="O442" i="2" s="1"/>
  <c r="O443" i="2" s="1"/>
  <c r="O444" i="2" s="1"/>
  <c r="O445" i="2" s="1"/>
  <c r="O446" i="2" s="1"/>
  <c r="O447" i="2" s="1"/>
  <c r="O448" i="2" s="1"/>
  <c r="O449" i="2" s="1"/>
  <c r="O450" i="2" s="1"/>
  <c r="O451" i="2" s="1"/>
  <c r="O452" i="2" s="1"/>
  <c r="O453" i="2" s="1"/>
  <c r="O454" i="2" s="1"/>
  <c r="O455" i="2" s="1"/>
  <c r="O456" i="2" s="1"/>
  <c r="O457" i="2" s="1"/>
  <c r="O458" i="2" s="1"/>
  <c r="O459" i="2" s="1"/>
  <c r="O460" i="2" s="1"/>
  <c r="O461" i="2" s="1"/>
  <c r="O462" i="2" s="1"/>
  <c r="O463" i="2" s="1"/>
  <c r="O464" i="2" s="1"/>
  <c r="O465" i="2" s="1"/>
  <c r="O466" i="2" s="1"/>
  <c r="O467" i="2" s="1"/>
  <c r="O468" i="2" s="1"/>
  <c r="O469" i="2" s="1"/>
  <c r="O470" i="2" s="1"/>
  <c r="O471" i="2" s="1"/>
  <c r="O472" i="2" s="1"/>
  <c r="O473" i="2" s="1"/>
  <c r="O474" i="2" s="1"/>
  <c r="O475" i="2" s="1"/>
  <c r="O476" i="2" s="1"/>
  <c r="O477" i="2" s="1"/>
  <c r="O478" i="2" s="1"/>
  <c r="O479" i="2" s="1"/>
  <c r="O480" i="2" s="1"/>
  <c r="O481" i="2" s="1"/>
  <c r="O482" i="2" s="1"/>
  <c r="O483" i="2" s="1"/>
  <c r="O484" i="2" s="1"/>
  <c r="O485" i="2" s="1"/>
  <c r="O486" i="2" s="1"/>
  <c r="O487" i="2" s="1"/>
  <c r="O488" i="2" s="1"/>
  <c r="O489" i="2" s="1"/>
  <c r="O490" i="2" s="1"/>
  <c r="O491" i="2" s="1"/>
  <c r="O492" i="2" s="1"/>
  <c r="O493" i="2" s="1"/>
  <c r="O494" i="2" s="1"/>
  <c r="O495" i="2" s="1"/>
  <c r="O496" i="2" s="1"/>
  <c r="O497" i="2" s="1"/>
  <c r="O498" i="2" s="1"/>
  <c r="O499" i="2" s="1"/>
  <c r="O500" i="2" s="1"/>
  <c r="O501" i="2" s="1"/>
  <c r="O502" i="2" s="1"/>
  <c r="O503" i="2" s="1"/>
  <c r="O504" i="2" s="1"/>
  <c r="O505" i="2" s="1"/>
  <c r="O506" i="2" s="1"/>
  <c r="O507" i="2" s="1"/>
  <c r="O508" i="2" s="1"/>
  <c r="O509" i="2" s="1"/>
  <c r="O510" i="2" s="1"/>
  <c r="O511" i="2" s="1"/>
  <c r="O512" i="2" s="1"/>
  <c r="O513" i="2" s="1"/>
  <c r="O514" i="2" s="1"/>
  <c r="O515" i="2" s="1"/>
  <c r="O516" i="2" s="1"/>
  <c r="O517" i="2" s="1"/>
  <c r="O518" i="2" s="1"/>
  <c r="O519" i="2" s="1"/>
  <c r="O520" i="2" s="1"/>
  <c r="O521" i="2" s="1"/>
  <c r="O522" i="2" s="1"/>
  <c r="O523" i="2" s="1"/>
  <c r="O524" i="2" s="1"/>
  <c r="O525" i="2" s="1"/>
  <c r="O526" i="2" s="1"/>
  <c r="O527" i="2" s="1"/>
  <c r="O528" i="2" s="1"/>
  <c r="O529" i="2" s="1"/>
  <c r="O530" i="2" s="1"/>
  <c r="O531" i="2" s="1"/>
  <c r="O532" i="2" s="1"/>
  <c r="O533" i="2" s="1"/>
  <c r="O534" i="2" s="1"/>
  <c r="O535" i="2" s="1"/>
  <c r="O536" i="2" s="1"/>
  <c r="O537" i="2" s="1"/>
  <c r="O538" i="2" s="1"/>
  <c r="O539" i="2" s="1"/>
  <c r="O540" i="2" s="1"/>
  <c r="O541" i="2" s="1"/>
  <c r="O542" i="2" s="1"/>
  <c r="O543" i="2" s="1"/>
  <c r="O544" i="2" s="1"/>
  <c r="O545" i="2" s="1"/>
  <c r="O546" i="2" s="1"/>
  <c r="O547" i="2" s="1"/>
  <c r="O548" i="2" s="1"/>
  <c r="O549" i="2" s="1"/>
  <c r="O550" i="2" s="1"/>
  <c r="O551" i="2" s="1"/>
  <c r="O552" i="2" s="1"/>
  <c r="O553" i="2" s="1"/>
  <c r="O554" i="2" s="1"/>
  <c r="O555" i="2" s="1"/>
  <c r="O556" i="2" s="1"/>
  <c r="O557" i="2" s="1"/>
  <c r="O558" i="2" s="1"/>
  <c r="O559" i="2" s="1"/>
  <c r="O560" i="2" s="1"/>
  <c r="O561" i="2" s="1"/>
  <c r="O562" i="2" s="1"/>
  <c r="O563" i="2" s="1"/>
  <c r="O564" i="2" s="1"/>
  <c r="O565" i="2" s="1"/>
  <c r="O566" i="2" s="1"/>
  <c r="O567" i="2" s="1"/>
  <c r="O568" i="2" s="1"/>
  <c r="O569" i="2" s="1"/>
  <c r="O570" i="2" s="1"/>
  <c r="O571" i="2" s="1"/>
  <c r="O572" i="2" s="1"/>
  <c r="O573" i="2" s="1"/>
  <c r="O574" i="2" s="1"/>
  <c r="O575" i="2" s="1"/>
  <c r="O576" i="2" s="1"/>
  <c r="O577" i="2" s="1"/>
  <c r="O578" i="2" s="1"/>
  <c r="O579" i="2" s="1"/>
  <c r="O580" i="2" s="1"/>
  <c r="O581" i="2" s="1"/>
  <c r="O582" i="2" s="1"/>
  <c r="O583" i="2" s="1"/>
  <c r="O584" i="2" s="1"/>
  <c r="O585" i="2" s="1"/>
  <c r="O586" i="2" s="1"/>
  <c r="O587" i="2" s="1"/>
  <c r="O588" i="2" s="1"/>
  <c r="O589" i="2" s="1"/>
  <c r="O590" i="2" s="1"/>
  <c r="O591" i="2" s="1"/>
  <c r="O592" i="2" s="1"/>
  <c r="O593" i="2" s="1"/>
  <c r="O594" i="2" s="1"/>
  <c r="O595" i="2" s="1"/>
  <c r="O596" i="2" s="1"/>
  <c r="O597" i="2" s="1"/>
  <c r="O598" i="2" s="1"/>
  <c r="O599" i="2" s="1"/>
  <c r="O600" i="2" s="1"/>
  <c r="O601" i="2" s="1"/>
  <c r="O602" i="2" s="1"/>
  <c r="O603" i="2" s="1"/>
  <c r="O604" i="2" s="1"/>
  <c r="O605" i="2" s="1"/>
  <c r="O606" i="2" s="1"/>
  <c r="O607" i="2" s="1"/>
  <c r="O608" i="2" s="1"/>
  <c r="O609" i="2" s="1"/>
  <c r="O610" i="2" s="1"/>
  <c r="O611" i="2" s="1"/>
  <c r="O612" i="2" s="1"/>
  <c r="O613" i="2" s="1"/>
  <c r="O614" i="2" s="1"/>
  <c r="O615" i="2" s="1"/>
  <c r="O616" i="2" s="1"/>
  <c r="O617" i="2" s="1"/>
  <c r="O618" i="2" s="1"/>
  <c r="O619" i="2" s="1"/>
  <c r="O620" i="2" s="1"/>
  <c r="O621" i="2" s="1"/>
  <c r="O622" i="2" s="1"/>
  <c r="O623" i="2" s="1"/>
  <c r="O624" i="2" s="1"/>
  <c r="O625" i="2" s="1"/>
  <c r="O626" i="2" s="1"/>
  <c r="O627" i="2" s="1"/>
  <c r="O628" i="2" s="1"/>
  <c r="O629" i="2" s="1"/>
  <c r="O630" i="2" s="1"/>
  <c r="O631" i="2" s="1"/>
  <c r="O632" i="2" s="1"/>
  <c r="O633" i="2" s="1"/>
  <c r="O634" i="2" s="1"/>
  <c r="O635" i="2" s="1"/>
  <c r="O636" i="2" s="1"/>
  <c r="O637" i="2" s="1"/>
  <c r="O638" i="2" s="1"/>
  <c r="O639" i="2" s="1"/>
  <c r="O640" i="2" s="1"/>
  <c r="O641" i="2" s="1"/>
  <c r="O642" i="2" s="1"/>
  <c r="O643" i="2" s="1"/>
  <c r="O644" i="2" s="1"/>
  <c r="O645" i="2" s="1"/>
  <c r="O646" i="2" s="1"/>
  <c r="O647" i="2" s="1"/>
  <c r="O648" i="2" s="1"/>
  <c r="O649" i="2" s="1"/>
  <c r="O650" i="2" s="1"/>
  <c r="O651" i="2" s="1"/>
  <c r="O652" i="2" s="1"/>
  <c r="O653" i="2" s="1"/>
  <c r="O654" i="2" s="1"/>
  <c r="O655" i="2" s="1"/>
  <c r="O656" i="2" s="1"/>
  <c r="O657" i="2" s="1"/>
  <c r="O658" i="2" s="1"/>
  <c r="O659" i="2" s="1"/>
  <c r="O660" i="2" s="1"/>
  <c r="O661" i="2" s="1"/>
  <c r="O662" i="2" s="1"/>
  <c r="O663" i="2" s="1"/>
  <c r="O664" i="2" s="1"/>
  <c r="O665" i="2" s="1"/>
  <c r="O666" i="2" s="1"/>
  <c r="O667" i="2" s="1"/>
  <c r="O668" i="2" s="1"/>
  <c r="O669" i="2" s="1"/>
  <c r="O670" i="2" s="1"/>
  <c r="O671" i="2" s="1"/>
  <c r="O672" i="2" s="1"/>
  <c r="O673" i="2" s="1"/>
  <c r="O674" i="2" s="1"/>
  <c r="O675" i="2" s="1"/>
  <c r="O676" i="2" s="1"/>
  <c r="O677" i="2" s="1"/>
  <c r="O678" i="2" s="1"/>
  <c r="O679" i="2" s="1"/>
  <c r="O680" i="2" s="1"/>
  <c r="O681" i="2" s="1"/>
  <c r="O682" i="2" s="1"/>
  <c r="O683" i="2" s="1"/>
  <c r="O684" i="2" s="1"/>
  <c r="O685" i="2" s="1"/>
  <c r="O686" i="2" s="1"/>
  <c r="O687" i="2" s="1"/>
  <c r="O688" i="2" s="1"/>
  <c r="O689" i="2" s="1"/>
  <c r="O690" i="2" s="1"/>
  <c r="O691" i="2" s="1"/>
  <c r="O692" i="2" s="1"/>
  <c r="O693" i="2" s="1"/>
  <c r="O694" i="2" s="1"/>
  <c r="O695" i="2" s="1"/>
  <c r="O696" i="2" s="1"/>
  <c r="O697" i="2" s="1"/>
  <c r="O698" i="2" s="1"/>
  <c r="O699" i="2" s="1"/>
  <c r="O700" i="2" s="1"/>
  <c r="O701" i="2" s="1"/>
  <c r="O702" i="2" s="1"/>
  <c r="O703" i="2" s="1"/>
  <c r="O704" i="2" s="1"/>
  <c r="O705" i="2" s="1"/>
  <c r="O706" i="2" s="1"/>
  <c r="O707" i="2" s="1"/>
  <c r="O708" i="2" s="1"/>
  <c r="O709" i="2" s="1"/>
  <c r="O710" i="2" s="1"/>
  <c r="O711" i="2" s="1"/>
  <c r="O712" i="2" s="1"/>
  <c r="O713" i="2" s="1"/>
  <c r="O714" i="2" s="1"/>
  <c r="O715" i="2" s="1"/>
  <c r="O716" i="2" s="1"/>
  <c r="O717" i="2" s="1"/>
  <c r="O718" i="2" s="1"/>
  <c r="O719" i="2" s="1"/>
  <c r="O720" i="2" s="1"/>
  <c r="O721" i="2" s="1"/>
  <c r="O722" i="2" s="1"/>
  <c r="O723" i="2" s="1"/>
  <c r="O724" i="2" s="1"/>
  <c r="O725" i="2" s="1"/>
  <c r="O726" i="2" s="1"/>
  <c r="O727" i="2" s="1"/>
  <c r="O728" i="2" s="1"/>
  <c r="O729" i="2" s="1"/>
  <c r="O730" i="2" s="1"/>
  <c r="O3" i="2"/>
  <c r="O2" i="2"/>
  <c r="L2" i="5"/>
  <c r="L4" i="5" s="1"/>
  <c r="L2" i="4"/>
  <c r="L4" i="4" s="1"/>
  <c r="L2" i="3"/>
  <c r="L4" i="3" s="1"/>
  <c r="L2" i="2"/>
  <c r="L4" i="2" s="1"/>
  <c r="J32" i="1" l="1"/>
  <c r="J33" i="1"/>
  <c r="J34" i="1"/>
  <c r="J35" i="1"/>
  <c r="J36" i="1"/>
  <c r="J31" i="1"/>
  <c r="Q53" i="1" l="1"/>
  <c r="P53" i="1"/>
  <c r="O53" i="1"/>
  <c r="N53" i="1"/>
  <c r="M53" i="1"/>
  <c r="L53" i="1"/>
  <c r="K53" i="1"/>
  <c r="J53" i="1"/>
  <c r="I53" i="1"/>
  <c r="H53" i="1"/>
  <c r="H48" i="1"/>
  <c r="J47" i="1"/>
  <c r="J48" i="1" s="1"/>
  <c r="I47" i="1"/>
  <c r="I48" i="1" s="1"/>
  <c r="J38" i="1"/>
  <c r="K36" i="1"/>
  <c r="K35" i="1"/>
  <c r="K34" i="1"/>
  <c r="H60" i="1" s="1"/>
  <c r="K33" i="1"/>
  <c r="K32" i="1"/>
  <c r="K31" i="1"/>
  <c r="K6" i="1"/>
  <c r="A45" i="1" s="1"/>
  <c r="H52" i="1" l="1"/>
  <c r="K47" i="1"/>
  <c r="I52" i="1"/>
  <c r="H51" i="1"/>
  <c r="J52" i="1"/>
  <c r="J51" i="1"/>
  <c r="I51" i="1"/>
  <c r="J54" i="1" l="1"/>
  <c r="J58" i="1" s="1"/>
  <c r="I54" i="1"/>
  <c r="I58" i="1" s="1"/>
  <c r="H54" i="1"/>
  <c r="H58" i="1" s="1"/>
  <c r="K48" i="1"/>
  <c r="L47" i="1"/>
  <c r="J56" i="1" l="1"/>
  <c r="J62" i="1" s="1"/>
  <c r="I56" i="1"/>
  <c r="I62" i="1" s="1"/>
  <c r="H56" i="1"/>
  <c r="H62" i="1" s="1"/>
  <c r="M47" i="1"/>
  <c r="L48" i="1"/>
  <c r="K52" i="1"/>
  <c r="K51" i="1"/>
  <c r="I63" i="1" l="1"/>
  <c r="J63" i="1"/>
  <c r="H63" i="1"/>
  <c r="K54" i="1"/>
  <c r="K58" i="1" s="1"/>
  <c r="L51" i="1"/>
  <c r="L52" i="1"/>
  <c r="N47" i="1"/>
  <c r="M48" i="1"/>
  <c r="J65" i="1" l="1"/>
  <c r="J67" i="1" s="1"/>
  <c r="I65" i="1"/>
  <c r="I67" i="1" s="1"/>
  <c r="H65" i="1"/>
  <c r="H67" i="1" s="1"/>
  <c r="K56" i="1"/>
  <c r="K62" i="1" s="1"/>
  <c r="L54" i="1"/>
  <c r="L56" i="1" s="1"/>
  <c r="M52" i="1"/>
  <c r="M51" i="1"/>
  <c r="N48" i="1"/>
  <c r="O47" i="1"/>
  <c r="K63" i="1" l="1"/>
  <c r="L63" i="1"/>
  <c r="H68" i="1"/>
  <c r="H69" i="1"/>
  <c r="H71" i="1" s="1"/>
  <c r="H72" i="1" s="1"/>
  <c r="L58" i="1"/>
  <c r="L62" i="1" s="1"/>
  <c r="M54" i="1"/>
  <c r="M58" i="1" s="1"/>
  <c r="O48" i="1"/>
  <c r="P47" i="1"/>
  <c r="N51" i="1"/>
  <c r="N52" i="1"/>
  <c r="I68" i="1" l="1"/>
  <c r="I69" i="1"/>
  <c r="I71" i="1" s="1"/>
  <c r="I72" i="1" s="1"/>
  <c r="K65" i="1"/>
  <c r="K67" i="1" s="1"/>
  <c r="M56" i="1"/>
  <c r="M62" i="1" s="1"/>
  <c r="L65" i="1"/>
  <c r="L67" i="1" s="1"/>
  <c r="N54" i="1"/>
  <c r="N58" i="1" s="1"/>
  <c r="Q47" i="1"/>
  <c r="Q48" i="1" s="1"/>
  <c r="P48" i="1"/>
  <c r="O52" i="1"/>
  <c r="O51" i="1"/>
  <c r="M63" i="1" l="1"/>
  <c r="J68" i="1"/>
  <c r="J69" i="1"/>
  <c r="J71" i="1" s="1"/>
  <c r="J72" i="1" s="1"/>
  <c r="N56" i="1"/>
  <c r="N62" i="1" s="1"/>
  <c r="O54" i="1"/>
  <c r="O58" i="1" s="1"/>
  <c r="P51" i="1"/>
  <c r="P52" i="1"/>
  <c r="Q52" i="1"/>
  <c r="Q51" i="1"/>
  <c r="N63" i="1" l="1"/>
  <c r="M65" i="1"/>
  <c r="M67" i="1" s="1"/>
  <c r="K69" i="1"/>
  <c r="K71" i="1" s="1"/>
  <c r="K72" i="1" s="1"/>
  <c r="K68" i="1"/>
  <c r="O56" i="1"/>
  <c r="O62" i="1" s="1"/>
  <c r="Q54" i="1"/>
  <c r="Q56" i="1" s="1"/>
  <c r="P54" i="1"/>
  <c r="P58" i="1" s="1"/>
  <c r="Q63" i="1" l="1"/>
  <c r="O63" i="1"/>
  <c r="N65" i="1"/>
  <c r="N67" i="1" s="1"/>
  <c r="L69" i="1"/>
  <c r="L71" i="1" s="1"/>
  <c r="L72" i="1" s="1"/>
  <c r="L68" i="1"/>
  <c r="Q58" i="1"/>
  <c r="Q62" i="1" s="1"/>
  <c r="P56" i="1"/>
  <c r="P62" i="1" s="1"/>
  <c r="P63" i="1" l="1"/>
  <c r="O65" i="1"/>
  <c r="O67" i="1" s="1"/>
  <c r="M69" i="1"/>
  <c r="M71" i="1" s="1"/>
  <c r="M72" i="1" s="1"/>
  <c r="M68" i="1"/>
  <c r="Q65" i="1"/>
  <c r="Q67" i="1" s="1"/>
  <c r="P65" i="1" l="1"/>
  <c r="P67" i="1" s="1"/>
  <c r="N69" i="1"/>
  <c r="N71" i="1" s="1"/>
  <c r="N72" i="1" s="1"/>
  <c r="N68" i="1"/>
  <c r="O68" i="1" l="1"/>
  <c r="P68" i="1" s="1"/>
  <c r="Q68" i="1" s="1"/>
  <c r="O69" i="1"/>
  <c r="O71" i="1" s="1"/>
  <c r="O72" i="1" s="1"/>
  <c r="Q69" i="1" l="1"/>
  <c r="Q71" i="1" s="1"/>
  <c r="Q72" i="1" s="1"/>
  <c r="P69" i="1"/>
  <c r="P71" i="1" s="1"/>
  <c r="P72" i="1" s="1"/>
  <c r="H75" i="1" l="1"/>
  <c r="H77" i="1" s="1"/>
  <c r="Q1" i="12" l="1"/>
</calcChain>
</file>

<file path=xl/sharedStrings.xml><?xml version="1.0" encoding="utf-8"?>
<sst xmlns="http://schemas.openxmlformats.org/spreadsheetml/2006/main" count="358" uniqueCount="129">
  <si>
    <t>RBL BioChemical Corporation's Value Model</t>
  </si>
  <si>
    <t>Section 1 - Strategy Selection</t>
  </si>
  <si>
    <t>Strategy</t>
  </si>
  <si>
    <t>strategy</t>
  </si>
  <si>
    <t>Strategy Name</t>
  </si>
  <si>
    <t>strategy_name</t>
  </si>
  <si>
    <t>Strategy Descriptions</t>
  </si>
  <si>
    <t>No Partnership / No Expansion</t>
  </si>
  <si>
    <t>No Partnership / Expansion</t>
  </si>
  <si>
    <t>Joint Venture</t>
  </si>
  <si>
    <t>Royalty</t>
  </si>
  <si>
    <t>Section 2 - Constants</t>
  </si>
  <si>
    <t>Description</t>
  </si>
  <si>
    <t>Units</t>
  </si>
  <si>
    <t>Value</t>
  </si>
  <si>
    <t>Name</t>
  </si>
  <si>
    <t/>
  </si>
  <si>
    <t>Real discount rate</t>
  </si>
  <si>
    <t>%</t>
  </si>
  <si>
    <t>discount_rate</t>
  </si>
  <si>
    <t>Tax Rate</t>
  </si>
  <si>
    <t>tax_rate</t>
  </si>
  <si>
    <t>Production without expansion</t>
  </si>
  <si>
    <t>M units</t>
  </si>
  <si>
    <t>prod_wo_exp</t>
  </si>
  <si>
    <t>Production with expansion</t>
  </si>
  <si>
    <t>prod_w_exp</t>
  </si>
  <si>
    <t>Production for PuDont</t>
  </si>
  <si>
    <t>prod_PuD</t>
  </si>
  <si>
    <t>Risk Tolerance</t>
  </si>
  <si>
    <t>M $</t>
  </si>
  <si>
    <t>risk_tol</t>
  </si>
  <si>
    <t>Section 3 - Uncertainties</t>
  </si>
  <si>
    <t>Index</t>
  </si>
  <si>
    <t>In Use</t>
  </si>
  <si>
    <t>Low</t>
  </si>
  <si>
    <t>Base</t>
  </si>
  <si>
    <t>High</t>
  </si>
  <si>
    <t>Demand uncertainties</t>
  </si>
  <si>
    <t>Initial Demand | RBL BioChem Markets</t>
  </si>
  <si>
    <t>dem_RBL</t>
  </si>
  <si>
    <t>Demand Growth Rate | RBL Biochem Markets</t>
  </si>
  <si>
    <t>%/year</t>
  </si>
  <si>
    <t>dem_g_PD</t>
  </si>
  <si>
    <t>PuDont Multiple | PuDont</t>
  </si>
  <si>
    <t>multiple</t>
  </si>
  <si>
    <t>mult_PD</t>
  </si>
  <si>
    <t>Plant Construction Cost</t>
  </si>
  <si>
    <t>plant_const</t>
  </si>
  <si>
    <t>Unit Production Cost</t>
  </si>
  <si>
    <t>$/unit</t>
  </si>
  <si>
    <t>unit_prod</t>
  </si>
  <si>
    <t>Unit Revenue</t>
  </si>
  <si>
    <t>unit_rev</t>
  </si>
  <si>
    <t>Section 4 - Calculations</t>
  </si>
  <si>
    <t>Year</t>
  </si>
  <si>
    <t>Period</t>
  </si>
  <si>
    <t>Sales</t>
  </si>
  <si>
    <t>Demand | RBL BioChem Markets</t>
  </si>
  <si>
    <t>Demand | PuDont Markets</t>
  </si>
  <si>
    <t>Capacity</t>
  </si>
  <si>
    <t>Revenue</t>
  </si>
  <si>
    <t>Production Cost</t>
  </si>
  <si>
    <t>Plant Cost</t>
  </si>
  <si>
    <t>JV Payment</t>
  </si>
  <si>
    <t>Royalty Payment</t>
  </si>
  <si>
    <t>Earnings Before Tax</t>
  </si>
  <si>
    <t>Taxes</t>
  </si>
  <si>
    <t>Tax Credit Available for Next Year</t>
  </si>
  <si>
    <t>Tax Payment</t>
  </si>
  <si>
    <t>Cash Flow</t>
  </si>
  <si>
    <t>Discounted Cash Flow</t>
  </si>
  <si>
    <t>Present Equivalent</t>
  </si>
  <si>
    <t>M 2017 $</t>
  </si>
  <si>
    <t>U (PE)</t>
  </si>
  <si>
    <t>Elementary Prob.</t>
  </si>
  <si>
    <t>CDF</t>
  </si>
  <si>
    <t>Prob.</t>
  </si>
  <si>
    <t>Base NPV</t>
  </si>
  <si>
    <t>S1</t>
  </si>
  <si>
    <t>S2</t>
  </si>
  <si>
    <t>S3</t>
  </si>
  <si>
    <t>S4</t>
  </si>
  <si>
    <t>CE</t>
  </si>
  <si>
    <t>PE</t>
  </si>
  <si>
    <t>u</t>
  </si>
  <si>
    <t>u(x)</t>
  </si>
  <si>
    <t>U</t>
  </si>
  <si>
    <t>uep</t>
  </si>
  <si>
    <t>H</t>
  </si>
  <si>
    <t>L</t>
  </si>
  <si>
    <t>B</t>
  </si>
  <si>
    <t>EERMC CE</t>
  </si>
  <si>
    <t>CE w/ risk</t>
  </si>
  <si>
    <t>CE no risk</t>
  </si>
  <si>
    <t>Elementary Probability</t>
  </si>
  <si>
    <t>"H" w/ CV</t>
  </si>
  <si>
    <t>"L" w/ CV</t>
  </si>
  <si>
    <t>"B" w/ CV</t>
  </si>
  <si>
    <t>CE w/ CV</t>
  </si>
  <si>
    <t>Pudont Multiple (multiplier)</t>
  </si>
  <si>
    <t>Plant Construction Cost  ($M)</t>
  </si>
  <si>
    <t>Demand Growth Rate (%/yr)</t>
  </si>
  <si>
    <t>Production Cost ($/unit)</t>
  </si>
  <si>
    <t>Initial Demand (M)</t>
  </si>
  <si>
    <t>Unit Revenue ($/unit)</t>
  </si>
  <si>
    <t>VAR</t>
  </si>
  <si>
    <t>Swing^2</t>
  </si>
  <si>
    <t xml:space="preserve">Swing </t>
  </si>
  <si>
    <t>Alternative 4</t>
  </si>
  <si>
    <t>Alternative 2</t>
  </si>
  <si>
    <t xml:space="preserve">Strategy </t>
  </si>
  <si>
    <t>Alternative 3</t>
  </si>
  <si>
    <t>Alternative 1</t>
  </si>
  <si>
    <t>Variance</t>
  </si>
  <si>
    <t>Uncertainties</t>
  </si>
  <si>
    <t>Strategy 4</t>
  </si>
  <si>
    <t>Strategy 3:</t>
  </si>
  <si>
    <t>Strategy 2:</t>
  </si>
  <si>
    <t>Strategy 1:</t>
  </si>
  <si>
    <t>Strategy 3</t>
  </si>
  <si>
    <t>Strategy 2</t>
  </si>
  <si>
    <t>Strategy 1</t>
  </si>
  <si>
    <t>Close</t>
  </si>
  <si>
    <t xml:space="preserve">High </t>
  </si>
  <si>
    <t>Open</t>
  </si>
  <si>
    <t>Where 3 passes 1</t>
  </si>
  <si>
    <t>Where 4 passes 1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</si>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</sst>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0.0"/>
    <numFmt numFmtId="165" formatCode="0.0%"/>
    <numFmt numFmtId="166" formatCode="_(&quot;$&quot;* #,##0.0_);_(&quot;$&quot;* \(#,##0.0\);_(&quot;$&quot;* &quot;-&quot;??_);_(@_)"/>
    <numFmt numFmtId="167" formatCode="#,##0.0"/>
    <numFmt numFmtId="168" formatCode="0.00000"/>
    <numFmt numFmtId="169" formatCode="0.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Courier New"/>
      <family val="3"/>
    </font>
    <font>
      <sz val="10"/>
      <name val="Courier New"/>
      <family val="3"/>
    </font>
    <font>
      <b/>
      <i/>
      <sz val="12"/>
      <name val="Courier New"/>
      <family val="3"/>
    </font>
    <font>
      <b/>
      <i/>
      <sz val="10"/>
      <name val="Courier New"/>
      <family val="3"/>
    </font>
    <font>
      <b/>
      <sz val="10"/>
      <name val="Courier New"/>
      <family val="3"/>
    </font>
    <font>
      <sz val="9"/>
      <name val="Courier New"/>
      <family val="3"/>
    </font>
    <font>
      <b/>
      <sz val="12"/>
      <name val="Courier New"/>
      <family val="3"/>
    </font>
    <font>
      <u/>
      <sz val="10"/>
      <name val="Courier New"/>
      <family val="3"/>
    </font>
    <font>
      <b/>
      <i/>
      <sz val="10"/>
      <color indexed="10"/>
      <name val="Courier New"/>
      <family val="3"/>
    </font>
    <font>
      <sz val="10"/>
      <color indexed="10"/>
      <name val="Courier New"/>
      <family val="3"/>
    </font>
    <font>
      <i/>
      <sz val="10"/>
      <color indexed="10"/>
      <name val="Courier New"/>
      <family val="3"/>
    </font>
    <font>
      <sz val="10"/>
      <color indexed="8"/>
      <name val="Courier New"/>
      <family val="3"/>
    </font>
    <font>
      <sz val="12"/>
      <name val="Courier New"/>
      <family val="3"/>
    </font>
    <font>
      <sz val="11"/>
      <name val="Courier New"/>
      <family val="3"/>
    </font>
    <font>
      <sz val="11"/>
      <color indexed="8"/>
      <name val="Courier New"/>
      <family val="3"/>
    </font>
    <font>
      <b/>
      <sz val="11"/>
      <color indexed="8"/>
      <name val="Courier New"/>
      <family val="3"/>
    </font>
    <font>
      <i/>
      <sz val="10"/>
      <color indexed="8"/>
      <name val="Courier New"/>
      <family val="3"/>
    </font>
    <font>
      <i/>
      <sz val="10"/>
      <name val="Courier New"/>
      <family val="3"/>
    </font>
    <font>
      <sz val="9"/>
      <color indexed="8"/>
      <name val="Courier New"/>
      <family val="3"/>
    </font>
    <font>
      <sz val="9"/>
      <color indexed="10"/>
      <name val="Courier New"/>
      <family val="3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3" fillId="0" borderId="1" xfId="0" applyFont="1" applyBorder="1"/>
    <xf numFmtId="0" fontId="5" fillId="0" borderId="0" xfId="0" applyFont="1" applyBorder="1"/>
    <xf numFmtId="0" fontId="3" fillId="0" borderId="0" xfId="0" applyFont="1" applyBorder="1"/>
    <xf numFmtId="0" fontId="3" fillId="0" borderId="2" xfId="0" applyFont="1" applyBorder="1"/>
    <xf numFmtId="0" fontId="3" fillId="0" borderId="3" xfId="0" applyFont="1" applyBorder="1"/>
    <xf numFmtId="0" fontId="6" fillId="2" borderId="4" xfId="0" applyFont="1" applyFill="1" applyBorder="1"/>
    <xf numFmtId="0" fontId="7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right"/>
    </xf>
    <xf numFmtId="0" fontId="7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/>
    <xf numFmtId="0" fontId="3" fillId="0" borderId="4" xfId="0" applyFont="1" applyBorder="1"/>
    <xf numFmtId="0" fontId="9" fillId="0" borderId="0" xfId="0" applyFont="1" applyBorder="1" applyAlignment="1">
      <alignment horizontal="center"/>
    </xf>
    <xf numFmtId="0" fontId="3" fillId="0" borderId="0" xfId="0" applyFont="1" applyBorder="1" applyProtection="1"/>
    <xf numFmtId="0" fontId="10" fillId="0" borderId="0" xfId="0" applyFont="1"/>
    <xf numFmtId="0" fontId="3" fillId="0" borderId="8" xfId="0" applyFont="1" applyBorder="1"/>
    <xf numFmtId="0" fontId="3" fillId="0" borderId="0" xfId="0" applyFont="1" applyBorder="1" applyAlignment="1">
      <alignment horizontal="center"/>
    </xf>
    <xf numFmtId="9" fontId="3" fillId="0" borderId="9" xfId="0" applyNumberFormat="1" applyFont="1" applyBorder="1" applyAlignment="1">
      <alignment horizontal="center"/>
    </xf>
    <xf numFmtId="0" fontId="7" fillId="0" borderId="10" xfId="0" applyFont="1" applyBorder="1"/>
    <xf numFmtId="9" fontId="3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9" fontId="3" fillId="0" borderId="11" xfId="0" applyNumberFormat="1" applyFont="1" applyBorder="1" applyAlignment="1">
      <alignment horizontal="center"/>
    </xf>
    <xf numFmtId="0" fontId="3" fillId="0" borderId="10" xfId="0" applyFont="1" applyBorder="1"/>
    <xf numFmtId="164" fontId="3" fillId="0" borderId="0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9" fontId="3" fillId="0" borderId="0" xfId="2" applyFont="1" applyBorder="1" applyAlignment="1">
      <alignment horizontal="center"/>
    </xf>
    <xf numFmtId="0" fontId="3" fillId="0" borderId="0" xfId="2" applyNumberFormat="1" applyFont="1" applyBorder="1" applyAlignment="1">
      <alignment horizontal="center"/>
    </xf>
    <xf numFmtId="0" fontId="3" fillId="0" borderId="7" xfId="0" applyFont="1" applyBorder="1"/>
    <xf numFmtId="0" fontId="4" fillId="0" borderId="0" xfId="0" applyFont="1" applyBorder="1"/>
    <xf numFmtId="0" fontId="6" fillId="0" borderId="2" xfId="0" applyFont="1" applyBorder="1"/>
    <xf numFmtId="0" fontId="9" fillId="0" borderId="3" xfId="0" applyFont="1" applyBorder="1" applyAlignment="1">
      <alignment horizontal="center"/>
    </xf>
    <xf numFmtId="0" fontId="12" fillId="0" borderId="0" xfId="0" applyFont="1"/>
    <xf numFmtId="0" fontId="13" fillId="0" borderId="8" xfId="0" applyFont="1" applyBorder="1"/>
    <xf numFmtId="0" fontId="3" fillId="0" borderId="0" xfId="0" applyFont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0" fontId="3" fillId="0" borderId="12" xfId="2" applyNumberFormat="1" applyFont="1" applyBorder="1" applyAlignment="1">
      <alignment horizontal="center"/>
    </xf>
    <xf numFmtId="165" fontId="3" fillId="0" borderId="0" xfId="2" applyNumberFormat="1" applyFont="1" applyBorder="1" applyAlignment="1">
      <alignment horizontal="center"/>
    </xf>
    <xf numFmtId="166" fontId="3" fillId="0" borderId="12" xfId="1" applyNumberFormat="1" applyFont="1" applyBorder="1" applyAlignment="1">
      <alignment horizontal="center"/>
    </xf>
    <xf numFmtId="44" fontId="3" fillId="0" borderId="12" xfId="1" applyFont="1" applyBorder="1" applyAlignment="1">
      <alignment horizontal="center" vertical="center"/>
    </xf>
    <xf numFmtId="0" fontId="13" fillId="4" borderId="0" xfId="0" applyFont="1" applyFill="1" applyBorder="1" applyAlignment="1">
      <alignment horizontal="center"/>
    </xf>
    <xf numFmtId="0" fontId="13" fillId="4" borderId="0" xfId="0" applyFont="1" applyFill="1" applyBorder="1"/>
    <xf numFmtId="0" fontId="6" fillId="0" borderId="8" xfId="0" applyFont="1" applyBorder="1"/>
    <xf numFmtId="0" fontId="6" fillId="0" borderId="5" xfId="0" applyFont="1" applyBorder="1"/>
    <xf numFmtId="0" fontId="3" fillId="0" borderId="6" xfId="0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7" fillId="0" borderId="6" xfId="0" applyNumberFormat="1" applyFont="1" applyBorder="1"/>
    <xf numFmtId="0" fontId="6" fillId="0" borderId="0" xfId="0" applyFont="1"/>
    <xf numFmtId="0" fontId="14" fillId="0" borderId="0" xfId="0" applyFont="1"/>
    <xf numFmtId="0" fontId="7" fillId="0" borderId="0" xfId="0" applyFont="1" applyAlignment="1"/>
    <xf numFmtId="0" fontId="15" fillId="0" borderId="0" xfId="0" applyFont="1" applyAlignment="1"/>
    <xf numFmtId="0" fontId="16" fillId="0" borderId="0" xfId="0" applyFont="1" applyAlignment="1">
      <alignment horizontal="center"/>
    </xf>
    <xf numFmtId="0" fontId="13" fillId="0" borderId="0" xfId="0" applyFont="1"/>
    <xf numFmtId="0" fontId="16" fillId="0" borderId="0" xfId="0" applyFont="1"/>
    <xf numFmtId="4" fontId="16" fillId="0" borderId="0" xfId="0" applyNumberFormat="1" applyFont="1" applyBorder="1"/>
    <xf numFmtId="164" fontId="16" fillId="0" borderId="0" xfId="0" applyNumberFormat="1" applyFont="1" applyBorder="1"/>
    <xf numFmtId="167" fontId="16" fillId="0" borderId="0" xfId="0" applyNumberFormat="1" applyFont="1" applyBorder="1"/>
    <xf numFmtId="0" fontId="14" fillId="0" borderId="0" xfId="0" applyFont="1" applyBorder="1"/>
    <xf numFmtId="0" fontId="7" fillId="0" borderId="0" xfId="0" applyFont="1" applyBorder="1" applyAlignment="1">
      <alignment horizontal="center"/>
    </xf>
    <xf numFmtId="2" fontId="16" fillId="0" borderId="0" xfId="0" applyNumberFormat="1" applyFont="1" applyBorder="1"/>
    <xf numFmtId="0" fontId="8" fillId="0" borderId="0" xfId="0" applyFont="1" applyBorder="1"/>
    <xf numFmtId="2" fontId="13" fillId="0" borderId="0" xfId="0" applyNumberFormat="1" applyFont="1" applyBorder="1"/>
    <xf numFmtId="7" fontId="17" fillId="0" borderId="0" xfId="0" applyNumberFormat="1" applyFont="1" applyBorder="1"/>
    <xf numFmtId="7" fontId="13" fillId="0" borderId="0" xfId="0" applyNumberFormat="1" applyFont="1" applyBorder="1"/>
    <xf numFmtId="4" fontId="13" fillId="5" borderId="0" xfId="0" applyNumberFormat="1" applyFont="1" applyFill="1" applyBorder="1"/>
    <xf numFmtId="3" fontId="13" fillId="0" borderId="0" xfId="0" applyNumberFormat="1" applyFont="1" applyBorder="1"/>
    <xf numFmtId="0" fontId="13" fillId="5" borderId="0" xfId="1" applyNumberFormat="1" applyFont="1" applyFill="1" applyBorder="1"/>
    <xf numFmtId="0" fontId="13" fillId="0" borderId="0" xfId="0" applyFont="1" applyBorder="1"/>
    <xf numFmtId="0" fontId="6" fillId="0" borderId="0" xfId="0" applyFont="1" applyBorder="1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9" fillId="0" borderId="0" xfId="0" applyFont="1" applyBorder="1"/>
    <xf numFmtId="0" fontId="11" fillId="0" borderId="0" xfId="0" applyFont="1" applyBorder="1"/>
    <xf numFmtId="7" fontId="20" fillId="0" borderId="0" xfId="0" applyNumberFormat="1" applyFont="1" applyBorder="1"/>
    <xf numFmtId="0" fontId="21" fillId="0" borderId="0" xfId="0" applyFont="1" applyBorder="1"/>
    <xf numFmtId="0" fontId="19" fillId="0" borderId="0" xfId="0" applyFont="1" applyBorder="1" applyAlignment="1">
      <alignment horizontal="center"/>
    </xf>
    <xf numFmtId="7" fontId="3" fillId="0" borderId="0" xfId="0" applyNumberFormat="1" applyFont="1" applyBorder="1"/>
    <xf numFmtId="7" fontId="7" fillId="0" borderId="0" xfId="0" applyNumberFormat="1" applyFont="1" applyBorder="1"/>
    <xf numFmtId="44" fontId="3" fillId="0" borderId="0" xfId="1" applyFont="1" applyBorder="1"/>
    <xf numFmtId="2" fontId="0" fillId="0" borderId="0" xfId="0" applyNumberFormat="1"/>
    <xf numFmtId="169" fontId="0" fillId="0" borderId="0" xfId="0" applyNumberFormat="1"/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0" fillId="0" borderId="0" xfId="0" applyFill="1"/>
    <xf numFmtId="0" fontId="0" fillId="6" borderId="0" xfId="0" applyFill="1"/>
    <xf numFmtId="168" fontId="0" fillId="6" borderId="0" xfId="0" applyNumberFormat="1" applyFill="1"/>
    <xf numFmtId="169" fontId="0" fillId="6" borderId="0" xfId="0" applyNumberFormat="1" applyFill="1"/>
    <xf numFmtId="168" fontId="0" fillId="0" borderId="0" xfId="0" applyNumberFormat="1" applyFill="1"/>
    <xf numFmtId="169" fontId="0" fillId="0" borderId="0" xfId="0" applyNumberFormat="1" applyFill="1"/>
    <xf numFmtId="0" fontId="0" fillId="0" borderId="0" xfId="0" applyBorder="1"/>
    <xf numFmtId="0" fontId="0" fillId="0" borderId="13" xfId="0" applyBorder="1"/>
    <xf numFmtId="0" fontId="0" fillId="6" borderId="13" xfId="0" applyFill="1" applyBorder="1"/>
    <xf numFmtId="0" fontId="0" fillId="7" borderId="13" xfId="0" applyFill="1" applyBorder="1"/>
    <xf numFmtId="0" fontId="0" fillId="0" borderId="0" xfId="0" applyBorder="1" applyAlignment="1"/>
    <xf numFmtId="0" fontId="0" fillId="0" borderId="14" xfId="0" applyBorder="1"/>
    <xf numFmtId="4" fontId="0" fillId="0" borderId="0" xfId="0" applyNumberFormat="1"/>
    <xf numFmtId="0" fontId="22" fillId="0" borderId="0" xfId="0" applyFont="1"/>
    <xf numFmtId="0" fontId="0" fillId="0" borderId="0" xfId="0" applyAlignment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3" fillId="8" borderId="0" xfId="0" applyFont="1" applyFill="1" applyBorder="1"/>
    <xf numFmtId="2" fontId="3" fillId="0" borderId="19" xfId="0" applyNumberFormat="1" applyFont="1" applyBorder="1" applyAlignment="1">
      <alignment horizontal="center"/>
    </xf>
    <xf numFmtId="9" fontId="3" fillId="0" borderId="23" xfId="2" applyFont="1" applyBorder="1" applyAlignment="1">
      <alignment horizontal="center"/>
    </xf>
    <xf numFmtId="2" fontId="3" fillId="0" borderId="23" xfId="0" applyNumberFormat="1" applyFont="1" applyBorder="1" applyAlignment="1">
      <alignment horizontal="center"/>
    </xf>
    <xf numFmtId="44" fontId="3" fillId="0" borderId="23" xfId="1" applyFont="1" applyBorder="1" applyAlignment="1">
      <alignment horizontal="center"/>
    </xf>
    <xf numFmtId="44" fontId="3" fillId="0" borderId="24" xfId="1" applyFont="1" applyBorder="1" applyAlignment="1">
      <alignment horizontal="center"/>
    </xf>
    <xf numFmtId="164" fontId="3" fillId="0" borderId="25" xfId="0" applyNumberFormat="1" applyFont="1" applyBorder="1" applyAlignment="1">
      <alignment horizontal="center"/>
    </xf>
    <xf numFmtId="164" fontId="3" fillId="0" borderId="26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center"/>
    </xf>
    <xf numFmtId="9" fontId="3" fillId="0" borderId="28" xfId="0" applyNumberFormat="1" applyFont="1" applyBorder="1" applyAlignment="1">
      <alignment horizontal="center"/>
    </xf>
    <xf numFmtId="9" fontId="3" fillId="0" borderId="29" xfId="0" applyNumberFormat="1" applyFont="1" applyBorder="1" applyAlignment="1">
      <alignment horizontal="center"/>
    </xf>
    <xf numFmtId="0" fontId="3" fillId="0" borderId="28" xfId="2" applyNumberFormat="1" applyFont="1" applyBorder="1" applyAlignment="1">
      <alignment horizontal="center"/>
    </xf>
    <xf numFmtId="0" fontId="3" fillId="0" borderId="29" xfId="2" applyNumberFormat="1" applyFont="1" applyBorder="1" applyAlignment="1">
      <alignment horizontal="center"/>
    </xf>
    <xf numFmtId="166" fontId="3" fillId="0" borderId="28" xfId="1" applyNumberFormat="1" applyFont="1" applyBorder="1" applyAlignment="1">
      <alignment horizontal="center"/>
    </xf>
    <xf numFmtId="166" fontId="3" fillId="0" borderId="29" xfId="1" applyNumberFormat="1" applyFont="1" applyBorder="1" applyAlignment="1">
      <alignment horizontal="center"/>
    </xf>
    <xf numFmtId="44" fontId="3" fillId="0" borderId="28" xfId="1" applyFont="1" applyBorder="1" applyAlignment="1">
      <alignment horizontal="center" vertical="center"/>
    </xf>
    <xf numFmtId="44" fontId="3" fillId="0" borderId="29" xfId="1" applyFont="1" applyBorder="1" applyAlignment="1">
      <alignment horizontal="center" vertical="center"/>
    </xf>
    <xf numFmtId="44" fontId="3" fillId="0" borderId="30" xfId="1" applyFont="1" applyBorder="1" applyAlignment="1">
      <alignment horizontal="center"/>
    </xf>
    <xf numFmtId="44" fontId="3" fillId="0" borderId="31" xfId="1" applyFont="1" applyBorder="1" applyAlignment="1">
      <alignment horizontal="center"/>
    </xf>
    <xf numFmtId="44" fontId="3" fillId="0" borderId="32" xfId="1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Base NPV for</a:t>
            </a:r>
            <a:r>
              <a:rPr lang="en-US" baseline="0"/>
              <a:t> each strategy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5462668816039986E-17"/>
                  <c:y val="-0.3148148148148148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2B-4FCC-AE7C-7F3041AE34B3}"/>
                </c:ext>
              </c:extLst>
            </c:dLbl>
            <c:dLbl>
              <c:idx val="1"/>
              <c:layout>
                <c:manualLayout>
                  <c:x val="-5.0925337632079971E-17"/>
                  <c:y val="-0.217592592592592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0972222222222219E-2"/>
                      <c:h val="0.124930737824438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82B-4FCC-AE7C-7F3041AE34B3}"/>
                </c:ext>
              </c:extLst>
            </c:dLbl>
            <c:dLbl>
              <c:idx val="2"/>
              <c:layout>
                <c:manualLayout>
                  <c:x val="0"/>
                  <c:y val="-0.296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2B-4FCC-AE7C-7F3041AE34B3}"/>
                </c:ext>
              </c:extLst>
            </c:dLbl>
            <c:dLbl>
              <c:idx val="3"/>
              <c:layout>
                <c:manualLayout>
                  <c:x val="1.0185067526415994E-16"/>
                  <c:y val="-0.194444444444444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2B-4FCC-AE7C-7F3041AE34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Sheet1!$AA$6:$AA$9</c:f>
              <c:numCache>
                <c:formatCode>General</c:formatCode>
                <c:ptCount val="4"/>
                <c:pt idx="0">
                  <c:v>14.04</c:v>
                </c:pt>
                <c:pt idx="1">
                  <c:v>8.9499999999999993</c:v>
                </c:pt>
                <c:pt idx="2">
                  <c:v>11.9</c:v>
                </c:pt>
                <c:pt idx="3">
                  <c:v>7.67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2B-4FCC-AE7C-7F3041AE34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8331104"/>
        <c:axId val="488329464"/>
      </c:barChart>
      <c:catAx>
        <c:axId val="48833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Strategy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9464"/>
        <c:crosses val="autoZero"/>
        <c:auto val="1"/>
        <c:lblAlgn val="ctr"/>
        <c:lblOffset val="100"/>
        <c:noMultiLvlLbl val="0"/>
      </c:catAx>
      <c:valAx>
        <c:axId val="48832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Certain Equivalence Values without Clairvoyance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 Risk</c:v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Scenario 1</c:v>
              </c:pt>
              <c:pt idx="1">
                <c:v>Scenario 2</c:v>
              </c:pt>
              <c:pt idx="2">
                <c:v>Scenario 3</c:v>
              </c:pt>
              <c:pt idx="3">
                <c:v>Scenario 4</c:v>
              </c:pt>
            </c:strLit>
          </c:cat>
          <c:val>
            <c:numRef>
              <c:f>Sheet7!$B$3:$E$3</c:f>
              <c:numCache>
                <c:formatCode>General</c:formatCode>
                <c:ptCount val="4"/>
                <c:pt idx="0">
                  <c:v>11.357047462671101</c:v>
                </c:pt>
                <c:pt idx="1">
                  <c:v>7.8869277911037461</c:v>
                </c:pt>
                <c:pt idx="2">
                  <c:v>10.497902148367951</c:v>
                </c:pt>
                <c:pt idx="3">
                  <c:v>8.0151921863284343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7-45BF-B378-2AEFEB3864F6}"/>
            </c:ext>
          </c:extLst>
        </c:ser>
        <c:ser>
          <c:idx val="1"/>
          <c:order val="1"/>
          <c:tx>
            <c:v>With Risk</c:v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Scenario 1</c:v>
              </c:pt>
              <c:pt idx="1">
                <c:v>Scenario 2</c:v>
              </c:pt>
              <c:pt idx="2">
                <c:v>Scenario 3</c:v>
              </c:pt>
              <c:pt idx="3">
                <c:v>Scenario 4</c:v>
              </c:pt>
            </c:strLit>
          </c:cat>
          <c:val>
            <c:numRef>
              <c:f>Sheet7!$B$4:$E$4</c:f>
              <c:numCache>
                <c:formatCode>General</c:formatCode>
                <c:ptCount val="4"/>
                <c:pt idx="0">
                  <c:v>10.545158200350798</c:v>
                </c:pt>
                <c:pt idx="1">
                  <c:v>3.8440140967086935</c:v>
                </c:pt>
                <c:pt idx="2">
                  <c:v>9.4896107545675843</c:v>
                </c:pt>
                <c:pt idx="3">
                  <c:v>7.615184434899497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47-45BF-B378-2AEFEB386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168088"/>
        <c:axId val="587845824"/>
      </c:barChart>
      <c:catAx>
        <c:axId val="58916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45824"/>
        <c:crosses val="autoZero"/>
        <c:auto val="1"/>
        <c:lblAlgn val="ctr"/>
        <c:lblOffset val="100"/>
        <c:noMultiLvlLbl val="0"/>
      </c:catAx>
      <c:valAx>
        <c:axId val="58784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 (in millions of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Certain</a:t>
            </a:r>
            <a:r>
              <a:rPr lang="en-US" baseline="0"/>
              <a:t> Equivalence Values with Clairvoyance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Sheet7!$A$27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3">
                <a:shade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Sheet7!$B$27:$E$27</c:f>
              <c:numCache>
                <c:formatCode>General</c:formatCode>
                <c:ptCount val="4"/>
                <c:pt idx="0">
                  <c:v>4.1490697942127079</c:v>
                </c:pt>
                <c:pt idx="1">
                  <c:v>7.8371151138454334</c:v>
                </c:pt>
                <c:pt idx="2">
                  <c:v>5.4019034698408328</c:v>
                </c:pt>
                <c:pt idx="3">
                  <c:v>4.7456364723917899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B-4893-9EEE-EFA106402E35}"/>
            </c:ext>
          </c:extLst>
        </c:ser>
        <c:ser>
          <c:idx val="1"/>
          <c:order val="1"/>
          <c:tx>
            <c:strRef>
              <c:f>Sheet7!$A$28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Sheet7!$B$28:$E$28</c:f>
              <c:numCache>
                <c:formatCode>General</c:formatCode>
                <c:ptCount val="4"/>
                <c:pt idx="0">
                  <c:v>6.3157969057780319</c:v>
                </c:pt>
                <c:pt idx="1">
                  <c:v>3.1673125354751499</c:v>
                </c:pt>
                <c:pt idx="2">
                  <c:v>5.1978591092784017</c:v>
                </c:pt>
                <c:pt idx="3">
                  <c:v>3.4171684357036471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FB-4893-9EEE-EFA106402E35}"/>
            </c:ext>
          </c:extLst>
        </c:ser>
        <c:ser>
          <c:idx val="2"/>
          <c:order val="2"/>
          <c:tx>
            <c:strRef>
              <c:f>Sheet7!$A$29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>
                <a:tint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Sheet7!$B$29:$E$29</c:f>
              <c:numCache>
                <c:formatCode>General</c:formatCode>
                <c:ptCount val="4"/>
                <c:pt idx="0">
                  <c:v>1.5519943324279974</c:v>
                </c:pt>
                <c:pt idx="1">
                  <c:v>-1.0571184918669532</c:v>
                </c:pt>
                <c:pt idx="2">
                  <c:v>0.98044131465982964</c:v>
                </c:pt>
                <c:pt idx="3">
                  <c:v>0.6485037902870957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FB-4893-9EEE-EFA106402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30952"/>
        <c:axId val="494927344"/>
      </c:barChart>
      <c:catAx>
        <c:axId val="494930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Scenario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7344"/>
        <c:crosses val="autoZero"/>
        <c:auto val="1"/>
        <c:lblAlgn val="ctr"/>
        <c:lblOffset val="100"/>
        <c:noMultiLvlLbl val="0"/>
      </c:catAx>
      <c:valAx>
        <c:axId val="494927344"/>
        <c:scaling>
          <c:orientation val="minMax"/>
          <c:max val="13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 (in millions on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 1:</a:t>
            </a:r>
            <a:endParaRPr lang="en-US" sz="1600" b="0" i="0" u="none" strike="noStrike" baseline="0">
              <a:effectLst/>
            </a:endParaRPr>
          </a:p>
          <a:p>
            <a:pPr>
              <a:defRPr/>
            </a:pPr>
            <a:r>
              <a:rPr lang="en-US" sz="1200" i="1"/>
              <a:t>No Partnership/No Expansion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AAAHHH!!!'!$B$3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AAAHHH!!!'!$A$4:$A$9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Demand Growth Rate (%/yr)</c:v>
                </c:pt>
                <c:pt idx="3">
                  <c:v>Production Cost ($/unit)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AAAHHH!!!'!$B$4:$B$9</c:f>
              <c:numCache>
                <c:formatCode>General</c:formatCode>
                <c:ptCount val="6"/>
                <c:pt idx="0">
                  <c:v>14.04</c:v>
                </c:pt>
                <c:pt idx="1">
                  <c:v>14.04</c:v>
                </c:pt>
                <c:pt idx="2">
                  <c:v>11.63</c:v>
                </c:pt>
                <c:pt idx="3">
                  <c:v>16.850000000000001</c:v>
                </c:pt>
                <c:pt idx="4">
                  <c:v>7.43</c:v>
                </c:pt>
                <c:pt idx="5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8-49E0-BD0D-25BB89F28858}"/>
            </c:ext>
          </c:extLst>
        </c:ser>
        <c:ser>
          <c:idx val="1"/>
          <c:order val="1"/>
          <c:tx>
            <c:strRef>
              <c:f>'TORNADOES AAAHHH!!!'!$C$3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AAAHHH!!!'!$A$4:$A$9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Demand Growth Rate (%/yr)</c:v>
                </c:pt>
                <c:pt idx="3">
                  <c:v>Production Cost ($/unit)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AAAHHH!!!'!$C$4:$C$9</c:f>
              <c:numCache>
                <c:formatCode>General</c:formatCode>
                <c:ptCount val="6"/>
                <c:pt idx="0">
                  <c:v>14.04</c:v>
                </c:pt>
                <c:pt idx="1">
                  <c:v>14.04</c:v>
                </c:pt>
                <c:pt idx="2">
                  <c:v>14.04</c:v>
                </c:pt>
                <c:pt idx="3">
                  <c:v>11.23</c:v>
                </c:pt>
                <c:pt idx="4">
                  <c:v>14.04</c:v>
                </c:pt>
                <c:pt idx="5">
                  <c:v>22.47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78-49E0-BD0D-25BB89F28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111360"/>
        <c:axId val="612977952"/>
      </c:barChart>
      <c:catAx>
        <c:axId val="621111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77952"/>
        <c:crossesAt val="14.04084533"/>
        <c:auto val="1"/>
        <c:lblAlgn val="ctr"/>
        <c:lblOffset val="100"/>
        <c:noMultiLvlLbl val="0"/>
      </c:catAx>
      <c:valAx>
        <c:axId val="61297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1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 2:</a:t>
            </a:r>
          </a:p>
          <a:p>
            <a:pPr>
              <a:defRPr/>
            </a:pPr>
            <a:r>
              <a:rPr lang="en-US" sz="1200" i="1"/>
              <a:t>No Partnership/Expansion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AAAHHH!!!'!$J$3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AAAHHH!!!'!$I$4:$I$9</c:f>
              <c:strCache>
                <c:ptCount val="6"/>
                <c:pt idx="0">
                  <c:v>Pudont Multiple (multiplier)</c:v>
                </c:pt>
                <c:pt idx="1">
                  <c:v>Plant Construction Cost  ($M)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Unit Revenue ($/unit)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AAAHHH!!!'!$J$4:$J$9</c:f>
              <c:numCache>
                <c:formatCode>General</c:formatCode>
                <c:ptCount val="6"/>
                <c:pt idx="0">
                  <c:v>8.9499999999999993</c:v>
                </c:pt>
                <c:pt idx="1">
                  <c:v>10.01</c:v>
                </c:pt>
                <c:pt idx="2">
                  <c:v>12.78</c:v>
                </c:pt>
                <c:pt idx="3">
                  <c:v>1.9</c:v>
                </c:pt>
                <c:pt idx="4">
                  <c:v>-8.5</c:v>
                </c:pt>
                <c:pt idx="5">
                  <c:v>-3.04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7-4253-AC63-17C88B8D8BEC}"/>
            </c:ext>
          </c:extLst>
        </c:ser>
        <c:ser>
          <c:idx val="1"/>
          <c:order val="1"/>
          <c:tx>
            <c:strRef>
              <c:f>'TORNADOES AAAHHH!!!'!$K$3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AAAHHH!!!'!$I$4:$I$9</c:f>
              <c:strCache>
                <c:ptCount val="6"/>
                <c:pt idx="0">
                  <c:v>Pudont Multiple (multiplier)</c:v>
                </c:pt>
                <c:pt idx="1">
                  <c:v>Plant Construction Cost  ($M)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Unit Revenue ($/unit)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AAAHHH!!!'!$K$4:$K$9</c:f>
              <c:numCache>
                <c:formatCode>General</c:formatCode>
                <c:ptCount val="6"/>
                <c:pt idx="0">
                  <c:v>8.9499999999999993</c:v>
                </c:pt>
                <c:pt idx="1">
                  <c:v>7.14</c:v>
                </c:pt>
                <c:pt idx="2">
                  <c:v>5.0599999999999996</c:v>
                </c:pt>
                <c:pt idx="3">
                  <c:v>10.58</c:v>
                </c:pt>
                <c:pt idx="4">
                  <c:v>20.37</c:v>
                </c:pt>
                <c:pt idx="5">
                  <c:v>30.51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07-4253-AC63-17C88B8D8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019352"/>
        <c:axId val="621019680"/>
      </c:barChart>
      <c:catAx>
        <c:axId val="6210193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019680"/>
        <c:crossesAt val="8.9463754449999975"/>
        <c:auto val="1"/>
        <c:lblAlgn val="ctr"/>
        <c:lblOffset val="100"/>
        <c:noMultiLvlLbl val="0"/>
      </c:catAx>
      <c:valAx>
        <c:axId val="62101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</a:t>
                </a:r>
                <a:r>
                  <a:rPr lang="en-US" baseline="0"/>
                  <a:t> </a:t>
                </a:r>
                <a:r>
                  <a:rPr lang="en-US"/>
                  <a:t>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019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</a:t>
            </a:r>
            <a:r>
              <a:rPr lang="en-US" baseline="0"/>
              <a:t> 3:</a:t>
            </a:r>
          </a:p>
          <a:p>
            <a:pPr>
              <a:defRPr/>
            </a:pPr>
            <a:r>
              <a:rPr lang="en-US" sz="1200" i="1"/>
              <a:t>Joint Venture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AAAHHH!!!'!$P$3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AAAHHH!!!'!$O$4:$O$9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AAAHHH!!!'!$P$4:$P$9</c:f>
              <c:numCache>
                <c:formatCode>General</c:formatCode>
                <c:ptCount val="6"/>
                <c:pt idx="0">
                  <c:v>11.9</c:v>
                </c:pt>
                <c:pt idx="1">
                  <c:v>9.67</c:v>
                </c:pt>
                <c:pt idx="2">
                  <c:v>14.28</c:v>
                </c:pt>
                <c:pt idx="3">
                  <c:v>7.44</c:v>
                </c:pt>
                <c:pt idx="4">
                  <c:v>4.76</c:v>
                </c:pt>
                <c:pt idx="5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A-40C3-BC17-C2C7B2512D1C}"/>
            </c:ext>
          </c:extLst>
        </c:ser>
        <c:ser>
          <c:idx val="1"/>
          <c:order val="1"/>
          <c:tx>
            <c:strRef>
              <c:f>'TORNADOES AAAHHH!!!'!$Q$3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AAAHHH!!!'!$O$4:$O$9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AAAHHH!!!'!$Q$4:$Q$9</c:f>
              <c:numCache>
                <c:formatCode>General</c:formatCode>
                <c:ptCount val="6"/>
                <c:pt idx="0">
                  <c:v>11.9</c:v>
                </c:pt>
                <c:pt idx="1">
                  <c:v>13.38</c:v>
                </c:pt>
                <c:pt idx="2">
                  <c:v>9.52</c:v>
                </c:pt>
                <c:pt idx="3">
                  <c:v>12.9</c:v>
                </c:pt>
                <c:pt idx="4">
                  <c:v>19.100000000000001</c:v>
                </c:pt>
                <c:pt idx="5">
                  <c:v>19.03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2A-40C3-BC17-C2C7B2512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814976"/>
        <c:axId val="621816288"/>
      </c:barChart>
      <c:catAx>
        <c:axId val="621814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6288"/>
        <c:crossesAt val="11.895886100000002"/>
        <c:auto val="1"/>
        <c:lblAlgn val="ctr"/>
        <c:lblOffset val="100"/>
        <c:noMultiLvlLbl val="0"/>
      </c:catAx>
      <c:valAx>
        <c:axId val="6218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 4:</a:t>
            </a:r>
          </a:p>
          <a:p>
            <a:pPr>
              <a:defRPr/>
            </a:pPr>
            <a:r>
              <a:rPr lang="en-US" sz="1200" i="1"/>
              <a:t>Royalty Licensing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AAAHHH!!!'!$V$3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AAAHHH!!!'!$U$4:$U$9</c:f>
              <c:strCache>
                <c:ptCount val="6"/>
                <c:pt idx="0">
                  <c:v>Production Cost ($/unit)</c:v>
                </c:pt>
                <c:pt idx="1">
                  <c:v>Plant Construction Cost  ($M)</c:v>
                </c:pt>
                <c:pt idx="2">
                  <c:v>Unit Revenue ($/unit)</c:v>
                </c:pt>
                <c:pt idx="3">
                  <c:v>Pudont Multiple (multiplier)</c:v>
                </c:pt>
                <c:pt idx="4">
                  <c:v>Demand Growth Rate (%/yr)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AAAHHH!!!'!$V$4:$V$9</c:f>
              <c:numCache>
                <c:formatCode>General</c:formatCode>
                <c:ptCount val="6"/>
                <c:pt idx="0">
                  <c:v>7.67</c:v>
                </c:pt>
                <c:pt idx="1">
                  <c:v>7.67</c:v>
                </c:pt>
                <c:pt idx="2">
                  <c:v>6.96</c:v>
                </c:pt>
                <c:pt idx="3">
                  <c:v>6.23</c:v>
                </c:pt>
                <c:pt idx="4">
                  <c:v>4.8</c:v>
                </c:pt>
                <c:pt idx="5">
                  <c:v>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4-4649-BD7D-2F8C922356AA}"/>
            </c:ext>
          </c:extLst>
        </c:ser>
        <c:ser>
          <c:idx val="1"/>
          <c:order val="1"/>
          <c:tx>
            <c:strRef>
              <c:f>'TORNADOES AAAHHH!!!'!$W$3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AAAHHH!!!'!$U$4:$U$9</c:f>
              <c:strCache>
                <c:ptCount val="6"/>
                <c:pt idx="0">
                  <c:v>Production Cost ($/unit)</c:v>
                </c:pt>
                <c:pt idx="1">
                  <c:v>Plant Construction Cost  ($M)</c:v>
                </c:pt>
                <c:pt idx="2">
                  <c:v>Unit Revenue ($/unit)</c:v>
                </c:pt>
                <c:pt idx="3">
                  <c:v>Pudont Multiple (multiplier)</c:v>
                </c:pt>
                <c:pt idx="4">
                  <c:v>Demand Growth Rate (%/yr)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AAAHHH!!!'!$W$4:$W$9</c:f>
              <c:numCache>
                <c:formatCode>General</c:formatCode>
                <c:ptCount val="6"/>
                <c:pt idx="0">
                  <c:v>7.67</c:v>
                </c:pt>
                <c:pt idx="1">
                  <c:v>7.67</c:v>
                </c:pt>
                <c:pt idx="2">
                  <c:v>8.2100000000000009</c:v>
                </c:pt>
                <c:pt idx="3">
                  <c:v>8.6300000000000008</c:v>
                </c:pt>
                <c:pt idx="4">
                  <c:v>8.34</c:v>
                </c:pt>
                <c:pt idx="5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4-4649-BD7D-2F8C92235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817928"/>
        <c:axId val="621812680"/>
      </c:barChart>
      <c:catAx>
        <c:axId val="621817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2680"/>
        <c:crossesAt val="7.6728465349999997"/>
        <c:auto val="1"/>
        <c:lblAlgn val="ctr"/>
        <c:lblOffset val="100"/>
        <c:noMultiLvlLbl val="0"/>
      </c:catAx>
      <c:valAx>
        <c:axId val="621812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 - Base</a:t>
            </a:r>
            <a:r>
              <a:rPr lang="en-US" baseline="0"/>
              <a:t> - Low Values of Strategy Alternatives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'Hi-Base-Lo'!$B$1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'Hi-Base-Lo'!$B$2:$B$5</c:f>
              <c:numCache>
                <c:formatCode>General</c:formatCode>
                <c:ptCount val="4"/>
                <c:pt idx="0">
                  <c:v>14.04</c:v>
                </c:pt>
                <c:pt idx="1">
                  <c:v>8.9499999999999993</c:v>
                </c:pt>
                <c:pt idx="2">
                  <c:v>11.9</c:v>
                </c:pt>
                <c:pt idx="3">
                  <c:v>7.67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4-4800-99C5-7A4BF84FA43F}"/>
            </c:ext>
          </c:extLst>
        </c:ser>
        <c:ser>
          <c:idx val="1"/>
          <c:order val="1"/>
          <c:tx>
            <c:strRef>
              <c:f>'Hi-Base-Lo'!$C$1</c:f>
              <c:strCache>
                <c:ptCount val="1"/>
                <c:pt idx="0">
                  <c:v>High 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'Hi-Base-Lo'!$C$2:$C$5</c:f>
              <c:numCache>
                <c:formatCode>General</c:formatCode>
                <c:ptCount val="4"/>
                <c:pt idx="0">
                  <c:v>19.66</c:v>
                </c:pt>
                <c:pt idx="1">
                  <c:v>46.69</c:v>
                </c:pt>
                <c:pt idx="2">
                  <c:v>26.73</c:v>
                </c:pt>
                <c:pt idx="3">
                  <c:v>22.08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4-4800-99C5-7A4BF84FA43F}"/>
            </c:ext>
          </c:extLst>
        </c:ser>
        <c:ser>
          <c:idx val="2"/>
          <c:order val="2"/>
          <c:tx>
            <c:strRef>
              <c:f>'Hi-Base-Lo'!$D$1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'Hi-Base-Lo'!$D$2:$D$5</c:f>
              <c:numCache>
                <c:formatCode>General</c:formatCode>
                <c:ptCount val="4"/>
                <c:pt idx="0">
                  <c:v>1.86</c:v>
                </c:pt>
                <c:pt idx="1">
                  <c:v>-10</c:v>
                </c:pt>
                <c:pt idx="2">
                  <c:v>0.97</c:v>
                </c:pt>
                <c:pt idx="3">
                  <c:v>1.42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E4-4800-99C5-7A4BF84FA43F}"/>
            </c:ext>
          </c:extLst>
        </c:ser>
        <c:ser>
          <c:idx val="3"/>
          <c:order val="3"/>
          <c:tx>
            <c:strRef>
              <c:f>'Hi-Base-Lo'!$E$1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'Hi-Base-Lo'!$E$2:$E$5</c:f>
              <c:numCache>
                <c:formatCode>General</c:formatCode>
                <c:ptCount val="4"/>
                <c:pt idx="0">
                  <c:v>14.04</c:v>
                </c:pt>
                <c:pt idx="1">
                  <c:v>8.9499999999999993</c:v>
                </c:pt>
                <c:pt idx="2">
                  <c:v>11.9</c:v>
                </c:pt>
                <c:pt idx="3">
                  <c:v>7.67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E4-4800-99C5-7A4BF84F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419100" cap="flat" cmpd="sng" algn="ctr">
              <a:solidFill>
                <a:schemeClr val="accent5"/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8509032"/>
        <c:axId val="618509360"/>
      </c:stockChart>
      <c:catAx>
        <c:axId val="61850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09360"/>
        <c:crosses val="autoZero"/>
        <c:auto val="1"/>
        <c:lblAlgn val="ctr"/>
        <c:lblOffset val="900"/>
        <c:noMultiLvlLbl val="0"/>
      </c:catAx>
      <c:valAx>
        <c:axId val="6185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0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595311</xdr:colOff>
      <xdr:row>1</xdr:row>
      <xdr:rowOff>185734</xdr:rowOff>
    </xdr:from>
    <xdr:to>
      <xdr:col>32</xdr:col>
      <xdr:colOff>171448</xdr:colOff>
      <xdr:row>19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8088FE-0A2E-4411-87FD-6B8EE95D4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323850</xdr:colOff>
      <xdr:row>26</xdr:row>
      <xdr:rowOff>19050</xdr:rowOff>
    </xdr:from>
    <xdr:to>
      <xdr:col>30</xdr:col>
      <xdr:colOff>447675</xdr:colOff>
      <xdr:row>37</xdr:row>
      <xdr:rowOff>28575</xdr:rowOff>
    </xdr:to>
    <xdr:sp macro="[0]!Sheet2.ShowAll" textlink="">
      <xdr:nvSpPr>
        <xdr:cNvPr id="3" name="Rectangle 2">
          <a:extLst>
            <a:ext uri="{FF2B5EF4-FFF2-40B4-BE49-F238E27FC236}">
              <a16:creationId xmlns:a16="http://schemas.microsoft.com/office/drawing/2014/main" id="{B2DB12A0-AF27-4751-9408-05BF3906C60E}"/>
            </a:ext>
          </a:extLst>
        </xdr:cNvPr>
        <xdr:cNvSpPr/>
      </xdr:nvSpPr>
      <xdr:spPr>
        <a:xfrm>
          <a:off x="15887700" y="4895850"/>
          <a:ext cx="4010025" cy="2085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5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602456</xdr:colOff>
      <xdr:row>1</xdr:row>
      <xdr:rowOff>88106</xdr:rowOff>
    </xdr:from>
    <xdr:to>
      <xdr:col>13</xdr:col>
      <xdr:colOff>640556</xdr:colOff>
      <xdr:row>16</xdr:row>
      <xdr:rowOff>40481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BDFC0B-DAB4-432E-81E2-D7A9BD0F2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597693</xdr:colOff>
      <xdr:row>17</xdr:row>
      <xdr:rowOff>140493</xdr:rowOff>
    </xdr:from>
    <xdr:to>
      <xdr:col>13</xdr:col>
      <xdr:colOff>635793</xdr:colOff>
      <xdr:row>32</xdr:row>
      <xdr:rowOff>121443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67633AE-F24F-4CE2-9071-FFDDBED28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12</xdr:row>
      <xdr:rowOff>57150</xdr:rowOff>
    </xdr:from>
    <xdr:to>
      <xdr:col>6</xdr:col>
      <xdr:colOff>9525</xdr:colOff>
      <xdr:row>26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585787</xdr:colOff>
      <xdr:row>12</xdr:row>
      <xdr:rowOff>85725</xdr:rowOff>
    </xdr:from>
    <xdr:to>
      <xdr:col>13</xdr:col>
      <xdr:colOff>33337</xdr:colOff>
      <xdr:row>26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423862</xdr:colOff>
      <xdr:row>12</xdr:row>
      <xdr:rowOff>47625</xdr:rowOff>
    </xdr:from>
    <xdr:to>
      <xdr:col>19</xdr:col>
      <xdr:colOff>481012</xdr:colOff>
      <xdr:row>26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223837</xdr:colOff>
      <xdr:row>12</xdr:row>
      <xdr:rowOff>57150</xdr:rowOff>
    </xdr:from>
    <xdr:to>
      <xdr:col>26</xdr:col>
      <xdr:colOff>90487</xdr:colOff>
      <xdr:row>26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100012</xdr:colOff>
      <xdr:row>6</xdr:row>
      <xdr:rowOff>9525</xdr:rowOff>
    </xdr:from>
    <xdr:to>
      <xdr:col>14</xdr:col>
      <xdr:colOff>404812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323850</xdr:colOff>
      <xdr:row>14</xdr:row>
      <xdr:rowOff>19051</xdr:rowOff>
    </xdr:from>
    <xdr:to>
      <xdr:col>13</xdr:col>
      <xdr:colOff>438150</xdr:colOff>
      <xdr:row>14</xdr:row>
      <xdr:rowOff>114301</xdr:rowOff>
    </xdr:to>
    <xdr:sp macro="" textlink="">
      <xdr:nvSpPr>
        <xdr:cNvPr id="3" name="5-Point Sta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743950" y="2552701"/>
          <a:ext cx="114300" cy="95250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581025</xdr:colOff>
      <xdr:row>13</xdr:row>
      <xdr:rowOff>171451</xdr:rowOff>
    </xdr:from>
    <xdr:to>
      <xdr:col>12</xdr:col>
      <xdr:colOff>85725</xdr:colOff>
      <xdr:row>14</xdr:row>
      <xdr:rowOff>76201</xdr:rowOff>
    </xdr:to>
    <xdr:sp macro="" textlink="">
      <xdr:nvSpPr>
        <xdr:cNvPr id="4" name="5-Point St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705725" y="2524126"/>
          <a:ext cx="152400" cy="85725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14</xdr:row>
      <xdr:rowOff>161926</xdr:rowOff>
    </xdr:from>
    <xdr:to>
      <xdr:col>10</xdr:col>
      <xdr:colOff>352425</xdr:colOff>
      <xdr:row>15</xdr:row>
      <xdr:rowOff>66676</xdr:rowOff>
    </xdr:to>
    <xdr:sp macro="" textlink="">
      <xdr:nvSpPr>
        <xdr:cNvPr id="5" name="5-Point Sta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15125" y="2695576"/>
          <a:ext cx="114300" cy="85725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514350</xdr:colOff>
      <xdr:row>13</xdr:row>
      <xdr:rowOff>133351</xdr:rowOff>
    </xdr:from>
    <xdr:to>
      <xdr:col>9</xdr:col>
      <xdr:colOff>19050</xdr:colOff>
      <xdr:row>14</xdr:row>
      <xdr:rowOff>38101</xdr:rowOff>
    </xdr:to>
    <xdr:sp macro="" textlink="">
      <xdr:nvSpPr>
        <xdr:cNvPr id="6" name="5-Point Sta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695950" y="2486026"/>
          <a:ext cx="152400" cy="85725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452438</xdr:colOff>
      <xdr:row>1</xdr:row>
      <xdr:rowOff>142875</xdr:rowOff>
    </xdr:from>
    <xdr:ext cx="10615612" cy="420252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8" y="323850"/>
          <a:ext cx="10615612" cy="420252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otb/AppData/Local/Microsoft/Windows/INetCache/Content.Outlook/J6N0411P/Updated%20DA%20Spread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12"/>
      <sheetName val="Sheet2"/>
      <sheetName val="Sheet3"/>
      <sheetName val="Sheet4"/>
      <sheetName val="Sheet5"/>
      <sheetName val="Sheet7"/>
      <sheetName val="Sheet8"/>
      <sheetName val="Sheet6"/>
      <sheetName val="Sheet9"/>
      <sheetName val="Sheet10"/>
    </sheetNames>
    <sheetDataSet>
      <sheetData sheetId="0">
        <row r="5">
          <cell r="K5">
            <v>4</v>
          </cell>
        </row>
        <row r="6">
          <cell r="K6" t="str">
            <v>Royalty</v>
          </cell>
        </row>
        <row r="18">
          <cell r="I18">
            <v>0.08</v>
          </cell>
        </row>
        <row r="19">
          <cell r="I19">
            <v>0.38</v>
          </cell>
        </row>
        <row r="21">
          <cell r="I21">
            <v>2.5</v>
          </cell>
        </row>
        <row r="22">
          <cell r="I22">
            <v>8.5</v>
          </cell>
        </row>
        <row r="23">
          <cell r="I23">
            <v>50</v>
          </cell>
        </row>
        <row r="24">
          <cell r="I24">
            <v>30</v>
          </cell>
        </row>
        <row r="31">
          <cell r="K31">
            <v>1</v>
          </cell>
        </row>
        <row r="32">
          <cell r="K32">
            <v>7.0000000000000007E-2</v>
          </cell>
        </row>
        <row r="33">
          <cell r="K33">
            <v>1.6</v>
          </cell>
        </row>
        <row r="34">
          <cell r="K34">
            <v>14.5</v>
          </cell>
        </row>
        <row r="35">
          <cell r="K35">
            <v>9.5</v>
          </cell>
        </row>
        <row r="36">
          <cell r="K36">
            <v>10.75</v>
          </cell>
        </row>
        <row r="75">
          <cell r="H75">
            <v>3.0691386138661052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88"/>
  <sheetViews>
    <sheetView zoomScale="50" zoomScaleNormal="50" workbookViewId="0">
      <selection activeCell="H62" sqref="H62:Q62"/>
    </sheetView>
  </sheetViews>
  <sheetFormatPr defaultRowHeight="14.25" x14ac:dyDescent="0.45"/>
  <cols>
    <col min="1" max="10" width="8.86328125" style="2" customWidth="1"/>
    <col min="11" max="11" width="10.46484375" style="2" customWidth="1"/>
    <col min="12" max="13" width="8.86328125" style="2" customWidth="1"/>
    <col min="14" max="14" width="9.46484375" style="2" customWidth="1"/>
    <col min="15" max="15" width="9.73046875" style="2" customWidth="1"/>
    <col min="16" max="20" width="8.86328125" style="2" customWidth="1"/>
    <col min="28" max="28" width="11.59765625" bestFit="1" customWidth="1"/>
  </cols>
  <sheetData>
    <row r="1" spans="1:27" ht="18.399999999999999" x14ac:dyDescent="0.6">
      <c r="A1" s="1" t="s">
        <v>0</v>
      </c>
    </row>
    <row r="2" spans="1:27" ht="14.65" thickBot="1" x14ac:dyDescent="0.5"/>
    <row r="3" spans="1:27" ht="16.149999999999999" x14ac:dyDescent="0.55000000000000004">
      <c r="A3" s="3" t="s">
        <v>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7" x14ac:dyDescent="0.45">
      <c r="A4" s="5"/>
      <c r="B4" s="6"/>
      <c r="C4" s="6"/>
      <c r="D4" s="6"/>
      <c r="E4" s="6"/>
      <c r="F4" s="6"/>
      <c r="G4" s="6"/>
      <c r="H4" s="6"/>
      <c r="I4" s="6"/>
      <c r="J4" s="6"/>
      <c r="L4" s="6"/>
      <c r="M4" s="6"/>
      <c r="N4" s="6"/>
      <c r="O4" s="6"/>
      <c r="P4" s="6"/>
      <c r="Q4" s="6"/>
      <c r="R4" s="6"/>
      <c r="S4" s="6"/>
      <c r="T4" s="6"/>
    </row>
    <row r="5" spans="1:27" x14ac:dyDescent="0.45">
      <c r="E5" s="7" t="s">
        <v>2</v>
      </c>
      <c r="F5" s="8"/>
      <c r="G5" s="8"/>
      <c r="H5" s="8"/>
      <c r="I5" s="8"/>
      <c r="J5" s="8"/>
      <c r="K5" s="9">
        <v>4</v>
      </c>
      <c r="L5" s="10" t="s">
        <v>3</v>
      </c>
      <c r="Z5" t="s">
        <v>2</v>
      </c>
      <c r="AA5" t="s">
        <v>78</v>
      </c>
    </row>
    <row r="6" spans="1:27" x14ac:dyDescent="0.45">
      <c r="E6" s="11" t="s">
        <v>4</v>
      </c>
      <c r="F6" s="12"/>
      <c r="G6" s="12"/>
      <c r="H6" s="12"/>
      <c r="I6" s="12"/>
      <c r="J6" s="12"/>
      <c r="K6" s="13" t="str">
        <f>INDEX(F9:F12,K5)</f>
        <v>Royalty</v>
      </c>
      <c r="L6" s="14" t="s">
        <v>5</v>
      </c>
      <c r="Z6">
        <v>1</v>
      </c>
      <c r="AA6">
        <v>14.04</v>
      </c>
    </row>
    <row r="7" spans="1:27" x14ac:dyDescent="0.45">
      <c r="Z7">
        <v>2</v>
      </c>
      <c r="AA7">
        <v>8.9499999999999993</v>
      </c>
    </row>
    <row r="8" spans="1:27" x14ac:dyDescent="0.45">
      <c r="E8" s="2" t="s">
        <v>6</v>
      </c>
      <c r="Z8">
        <v>3</v>
      </c>
      <c r="AA8">
        <v>11.9</v>
      </c>
    </row>
    <row r="9" spans="1:27" x14ac:dyDescent="0.45">
      <c r="E9" s="2">
        <v>1</v>
      </c>
      <c r="F9" s="15" t="s">
        <v>7</v>
      </c>
      <c r="Z9">
        <v>4</v>
      </c>
      <c r="AA9">
        <v>7.67</v>
      </c>
    </row>
    <row r="10" spans="1:27" x14ac:dyDescent="0.45">
      <c r="E10" s="2">
        <v>2</v>
      </c>
      <c r="F10" s="15" t="s">
        <v>8</v>
      </c>
      <c r="M10" s="16"/>
    </row>
    <row r="11" spans="1:27" x14ac:dyDescent="0.45">
      <c r="E11" s="2">
        <v>3</v>
      </c>
      <c r="F11" s="15" t="s">
        <v>9</v>
      </c>
      <c r="M11" s="16"/>
    </row>
    <row r="12" spans="1:27" x14ac:dyDescent="0.45">
      <c r="E12" s="2">
        <v>4</v>
      </c>
      <c r="F12" s="15" t="s">
        <v>10</v>
      </c>
    </row>
    <row r="13" spans="1:27" ht="14.65" thickBot="1" x14ac:dyDescent="0.5"/>
    <row r="14" spans="1:27" ht="16.149999999999999" x14ac:dyDescent="0.55000000000000004">
      <c r="A14" s="3" t="s">
        <v>11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6" spans="1:27" ht="16.149999999999999" x14ac:dyDescent="0.55000000000000004">
      <c r="A16" s="17"/>
      <c r="B16" s="17" t="s">
        <v>12</v>
      </c>
      <c r="C16" s="17"/>
      <c r="D16" s="17"/>
      <c r="E16" s="17"/>
      <c r="F16" s="17"/>
      <c r="G16" s="17"/>
      <c r="H16" s="18" t="s">
        <v>13</v>
      </c>
      <c r="I16" s="18" t="s">
        <v>14</v>
      </c>
      <c r="J16" s="18" t="s">
        <v>15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45">
      <c r="A17" s="19"/>
      <c r="B17" s="7"/>
      <c r="C17" s="8"/>
      <c r="D17" s="8"/>
      <c r="E17" s="8"/>
      <c r="F17" s="8"/>
      <c r="G17" s="8"/>
      <c r="H17" s="8"/>
      <c r="I17" s="8"/>
      <c r="J17" s="20"/>
      <c r="K17" s="21"/>
      <c r="L17" s="6"/>
      <c r="M17" s="6"/>
      <c r="N17" s="6"/>
      <c r="O17" s="22"/>
      <c r="P17" s="22"/>
      <c r="Q17" s="22"/>
      <c r="R17" s="22"/>
      <c r="S17" s="6"/>
      <c r="T17" s="6"/>
    </row>
    <row r="18" spans="1:20" x14ac:dyDescent="0.45">
      <c r="A18" s="23" t="s">
        <v>16</v>
      </c>
      <c r="B18" s="24" t="s">
        <v>17</v>
      </c>
      <c r="C18" s="6"/>
      <c r="D18" s="6"/>
      <c r="E18" s="6"/>
      <c r="F18" s="6"/>
      <c r="G18" s="6"/>
      <c r="H18" s="25" t="s">
        <v>18</v>
      </c>
      <c r="I18" s="26">
        <v>0.08</v>
      </c>
      <c r="J18" s="27" t="s">
        <v>19</v>
      </c>
      <c r="K18" s="6"/>
      <c r="L18" s="6"/>
      <c r="M18" s="28"/>
      <c r="N18" s="28"/>
      <c r="O18" s="28"/>
      <c r="P18" s="28"/>
      <c r="Q18" s="28"/>
      <c r="R18" s="28"/>
      <c r="S18" s="6"/>
      <c r="T18" s="29"/>
    </row>
    <row r="19" spans="1:20" x14ac:dyDescent="0.45">
      <c r="A19" s="23" t="s">
        <v>16</v>
      </c>
      <c r="B19" s="24" t="s">
        <v>20</v>
      </c>
      <c r="C19" s="6"/>
      <c r="D19" s="6"/>
      <c r="E19" s="6"/>
      <c r="F19" s="6"/>
      <c r="G19" s="6"/>
      <c r="H19" s="25" t="s">
        <v>18</v>
      </c>
      <c r="I19" s="30">
        <v>0.38</v>
      </c>
      <c r="J19" s="27" t="s">
        <v>21</v>
      </c>
      <c r="K19" s="6"/>
      <c r="L19" s="6"/>
      <c r="M19" s="28"/>
      <c r="N19" s="28"/>
      <c r="O19" s="28"/>
      <c r="P19" s="28"/>
      <c r="Q19" s="28"/>
      <c r="R19" s="28"/>
      <c r="S19" s="6"/>
      <c r="T19" s="29"/>
    </row>
    <row r="20" spans="1:20" x14ac:dyDescent="0.45">
      <c r="A20" s="23"/>
      <c r="B20" s="24"/>
      <c r="C20" s="6"/>
      <c r="D20" s="6"/>
      <c r="E20" s="6"/>
      <c r="F20" s="6"/>
      <c r="G20" s="6"/>
      <c r="H20" s="25"/>
      <c r="I20" s="28"/>
      <c r="J20" s="31"/>
      <c r="K20" s="6"/>
      <c r="L20" s="6"/>
      <c r="M20" s="28"/>
      <c r="N20" s="28"/>
      <c r="O20" s="28"/>
      <c r="P20" s="28"/>
      <c r="Q20" s="28"/>
      <c r="R20" s="28"/>
      <c r="S20" s="6"/>
      <c r="T20" s="29"/>
    </row>
    <row r="21" spans="1:20" x14ac:dyDescent="0.45">
      <c r="A21" s="23"/>
      <c r="B21" s="24" t="s">
        <v>22</v>
      </c>
      <c r="C21" s="6"/>
      <c r="D21" s="6"/>
      <c r="E21" s="6"/>
      <c r="F21" s="6"/>
      <c r="G21" s="6"/>
      <c r="H21" s="25" t="s">
        <v>23</v>
      </c>
      <c r="I21" s="32">
        <v>2.5</v>
      </c>
      <c r="J21" s="27" t="s">
        <v>24</v>
      </c>
      <c r="K21" s="6"/>
      <c r="L21" s="6"/>
      <c r="M21" s="32"/>
      <c r="N21" s="32"/>
      <c r="O21" s="32"/>
      <c r="P21" s="32"/>
      <c r="Q21" s="32"/>
      <c r="R21" s="32"/>
      <c r="S21" s="6"/>
      <c r="T21" s="29"/>
    </row>
    <row r="22" spans="1:20" x14ac:dyDescent="0.45">
      <c r="A22" s="23"/>
      <c r="B22" s="24" t="s">
        <v>25</v>
      </c>
      <c r="C22" s="6"/>
      <c r="D22" s="6"/>
      <c r="E22" s="6"/>
      <c r="F22" s="6"/>
      <c r="G22" s="6"/>
      <c r="H22" s="25" t="s">
        <v>23</v>
      </c>
      <c r="I22" s="32">
        <v>8.5</v>
      </c>
      <c r="J22" s="27" t="s">
        <v>26</v>
      </c>
      <c r="K22" s="6"/>
      <c r="L22" s="6"/>
      <c r="M22" s="32"/>
      <c r="N22" s="32"/>
      <c r="O22" s="32"/>
      <c r="P22" s="32"/>
      <c r="Q22" s="32"/>
      <c r="R22" s="32"/>
      <c r="S22" s="6"/>
      <c r="T22" s="29"/>
    </row>
    <row r="23" spans="1:20" x14ac:dyDescent="0.45">
      <c r="A23" s="23"/>
      <c r="B23" s="2" t="s">
        <v>27</v>
      </c>
      <c r="C23" s="6"/>
      <c r="D23" s="6"/>
      <c r="H23" s="2" t="s">
        <v>23</v>
      </c>
      <c r="I23" s="33">
        <v>50</v>
      </c>
      <c r="J23" s="2" t="s">
        <v>28</v>
      </c>
      <c r="K23" s="6"/>
      <c r="L23" s="6"/>
      <c r="M23" s="34"/>
      <c r="N23" s="34"/>
      <c r="O23" s="34"/>
      <c r="P23" s="34"/>
      <c r="Q23" s="34"/>
      <c r="R23" s="34"/>
      <c r="S23" s="6"/>
      <c r="T23" s="29"/>
    </row>
    <row r="24" spans="1:20" x14ac:dyDescent="0.45">
      <c r="A24" s="23"/>
      <c r="B24" s="24" t="s">
        <v>29</v>
      </c>
      <c r="C24" s="6"/>
      <c r="D24" s="6"/>
      <c r="E24" s="6"/>
      <c r="F24" s="6"/>
      <c r="G24" s="6"/>
      <c r="H24" s="25" t="s">
        <v>30</v>
      </c>
      <c r="I24" s="35">
        <v>30</v>
      </c>
      <c r="J24" s="27" t="s">
        <v>31</v>
      </c>
      <c r="K24" s="6"/>
      <c r="L24" s="6"/>
      <c r="M24" s="34"/>
      <c r="N24" s="34"/>
      <c r="O24" s="34"/>
      <c r="P24" s="34"/>
      <c r="Q24" s="34"/>
      <c r="R24" s="34"/>
      <c r="S24" s="6"/>
      <c r="T24" s="29"/>
    </row>
    <row r="25" spans="1:20" x14ac:dyDescent="0.45">
      <c r="A25" s="23" t="s">
        <v>16</v>
      </c>
      <c r="B25" s="11"/>
      <c r="C25" s="12"/>
      <c r="D25" s="12"/>
      <c r="E25" s="12"/>
      <c r="F25" s="12"/>
      <c r="G25" s="12"/>
      <c r="H25" s="12"/>
      <c r="I25" s="12"/>
      <c r="J25" s="36"/>
      <c r="K25" s="21"/>
      <c r="L25" s="6"/>
      <c r="M25" s="6"/>
      <c r="N25" s="6"/>
      <c r="O25" s="22"/>
      <c r="P25" s="22"/>
      <c r="Q25" s="22"/>
      <c r="R25" s="22"/>
      <c r="S25" s="6"/>
      <c r="T25" s="29"/>
    </row>
    <row r="26" spans="1:20" ht="14.65" thickBot="1" x14ac:dyDescent="0.5">
      <c r="A26" s="23"/>
      <c r="B26" s="6"/>
      <c r="C26" s="6"/>
      <c r="D26" s="6"/>
      <c r="E26" s="6"/>
      <c r="F26" s="6"/>
      <c r="G26" s="6"/>
      <c r="H26" s="6"/>
      <c r="I26" s="6"/>
      <c r="K26" s="21"/>
      <c r="L26" s="6"/>
      <c r="M26" s="6"/>
      <c r="N26" s="6"/>
      <c r="O26" s="22"/>
      <c r="P26" s="22"/>
      <c r="Q26" s="22"/>
      <c r="R26" s="22"/>
      <c r="S26" s="6"/>
      <c r="T26" s="29"/>
    </row>
    <row r="27" spans="1:20" ht="16.149999999999999" x14ac:dyDescent="0.55000000000000004">
      <c r="A27" s="3" t="s">
        <v>32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1:20" ht="16.149999999999999" x14ac:dyDescent="0.55000000000000004">
      <c r="A28" s="37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ht="16.149999999999999" x14ac:dyDescent="0.55000000000000004">
      <c r="A29" s="17"/>
      <c r="B29" s="17" t="s">
        <v>12</v>
      </c>
      <c r="C29" s="17"/>
      <c r="D29" s="17"/>
      <c r="E29" s="17"/>
      <c r="F29" s="17"/>
      <c r="G29" s="17"/>
      <c r="H29" s="18" t="s">
        <v>13</v>
      </c>
      <c r="I29" s="18" t="s">
        <v>33</v>
      </c>
      <c r="J29" s="18" t="s">
        <v>77</v>
      </c>
      <c r="K29" s="18" t="s">
        <v>34</v>
      </c>
      <c r="L29" s="18" t="s">
        <v>15</v>
      </c>
      <c r="M29" s="18" t="s">
        <v>35</v>
      </c>
      <c r="N29" s="18" t="s">
        <v>36</v>
      </c>
      <c r="O29" s="18" t="s">
        <v>37</v>
      </c>
      <c r="P29" s="12"/>
      <c r="R29" s="18"/>
    </row>
    <row r="30" spans="1:20" ht="14.65" thickBot="1" x14ac:dyDescent="0.5">
      <c r="A30" s="23" t="s">
        <v>16</v>
      </c>
      <c r="B30" s="38" t="s">
        <v>38</v>
      </c>
      <c r="C30" s="8"/>
      <c r="D30" s="8"/>
      <c r="E30" s="8"/>
      <c r="F30" s="8"/>
      <c r="G30" s="8"/>
      <c r="H30" s="8"/>
      <c r="I30" s="8"/>
      <c r="J30" s="8"/>
      <c r="K30" s="39"/>
      <c r="L30" s="8"/>
      <c r="M30" s="91">
        <v>0.22500000000000001</v>
      </c>
      <c r="N30" s="91">
        <v>0.47499999999999998</v>
      </c>
      <c r="O30" s="92">
        <v>0.3</v>
      </c>
      <c r="P30" s="31"/>
      <c r="R30" s="22"/>
    </row>
    <row r="31" spans="1:20" x14ac:dyDescent="0.45">
      <c r="A31" s="40" t="s">
        <v>16</v>
      </c>
      <c r="B31" s="41" t="s">
        <v>39</v>
      </c>
      <c r="C31" s="6"/>
      <c r="D31" s="6"/>
      <c r="E31" s="6"/>
      <c r="F31" s="6"/>
      <c r="G31" s="6"/>
      <c r="H31" s="42" t="s">
        <v>23</v>
      </c>
      <c r="I31" s="43">
        <v>3</v>
      </c>
      <c r="J31" s="10">
        <f>INDEX($M$30:$O$30,I31)</f>
        <v>0.3</v>
      </c>
      <c r="K31" s="121">
        <f>INDEX(M31:O31,I31)</f>
        <v>5.5</v>
      </c>
      <c r="L31" s="10" t="s">
        <v>40</v>
      </c>
      <c r="M31" s="126">
        <v>1</v>
      </c>
      <c r="N31" s="127">
        <v>2.5</v>
      </c>
      <c r="O31" s="128">
        <v>5.5</v>
      </c>
      <c r="P31" s="31"/>
      <c r="R31" s="44"/>
    </row>
    <row r="32" spans="1:20" x14ac:dyDescent="0.45">
      <c r="A32" s="40" t="s">
        <v>16</v>
      </c>
      <c r="B32" s="41" t="s">
        <v>41</v>
      </c>
      <c r="C32" s="6"/>
      <c r="D32" s="6"/>
      <c r="E32" s="6"/>
      <c r="F32" s="6"/>
      <c r="G32" s="6"/>
      <c r="H32" s="42" t="s">
        <v>42</v>
      </c>
      <c r="I32" s="43">
        <v>3</v>
      </c>
      <c r="J32" s="10">
        <f t="shared" ref="J32:J36" si="0">INDEX($M$30:$O$30,I32)</f>
        <v>0.3</v>
      </c>
      <c r="K32" s="122">
        <f t="shared" ref="K32:K36" si="1">INDEX(M32:O32,I32)</f>
        <v>0.09</v>
      </c>
      <c r="L32" s="10" t="s">
        <v>43</v>
      </c>
      <c r="M32" s="129">
        <v>-0.05</v>
      </c>
      <c r="N32" s="45">
        <v>7.0000000000000007E-2</v>
      </c>
      <c r="O32" s="130">
        <v>0.09</v>
      </c>
      <c r="P32" s="31"/>
      <c r="R32" s="6"/>
    </row>
    <row r="33" spans="1:20" x14ac:dyDescent="0.45">
      <c r="A33" s="23" t="s">
        <v>16</v>
      </c>
      <c r="B33" s="41" t="s">
        <v>44</v>
      </c>
      <c r="C33" s="6"/>
      <c r="D33" s="6"/>
      <c r="E33" s="6"/>
      <c r="F33" s="6"/>
      <c r="G33" s="6"/>
      <c r="H33" s="42" t="s">
        <v>45</v>
      </c>
      <c r="I33" s="43">
        <v>3</v>
      </c>
      <c r="J33" s="10">
        <f t="shared" si="0"/>
        <v>0.3</v>
      </c>
      <c r="K33" s="123">
        <f t="shared" si="1"/>
        <v>1.8</v>
      </c>
      <c r="L33" s="10" t="s">
        <v>46</v>
      </c>
      <c r="M33" s="131">
        <v>1.3</v>
      </c>
      <c r="N33" s="46">
        <v>1.6</v>
      </c>
      <c r="O33" s="132">
        <v>1.8</v>
      </c>
      <c r="P33" s="31"/>
      <c r="R33" s="47"/>
    </row>
    <row r="34" spans="1:20" x14ac:dyDescent="0.45">
      <c r="A34" s="23" t="s">
        <v>16</v>
      </c>
      <c r="B34" s="24" t="s">
        <v>47</v>
      </c>
      <c r="C34" s="6"/>
      <c r="D34" s="6"/>
      <c r="E34" s="6"/>
      <c r="F34" s="6"/>
      <c r="G34" s="6"/>
      <c r="H34" s="42" t="s">
        <v>30</v>
      </c>
      <c r="I34" s="43">
        <v>3</v>
      </c>
      <c r="J34" s="10">
        <f t="shared" si="0"/>
        <v>0.3</v>
      </c>
      <c r="K34" s="124">
        <f t="shared" si="1"/>
        <v>17</v>
      </c>
      <c r="L34" s="10" t="s">
        <v>48</v>
      </c>
      <c r="M34" s="133">
        <v>13</v>
      </c>
      <c r="N34" s="48">
        <v>14.5</v>
      </c>
      <c r="O34" s="134">
        <v>17</v>
      </c>
      <c r="P34" s="31"/>
      <c r="R34" s="6"/>
    </row>
    <row r="35" spans="1:20" x14ac:dyDescent="0.45">
      <c r="A35" s="23" t="s">
        <v>16</v>
      </c>
      <c r="B35" s="24" t="s">
        <v>49</v>
      </c>
      <c r="C35" s="6"/>
      <c r="D35" s="6"/>
      <c r="E35" s="6"/>
      <c r="F35" s="6"/>
      <c r="G35" s="6"/>
      <c r="H35" s="42" t="s">
        <v>50</v>
      </c>
      <c r="I35" s="43">
        <v>3</v>
      </c>
      <c r="J35" s="10">
        <f t="shared" si="0"/>
        <v>0.3</v>
      </c>
      <c r="K35" s="124">
        <f t="shared" si="1"/>
        <v>9.75</v>
      </c>
      <c r="L35" s="10" t="s">
        <v>51</v>
      </c>
      <c r="M35" s="135">
        <v>9.25</v>
      </c>
      <c r="N35" s="49">
        <v>9.5</v>
      </c>
      <c r="O35" s="136">
        <v>9.75</v>
      </c>
      <c r="P35" s="31"/>
    </row>
    <row r="36" spans="1:20" ht="14.65" thickBot="1" x14ac:dyDescent="0.5">
      <c r="A36" s="23" t="s">
        <v>16</v>
      </c>
      <c r="B36" s="24" t="s">
        <v>52</v>
      </c>
      <c r="C36" s="6"/>
      <c r="D36" s="6"/>
      <c r="E36" s="6"/>
      <c r="F36" s="6"/>
      <c r="G36" s="6"/>
      <c r="H36" s="42" t="s">
        <v>50</v>
      </c>
      <c r="I36" s="43">
        <v>3</v>
      </c>
      <c r="J36" s="10">
        <f t="shared" si="0"/>
        <v>0.3</v>
      </c>
      <c r="K36" s="125">
        <f t="shared" si="1"/>
        <v>11.5</v>
      </c>
      <c r="L36" s="10" t="s">
        <v>53</v>
      </c>
      <c r="M36" s="137">
        <v>9.75</v>
      </c>
      <c r="N36" s="138">
        <v>10.75</v>
      </c>
      <c r="O36" s="139">
        <v>11.5</v>
      </c>
      <c r="P36" s="31"/>
    </row>
    <row r="37" spans="1:20" x14ac:dyDescent="0.45">
      <c r="A37" s="23"/>
      <c r="B37" s="24"/>
      <c r="C37" s="6"/>
      <c r="D37" s="6"/>
      <c r="E37" s="6"/>
      <c r="F37" s="6"/>
      <c r="G37" s="6"/>
      <c r="H37" s="25"/>
      <c r="I37" s="50"/>
      <c r="J37" s="10"/>
      <c r="K37" s="32"/>
      <c r="L37" s="10"/>
      <c r="M37" s="44"/>
      <c r="N37" s="44"/>
      <c r="O37" s="44"/>
      <c r="P37" s="31"/>
    </row>
    <row r="38" spans="1:20" x14ac:dyDescent="0.45">
      <c r="B38" s="24" t="s">
        <v>95</v>
      </c>
      <c r="C38" s="6"/>
      <c r="D38" s="6"/>
      <c r="E38" s="6"/>
      <c r="F38" s="6"/>
      <c r="G38" s="6"/>
      <c r="H38" s="6"/>
      <c r="I38" s="51"/>
      <c r="J38" s="120">
        <f>PRODUCT(J31:J36)</f>
        <v>7.2899999999999994E-4</v>
      </c>
      <c r="K38" s="6"/>
      <c r="L38" s="6"/>
      <c r="M38" s="6"/>
      <c r="N38" s="6"/>
      <c r="O38" s="6"/>
      <c r="P38" s="31"/>
    </row>
    <row r="39" spans="1:20" x14ac:dyDescent="0.45">
      <c r="A39" s="23" t="s">
        <v>16</v>
      </c>
      <c r="B39" s="52"/>
      <c r="C39" s="6"/>
      <c r="D39" s="6"/>
      <c r="E39" s="6"/>
      <c r="F39" s="6"/>
      <c r="G39" s="6"/>
      <c r="H39" s="6"/>
      <c r="I39" s="51"/>
      <c r="J39" s="6"/>
      <c r="K39" s="6"/>
      <c r="L39" s="6"/>
      <c r="M39" s="6"/>
      <c r="N39" s="6"/>
      <c r="O39" s="6"/>
      <c r="P39" s="31"/>
    </row>
    <row r="40" spans="1:20" x14ac:dyDescent="0.45">
      <c r="A40" s="40" t="s">
        <v>16</v>
      </c>
      <c r="B40" s="41"/>
      <c r="C40" s="6"/>
      <c r="D40" s="6"/>
      <c r="E40" s="6"/>
      <c r="F40" s="6"/>
      <c r="G40" s="6"/>
      <c r="H40" s="25"/>
      <c r="I40" s="50"/>
      <c r="J40" s="10"/>
      <c r="K40" s="44"/>
      <c r="L40" s="10"/>
      <c r="M40" s="44"/>
      <c r="N40" s="44"/>
      <c r="O40" s="44"/>
      <c r="P40" s="31"/>
    </row>
    <row r="41" spans="1:20" x14ac:dyDescent="0.45">
      <c r="A41" s="19"/>
      <c r="B41" s="53"/>
      <c r="C41" s="12"/>
      <c r="D41" s="12"/>
      <c r="E41" s="12"/>
      <c r="F41" s="12"/>
      <c r="G41" s="12"/>
      <c r="H41" s="54"/>
      <c r="I41" s="54"/>
      <c r="J41" s="12"/>
      <c r="K41" s="55"/>
      <c r="L41" s="56"/>
      <c r="M41" s="55"/>
      <c r="N41" s="55"/>
      <c r="O41" s="55"/>
      <c r="P41" s="36"/>
      <c r="R41" s="44"/>
    </row>
    <row r="42" spans="1:20" ht="14.65" thickBot="1" x14ac:dyDescent="0.5"/>
    <row r="43" spans="1:20" ht="16.149999999999999" x14ac:dyDescent="0.55000000000000004">
      <c r="A43" s="3" t="s">
        <v>54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1:20" ht="16.149999999999999" x14ac:dyDescent="0.55000000000000004">
      <c r="A44" s="37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ht="16.149999999999999" x14ac:dyDescent="0.55000000000000004">
      <c r="A45" s="37" t="str">
        <f>strategy_name</f>
        <v>Royalty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45">
      <c r="A46" s="57"/>
    </row>
    <row r="47" spans="1:20" ht="16.149999999999999" x14ac:dyDescent="0.55000000000000004">
      <c r="A47" s="17" t="s">
        <v>55</v>
      </c>
      <c r="B47" s="58"/>
      <c r="C47" s="58"/>
      <c r="G47" s="59"/>
      <c r="H47" s="60">
        <v>2017</v>
      </c>
      <c r="I47" s="60">
        <f>H47+1</f>
        <v>2018</v>
      </c>
      <c r="J47" s="60">
        <f t="shared" ref="J47:O47" si="2">I47+1</f>
        <v>2019</v>
      </c>
      <c r="K47" s="60">
        <f t="shared" si="2"/>
        <v>2020</v>
      </c>
      <c r="L47" s="60">
        <f t="shared" si="2"/>
        <v>2021</v>
      </c>
      <c r="M47" s="60">
        <f t="shared" si="2"/>
        <v>2022</v>
      </c>
      <c r="N47" s="60">
        <f t="shared" si="2"/>
        <v>2023</v>
      </c>
      <c r="O47" s="60">
        <f t="shared" si="2"/>
        <v>2024</v>
      </c>
      <c r="P47" s="60">
        <f>O47+1</f>
        <v>2025</v>
      </c>
      <c r="Q47" s="60">
        <f>P47+1</f>
        <v>2026</v>
      </c>
      <c r="R47" s="60"/>
    </row>
    <row r="48" spans="1:20" ht="16.149999999999999" x14ac:dyDescent="0.55000000000000004">
      <c r="A48" s="17" t="s">
        <v>56</v>
      </c>
      <c r="B48" s="58"/>
      <c r="C48" s="58"/>
      <c r="G48" s="59"/>
      <c r="H48" s="60">
        <f>H47-$H$47</f>
        <v>0</v>
      </c>
      <c r="I48" s="60">
        <f t="shared" ref="I48:Q48" si="3">I47-$H$47</f>
        <v>1</v>
      </c>
      <c r="J48" s="60">
        <f t="shared" si="3"/>
        <v>2</v>
      </c>
      <c r="K48" s="60">
        <f t="shared" si="3"/>
        <v>3</v>
      </c>
      <c r="L48" s="60">
        <f t="shared" si="3"/>
        <v>4</v>
      </c>
      <c r="M48" s="60">
        <f t="shared" si="3"/>
        <v>5</v>
      </c>
      <c r="N48" s="60">
        <f t="shared" si="3"/>
        <v>6</v>
      </c>
      <c r="O48" s="60">
        <f t="shared" si="3"/>
        <v>7</v>
      </c>
      <c r="P48" s="60">
        <f t="shared" si="3"/>
        <v>8</v>
      </c>
      <c r="Q48" s="60">
        <f t="shared" si="3"/>
        <v>9</v>
      </c>
      <c r="R48" s="60"/>
    </row>
    <row r="49" spans="1:20" ht="16.149999999999999" x14ac:dyDescent="0.55000000000000004">
      <c r="A49" s="17"/>
      <c r="B49" s="58"/>
      <c r="C49" s="58"/>
      <c r="G49" s="59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  <c r="S49" s="62"/>
      <c r="T49" s="62"/>
    </row>
    <row r="50" spans="1:20" ht="16.149999999999999" x14ac:dyDescent="0.55000000000000004">
      <c r="A50" s="17" t="s">
        <v>57</v>
      </c>
      <c r="B50" s="58"/>
      <c r="C50" s="58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2"/>
      <c r="S50" s="62"/>
      <c r="T50" s="62"/>
    </row>
    <row r="51" spans="1:20" ht="15.75" x14ac:dyDescent="0.5">
      <c r="A51" s="58"/>
      <c r="B51" s="58" t="s">
        <v>58</v>
      </c>
      <c r="C51" s="58"/>
      <c r="G51" s="16" t="s">
        <v>23</v>
      </c>
      <c r="H51" s="64">
        <f t="shared" ref="H51:Q51" si="4">dem_RBL*(1+dem_g_PD)^H48</f>
        <v>5.5</v>
      </c>
      <c r="I51" s="64">
        <f t="shared" si="4"/>
        <v>5.9950000000000001</v>
      </c>
      <c r="J51" s="64">
        <f t="shared" si="4"/>
        <v>6.5345500000000012</v>
      </c>
      <c r="K51" s="64">
        <f t="shared" si="4"/>
        <v>7.122659500000001</v>
      </c>
      <c r="L51" s="64">
        <f t="shared" si="4"/>
        <v>7.7636988550000012</v>
      </c>
      <c r="M51" s="64">
        <f t="shared" si="4"/>
        <v>8.4624317519500032</v>
      </c>
      <c r="N51" s="64">
        <f t="shared" si="4"/>
        <v>9.2240506096255039</v>
      </c>
      <c r="O51" s="64">
        <f t="shared" si="4"/>
        <v>10.054215164491799</v>
      </c>
      <c r="P51" s="64">
        <f t="shared" si="4"/>
        <v>10.959094529296062</v>
      </c>
      <c r="Q51" s="64">
        <f t="shared" si="4"/>
        <v>11.945413036932708</v>
      </c>
      <c r="R51" s="62"/>
      <c r="S51" s="62"/>
      <c r="T51" s="62"/>
    </row>
    <row r="52" spans="1:20" ht="15.75" x14ac:dyDescent="0.5">
      <c r="A52" s="58"/>
      <c r="B52" s="58" t="s">
        <v>59</v>
      </c>
      <c r="C52" s="58"/>
      <c r="G52" s="16" t="s">
        <v>23</v>
      </c>
      <c r="H52" s="64">
        <f t="shared" ref="H52:Q52" si="5">dem_RBL*mult_PD*(1+dem_g_PD)^H48</f>
        <v>9.9</v>
      </c>
      <c r="I52" s="64">
        <f t="shared" si="5"/>
        <v>10.791</v>
      </c>
      <c r="J52" s="64">
        <f t="shared" si="5"/>
        <v>11.762190000000002</v>
      </c>
      <c r="K52" s="64">
        <f t="shared" si="5"/>
        <v>12.820787100000002</v>
      </c>
      <c r="L52" s="64">
        <f t="shared" si="5"/>
        <v>13.974657939000004</v>
      </c>
      <c r="M52" s="64">
        <f t="shared" si="5"/>
        <v>15.232377153510006</v>
      </c>
      <c r="N52" s="64">
        <f t="shared" si="5"/>
        <v>16.603291097325908</v>
      </c>
      <c r="O52" s="64">
        <f t="shared" si="5"/>
        <v>18.097587296085237</v>
      </c>
      <c r="P52" s="64">
        <f t="shared" si="5"/>
        <v>19.726370152732912</v>
      </c>
      <c r="Q52" s="64">
        <f t="shared" si="5"/>
        <v>21.501743466478874</v>
      </c>
      <c r="R52" s="62"/>
      <c r="S52" s="62"/>
      <c r="T52" s="62"/>
    </row>
    <row r="53" spans="1:20" ht="15.75" x14ac:dyDescent="0.5">
      <c r="A53" s="58"/>
      <c r="B53" s="58" t="s">
        <v>60</v>
      </c>
      <c r="C53" s="58"/>
      <c r="G53" s="16" t="s">
        <v>23</v>
      </c>
      <c r="H53" s="65">
        <f t="shared" ref="H53:Q53" si="6">IF(strategy=1,prod_wo_exp,IF(strategy=4,prod_PuD,prod_w_exp))</f>
        <v>50</v>
      </c>
      <c r="I53" s="65">
        <f t="shared" si="6"/>
        <v>50</v>
      </c>
      <c r="J53" s="65">
        <f t="shared" si="6"/>
        <v>50</v>
      </c>
      <c r="K53" s="65">
        <f t="shared" si="6"/>
        <v>50</v>
      </c>
      <c r="L53" s="65">
        <f t="shared" si="6"/>
        <v>50</v>
      </c>
      <c r="M53" s="65">
        <f t="shared" si="6"/>
        <v>50</v>
      </c>
      <c r="N53" s="65">
        <f t="shared" si="6"/>
        <v>50</v>
      </c>
      <c r="O53" s="65">
        <f t="shared" si="6"/>
        <v>50</v>
      </c>
      <c r="P53" s="65">
        <f t="shared" si="6"/>
        <v>50</v>
      </c>
      <c r="Q53" s="65">
        <f t="shared" si="6"/>
        <v>50</v>
      </c>
      <c r="R53" s="62"/>
      <c r="S53" s="62"/>
      <c r="T53" s="62"/>
    </row>
    <row r="54" spans="1:20" ht="15.75" x14ac:dyDescent="0.5">
      <c r="A54" s="58"/>
      <c r="B54" s="58" t="s">
        <v>57</v>
      </c>
      <c r="C54" s="58"/>
      <c r="G54" s="16" t="s">
        <v>23</v>
      </c>
      <c r="H54" s="64">
        <f t="shared" ref="H54:Q54" si="7">MIN(IF(strategy&lt;=2,H51,H52),H53)</f>
        <v>9.9</v>
      </c>
      <c r="I54" s="64">
        <f t="shared" si="7"/>
        <v>10.791</v>
      </c>
      <c r="J54" s="64">
        <f t="shared" si="7"/>
        <v>11.762190000000002</v>
      </c>
      <c r="K54" s="64">
        <f t="shared" si="7"/>
        <v>12.820787100000002</v>
      </c>
      <c r="L54" s="64">
        <f t="shared" si="7"/>
        <v>13.974657939000004</v>
      </c>
      <c r="M54" s="64">
        <f t="shared" si="7"/>
        <v>15.232377153510006</v>
      </c>
      <c r="N54" s="64">
        <f t="shared" si="7"/>
        <v>16.603291097325908</v>
      </c>
      <c r="O54" s="64">
        <f t="shared" si="7"/>
        <v>18.097587296085237</v>
      </c>
      <c r="P54" s="64">
        <f t="shared" si="7"/>
        <v>19.726370152732912</v>
      </c>
      <c r="Q54" s="64">
        <f t="shared" si="7"/>
        <v>21.501743466478874</v>
      </c>
      <c r="R54" s="62"/>
      <c r="S54" s="62"/>
      <c r="T54" s="62"/>
    </row>
    <row r="55" spans="1:20" ht="15.75" x14ac:dyDescent="0.5">
      <c r="A55" s="58"/>
      <c r="B55" s="58"/>
      <c r="C55" s="58"/>
      <c r="G55" s="1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2"/>
      <c r="S55" s="62"/>
      <c r="T55" s="62"/>
    </row>
    <row r="56" spans="1:20" ht="16.149999999999999" x14ac:dyDescent="0.55000000000000004">
      <c r="A56" s="17" t="s">
        <v>61</v>
      </c>
      <c r="B56" s="67"/>
      <c r="C56" s="67"/>
      <c r="D56" s="6"/>
      <c r="E56" s="6"/>
      <c r="F56" s="6"/>
      <c r="G56" s="68" t="s">
        <v>30</v>
      </c>
      <c r="H56" s="69">
        <f t="shared" ref="H56:Q56" si="8">unit_rev*H54</f>
        <v>113.85000000000001</v>
      </c>
      <c r="I56" s="69">
        <f t="shared" si="8"/>
        <v>124.09650000000001</v>
      </c>
      <c r="J56" s="69">
        <f t="shared" si="8"/>
        <v>135.26518500000003</v>
      </c>
      <c r="K56" s="69">
        <f t="shared" si="8"/>
        <v>147.43905165000004</v>
      </c>
      <c r="L56" s="69">
        <f t="shared" si="8"/>
        <v>160.70856629850005</v>
      </c>
      <c r="M56" s="69">
        <f t="shared" si="8"/>
        <v>175.17233726536506</v>
      </c>
      <c r="N56" s="69">
        <f t="shared" si="8"/>
        <v>190.93784761924795</v>
      </c>
      <c r="O56" s="69">
        <f t="shared" si="8"/>
        <v>208.12225390498023</v>
      </c>
      <c r="P56" s="69">
        <f t="shared" si="8"/>
        <v>226.85325675642849</v>
      </c>
      <c r="Q56" s="69">
        <f t="shared" si="8"/>
        <v>247.27004986450706</v>
      </c>
      <c r="R56" s="62"/>
      <c r="S56" s="62"/>
      <c r="T56" s="62"/>
    </row>
    <row r="57" spans="1:20" ht="15.75" x14ac:dyDescent="0.5">
      <c r="A57" s="58"/>
      <c r="B57" s="67"/>
      <c r="C57" s="67"/>
      <c r="D57" s="6"/>
      <c r="E57" s="6"/>
      <c r="F57" s="6"/>
      <c r="G57" s="68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2"/>
      <c r="S57" s="62"/>
      <c r="T57" s="62"/>
    </row>
    <row r="58" spans="1:20" ht="16.149999999999999" x14ac:dyDescent="0.55000000000000004">
      <c r="A58" s="17" t="s">
        <v>62</v>
      </c>
      <c r="B58" s="67"/>
      <c r="C58" s="67"/>
      <c r="D58" s="6"/>
      <c r="E58" s="6"/>
      <c r="F58" s="6"/>
      <c r="G58" s="68" t="s">
        <v>30</v>
      </c>
      <c r="H58" s="69">
        <f t="shared" ref="H58:Q58" si="9">IF(strategy&lt;4,unit_prod,0)*H54</f>
        <v>0</v>
      </c>
      <c r="I58" s="69">
        <f t="shared" si="9"/>
        <v>0</v>
      </c>
      <c r="J58" s="69">
        <f t="shared" si="9"/>
        <v>0</v>
      </c>
      <c r="K58" s="69">
        <f t="shared" si="9"/>
        <v>0</v>
      </c>
      <c r="L58" s="69">
        <f t="shared" si="9"/>
        <v>0</v>
      </c>
      <c r="M58" s="69">
        <f t="shared" si="9"/>
        <v>0</v>
      </c>
      <c r="N58" s="69">
        <f t="shared" si="9"/>
        <v>0</v>
      </c>
      <c r="O58" s="69">
        <f t="shared" si="9"/>
        <v>0</v>
      </c>
      <c r="P58" s="69">
        <f t="shared" si="9"/>
        <v>0</v>
      </c>
      <c r="Q58" s="69">
        <f t="shared" si="9"/>
        <v>0</v>
      </c>
      <c r="R58" s="62"/>
      <c r="S58" s="62"/>
      <c r="T58" s="62"/>
    </row>
    <row r="59" spans="1:20" ht="15.75" x14ac:dyDescent="0.5">
      <c r="A59" s="58"/>
      <c r="B59" s="67"/>
      <c r="C59" s="67"/>
      <c r="D59" s="6"/>
      <c r="E59" s="6"/>
      <c r="F59" s="6"/>
      <c r="G59" s="68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2"/>
      <c r="S59" s="62"/>
      <c r="T59" s="62"/>
    </row>
    <row r="60" spans="1:20" ht="16.149999999999999" x14ac:dyDescent="0.55000000000000004">
      <c r="A60" s="17" t="s">
        <v>63</v>
      </c>
      <c r="B60" s="67"/>
      <c r="C60" s="67"/>
      <c r="D60" s="6"/>
      <c r="E60" s="6"/>
      <c r="F60" s="6"/>
      <c r="G60" s="68" t="s">
        <v>30</v>
      </c>
      <c r="H60" s="69">
        <f t="shared" ref="H60" si="10">IF(strategy=2,plant_const,0)</f>
        <v>0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0</v>
      </c>
      <c r="O60" s="69">
        <v>0</v>
      </c>
      <c r="P60" s="69">
        <v>0</v>
      </c>
      <c r="Q60" s="69">
        <v>0</v>
      </c>
      <c r="R60" s="62"/>
      <c r="S60" s="62"/>
      <c r="T60" s="62"/>
    </row>
    <row r="61" spans="1:20" ht="15.75" x14ac:dyDescent="0.5">
      <c r="A61" s="67"/>
      <c r="B61" s="67"/>
      <c r="C61" s="67"/>
      <c r="D61" s="6"/>
      <c r="E61" s="6"/>
      <c r="F61" s="6"/>
      <c r="G61" s="68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2"/>
      <c r="S61" s="62"/>
      <c r="T61" s="62"/>
    </row>
    <row r="62" spans="1:20" ht="16.149999999999999" x14ac:dyDescent="0.55000000000000004">
      <c r="A62" s="70" t="s">
        <v>64</v>
      </c>
      <c r="B62" s="67"/>
      <c r="C62" s="67"/>
      <c r="D62" s="6"/>
      <c r="E62" s="6"/>
      <c r="F62" s="6"/>
      <c r="G62" s="68" t="s">
        <v>30</v>
      </c>
      <c r="H62" s="69">
        <f>IF(strategy=3,0.6*(H56-H58-H60),0)</f>
        <v>0</v>
      </c>
      <c r="I62" s="69">
        <f>IF(strategy=3,0.6*(I56-I58-I60),0)</f>
        <v>0</v>
      </c>
      <c r="J62" s="69">
        <f>IF(strategy=3,0.6*(J56-J58-J60),0)</f>
        <v>0</v>
      </c>
      <c r="K62" s="69">
        <f>IF(strategy=3,0.6*(K56-K58-K60),0)</f>
        <v>0</v>
      </c>
      <c r="L62" s="69">
        <f>IF(strategy=3,0.6*(L56-L58-L60),0)</f>
        <v>0</v>
      </c>
      <c r="M62" s="69">
        <f>IF(strategy=3,0.6*(M56-M58-M60),0)</f>
        <v>0</v>
      </c>
      <c r="N62" s="69">
        <f>IF(strategy=3,0.6*(N56-N58-N60),0)</f>
        <v>0</v>
      </c>
      <c r="O62" s="69">
        <f>IF(strategy=3,0.6*(O56-O58-O60),0)</f>
        <v>0</v>
      </c>
      <c r="P62" s="69">
        <f>IF(strategy=3,0.6*(P56-P58-P60),0)</f>
        <v>0</v>
      </c>
      <c r="Q62" s="69">
        <f>IF(strategy=3,0.6*(Q56-Q58-Q60),0)</f>
        <v>0</v>
      </c>
      <c r="R62" s="62"/>
      <c r="S62" s="62"/>
      <c r="T62" s="62"/>
    </row>
    <row r="63" spans="1:20" ht="16.149999999999999" x14ac:dyDescent="0.55000000000000004">
      <c r="A63" s="70" t="s">
        <v>65</v>
      </c>
      <c r="B63" s="67"/>
      <c r="C63" s="67"/>
      <c r="D63" s="6"/>
      <c r="E63" s="6"/>
      <c r="F63" s="6"/>
      <c r="G63" s="68" t="s">
        <v>30</v>
      </c>
      <c r="H63" s="69">
        <f t="shared" ref="H63:Q63" si="11">IF(strategy=4,0.97,0)*H56</f>
        <v>110.4345</v>
      </c>
      <c r="I63" s="69">
        <f t="shared" si="11"/>
        <v>120.373605</v>
      </c>
      <c r="J63" s="69">
        <f t="shared" si="11"/>
        <v>131.20722945000003</v>
      </c>
      <c r="K63" s="69">
        <f t="shared" si="11"/>
        <v>143.01588010050003</v>
      </c>
      <c r="L63" s="69">
        <f t="shared" si="11"/>
        <v>155.88730930954503</v>
      </c>
      <c r="M63" s="69">
        <f t="shared" si="11"/>
        <v>169.91716714740411</v>
      </c>
      <c r="N63" s="69">
        <f t="shared" si="11"/>
        <v>185.2097121906705</v>
      </c>
      <c r="O63" s="69">
        <f t="shared" si="11"/>
        <v>201.87858628783081</v>
      </c>
      <c r="P63" s="69">
        <f t="shared" si="11"/>
        <v>220.04765905373563</v>
      </c>
      <c r="Q63" s="69">
        <f t="shared" si="11"/>
        <v>239.85194836857184</v>
      </c>
      <c r="R63" s="62"/>
      <c r="S63" s="62"/>
      <c r="T63" s="62"/>
    </row>
    <row r="64" spans="1:20" ht="15.75" x14ac:dyDescent="0.5">
      <c r="A64" s="67"/>
      <c r="B64" s="67"/>
      <c r="C64" s="67"/>
      <c r="D64" s="6"/>
      <c r="E64" s="6"/>
      <c r="F64" s="6"/>
      <c r="G64" s="68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2"/>
      <c r="S64" s="62"/>
      <c r="T64" s="62"/>
    </row>
    <row r="65" spans="1:20" ht="16.149999999999999" x14ac:dyDescent="0.55000000000000004">
      <c r="A65" s="70" t="s">
        <v>66</v>
      </c>
      <c r="B65" s="67"/>
      <c r="C65" s="67"/>
      <c r="D65" s="6"/>
      <c r="E65" s="6"/>
      <c r="F65" s="6"/>
      <c r="G65" s="68" t="s">
        <v>30</v>
      </c>
      <c r="H65" s="69">
        <f>H56-(SUM(H58:H63))</f>
        <v>3.4155000000000086</v>
      </c>
      <c r="I65" s="69">
        <f t="shared" ref="I65:Q65" si="12">I56-(SUM(I58:I63))</f>
        <v>3.7228950000000083</v>
      </c>
      <c r="J65" s="69">
        <f t="shared" si="12"/>
        <v>4.0579555500000026</v>
      </c>
      <c r="K65" s="69">
        <f t="shared" si="12"/>
        <v>4.4231715495000117</v>
      </c>
      <c r="L65" s="69">
        <f t="shared" si="12"/>
        <v>4.8212569889550139</v>
      </c>
      <c r="M65" s="69">
        <f t="shared" si="12"/>
        <v>5.2551701179609438</v>
      </c>
      <c r="N65" s="69">
        <f t="shared" si="12"/>
        <v>5.7281354285774455</v>
      </c>
      <c r="O65" s="69">
        <f t="shared" si="12"/>
        <v>6.2436676171494128</v>
      </c>
      <c r="P65" s="69">
        <f t="shared" si="12"/>
        <v>6.8055977026928645</v>
      </c>
      <c r="Q65" s="69">
        <f t="shared" si="12"/>
        <v>7.4181014959352183</v>
      </c>
      <c r="R65" s="62"/>
      <c r="S65" s="62"/>
      <c r="T65" s="62"/>
    </row>
    <row r="66" spans="1:20" ht="15.75" x14ac:dyDescent="0.5">
      <c r="A66" s="67"/>
      <c r="B66" s="67"/>
      <c r="C66" s="67"/>
      <c r="D66" s="6"/>
      <c r="E66" s="6"/>
      <c r="F66" s="6"/>
      <c r="G66" s="68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2"/>
      <c r="S66" s="62"/>
      <c r="T66" s="62"/>
    </row>
    <row r="67" spans="1:20" ht="16.149999999999999" x14ac:dyDescent="0.55000000000000004">
      <c r="A67" s="70" t="s">
        <v>67</v>
      </c>
      <c r="B67" s="67"/>
      <c r="C67" s="67"/>
      <c r="D67" s="6"/>
      <c r="E67" s="6"/>
      <c r="F67" s="6"/>
      <c r="G67" s="68" t="s">
        <v>30</v>
      </c>
      <c r="H67" s="69">
        <f t="shared" ref="H67:Q67" si="13">tax_rate*H65</f>
        <v>1.2978900000000033</v>
      </c>
      <c r="I67" s="69">
        <f t="shared" si="13"/>
        <v>1.4147001000000032</v>
      </c>
      <c r="J67" s="69">
        <f t="shared" si="13"/>
        <v>1.5420231090000009</v>
      </c>
      <c r="K67" s="69">
        <f t="shared" si="13"/>
        <v>1.6808051888100044</v>
      </c>
      <c r="L67" s="69">
        <f t="shared" si="13"/>
        <v>1.8320776558029053</v>
      </c>
      <c r="M67" s="69">
        <f t="shared" si="13"/>
        <v>1.9969646448251586</v>
      </c>
      <c r="N67" s="69">
        <f t="shared" si="13"/>
        <v>2.1766914628594294</v>
      </c>
      <c r="O67" s="69">
        <f t="shared" si="13"/>
        <v>2.3725936945167767</v>
      </c>
      <c r="P67" s="69">
        <f t="shared" si="13"/>
        <v>2.5861271270232886</v>
      </c>
      <c r="Q67" s="69">
        <f t="shared" si="13"/>
        <v>2.818878568455383</v>
      </c>
      <c r="R67" s="62"/>
      <c r="S67" s="62"/>
      <c r="T67" s="62"/>
    </row>
    <row r="68" spans="1:20" ht="16.149999999999999" x14ac:dyDescent="0.55000000000000004">
      <c r="A68" s="70" t="s">
        <v>68</v>
      </c>
      <c r="B68" s="67"/>
      <c r="C68" s="67"/>
      <c r="D68" s="6"/>
      <c r="E68" s="6"/>
      <c r="F68" s="6"/>
      <c r="G68" s="68" t="s">
        <v>30</v>
      </c>
      <c r="H68" s="69">
        <f>IF(H67&lt;0,H67*-1,0)</f>
        <v>0</v>
      </c>
      <c r="I68" s="69">
        <f>MAX(H68-I67,0)</f>
        <v>0</v>
      </c>
      <c r="J68" s="69">
        <f t="shared" ref="J68:Q68" si="14">MAX(I68-J67,0)</f>
        <v>0</v>
      </c>
      <c r="K68" s="69">
        <f t="shared" si="14"/>
        <v>0</v>
      </c>
      <c r="L68" s="69">
        <f t="shared" si="14"/>
        <v>0</v>
      </c>
      <c r="M68" s="69">
        <f t="shared" si="14"/>
        <v>0</v>
      </c>
      <c r="N68" s="69">
        <f t="shared" si="14"/>
        <v>0</v>
      </c>
      <c r="O68" s="69">
        <f t="shared" si="14"/>
        <v>0</v>
      </c>
      <c r="P68" s="69">
        <f t="shared" si="14"/>
        <v>0</v>
      </c>
      <c r="Q68" s="69">
        <f t="shared" si="14"/>
        <v>0</v>
      </c>
      <c r="R68" s="62"/>
      <c r="S68" s="62"/>
      <c r="T68" s="62"/>
    </row>
    <row r="69" spans="1:20" ht="16.149999999999999" x14ac:dyDescent="0.55000000000000004">
      <c r="A69" s="70" t="s">
        <v>69</v>
      </c>
      <c r="B69" s="67"/>
      <c r="C69" s="67"/>
      <c r="D69" s="6"/>
      <c r="E69" s="6"/>
      <c r="F69" s="6"/>
      <c r="G69" s="68" t="s">
        <v>30</v>
      </c>
      <c r="H69" s="69">
        <f>IF(H67&lt;0,0,H67)</f>
        <v>1.2978900000000033</v>
      </c>
      <c r="I69" s="69">
        <f>MAX(I67-H68,0)</f>
        <v>1.4147001000000032</v>
      </c>
      <c r="J69" s="69">
        <f t="shared" ref="J69:Q69" si="15">MAX(J67-I68,0)</f>
        <v>1.5420231090000009</v>
      </c>
      <c r="K69" s="69">
        <f t="shared" si="15"/>
        <v>1.6808051888100044</v>
      </c>
      <c r="L69" s="69">
        <f t="shared" si="15"/>
        <v>1.8320776558029053</v>
      </c>
      <c r="M69" s="69">
        <f t="shared" si="15"/>
        <v>1.9969646448251586</v>
      </c>
      <c r="N69" s="69">
        <f t="shared" si="15"/>
        <v>2.1766914628594294</v>
      </c>
      <c r="O69" s="69">
        <f t="shared" si="15"/>
        <v>2.3725936945167767</v>
      </c>
      <c r="P69" s="69">
        <f t="shared" si="15"/>
        <v>2.5861271270232886</v>
      </c>
      <c r="Q69" s="69">
        <f t="shared" si="15"/>
        <v>2.818878568455383</v>
      </c>
      <c r="R69" s="62"/>
      <c r="S69" s="62"/>
      <c r="T69" s="62"/>
    </row>
    <row r="70" spans="1:20" ht="15.75" x14ac:dyDescent="0.5">
      <c r="A70" s="67"/>
      <c r="B70" s="67"/>
      <c r="C70" s="67"/>
      <c r="D70" s="6"/>
      <c r="E70" s="6"/>
      <c r="F70" s="6"/>
      <c r="G70" s="68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71"/>
      <c r="S70" s="71"/>
      <c r="T70" s="71"/>
    </row>
    <row r="71" spans="1:20" ht="16.149999999999999" x14ac:dyDescent="0.55000000000000004">
      <c r="A71" s="70" t="s">
        <v>70</v>
      </c>
      <c r="B71" s="6"/>
      <c r="C71" s="6"/>
      <c r="D71" s="6"/>
      <c r="E71" s="6"/>
      <c r="F71" s="6"/>
      <c r="G71" s="68" t="s">
        <v>30</v>
      </c>
      <c r="H71" s="72">
        <f>H65-H69</f>
        <v>2.1176100000000053</v>
      </c>
      <c r="I71" s="72">
        <f t="shared" ref="I71:Q71" si="16">I65-I69</f>
        <v>2.308194900000005</v>
      </c>
      <c r="J71" s="72">
        <f t="shared" si="16"/>
        <v>2.5159324410000017</v>
      </c>
      <c r="K71" s="72">
        <f t="shared" si="16"/>
        <v>2.7423663606900073</v>
      </c>
      <c r="L71" s="72">
        <f t="shared" si="16"/>
        <v>2.9891793331521086</v>
      </c>
      <c r="M71" s="72">
        <f t="shared" si="16"/>
        <v>3.258205473135785</v>
      </c>
      <c r="N71" s="72">
        <f t="shared" si="16"/>
        <v>3.5514439657180161</v>
      </c>
      <c r="O71" s="72">
        <f t="shared" si="16"/>
        <v>3.8710739226326361</v>
      </c>
      <c r="P71" s="72">
        <f t="shared" si="16"/>
        <v>4.2194705756695754</v>
      </c>
      <c r="Q71" s="72">
        <f t="shared" si="16"/>
        <v>4.5992229274798353</v>
      </c>
      <c r="R71" s="73"/>
      <c r="S71" s="73"/>
      <c r="T71" s="73"/>
    </row>
    <row r="72" spans="1:20" ht="16.149999999999999" x14ac:dyDescent="0.55000000000000004">
      <c r="A72" s="70" t="s">
        <v>71</v>
      </c>
      <c r="B72" s="6"/>
      <c r="C72" s="6"/>
      <c r="D72" s="6"/>
      <c r="E72" s="6"/>
      <c r="F72" s="6"/>
      <c r="G72" s="68" t="s">
        <v>30</v>
      </c>
      <c r="H72" s="72">
        <f t="shared" ref="H72:Q72" si="17">H71/(1+discount_rate)^H48</f>
        <v>2.1176100000000053</v>
      </c>
      <c r="I72" s="72">
        <f t="shared" si="17"/>
        <v>2.1372175000000047</v>
      </c>
      <c r="J72" s="72">
        <f t="shared" si="17"/>
        <v>2.1570065509259271</v>
      </c>
      <c r="K72" s="72">
        <f t="shared" si="17"/>
        <v>2.176978833804875</v>
      </c>
      <c r="L72" s="72">
        <f t="shared" si="17"/>
        <v>2.1971360452289947</v>
      </c>
      <c r="M72" s="72">
        <f t="shared" si="17"/>
        <v>2.2174798974996244</v>
      </c>
      <c r="N72" s="72">
        <f t="shared" si="17"/>
        <v>2.2380121187727755</v>
      </c>
      <c r="O72" s="72">
        <f t="shared" si="17"/>
        <v>2.2587344532058555</v>
      </c>
      <c r="P72" s="72">
        <f t="shared" si="17"/>
        <v>2.2796486611059112</v>
      </c>
      <c r="Q72" s="72">
        <f t="shared" si="17"/>
        <v>2.3007565190791128</v>
      </c>
      <c r="R72" s="73"/>
      <c r="S72" s="73"/>
      <c r="T72" s="73"/>
    </row>
    <row r="73" spans="1:20" ht="16.149999999999999" x14ac:dyDescent="0.55000000000000004">
      <c r="A73" s="70"/>
      <c r="B73" s="6"/>
      <c r="C73" s="6"/>
      <c r="D73" s="6"/>
      <c r="E73" s="6"/>
      <c r="F73" s="6"/>
      <c r="G73" s="68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3"/>
      <c r="S73" s="73"/>
      <c r="T73" s="73"/>
    </row>
    <row r="74" spans="1:20" x14ac:dyDescent="0.45">
      <c r="A74" s="6"/>
      <c r="B74" s="6"/>
      <c r="C74" s="6"/>
      <c r="D74" s="6"/>
      <c r="E74" s="6"/>
      <c r="F74" s="6"/>
      <c r="G74" s="6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</row>
    <row r="75" spans="1:20" ht="16.149999999999999" x14ac:dyDescent="0.55000000000000004">
      <c r="A75" s="70" t="s">
        <v>72</v>
      </c>
      <c r="B75" s="67"/>
      <c r="C75" s="67"/>
      <c r="D75" s="6"/>
      <c r="E75" s="6"/>
      <c r="F75" s="6"/>
      <c r="G75" s="68" t="s">
        <v>73</v>
      </c>
      <c r="H75" s="74">
        <f>SUM(H72:Q72)</f>
        <v>22.080580579623085</v>
      </c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</row>
    <row r="76" spans="1:20" x14ac:dyDescent="0.45">
      <c r="A76" s="6"/>
      <c r="B76" s="6"/>
      <c r="C76" s="6"/>
      <c r="D76" s="6"/>
      <c r="E76" s="6"/>
      <c r="F76" s="6"/>
      <c r="G76" s="6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</row>
    <row r="77" spans="1:20" x14ac:dyDescent="0.45">
      <c r="A77" s="6" t="s">
        <v>74</v>
      </c>
      <c r="B77" s="6"/>
      <c r="C77" s="6"/>
      <c r="D77" s="6"/>
      <c r="E77" s="6"/>
      <c r="F77" s="6"/>
      <c r="G77" s="6"/>
      <c r="H77" s="76">
        <f>-EXP(-H75/risk_tol)</f>
        <v>-0.47901692285023123</v>
      </c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</row>
    <row r="78" spans="1:20" x14ac:dyDescent="0.45">
      <c r="A78" s="6"/>
      <c r="B78" s="6"/>
      <c r="C78" s="6"/>
      <c r="D78" s="6"/>
      <c r="E78" s="6"/>
      <c r="F78" s="6"/>
      <c r="G78" s="6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</row>
    <row r="79" spans="1:20" x14ac:dyDescent="0.45">
      <c r="A79" s="6"/>
      <c r="B79" s="6"/>
      <c r="C79" s="6"/>
      <c r="D79" s="6"/>
      <c r="E79" s="6"/>
      <c r="F79" s="6"/>
      <c r="G79" s="10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</row>
    <row r="80" spans="1:20" x14ac:dyDescent="0.45">
      <c r="A80" s="6"/>
      <c r="B80" s="6"/>
      <c r="C80" s="6"/>
      <c r="D80" s="6"/>
      <c r="E80" s="6"/>
      <c r="F80" s="6"/>
      <c r="G80" s="6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</row>
    <row r="81" spans="1:20" x14ac:dyDescent="0.45">
      <c r="A81" s="6"/>
      <c r="B81" s="6"/>
      <c r="C81" s="6"/>
      <c r="D81" s="6"/>
      <c r="E81" s="6"/>
      <c r="F81" s="6"/>
      <c r="G81" s="6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</row>
    <row r="82" spans="1:20" x14ac:dyDescent="0.45">
      <c r="A82" s="6"/>
      <c r="B82" s="78"/>
      <c r="C82" s="6"/>
      <c r="D82" s="6"/>
      <c r="E82" s="6"/>
      <c r="F82" s="6"/>
      <c r="G82" s="6"/>
      <c r="H82" s="79"/>
      <c r="I82" s="79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</row>
    <row r="83" spans="1:20" x14ac:dyDescent="0.45">
      <c r="A83" s="78"/>
      <c r="B83" s="6"/>
      <c r="C83" s="6"/>
      <c r="D83" s="6"/>
      <c r="E83" s="6"/>
      <c r="F83" s="6"/>
      <c r="G83" s="6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</row>
    <row r="84" spans="1:20" x14ac:dyDescent="0.45">
      <c r="A84" s="6"/>
      <c r="B84" s="6"/>
      <c r="C84" s="6"/>
      <c r="D84" s="6"/>
      <c r="E84" s="6"/>
      <c r="F84" s="6"/>
      <c r="G84" s="6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</row>
    <row r="85" spans="1:20" x14ac:dyDescent="0.45">
      <c r="A85" s="6"/>
      <c r="B85" s="6"/>
      <c r="C85" s="6"/>
      <c r="D85" s="6"/>
      <c r="E85" s="6"/>
      <c r="F85" s="6"/>
      <c r="G85" s="6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</row>
    <row r="86" spans="1:20" x14ac:dyDescent="0.45">
      <c r="A86" s="6"/>
      <c r="B86" s="81"/>
      <c r="C86" s="6"/>
      <c r="D86" s="6"/>
      <c r="E86" s="6"/>
      <c r="F86" s="6"/>
      <c r="G86" s="6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</row>
    <row r="87" spans="1:20" x14ac:dyDescent="0.45">
      <c r="A87" s="6"/>
      <c r="B87" s="81"/>
      <c r="C87" s="6"/>
      <c r="D87" s="6"/>
      <c r="E87" s="6"/>
      <c r="F87" s="6"/>
      <c r="G87" s="6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</row>
    <row r="88" spans="1:20" x14ac:dyDescent="0.45">
      <c r="A88" s="6"/>
      <c r="B88" s="81"/>
      <c r="C88" s="6"/>
      <c r="D88" s="6"/>
      <c r="E88" s="6"/>
      <c r="F88" s="6"/>
      <c r="G88" s="6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</row>
    <row r="89" spans="1:20" x14ac:dyDescent="0.45">
      <c r="A89" s="6"/>
      <c r="B89" s="6"/>
      <c r="C89" s="6"/>
      <c r="D89" s="6"/>
      <c r="E89" s="6"/>
      <c r="F89" s="6"/>
      <c r="G89" s="6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</row>
    <row r="90" spans="1:20" x14ac:dyDescent="0.45">
      <c r="A90" s="6"/>
      <c r="B90" s="6"/>
      <c r="C90" s="6"/>
      <c r="D90" s="6"/>
      <c r="E90" s="6"/>
      <c r="F90" s="6"/>
      <c r="G90" s="6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</row>
    <row r="91" spans="1:20" x14ac:dyDescent="0.45">
      <c r="A91" s="6"/>
      <c r="B91" s="6"/>
      <c r="C91" s="6"/>
      <c r="D91" s="6"/>
      <c r="E91" s="6"/>
      <c r="F91" s="6"/>
      <c r="G91" s="6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</row>
    <row r="92" spans="1:20" x14ac:dyDescent="0.45">
      <c r="A92" s="6"/>
      <c r="B92" s="6"/>
      <c r="C92" s="6"/>
      <c r="D92" s="6"/>
      <c r="E92" s="6"/>
      <c r="F92" s="6"/>
      <c r="G92" s="82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</row>
    <row r="93" spans="1:20" x14ac:dyDescent="0.45">
      <c r="A93" s="6"/>
      <c r="B93" s="6"/>
      <c r="C93" s="6"/>
      <c r="D93" s="6"/>
      <c r="E93" s="6"/>
      <c r="F93" s="6"/>
      <c r="G93" s="6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</row>
    <row r="94" spans="1:20" x14ac:dyDescent="0.45">
      <c r="A94" s="6"/>
      <c r="B94" s="6"/>
      <c r="C94" s="6"/>
      <c r="D94" s="6"/>
      <c r="E94" s="6"/>
      <c r="F94" s="6"/>
      <c r="G94" s="6"/>
      <c r="H94" s="73"/>
      <c r="I94" s="8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</row>
    <row r="95" spans="1:20" x14ac:dyDescent="0.45">
      <c r="A95" s="6"/>
      <c r="B95" s="6"/>
      <c r="C95" s="6"/>
      <c r="D95" s="6"/>
      <c r="E95" s="6"/>
      <c r="F95" s="6"/>
      <c r="G95" s="6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</row>
    <row r="96" spans="1:20" x14ac:dyDescent="0.45">
      <c r="A96" s="78"/>
      <c r="B96" s="6"/>
      <c r="C96" s="6"/>
      <c r="D96" s="6"/>
      <c r="E96" s="6"/>
      <c r="F96" s="6"/>
      <c r="G96" s="6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</row>
    <row r="97" spans="1:20" x14ac:dyDescent="0.45">
      <c r="A97" s="5"/>
      <c r="B97" s="6"/>
      <c r="C97" s="6"/>
      <c r="D97" s="6"/>
      <c r="E97" s="6"/>
      <c r="F97" s="6"/>
      <c r="G97" s="6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</row>
    <row r="98" spans="1:20" x14ac:dyDescent="0.45">
      <c r="A98" s="6"/>
      <c r="B98" s="78"/>
      <c r="C98" s="6"/>
      <c r="D98" s="6"/>
      <c r="E98" s="6"/>
      <c r="F98" s="6"/>
      <c r="G98" s="6"/>
      <c r="H98" s="79"/>
      <c r="I98" s="79"/>
      <c r="J98" s="79"/>
      <c r="K98" s="77"/>
      <c r="L98" s="77"/>
      <c r="M98" s="77"/>
      <c r="N98" s="77"/>
      <c r="O98" s="77"/>
      <c r="P98" s="77"/>
      <c r="Q98" s="77"/>
      <c r="R98" s="77"/>
      <c r="S98" s="77"/>
      <c r="T98" s="77"/>
    </row>
    <row r="99" spans="1:20" x14ac:dyDescent="0.45">
      <c r="A99" s="78"/>
      <c r="B99" s="6"/>
      <c r="C99" s="6"/>
      <c r="D99" s="6"/>
      <c r="E99" s="6"/>
      <c r="F99" s="6"/>
      <c r="G99" s="6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</row>
    <row r="100" spans="1:20" x14ac:dyDescent="0.45">
      <c r="A100" s="78"/>
      <c r="B100" s="6"/>
      <c r="C100" s="6"/>
      <c r="D100" s="6"/>
      <c r="E100" s="6"/>
      <c r="F100" s="6"/>
      <c r="G100" s="6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</row>
    <row r="101" spans="1:20" x14ac:dyDescent="0.45">
      <c r="A101" s="6"/>
      <c r="B101" s="6"/>
      <c r="C101" s="6"/>
      <c r="D101" s="6"/>
      <c r="E101" s="6"/>
      <c r="F101" s="6"/>
      <c r="G101" s="84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</row>
    <row r="102" spans="1:20" x14ac:dyDescent="0.45">
      <c r="A102" s="6"/>
      <c r="B102" s="6"/>
      <c r="C102" s="6"/>
      <c r="D102" s="6"/>
      <c r="E102" s="6"/>
      <c r="F102" s="6"/>
      <c r="G102" s="6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</row>
    <row r="103" spans="1:20" x14ac:dyDescent="0.45">
      <c r="A103" s="6"/>
      <c r="B103" s="6"/>
      <c r="C103" s="6"/>
      <c r="D103" s="6"/>
      <c r="E103" s="6"/>
      <c r="F103" s="6"/>
      <c r="G103" s="6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</row>
    <row r="104" spans="1:20" x14ac:dyDescent="0.45">
      <c r="A104" s="6"/>
      <c r="B104" s="6"/>
      <c r="C104" s="6"/>
      <c r="D104" s="6"/>
      <c r="E104" s="6"/>
      <c r="F104" s="6"/>
      <c r="G104" s="6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</row>
    <row r="105" spans="1:20" x14ac:dyDescent="0.45">
      <c r="A105" s="6"/>
      <c r="B105" s="6"/>
      <c r="C105" s="6"/>
      <c r="D105" s="6"/>
      <c r="E105" s="6"/>
      <c r="F105" s="6"/>
      <c r="G105" s="6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</row>
    <row r="106" spans="1:20" x14ac:dyDescent="0.45">
      <c r="A106" s="6"/>
      <c r="B106" s="6"/>
      <c r="C106" s="6"/>
      <c r="D106" s="6"/>
      <c r="E106" s="6"/>
      <c r="F106" s="6"/>
      <c r="G106" s="6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</row>
    <row r="107" spans="1:20" x14ac:dyDescent="0.45">
      <c r="A107" s="6"/>
      <c r="B107" s="6"/>
      <c r="C107" s="6"/>
      <c r="D107" s="6"/>
      <c r="E107" s="6"/>
      <c r="F107" s="6"/>
      <c r="G107" s="6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</row>
    <row r="108" spans="1:20" x14ac:dyDescent="0.45">
      <c r="A108" s="6"/>
      <c r="B108" s="6"/>
      <c r="C108" s="6"/>
      <c r="D108" s="6"/>
      <c r="E108" s="6"/>
      <c r="F108" s="6"/>
      <c r="G108" s="6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</row>
    <row r="109" spans="1:20" x14ac:dyDescent="0.45">
      <c r="A109" s="6"/>
      <c r="B109" s="6"/>
      <c r="C109" s="6"/>
      <c r="D109" s="6"/>
      <c r="E109" s="6"/>
      <c r="F109" s="6"/>
      <c r="G109" s="6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</row>
    <row r="110" spans="1:20" x14ac:dyDescent="0.45">
      <c r="A110" s="6"/>
      <c r="B110" s="6"/>
      <c r="C110" s="6"/>
      <c r="D110" s="6"/>
      <c r="E110" s="6"/>
      <c r="F110" s="6"/>
      <c r="G110" s="6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</row>
    <row r="111" spans="1:20" x14ac:dyDescent="0.45">
      <c r="A111" s="6"/>
      <c r="B111" s="6"/>
      <c r="C111" s="6"/>
      <c r="D111" s="6"/>
      <c r="E111" s="6"/>
      <c r="F111" s="6"/>
      <c r="G111" s="6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</row>
    <row r="112" spans="1:20" x14ac:dyDescent="0.45">
      <c r="A112" s="6"/>
      <c r="B112" s="6"/>
      <c r="C112" s="6"/>
      <c r="D112" s="6"/>
      <c r="E112" s="6"/>
      <c r="F112" s="6"/>
      <c r="G112" s="6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</row>
    <row r="113" spans="1:20" x14ac:dyDescent="0.45">
      <c r="A113" s="6"/>
      <c r="B113" s="6"/>
      <c r="C113" s="6"/>
      <c r="D113" s="6"/>
      <c r="E113" s="6"/>
      <c r="F113" s="6"/>
      <c r="G113" s="6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</row>
    <row r="114" spans="1:20" x14ac:dyDescent="0.45">
      <c r="A114" s="6"/>
      <c r="B114" s="6"/>
      <c r="C114" s="6"/>
      <c r="D114" s="6"/>
      <c r="E114" s="6"/>
      <c r="F114" s="6"/>
      <c r="G114" s="6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</row>
    <row r="115" spans="1:20" x14ac:dyDescent="0.45">
      <c r="A115" s="6"/>
      <c r="B115" s="6"/>
      <c r="C115" s="6"/>
      <c r="D115" s="6"/>
      <c r="E115" s="6"/>
      <c r="F115" s="6"/>
      <c r="G115" s="6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</row>
    <row r="116" spans="1:20" x14ac:dyDescent="0.45">
      <c r="A116" s="6"/>
      <c r="B116" s="6"/>
      <c r="C116" s="6"/>
      <c r="D116" s="6"/>
      <c r="E116" s="6"/>
      <c r="F116" s="6"/>
      <c r="G116" s="6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</row>
    <row r="117" spans="1:20" x14ac:dyDescent="0.45">
      <c r="A117" s="6"/>
      <c r="B117" s="6"/>
      <c r="C117" s="6"/>
      <c r="D117" s="6"/>
      <c r="E117" s="6"/>
      <c r="F117" s="6"/>
      <c r="G117" s="6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</row>
    <row r="118" spans="1:20" x14ac:dyDescent="0.45">
      <c r="A118" s="6"/>
      <c r="B118" s="6"/>
      <c r="C118" s="6"/>
      <c r="D118" s="6"/>
      <c r="E118" s="6"/>
      <c r="F118" s="6"/>
      <c r="G118" s="6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</row>
    <row r="119" spans="1:20" x14ac:dyDescent="0.45">
      <c r="A119" s="6"/>
      <c r="B119" s="6"/>
      <c r="C119" s="6"/>
      <c r="D119" s="6"/>
      <c r="E119" s="6"/>
      <c r="F119" s="6"/>
      <c r="G119" s="10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</row>
    <row r="120" spans="1:20" x14ac:dyDescent="0.45">
      <c r="A120" s="6"/>
      <c r="B120" s="6"/>
      <c r="C120" s="6"/>
      <c r="D120" s="6"/>
      <c r="E120" s="6"/>
      <c r="F120" s="6"/>
      <c r="G120" s="6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</row>
    <row r="121" spans="1:20" x14ac:dyDescent="0.45">
      <c r="A121" s="6"/>
      <c r="B121" s="6"/>
      <c r="C121" s="6"/>
      <c r="D121" s="6"/>
      <c r="E121" s="6"/>
      <c r="F121" s="6"/>
      <c r="G121" s="6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</row>
    <row r="122" spans="1:20" x14ac:dyDescent="0.45">
      <c r="A122" s="6"/>
      <c r="B122" s="78"/>
      <c r="C122" s="6"/>
      <c r="D122" s="6"/>
      <c r="E122" s="6"/>
      <c r="F122" s="6"/>
      <c r="G122" s="6"/>
      <c r="H122" s="79"/>
      <c r="I122" s="79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</row>
    <row r="123" spans="1:20" x14ac:dyDescent="0.45">
      <c r="A123" s="78"/>
      <c r="B123" s="6"/>
      <c r="C123" s="6"/>
      <c r="D123" s="6"/>
      <c r="E123" s="6"/>
      <c r="F123" s="6"/>
      <c r="G123" s="6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0"/>
      <c r="S123" s="80"/>
      <c r="T123" s="80"/>
    </row>
    <row r="124" spans="1:20" x14ac:dyDescent="0.45">
      <c r="A124" s="6"/>
      <c r="B124" s="6"/>
      <c r="C124" s="6"/>
      <c r="D124" s="6"/>
      <c r="E124" s="6"/>
      <c r="F124" s="6"/>
      <c r="G124" s="6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</row>
    <row r="125" spans="1:20" x14ac:dyDescent="0.45">
      <c r="A125" s="6"/>
      <c r="B125" s="6"/>
      <c r="C125" s="6"/>
      <c r="D125" s="6"/>
      <c r="E125" s="6"/>
      <c r="F125" s="6"/>
      <c r="G125" s="6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</row>
    <row r="126" spans="1:20" x14ac:dyDescent="0.45">
      <c r="A126" s="6"/>
      <c r="B126" s="81"/>
      <c r="C126" s="6"/>
      <c r="D126" s="6"/>
      <c r="E126" s="6"/>
      <c r="F126" s="6"/>
      <c r="G126" s="6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</row>
    <row r="127" spans="1:20" x14ac:dyDescent="0.45">
      <c r="A127" s="6"/>
      <c r="B127" s="81"/>
      <c r="C127" s="6"/>
      <c r="D127" s="6"/>
      <c r="E127" s="6"/>
      <c r="F127" s="6"/>
      <c r="G127" s="6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</row>
    <row r="128" spans="1:20" x14ac:dyDescent="0.45">
      <c r="A128" s="6"/>
      <c r="B128" s="81"/>
      <c r="C128" s="6"/>
      <c r="D128" s="6"/>
      <c r="E128" s="6"/>
      <c r="F128" s="6"/>
      <c r="G128" s="6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</row>
    <row r="129" spans="1:20" x14ac:dyDescent="0.45">
      <c r="A129" s="6"/>
      <c r="B129" s="6"/>
      <c r="C129" s="6"/>
      <c r="D129" s="6"/>
      <c r="E129" s="6"/>
      <c r="F129" s="6"/>
      <c r="G129" s="6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</row>
    <row r="130" spans="1:20" x14ac:dyDescent="0.45">
      <c r="A130" s="6"/>
      <c r="B130" s="6"/>
      <c r="C130" s="6"/>
      <c r="D130" s="6"/>
      <c r="E130" s="6"/>
      <c r="F130" s="6"/>
      <c r="G130" s="6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</row>
    <row r="131" spans="1:20" x14ac:dyDescent="0.45">
      <c r="A131" s="6"/>
      <c r="B131" s="6"/>
      <c r="C131" s="6"/>
      <c r="D131" s="6"/>
      <c r="E131" s="6"/>
      <c r="F131" s="6"/>
      <c r="G131" s="6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</row>
    <row r="132" spans="1:20" x14ac:dyDescent="0.45">
      <c r="A132" s="6"/>
      <c r="B132" s="6"/>
      <c r="C132" s="6"/>
      <c r="D132" s="6"/>
      <c r="E132" s="6"/>
      <c r="F132" s="6"/>
      <c r="G132" s="82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</row>
    <row r="133" spans="1:20" x14ac:dyDescent="0.45">
      <c r="A133" s="6"/>
      <c r="B133" s="6"/>
      <c r="C133" s="6"/>
      <c r="D133" s="6"/>
      <c r="E133" s="6"/>
      <c r="F133" s="6"/>
      <c r="G133" s="6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</row>
    <row r="134" spans="1:20" x14ac:dyDescent="0.45">
      <c r="A134" s="6"/>
      <c r="B134" s="6"/>
      <c r="C134" s="6"/>
      <c r="D134" s="6"/>
      <c r="E134" s="6"/>
      <c r="F134" s="6"/>
      <c r="G134" s="6"/>
      <c r="H134" s="73"/>
      <c r="I134" s="8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</row>
    <row r="135" spans="1:20" x14ac:dyDescent="0.45">
      <c r="A135" s="6"/>
      <c r="B135" s="6"/>
      <c r="C135" s="6"/>
      <c r="D135" s="6"/>
      <c r="E135" s="6"/>
      <c r="F135" s="6"/>
      <c r="G135" s="6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</row>
    <row r="136" spans="1:20" x14ac:dyDescent="0.45">
      <c r="A136" s="78"/>
      <c r="B136" s="6"/>
      <c r="C136" s="6"/>
      <c r="D136" s="6"/>
      <c r="E136" s="6"/>
      <c r="F136" s="6"/>
      <c r="G136" s="6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</row>
    <row r="137" spans="1:20" x14ac:dyDescent="0.45">
      <c r="A137" s="5"/>
      <c r="B137" s="6"/>
      <c r="C137" s="6"/>
      <c r="D137" s="6"/>
      <c r="E137" s="6"/>
      <c r="F137" s="6"/>
      <c r="G137" s="6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</row>
    <row r="138" spans="1:20" x14ac:dyDescent="0.45">
      <c r="A138" s="6"/>
      <c r="B138" s="78"/>
      <c r="C138" s="6"/>
      <c r="D138" s="6"/>
      <c r="E138" s="6"/>
      <c r="F138" s="6"/>
      <c r="G138" s="6"/>
      <c r="H138" s="79"/>
      <c r="I138" s="79"/>
      <c r="J138" s="79"/>
      <c r="K138" s="77"/>
      <c r="L138" s="77"/>
      <c r="M138" s="77"/>
      <c r="N138" s="77"/>
      <c r="O138" s="77"/>
      <c r="P138" s="77"/>
      <c r="Q138" s="77"/>
      <c r="R138" s="77"/>
      <c r="S138" s="77"/>
      <c r="T138" s="77"/>
    </row>
    <row r="139" spans="1:20" x14ac:dyDescent="0.45">
      <c r="A139" s="78"/>
      <c r="B139" s="6"/>
      <c r="C139" s="6"/>
      <c r="D139" s="6"/>
      <c r="E139" s="6"/>
      <c r="F139" s="6"/>
      <c r="G139" s="6"/>
      <c r="H139" s="80"/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80"/>
    </row>
    <row r="140" spans="1:20" x14ac:dyDescent="0.45">
      <c r="A140" s="78"/>
      <c r="B140" s="6"/>
      <c r="C140" s="6"/>
      <c r="D140" s="6"/>
      <c r="E140" s="6"/>
      <c r="F140" s="6"/>
      <c r="G140" s="6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</row>
    <row r="141" spans="1:20" x14ac:dyDescent="0.45">
      <c r="A141" s="6"/>
      <c r="B141" s="6"/>
      <c r="C141" s="6"/>
      <c r="D141" s="6"/>
      <c r="E141" s="6"/>
      <c r="F141" s="6"/>
      <c r="G141" s="84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</row>
    <row r="142" spans="1:20" x14ac:dyDescent="0.45">
      <c r="A142" s="6"/>
      <c r="B142" s="6"/>
      <c r="C142" s="6"/>
      <c r="D142" s="6"/>
      <c r="E142" s="6"/>
      <c r="F142" s="6"/>
      <c r="G142" s="6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</row>
    <row r="143" spans="1:20" x14ac:dyDescent="0.45">
      <c r="A143" s="6"/>
      <c r="B143" s="6"/>
      <c r="C143" s="6"/>
      <c r="D143" s="6"/>
      <c r="E143" s="6"/>
      <c r="F143" s="6"/>
      <c r="G143" s="6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</row>
    <row r="144" spans="1:20" x14ac:dyDescent="0.45">
      <c r="A144" s="6"/>
      <c r="B144" s="6"/>
      <c r="C144" s="6"/>
      <c r="D144" s="6"/>
      <c r="E144" s="6"/>
      <c r="F144" s="6"/>
      <c r="G144" s="6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</row>
    <row r="145" spans="1:20" x14ac:dyDescent="0.45">
      <c r="A145" s="6"/>
      <c r="B145" s="6"/>
      <c r="C145" s="6"/>
      <c r="D145" s="6"/>
      <c r="E145" s="6"/>
      <c r="F145" s="6"/>
      <c r="G145" s="6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</row>
    <row r="146" spans="1:20" x14ac:dyDescent="0.45">
      <c r="A146" s="6"/>
      <c r="B146" s="6"/>
      <c r="C146" s="6"/>
      <c r="D146" s="6"/>
      <c r="E146" s="6"/>
      <c r="F146" s="6"/>
      <c r="G146" s="6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</row>
    <row r="147" spans="1:20" x14ac:dyDescent="0.45">
      <c r="A147" s="6"/>
      <c r="B147" s="6"/>
      <c r="C147" s="6"/>
      <c r="D147" s="6"/>
      <c r="E147" s="6"/>
      <c r="F147" s="6"/>
      <c r="G147" s="6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</row>
    <row r="148" spans="1:20" x14ac:dyDescent="0.45">
      <c r="A148" s="6"/>
      <c r="B148" s="6"/>
      <c r="C148" s="6"/>
      <c r="D148" s="6"/>
      <c r="E148" s="6"/>
      <c r="F148" s="6"/>
      <c r="G148" s="6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</row>
    <row r="149" spans="1:20" x14ac:dyDescent="0.45">
      <c r="A149" s="6"/>
      <c r="B149" s="6"/>
      <c r="C149" s="6"/>
      <c r="D149" s="6"/>
      <c r="E149" s="6"/>
      <c r="F149" s="6"/>
      <c r="G149" s="6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</row>
    <row r="150" spans="1:20" x14ac:dyDescent="0.45">
      <c r="A150" s="6"/>
      <c r="B150" s="6"/>
      <c r="C150" s="6"/>
      <c r="D150" s="6"/>
      <c r="E150" s="6"/>
      <c r="F150" s="6"/>
      <c r="G150" s="6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</row>
    <row r="151" spans="1:20" x14ac:dyDescent="0.45">
      <c r="A151" s="6"/>
      <c r="B151" s="6"/>
      <c r="C151" s="6"/>
      <c r="D151" s="6"/>
      <c r="E151" s="6"/>
      <c r="F151" s="6"/>
      <c r="G151" s="6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</row>
    <row r="152" spans="1:20" x14ac:dyDescent="0.45">
      <c r="A152" s="6"/>
      <c r="B152" s="6"/>
      <c r="C152" s="6"/>
      <c r="D152" s="6"/>
      <c r="E152" s="6"/>
      <c r="F152" s="6"/>
      <c r="G152" s="6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</row>
    <row r="153" spans="1:20" x14ac:dyDescent="0.45">
      <c r="A153" s="6"/>
      <c r="B153" s="6"/>
      <c r="C153" s="6"/>
      <c r="D153" s="6"/>
      <c r="E153" s="6"/>
      <c r="F153" s="6"/>
      <c r="G153" s="6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</row>
    <row r="154" spans="1:20" x14ac:dyDescent="0.45">
      <c r="A154" s="6"/>
      <c r="B154" s="6"/>
      <c r="C154" s="6"/>
      <c r="D154" s="6"/>
      <c r="E154" s="6"/>
      <c r="F154" s="6"/>
      <c r="G154" s="6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</row>
    <row r="155" spans="1:20" x14ac:dyDescent="0.45">
      <c r="A155" s="6"/>
      <c r="B155" s="6"/>
      <c r="C155" s="6"/>
      <c r="D155" s="6"/>
      <c r="E155" s="6"/>
      <c r="F155" s="6"/>
      <c r="G155" s="6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</row>
    <row r="156" spans="1:20" x14ac:dyDescent="0.45">
      <c r="A156" s="6"/>
      <c r="B156" s="6"/>
      <c r="C156" s="6"/>
      <c r="D156" s="6"/>
      <c r="E156" s="6"/>
      <c r="F156" s="6"/>
      <c r="G156" s="6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</row>
    <row r="157" spans="1:20" x14ac:dyDescent="0.45">
      <c r="A157" s="6"/>
      <c r="B157" s="6"/>
      <c r="C157" s="6"/>
      <c r="D157" s="6"/>
      <c r="E157" s="6"/>
      <c r="F157" s="6"/>
      <c r="G157" s="6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</row>
    <row r="158" spans="1:20" x14ac:dyDescent="0.45">
      <c r="A158" s="6"/>
      <c r="B158" s="6"/>
      <c r="C158" s="6"/>
      <c r="D158" s="6"/>
      <c r="E158" s="6"/>
      <c r="F158" s="6"/>
      <c r="G158" s="6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</row>
    <row r="159" spans="1:20" x14ac:dyDescent="0.45">
      <c r="A159" s="6"/>
      <c r="B159" s="6"/>
      <c r="C159" s="6"/>
      <c r="D159" s="6"/>
      <c r="E159" s="6"/>
      <c r="F159" s="6"/>
      <c r="G159" s="10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</row>
    <row r="160" spans="1:20" x14ac:dyDescent="0.45">
      <c r="A160" s="6"/>
      <c r="B160" s="6"/>
      <c r="C160" s="6"/>
      <c r="D160" s="6"/>
      <c r="E160" s="6"/>
      <c r="F160" s="6"/>
      <c r="G160" s="6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</row>
    <row r="161" spans="1:20" x14ac:dyDescent="0.4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45">
      <c r="A162" s="6"/>
      <c r="B162" s="78"/>
      <c r="C162" s="6"/>
      <c r="D162" s="6"/>
      <c r="E162" s="6"/>
      <c r="F162" s="6"/>
      <c r="G162" s="6"/>
      <c r="H162" s="81"/>
      <c r="I162" s="81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45">
      <c r="A163" s="78"/>
      <c r="B163" s="6"/>
      <c r="C163" s="6"/>
      <c r="D163" s="6"/>
      <c r="E163" s="6"/>
      <c r="F163" s="6"/>
      <c r="G163" s="6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</row>
    <row r="164" spans="1:20" x14ac:dyDescent="0.45">
      <c r="A164" s="6"/>
      <c r="B164" s="6"/>
      <c r="C164" s="6"/>
      <c r="D164" s="6"/>
      <c r="E164" s="6"/>
      <c r="F164" s="6"/>
      <c r="G164" s="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</row>
    <row r="165" spans="1:20" x14ac:dyDescent="0.45">
      <c r="A165" s="6"/>
      <c r="B165" s="6"/>
      <c r="C165" s="6"/>
      <c r="D165" s="6"/>
      <c r="E165" s="6"/>
      <c r="F165" s="6"/>
      <c r="G165" s="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</row>
    <row r="166" spans="1:20" x14ac:dyDescent="0.45">
      <c r="A166" s="6"/>
      <c r="B166" s="81"/>
      <c r="C166" s="6"/>
      <c r="D166" s="6"/>
      <c r="E166" s="6"/>
      <c r="F166" s="6"/>
      <c r="G166" s="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</row>
    <row r="167" spans="1:20" x14ac:dyDescent="0.45">
      <c r="A167" s="6"/>
      <c r="B167" s="81"/>
      <c r="C167" s="6"/>
      <c r="D167" s="6"/>
      <c r="E167" s="6"/>
      <c r="F167" s="6"/>
      <c r="G167" s="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</row>
    <row r="168" spans="1:20" x14ac:dyDescent="0.45">
      <c r="A168" s="6"/>
      <c r="B168" s="81"/>
      <c r="C168" s="6"/>
      <c r="D168" s="6"/>
      <c r="E168" s="6"/>
      <c r="F168" s="6"/>
      <c r="G168" s="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</row>
    <row r="169" spans="1:20" x14ac:dyDescent="0.45">
      <c r="A169" s="6"/>
      <c r="B169" s="6"/>
      <c r="C169" s="6"/>
      <c r="D169" s="6"/>
      <c r="E169" s="6"/>
      <c r="F169" s="6"/>
      <c r="G169" s="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</row>
    <row r="170" spans="1:20" x14ac:dyDescent="0.45">
      <c r="A170" s="6"/>
      <c r="B170" s="6"/>
      <c r="C170" s="6"/>
      <c r="D170" s="6"/>
      <c r="E170" s="6"/>
      <c r="F170" s="6"/>
      <c r="G170" s="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</row>
    <row r="171" spans="1:20" x14ac:dyDescent="0.45">
      <c r="A171" s="6"/>
      <c r="B171" s="6"/>
      <c r="C171" s="6"/>
      <c r="D171" s="6"/>
      <c r="E171" s="6"/>
      <c r="F171" s="6"/>
      <c r="G171" s="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</row>
    <row r="172" spans="1:20" x14ac:dyDescent="0.45">
      <c r="A172" s="6"/>
      <c r="B172" s="6"/>
      <c r="C172" s="6"/>
      <c r="D172" s="6"/>
      <c r="E172" s="6"/>
      <c r="F172" s="6"/>
      <c r="G172" s="82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</row>
    <row r="173" spans="1:20" x14ac:dyDescent="0.45">
      <c r="A173" s="6"/>
      <c r="B173" s="6"/>
      <c r="C173" s="6"/>
      <c r="D173" s="6"/>
      <c r="E173" s="6"/>
      <c r="F173" s="6"/>
      <c r="G173" s="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</row>
    <row r="174" spans="1:20" x14ac:dyDescent="0.45">
      <c r="A174" s="6"/>
      <c r="B174" s="6"/>
      <c r="C174" s="6"/>
      <c r="D174" s="6"/>
      <c r="E174" s="6"/>
      <c r="F174" s="6"/>
      <c r="G174" s="6"/>
      <c r="H174" s="86"/>
      <c r="I174" s="87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</row>
    <row r="175" spans="1:20" x14ac:dyDescent="0.45">
      <c r="A175" s="6"/>
      <c r="B175" s="6"/>
      <c r="C175" s="6"/>
      <c r="D175" s="6"/>
      <c r="E175" s="6"/>
      <c r="F175" s="6"/>
      <c r="G175" s="6"/>
      <c r="H175" s="86"/>
      <c r="I175" s="87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</row>
    <row r="176" spans="1:20" x14ac:dyDescent="0.45">
      <c r="A176" s="78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45">
      <c r="A177" s="5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45">
      <c r="A178" s="6"/>
      <c r="B178" s="78"/>
      <c r="C178" s="6"/>
      <c r="D178" s="6"/>
      <c r="E178" s="6"/>
      <c r="F178" s="6"/>
      <c r="G178" s="6"/>
      <c r="H178" s="81"/>
      <c r="I178" s="81"/>
      <c r="J178" s="81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45">
      <c r="A179" s="78"/>
      <c r="B179" s="6"/>
      <c r="C179" s="6"/>
      <c r="D179" s="6"/>
      <c r="E179" s="6"/>
      <c r="F179" s="6"/>
      <c r="G179" s="6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</row>
    <row r="180" spans="1:20" x14ac:dyDescent="0.45">
      <c r="A180" s="78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45">
      <c r="A181" s="6"/>
      <c r="B181" s="6"/>
      <c r="C181" s="6"/>
      <c r="D181" s="6"/>
      <c r="E181" s="6"/>
      <c r="F181" s="6"/>
      <c r="G181" s="84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</row>
    <row r="182" spans="1:20" x14ac:dyDescent="0.4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4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45">
      <c r="A184" s="6"/>
      <c r="B184" s="6"/>
      <c r="C184" s="6"/>
      <c r="D184" s="6"/>
      <c r="E184" s="6"/>
      <c r="F184" s="6"/>
      <c r="G184" s="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</row>
    <row r="185" spans="1:20" x14ac:dyDescent="0.45">
      <c r="A185" s="6"/>
      <c r="B185" s="6"/>
      <c r="C185" s="6"/>
      <c r="D185" s="6"/>
      <c r="E185" s="6"/>
      <c r="F185" s="6"/>
      <c r="G185" s="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</row>
    <row r="186" spans="1:20" x14ac:dyDescent="0.45">
      <c r="A186" s="6"/>
      <c r="B186" s="6"/>
      <c r="C186" s="6"/>
      <c r="D186" s="6"/>
      <c r="E186" s="6"/>
      <c r="F186" s="6"/>
      <c r="G186" s="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</row>
    <row r="187" spans="1:20" x14ac:dyDescent="0.4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45">
      <c r="A188" s="6"/>
      <c r="B188" s="6"/>
      <c r="C188" s="6"/>
      <c r="D188" s="6"/>
      <c r="E188" s="6"/>
      <c r="F188" s="6"/>
      <c r="G188" s="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</row>
    <row r="189" spans="1:20" x14ac:dyDescent="0.4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4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45">
      <c r="A191" s="6"/>
      <c r="B191" s="6"/>
      <c r="C191" s="6"/>
      <c r="D191" s="6"/>
      <c r="E191" s="6"/>
      <c r="F191" s="6"/>
      <c r="G191" s="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</row>
    <row r="192" spans="1:20" x14ac:dyDescent="0.45">
      <c r="A192" s="6"/>
      <c r="B192" s="6"/>
      <c r="C192" s="6"/>
      <c r="D192" s="6"/>
      <c r="E192" s="6"/>
      <c r="F192" s="6"/>
      <c r="G192" s="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</row>
    <row r="193" spans="1:20" x14ac:dyDescent="0.45">
      <c r="A193" s="6"/>
      <c r="B193" s="6"/>
      <c r="C193" s="6"/>
      <c r="D193" s="6"/>
      <c r="E193" s="6"/>
      <c r="F193" s="6"/>
      <c r="G193" s="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</row>
    <row r="194" spans="1:20" x14ac:dyDescent="0.45">
      <c r="A194" s="6"/>
      <c r="B194" s="6"/>
      <c r="C194" s="6"/>
      <c r="D194" s="6"/>
      <c r="E194" s="6"/>
      <c r="F194" s="6"/>
      <c r="G194" s="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</row>
    <row r="195" spans="1:20" x14ac:dyDescent="0.4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45">
      <c r="A196" s="6"/>
      <c r="B196" s="6"/>
      <c r="C196" s="6"/>
      <c r="D196" s="6"/>
      <c r="E196" s="6"/>
      <c r="F196" s="6"/>
      <c r="G196" s="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</row>
    <row r="197" spans="1:20" x14ac:dyDescent="0.45">
      <c r="A197" s="6"/>
      <c r="B197" s="6"/>
      <c r="C197" s="6"/>
      <c r="D197" s="6"/>
      <c r="E197" s="6"/>
      <c r="F197" s="6"/>
      <c r="G197" s="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</row>
    <row r="198" spans="1:20" x14ac:dyDescent="0.4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45">
      <c r="A199" s="6"/>
      <c r="B199" s="6"/>
      <c r="C199" s="6"/>
      <c r="D199" s="6"/>
      <c r="E199" s="6"/>
      <c r="F199" s="6"/>
      <c r="G199" s="10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</row>
    <row r="200" spans="1:20" x14ac:dyDescent="0.4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4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45">
      <c r="A202" s="6"/>
      <c r="B202" s="78"/>
      <c r="C202" s="6"/>
      <c r="D202" s="6"/>
      <c r="E202" s="6"/>
      <c r="F202" s="6"/>
      <c r="G202" s="6"/>
      <c r="H202" s="81"/>
      <c r="I202" s="81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45">
      <c r="A203" s="78"/>
      <c r="B203" s="6"/>
      <c r="C203" s="6"/>
      <c r="D203" s="6"/>
      <c r="E203" s="6"/>
      <c r="F203" s="6"/>
      <c r="G203" s="6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</row>
    <row r="204" spans="1:20" x14ac:dyDescent="0.45">
      <c r="A204" s="6"/>
      <c r="B204" s="6"/>
      <c r="C204" s="6"/>
      <c r="D204" s="6"/>
      <c r="E204" s="6"/>
      <c r="F204" s="6"/>
      <c r="G204" s="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</row>
    <row r="205" spans="1:20" x14ac:dyDescent="0.45">
      <c r="A205" s="6"/>
      <c r="B205" s="6"/>
      <c r="C205" s="6"/>
      <c r="D205" s="6"/>
      <c r="E205" s="6"/>
      <c r="F205" s="6"/>
      <c r="G205" s="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</row>
    <row r="206" spans="1:20" x14ac:dyDescent="0.45">
      <c r="A206" s="6"/>
      <c r="B206" s="81"/>
      <c r="C206" s="6"/>
      <c r="D206" s="6"/>
      <c r="E206" s="6"/>
      <c r="F206" s="6"/>
      <c r="G206" s="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</row>
    <row r="207" spans="1:20" x14ac:dyDescent="0.45">
      <c r="A207" s="6"/>
      <c r="B207" s="81"/>
      <c r="C207" s="6"/>
      <c r="D207" s="6"/>
      <c r="E207" s="6"/>
      <c r="F207" s="6"/>
      <c r="G207" s="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</row>
    <row r="208" spans="1:20" x14ac:dyDescent="0.45">
      <c r="A208" s="6"/>
      <c r="B208" s="81"/>
      <c r="C208" s="6"/>
      <c r="D208" s="6"/>
      <c r="E208" s="6"/>
      <c r="F208" s="6"/>
      <c r="G208" s="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</row>
    <row r="209" spans="1:20" x14ac:dyDescent="0.45">
      <c r="A209" s="6"/>
      <c r="B209" s="6"/>
      <c r="C209" s="6"/>
      <c r="D209" s="6"/>
      <c r="E209" s="6"/>
      <c r="F209" s="6"/>
      <c r="G209" s="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</row>
    <row r="210" spans="1:20" x14ac:dyDescent="0.45">
      <c r="A210" s="6"/>
      <c r="B210" s="6"/>
      <c r="C210" s="6"/>
      <c r="D210" s="6"/>
      <c r="E210" s="6"/>
      <c r="F210" s="6"/>
      <c r="G210" s="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</row>
    <row r="211" spans="1:20" x14ac:dyDescent="0.45">
      <c r="A211" s="6"/>
      <c r="B211" s="6"/>
      <c r="C211" s="6"/>
      <c r="D211" s="6"/>
      <c r="E211" s="6"/>
      <c r="F211" s="6"/>
      <c r="G211" s="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</row>
    <row r="212" spans="1:20" x14ac:dyDescent="0.45">
      <c r="A212" s="6"/>
      <c r="B212" s="6"/>
      <c r="C212" s="6"/>
      <c r="D212" s="6"/>
      <c r="E212" s="6"/>
      <c r="F212" s="6"/>
      <c r="G212" s="82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</row>
    <row r="213" spans="1:20" x14ac:dyDescent="0.45">
      <c r="A213" s="6"/>
      <c r="B213" s="6"/>
      <c r="C213" s="6"/>
      <c r="D213" s="6"/>
      <c r="E213" s="6"/>
      <c r="F213" s="6"/>
      <c r="G213" s="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</row>
    <row r="214" spans="1:20" x14ac:dyDescent="0.45">
      <c r="A214" s="6"/>
      <c r="B214" s="6"/>
      <c r="C214" s="6"/>
      <c r="D214" s="6"/>
      <c r="E214" s="6"/>
      <c r="F214" s="6"/>
      <c r="G214" s="6"/>
      <c r="H214" s="86"/>
      <c r="I214" s="87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</row>
    <row r="215" spans="1:20" x14ac:dyDescent="0.45">
      <c r="A215" s="6"/>
      <c r="B215" s="6"/>
      <c r="C215" s="6"/>
      <c r="D215" s="6"/>
      <c r="E215" s="6"/>
      <c r="F215" s="6"/>
      <c r="G215" s="6"/>
      <c r="H215" s="86"/>
      <c r="I215" s="87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</row>
    <row r="216" spans="1:20" x14ac:dyDescent="0.45">
      <c r="A216" s="78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45">
      <c r="A217" s="5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45">
      <c r="A218" s="6"/>
      <c r="B218" s="78"/>
      <c r="C218" s="6"/>
      <c r="D218" s="6"/>
      <c r="E218" s="6"/>
      <c r="F218" s="6"/>
      <c r="G218" s="6"/>
      <c r="H218" s="81"/>
      <c r="I218" s="81"/>
      <c r="J218" s="81"/>
      <c r="K218" s="6"/>
      <c r="L218" s="6"/>
      <c r="M218" s="6"/>
      <c r="N218" s="6"/>
      <c r="O218" s="6"/>
      <c r="P218" s="6"/>
      <c r="Q218" s="6"/>
      <c r="R218" s="6"/>
      <c r="S218" s="6"/>
      <c r="T218" s="6"/>
    </row>
    <row r="219" spans="1:20" x14ac:dyDescent="0.45">
      <c r="A219" s="78"/>
      <c r="B219" s="6"/>
      <c r="C219" s="6"/>
      <c r="D219" s="6"/>
      <c r="E219" s="6"/>
      <c r="F219" s="6"/>
      <c r="G219" s="6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</row>
    <row r="220" spans="1:20" x14ac:dyDescent="0.45">
      <c r="A220" s="78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</row>
    <row r="221" spans="1:20" x14ac:dyDescent="0.45">
      <c r="A221" s="6"/>
      <c r="B221" s="6"/>
      <c r="C221" s="6"/>
      <c r="D221" s="6"/>
      <c r="E221" s="6"/>
      <c r="F221" s="6"/>
      <c r="G221" s="84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</row>
    <row r="222" spans="1:20" x14ac:dyDescent="0.4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</row>
    <row r="223" spans="1:20" x14ac:dyDescent="0.4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</row>
    <row r="224" spans="1:20" x14ac:dyDescent="0.45">
      <c r="A224" s="6"/>
      <c r="B224" s="6"/>
      <c r="C224" s="6"/>
      <c r="D224" s="6"/>
      <c r="E224" s="6"/>
      <c r="F224" s="6"/>
      <c r="G224" s="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</row>
    <row r="225" spans="1:20" x14ac:dyDescent="0.45">
      <c r="A225" s="6"/>
      <c r="B225" s="6"/>
      <c r="C225" s="6"/>
      <c r="D225" s="6"/>
      <c r="E225" s="6"/>
      <c r="F225" s="6"/>
      <c r="G225" s="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</row>
    <row r="226" spans="1:20" x14ac:dyDescent="0.45">
      <c r="A226" s="6"/>
      <c r="B226" s="6"/>
      <c r="C226" s="6"/>
      <c r="D226" s="6"/>
      <c r="E226" s="6"/>
      <c r="F226" s="6"/>
      <c r="G226" s="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</row>
    <row r="227" spans="1:20" x14ac:dyDescent="0.4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</row>
    <row r="228" spans="1:20" x14ac:dyDescent="0.45">
      <c r="A228" s="6"/>
      <c r="B228" s="6"/>
      <c r="C228" s="6"/>
      <c r="D228" s="6"/>
      <c r="E228" s="6"/>
      <c r="F228" s="6"/>
      <c r="G228" s="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</row>
    <row r="229" spans="1:20" x14ac:dyDescent="0.4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</row>
    <row r="230" spans="1:20" x14ac:dyDescent="0.4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</row>
    <row r="231" spans="1:20" x14ac:dyDescent="0.45">
      <c r="A231" s="6"/>
      <c r="B231" s="6"/>
      <c r="C231" s="6"/>
      <c r="D231" s="6"/>
      <c r="E231" s="6"/>
      <c r="F231" s="6"/>
      <c r="G231" s="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</row>
    <row r="232" spans="1:20" x14ac:dyDescent="0.45">
      <c r="A232" s="6"/>
      <c r="B232" s="6"/>
      <c r="C232" s="6"/>
      <c r="D232" s="6"/>
      <c r="E232" s="6"/>
      <c r="F232" s="6"/>
      <c r="G232" s="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</row>
    <row r="233" spans="1:20" x14ac:dyDescent="0.45">
      <c r="A233" s="6"/>
      <c r="B233" s="6"/>
      <c r="C233" s="6"/>
      <c r="D233" s="6"/>
      <c r="E233" s="6"/>
      <c r="F233" s="6"/>
      <c r="G233" s="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</row>
    <row r="234" spans="1:20" x14ac:dyDescent="0.45">
      <c r="A234" s="6"/>
      <c r="B234" s="6"/>
      <c r="C234" s="6"/>
      <c r="D234" s="6"/>
      <c r="E234" s="6"/>
      <c r="F234" s="6"/>
      <c r="G234" s="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</row>
    <row r="235" spans="1:20" x14ac:dyDescent="0.4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</row>
    <row r="236" spans="1:20" x14ac:dyDescent="0.45">
      <c r="A236" s="6"/>
      <c r="B236" s="6"/>
      <c r="C236" s="6"/>
      <c r="D236" s="6"/>
      <c r="E236" s="6"/>
      <c r="F236" s="6"/>
      <c r="G236" s="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</row>
    <row r="237" spans="1:20" x14ac:dyDescent="0.45">
      <c r="A237" s="6"/>
      <c r="B237" s="6"/>
      <c r="C237" s="6"/>
      <c r="D237" s="6"/>
      <c r="E237" s="6"/>
      <c r="F237" s="6"/>
      <c r="G237" s="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</row>
    <row r="238" spans="1:20" x14ac:dyDescent="0.4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</row>
    <row r="239" spans="1:20" x14ac:dyDescent="0.45">
      <c r="A239" s="6"/>
      <c r="B239" s="6"/>
      <c r="C239" s="6"/>
      <c r="D239" s="6"/>
      <c r="E239" s="6"/>
      <c r="F239" s="6"/>
      <c r="G239" s="10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</row>
    <row r="240" spans="1:20" x14ac:dyDescent="0.4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</row>
    <row r="241" spans="1:20" x14ac:dyDescent="0.4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</row>
    <row r="242" spans="1:20" x14ac:dyDescent="0.45">
      <c r="A242" s="6"/>
      <c r="B242" s="78"/>
      <c r="C242" s="6"/>
      <c r="D242" s="6"/>
      <c r="E242" s="6"/>
      <c r="F242" s="6"/>
      <c r="G242" s="6"/>
      <c r="H242" s="81"/>
      <c r="I242" s="81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</row>
    <row r="243" spans="1:20" x14ac:dyDescent="0.45">
      <c r="A243" s="78"/>
      <c r="B243" s="6"/>
      <c r="C243" s="6"/>
      <c r="D243" s="6"/>
      <c r="E243" s="6"/>
      <c r="F243" s="6"/>
      <c r="G243" s="6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</row>
    <row r="244" spans="1:20" x14ac:dyDescent="0.45">
      <c r="A244" s="6"/>
      <c r="B244" s="6"/>
      <c r="C244" s="6"/>
      <c r="D244" s="6"/>
      <c r="E244" s="6"/>
      <c r="F244" s="6"/>
      <c r="G244" s="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</row>
    <row r="245" spans="1:20" x14ac:dyDescent="0.45">
      <c r="A245" s="6"/>
      <c r="B245" s="6"/>
      <c r="C245" s="6"/>
      <c r="D245" s="6"/>
      <c r="E245" s="6"/>
      <c r="F245" s="6"/>
      <c r="G245" s="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</row>
    <row r="246" spans="1:20" x14ac:dyDescent="0.45">
      <c r="A246" s="6"/>
      <c r="B246" s="81"/>
      <c r="C246" s="6"/>
      <c r="D246" s="6"/>
      <c r="E246" s="6"/>
      <c r="F246" s="6"/>
      <c r="G246" s="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</row>
    <row r="247" spans="1:20" x14ac:dyDescent="0.45">
      <c r="A247" s="6"/>
      <c r="B247" s="81"/>
      <c r="C247" s="6"/>
      <c r="D247" s="6"/>
      <c r="E247" s="6"/>
      <c r="F247" s="6"/>
      <c r="G247" s="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</row>
    <row r="248" spans="1:20" x14ac:dyDescent="0.45">
      <c r="A248" s="6"/>
      <c r="B248" s="81"/>
      <c r="C248" s="6"/>
      <c r="D248" s="6"/>
      <c r="E248" s="6"/>
      <c r="F248" s="6"/>
      <c r="G248" s="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</row>
    <row r="249" spans="1:20" x14ac:dyDescent="0.45">
      <c r="A249" s="6"/>
      <c r="B249" s="6"/>
      <c r="C249" s="6"/>
      <c r="D249" s="6"/>
      <c r="E249" s="6"/>
      <c r="F249" s="6"/>
      <c r="G249" s="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</row>
    <row r="250" spans="1:20" x14ac:dyDescent="0.45">
      <c r="A250" s="6"/>
      <c r="B250" s="6"/>
      <c r="C250" s="6"/>
      <c r="D250" s="6"/>
      <c r="E250" s="6"/>
      <c r="F250" s="6"/>
      <c r="G250" s="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</row>
    <row r="251" spans="1:20" x14ac:dyDescent="0.45">
      <c r="A251" s="6"/>
      <c r="B251" s="6"/>
      <c r="C251" s="6"/>
      <c r="D251" s="6"/>
      <c r="E251" s="6"/>
      <c r="F251" s="6"/>
      <c r="G251" s="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</row>
    <row r="252" spans="1:20" x14ac:dyDescent="0.45">
      <c r="A252" s="6"/>
      <c r="B252" s="6"/>
      <c r="C252" s="6"/>
      <c r="D252" s="6"/>
      <c r="E252" s="6"/>
      <c r="F252" s="6"/>
      <c r="G252" s="82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</row>
    <row r="253" spans="1:20" x14ac:dyDescent="0.45">
      <c r="A253" s="6"/>
      <c r="B253" s="6"/>
      <c r="C253" s="6"/>
      <c r="D253" s="6"/>
      <c r="E253" s="6"/>
      <c r="F253" s="6"/>
      <c r="G253" s="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</row>
    <row r="254" spans="1:20" x14ac:dyDescent="0.45">
      <c r="A254" s="6"/>
      <c r="B254" s="6"/>
      <c r="C254" s="6"/>
      <c r="D254" s="6"/>
      <c r="E254" s="6"/>
      <c r="F254" s="6"/>
      <c r="G254" s="6"/>
      <c r="H254" s="86"/>
      <c r="I254" s="87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</row>
    <row r="255" spans="1:20" x14ac:dyDescent="0.45">
      <c r="A255" s="6"/>
      <c r="B255" s="6"/>
      <c r="C255" s="6"/>
      <c r="D255" s="6"/>
      <c r="E255" s="6"/>
      <c r="F255" s="6"/>
      <c r="G255" s="6"/>
      <c r="H255" s="86"/>
      <c r="I255" s="87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</row>
    <row r="256" spans="1:20" x14ac:dyDescent="0.45">
      <c r="A256" s="78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</row>
    <row r="257" spans="1:20" x14ac:dyDescent="0.45">
      <c r="A257" s="5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</row>
    <row r="258" spans="1:20" x14ac:dyDescent="0.45">
      <c r="A258" s="6"/>
      <c r="B258" s="78"/>
      <c r="C258" s="6"/>
      <c r="D258" s="6"/>
      <c r="E258" s="6"/>
      <c r="F258" s="6"/>
      <c r="G258" s="6"/>
      <c r="H258" s="81"/>
      <c r="I258" s="81"/>
      <c r="J258" s="81"/>
      <c r="K258" s="6"/>
      <c r="L258" s="6"/>
      <c r="M258" s="6"/>
      <c r="N258" s="6"/>
      <c r="O258" s="6"/>
      <c r="P258" s="6"/>
      <c r="Q258" s="6"/>
      <c r="R258" s="6"/>
      <c r="S258" s="6"/>
      <c r="T258" s="6"/>
    </row>
    <row r="259" spans="1:20" x14ac:dyDescent="0.45">
      <c r="A259" s="78"/>
      <c r="B259" s="6"/>
      <c r="C259" s="6"/>
      <c r="D259" s="6"/>
      <c r="E259" s="6"/>
      <c r="F259" s="6"/>
      <c r="G259" s="6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</row>
    <row r="260" spans="1:20" x14ac:dyDescent="0.45">
      <c r="A260" s="78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</row>
    <row r="261" spans="1:20" x14ac:dyDescent="0.45">
      <c r="A261" s="6"/>
      <c r="B261" s="6"/>
      <c r="C261" s="6"/>
      <c r="D261" s="6"/>
      <c r="E261" s="6"/>
      <c r="F261" s="6"/>
      <c r="G261" s="84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</row>
    <row r="262" spans="1:20" x14ac:dyDescent="0.4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</row>
    <row r="263" spans="1:20" x14ac:dyDescent="0.4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</row>
    <row r="264" spans="1:20" x14ac:dyDescent="0.45">
      <c r="A264" s="6"/>
      <c r="B264" s="6"/>
      <c r="C264" s="6"/>
      <c r="D264" s="6"/>
      <c r="E264" s="6"/>
      <c r="F264" s="6"/>
      <c r="G264" s="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</row>
    <row r="265" spans="1:20" x14ac:dyDescent="0.45">
      <c r="A265" s="6"/>
      <c r="B265" s="6"/>
      <c r="C265" s="6"/>
      <c r="D265" s="6"/>
      <c r="E265" s="6"/>
      <c r="F265" s="6"/>
      <c r="G265" s="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</row>
    <row r="266" spans="1:20" x14ac:dyDescent="0.45">
      <c r="A266" s="6"/>
      <c r="B266" s="6"/>
      <c r="C266" s="6"/>
      <c r="D266" s="6"/>
      <c r="E266" s="6"/>
      <c r="F266" s="6"/>
      <c r="G266" s="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</row>
    <row r="267" spans="1:20" x14ac:dyDescent="0.4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</row>
    <row r="268" spans="1:20" x14ac:dyDescent="0.45">
      <c r="A268" s="6"/>
      <c r="B268" s="6"/>
      <c r="C268" s="6"/>
      <c r="D268" s="6"/>
      <c r="E268" s="6"/>
      <c r="F268" s="6"/>
      <c r="G268" s="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</row>
    <row r="269" spans="1:20" x14ac:dyDescent="0.4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</row>
    <row r="270" spans="1:20" x14ac:dyDescent="0.4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</row>
    <row r="271" spans="1:20" x14ac:dyDescent="0.45">
      <c r="A271" s="6"/>
      <c r="B271" s="6"/>
      <c r="C271" s="6"/>
      <c r="D271" s="6"/>
      <c r="E271" s="6"/>
      <c r="F271" s="6"/>
      <c r="G271" s="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</row>
    <row r="272" spans="1:20" x14ac:dyDescent="0.45">
      <c r="A272" s="6"/>
      <c r="B272" s="6"/>
      <c r="C272" s="6"/>
      <c r="D272" s="6"/>
      <c r="E272" s="6"/>
      <c r="F272" s="6"/>
      <c r="G272" s="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</row>
    <row r="273" spans="1:20" x14ac:dyDescent="0.45">
      <c r="A273" s="6"/>
      <c r="B273" s="6"/>
      <c r="C273" s="6"/>
      <c r="D273" s="6"/>
      <c r="E273" s="6"/>
      <c r="F273" s="6"/>
      <c r="G273" s="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</row>
    <row r="274" spans="1:20" x14ac:dyDescent="0.45">
      <c r="A274" s="6"/>
      <c r="B274" s="6"/>
      <c r="C274" s="6"/>
      <c r="D274" s="6"/>
      <c r="E274" s="6"/>
      <c r="F274" s="6"/>
      <c r="G274" s="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</row>
    <row r="275" spans="1:20" x14ac:dyDescent="0.4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</row>
    <row r="276" spans="1:20" x14ac:dyDescent="0.45">
      <c r="A276" s="6"/>
      <c r="B276" s="6"/>
      <c r="C276" s="6"/>
      <c r="D276" s="6"/>
      <c r="E276" s="6"/>
      <c r="F276" s="6"/>
      <c r="G276" s="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</row>
    <row r="277" spans="1:20" x14ac:dyDescent="0.45">
      <c r="A277" s="6"/>
      <c r="B277" s="6"/>
      <c r="C277" s="6"/>
      <c r="D277" s="6"/>
      <c r="E277" s="6"/>
      <c r="F277" s="6"/>
      <c r="G277" s="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</row>
    <row r="278" spans="1:20" x14ac:dyDescent="0.4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</row>
    <row r="279" spans="1:20" x14ac:dyDescent="0.45">
      <c r="A279" s="6"/>
      <c r="B279" s="6"/>
      <c r="C279" s="6"/>
      <c r="D279" s="6"/>
      <c r="E279" s="6"/>
      <c r="F279" s="6"/>
      <c r="G279" s="10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</row>
    <row r="280" spans="1:20" x14ac:dyDescent="0.4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</row>
    <row r="281" spans="1:20" x14ac:dyDescent="0.4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</row>
    <row r="282" spans="1:20" x14ac:dyDescent="0.45">
      <c r="A282" s="6"/>
      <c r="B282" s="78"/>
      <c r="C282" s="6"/>
      <c r="D282" s="6"/>
      <c r="E282" s="6"/>
      <c r="F282" s="6"/>
      <c r="G282" s="6"/>
      <c r="H282" s="81"/>
      <c r="I282" s="81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</row>
    <row r="283" spans="1:20" x14ac:dyDescent="0.45">
      <c r="A283" s="78"/>
      <c r="B283" s="6"/>
      <c r="C283" s="6"/>
      <c r="D283" s="6"/>
      <c r="E283" s="6"/>
      <c r="F283" s="6"/>
      <c r="G283" s="6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</row>
    <row r="284" spans="1:20" x14ac:dyDescent="0.45">
      <c r="A284" s="6"/>
      <c r="B284" s="6"/>
      <c r="C284" s="6"/>
      <c r="D284" s="6"/>
      <c r="E284" s="6"/>
      <c r="F284" s="6"/>
      <c r="G284" s="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</row>
    <row r="285" spans="1:20" x14ac:dyDescent="0.45">
      <c r="A285" s="6"/>
      <c r="B285" s="6"/>
      <c r="C285" s="6"/>
      <c r="D285" s="6"/>
      <c r="E285" s="6"/>
      <c r="F285" s="6"/>
      <c r="G285" s="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</row>
    <row r="286" spans="1:20" x14ac:dyDescent="0.45">
      <c r="A286" s="6"/>
      <c r="B286" s="81"/>
      <c r="C286" s="6"/>
      <c r="D286" s="6"/>
      <c r="E286" s="6"/>
      <c r="F286" s="6"/>
      <c r="G286" s="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</row>
    <row r="287" spans="1:20" x14ac:dyDescent="0.45">
      <c r="A287" s="6"/>
      <c r="B287" s="81"/>
      <c r="C287" s="6"/>
      <c r="D287" s="6"/>
      <c r="E287" s="6"/>
      <c r="F287" s="6"/>
      <c r="G287" s="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</row>
    <row r="288" spans="1:20" x14ac:dyDescent="0.45">
      <c r="A288" s="6"/>
      <c r="B288" s="81"/>
      <c r="C288" s="6"/>
      <c r="D288" s="6"/>
      <c r="E288" s="6"/>
      <c r="F288" s="6"/>
      <c r="G288" s="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</row>
    <row r="289" spans="1:20" x14ac:dyDescent="0.45">
      <c r="A289" s="6"/>
      <c r="B289" s="6"/>
      <c r="C289" s="6"/>
      <c r="D289" s="6"/>
      <c r="E289" s="6"/>
      <c r="F289" s="6"/>
      <c r="G289" s="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</row>
    <row r="290" spans="1:20" x14ac:dyDescent="0.45">
      <c r="A290" s="6"/>
      <c r="B290" s="6"/>
      <c r="C290" s="6"/>
      <c r="D290" s="6"/>
      <c r="E290" s="6"/>
      <c r="F290" s="6"/>
      <c r="G290" s="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</row>
    <row r="291" spans="1:20" x14ac:dyDescent="0.45">
      <c r="A291" s="6"/>
      <c r="B291" s="6"/>
      <c r="C291" s="6"/>
      <c r="D291" s="6"/>
      <c r="E291" s="6"/>
      <c r="F291" s="6"/>
      <c r="G291" s="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</row>
    <row r="292" spans="1:20" x14ac:dyDescent="0.45">
      <c r="A292" s="6"/>
      <c r="B292" s="6"/>
      <c r="C292" s="6"/>
      <c r="D292" s="6"/>
      <c r="E292" s="6"/>
      <c r="F292" s="6"/>
      <c r="G292" s="82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</row>
    <row r="293" spans="1:20" x14ac:dyDescent="0.45">
      <c r="A293" s="6"/>
      <c r="B293" s="6"/>
      <c r="C293" s="6"/>
      <c r="D293" s="6"/>
      <c r="E293" s="6"/>
      <c r="F293" s="6"/>
      <c r="G293" s="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</row>
    <row r="294" spans="1:20" x14ac:dyDescent="0.45">
      <c r="A294" s="6"/>
      <c r="B294" s="6"/>
      <c r="C294" s="6"/>
      <c r="D294" s="6"/>
      <c r="E294" s="6"/>
      <c r="F294" s="6"/>
      <c r="G294" s="6"/>
      <c r="H294" s="86"/>
      <c r="I294" s="87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</row>
    <row r="295" spans="1:20" x14ac:dyDescent="0.4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</row>
    <row r="296" spans="1:20" x14ac:dyDescent="0.4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</row>
    <row r="297" spans="1:20" x14ac:dyDescent="0.45">
      <c r="A297" s="78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</row>
    <row r="298" spans="1:20" x14ac:dyDescent="0.45">
      <c r="A298" s="5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</row>
    <row r="299" spans="1:20" x14ac:dyDescent="0.45">
      <c r="A299" s="6"/>
      <c r="B299" s="78"/>
      <c r="C299" s="6"/>
      <c r="D299" s="6"/>
      <c r="E299" s="6"/>
      <c r="F299" s="6"/>
      <c r="G299" s="6"/>
      <c r="H299" s="81"/>
      <c r="I299" s="81"/>
      <c r="J299" s="81"/>
      <c r="K299" s="6"/>
      <c r="L299" s="6"/>
      <c r="M299" s="6"/>
      <c r="N299" s="6"/>
      <c r="O299" s="6"/>
      <c r="P299" s="6"/>
      <c r="Q299" s="6"/>
      <c r="R299" s="6"/>
      <c r="S299" s="6"/>
      <c r="T299" s="6"/>
    </row>
    <row r="300" spans="1:20" x14ac:dyDescent="0.45">
      <c r="A300" s="78"/>
      <c r="B300" s="6"/>
      <c r="C300" s="6"/>
      <c r="D300" s="6"/>
      <c r="E300" s="6"/>
      <c r="F300" s="6"/>
      <c r="G300" s="6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</row>
    <row r="301" spans="1:20" x14ac:dyDescent="0.45">
      <c r="A301" s="78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</row>
    <row r="302" spans="1:20" x14ac:dyDescent="0.45">
      <c r="A302" s="6"/>
      <c r="B302" s="6"/>
      <c r="C302" s="6"/>
      <c r="D302" s="6"/>
      <c r="E302" s="6"/>
      <c r="F302" s="6"/>
      <c r="G302" s="84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</row>
    <row r="303" spans="1:20" x14ac:dyDescent="0.4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</row>
    <row r="304" spans="1:20" x14ac:dyDescent="0.4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</row>
    <row r="305" spans="1:20" x14ac:dyDescent="0.45">
      <c r="A305" s="6"/>
      <c r="B305" s="6"/>
      <c r="C305" s="6"/>
      <c r="D305" s="6"/>
      <c r="E305" s="6"/>
      <c r="F305" s="6"/>
      <c r="G305" s="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</row>
    <row r="306" spans="1:20" x14ac:dyDescent="0.45">
      <c r="A306" s="6"/>
      <c r="B306" s="6"/>
      <c r="C306" s="6"/>
      <c r="D306" s="6"/>
      <c r="E306" s="6"/>
      <c r="F306" s="6"/>
      <c r="G306" s="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</row>
    <row r="307" spans="1:20" x14ac:dyDescent="0.45">
      <c r="A307" s="6"/>
      <c r="B307" s="6"/>
      <c r="C307" s="6"/>
      <c r="D307" s="6"/>
      <c r="E307" s="6"/>
      <c r="F307" s="6"/>
      <c r="G307" s="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</row>
    <row r="308" spans="1:20" x14ac:dyDescent="0.4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</row>
    <row r="309" spans="1:20" x14ac:dyDescent="0.45">
      <c r="A309" s="6"/>
      <c r="B309" s="6"/>
      <c r="C309" s="6"/>
      <c r="D309" s="6"/>
      <c r="E309" s="6"/>
      <c r="F309" s="6"/>
      <c r="G309" s="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</row>
    <row r="310" spans="1:20" x14ac:dyDescent="0.4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</row>
    <row r="311" spans="1:20" x14ac:dyDescent="0.4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</row>
    <row r="312" spans="1:20" x14ac:dyDescent="0.45">
      <c r="A312" s="6"/>
      <c r="B312" s="6"/>
      <c r="C312" s="6"/>
      <c r="D312" s="6"/>
      <c r="E312" s="6"/>
      <c r="F312" s="6"/>
      <c r="G312" s="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</row>
    <row r="313" spans="1:20" x14ac:dyDescent="0.45">
      <c r="A313" s="6"/>
      <c r="B313" s="6"/>
      <c r="C313" s="6"/>
      <c r="D313" s="6"/>
      <c r="E313" s="6"/>
      <c r="F313" s="6"/>
      <c r="G313" s="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</row>
    <row r="314" spans="1:20" x14ac:dyDescent="0.45">
      <c r="A314" s="6"/>
      <c r="B314" s="6"/>
      <c r="C314" s="6"/>
      <c r="D314" s="6"/>
      <c r="E314" s="6"/>
      <c r="F314" s="6"/>
      <c r="G314" s="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</row>
    <row r="315" spans="1:20" x14ac:dyDescent="0.45">
      <c r="A315" s="6"/>
      <c r="B315" s="6"/>
      <c r="C315" s="6"/>
      <c r="D315" s="6"/>
      <c r="E315" s="6"/>
      <c r="F315" s="6"/>
      <c r="G315" s="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</row>
    <row r="316" spans="1:20" x14ac:dyDescent="0.4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</row>
    <row r="317" spans="1:20" x14ac:dyDescent="0.45">
      <c r="A317" s="6"/>
      <c r="B317" s="6"/>
      <c r="C317" s="6"/>
      <c r="D317" s="6"/>
      <c r="E317" s="6"/>
      <c r="F317" s="6"/>
      <c r="G317" s="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</row>
    <row r="318" spans="1:20" x14ac:dyDescent="0.45">
      <c r="A318" s="6"/>
      <c r="B318" s="6"/>
      <c r="C318" s="6"/>
      <c r="D318" s="6"/>
      <c r="E318" s="6"/>
      <c r="F318" s="6"/>
      <c r="G318" s="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</row>
    <row r="319" spans="1:20" x14ac:dyDescent="0.4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</row>
    <row r="320" spans="1:20" x14ac:dyDescent="0.45">
      <c r="A320" s="6"/>
      <c r="B320" s="6"/>
      <c r="C320" s="6"/>
      <c r="D320" s="6"/>
      <c r="E320" s="6"/>
      <c r="F320" s="6"/>
      <c r="G320" s="10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</row>
    <row r="321" spans="1:20" x14ac:dyDescent="0.4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</row>
    <row r="322" spans="1:20" x14ac:dyDescent="0.4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</row>
    <row r="323" spans="1:20" x14ac:dyDescent="0.45">
      <c r="A323" s="6"/>
      <c r="B323" s="78"/>
      <c r="C323" s="6"/>
      <c r="D323" s="6"/>
      <c r="E323" s="6"/>
      <c r="F323" s="6"/>
      <c r="G323" s="6"/>
      <c r="H323" s="81"/>
      <c r="I323" s="81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</row>
    <row r="324" spans="1:20" x14ac:dyDescent="0.45">
      <c r="A324" s="78"/>
      <c r="B324" s="6"/>
      <c r="C324" s="6"/>
      <c r="D324" s="6"/>
      <c r="E324" s="6"/>
      <c r="F324" s="6"/>
      <c r="G324" s="6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</row>
    <row r="325" spans="1:20" x14ac:dyDescent="0.45">
      <c r="A325" s="6"/>
      <c r="B325" s="6"/>
      <c r="C325" s="6"/>
      <c r="D325" s="6"/>
      <c r="E325" s="6"/>
      <c r="F325" s="6"/>
      <c r="G325" s="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</row>
    <row r="326" spans="1:20" x14ac:dyDescent="0.45">
      <c r="A326" s="6"/>
      <c r="B326" s="6"/>
      <c r="C326" s="6"/>
      <c r="D326" s="6"/>
      <c r="E326" s="6"/>
      <c r="F326" s="6"/>
      <c r="G326" s="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</row>
    <row r="327" spans="1:20" x14ac:dyDescent="0.45">
      <c r="A327" s="6"/>
      <c r="B327" s="81"/>
      <c r="C327" s="6"/>
      <c r="D327" s="6"/>
      <c r="E327" s="6"/>
      <c r="F327" s="6"/>
      <c r="G327" s="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</row>
    <row r="328" spans="1:20" x14ac:dyDescent="0.45">
      <c r="A328" s="6"/>
      <c r="B328" s="81"/>
      <c r="C328" s="6"/>
      <c r="D328" s="6"/>
      <c r="E328" s="6"/>
      <c r="F328" s="6"/>
      <c r="G328" s="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</row>
    <row r="329" spans="1:20" x14ac:dyDescent="0.45">
      <c r="A329" s="6"/>
      <c r="B329" s="81"/>
      <c r="C329" s="6"/>
      <c r="D329" s="6"/>
      <c r="E329" s="6"/>
      <c r="F329" s="6"/>
      <c r="G329" s="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</row>
    <row r="330" spans="1:20" x14ac:dyDescent="0.45">
      <c r="A330" s="6"/>
      <c r="B330" s="6"/>
      <c r="C330" s="6"/>
      <c r="D330" s="6"/>
      <c r="E330" s="6"/>
      <c r="F330" s="6"/>
      <c r="G330" s="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</row>
    <row r="331" spans="1:20" x14ac:dyDescent="0.45">
      <c r="A331" s="6"/>
      <c r="B331" s="6"/>
      <c r="C331" s="6"/>
      <c r="D331" s="6"/>
      <c r="E331" s="6"/>
      <c r="F331" s="6"/>
      <c r="G331" s="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</row>
    <row r="332" spans="1:20" x14ac:dyDescent="0.45">
      <c r="A332" s="6"/>
      <c r="B332" s="6"/>
      <c r="C332" s="6"/>
      <c r="D332" s="6"/>
      <c r="E332" s="6"/>
      <c r="F332" s="6"/>
      <c r="G332" s="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</row>
    <row r="333" spans="1:20" x14ac:dyDescent="0.45">
      <c r="A333" s="6"/>
      <c r="B333" s="6"/>
      <c r="C333" s="6"/>
      <c r="D333" s="6"/>
      <c r="E333" s="6"/>
      <c r="F333" s="6"/>
      <c r="G333" s="82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</row>
    <row r="334" spans="1:20" x14ac:dyDescent="0.45">
      <c r="A334" s="6"/>
      <c r="B334" s="6"/>
      <c r="C334" s="6"/>
      <c r="D334" s="6"/>
      <c r="E334" s="6"/>
      <c r="F334" s="6"/>
      <c r="G334" s="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</row>
    <row r="335" spans="1:20" x14ac:dyDescent="0.45">
      <c r="A335" s="6"/>
      <c r="B335" s="6"/>
      <c r="C335" s="6"/>
      <c r="D335" s="6"/>
      <c r="E335" s="6"/>
      <c r="F335" s="6"/>
      <c r="G335" s="6"/>
      <c r="H335" s="86"/>
      <c r="I335" s="87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</row>
    <row r="336" spans="1:20" x14ac:dyDescent="0.4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</row>
    <row r="337" spans="1:20" x14ac:dyDescent="0.45">
      <c r="A337" s="6"/>
      <c r="B337" s="6"/>
      <c r="C337" s="6"/>
      <c r="D337" s="6"/>
      <c r="E337" s="6"/>
      <c r="F337" s="6"/>
      <c r="G337" s="6"/>
      <c r="H337" s="88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</row>
    <row r="338" spans="1:20" x14ac:dyDescent="0.4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</row>
    <row r="339" spans="1:20" x14ac:dyDescent="0.4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</row>
    <row r="340" spans="1:20" x14ac:dyDescent="0.4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</row>
    <row r="341" spans="1:20" x14ac:dyDescent="0.4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</row>
    <row r="342" spans="1:20" x14ac:dyDescent="0.4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</row>
    <row r="343" spans="1:20" x14ac:dyDescent="0.4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</row>
    <row r="344" spans="1:20" x14ac:dyDescent="0.4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</row>
    <row r="345" spans="1:20" x14ac:dyDescent="0.4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</row>
    <row r="346" spans="1:20" x14ac:dyDescent="0.4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</row>
    <row r="347" spans="1:20" x14ac:dyDescent="0.4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</row>
    <row r="348" spans="1:20" x14ac:dyDescent="0.4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</row>
    <row r="349" spans="1:20" x14ac:dyDescent="0.4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</row>
    <row r="350" spans="1:20" x14ac:dyDescent="0.4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</row>
    <row r="351" spans="1:20" x14ac:dyDescent="0.4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</row>
    <row r="352" spans="1:20" x14ac:dyDescent="0.4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</row>
    <row r="353" spans="1:20" x14ac:dyDescent="0.4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</row>
    <row r="354" spans="1:20" x14ac:dyDescent="0.4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</row>
    <row r="355" spans="1:20" x14ac:dyDescent="0.4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</row>
    <row r="356" spans="1:20" x14ac:dyDescent="0.4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</row>
    <row r="357" spans="1:20" x14ac:dyDescent="0.4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</row>
    <row r="358" spans="1:20" x14ac:dyDescent="0.4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</row>
    <row r="359" spans="1:20" x14ac:dyDescent="0.4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</row>
    <row r="360" spans="1:20" x14ac:dyDescent="0.4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</row>
    <row r="361" spans="1:20" x14ac:dyDescent="0.4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</row>
    <row r="362" spans="1:20" x14ac:dyDescent="0.4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</row>
    <row r="363" spans="1:20" x14ac:dyDescent="0.4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</row>
    <row r="364" spans="1:20" x14ac:dyDescent="0.4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</row>
    <row r="365" spans="1:20" x14ac:dyDescent="0.4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</row>
    <row r="366" spans="1:20" x14ac:dyDescent="0.4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</row>
    <row r="367" spans="1:20" x14ac:dyDescent="0.4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</row>
    <row r="368" spans="1:20" x14ac:dyDescent="0.4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</row>
    <row r="369" spans="1:20" x14ac:dyDescent="0.4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</row>
    <row r="370" spans="1:20" x14ac:dyDescent="0.4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</row>
    <row r="371" spans="1:20" x14ac:dyDescent="0.4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</row>
    <row r="372" spans="1:20" x14ac:dyDescent="0.4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</row>
    <row r="373" spans="1:20" x14ac:dyDescent="0.4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</row>
    <row r="374" spans="1:20" x14ac:dyDescent="0.4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</row>
    <row r="375" spans="1:20" x14ac:dyDescent="0.4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</row>
    <row r="376" spans="1:20" x14ac:dyDescent="0.4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</row>
    <row r="377" spans="1:20" x14ac:dyDescent="0.4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</row>
    <row r="378" spans="1:20" x14ac:dyDescent="0.4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</row>
    <row r="379" spans="1:20" x14ac:dyDescent="0.4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</row>
    <row r="380" spans="1:20" x14ac:dyDescent="0.4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</row>
    <row r="381" spans="1:20" x14ac:dyDescent="0.4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</row>
    <row r="382" spans="1:20" x14ac:dyDescent="0.4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</row>
    <row r="383" spans="1:20" x14ac:dyDescent="0.4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</row>
    <row r="384" spans="1:20" x14ac:dyDescent="0.4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</row>
    <row r="385" spans="1:20" x14ac:dyDescent="0.4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</row>
    <row r="386" spans="1:20" x14ac:dyDescent="0.4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</row>
    <row r="387" spans="1:20" x14ac:dyDescent="0.4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</row>
    <row r="388" spans="1:20" x14ac:dyDescent="0.4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30"/>
  <sheetViews>
    <sheetView workbookViewId="0">
      <selection activeCell="L6" sqref="L6"/>
    </sheetView>
  </sheetViews>
  <sheetFormatPr defaultRowHeight="14.25" x14ac:dyDescent="0.45"/>
  <cols>
    <col min="7" max="10" width="9.796875" customWidth="1"/>
    <col min="11" max="12" width="14.33203125" customWidth="1"/>
    <col min="13" max="13" width="13.53125" bestFit="1" customWidth="1"/>
    <col min="14" max="14" width="11.73046875" bestFit="1" customWidth="1"/>
    <col min="15" max="15" width="11.73046875" customWidth="1"/>
    <col min="16" max="16" width="14.33203125" customWidth="1"/>
    <col min="17" max="17" width="9.1328125" customWidth="1"/>
  </cols>
  <sheetData>
    <row r="1" spans="1:19" x14ac:dyDescent="0.45">
      <c r="G1" t="s">
        <v>84</v>
      </c>
      <c r="H1" t="s">
        <v>75</v>
      </c>
      <c r="I1" t="s">
        <v>85</v>
      </c>
      <c r="M1" t="s">
        <v>84</v>
      </c>
      <c r="N1" s="93" t="s">
        <v>75</v>
      </c>
      <c r="O1" t="s">
        <v>76</v>
      </c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1.8611504924183875</v>
      </c>
      <c r="H2">
        <v>1.2974633789062504E-4</v>
      </c>
      <c r="I2">
        <v>-0.93984684321104361</v>
      </c>
      <c r="J2">
        <v>-1.2194168608469736E-4</v>
      </c>
      <c r="K2" s="94" t="s">
        <v>86</v>
      </c>
      <c r="L2" s="94">
        <f>SUM(J2:J730)</f>
        <v>-0.68926222708566676</v>
      </c>
      <c r="M2">
        <v>0</v>
      </c>
      <c r="N2">
        <v>2.44140625E-4</v>
      </c>
      <c r="O2">
        <f>N2</f>
        <v>2.44140625E-4</v>
      </c>
      <c r="Q2" s="90"/>
      <c r="R2" s="89"/>
      <c r="S2" s="89"/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5.5834514772551609</v>
      </c>
      <c r="H3">
        <v>2.7390893554687506E-4</v>
      </c>
      <c r="I3">
        <v>-0.83017807812898747</v>
      </c>
      <c r="J3">
        <v>-2.2739319369466143E-4</v>
      </c>
      <c r="K3" s="94"/>
      <c r="L3" s="94"/>
      <c r="M3">
        <v>0</v>
      </c>
      <c r="N3">
        <v>4.8828125E-4</v>
      </c>
      <c r="O3">
        <f>N3+O2</f>
        <v>7.32421875E-4</v>
      </c>
      <c r="Q3" s="90"/>
      <c r="R3" s="89"/>
      <c r="S3" s="89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8.3751772158827436</v>
      </c>
      <c r="H4">
        <v>1.7299511718750005E-4</v>
      </c>
      <c r="I4">
        <v>-0.75640935546650756</v>
      </c>
      <c r="J4">
        <v>-1.3085512509064987E-4</v>
      </c>
      <c r="K4" s="94" t="s">
        <v>93</v>
      </c>
      <c r="L4" s="94">
        <f>-LN(-1*L2)/(1/risk_tol)</f>
        <v>11.164004686178673</v>
      </c>
      <c r="M4">
        <v>0</v>
      </c>
      <c r="N4">
        <v>2.44140625E-4</v>
      </c>
      <c r="O4">
        <f t="shared" ref="O4:O67" si="0">N4+O3</f>
        <v>9.765625E-4</v>
      </c>
      <c r="Q4" s="90"/>
      <c r="R4" s="89"/>
      <c r="S4" s="89"/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0.93057524620919363</v>
      </c>
      <c r="H5">
        <v>2.73908935546875E-4</v>
      </c>
      <c r="I5">
        <v>-0.96945698368264055</v>
      </c>
      <c r="J5">
        <v>-2.6554293045899627E-4</v>
      </c>
      <c r="K5" s="94"/>
      <c r="L5" s="94"/>
      <c r="M5">
        <v>0</v>
      </c>
      <c r="N5">
        <v>4.8828125E-4</v>
      </c>
      <c r="O5">
        <f t="shared" si="0"/>
        <v>1.46484375E-3</v>
      </c>
      <c r="Q5" s="90"/>
      <c r="R5" s="89"/>
      <c r="S5" s="89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4.6528762310459681</v>
      </c>
      <c r="H6">
        <v>5.7825219726562497E-4</v>
      </c>
      <c r="I6">
        <v>-0.85633307315546947</v>
      </c>
      <c r="J6">
        <v>-4.9517648114337542E-4</v>
      </c>
      <c r="K6" s="94" t="s">
        <v>83</v>
      </c>
      <c r="L6" s="94">
        <f>SUMPRODUCT(G2:G730,H2:H730)</f>
        <v>12.016861032418722</v>
      </c>
      <c r="M6">
        <v>0</v>
      </c>
      <c r="N6">
        <v>9.765625E-4</v>
      </c>
      <c r="O6">
        <f t="shared" si="0"/>
        <v>2.44140625E-3</v>
      </c>
      <c r="Q6" s="90"/>
      <c r="R6" s="89"/>
      <c r="S6" s="89"/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7.4446019696735473</v>
      </c>
      <c r="H7">
        <v>3.652119140625E-4</v>
      </c>
      <c r="I7">
        <v>-0.78024024603254005</v>
      </c>
      <c r="J7">
        <v>-2.8495303368213988E-4</v>
      </c>
      <c r="M7">
        <v>0</v>
      </c>
      <c r="N7">
        <v>4.8828125E-4</v>
      </c>
      <c r="O7">
        <f t="shared" si="0"/>
        <v>2.9296875E-3</v>
      </c>
      <c r="Q7" s="90"/>
      <c r="R7" s="89"/>
      <c r="S7" s="89"/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1.7299511718750003E-4</v>
      </c>
      <c r="I8">
        <v>-1</v>
      </c>
      <c r="J8">
        <v>-1.7299511718750003E-4</v>
      </c>
      <c r="M8">
        <v>0</v>
      </c>
      <c r="N8">
        <v>2.44140625E-4</v>
      </c>
      <c r="O8">
        <f t="shared" si="0"/>
        <v>3.173828125E-3</v>
      </c>
      <c r="Q8" s="90"/>
      <c r="R8" s="89"/>
      <c r="S8" s="89"/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3.7223009848367745</v>
      </c>
      <c r="H9">
        <v>3.6521191406250006E-4</v>
      </c>
      <c r="I9">
        <v>-0.88331208869376399</v>
      </c>
      <c r="J9">
        <v>-3.2259609862639435E-4</v>
      </c>
      <c r="M9">
        <v>0</v>
      </c>
      <c r="N9">
        <v>4.8828125E-4</v>
      </c>
      <c r="O9">
        <f t="shared" si="0"/>
        <v>3.662109375E-3</v>
      </c>
      <c r="Q9" s="90"/>
      <c r="R9" s="89"/>
      <c r="S9" s="89"/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6.5140267234643545</v>
      </c>
      <c r="H10">
        <v>2.3066015625000002E-4</v>
      </c>
      <c r="I10">
        <v>-0.80482193554237969</v>
      </c>
      <c r="J10">
        <v>-1.8564035340563274E-4</v>
      </c>
      <c r="M10">
        <v>0</v>
      </c>
      <c r="N10">
        <v>2.44140625E-4</v>
      </c>
      <c r="O10">
        <f t="shared" si="0"/>
        <v>3.90625E-3</v>
      </c>
      <c r="Q10" s="90"/>
      <c r="R10" s="89"/>
      <c r="S10" s="89"/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1.8611504924183875</v>
      </c>
      <c r="H11">
        <v>2.7390893554687506E-4</v>
      </c>
      <c r="I11">
        <v>-0.93984684321104361</v>
      </c>
      <c r="J11">
        <v>-2.5743244840102772E-4</v>
      </c>
      <c r="M11">
        <v>0</v>
      </c>
      <c r="N11">
        <v>4.8828125E-4</v>
      </c>
      <c r="O11">
        <f t="shared" si="0"/>
        <v>4.39453125E-3</v>
      </c>
      <c r="Q11" s="90"/>
      <c r="R11" s="89"/>
      <c r="S11" s="89"/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5.5834514772551609</v>
      </c>
      <c r="H12">
        <v>5.7825219726562508E-4</v>
      </c>
      <c r="I12">
        <v>-0.83017807812898747</v>
      </c>
      <c r="J12">
        <v>-4.8005229779984079E-4</v>
      </c>
      <c r="M12">
        <v>0</v>
      </c>
      <c r="N12">
        <v>9.765625E-4</v>
      </c>
      <c r="O12">
        <f t="shared" si="0"/>
        <v>5.37109375E-3</v>
      </c>
      <c r="Q12" s="90"/>
      <c r="R12" s="89"/>
      <c r="S12" s="89"/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8.3751772158827436</v>
      </c>
      <c r="H13">
        <v>3.6521191406250006E-4</v>
      </c>
      <c r="I13">
        <v>-0.75640935546650756</v>
      </c>
      <c r="J13">
        <v>-2.7624970852470522E-4</v>
      </c>
      <c r="M13">
        <v>0</v>
      </c>
      <c r="N13">
        <v>4.8828125E-4</v>
      </c>
      <c r="O13">
        <f t="shared" si="0"/>
        <v>5.859375E-3</v>
      </c>
      <c r="Q13" s="90"/>
      <c r="R13" s="89"/>
      <c r="S13" s="89"/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0.93057524620919363</v>
      </c>
      <c r="H14">
        <v>5.7825219726562508E-4</v>
      </c>
      <c r="I14">
        <v>-0.96945698368264055</v>
      </c>
      <c r="J14">
        <v>-5.6059063096899214E-4</v>
      </c>
      <c r="M14">
        <v>0</v>
      </c>
      <c r="N14">
        <v>9.765625E-4</v>
      </c>
      <c r="O14">
        <f t="shared" si="0"/>
        <v>6.8359375E-3</v>
      </c>
      <c r="Q14" s="90"/>
      <c r="R14" s="89"/>
      <c r="S14" s="89"/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4.6528762310459681</v>
      </c>
      <c r="H15">
        <v>1.220754638671875E-3</v>
      </c>
      <c r="I15">
        <v>-0.85633307315546947</v>
      </c>
      <c r="J15">
        <v>-1.0453725713026815E-3</v>
      </c>
      <c r="M15">
        <v>0</v>
      </c>
      <c r="N15">
        <v>1.953125E-3</v>
      </c>
      <c r="O15">
        <f t="shared" si="0"/>
        <v>8.7890625E-3</v>
      </c>
      <c r="Q15" s="90"/>
      <c r="R15" s="89"/>
      <c r="S15" s="89"/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7.4446019696735473</v>
      </c>
      <c r="H16">
        <v>7.7100292968750007E-4</v>
      </c>
      <c r="I16">
        <v>-0.78024024603254005</v>
      </c>
      <c r="J16">
        <v>-6.0156751555118422E-4</v>
      </c>
      <c r="M16">
        <v>0</v>
      </c>
      <c r="N16">
        <v>9.765625E-4</v>
      </c>
      <c r="O16">
        <f t="shared" si="0"/>
        <v>9.765625E-3</v>
      </c>
      <c r="Q16" s="90"/>
      <c r="R16" s="89"/>
      <c r="S16" s="89"/>
    </row>
    <row r="17" spans="1:19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3.6521191406250006E-4</v>
      </c>
      <c r="I17">
        <v>-1</v>
      </c>
      <c r="J17">
        <v>-3.6521191406250006E-4</v>
      </c>
      <c r="M17">
        <v>0</v>
      </c>
      <c r="N17">
        <v>4.8828125E-4</v>
      </c>
      <c r="O17">
        <f t="shared" si="0"/>
        <v>1.025390625E-2</v>
      </c>
      <c r="Q17" s="90"/>
      <c r="R17" s="89"/>
      <c r="S17" s="89"/>
    </row>
    <row r="18" spans="1:19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3.7223009848367745</v>
      </c>
      <c r="H18">
        <v>7.7100292968750007E-4</v>
      </c>
      <c r="I18">
        <v>-0.88331208869376399</v>
      </c>
      <c r="J18">
        <v>-6.8103620821127699E-4</v>
      </c>
      <c r="M18">
        <v>0</v>
      </c>
      <c r="N18">
        <v>9.765625E-4</v>
      </c>
      <c r="O18">
        <f t="shared" si="0"/>
        <v>1.123046875E-2</v>
      </c>
      <c r="Q18" s="90"/>
      <c r="R18" s="89"/>
      <c r="S18" s="89"/>
    </row>
    <row r="19" spans="1:19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6.5140267234643545</v>
      </c>
      <c r="H19">
        <v>4.8694921875000008E-4</v>
      </c>
      <c r="I19">
        <v>-0.80482193554237969</v>
      </c>
      <c r="J19">
        <v>-3.919074127452247E-4</v>
      </c>
      <c r="M19">
        <v>0</v>
      </c>
      <c r="N19">
        <v>4.8828125E-4</v>
      </c>
      <c r="O19">
        <f t="shared" si="0"/>
        <v>1.171875E-2</v>
      </c>
      <c r="Q19" s="90"/>
      <c r="R19" s="89"/>
      <c r="S19" s="89"/>
    </row>
    <row r="20" spans="1:19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1.8611504924183875</v>
      </c>
      <c r="H20">
        <v>1.7299511718750003E-4</v>
      </c>
      <c r="I20">
        <v>-0.93984684321104361</v>
      </c>
      <c r="J20">
        <v>-1.6258891477959644E-4</v>
      </c>
      <c r="M20">
        <v>0</v>
      </c>
      <c r="N20">
        <v>2.44140625E-4</v>
      </c>
      <c r="O20">
        <f t="shared" si="0"/>
        <v>1.1962890625E-2</v>
      </c>
      <c r="Q20" s="90"/>
      <c r="R20" s="89"/>
      <c r="S20" s="89"/>
    </row>
    <row r="21" spans="1:19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5.5834514772551609</v>
      </c>
      <c r="H21">
        <v>3.6521191406250006E-4</v>
      </c>
      <c r="I21">
        <v>-0.83017807812898747</v>
      </c>
      <c r="J21">
        <v>-3.0319092492621521E-4</v>
      </c>
      <c r="M21">
        <v>0</v>
      </c>
      <c r="N21">
        <v>4.8828125E-4</v>
      </c>
      <c r="O21">
        <f t="shared" si="0"/>
        <v>1.2451171875E-2</v>
      </c>
      <c r="Q21" s="90"/>
      <c r="R21" s="89"/>
      <c r="S21" s="89"/>
    </row>
    <row r="22" spans="1:19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8.3751772158827436</v>
      </c>
      <c r="H22">
        <v>2.3066015625000002E-4</v>
      </c>
      <c r="I22">
        <v>-0.75640935546650756</v>
      </c>
      <c r="J22">
        <v>-1.7447350012086643E-4</v>
      </c>
      <c r="M22">
        <v>0</v>
      </c>
      <c r="N22">
        <v>2.44140625E-4</v>
      </c>
      <c r="O22">
        <f t="shared" si="0"/>
        <v>1.26953125E-2</v>
      </c>
      <c r="Q22" s="90"/>
      <c r="R22" s="89"/>
      <c r="S22" s="89"/>
    </row>
    <row r="23" spans="1:19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0.93057524620919363</v>
      </c>
      <c r="H23">
        <v>3.6521191406250006E-4</v>
      </c>
      <c r="I23">
        <v>-0.96945698368264055</v>
      </c>
      <c r="J23">
        <v>-3.5405724061199502E-4</v>
      </c>
      <c r="M23">
        <v>0</v>
      </c>
      <c r="N23">
        <v>4.8828125E-4</v>
      </c>
      <c r="O23">
        <f t="shared" si="0"/>
        <v>1.318359375E-2</v>
      </c>
      <c r="Q23" s="90"/>
      <c r="R23" s="89"/>
      <c r="S23" s="89"/>
    </row>
    <row r="24" spans="1:19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4.6528762310459681</v>
      </c>
      <c r="H24">
        <v>7.7100292968750007E-4</v>
      </c>
      <c r="I24">
        <v>-0.85633307315546947</v>
      </c>
      <c r="J24">
        <v>-6.6023530819116726E-4</v>
      </c>
      <c r="M24">
        <v>0</v>
      </c>
      <c r="N24">
        <v>9.765625E-4</v>
      </c>
      <c r="O24">
        <f t="shared" si="0"/>
        <v>1.416015625E-2</v>
      </c>
      <c r="Q24" s="90"/>
      <c r="R24" s="89"/>
      <c r="S24" s="89"/>
    </row>
    <row r="25" spans="1:19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7.4446019696735473</v>
      </c>
      <c r="H25">
        <v>4.8694921875000008E-4</v>
      </c>
      <c r="I25">
        <v>-0.78024024603254005</v>
      </c>
      <c r="J25">
        <v>-3.7993737824285322E-4</v>
      </c>
      <c r="M25">
        <v>0</v>
      </c>
      <c r="N25">
        <v>4.8828125E-4</v>
      </c>
      <c r="O25">
        <f t="shared" si="0"/>
        <v>1.46484375E-2</v>
      </c>
      <c r="Q25" s="90"/>
      <c r="R25" s="89"/>
      <c r="S25" s="89"/>
    </row>
    <row r="26" spans="1:19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0</v>
      </c>
      <c r="H26">
        <v>2.3066015625000002E-4</v>
      </c>
      <c r="I26">
        <v>-1</v>
      </c>
      <c r="J26">
        <v>-2.3066015625000002E-4</v>
      </c>
      <c r="M26">
        <v>0</v>
      </c>
      <c r="N26">
        <v>2.44140625E-4</v>
      </c>
      <c r="O26">
        <f t="shared" si="0"/>
        <v>1.4892578125E-2</v>
      </c>
      <c r="Q26" s="90"/>
      <c r="R26" s="89"/>
      <c r="S26" s="89"/>
    </row>
    <row r="27" spans="1:19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3.7223009848367745</v>
      </c>
      <c r="H27">
        <v>4.8694921874999997E-4</v>
      </c>
      <c r="I27">
        <v>-0.88331208869376399</v>
      </c>
      <c r="J27">
        <v>-4.3012813150185904E-4</v>
      </c>
      <c r="M27">
        <v>0</v>
      </c>
      <c r="N27">
        <v>4.8828125E-4</v>
      </c>
      <c r="O27">
        <f t="shared" si="0"/>
        <v>1.5380859375E-2</v>
      </c>
      <c r="Q27" s="90"/>
      <c r="R27" s="89"/>
      <c r="S27" s="89"/>
    </row>
    <row r="28" spans="1:19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6.5140267234643545</v>
      </c>
      <c r="H28">
        <v>3.0754687499999999E-4</v>
      </c>
      <c r="I28">
        <v>-0.80482193554237969</v>
      </c>
      <c r="J28">
        <v>-2.4752047120751028E-4</v>
      </c>
      <c r="M28">
        <v>0</v>
      </c>
      <c r="N28">
        <v>2.44140625E-4</v>
      </c>
      <c r="O28">
        <f t="shared" si="0"/>
        <v>1.5625E-2</v>
      </c>
      <c r="Q28" s="90"/>
      <c r="R28" s="89"/>
      <c r="S28" s="89"/>
    </row>
    <row r="29" spans="1:19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1.8611504924183875</v>
      </c>
      <c r="H29">
        <v>2.73908935546875E-4</v>
      </c>
      <c r="I29">
        <v>-0.93984684321104361</v>
      </c>
      <c r="J29">
        <v>-2.5743244840102766E-4</v>
      </c>
      <c r="M29">
        <v>0</v>
      </c>
      <c r="N29">
        <v>4.8828125E-4</v>
      </c>
      <c r="O29">
        <f t="shared" si="0"/>
        <v>1.611328125E-2</v>
      </c>
      <c r="Q29" s="90"/>
      <c r="R29" s="89"/>
      <c r="S29" s="89"/>
    </row>
    <row r="30" spans="1:19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5.5834514772551609</v>
      </c>
      <c r="H30">
        <v>5.7825219726562497E-4</v>
      </c>
      <c r="I30">
        <v>-0.83017807812898747</v>
      </c>
      <c r="J30">
        <v>-4.8005229779984069E-4</v>
      </c>
      <c r="M30">
        <v>0</v>
      </c>
      <c r="N30">
        <v>9.765625E-4</v>
      </c>
      <c r="O30">
        <f t="shared" si="0"/>
        <v>1.708984375E-2</v>
      </c>
      <c r="Q30" s="90"/>
      <c r="R30" s="89"/>
      <c r="S30" s="89"/>
    </row>
    <row r="31" spans="1:19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8.3751772158827436</v>
      </c>
      <c r="H31">
        <v>3.652119140625E-4</v>
      </c>
      <c r="I31">
        <v>-0.75640935546650756</v>
      </c>
      <c r="J31">
        <v>-2.7624970852470516E-4</v>
      </c>
      <c r="M31">
        <v>0</v>
      </c>
      <c r="N31">
        <v>4.8828125E-4</v>
      </c>
      <c r="O31">
        <f t="shared" si="0"/>
        <v>1.7578125E-2</v>
      </c>
      <c r="Q31" s="90"/>
      <c r="R31" s="89"/>
      <c r="S31" s="89"/>
    </row>
    <row r="32" spans="1:19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0.93057524620919363</v>
      </c>
      <c r="H32">
        <v>5.7825219726562497E-4</v>
      </c>
      <c r="I32">
        <v>-0.96945698368264055</v>
      </c>
      <c r="J32">
        <v>-5.6059063096899203E-4</v>
      </c>
      <c r="M32">
        <v>0</v>
      </c>
      <c r="N32">
        <v>9.765625E-4</v>
      </c>
      <c r="O32">
        <f t="shared" si="0"/>
        <v>1.85546875E-2</v>
      </c>
      <c r="Q32" s="90"/>
      <c r="R32" s="89"/>
      <c r="S32" s="89"/>
    </row>
    <row r="33" spans="1:19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4.6528762310459681</v>
      </c>
      <c r="H33">
        <v>1.2207546386718748E-3</v>
      </c>
      <c r="I33">
        <v>-0.85633307315546947</v>
      </c>
      <c r="J33">
        <v>-1.0453725713026813E-3</v>
      </c>
      <c r="M33">
        <v>0</v>
      </c>
      <c r="N33">
        <v>1.953125E-3</v>
      </c>
      <c r="O33">
        <f t="shared" si="0"/>
        <v>2.05078125E-2</v>
      </c>
      <c r="Q33" s="90"/>
      <c r="R33" s="89"/>
      <c r="S33" s="89"/>
    </row>
    <row r="34" spans="1:19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7.4446019696735473</v>
      </c>
      <c r="H34">
        <v>7.7100292968749996E-4</v>
      </c>
      <c r="I34">
        <v>-0.78024024603254005</v>
      </c>
      <c r="J34">
        <v>-6.0156751555118411E-4</v>
      </c>
      <c r="M34">
        <v>0</v>
      </c>
      <c r="N34">
        <v>9.765625E-4</v>
      </c>
      <c r="O34">
        <f t="shared" si="0"/>
        <v>2.1484375E-2</v>
      </c>
      <c r="Q34" s="90"/>
      <c r="R34" s="89"/>
      <c r="S34" s="89"/>
    </row>
    <row r="35" spans="1:19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3.652119140625E-4</v>
      </c>
      <c r="I35">
        <v>-1</v>
      </c>
      <c r="J35">
        <v>-3.652119140625E-4</v>
      </c>
      <c r="M35">
        <v>0</v>
      </c>
      <c r="N35">
        <v>4.8828125E-4</v>
      </c>
      <c r="O35">
        <f t="shared" si="0"/>
        <v>2.197265625E-2</v>
      </c>
      <c r="Q35" s="90"/>
      <c r="R35" s="89"/>
      <c r="S35" s="89"/>
    </row>
    <row r="36" spans="1:19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3.7223009848367745</v>
      </c>
      <c r="H36">
        <v>7.7100292968749996E-4</v>
      </c>
      <c r="I36">
        <v>-0.88331208869376399</v>
      </c>
      <c r="J36">
        <v>-6.8103620821127688E-4</v>
      </c>
      <c r="M36">
        <v>0</v>
      </c>
      <c r="N36">
        <v>9.765625E-4</v>
      </c>
      <c r="O36">
        <f t="shared" si="0"/>
        <v>2.294921875E-2</v>
      </c>
      <c r="Q36" s="90"/>
      <c r="R36" s="89"/>
      <c r="S36" s="89"/>
    </row>
    <row r="37" spans="1:19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6.5140267234643545</v>
      </c>
      <c r="H37">
        <v>4.8694921874999997E-4</v>
      </c>
      <c r="I37">
        <v>-0.80482193554237969</v>
      </c>
      <c r="J37">
        <v>-3.919074127452246E-4</v>
      </c>
      <c r="M37">
        <v>0</v>
      </c>
      <c r="N37">
        <v>4.8828125E-4</v>
      </c>
      <c r="O37">
        <f t="shared" si="0"/>
        <v>2.34375E-2</v>
      </c>
      <c r="Q37" s="90"/>
      <c r="R37" s="89"/>
      <c r="S37" s="89"/>
    </row>
    <row r="38" spans="1:19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1.8611504924183875</v>
      </c>
      <c r="H38">
        <v>5.7825219726562497E-4</v>
      </c>
      <c r="I38">
        <v>-0.93984684321104361</v>
      </c>
      <c r="J38">
        <v>-5.4346850217994733E-4</v>
      </c>
      <c r="M38">
        <v>0</v>
      </c>
      <c r="N38">
        <v>9.765625E-4</v>
      </c>
      <c r="O38">
        <f t="shared" si="0"/>
        <v>2.44140625E-2</v>
      </c>
      <c r="Q38" s="90"/>
      <c r="R38" s="89"/>
      <c r="S38" s="89"/>
    </row>
    <row r="39" spans="1:19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5.5834514772551609</v>
      </c>
      <c r="H39">
        <v>1.2207546386718748E-3</v>
      </c>
      <c r="I39">
        <v>-0.83017807812898747</v>
      </c>
      <c r="J39">
        <v>-1.0134437397996635E-3</v>
      </c>
      <c r="M39">
        <v>0</v>
      </c>
      <c r="N39">
        <v>1.953125E-3</v>
      </c>
      <c r="O39">
        <f t="shared" si="0"/>
        <v>2.63671875E-2</v>
      </c>
      <c r="Q39" s="90"/>
      <c r="R39" s="89"/>
      <c r="S39" s="89"/>
    </row>
    <row r="40" spans="1:19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8.3751772158827436</v>
      </c>
      <c r="H40">
        <v>7.7100292968749996E-4</v>
      </c>
      <c r="I40">
        <v>-0.75640935546650756</v>
      </c>
      <c r="J40">
        <v>-5.8319382910771084E-4</v>
      </c>
      <c r="M40">
        <v>0</v>
      </c>
      <c r="N40">
        <v>9.765625E-4</v>
      </c>
      <c r="O40">
        <f t="shared" si="0"/>
        <v>2.734375E-2</v>
      </c>
      <c r="Q40" s="90"/>
      <c r="R40" s="89"/>
      <c r="S40" s="89"/>
    </row>
    <row r="41" spans="1:19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0.93057524620919363</v>
      </c>
      <c r="H41">
        <v>1.2207546386718748E-3</v>
      </c>
      <c r="I41">
        <v>-0.96945698368264055</v>
      </c>
      <c r="J41">
        <v>-1.1834691098234276E-3</v>
      </c>
      <c r="M41">
        <v>0</v>
      </c>
      <c r="N41">
        <v>1.953125E-3</v>
      </c>
      <c r="O41">
        <f t="shared" si="0"/>
        <v>2.9296875E-2</v>
      </c>
      <c r="Q41" s="90"/>
      <c r="R41" s="89"/>
      <c r="S41" s="89"/>
    </row>
    <row r="42" spans="1:19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4.6528762310459681</v>
      </c>
      <c r="H42">
        <v>2.5771486816406246E-3</v>
      </c>
      <c r="I42">
        <v>-0.85633307315546947</v>
      </c>
      <c r="J42">
        <v>-2.2068976505278826E-3</v>
      </c>
      <c r="M42">
        <v>0</v>
      </c>
      <c r="N42">
        <v>3.90625E-3</v>
      </c>
      <c r="O42">
        <f t="shared" si="0"/>
        <v>3.3203125E-2</v>
      </c>
      <c r="Q42" s="90"/>
      <c r="R42" s="89"/>
      <c r="S42" s="89"/>
    </row>
    <row r="43" spans="1:19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7.4446019696735473</v>
      </c>
      <c r="H43">
        <v>1.6276728515624997E-3</v>
      </c>
      <c r="I43">
        <v>-0.78024024603254005</v>
      </c>
      <c r="J43">
        <v>-1.2699758661636109E-3</v>
      </c>
      <c r="M43">
        <v>0</v>
      </c>
      <c r="N43">
        <v>1.953125E-3</v>
      </c>
      <c r="O43">
        <f t="shared" si="0"/>
        <v>3.515625E-2</v>
      </c>
      <c r="Q43" s="90"/>
      <c r="R43" s="89"/>
      <c r="S43" s="89"/>
    </row>
    <row r="44" spans="1:19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7.7100292968749985E-4</v>
      </c>
      <c r="I44">
        <v>-1</v>
      </c>
      <c r="J44">
        <v>-7.7100292968749985E-4</v>
      </c>
      <c r="M44">
        <v>0</v>
      </c>
      <c r="N44">
        <v>9.765625E-4</v>
      </c>
      <c r="O44">
        <f t="shared" si="0"/>
        <v>3.61328125E-2</v>
      </c>
      <c r="Q44" s="90"/>
      <c r="R44" s="89"/>
      <c r="S44" s="89"/>
    </row>
    <row r="45" spans="1:19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3.7223009848367745</v>
      </c>
      <c r="H45">
        <v>1.6276728515624997E-3</v>
      </c>
      <c r="I45">
        <v>-0.88331208869376399</v>
      </c>
      <c r="J45">
        <v>-1.4377431062238065E-3</v>
      </c>
      <c r="M45">
        <v>0</v>
      </c>
      <c r="N45">
        <v>1.953125E-3</v>
      </c>
      <c r="O45">
        <f t="shared" si="0"/>
        <v>3.80859375E-2</v>
      </c>
      <c r="Q45" s="90"/>
      <c r="R45" s="89"/>
      <c r="S45" s="89"/>
    </row>
    <row r="46" spans="1:19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6.5140267234643545</v>
      </c>
      <c r="H46">
        <v>1.0280039062499997E-3</v>
      </c>
      <c r="I46">
        <v>-0.80482193554237969</v>
      </c>
      <c r="J46">
        <v>-8.2736009357325176E-4</v>
      </c>
      <c r="M46">
        <v>0</v>
      </c>
      <c r="N46">
        <v>9.765625E-4</v>
      </c>
      <c r="O46">
        <f t="shared" si="0"/>
        <v>3.90625E-2</v>
      </c>
      <c r="Q46" s="90"/>
      <c r="R46" s="89"/>
      <c r="S46" s="89"/>
    </row>
    <row r="47" spans="1:19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1.8611504924183875</v>
      </c>
      <c r="H47">
        <v>3.6521191406249995E-4</v>
      </c>
      <c r="I47">
        <v>-0.93984684321104361</v>
      </c>
      <c r="J47">
        <v>-3.4324326453470352E-4</v>
      </c>
      <c r="M47">
        <v>0</v>
      </c>
      <c r="N47">
        <v>4.8828125E-4</v>
      </c>
      <c r="O47">
        <f t="shared" si="0"/>
        <v>3.955078125E-2</v>
      </c>
      <c r="Q47" s="90"/>
      <c r="R47" s="89"/>
      <c r="S47" s="89"/>
    </row>
    <row r="48" spans="1:19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5.5834514772551609</v>
      </c>
      <c r="H48">
        <v>7.7100292968749985E-4</v>
      </c>
      <c r="I48">
        <v>-0.83017807812898747</v>
      </c>
      <c r="J48">
        <v>-6.4006973039978747E-4</v>
      </c>
      <c r="M48">
        <v>0</v>
      </c>
      <c r="N48">
        <v>9.765625E-4</v>
      </c>
      <c r="O48">
        <f t="shared" si="0"/>
        <v>4.052734375E-2</v>
      </c>
      <c r="Q48" s="90"/>
      <c r="R48" s="89"/>
      <c r="S48" s="89"/>
    </row>
    <row r="49" spans="1:19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8.3751772158827436</v>
      </c>
      <c r="H49">
        <v>4.8694921874999991E-4</v>
      </c>
      <c r="I49">
        <v>-0.75640935546650756</v>
      </c>
      <c r="J49">
        <v>-3.6833294469960681E-4</v>
      </c>
      <c r="M49">
        <v>0</v>
      </c>
      <c r="N49">
        <v>4.8828125E-4</v>
      </c>
      <c r="O49">
        <f t="shared" si="0"/>
        <v>4.1015625E-2</v>
      </c>
      <c r="Q49" s="90"/>
      <c r="R49" s="89"/>
      <c r="S49" s="89"/>
    </row>
    <row r="50" spans="1:19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0.93057524620919363</v>
      </c>
      <c r="H50">
        <v>7.7100292968749985E-4</v>
      </c>
      <c r="I50">
        <v>-0.96945698368264055</v>
      </c>
      <c r="J50">
        <v>-7.474541746253226E-4</v>
      </c>
      <c r="M50">
        <v>0</v>
      </c>
      <c r="N50">
        <v>9.765625E-4</v>
      </c>
      <c r="O50">
        <f t="shared" si="0"/>
        <v>4.19921875E-2</v>
      </c>
      <c r="Q50" s="90"/>
      <c r="R50" s="89"/>
      <c r="S50" s="89"/>
    </row>
    <row r="51" spans="1:19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4.6528762310459681</v>
      </c>
      <c r="H51">
        <v>1.6276728515624997E-3</v>
      </c>
      <c r="I51">
        <v>-0.85633307315546947</v>
      </c>
      <c r="J51">
        <v>-1.3938300950702416E-3</v>
      </c>
      <c r="M51">
        <v>0</v>
      </c>
      <c r="N51">
        <v>1.953125E-3</v>
      </c>
      <c r="O51">
        <f t="shared" si="0"/>
        <v>4.39453125E-2</v>
      </c>
      <c r="Q51" s="90"/>
      <c r="R51" s="89"/>
      <c r="S51" s="89"/>
    </row>
    <row r="52" spans="1:19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7.4446019696735473</v>
      </c>
      <c r="H52">
        <v>1.0280039062499997E-3</v>
      </c>
      <c r="I52">
        <v>-0.78024024603254005</v>
      </c>
      <c r="J52">
        <v>-8.0209002073491204E-4</v>
      </c>
      <c r="M52">
        <v>0</v>
      </c>
      <c r="N52">
        <v>9.765625E-4</v>
      </c>
      <c r="O52">
        <f t="shared" si="0"/>
        <v>4.4921875E-2</v>
      </c>
      <c r="Q52" s="90"/>
      <c r="R52" s="89"/>
      <c r="S52" s="89"/>
    </row>
    <row r="53" spans="1:19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4.8694921874999991E-4</v>
      </c>
      <c r="I53">
        <v>-1</v>
      </c>
      <c r="J53">
        <v>-4.8694921874999991E-4</v>
      </c>
      <c r="M53">
        <v>0</v>
      </c>
      <c r="N53">
        <v>4.8828125E-4</v>
      </c>
      <c r="O53">
        <f t="shared" si="0"/>
        <v>4.541015625E-2</v>
      </c>
      <c r="Q53" s="90"/>
      <c r="R53" s="89"/>
      <c r="S53" s="89"/>
    </row>
    <row r="54" spans="1:19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3.7223009848367745</v>
      </c>
      <c r="H54">
        <v>1.0280039062499997E-3</v>
      </c>
      <c r="I54">
        <v>-0.88331208869376399</v>
      </c>
      <c r="J54">
        <v>-9.0804827761503562E-4</v>
      </c>
      <c r="M54">
        <v>0</v>
      </c>
      <c r="N54">
        <v>9.765625E-4</v>
      </c>
      <c r="O54">
        <f t="shared" si="0"/>
        <v>4.638671875E-2</v>
      </c>
      <c r="Q54" s="90"/>
      <c r="R54" s="89"/>
      <c r="S54" s="89"/>
    </row>
    <row r="55" spans="1:19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6.5140267234643545</v>
      </c>
      <c r="H55">
        <v>6.4926562499999978E-4</v>
      </c>
      <c r="I55">
        <v>-0.80482193554237969</v>
      </c>
      <c r="J55">
        <v>-5.2254321699363269E-4</v>
      </c>
      <c r="M55">
        <v>0</v>
      </c>
      <c r="N55">
        <v>4.8828125E-4</v>
      </c>
      <c r="O55">
        <f t="shared" si="0"/>
        <v>4.6875E-2</v>
      </c>
      <c r="Q55" s="90"/>
      <c r="R55" s="89"/>
      <c r="S55" s="89"/>
    </row>
    <row r="56" spans="1:19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1.8611504924183875</v>
      </c>
      <c r="H56">
        <v>1.729951171875E-4</v>
      </c>
      <c r="I56">
        <v>-0.93984684321104361</v>
      </c>
      <c r="J56">
        <v>-1.6258891477959642E-4</v>
      </c>
      <c r="M56">
        <v>0</v>
      </c>
      <c r="N56">
        <v>2.44140625E-4</v>
      </c>
      <c r="O56">
        <f t="shared" si="0"/>
        <v>4.7119140625E-2</v>
      </c>
      <c r="Q56" s="90"/>
      <c r="R56" s="89"/>
      <c r="S56" s="89"/>
    </row>
    <row r="57" spans="1:19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5.5834514772551609</v>
      </c>
      <c r="H57">
        <v>3.652119140625E-4</v>
      </c>
      <c r="I57">
        <v>-0.83017807812898747</v>
      </c>
      <c r="J57">
        <v>-3.0319092492621521E-4</v>
      </c>
      <c r="M57">
        <v>0</v>
      </c>
      <c r="N57">
        <v>4.8828125E-4</v>
      </c>
      <c r="O57">
        <f t="shared" si="0"/>
        <v>4.7607421875E-2</v>
      </c>
      <c r="Q57" s="90"/>
      <c r="R57" s="89"/>
      <c r="S57" s="89"/>
    </row>
    <row r="58" spans="1:19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8.3751772158827436</v>
      </c>
      <c r="H58">
        <v>2.3066015624999999E-4</v>
      </c>
      <c r="I58">
        <v>-0.75640935546650756</v>
      </c>
      <c r="J58">
        <v>-1.7447350012086643E-4</v>
      </c>
      <c r="M58">
        <v>0</v>
      </c>
      <c r="N58">
        <v>2.44140625E-4</v>
      </c>
      <c r="O58">
        <f t="shared" si="0"/>
        <v>4.78515625E-2</v>
      </c>
      <c r="Q58" s="90"/>
      <c r="R58" s="89"/>
      <c r="S58" s="89"/>
    </row>
    <row r="59" spans="1:19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0.93057524620919363</v>
      </c>
      <c r="H59">
        <v>3.652119140625E-4</v>
      </c>
      <c r="I59">
        <v>-0.96945698368264055</v>
      </c>
      <c r="J59">
        <v>-3.5405724061199497E-4</v>
      </c>
      <c r="M59">
        <v>0</v>
      </c>
      <c r="N59">
        <v>4.8828125E-4</v>
      </c>
      <c r="O59">
        <f t="shared" si="0"/>
        <v>4.833984375E-2</v>
      </c>
      <c r="Q59" s="90"/>
      <c r="R59" s="89"/>
      <c r="S59" s="89"/>
    </row>
    <row r="60" spans="1:19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4.6528762310459681</v>
      </c>
      <c r="H60">
        <v>7.7100292968749996E-4</v>
      </c>
      <c r="I60">
        <v>-0.85633307315546947</v>
      </c>
      <c r="J60">
        <v>-6.6023530819116715E-4</v>
      </c>
      <c r="M60">
        <v>0</v>
      </c>
      <c r="N60">
        <v>9.765625E-4</v>
      </c>
      <c r="O60">
        <f t="shared" si="0"/>
        <v>4.931640625E-2</v>
      </c>
      <c r="Q60" s="90"/>
      <c r="R60" s="89"/>
      <c r="S60" s="89"/>
    </row>
    <row r="61" spans="1:19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7.4446019696735473</v>
      </c>
      <c r="H61">
        <v>4.8694921874999997E-4</v>
      </c>
      <c r="I61">
        <v>-0.78024024603254005</v>
      </c>
      <c r="J61">
        <v>-3.7993737824285317E-4</v>
      </c>
      <c r="M61">
        <v>0</v>
      </c>
      <c r="N61">
        <v>4.8828125E-4</v>
      </c>
      <c r="O61">
        <f t="shared" si="0"/>
        <v>4.98046875E-2</v>
      </c>
      <c r="Q61" s="90"/>
      <c r="R61" s="89"/>
      <c r="S61" s="89"/>
    </row>
    <row r="62" spans="1:19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2.3066015625000002E-4</v>
      </c>
      <c r="I62">
        <v>-1</v>
      </c>
      <c r="J62">
        <v>-2.3066015625000002E-4</v>
      </c>
      <c r="M62">
        <v>0</v>
      </c>
      <c r="N62">
        <v>2.44140625E-4</v>
      </c>
      <c r="O62">
        <f t="shared" si="0"/>
        <v>5.0048828125E-2</v>
      </c>
      <c r="Q62" s="90"/>
      <c r="R62" s="89"/>
      <c r="S62" s="89"/>
    </row>
    <row r="63" spans="1:19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3.7223009848367745</v>
      </c>
      <c r="H63">
        <v>4.8694921874999997E-4</v>
      </c>
      <c r="I63">
        <v>-0.88331208869376399</v>
      </c>
      <c r="J63">
        <v>-4.3012813150185904E-4</v>
      </c>
      <c r="M63">
        <v>0</v>
      </c>
      <c r="N63">
        <v>4.8828125E-4</v>
      </c>
      <c r="O63">
        <f t="shared" si="0"/>
        <v>5.0537109375E-2</v>
      </c>
      <c r="Q63" s="90"/>
      <c r="R63" s="89"/>
      <c r="S63" s="89"/>
    </row>
    <row r="64" spans="1:19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6.5140267234643545</v>
      </c>
      <c r="H64">
        <v>3.0754687499999999E-4</v>
      </c>
      <c r="I64">
        <v>-0.80482193554237969</v>
      </c>
      <c r="J64">
        <v>-2.4752047120751028E-4</v>
      </c>
      <c r="M64">
        <v>0</v>
      </c>
      <c r="N64">
        <v>2.44140625E-4</v>
      </c>
      <c r="O64">
        <f t="shared" si="0"/>
        <v>5.078125E-2</v>
      </c>
      <c r="Q64" s="90"/>
      <c r="R64" s="89"/>
      <c r="S64" s="89"/>
    </row>
    <row r="65" spans="1:19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1.8611504924183875</v>
      </c>
      <c r="H65">
        <v>3.6521191406249995E-4</v>
      </c>
      <c r="I65">
        <v>-0.93984684321104361</v>
      </c>
      <c r="J65">
        <v>-3.4324326453470352E-4</v>
      </c>
      <c r="M65">
        <v>0</v>
      </c>
      <c r="N65">
        <v>4.8828125E-4</v>
      </c>
      <c r="O65">
        <f t="shared" si="0"/>
        <v>5.126953125E-2</v>
      </c>
      <c r="Q65" s="90"/>
      <c r="R65" s="89"/>
      <c r="S65" s="89"/>
    </row>
    <row r="66" spans="1:19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5.5834514772551609</v>
      </c>
      <c r="H66">
        <v>7.7100292968749985E-4</v>
      </c>
      <c r="I66">
        <v>-0.83017807812898747</v>
      </c>
      <c r="J66">
        <v>-6.4006973039978747E-4</v>
      </c>
      <c r="M66">
        <v>0</v>
      </c>
      <c r="N66">
        <v>9.765625E-4</v>
      </c>
      <c r="O66">
        <f t="shared" si="0"/>
        <v>5.224609375E-2</v>
      </c>
      <c r="Q66" s="90"/>
      <c r="R66" s="89"/>
      <c r="S66" s="89"/>
    </row>
    <row r="67" spans="1:19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8.3751772158827436</v>
      </c>
      <c r="H67">
        <v>4.8694921874999991E-4</v>
      </c>
      <c r="I67">
        <v>-0.75640935546650756</v>
      </c>
      <c r="J67">
        <v>-3.6833294469960681E-4</v>
      </c>
      <c r="M67">
        <v>0</v>
      </c>
      <c r="N67">
        <v>4.8828125E-4</v>
      </c>
      <c r="O67">
        <f t="shared" si="0"/>
        <v>5.2734375E-2</v>
      </c>
      <c r="Q67" s="90"/>
      <c r="R67" s="89"/>
      <c r="S67" s="89"/>
    </row>
    <row r="68" spans="1:19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0.93057524620919363</v>
      </c>
      <c r="H68">
        <v>7.7100292968749985E-4</v>
      </c>
      <c r="I68">
        <v>-0.96945698368264055</v>
      </c>
      <c r="J68">
        <v>-7.474541746253226E-4</v>
      </c>
      <c r="M68">
        <v>0</v>
      </c>
      <c r="N68">
        <v>9.765625E-4</v>
      </c>
      <c r="O68">
        <f t="shared" ref="O68:O131" si="1">N68+O67</f>
        <v>5.37109375E-2</v>
      </c>
      <c r="Q68" s="90"/>
      <c r="R68" s="89"/>
      <c r="S68" s="89"/>
    </row>
    <row r="69" spans="1:19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4.6528762310459681</v>
      </c>
      <c r="H69">
        <v>1.6276728515624997E-3</v>
      </c>
      <c r="I69">
        <v>-0.85633307315546947</v>
      </c>
      <c r="J69">
        <v>-1.3938300950702416E-3</v>
      </c>
      <c r="M69">
        <v>0</v>
      </c>
      <c r="N69">
        <v>1.953125E-3</v>
      </c>
      <c r="O69">
        <f t="shared" si="1"/>
        <v>5.56640625E-2</v>
      </c>
      <c r="Q69" s="90"/>
      <c r="R69" s="89"/>
      <c r="S69" s="89"/>
    </row>
    <row r="70" spans="1:19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7.4446019696735473</v>
      </c>
      <c r="H70">
        <v>1.0280039062499997E-3</v>
      </c>
      <c r="I70">
        <v>-0.78024024603254005</v>
      </c>
      <c r="J70">
        <v>-8.0209002073491204E-4</v>
      </c>
      <c r="M70">
        <v>0</v>
      </c>
      <c r="N70">
        <v>9.765625E-4</v>
      </c>
      <c r="O70">
        <f t="shared" si="1"/>
        <v>5.6640625E-2</v>
      </c>
      <c r="Q70" s="90"/>
      <c r="R70" s="89"/>
      <c r="S70" s="89"/>
    </row>
    <row r="71" spans="1:19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4.8694921874999991E-4</v>
      </c>
      <c r="I71">
        <v>-1</v>
      </c>
      <c r="J71">
        <v>-4.8694921874999991E-4</v>
      </c>
      <c r="M71">
        <v>0</v>
      </c>
      <c r="N71">
        <v>4.8828125E-4</v>
      </c>
      <c r="O71">
        <f t="shared" si="1"/>
        <v>5.712890625E-2</v>
      </c>
      <c r="Q71" s="90"/>
      <c r="R71" s="89"/>
      <c r="S71" s="89"/>
    </row>
    <row r="72" spans="1:19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3.7223009848367745</v>
      </c>
      <c r="H72">
        <v>1.0280039062499997E-3</v>
      </c>
      <c r="I72">
        <v>-0.88331208869376399</v>
      </c>
      <c r="J72">
        <v>-9.0804827761503562E-4</v>
      </c>
      <c r="M72">
        <v>0</v>
      </c>
      <c r="N72">
        <v>9.765625E-4</v>
      </c>
      <c r="O72">
        <f t="shared" si="1"/>
        <v>5.810546875E-2</v>
      </c>
      <c r="Q72" s="90"/>
      <c r="R72" s="89"/>
      <c r="S72" s="89"/>
    </row>
    <row r="73" spans="1:19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6.5140267234643545</v>
      </c>
      <c r="H73">
        <v>6.4926562499999978E-4</v>
      </c>
      <c r="I73">
        <v>-0.80482193554237969</v>
      </c>
      <c r="J73">
        <v>-5.2254321699363269E-4</v>
      </c>
      <c r="M73">
        <v>0</v>
      </c>
      <c r="N73">
        <v>4.8828125E-4</v>
      </c>
      <c r="O73">
        <f t="shared" si="1"/>
        <v>5.859375E-2</v>
      </c>
      <c r="Q73" s="90"/>
      <c r="R73" s="89"/>
      <c r="S73" s="89"/>
    </row>
    <row r="74" spans="1:19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1.8611504924183875</v>
      </c>
      <c r="H74">
        <v>2.3066015625000002E-4</v>
      </c>
      <c r="I74">
        <v>-0.93984684321104361</v>
      </c>
      <c r="J74">
        <v>-2.1678521970612858E-4</v>
      </c>
      <c r="M74">
        <v>0</v>
      </c>
      <c r="N74">
        <v>2.44140625E-4</v>
      </c>
      <c r="O74">
        <f t="shared" si="1"/>
        <v>5.8837890625E-2</v>
      </c>
      <c r="Q74" s="90"/>
      <c r="R74" s="89"/>
      <c r="S74" s="89"/>
    </row>
    <row r="75" spans="1:19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5.5834514772551609</v>
      </c>
      <c r="H75">
        <v>4.8694921874999997E-4</v>
      </c>
      <c r="I75">
        <v>-0.83017807812898747</v>
      </c>
      <c r="J75">
        <v>-4.0425456656828691E-4</v>
      </c>
      <c r="M75">
        <v>0</v>
      </c>
      <c r="N75">
        <v>4.8828125E-4</v>
      </c>
      <c r="O75">
        <f t="shared" si="1"/>
        <v>5.9326171875E-2</v>
      </c>
      <c r="Q75" s="90"/>
      <c r="R75" s="89"/>
      <c r="S75" s="89"/>
    </row>
    <row r="76" spans="1:19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8.3751772158827436</v>
      </c>
      <c r="H76">
        <v>3.0754687499999999E-4</v>
      </c>
      <c r="I76">
        <v>-0.75640935546650756</v>
      </c>
      <c r="J76">
        <v>-2.3263133349448855E-4</v>
      </c>
      <c r="M76">
        <v>0</v>
      </c>
      <c r="N76">
        <v>2.44140625E-4</v>
      </c>
      <c r="O76">
        <f t="shared" si="1"/>
        <v>5.95703125E-2</v>
      </c>
      <c r="Q76" s="90"/>
      <c r="R76" s="89"/>
      <c r="S76" s="89"/>
    </row>
    <row r="77" spans="1:19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0.93057524620919363</v>
      </c>
      <c r="H77">
        <v>4.8694921874999991E-4</v>
      </c>
      <c r="I77">
        <v>-0.96945698368264055</v>
      </c>
      <c r="J77">
        <v>-4.7207632081599322E-4</v>
      </c>
      <c r="M77">
        <v>0</v>
      </c>
      <c r="N77">
        <v>4.8828125E-4</v>
      </c>
      <c r="O77">
        <f t="shared" si="1"/>
        <v>6.005859375E-2</v>
      </c>
      <c r="Q77" s="90"/>
      <c r="R77" s="89"/>
      <c r="S77" s="89"/>
    </row>
    <row r="78" spans="1:19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4.6528762310459681</v>
      </c>
      <c r="H78">
        <v>1.0280039062499997E-3</v>
      </c>
      <c r="I78">
        <v>-0.85633307315546947</v>
      </c>
      <c r="J78">
        <v>-8.8031374425488935E-4</v>
      </c>
      <c r="M78">
        <v>0</v>
      </c>
      <c r="N78">
        <v>9.765625E-4</v>
      </c>
      <c r="O78">
        <f t="shared" si="1"/>
        <v>6.103515625E-2</v>
      </c>
      <c r="Q78" s="90"/>
      <c r="R78" s="89"/>
      <c r="S78" s="89"/>
    </row>
    <row r="79" spans="1:19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7.4446019696735473</v>
      </c>
      <c r="H79">
        <v>6.4926562499999978E-4</v>
      </c>
      <c r="I79">
        <v>-0.78024024603254005</v>
      </c>
      <c r="J79">
        <v>-5.0658317099047071E-4</v>
      </c>
      <c r="M79">
        <v>0</v>
      </c>
      <c r="N79">
        <v>4.8828125E-4</v>
      </c>
      <c r="O79">
        <f t="shared" si="1"/>
        <v>6.15234375E-2</v>
      </c>
      <c r="Q79" s="90"/>
      <c r="R79" s="89"/>
      <c r="S79" s="89"/>
    </row>
    <row r="80" spans="1:19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3.0754687499999999E-4</v>
      </c>
      <c r="I80">
        <v>-1</v>
      </c>
      <c r="J80">
        <v>-3.0754687499999999E-4</v>
      </c>
      <c r="M80">
        <v>0</v>
      </c>
      <c r="N80">
        <v>2.44140625E-4</v>
      </c>
      <c r="O80">
        <f t="shared" si="1"/>
        <v>6.1767578125E-2</v>
      </c>
      <c r="Q80" s="90"/>
      <c r="R80" s="89"/>
      <c r="S80" s="89"/>
    </row>
    <row r="81" spans="1:19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3.7223009848367745</v>
      </c>
      <c r="H81">
        <v>6.4926562499999989E-4</v>
      </c>
      <c r="I81">
        <v>-0.88331208869376399</v>
      </c>
      <c r="J81">
        <v>-5.7350417533581202E-4</v>
      </c>
      <c r="M81">
        <v>0</v>
      </c>
      <c r="N81">
        <v>4.8828125E-4</v>
      </c>
      <c r="O81">
        <f t="shared" si="1"/>
        <v>6.2255859375E-2</v>
      </c>
      <c r="Q81" s="90"/>
      <c r="R81" s="89"/>
      <c r="S81" s="89"/>
    </row>
    <row r="82" spans="1:19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6.5140267234643545</v>
      </c>
      <c r="H82">
        <v>4.1006249999999995E-4</v>
      </c>
      <c r="I82">
        <v>-0.80482193554237969</v>
      </c>
      <c r="J82">
        <v>-3.3002729494334702E-4</v>
      </c>
      <c r="M82">
        <v>0</v>
      </c>
      <c r="N82">
        <v>2.44140625E-4</v>
      </c>
      <c r="O82">
        <f t="shared" si="1"/>
        <v>6.25E-2</v>
      </c>
      <c r="Q82" s="90"/>
      <c r="R82" s="89"/>
      <c r="S82" s="89"/>
    </row>
    <row r="83" spans="1:19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2.9739715250640515</v>
      </c>
      <c r="H83">
        <v>2.73908935546875E-4</v>
      </c>
      <c r="I83">
        <v>-0.90562280996447619</v>
      </c>
      <c r="J83">
        <v>-2.4805817988433952E-4</v>
      </c>
      <c r="M83">
        <v>0.93057524620919363</v>
      </c>
      <c r="N83">
        <v>4.8828125E-4</v>
      </c>
      <c r="O83">
        <f t="shared" si="1"/>
        <v>6.298828125E-2</v>
      </c>
      <c r="Q83" s="90"/>
      <c r="R83" s="89"/>
      <c r="S83" s="89"/>
    </row>
    <row r="84" spans="1:19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8.9219145751921509</v>
      </c>
      <c r="H84">
        <v>5.7825219726562497E-4</v>
      </c>
      <c r="I84">
        <v>-0.74274896916251221</v>
      </c>
      <c r="J84">
        <v>-4.2949622343500061E-4</v>
      </c>
      <c r="M84">
        <v>0.93057524620919363</v>
      </c>
      <c r="N84">
        <v>9.765625E-4</v>
      </c>
      <c r="O84">
        <f t="shared" si="1"/>
        <v>6.396484375E-2</v>
      </c>
      <c r="Q84" s="90"/>
      <c r="R84" s="89"/>
      <c r="S84" s="89"/>
    </row>
    <row r="85" spans="1:19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13.38287186278823</v>
      </c>
      <c r="H85">
        <v>3.652119140625E-4</v>
      </c>
      <c r="I85">
        <v>-0.64012249099645369</v>
      </c>
      <c r="J85">
        <v>-2.3378036017127028E-4</v>
      </c>
      <c r="M85">
        <v>0.93057524620919363</v>
      </c>
      <c r="N85">
        <v>4.8828125E-4</v>
      </c>
      <c r="O85">
        <f t="shared" si="1"/>
        <v>6.4453125E-2</v>
      </c>
      <c r="Q85" s="90"/>
      <c r="R85" s="89"/>
      <c r="S85" s="89"/>
    </row>
    <row r="86" spans="1:19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1.4869857625320251</v>
      </c>
      <c r="H86">
        <v>5.7825219726562497E-4</v>
      </c>
      <c r="I86">
        <v>-0.95164216487316078</v>
      </c>
      <c r="J86">
        <v>-5.5028917284852133E-4</v>
      </c>
      <c r="M86">
        <v>0.93057524620919363</v>
      </c>
      <c r="N86">
        <v>9.765625E-4</v>
      </c>
      <c r="O86">
        <f t="shared" si="1"/>
        <v>6.54296875E-2</v>
      </c>
      <c r="Q86" s="90"/>
      <c r="R86" s="89"/>
      <c r="S86" s="89"/>
    </row>
    <row r="87" spans="1:19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7.4349288126601252</v>
      </c>
      <c r="H87">
        <v>1.2207546386718748E-3</v>
      </c>
      <c r="I87">
        <v>-0.78049186614330945</v>
      </c>
      <c r="J87">
        <v>-9.5278906604011305E-4</v>
      </c>
      <c r="M87">
        <v>0.93057524620919363</v>
      </c>
      <c r="N87">
        <v>1.953125E-3</v>
      </c>
      <c r="O87">
        <f t="shared" si="1"/>
        <v>6.73828125E-2</v>
      </c>
      <c r="Q87" s="90"/>
      <c r="R87" s="89"/>
      <c r="S87" s="89"/>
    </row>
    <row r="88" spans="1:19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11.895886100256201</v>
      </c>
      <c r="H88">
        <v>7.7100292968749996E-4</v>
      </c>
      <c r="I88">
        <v>-0.67265040855117242</v>
      </c>
      <c r="J88">
        <v>-5.186154356484477E-4</v>
      </c>
      <c r="M88">
        <v>0.93057524620919363</v>
      </c>
      <c r="N88">
        <v>9.765625E-4</v>
      </c>
      <c r="O88">
        <f t="shared" si="1"/>
        <v>6.8359375E-2</v>
      </c>
      <c r="Q88" s="90"/>
      <c r="R88" s="89"/>
      <c r="S88" s="89"/>
    </row>
    <row r="89" spans="1:19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3.652119140625E-4</v>
      </c>
      <c r="I89">
        <v>-1</v>
      </c>
      <c r="J89">
        <v>-3.652119140625E-4</v>
      </c>
      <c r="M89">
        <v>0.93057524620919363</v>
      </c>
      <c r="N89">
        <v>4.8828125E-4</v>
      </c>
      <c r="O89">
        <f t="shared" si="1"/>
        <v>6.884765625E-2</v>
      </c>
      <c r="Q89" s="90"/>
      <c r="R89" s="89"/>
      <c r="S89" s="89"/>
    </row>
    <row r="90" spans="1:19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5.9479430501281003</v>
      </c>
      <c r="H90">
        <v>7.7100292968749996E-4</v>
      </c>
      <c r="I90">
        <v>-0.82015267392795377</v>
      </c>
      <c r="J90">
        <v>-6.3234011438948921E-4</v>
      </c>
      <c r="M90">
        <v>0.93057524620919363</v>
      </c>
      <c r="N90">
        <v>9.765625E-4</v>
      </c>
      <c r="O90">
        <f t="shared" si="1"/>
        <v>6.982421875E-2</v>
      </c>
      <c r="Q90" s="90"/>
      <c r="R90" s="89"/>
      <c r="S90" s="89"/>
    </row>
    <row r="91" spans="1:19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10.408900337724178</v>
      </c>
      <c r="H91">
        <v>4.8694921874999997E-4</v>
      </c>
      <c r="I91">
        <v>-0.7068312369711216</v>
      </c>
      <c r="J91">
        <v>-3.4419091863118373E-4</v>
      </c>
      <c r="M91">
        <v>0.93057524620919363</v>
      </c>
      <c r="N91">
        <v>4.8828125E-4</v>
      </c>
      <c r="O91">
        <f t="shared" si="1"/>
        <v>7.03125E-2</v>
      </c>
      <c r="Q91" s="90"/>
      <c r="R91" s="89"/>
      <c r="S91" s="89"/>
    </row>
    <row r="92" spans="1:19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2.9739715250640515</v>
      </c>
      <c r="H92">
        <v>5.7825219726562497E-4</v>
      </c>
      <c r="I92">
        <v>-0.90562280996447619</v>
      </c>
      <c r="J92">
        <v>-5.2367837975582788E-4</v>
      </c>
      <c r="M92">
        <v>1.4869857625320251</v>
      </c>
      <c r="N92">
        <v>9.765625E-4</v>
      </c>
      <c r="O92">
        <f t="shared" si="1"/>
        <v>7.12890625E-2</v>
      </c>
      <c r="Q92" s="90"/>
      <c r="R92" s="89"/>
      <c r="S92" s="89"/>
    </row>
    <row r="93" spans="1:19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8.9219145751921509</v>
      </c>
      <c r="H93">
        <v>1.2207546386718748E-3</v>
      </c>
      <c r="I93">
        <v>-0.74274896916251221</v>
      </c>
      <c r="J93">
        <v>-9.0671424947389009E-4</v>
      </c>
      <c r="M93">
        <v>1.4869857625320251</v>
      </c>
      <c r="N93">
        <v>1.953125E-3</v>
      </c>
      <c r="O93">
        <f t="shared" si="1"/>
        <v>7.32421875E-2</v>
      </c>
      <c r="Q93" s="90"/>
      <c r="R93" s="89"/>
      <c r="S93" s="89"/>
    </row>
    <row r="94" spans="1:19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13.38287186278823</v>
      </c>
      <c r="H94">
        <v>7.7100292968749996E-4</v>
      </c>
      <c r="I94">
        <v>-0.64012249099645369</v>
      </c>
      <c r="J94">
        <v>-4.9353631591712616E-4</v>
      </c>
      <c r="M94">
        <v>1.4869857625320251</v>
      </c>
      <c r="N94">
        <v>9.765625E-4</v>
      </c>
      <c r="O94">
        <f t="shared" si="1"/>
        <v>7.421875E-2</v>
      </c>
      <c r="Q94" s="90"/>
      <c r="R94" s="89"/>
      <c r="S94" s="89"/>
    </row>
    <row r="95" spans="1:19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1.4869857625320251</v>
      </c>
      <c r="H95">
        <v>1.2207546386718748E-3</v>
      </c>
      <c r="I95">
        <v>-0.95164216487316078</v>
      </c>
      <c r="J95">
        <v>-1.1617215871246561E-3</v>
      </c>
      <c r="M95">
        <v>1.4869857625320251</v>
      </c>
      <c r="N95">
        <v>1.953125E-3</v>
      </c>
      <c r="O95">
        <f t="shared" si="1"/>
        <v>7.6171875E-2</v>
      </c>
      <c r="Q95" s="90"/>
      <c r="R95" s="89"/>
      <c r="S95" s="89"/>
    </row>
    <row r="96" spans="1:19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7.4349288126601252</v>
      </c>
      <c r="H96">
        <v>2.5771486816406246E-3</v>
      </c>
      <c r="I96">
        <v>-0.78049186614330945</v>
      </c>
      <c r="J96">
        <v>-2.0114435838624609E-3</v>
      </c>
      <c r="M96">
        <v>1.4869857625320251</v>
      </c>
      <c r="N96">
        <v>3.90625E-3</v>
      </c>
      <c r="O96">
        <f t="shared" si="1"/>
        <v>8.0078125E-2</v>
      </c>
      <c r="Q96" s="90"/>
      <c r="R96" s="89"/>
      <c r="S96" s="89"/>
    </row>
    <row r="97" spans="1:19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11.895886100256201</v>
      </c>
      <c r="H97">
        <v>1.6276728515624997E-3</v>
      </c>
      <c r="I97">
        <v>-0.67265040855117242</v>
      </c>
      <c r="J97">
        <v>-1.0948548085911673E-3</v>
      </c>
      <c r="M97">
        <v>1.4869857625320251</v>
      </c>
      <c r="N97">
        <v>1.953125E-3</v>
      </c>
      <c r="O97">
        <f t="shared" si="1"/>
        <v>8.203125E-2</v>
      </c>
      <c r="Q97" s="90"/>
      <c r="R97" s="89"/>
      <c r="S97" s="89"/>
    </row>
    <row r="98" spans="1:19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7.7100292968749985E-4</v>
      </c>
      <c r="I98">
        <v>-1</v>
      </c>
      <c r="J98">
        <v>-7.7100292968749985E-4</v>
      </c>
      <c r="M98">
        <v>1.4869857625320251</v>
      </c>
      <c r="N98">
        <v>9.765625E-4</v>
      </c>
      <c r="O98">
        <f t="shared" si="1"/>
        <v>8.30078125E-2</v>
      </c>
      <c r="Q98" s="90"/>
      <c r="R98" s="89"/>
      <c r="S98" s="89"/>
    </row>
    <row r="99" spans="1:19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5.9479430501281003</v>
      </c>
      <c r="H99">
        <v>1.6276728515624997E-3</v>
      </c>
      <c r="I99">
        <v>-0.82015267392795377</v>
      </c>
      <c r="J99">
        <v>-1.3349402414889215E-3</v>
      </c>
      <c r="M99">
        <v>1.4869857625320251</v>
      </c>
      <c r="N99">
        <v>1.953125E-3</v>
      </c>
      <c r="O99">
        <f t="shared" si="1"/>
        <v>8.49609375E-2</v>
      </c>
      <c r="Q99" s="90"/>
      <c r="R99" s="89"/>
      <c r="S99" s="89"/>
    </row>
    <row r="100" spans="1:19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10.408900337724178</v>
      </c>
      <c r="H100">
        <v>1.0280039062499997E-3</v>
      </c>
      <c r="I100">
        <v>-0.7068312369711216</v>
      </c>
      <c r="J100">
        <v>-7.2662527266583224E-4</v>
      </c>
      <c r="M100">
        <v>1.4869857625320251</v>
      </c>
      <c r="N100">
        <v>9.765625E-4</v>
      </c>
      <c r="O100">
        <f t="shared" si="1"/>
        <v>8.59375E-2</v>
      </c>
      <c r="Q100" s="90"/>
      <c r="R100" s="89"/>
      <c r="S100" s="89"/>
    </row>
    <row r="101" spans="1:19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2.9739715250640515</v>
      </c>
      <c r="H101">
        <v>3.6521191406249995E-4</v>
      </c>
      <c r="I101">
        <v>-0.90562280996447619</v>
      </c>
      <c r="J101">
        <v>-3.3074423984578598E-4</v>
      </c>
      <c r="M101">
        <v>1.6162041121082618</v>
      </c>
      <c r="N101">
        <v>4.8828125E-4</v>
      </c>
      <c r="O101">
        <f t="shared" si="1"/>
        <v>8.642578125E-2</v>
      </c>
      <c r="Q101" s="90"/>
      <c r="R101" s="89"/>
      <c r="S101" s="89"/>
    </row>
    <row r="102" spans="1:19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8.9219145751921509</v>
      </c>
      <c r="H102">
        <v>7.7100292968749985E-4</v>
      </c>
      <c r="I102">
        <v>-0.74274896916251221</v>
      </c>
      <c r="J102">
        <v>-5.7266163124666738E-4</v>
      </c>
      <c r="M102">
        <v>1.6162041121082618</v>
      </c>
      <c r="N102">
        <v>9.765625E-4</v>
      </c>
      <c r="O102">
        <f t="shared" si="1"/>
        <v>8.740234375E-2</v>
      </c>
      <c r="Q102" s="90"/>
      <c r="R102" s="89"/>
      <c r="S102" s="89"/>
    </row>
    <row r="103" spans="1:19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13.38287186278823</v>
      </c>
      <c r="H103">
        <v>4.8694921874999991E-4</v>
      </c>
      <c r="I103">
        <v>-0.64012249099645369</v>
      </c>
      <c r="J103">
        <v>-3.11707146895027E-4</v>
      </c>
      <c r="M103">
        <v>1.6162041121082618</v>
      </c>
      <c r="N103">
        <v>4.8828125E-4</v>
      </c>
      <c r="O103">
        <f t="shared" si="1"/>
        <v>8.7890625E-2</v>
      </c>
      <c r="Q103" s="90"/>
      <c r="R103" s="89"/>
      <c r="S103" s="89"/>
    </row>
    <row r="104" spans="1:19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1.4869857625320251</v>
      </c>
      <c r="H104">
        <v>7.7100292968749985E-4</v>
      </c>
      <c r="I104">
        <v>-0.95164216487316078</v>
      </c>
      <c r="J104">
        <v>-7.3371889713136167E-4</v>
      </c>
      <c r="M104">
        <v>1.6162041121082618</v>
      </c>
      <c r="N104">
        <v>9.765625E-4</v>
      </c>
      <c r="O104">
        <f t="shared" si="1"/>
        <v>8.88671875E-2</v>
      </c>
      <c r="Q104" s="90"/>
      <c r="R104" s="89"/>
      <c r="S104" s="89"/>
    </row>
    <row r="105" spans="1:19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7.4349288126601252</v>
      </c>
      <c r="H105">
        <v>1.6276728515624997E-3</v>
      </c>
      <c r="I105">
        <v>-0.78049186614330945</v>
      </c>
      <c r="J105">
        <v>-1.2703854213868173E-3</v>
      </c>
      <c r="M105">
        <v>1.6162041121082618</v>
      </c>
      <c r="N105">
        <v>1.953125E-3</v>
      </c>
      <c r="O105">
        <f t="shared" si="1"/>
        <v>9.08203125E-2</v>
      </c>
      <c r="Q105" s="90"/>
      <c r="R105" s="89"/>
      <c r="S105" s="89"/>
    </row>
    <row r="106" spans="1:19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11.895886100256201</v>
      </c>
      <c r="H106">
        <v>1.0280039062499997E-3</v>
      </c>
      <c r="I106">
        <v>-0.67265040855117242</v>
      </c>
      <c r="J106">
        <v>-6.9148724753126346E-4</v>
      </c>
      <c r="M106">
        <v>1.6162041121082618</v>
      </c>
      <c r="N106">
        <v>9.765625E-4</v>
      </c>
      <c r="O106">
        <f t="shared" si="1"/>
        <v>9.1796875E-2</v>
      </c>
      <c r="Q106" s="90"/>
      <c r="R106" s="89"/>
      <c r="S106" s="89"/>
    </row>
    <row r="107" spans="1:19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4.8694921874999991E-4</v>
      </c>
      <c r="I107">
        <v>-1</v>
      </c>
      <c r="J107">
        <v>-4.8694921874999991E-4</v>
      </c>
      <c r="M107">
        <v>1.6162041121082618</v>
      </c>
      <c r="N107">
        <v>4.8828125E-4</v>
      </c>
      <c r="O107">
        <f t="shared" si="1"/>
        <v>9.228515625E-2</v>
      </c>
      <c r="Q107" s="90"/>
      <c r="R107" s="89"/>
      <c r="S107" s="89"/>
    </row>
    <row r="108" spans="1:19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5.9479430501281003</v>
      </c>
      <c r="H108">
        <v>1.0280039062499997E-3</v>
      </c>
      <c r="I108">
        <v>-0.82015267392795377</v>
      </c>
      <c r="J108">
        <v>-8.4312015251931883E-4</v>
      </c>
      <c r="M108">
        <v>1.6162041121082618</v>
      </c>
      <c r="N108">
        <v>9.765625E-4</v>
      </c>
      <c r="O108">
        <f t="shared" si="1"/>
        <v>9.326171875E-2</v>
      </c>
      <c r="Q108" s="90"/>
      <c r="R108" s="89"/>
      <c r="S108" s="89"/>
    </row>
    <row r="109" spans="1:19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10.408900337724178</v>
      </c>
      <c r="H109">
        <v>6.4926562499999978E-4</v>
      </c>
      <c r="I109">
        <v>-0.7068312369711216</v>
      </c>
      <c r="J109">
        <v>-4.5892122484157824E-4</v>
      </c>
      <c r="M109">
        <v>1.6162041121082618</v>
      </c>
      <c r="N109">
        <v>4.8828125E-4</v>
      </c>
      <c r="O109">
        <f t="shared" si="1"/>
        <v>9.375E-2</v>
      </c>
      <c r="Q109" s="90"/>
      <c r="R109" s="89"/>
      <c r="S109" s="89"/>
    </row>
    <row r="110" spans="1:19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2.9739715250640515</v>
      </c>
      <c r="H110">
        <v>5.7825219726562497E-4</v>
      </c>
      <c r="I110">
        <v>-0.90562280996447619</v>
      </c>
      <c r="J110">
        <v>-5.2367837975582788E-4</v>
      </c>
      <c r="M110">
        <v>1.8611504924183875</v>
      </c>
      <c r="N110" s="93">
        <v>2.44140625E-4</v>
      </c>
      <c r="O110">
        <f t="shared" si="1"/>
        <v>9.3994140625E-2</v>
      </c>
      <c r="Q110" s="90"/>
      <c r="R110" s="89"/>
      <c r="S110" s="89"/>
    </row>
    <row r="111" spans="1:19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8.9219145751921509</v>
      </c>
      <c r="H111">
        <v>1.2207546386718748E-3</v>
      </c>
      <c r="I111">
        <v>-0.74274896916251221</v>
      </c>
      <c r="J111">
        <v>-9.0671424947389009E-4</v>
      </c>
      <c r="M111">
        <v>1.8611504924183875</v>
      </c>
      <c r="N111">
        <v>4.8828125E-4</v>
      </c>
      <c r="O111">
        <f t="shared" si="1"/>
        <v>9.4482421875E-2</v>
      </c>
      <c r="Q111" s="90"/>
      <c r="R111" s="89"/>
      <c r="S111" s="89"/>
    </row>
    <row r="112" spans="1:19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13.38287186278823</v>
      </c>
      <c r="H112">
        <v>7.7100292968749996E-4</v>
      </c>
      <c r="I112">
        <v>-0.64012249099645369</v>
      </c>
      <c r="J112">
        <v>-4.9353631591712616E-4</v>
      </c>
      <c r="M112">
        <v>1.8611504924183875</v>
      </c>
      <c r="N112">
        <v>2.44140625E-4</v>
      </c>
      <c r="O112">
        <f t="shared" si="1"/>
        <v>9.47265625E-2</v>
      </c>
      <c r="Q112" s="90"/>
      <c r="R112" s="89"/>
      <c r="S112" s="89"/>
    </row>
    <row r="113" spans="1:19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1.4869857625320251</v>
      </c>
      <c r="H113">
        <v>1.2207546386718748E-3</v>
      </c>
      <c r="I113">
        <v>-0.95164216487316078</v>
      </c>
      <c r="J113">
        <v>-1.1617215871246561E-3</v>
      </c>
      <c r="M113">
        <v>1.8611504924183875</v>
      </c>
      <c r="N113">
        <v>4.8828125E-4</v>
      </c>
      <c r="O113">
        <f t="shared" si="1"/>
        <v>9.521484375E-2</v>
      </c>
      <c r="Q113" s="90"/>
      <c r="R113" s="89"/>
      <c r="S113" s="89"/>
    </row>
    <row r="114" spans="1:19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7.4349288126601252</v>
      </c>
      <c r="H114">
        <v>2.5771486816406246E-3</v>
      </c>
      <c r="I114">
        <v>-0.78049186614330945</v>
      </c>
      <c r="J114">
        <v>-2.0114435838624609E-3</v>
      </c>
      <c r="M114">
        <v>1.8611504924183875</v>
      </c>
      <c r="N114">
        <v>9.765625E-4</v>
      </c>
      <c r="O114">
        <f t="shared" si="1"/>
        <v>9.619140625E-2</v>
      </c>
      <c r="Q114" s="90"/>
      <c r="R114" s="89"/>
      <c r="S114" s="89"/>
    </row>
    <row r="115" spans="1:19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11.895886100256201</v>
      </c>
      <c r="H115">
        <v>1.6276728515624997E-3</v>
      </c>
      <c r="I115">
        <v>-0.67265040855117242</v>
      </c>
      <c r="J115">
        <v>-1.0948548085911673E-3</v>
      </c>
      <c r="M115">
        <v>1.8611504924183875</v>
      </c>
      <c r="N115">
        <v>4.8828125E-4</v>
      </c>
      <c r="O115">
        <f t="shared" si="1"/>
        <v>9.66796875E-2</v>
      </c>
      <c r="Q115" s="90"/>
      <c r="R115" s="89"/>
      <c r="S115" s="89"/>
    </row>
    <row r="116" spans="1:19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7.7100292968749985E-4</v>
      </c>
      <c r="I116">
        <v>-1</v>
      </c>
      <c r="J116">
        <v>-7.7100292968749985E-4</v>
      </c>
      <c r="M116">
        <v>1.8611504924183875</v>
      </c>
      <c r="N116">
        <v>2.44140625E-4</v>
      </c>
      <c r="O116">
        <f t="shared" si="1"/>
        <v>9.6923828125E-2</v>
      </c>
      <c r="Q116" s="90"/>
      <c r="R116" s="89"/>
      <c r="S116" s="89"/>
    </row>
    <row r="117" spans="1:19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5.9479430501281003</v>
      </c>
      <c r="H117">
        <v>1.6276728515624997E-3</v>
      </c>
      <c r="I117">
        <v>-0.82015267392795377</v>
      </c>
      <c r="J117">
        <v>-1.3349402414889215E-3</v>
      </c>
      <c r="M117">
        <v>1.8611504924183875</v>
      </c>
      <c r="N117">
        <v>4.8828125E-4</v>
      </c>
      <c r="O117">
        <f t="shared" si="1"/>
        <v>9.7412109375E-2</v>
      </c>
      <c r="Q117" s="90"/>
      <c r="R117" s="89"/>
      <c r="S117" s="89"/>
    </row>
    <row r="118" spans="1:19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10.408900337724178</v>
      </c>
      <c r="H118">
        <v>1.0280039062499997E-3</v>
      </c>
      <c r="I118">
        <v>-0.7068312369711216</v>
      </c>
      <c r="J118">
        <v>-7.2662527266583224E-4</v>
      </c>
      <c r="M118">
        <v>1.8611504924183875</v>
      </c>
      <c r="N118">
        <v>2.44140625E-4</v>
      </c>
      <c r="O118">
        <f t="shared" si="1"/>
        <v>9.765625E-2</v>
      </c>
      <c r="Q118" s="90"/>
      <c r="R118" s="89"/>
      <c r="S118" s="89"/>
    </row>
    <row r="119" spans="1:19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2.9739715250640515</v>
      </c>
      <c r="H119">
        <v>1.2207546386718748E-3</v>
      </c>
      <c r="I119">
        <v>-0.90562280996447619</v>
      </c>
      <c r="J119">
        <v>-1.1055432461511922E-3</v>
      </c>
      <c r="M119">
        <v>2.3264381155229863</v>
      </c>
      <c r="N119">
        <v>9.765625E-4</v>
      </c>
      <c r="O119">
        <f t="shared" si="1"/>
        <v>9.86328125E-2</v>
      </c>
      <c r="Q119" s="90"/>
      <c r="R119" s="89"/>
      <c r="S119" s="89"/>
    </row>
    <row r="120" spans="1:19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8.9219145751921509</v>
      </c>
      <c r="H120">
        <v>2.5771486816406246E-3</v>
      </c>
      <c r="I120">
        <v>-0.74274896916251221</v>
      </c>
      <c r="J120">
        <v>-1.9141745266671012E-3</v>
      </c>
      <c r="M120">
        <v>2.3264381155229863</v>
      </c>
      <c r="N120">
        <v>1.953125E-3</v>
      </c>
      <c r="O120">
        <f t="shared" si="1"/>
        <v>0.1005859375</v>
      </c>
      <c r="Q120" s="90"/>
      <c r="R120" s="89"/>
      <c r="S120" s="89"/>
    </row>
    <row r="121" spans="1:19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13.38287186278823</v>
      </c>
      <c r="H121">
        <v>1.6276728515624997E-3</v>
      </c>
      <c r="I121">
        <v>-0.64012249099645369</v>
      </c>
      <c r="J121">
        <v>-1.0419100002694883E-3</v>
      </c>
      <c r="M121">
        <v>2.3264381155229863</v>
      </c>
      <c r="N121">
        <v>9.765625E-4</v>
      </c>
      <c r="O121">
        <f t="shared" si="1"/>
        <v>0.1015625</v>
      </c>
      <c r="Q121" s="90"/>
      <c r="R121" s="89"/>
      <c r="S121" s="89"/>
    </row>
    <row r="122" spans="1:19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1.4869857625320251</v>
      </c>
      <c r="H122">
        <v>2.5771486816406246E-3</v>
      </c>
      <c r="I122">
        <v>-0.95164216487316078</v>
      </c>
      <c r="J122">
        <v>-2.4525233505964961E-3</v>
      </c>
      <c r="M122">
        <v>2.3264381155229863</v>
      </c>
      <c r="N122">
        <v>1.953125E-3</v>
      </c>
      <c r="O122">
        <f t="shared" si="1"/>
        <v>0.103515625</v>
      </c>
      <c r="Q122" s="90"/>
      <c r="R122" s="89"/>
      <c r="S122" s="89"/>
    </row>
    <row r="123" spans="1:19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7.4349288126601252</v>
      </c>
      <c r="H123">
        <v>5.4406472167968737E-3</v>
      </c>
      <c r="I123">
        <v>-0.78049186614330945</v>
      </c>
      <c r="J123">
        <v>-4.2463808992651945E-3</v>
      </c>
      <c r="M123">
        <v>2.3264381155229863</v>
      </c>
      <c r="N123">
        <v>3.90625E-3</v>
      </c>
      <c r="O123">
        <f t="shared" si="1"/>
        <v>0.107421875</v>
      </c>
      <c r="Q123" s="90"/>
      <c r="R123" s="89"/>
      <c r="S123" s="89"/>
    </row>
    <row r="124" spans="1:19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11.895886100256201</v>
      </c>
      <c r="H124">
        <v>3.4361982421874993E-3</v>
      </c>
      <c r="I124">
        <v>-0.67265040855117242</v>
      </c>
      <c r="J124">
        <v>-2.3113601514702419E-3</v>
      </c>
      <c r="M124">
        <v>2.3264381155229863</v>
      </c>
      <c r="N124">
        <v>1.953125E-3</v>
      </c>
      <c r="O124">
        <f t="shared" si="1"/>
        <v>0.109375</v>
      </c>
      <c r="Q124" s="90"/>
      <c r="R124" s="89"/>
      <c r="S124" s="89"/>
    </row>
    <row r="125" spans="1:19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1.6276728515624997E-3</v>
      </c>
      <c r="I125">
        <v>-1</v>
      </c>
      <c r="J125">
        <v>-1.6276728515624997E-3</v>
      </c>
      <c r="M125">
        <v>2.3264381155229863</v>
      </c>
      <c r="N125">
        <v>9.765625E-4</v>
      </c>
      <c r="O125">
        <f t="shared" si="1"/>
        <v>0.1103515625</v>
      </c>
      <c r="Q125" s="90"/>
      <c r="R125" s="89"/>
      <c r="S125" s="89"/>
    </row>
    <row r="126" spans="1:19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5.9479430501281003</v>
      </c>
      <c r="H126">
        <v>3.4361982421874993E-3</v>
      </c>
      <c r="I126">
        <v>-0.82015267392795377</v>
      </c>
      <c r="J126">
        <v>-2.8182071764766121E-3</v>
      </c>
      <c r="M126">
        <v>2.3264381155229863</v>
      </c>
      <c r="N126">
        <v>1.953125E-3</v>
      </c>
      <c r="O126">
        <f t="shared" si="1"/>
        <v>0.1123046875</v>
      </c>
      <c r="Q126" s="90"/>
      <c r="R126" s="89"/>
      <c r="S126" s="89"/>
    </row>
    <row r="127" spans="1:19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10.408900337724178</v>
      </c>
      <c r="H127">
        <v>2.1702304687499993E-3</v>
      </c>
      <c r="I127">
        <v>-0.7068312369711216</v>
      </c>
      <c r="J127">
        <v>-1.533986686738979E-3</v>
      </c>
      <c r="M127">
        <v>2.3264381155229863</v>
      </c>
      <c r="N127">
        <v>9.765625E-4</v>
      </c>
      <c r="O127">
        <f t="shared" si="1"/>
        <v>0.11328125</v>
      </c>
      <c r="Q127" s="90"/>
      <c r="R127" s="89"/>
      <c r="S127" s="89"/>
    </row>
    <row r="128" spans="1:19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2.9739715250640515</v>
      </c>
      <c r="H128">
        <v>7.7100292968749996E-4</v>
      </c>
      <c r="I128">
        <v>-0.90562280996447619</v>
      </c>
      <c r="J128">
        <v>-6.9823783967443718E-4</v>
      </c>
      <c r="M128">
        <v>2.8081690654569935</v>
      </c>
      <c r="N128">
        <v>1.953125E-3</v>
      </c>
      <c r="O128">
        <f t="shared" si="1"/>
        <v>0.115234375</v>
      </c>
      <c r="Q128" s="90"/>
      <c r="R128" s="89"/>
      <c r="S128" s="89"/>
    </row>
    <row r="129" spans="1:19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8.9219145751921509</v>
      </c>
      <c r="H129">
        <v>1.6276728515624999E-3</v>
      </c>
      <c r="I129">
        <v>-0.74274896916251221</v>
      </c>
      <c r="J129">
        <v>-1.2089523326318536E-3</v>
      </c>
      <c r="M129">
        <v>2.8081690654569935</v>
      </c>
      <c r="N129">
        <v>3.90625E-3</v>
      </c>
      <c r="O129">
        <f t="shared" si="1"/>
        <v>0.119140625</v>
      </c>
      <c r="Q129" s="90"/>
      <c r="R129" s="89"/>
      <c r="S129" s="89"/>
    </row>
    <row r="130" spans="1:19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13.38287186278823</v>
      </c>
      <c r="H130">
        <v>1.0280039062499999E-3</v>
      </c>
      <c r="I130">
        <v>-0.64012249099645369</v>
      </c>
      <c r="J130">
        <v>-6.5804842122283477E-4</v>
      </c>
      <c r="M130">
        <v>2.8081690654569935</v>
      </c>
      <c r="N130">
        <v>1.953125E-3</v>
      </c>
      <c r="O130">
        <f t="shared" si="1"/>
        <v>0.12109375</v>
      </c>
      <c r="Q130" s="90"/>
      <c r="R130" s="89"/>
      <c r="S130" s="89"/>
    </row>
    <row r="131" spans="1:19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1.4869857625320251</v>
      </c>
      <c r="H131">
        <v>1.6276728515624997E-3</v>
      </c>
      <c r="I131">
        <v>-0.95164216487316078</v>
      </c>
      <c r="J131">
        <v>-1.548962116166208E-3</v>
      </c>
      <c r="M131">
        <v>2.8081690654569935</v>
      </c>
      <c r="N131">
        <v>3.90625E-3</v>
      </c>
      <c r="O131">
        <f t="shared" si="1"/>
        <v>0.125</v>
      </c>
      <c r="Q131" s="90"/>
      <c r="R131" s="89"/>
      <c r="S131" s="89"/>
    </row>
    <row r="132" spans="1:19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7.4349288126601252</v>
      </c>
      <c r="H132">
        <v>3.4361982421874993E-3</v>
      </c>
      <c r="I132">
        <v>-0.78049186614330945</v>
      </c>
      <c r="J132">
        <v>-2.6819247784832809E-3</v>
      </c>
      <c r="M132">
        <v>2.8081690654569935</v>
      </c>
      <c r="N132">
        <v>7.8125E-3</v>
      </c>
      <c r="O132">
        <f t="shared" ref="O132:O195" si="2">N132+O131</f>
        <v>0.1328125</v>
      </c>
      <c r="Q132" s="90"/>
      <c r="R132" s="89"/>
      <c r="S132" s="89"/>
    </row>
    <row r="133" spans="1:19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11.895886100256201</v>
      </c>
      <c r="H133">
        <v>2.1702304687499993E-3</v>
      </c>
      <c r="I133">
        <v>-0.67265040855117242</v>
      </c>
      <c r="J133">
        <v>-1.4598064114548894E-3</v>
      </c>
      <c r="M133">
        <v>2.8081690654569935</v>
      </c>
      <c r="N133">
        <v>3.90625E-3</v>
      </c>
      <c r="O133">
        <f t="shared" si="2"/>
        <v>0.13671875</v>
      </c>
      <c r="Q133" s="90"/>
      <c r="R133" s="89"/>
      <c r="S133" s="89"/>
    </row>
    <row r="134" spans="1:19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1.0280039062499999E-3</v>
      </c>
      <c r="I134">
        <v>-1</v>
      </c>
      <c r="J134">
        <v>-1.0280039062499999E-3</v>
      </c>
      <c r="M134">
        <v>2.8081690654569935</v>
      </c>
      <c r="N134">
        <v>1.953125E-3</v>
      </c>
      <c r="O134">
        <f t="shared" si="2"/>
        <v>0.138671875</v>
      </c>
      <c r="Q134" s="90"/>
      <c r="R134" s="89"/>
      <c r="S134" s="89"/>
    </row>
    <row r="135" spans="1:19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5.9479430501281003</v>
      </c>
      <c r="H135">
        <v>2.1702304687499993E-3</v>
      </c>
      <c r="I135">
        <v>-0.82015267392795377</v>
      </c>
      <c r="J135">
        <v>-1.7799203219852284E-3</v>
      </c>
      <c r="M135">
        <v>2.8081690654569935</v>
      </c>
      <c r="N135">
        <v>3.90625E-3</v>
      </c>
      <c r="O135">
        <f t="shared" si="2"/>
        <v>0.142578125</v>
      </c>
      <c r="Q135" s="90"/>
      <c r="R135" s="89"/>
      <c r="S135" s="89"/>
    </row>
    <row r="136" spans="1:19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10.408900337724178</v>
      </c>
      <c r="H136">
        <v>1.3706718749999997E-3</v>
      </c>
      <c r="I136">
        <v>-0.7068312369711216</v>
      </c>
      <c r="J136">
        <v>-9.6883369688777633E-4</v>
      </c>
      <c r="M136">
        <v>2.8081690654569935</v>
      </c>
      <c r="N136">
        <v>1.953125E-3</v>
      </c>
      <c r="O136">
        <f t="shared" si="2"/>
        <v>0.14453125</v>
      </c>
      <c r="Q136" s="90"/>
      <c r="R136" s="89"/>
      <c r="S136" s="89"/>
    </row>
    <row r="137" spans="1:19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2.9739715250640515</v>
      </c>
      <c r="H137">
        <v>3.652119140625E-4</v>
      </c>
      <c r="I137">
        <v>-0.90562280996447619</v>
      </c>
      <c r="J137">
        <v>-3.3074423984578603E-4</v>
      </c>
      <c r="M137">
        <v>2.8081690654569935</v>
      </c>
      <c r="N137">
        <v>9.765625E-4</v>
      </c>
      <c r="O137">
        <f t="shared" si="2"/>
        <v>0.1455078125</v>
      </c>
      <c r="Q137" s="90"/>
      <c r="R137" s="89"/>
      <c r="S137" s="89"/>
    </row>
    <row r="138" spans="1:19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8.9219145751921509</v>
      </c>
      <c r="H138">
        <v>7.7100292968749996E-4</v>
      </c>
      <c r="I138">
        <v>-0.74274896916251221</v>
      </c>
      <c r="J138">
        <v>-5.7266163124666748E-4</v>
      </c>
      <c r="M138">
        <v>2.8081690654569935</v>
      </c>
      <c r="N138">
        <v>1.953125E-3</v>
      </c>
      <c r="O138">
        <f t="shared" si="2"/>
        <v>0.1474609375</v>
      </c>
      <c r="Q138" s="90"/>
      <c r="R138" s="89"/>
      <c r="S138" s="89"/>
    </row>
    <row r="139" spans="1:19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13.38287186278823</v>
      </c>
      <c r="H139">
        <v>4.8694921874999997E-4</v>
      </c>
      <c r="I139">
        <v>-0.64012249099645369</v>
      </c>
      <c r="J139">
        <v>-3.11707146895027E-4</v>
      </c>
      <c r="M139">
        <v>2.8081690654569935</v>
      </c>
      <c r="N139">
        <v>9.765625E-4</v>
      </c>
      <c r="O139">
        <f t="shared" si="2"/>
        <v>0.1484375</v>
      </c>
      <c r="Q139" s="90"/>
      <c r="R139" s="89"/>
      <c r="S139" s="89"/>
    </row>
    <row r="140" spans="1:19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1.4869857625320251</v>
      </c>
      <c r="H140">
        <v>7.7100292968749996E-4</v>
      </c>
      <c r="I140">
        <v>-0.95164216487316078</v>
      </c>
      <c r="J140">
        <v>-7.3371889713136178E-4</v>
      </c>
      <c r="M140">
        <v>2.8081690654569935</v>
      </c>
      <c r="N140">
        <v>1.953125E-3</v>
      </c>
      <c r="O140">
        <f t="shared" si="2"/>
        <v>0.150390625</v>
      </c>
      <c r="Q140" s="90"/>
      <c r="R140" s="89"/>
      <c r="S140" s="89"/>
    </row>
    <row r="141" spans="1:19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7.4349288126601252</v>
      </c>
      <c r="H141">
        <v>1.6276728515624999E-3</v>
      </c>
      <c r="I141">
        <v>-0.78049186614330945</v>
      </c>
      <c r="J141">
        <v>-1.2703854213868175E-3</v>
      </c>
      <c r="M141">
        <v>2.8081690654569935</v>
      </c>
      <c r="N141">
        <v>3.90625E-3</v>
      </c>
      <c r="O141">
        <f t="shared" si="2"/>
        <v>0.154296875</v>
      </c>
      <c r="Q141" s="90"/>
      <c r="R141" s="89"/>
      <c r="S141" s="89"/>
    </row>
    <row r="142" spans="1:19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11.895886100256201</v>
      </c>
      <c r="H142">
        <v>1.0280039062499999E-3</v>
      </c>
      <c r="I142">
        <v>-0.67265040855117242</v>
      </c>
      <c r="J142">
        <v>-6.9148724753126357E-4</v>
      </c>
      <c r="M142">
        <v>2.8081690654569935</v>
      </c>
      <c r="N142">
        <v>1.953125E-3</v>
      </c>
      <c r="O142">
        <f t="shared" si="2"/>
        <v>0.15625</v>
      </c>
      <c r="Q142" s="90"/>
      <c r="R142" s="89"/>
      <c r="S142" s="89"/>
    </row>
    <row r="143" spans="1:19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4.8694921874999997E-4</v>
      </c>
      <c r="I143">
        <v>-1</v>
      </c>
      <c r="J143">
        <v>-4.8694921874999997E-4</v>
      </c>
      <c r="M143">
        <v>2.8081690654569935</v>
      </c>
      <c r="N143">
        <v>9.765625E-4</v>
      </c>
      <c r="O143">
        <f t="shared" si="2"/>
        <v>0.1572265625</v>
      </c>
      <c r="Q143" s="90"/>
      <c r="R143" s="89"/>
      <c r="S143" s="89"/>
    </row>
    <row r="144" spans="1:19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5.9479430501281003</v>
      </c>
      <c r="H144">
        <v>1.0280039062499999E-3</v>
      </c>
      <c r="I144">
        <v>-0.82015267392795377</v>
      </c>
      <c r="J144">
        <v>-8.4312015251931894E-4</v>
      </c>
      <c r="M144">
        <v>2.8081690654569935</v>
      </c>
      <c r="N144">
        <v>1.953125E-3</v>
      </c>
      <c r="O144">
        <f t="shared" si="2"/>
        <v>0.1591796875</v>
      </c>
      <c r="Q144" s="90"/>
      <c r="R144" s="89"/>
      <c r="S144" s="89"/>
    </row>
    <row r="145" spans="1:19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10.408900337724178</v>
      </c>
      <c r="H145">
        <v>6.4926562499999999E-4</v>
      </c>
      <c r="I145">
        <v>-0.7068312369711216</v>
      </c>
      <c r="J145">
        <v>-4.5892122484157835E-4</v>
      </c>
      <c r="M145">
        <v>2.8081690654569935</v>
      </c>
      <c r="N145">
        <v>9.765625E-4</v>
      </c>
      <c r="O145">
        <f t="shared" si="2"/>
        <v>0.16015625</v>
      </c>
      <c r="Q145" s="90"/>
      <c r="R145" s="89"/>
      <c r="S145" s="89"/>
    </row>
    <row r="146" spans="1:19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2.9739715250640515</v>
      </c>
      <c r="H146">
        <v>7.7100292968750007E-4</v>
      </c>
      <c r="I146">
        <v>-0.90562280996447619</v>
      </c>
      <c r="J146">
        <v>-6.9823783967443728E-4</v>
      </c>
      <c r="M146">
        <v>2.8081690654569935</v>
      </c>
      <c r="N146">
        <v>4.8828125E-4</v>
      </c>
      <c r="O146">
        <f t="shared" si="2"/>
        <v>0.16064453125</v>
      </c>
      <c r="Q146" s="90"/>
      <c r="R146" s="89"/>
      <c r="S146" s="89"/>
    </row>
    <row r="147" spans="1:19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8.9219145751921509</v>
      </c>
      <c r="H147">
        <v>1.6276728515625001E-3</v>
      </c>
      <c r="I147">
        <v>-0.74274896916251221</v>
      </c>
      <c r="J147">
        <v>-1.2089523326318538E-3</v>
      </c>
      <c r="M147">
        <v>2.8081690654569935</v>
      </c>
      <c r="N147">
        <v>9.765625E-4</v>
      </c>
      <c r="O147">
        <f t="shared" si="2"/>
        <v>0.16162109375</v>
      </c>
      <c r="Q147" s="90"/>
      <c r="R147" s="89"/>
      <c r="S147" s="89"/>
    </row>
    <row r="148" spans="1:19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13.38287186278823</v>
      </c>
      <c r="H148">
        <v>1.0280039062499999E-3</v>
      </c>
      <c r="I148">
        <v>-0.64012249099645369</v>
      </c>
      <c r="J148">
        <v>-6.5804842122283477E-4</v>
      </c>
      <c r="M148">
        <v>2.8081690654569935</v>
      </c>
      <c r="N148">
        <v>4.8828125E-4</v>
      </c>
      <c r="O148">
        <f t="shared" si="2"/>
        <v>0.162109375</v>
      </c>
      <c r="Q148" s="90"/>
      <c r="R148" s="89"/>
      <c r="S148" s="89"/>
    </row>
    <row r="149" spans="1:19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1.4869857625320251</v>
      </c>
      <c r="H149">
        <v>1.6276728515624999E-3</v>
      </c>
      <c r="I149">
        <v>-0.95164216487316078</v>
      </c>
      <c r="J149">
        <v>-1.5489621161662082E-3</v>
      </c>
      <c r="M149">
        <v>2.8081690654569935</v>
      </c>
      <c r="N149">
        <v>9.765625E-4</v>
      </c>
      <c r="O149">
        <f t="shared" si="2"/>
        <v>0.1630859375</v>
      </c>
      <c r="Q149" s="90"/>
      <c r="R149" s="89"/>
      <c r="S149" s="89"/>
    </row>
    <row r="150" spans="1:19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7.4349288126601252</v>
      </c>
      <c r="H150">
        <v>3.4361982421874998E-3</v>
      </c>
      <c r="I150">
        <v>-0.78049186614330945</v>
      </c>
      <c r="J150">
        <v>-2.6819247784832813E-3</v>
      </c>
      <c r="M150">
        <v>2.8081690654569935</v>
      </c>
      <c r="N150">
        <v>1.953125E-3</v>
      </c>
      <c r="O150">
        <f t="shared" si="2"/>
        <v>0.1650390625</v>
      </c>
      <c r="Q150" s="90"/>
      <c r="R150" s="89"/>
      <c r="S150" s="89"/>
    </row>
    <row r="151" spans="1:19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11.895886100256201</v>
      </c>
      <c r="H151">
        <v>2.1702304687499997E-3</v>
      </c>
      <c r="I151">
        <v>-0.67265040855117242</v>
      </c>
      <c r="J151">
        <v>-1.4598064114548898E-3</v>
      </c>
      <c r="M151">
        <v>2.8081690654569935</v>
      </c>
      <c r="N151">
        <v>9.765625E-4</v>
      </c>
      <c r="O151">
        <f t="shared" si="2"/>
        <v>0.166015625</v>
      </c>
      <c r="Q151" s="90"/>
      <c r="R151" s="89"/>
      <c r="S151" s="89"/>
    </row>
    <row r="152" spans="1:19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1.0280039062499999E-3</v>
      </c>
      <c r="I152">
        <v>-1</v>
      </c>
      <c r="J152">
        <v>-1.0280039062499999E-3</v>
      </c>
      <c r="M152">
        <v>2.8081690654569935</v>
      </c>
      <c r="N152">
        <v>4.8828125E-4</v>
      </c>
      <c r="O152">
        <f t="shared" si="2"/>
        <v>0.16650390625</v>
      </c>
      <c r="Q152" s="90"/>
      <c r="R152" s="89"/>
      <c r="S152" s="89"/>
    </row>
    <row r="153" spans="1:19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5.9479430501281003</v>
      </c>
      <c r="H153">
        <v>2.1702304687499997E-3</v>
      </c>
      <c r="I153">
        <v>-0.82015267392795377</v>
      </c>
      <c r="J153">
        <v>-1.7799203219852288E-3</v>
      </c>
      <c r="M153">
        <v>2.8081690654569935</v>
      </c>
      <c r="N153">
        <v>9.765625E-4</v>
      </c>
      <c r="O153">
        <f t="shared" si="2"/>
        <v>0.16748046875</v>
      </c>
      <c r="Q153" s="90"/>
      <c r="R153" s="89"/>
      <c r="S153" s="89"/>
    </row>
    <row r="154" spans="1:19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10.408900337724178</v>
      </c>
      <c r="H154">
        <v>1.3706718749999999E-3</v>
      </c>
      <c r="I154">
        <v>-0.7068312369711216</v>
      </c>
      <c r="J154">
        <v>-9.6883369688777654E-4</v>
      </c>
      <c r="M154">
        <v>2.8081690654569935</v>
      </c>
      <c r="N154">
        <v>4.8828125E-4</v>
      </c>
      <c r="O154">
        <f t="shared" si="2"/>
        <v>0.16796875</v>
      </c>
      <c r="Q154" s="90"/>
      <c r="R154" s="89"/>
      <c r="S154" s="89"/>
    </row>
    <row r="155" spans="1:19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2.9739715250640515</v>
      </c>
      <c r="H155">
        <v>4.8694921875000008E-4</v>
      </c>
      <c r="I155">
        <v>-0.90562280996447619</v>
      </c>
      <c r="J155">
        <v>-4.4099231979438148E-4</v>
      </c>
      <c r="M155">
        <v>2.8081690654569935</v>
      </c>
      <c r="N155">
        <v>9.765625E-4</v>
      </c>
      <c r="O155">
        <f t="shared" si="2"/>
        <v>0.1689453125</v>
      </c>
      <c r="Q155" s="90"/>
      <c r="R155" s="89"/>
      <c r="S155" s="89"/>
    </row>
    <row r="156" spans="1:19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8.9219145751921509</v>
      </c>
      <c r="H156">
        <v>1.0280039062500002E-3</v>
      </c>
      <c r="I156">
        <v>-0.74274896916251221</v>
      </c>
      <c r="J156">
        <v>-7.6354884166222349E-4</v>
      </c>
      <c r="M156">
        <v>2.8081690654569935</v>
      </c>
      <c r="N156">
        <v>1.953125E-3</v>
      </c>
      <c r="O156">
        <f t="shared" si="2"/>
        <v>0.1708984375</v>
      </c>
      <c r="Q156" s="90"/>
      <c r="R156" s="89"/>
      <c r="S156" s="89"/>
    </row>
    <row r="157" spans="1:19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13.38287186278823</v>
      </c>
      <c r="H157">
        <v>6.492656250000001E-4</v>
      </c>
      <c r="I157">
        <v>-0.64012249099645369</v>
      </c>
      <c r="J157">
        <v>-4.1560952919336946E-4</v>
      </c>
      <c r="M157">
        <v>2.8081690654569935</v>
      </c>
      <c r="N157">
        <v>9.765625E-4</v>
      </c>
      <c r="O157">
        <f t="shared" si="2"/>
        <v>0.171875</v>
      </c>
      <c r="Q157" s="90"/>
      <c r="R157" s="89"/>
      <c r="S157" s="89"/>
    </row>
    <row r="158" spans="1:19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1.4869857625320251</v>
      </c>
      <c r="H158">
        <v>1.0280039062499999E-3</v>
      </c>
      <c r="I158">
        <v>-0.95164216487316078</v>
      </c>
      <c r="J158">
        <v>-9.7829186284181585E-4</v>
      </c>
      <c r="M158">
        <v>2.8081690654569935</v>
      </c>
      <c r="N158">
        <v>1.953125E-3</v>
      </c>
      <c r="O158">
        <f t="shared" si="2"/>
        <v>0.173828125</v>
      </c>
      <c r="Q158" s="90"/>
      <c r="R158" s="89"/>
      <c r="S158" s="89"/>
    </row>
    <row r="159" spans="1:19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7.4349288126601252</v>
      </c>
      <c r="H159">
        <v>2.1702304687499997E-3</v>
      </c>
      <c r="I159">
        <v>-0.78049186614330945</v>
      </c>
      <c r="J159">
        <v>-1.6938472285157565E-3</v>
      </c>
      <c r="M159">
        <v>2.8081690654569935</v>
      </c>
      <c r="N159">
        <v>3.90625E-3</v>
      </c>
      <c r="O159">
        <f t="shared" si="2"/>
        <v>0.177734375</v>
      </c>
      <c r="Q159" s="90"/>
      <c r="R159" s="89"/>
      <c r="S159" s="89"/>
    </row>
    <row r="160" spans="1:19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11.895886100256201</v>
      </c>
      <c r="H160">
        <v>1.3706718749999999E-3</v>
      </c>
      <c r="I160">
        <v>-0.67265040855117242</v>
      </c>
      <c r="J160">
        <v>-9.219829967083515E-4</v>
      </c>
      <c r="M160">
        <v>2.8081690654569935</v>
      </c>
      <c r="N160">
        <v>1.953125E-3</v>
      </c>
      <c r="O160">
        <f t="shared" si="2"/>
        <v>0.1796875</v>
      </c>
      <c r="Q160" s="90"/>
      <c r="R160" s="89"/>
      <c r="S160" s="89"/>
    </row>
    <row r="161" spans="1:19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6.492656250000001E-4</v>
      </c>
      <c r="I161">
        <v>-1</v>
      </c>
      <c r="J161">
        <v>-6.492656250000001E-4</v>
      </c>
      <c r="M161">
        <v>2.8081690654569935</v>
      </c>
      <c r="N161">
        <v>9.765625E-4</v>
      </c>
      <c r="O161">
        <f t="shared" si="2"/>
        <v>0.1806640625</v>
      </c>
      <c r="Q161" s="90"/>
      <c r="R161" s="89"/>
      <c r="S161" s="89"/>
    </row>
    <row r="162" spans="1:19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5.9479430501281003</v>
      </c>
      <c r="H162">
        <v>1.3706718749999999E-3</v>
      </c>
      <c r="I162">
        <v>-0.82015267392795377</v>
      </c>
      <c r="J162">
        <v>-1.1241602033590919E-3</v>
      </c>
      <c r="M162">
        <v>2.8081690654569935</v>
      </c>
      <c r="N162">
        <v>1.953125E-3</v>
      </c>
      <c r="O162">
        <f t="shared" si="2"/>
        <v>0.1826171875</v>
      </c>
      <c r="Q162" s="90"/>
      <c r="R162" s="89"/>
      <c r="S162" s="89"/>
    </row>
    <row r="163" spans="1:19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10.408900337724178</v>
      </c>
      <c r="H163">
        <v>8.6568750000000003E-4</v>
      </c>
      <c r="I163">
        <v>-0.7068312369711216</v>
      </c>
      <c r="J163">
        <v>-6.118949664554379E-4</v>
      </c>
      <c r="M163">
        <v>2.8081690654569935</v>
      </c>
      <c r="N163">
        <v>9.765625E-4</v>
      </c>
      <c r="O163">
        <f t="shared" si="2"/>
        <v>0.18359375</v>
      </c>
      <c r="Q163" s="90"/>
      <c r="R163" s="89"/>
      <c r="S163" s="89"/>
    </row>
    <row r="164" spans="1:19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3.2324082242165226</v>
      </c>
      <c r="H164">
        <v>1.7299511718750003E-4</v>
      </c>
      <c r="I164">
        <v>-0.89785477808939818</v>
      </c>
      <c r="J164">
        <v>-1.5532449255293226E-4</v>
      </c>
      <c r="M164">
        <v>2.8081690654569935</v>
      </c>
      <c r="N164">
        <v>4.8828125E-4</v>
      </c>
      <c r="O164">
        <f t="shared" si="2"/>
        <v>0.18408203125</v>
      </c>
      <c r="Q164" s="90"/>
      <c r="R164" s="89"/>
      <c r="S164" s="89"/>
    </row>
    <row r="165" spans="1:19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9.697224672649563</v>
      </c>
      <c r="H165">
        <v>3.6521191406250006E-4</v>
      </c>
      <c r="I165">
        <v>-0.72379952622299915</v>
      </c>
      <c r="J165">
        <v>-2.6434021036943222E-4</v>
      </c>
      <c r="M165">
        <v>2.8081690654569935</v>
      </c>
      <c r="N165">
        <v>9.765625E-4</v>
      </c>
      <c r="O165">
        <f t="shared" si="2"/>
        <v>0.18505859375</v>
      </c>
      <c r="Q165" s="90"/>
      <c r="R165" s="89"/>
      <c r="S165" s="89"/>
    </row>
    <row r="166" spans="1:19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14.545837008974342</v>
      </c>
      <c r="H166">
        <v>2.3066015625000002E-4</v>
      </c>
      <c r="I166">
        <v>-0.61578264075601263</v>
      </c>
      <c r="J166">
        <v>-1.420365201328195E-4</v>
      </c>
      <c r="M166">
        <v>2.8081690654569935</v>
      </c>
      <c r="N166">
        <v>4.8828125E-4</v>
      </c>
      <c r="O166">
        <f t="shared" si="2"/>
        <v>0.185546875</v>
      </c>
      <c r="Q166" s="90"/>
      <c r="R166" s="89"/>
      <c r="S166" s="89"/>
    </row>
    <row r="167" spans="1:19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1.6162041121082618</v>
      </c>
      <c r="H167">
        <v>3.6521191406250006E-4</v>
      </c>
      <c r="I167">
        <v>-0.94755199228823228</v>
      </c>
      <c r="J167">
        <v>-3.4605727677732061E-4</v>
      </c>
      <c r="M167">
        <v>2.8081690654569935</v>
      </c>
      <c r="N167">
        <v>9.765625E-4</v>
      </c>
      <c r="O167">
        <f t="shared" si="2"/>
        <v>0.1865234375</v>
      </c>
      <c r="Q167" s="90"/>
      <c r="R167" s="89"/>
      <c r="S167" s="89"/>
    </row>
    <row r="168" spans="1:19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8.081020560541301</v>
      </c>
      <c r="H168">
        <v>7.7100292968750007E-4</v>
      </c>
      <c r="I168">
        <v>-0.7638625976344624</v>
      </c>
      <c r="J168">
        <v>-5.8894030065487462E-4</v>
      </c>
      <c r="M168">
        <v>2.8081690654569935</v>
      </c>
      <c r="N168">
        <v>1.953125E-3</v>
      </c>
      <c r="O168">
        <f t="shared" si="2"/>
        <v>0.1884765625</v>
      </c>
      <c r="Q168" s="90"/>
      <c r="R168" s="89"/>
      <c r="S168" s="89"/>
    </row>
    <row r="169" spans="1:19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12.929632896866085</v>
      </c>
      <c r="H169">
        <v>4.8694921875000008E-4</v>
      </c>
      <c r="I169">
        <v>-0.64986686299816243</v>
      </c>
      <c r="J169">
        <v>-3.1645216122846851E-4</v>
      </c>
      <c r="M169">
        <v>2.8081690654569935</v>
      </c>
      <c r="N169">
        <v>9.765625E-4</v>
      </c>
      <c r="O169">
        <f t="shared" si="2"/>
        <v>0.189453125</v>
      </c>
      <c r="Q169" s="90"/>
      <c r="R169" s="89"/>
      <c r="S169" s="89"/>
    </row>
    <row r="170" spans="1:19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2.3066015625000002E-4</v>
      </c>
      <c r="I170">
        <v>-1</v>
      </c>
      <c r="J170">
        <v>-2.3066015625000002E-4</v>
      </c>
      <c r="M170">
        <v>2.8081690654569935</v>
      </c>
      <c r="N170">
        <v>4.8828125E-4</v>
      </c>
      <c r="O170">
        <f t="shared" si="2"/>
        <v>0.18994140625</v>
      </c>
      <c r="Q170" s="90"/>
      <c r="R170" s="89"/>
      <c r="S170" s="89"/>
    </row>
    <row r="171" spans="1:19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6.4648164484330399</v>
      </c>
      <c r="H171">
        <v>4.8694921874999997E-4</v>
      </c>
      <c r="I171">
        <v>-0.80614320253796257</v>
      </c>
      <c r="J171">
        <v>-3.9255080267648385E-4</v>
      </c>
      <c r="M171">
        <v>2.8081690654569935</v>
      </c>
      <c r="N171">
        <v>9.765625E-4</v>
      </c>
      <c r="O171">
        <f t="shared" si="2"/>
        <v>0.19091796875</v>
      </c>
      <c r="Q171" s="90"/>
      <c r="R171" s="89"/>
      <c r="S171" s="89"/>
    </row>
    <row r="172" spans="1:19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11.313428784757823</v>
      </c>
      <c r="H172">
        <v>3.0754687499999999E-4</v>
      </c>
      <c r="I172">
        <v>-0.68583768308988147</v>
      </c>
      <c r="J172">
        <v>-2.1092723619153337E-4</v>
      </c>
      <c r="M172">
        <v>2.8081690654569935</v>
      </c>
      <c r="N172">
        <v>4.8828125E-4</v>
      </c>
      <c r="O172">
        <f t="shared" si="2"/>
        <v>0.19140625</v>
      </c>
      <c r="Q172" s="90"/>
      <c r="R172" s="89"/>
      <c r="S172" s="89"/>
    </row>
    <row r="173" spans="1:19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3.2324082242165226</v>
      </c>
      <c r="H173">
        <v>3.652119140625E-4</v>
      </c>
      <c r="I173">
        <v>-0.89785477808939818</v>
      </c>
      <c r="J173">
        <v>-3.2790726205619028E-4</v>
      </c>
      <c r="M173">
        <v>2.9739715250640515</v>
      </c>
      <c r="N173">
        <v>4.8828125E-4</v>
      </c>
      <c r="O173">
        <f t="shared" si="2"/>
        <v>0.19189453125</v>
      </c>
      <c r="Q173" s="90"/>
      <c r="R173" s="89"/>
      <c r="S173" s="89"/>
    </row>
    <row r="174" spans="1:19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9.697224672649563</v>
      </c>
      <c r="H174">
        <v>7.7100292968749996E-4</v>
      </c>
      <c r="I174">
        <v>-0.72379952622299915</v>
      </c>
      <c r="J174">
        <v>-5.5805155522435678E-4</v>
      </c>
      <c r="M174">
        <v>2.9739715250640515</v>
      </c>
      <c r="N174">
        <v>9.765625E-4</v>
      </c>
      <c r="O174">
        <f t="shared" si="2"/>
        <v>0.19287109375</v>
      </c>
      <c r="Q174" s="90"/>
      <c r="R174" s="89"/>
      <c r="S174" s="89"/>
    </row>
    <row r="175" spans="1:19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14.545837008974342</v>
      </c>
      <c r="H175">
        <v>4.8694921874999997E-4</v>
      </c>
      <c r="I175">
        <v>-0.61578264075601263</v>
      </c>
      <c r="J175">
        <v>-2.9985487583595222E-4</v>
      </c>
      <c r="M175">
        <v>2.9739715250640515</v>
      </c>
      <c r="N175">
        <v>4.8828125E-4</v>
      </c>
      <c r="O175">
        <f t="shared" si="2"/>
        <v>0.193359375</v>
      </c>
      <c r="Q175" s="90"/>
      <c r="R175" s="89"/>
      <c r="S175" s="89"/>
    </row>
    <row r="176" spans="1:19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1.6162041121082618</v>
      </c>
      <c r="H176">
        <v>7.7100292968749996E-4</v>
      </c>
      <c r="I176">
        <v>-0.94755199228823228</v>
      </c>
      <c r="J176">
        <v>-7.3056536208545447E-4</v>
      </c>
      <c r="M176">
        <v>2.9739715250640515</v>
      </c>
      <c r="N176">
        <v>9.765625E-4</v>
      </c>
      <c r="O176">
        <f t="shared" si="2"/>
        <v>0.1943359375</v>
      </c>
      <c r="Q176" s="90"/>
      <c r="R176" s="89"/>
      <c r="S176" s="89"/>
    </row>
    <row r="177" spans="1:19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8.081020560541301</v>
      </c>
      <c r="H177">
        <v>1.6276728515624999E-3</v>
      </c>
      <c r="I177">
        <v>-0.7638625976344624</v>
      </c>
      <c r="J177">
        <v>-1.2433184124936239E-3</v>
      </c>
      <c r="M177">
        <v>2.9739715250640515</v>
      </c>
      <c r="N177">
        <v>1.953125E-3</v>
      </c>
      <c r="O177">
        <f t="shared" si="2"/>
        <v>0.1962890625</v>
      </c>
      <c r="Q177" s="90"/>
      <c r="R177" s="89"/>
      <c r="S177" s="89"/>
    </row>
    <row r="178" spans="1:19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12.929632896866085</v>
      </c>
      <c r="H178">
        <v>1.0280039062499999E-3</v>
      </c>
      <c r="I178">
        <v>-0.64986686299816243</v>
      </c>
      <c r="J178">
        <v>-6.6806567370454454E-4</v>
      </c>
      <c r="M178">
        <v>2.9739715250640515</v>
      </c>
      <c r="N178">
        <v>9.765625E-4</v>
      </c>
      <c r="O178">
        <f t="shared" si="2"/>
        <v>0.197265625</v>
      </c>
      <c r="Q178" s="90"/>
      <c r="R178" s="89"/>
      <c r="S178" s="89"/>
    </row>
    <row r="179" spans="1:19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4.8694921874999997E-4</v>
      </c>
      <c r="I179">
        <v>-1</v>
      </c>
      <c r="J179">
        <v>-4.8694921874999997E-4</v>
      </c>
      <c r="M179">
        <v>2.9739715250640515</v>
      </c>
      <c r="N179">
        <v>4.8828125E-4</v>
      </c>
      <c r="O179">
        <f t="shared" si="2"/>
        <v>0.19775390625</v>
      </c>
      <c r="Q179" s="90"/>
      <c r="R179" s="89"/>
      <c r="S179" s="89"/>
    </row>
    <row r="180" spans="1:19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6.4648164484330399</v>
      </c>
      <c r="H180">
        <v>1.0280039062499999E-3</v>
      </c>
      <c r="I180">
        <v>-0.80614320253796257</v>
      </c>
      <c r="J180">
        <v>-8.2871836120591044E-4</v>
      </c>
      <c r="M180">
        <v>2.9739715250640515</v>
      </c>
      <c r="N180">
        <v>9.765625E-4</v>
      </c>
      <c r="O180">
        <f t="shared" si="2"/>
        <v>0.19873046875</v>
      </c>
      <c r="Q180" s="90"/>
      <c r="R180" s="89"/>
      <c r="S180" s="89"/>
    </row>
    <row r="181" spans="1:19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11.313428784757823</v>
      </c>
      <c r="H181">
        <v>6.4926562499999999E-4</v>
      </c>
      <c r="I181">
        <v>-0.68583768308988147</v>
      </c>
      <c r="J181">
        <v>-4.4529083195990384E-4</v>
      </c>
      <c r="M181">
        <v>2.9739715250640515</v>
      </c>
      <c r="N181">
        <v>4.8828125E-4</v>
      </c>
      <c r="O181">
        <f t="shared" si="2"/>
        <v>0.19921875</v>
      </c>
      <c r="Q181" s="90"/>
      <c r="R181" s="89"/>
      <c r="S181" s="89"/>
    </row>
    <row r="182" spans="1:19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3.2324082242165226</v>
      </c>
      <c r="H182">
        <v>2.3066015625000002E-4</v>
      </c>
      <c r="I182">
        <v>-0.89785477808939818</v>
      </c>
      <c r="J182">
        <v>-2.0709932340390967E-4</v>
      </c>
      <c r="M182">
        <v>3.2324082242165226</v>
      </c>
      <c r="N182">
        <v>2.44140625E-4</v>
      </c>
      <c r="O182">
        <f t="shared" si="2"/>
        <v>0.199462890625</v>
      </c>
      <c r="Q182" s="90"/>
      <c r="R182" s="89"/>
      <c r="S182" s="89"/>
    </row>
    <row r="183" spans="1:19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9.697224672649563</v>
      </c>
      <c r="H183">
        <v>4.8694921874999997E-4</v>
      </c>
      <c r="I183">
        <v>-0.72379952622299915</v>
      </c>
      <c r="J183">
        <v>-3.5245361382590956E-4</v>
      </c>
      <c r="M183">
        <v>3.2324082242165226</v>
      </c>
      <c r="N183">
        <v>4.8828125E-4</v>
      </c>
      <c r="O183">
        <f t="shared" si="2"/>
        <v>0.199951171875</v>
      </c>
      <c r="Q183" s="90"/>
      <c r="R183" s="89"/>
      <c r="S183" s="89"/>
    </row>
    <row r="184" spans="1:19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14.545837008974342</v>
      </c>
      <c r="H184">
        <v>3.0754687499999999E-4</v>
      </c>
      <c r="I184">
        <v>-0.61578264075601263</v>
      </c>
      <c r="J184">
        <v>-1.8938202684375932E-4</v>
      </c>
      <c r="M184">
        <v>3.2324082242165226</v>
      </c>
      <c r="N184">
        <v>2.44140625E-4</v>
      </c>
      <c r="O184">
        <f t="shared" si="2"/>
        <v>0.2001953125</v>
      </c>
      <c r="Q184" s="90"/>
      <c r="R184" s="89"/>
      <c r="S184" s="89"/>
    </row>
    <row r="185" spans="1:19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1.6162041121082618</v>
      </c>
      <c r="H185">
        <v>4.8694921874999997E-4</v>
      </c>
      <c r="I185">
        <v>-0.94755199228823228</v>
      </c>
      <c r="J185">
        <v>-4.6140970236976069E-4</v>
      </c>
      <c r="M185">
        <v>3.2324082242165226</v>
      </c>
      <c r="N185">
        <v>4.8828125E-4</v>
      </c>
      <c r="O185">
        <f t="shared" si="2"/>
        <v>0.20068359375</v>
      </c>
      <c r="Q185" s="90"/>
      <c r="R185" s="89"/>
      <c r="S185" s="89"/>
    </row>
    <row r="186" spans="1:19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8.081020560541301</v>
      </c>
      <c r="H186">
        <v>1.0280039062499999E-3</v>
      </c>
      <c r="I186">
        <v>-0.7638625976344624</v>
      </c>
      <c r="J186">
        <v>-7.8525373420649928E-4</v>
      </c>
      <c r="M186">
        <v>3.2324082242165226</v>
      </c>
      <c r="N186">
        <v>9.765625E-4</v>
      </c>
      <c r="O186">
        <f t="shared" si="2"/>
        <v>0.20166015625</v>
      </c>
      <c r="Q186" s="90"/>
      <c r="R186" s="89"/>
      <c r="S186" s="89"/>
    </row>
    <row r="187" spans="1:19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12.929632896866085</v>
      </c>
      <c r="H187">
        <v>6.4926562499999999E-4</v>
      </c>
      <c r="I187">
        <v>-0.64986686299816243</v>
      </c>
      <c r="J187">
        <v>-4.2193621497129129E-4</v>
      </c>
      <c r="M187">
        <v>3.2324082242165226</v>
      </c>
      <c r="N187">
        <v>4.8828125E-4</v>
      </c>
      <c r="O187">
        <f t="shared" si="2"/>
        <v>0.2021484375</v>
      </c>
      <c r="Q187" s="90"/>
      <c r="R187" s="89"/>
      <c r="S187" s="89"/>
    </row>
    <row r="188" spans="1:19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3.0754687500000004E-4</v>
      </c>
      <c r="I188">
        <v>-1</v>
      </c>
      <c r="J188">
        <v>-3.0754687500000004E-4</v>
      </c>
      <c r="M188">
        <v>3.2324082242165226</v>
      </c>
      <c r="N188">
        <v>2.44140625E-4</v>
      </c>
      <c r="O188">
        <f t="shared" si="2"/>
        <v>0.202392578125</v>
      </c>
      <c r="Q188" s="90"/>
      <c r="R188" s="89"/>
      <c r="S188" s="89"/>
    </row>
    <row r="189" spans="1:19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6.4648164484330399</v>
      </c>
      <c r="H189">
        <v>6.4926562499999999E-4</v>
      </c>
      <c r="I189">
        <v>-0.80614320253796257</v>
      </c>
      <c r="J189">
        <v>-5.2340107023531187E-4</v>
      </c>
      <c r="M189">
        <v>3.2324082242165226</v>
      </c>
      <c r="N189">
        <v>4.8828125E-4</v>
      </c>
      <c r="O189">
        <f t="shared" si="2"/>
        <v>0.202880859375</v>
      </c>
      <c r="Q189" s="90"/>
      <c r="R189" s="89"/>
      <c r="S189" s="89"/>
    </row>
    <row r="190" spans="1:19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11.313428784757823</v>
      </c>
      <c r="H190">
        <v>4.100625E-4</v>
      </c>
      <c r="I190">
        <v>-0.68583768308988147</v>
      </c>
      <c r="J190">
        <v>-2.8123631492204453E-4</v>
      </c>
      <c r="M190">
        <v>3.2324082242165226</v>
      </c>
      <c r="N190">
        <v>2.44140625E-4</v>
      </c>
      <c r="O190">
        <f t="shared" si="2"/>
        <v>0.203125</v>
      </c>
      <c r="Q190" s="90"/>
      <c r="R190" s="89"/>
      <c r="S190" s="89"/>
    </row>
    <row r="191" spans="1:19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3.2324082242165226</v>
      </c>
      <c r="H191">
        <v>3.652119140625E-4</v>
      </c>
      <c r="I191">
        <v>-0.89785477808939818</v>
      </c>
      <c r="J191">
        <v>-3.2790726205619028E-4</v>
      </c>
      <c r="M191">
        <v>3.7223009848367745</v>
      </c>
      <c r="N191">
        <v>4.8828125E-4</v>
      </c>
      <c r="O191">
        <f t="shared" si="2"/>
        <v>0.20361328125</v>
      </c>
      <c r="Q191" s="90"/>
      <c r="R191" s="89"/>
      <c r="S191" s="89"/>
    </row>
    <row r="192" spans="1:19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9.697224672649563</v>
      </c>
      <c r="H192">
        <v>7.7100292968749996E-4</v>
      </c>
      <c r="I192">
        <v>-0.72379952622299915</v>
      </c>
      <c r="J192">
        <v>-5.5805155522435678E-4</v>
      </c>
      <c r="M192">
        <v>3.7223009848367745</v>
      </c>
      <c r="N192">
        <v>9.765625E-4</v>
      </c>
      <c r="O192">
        <f t="shared" si="2"/>
        <v>0.20458984375</v>
      </c>
      <c r="Q192" s="90"/>
      <c r="R192" s="89"/>
      <c r="S192" s="89"/>
    </row>
    <row r="193" spans="1:19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14.545837008974342</v>
      </c>
      <c r="H193">
        <v>4.8694921874999997E-4</v>
      </c>
      <c r="I193">
        <v>-0.61578264075601263</v>
      </c>
      <c r="J193">
        <v>-2.9985487583595222E-4</v>
      </c>
      <c r="M193">
        <v>3.7223009848367745</v>
      </c>
      <c r="N193">
        <v>4.8828125E-4</v>
      </c>
      <c r="O193">
        <f t="shared" si="2"/>
        <v>0.205078125</v>
      </c>
      <c r="Q193" s="90"/>
      <c r="R193" s="89"/>
      <c r="S193" s="89"/>
    </row>
    <row r="194" spans="1:19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1.6162041121082618</v>
      </c>
      <c r="H194">
        <v>7.7100292968749996E-4</v>
      </c>
      <c r="I194">
        <v>-0.94755199228823228</v>
      </c>
      <c r="J194">
        <v>-7.3056536208545447E-4</v>
      </c>
      <c r="M194">
        <v>3.7223009848367745</v>
      </c>
      <c r="N194">
        <v>9.765625E-4</v>
      </c>
      <c r="O194">
        <f t="shared" si="2"/>
        <v>0.2060546875</v>
      </c>
      <c r="Q194" s="90"/>
      <c r="R194" s="89"/>
      <c r="S194" s="89"/>
    </row>
    <row r="195" spans="1:19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8.081020560541301</v>
      </c>
      <c r="H195">
        <v>1.6276728515624999E-3</v>
      </c>
      <c r="I195">
        <v>-0.7638625976344624</v>
      </c>
      <c r="J195">
        <v>-1.2433184124936239E-3</v>
      </c>
      <c r="M195">
        <v>3.7223009848367745</v>
      </c>
      <c r="N195">
        <v>1.953125E-3</v>
      </c>
      <c r="O195">
        <f t="shared" si="2"/>
        <v>0.2080078125</v>
      </c>
      <c r="Q195" s="90"/>
      <c r="R195" s="89"/>
      <c r="S195" s="89"/>
    </row>
    <row r="196" spans="1:19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12.929632896866085</v>
      </c>
      <c r="H196">
        <v>1.0280039062499999E-3</v>
      </c>
      <c r="I196">
        <v>-0.64986686299816243</v>
      </c>
      <c r="J196">
        <v>-6.6806567370454454E-4</v>
      </c>
      <c r="M196">
        <v>3.7223009848367745</v>
      </c>
      <c r="N196">
        <v>9.765625E-4</v>
      </c>
      <c r="O196">
        <f t="shared" ref="O196:O259" si="3">N196+O195</f>
        <v>0.208984375</v>
      </c>
      <c r="Q196" s="90"/>
      <c r="R196" s="89"/>
      <c r="S196" s="89"/>
    </row>
    <row r="197" spans="1:19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4.8694921874999997E-4</v>
      </c>
      <c r="I197">
        <v>-1</v>
      </c>
      <c r="J197">
        <v>-4.8694921874999997E-4</v>
      </c>
      <c r="M197">
        <v>3.7223009848367745</v>
      </c>
      <c r="N197">
        <v>4.8828125E-4</v>
      </c>
      <c r="O197">
        <f t="shared" si="3"/>
        <v>0.20947265625</v>
      </c>
      <c r="Q197" s="90"/>
      <c r="R197" s="89"/>
      <c r="S197" s="89"/>
    </row>
    <row r="198" spans="1:19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6.4648164484330399</v>
      </c>
      <c r="H198">
        <v>1.0280039062499999E-3</v>
      </c>
      <c r="I198">
        <v>-0.80614320253796257</v>
      </c>
      <c r="J198">
        <v>-8.2871836120591044E-4</v>
      </c>
      <c r="M198">
        <v>3.7223009848367745</v>
      </c>
      <c r="N198">
        <v>9.765625E-4</v>
      </c>
      <c r="O198">
        <f t="shared" si="3"/>
        <v>0.21044921875</v>
      </c>
      <c r="Q198" s="90"/>
      <c r="R198" s="89"/>
      <c r="S198" s="89"/>
    </row>
    <row r="199" spans="1:19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11.313428784757823</v>
      </c>
      <c r="H199">
        <v>6.4926562499999999E-4</v>
      </c>
      <c r="I199">
        <v>-0.68583768308988147</v>
      </c>
      <c r="J199">
        <v>-4.4529083195990384E-4</v>
      </c>
      <c r="M199">
        <v>3.7223009848367745</v>
      </c>
      <c r="N199">
        <v>4.8828125E-4</v>
      </c>
      <c r="O199">
        <f t="shared" si="3"/>
        <v>0.2109375</v>
      </c>
      <c r="Q199" s="90"/>
      <c r="R199" s="89"/>
      <c r="S199" s="89"/>
    </row>
    <row r="200" spans="1:19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3.2324082242165226</v>
      </c>
      <c r="H200">
        <v>7.7100292968750007E-4</v>
      </c>
      <c r="I200">
        <v>-0.89785477808939818</v>
      </c>
      <c r="J200">
        <v>-6.9224866434084624E-4</v>
      </c>
      <c r="M200">
        <v>4.6528762310459681</v>
      </c>
      <c r="N200">
        <v>9.765625E-4</v>
      </c>
      <c r="O200">
        <f t="shared" si="3"/>
        <v>0.2119140625</v>
      </c>
      <c r="Q200" s="90"/>
      <c r="R200" s="89"/>
      <c r="S200" s="89"/>
    </row>
    <row r="201" spans="1:19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9.697224672649563</v>
      </c>
      <c r="H201">
        <v>1.6276728515625001E-3</v>
      </c>
      <c r="I201">
        <v>-0.72379952622299915</v>
      </c>
      <c r="J201">
        <v>-1.1781088388069757E-3</v>
      </c>
      <c r="M201">
        <v>4.6528762310459681</v>
      </c>
      <c r="N201">
        <v>1.953125E-3</v>
      </c>
      <c r="O201">
        <f t="shared" si="3"/>
        <v>0.2138671875</v>
      </c>
      <c r="Q201" s="90"/>
      <c r="R201" s="89"/>
      <c r="S201" s="89"/>
    </row>
    <row r="202" spans="1:19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14.545837008974342</v>
      </c>
      <c r="H202">
        <v>1.0280039062499999E-3</v>
      </c>
      <c r="I202">
        <v>-0.61578264075601263</v>
      </c>
      <c r="J202">
        <v>-6.3302696009812141E-4</v>
      </c>
      <c r="M202">
        <v>4.6528762310459681</v>
      </c>
      <c r="N202">
        <v>9.765625E-4</v>
      </c>
      <c r="O202">
        <f t="shared" si="3"/>
        <v>0.21484375</v>
      </c>
      <c r="Q202" s="90"/>
      <c r="R202" s="89"/>
      <c r="S202" s="89"/>
    </row>
    <row r="203" spans="1:19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1.6162041121082618</v>
      </c>
      <c r="H203">
        <v>1.6276728515624999E-3</v>
      </c>
      <c r="I203">
        <v>-0.94755199228823228</v>
      </c>
      <c r="J203">
        <v>-1.5423046532915151E-3</v>
      </c>
      <c r="M203">
        <v>4.6528762310459681</v>
      </c>
      <c r="N203">
        <v>1.953125E-3</v>
      </c>
      <c r="O203">
        <f t="shared" si="3"/>
        <v>0.216796875</v>
      </c>
      <c r="Q203" s="90"/>
      <c r="R203" s="89"/>
      <c r="S203" s="89"/>
    </row>
    <row r="204" spans="1:19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8.081020560541301</v>
      </c>
      <c r="H204">
        <v>3.4361982421874998E-3</v>
      </c>
      <c r="I204">
        <v>-0.7638625976344624</v>
      </c>
      <c r="J204">
        <v>-2.6247833152643171E-3</v>
      </c>
      <c r="M204">
        <v>4.6528762310459681</v>
      </c>
      <c r="N204">
        <v>3.90625E-3</v>
      </c>
      <c r="O204">
        <f t="shared" si="3"/>
        <v>0.220703125</v>
      </c>
      <c r="Q204" s="90"/>
      <c r="R204" s="89"/>
      <c r="S204" s="89"/>
    </row>
    <row r="205" spans="1:19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12.929632896866085</v>
      </c>
      <c r="H205">
        <v>2.1702304687499997E-3</v>
      </c>
      <c r="I205">
        <v>-0.64986686299816243</v>
      </c>
      <c r="J205">
        <v>-1.4103608667095939E-3</v>
      </c>
      <c r="M205">
        <v>4.6528762310459681</v>
      </c>
      <c r="N205">
        <v>1.953125E-3</v>
      </c>
      <c r="O205">
        <f t="shared" si="3"/>
        <v>0.22265625</v>
      </c>
      <c r="Q205" s="90"/>
      <c r="R205" s="89"/>
      <c r="S205" s="89"/>
    </row>
    <row r="206" spans="1:19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1.0280039062499999E-3</v>
      </c>
      <c r="I206">
        <v>-1</v>
      </c>
      <c r="J206">
        <v>-1.0280039062499999E-3</v>
      </c>
      <c r="M206">
        <v>4.6528762310459681</v>
      </c>
      <c r="N206">
        <v>9.765625E-4</v>
      </c>
      <c r="O206">
        <f t="shared" si="3"/>
        <v>0.2236328125</v>
      </c>
      <c r="Q206" s="90"/>
      <c r="R206" s="89"/>
      <c r="S206" s="89"/>
    </row>
    <row r="207" spans="1:19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6.4648164484330399</v>
      </c>
      <c r="H207">
        <v>2.1702304687499997E-3</v>
      </c>
      <c r="I207">
        <v>-0.80614320253796257</v>
      </c>
      <c r="J207">
        <v>-1.7495165403235884E-3</v>
      </c>
      <c r="M207">
        <v>4.6528762310459681</v>
      </c>
      <c r="N207">
        <v>1.953125E-3</v>
      </c>
      <c r="O207">
        <f t="shared" si="3"/>
        <v>0.2255859375</v>
      </c>
      <c r="Q207" s="90"/>
      <c r="R207" s="89"/>
      <c r="S207" s="89"/>
    </row>
    <row r="208" spans="1:19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11.313428784757823</v>
      </c>
      <c r="H208">
        <v>1.3706718749999999E-3</v>
      </c>
      <c r="I208">
        <v>-0.68583768308988147</v>
      </c>
      <c r="J208">
        <v>-9.4005842302646359E-4</v>
      </c>
      <c r="M208">
        <v>4.6528762310459681</v>
      </c>
      <c r="N208">
        <v>9.765625E-4</v>
      </c>
      <c r="O208">
        <f t="shared" si="3"/>
        <v>0.2265625</v>
      </c>
      <c r="Q208" s="90"/>
      <c r="R208" s="89"/>
      <c r="S208" s="89"/>
    </row>
    <row r="209" spans="1:19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3.2324082242165226</v>
      </c>
      <c r="H209">
        <v>4.8694921875000008E-4</v>
      </c>
      <c r="I209">
        <v>-0.89785477808939818</v>
      </c>
      <c r="J209">
        <v>-4.3720968274158715E-4</v>
      </c>
      <c r="M209">
        <v>4.6528762310459726</v>
      </c>
      <c r="N209">
        <v>4.8828125E-4</v>
      </c>
      <c r="O209">
        <f t="shared" si="3"/>
        <v>0.22705078125</v>
      </c>
      <c r="Q209" s="90"/>
      <c r="R209" s="89"/>
      <c r="S209" s="89"/>
    </row>
    <row r="210" spans="1:19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9.697224672649563</v>
      </c>
      <c r="H210">
        <v>1.0280039062500002E-3</v>
      </c>
      <c r="I210">
        <v>-0.72379952622299915</v>
      </c>
      <c r="J210">
        <v>-7.4406874029914259E-4</v>
      </c>
      <c r="M210">
        <v>4.6528762310459726</v>
      </c>
      <c r="N210">
        <v>9.765625E-4</v>
      </c>
      <c r="O210">
        <f t="shared" si="3"/>
        <v>0.22802734375</v>
      </c>
      <c r="Q210" s="90"/>
      <c r="R210" s="89"/>
      <c r="S210" s="89"/>
    </row>
    <row r="211" spans="1:19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14.545837008974342</v>
      </c>
      <c r="H211">
        <v>6.492656250000001E-4</v>
      </c>
      <c r="I211">
        <v>-0.61578264075601263</v>
      </c>
      <c r="J211">
        <v>-3.998065011146031E-4</v>
      </c>
      <c r="M211">
        <v>4.6528762310459726</v>
      </c>
      <c r="N211">
        <v>4.8828125E-4</v>
      </c>
      <c r="O211">
        <f t="shared" si="3"/>
        <v>0.228515625</v>
      </c>
      <c r="Q211" s="90"/>
      <c r="R211" s="89"/>
      <c r="S211" s="89"/>
    </row>
    <row r="212" spans="1:19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1.6162041121082618</v>
      </c>
      <c r="H212">
        <v>1.0280039062499999E-3</v>
      </c>
      <c r="I212">
        <v>-0.94755199228823228</v>
      </c>
      <c r="J212">
        <v>-9.7408714944727259E-4</v>
      </c>
      <c r="M212">
        <v>4.6528762310459726</v>
      </c>
      <c r="N212">
        <v>9.765625E-4</v>
      </c>
      <c r="O212">
        <f t="shared" si="3"/>
        <v>0.2294921875</v>
      </c>
      <c r="Q212" s="90"/>
      <c r="R212" s="89"/>
      <c r="S212" s="89"/>
    </row>
    <row r="213" spans="1:19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8.081020560541301</v>
      </c>
      <c r="H213">
        <v>2.1702304687499997E-3</v>
      </c>
      <c r="I213">
        <v>-0.7638625976344624</v>
      </c>
      <c r="J213">
        <v>-1.6577578833248318E-3</v>
      </c>
      <c r="M213">
        <v>4.6528762310459726</v>
      </c>
      <c r="N213">
        <v>1.953125E-3</v>
      </c>
      <c r="O213">
        <f t="shared" si="3"/>
        <v>0.2314453125</v>
      </c>
      <c r="Q213" s="90"/>
      <c r="R213" s="89"/>
      <c r="S213" s="89"/>
    </row>
    <row r="214" spans="1:19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12.929632896866085</v>
      </c>
      <c r="H214">
        <v>1.3706718749999999E-3</v>
      </c>
      <c r="I214">
        <v>-0.64986686299816243</v>
      </c>
      <c r="J214">
        <v>-8.9075423160605942E-4</v>
      </c>
      <c r="M214">
        <v>4.6528762310459726</v>
      </c>
      <c r="N214">
        <v>9.765625E-4</v>
      </c>
      <c r="O214">
        <f t="shared" si="3"/>
        <v>0.232421875</v>
      </c>
      <c r="Q214" s="90"/>
      <c r="R214" s="89"/>
      <c r="S214" s="89"/>
    </row>
    <row r="215" spans="1:19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6.492656250000001E-4</v>
      </c>
      <c r="I215">
        <v>-1</v>
      </c>
      <c r="J215">
        <v>-6.492656250000001E-4</v>
      </c>
      <c r="M215">
        <v>4.6528762310459726</v>
      </c>
      <c r="N215">
        <v>4.8828125E-4</v>
      </c>
      <c r="O215">
        <f t="shared" si="3"/>
        <v>0.23291015625</v>
      </c>
      <c r="Q215" s="90"/>
      <c r="R215" s="89"/>
      <c r="S215" s="89"/>
    </row>
    <row r="216" spans="1:19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6.4648164484330399</v>
      </c>
      <c r="H216">
        <v>1.3706718749999999E-3</v>
      </c>
      <c r="I216">
        <v>-0.80614320253796257</v>
      </c>
      <c r="J216">
        <v>-1.1049578149412138E-3</v>
      </c>
      <c r="M216">
        <v>4.6528762310459726</v>
      </c>
      <c r="N216">
        <v>9.765625E-4</v>
      </c>
      <c r="O216">
        <f t="shared" si="3"/>
        <v>0.23388671875</v>
      </c>
      <c r="Q216" s="90"/>
      <c r="R216" s="89"/>
      <c r="S216" s="89"/>
    </row>
    <row r="217" spans="1:19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11.313428784757823</v>
      </c>
      <c r="H217">
        <v>8.6568750000000003E-4</v>
      </c>
      <c r="I217">
        <v>-0.68583768308988147</v>
      </c>
      <c r="J217">
        <v>-5.9372110927987179E-4</v>
      </c>
      <c r="M217">
        <v>4.6528762310459726</v>
      </c>
      <c r="N217">
        <v>4.8828125E-4</v>
      </c>
      <c r="O217">
        <f t="shared" si="3"/>
        <v>0.234375</v>
      </c>
      <c r="Q217" s="90"/>
      <c r="R217" s="89"/>
      <c r="S217" s="89"/>
    </row>
    <row r="218" spans="1:19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3.2324082242165226</v>
      </c>
      <c r="H218">
        <v>2.3066015625000002E-4</v>
      </c>
      <c r="I218">
        <v>-0.89785477808939818</v>
      </c>
      <c r="J218">
        <v>-2.0709932340390967E-4</v>
      </c>
      <c r="M218">
        <v>5.5834514772551609</v>
      </c>
      <c r="N218">
        <v>4.8828125E-4</v>
      </c>
      <c r="O218">
        <f t="shared" si="3"/>
        <v>0.23486328125</v>
      </c>
      <c r="Q218" s="90"/>
      <c r="R218" s="89"/>
      <c r="S218" s="89"/>
    </row>
    <row r="219" spans="1:19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9.697224672649563</v>
      </c>
      <c r="H219">
        <v>4.8694921874999997E-4</v>
      </c>
      <c r="I219">
        <v>-0.72379952622299915</v>
      </c>
      <c r="J219">
        <v>-3.5245361382590956E-4</v>
      </c>
      <c r="M219">
        <v>5.5834514772551609</v>
      </c>
      <c r="N219">
        <v>9.765625E-4</v>
      </c>
      <c r="O219">
        <f t="shared" si="3"/>
        <v>0.23583984375</v>
      </c>
      <c r="Q219" s="90"/>
      <c r="R219" s="89"/>
      <c r="S219" s="89"/>
    </row>
    <row r="220" spans="1:19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14.545837008974342</v>
      </c>
      <c r="H220">
        <v>3.0754687499999999E-4</v>
      </c>
      <c r="I220">
        <v>-0.61578264075601263</v>
      </c>
      <c r="J220">
        <v>-1.8938202684375932E-4</v>
      </c>
      <c r="M220">
        <v>5.5834514772551609</v>
      </c>
      <c r="N220">
        <v>4.8828125E-4</v>
      </c>
      <c r="O220">
        <f t="shared" si="3"/>
        <v>0.236328125</v>
      </c>
      <c r="Q220" s="90"/>
      <c r="R220" s="89"/>
      <c r="S220" s="89"/>
    </row>
    <row r="221" spans="1:19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1.6162041121082618</v>
      </c>
      <c r="H221">
        <v>4.8694921874999997E-4</v>
      </c>
      <c r="I221">
        <v>-0.94755199228823228</v>
      </c>
      <c r="J221">
        <v>-4.6140970236976069E-4</v>
      </c>
      <c r="M221">
        <v>5.5834514772551609</v>
      </c>
      <c r="N221">
        <v>9.765625E-4</v>
      </c>
      <c r="O221">
        <f t="shared" si="3"/>
        <v>0.2373046875</v>
      </c>
      <c r="Q221" s="90"/>
      <c r="R221" s="89"/>
      <c r="S221" s="89"/>
    </row>
    <row r="222" spans="1:19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8.081020560541301</v>
      </c>
      <c r="H222">
        <v>1.0280039062499999E-3</v>
      </c>
      <c r="I222">
        <v>-0.7638625976344624</v>
      </c>
      <c r="J222">
        <v>-7.8525373420649928E-4</v>
      </c>
      <c r="M222">
        <v>5.5834514772551609</v>
      </c>
      <c r="N222">
        <v>1.953125E-3</v>
      </c>
      <c r="O222">
        <f t="shared" si="3"/>
        <v>0.2392578125</v>
      </c>
      <c r="Q222" s="90"/>
      <c r="R222" s="89"/>
      <c r="S222" s="89"/>
    </row>
    <row r="223" spans="1:19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12.929632896866085</v>
      </c>
      <c r="H223">
        <v>6.4926562499999999E-4</v>
      </c>
      <c r="I223">
        <v>-0.64986686299816243</v>
      </c>
      <c r="J223">
        <v>-4.2193621497129129E-4</v>
      </c>
      <c r="M223">
        <v>5.5834514772551609</v>
      </c>
      <c r="N223">
        <v>9.765625E-4</v>
      </c>
      <c r="O223">
        <f t="shared" si="3"/>
        <v>0.240234375</v>
      </c>
      <c r="Q223" s="90"/>
      <c r="R223" s="89"/>
      <c r="S223" s="89"/>
    </row>
    <row r="224" spans="1:19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3.0754687500000004E-4</v>
      </c>
      <c r="I224">
        <v>-1</v>
      </c>
      <c r="J224">
        <v>-3.0754687500000004E-4</v>
      </c>
      <c r="M224">
        <v>5.5834514772551609</v>
      </c>
      <c r="N224">
        <v>4.8828125E-4</v>
      </c>
      <c r="O224">
        <f t="shared" si="3"/>
        <v>0.24072265625</v>
      </c>
      <c r="Q224" s="90"/>
      <c r="R224" s="89"/>
      <c r="S224" s="89"/>
    </row>
    <row r="225" spans="1:19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6.4648164484330399</v>
      </c>
      <c r="H225">
        <v>6.4926562499999999E-4</v>
      </c>
      <c r="I225">
        <v>-0.80614320253796257</v>
      </c>
      <c r="J225">
        <v>-5.2340107023531187E-4</v>
      </c>
      <c r="M225">
        <v>5.5834514772551609</v>
      </c>
      <c r="N225">
        <v>9.765625E-4</v>
      </c>
      <c r="O225">
        <f t="shared" si="3"/>
        <v>0.24169921875</v>
      </c>
      <c r="Q225" s="90"/>
      <c r="R225" s="89"/>
      <c r="S225" s="89"/>
    </row>
    <row r="226" spans="1:19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11.313428784757823</v>
      </c>
      <c r="H226">
        <v>4.100625E-4</v>
      </c>
      <c r="I226">
        <v>-0.68583768308988147</v>
      </c>
      <c r="J226">
        <v>-2.8123631492204453E-4</v>
      </c>
      <c r="M226">
        <v>5.5834514772551609</v>
      </c>
      <c r="N226">
        <v>4.8828125E-4</v>
      </c>
      <c r="O226">
        <f t="shared" si="3"/>
        <v>0.2421875</v>
      </c>
      <c r="Q226" s="90"/>
      <c r="R226" s="89"/>
      <c r="S226" s="89"/>
    </row>
    <row r="227" spans="1:19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3.2324082242165226</v>
      </c>
      <c r="H227">
        <v>4.8694921875000008E-4</v>
      </c>
      <c r="I227">
        <v>-0.89785477808939818</v>
      </c>
      <c r="J227">
        <v>-4.3720968274158715E-4</v>
      </c>
      <c r="M227">
        <v>5.616338130913987</v>
      </c>
      <c r="N227">
        <v>9.765625E-4</v>
      </c>
      <c r="O227">
        <f t="shared" si="3"/>
        <v>0.2431640625</v>
      </c>
      <c r="Q227" s="90"/>
      <c r="R227" s="89"/>
      <c r="S227" s="89"/>
    </row>
    <row r="228" spans="1:19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9.697224672649563</v>
      </c>
      <c r="H228">
        <v>1.0280039062500002E-3</v>
      </c>
      <c r="I228">
        <v>-0.72379952622299915</v>
      </c>
      <c r="J228">
        <v>-7.4406874029914259E-4</v>
      </c>
      <c r="M228">
        <v>5.616338130913987</v>
      </c>
      <c r="N228">
        <v>1.953125E-3</v>
      </c>
      <c r="O228">
        <f t="shared" si="3"/>
        <v>0.2451171875</v>
      </c>
      <c r="Q228" s="90"/>
      <c r="R228" s="89"/>
      <c r="S228" s="89"/>
    </row>
    <row r="229" spans="1:19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14.545837008974342</v>
      </c>
      <c r="H229">
        <v>6.492656250000001E-4</v>
      </c>
      <c r="I229">
        <v>-0.61578264075601263</v>
      </c>
      <c r="J229">
        <v>-3.998065011146031E-4</v>
      </c>
      <c r="M229">
        <v>5.616338130913987</v>
      </c>
      <c r="N229">
        <v>9.765625E-4</v>
      </c>
      <c r="O229">
        <f t="shared" si="3"/>
        <v>0.24609375</v>
      </c>
      <c r="Q229" s="90"/>
      <c r="R229" s="89"/>
      <c r="S229" s="89"/>
    </row>
    <row r="230" spans="1:19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1.6162041121082618</v>
      </c>
      <c r="H230">
        <v>1.0280039062499999E-3</v>
      </c>
      <c r="I230">
        <v>-0.94755199228823228</v>
      </c>
      <c r="J230">
        <v>-9.7408714944727259E-4</v>
      </c>
      <c r="M230">
        <v>5.616338130913987</v>
      </c>
      <c r="N230">
        <v>1.953125E-3</v>
      </c>
      <c r="O230">
        <f t="shared" si="3"/>
        <v>0.248046875</v>
      </c>
      <c r="Q230" s="90"/>
      <c r="R230" s="89"/>
      <c r="S230" s="89"/>
    </row>
    <row r="231" spans="1:19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8.081020560541301</v>
      </c>
      <c r="H231">
        <v>2.1702304687499997E-3</v>
      </c>
      <c r="I231">
        <v>-0.7638625976344624</v>
      </c>
      <c r="J231">
        <v>-1.6577578833248318E-3</v>
      </c>
      <c r="M231">
        <v>5.616338130913987</v>
      </c>
      <c r="N231">
        <v>3.90625E-3</v>
      </c>
      <c r="O231">
        <f t="shared" si="3"/>
        <v>0.251953125</v>
      </c>
      <c r="Q231" s="90"/>
      <c r="R231" s="89"/>
      <c r="S231" s="89"/>
    </row>
    <row r="232" spans="1:19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12.929632896866085</v>
      </c>
      <c r="H232">
        <v>1.3706718749999999E-3</v>
      </c>
      <c r="I232">
        <v>-0.64986686299816243</v>
      </c>
      <c r="J232">
        <v>-8.9075423160605942E-4</v>
      </c>
      <c r="M232">
        <v>5.616338130913987</v>
      </c>
      <c r="N232">
        <v>1.953125E-3</v>
      </c>
      <c r="O232">
        <f t="shared" si="3"/>
        <v>0.25390625</v>
      </c>
      <c r="Q232" s="90"/>
      <c r="R232" s="89"/>
      <c r="S232" s="89"/>
    </row>
    <row r="233" spans="1:19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6.492656250000001E-4</v>
      </c>
      <c r="I233">
        <v>-1</v>
      </c>
      <c r="J233">
        <v>-6.492656250000001E-4</v>
      </c>
      <c r="M233">
        <v>5.616338130913987</v>
      </c>
      <c r="N233">
        <v>9.765625E-4</v>
      </c>
      <c r="O233">
        <f t="shared" si="3"/>
        <v>0.2548828125</v>
      </c>
      <c r="Q233" s="90"/>
      <c r="R233" s="89"/>
      <c r="S233" s="89"/>
    </row>
    <row r="234" spans="1:19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6.4648164484330399</v>
      </c>
      <c r="H234">
        <v>1.3706718749999999E-3</v>
      </c>
      <c r="I234">
        <v>-0.80614320253796257</v>
      </c>
      <c r="J234">
        <v>-1.1049578149412138E-3</v>
      </c>
      <c r="M234">
        <v>5.616338130913987</v>
      </c>
      <c r="N234">
        <v>1.953125E-3</v>
      </c>
      <c r="O234">
        <f t="shared" si="3"/>
        <v>0.2568359375</v>
      </c>
      <c r="Q234" s="90"/>
      <c r="R234" s="89"/>
      <c r="S234" s="89"/>
    </row>
    <row r="235" spans="1:19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11.313428784757823</v>
      </c>
      <c r="H235">
        <v>8.6568750000000003E-4</v>
      </c>
      <c r="I235">
        <v>-0.68583768308988147</v>
      </c>
      <c r="J235">
        <v>-5.9372110927987179E-4</v>
      </c>
      <c r="M235">
        <v>5.616338130913987</v>
      </c>
      <c r="N235">
        <v>9.765625E-4</v>
      </c>
      <c r="O235">
        <f t="shared" si="3"/>
        <v>0.2578125</v>
      </c>
      <c r="Q235" s="90"/>
      <c r="R235" s="89"/>
      <c r="S235" s="89"/>
    </row>
    <row r="236" spans="1:19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3.2324082242165226</v>
      </c>
      <c r="H236">
        <v>3.0754687500000004E-4</v>
      </c>
      <c r="I236">
        <v>-0.89785477808939818</v>
      </c>
      <c r="J236">
        <v>-2.7613243120521293E-4</v>
      </c>
      <c r="M236">
        <v>5.616338130913987</v>
      </c>
      <c r="N236">
        <v>4.8828125E-4</v>
      </c>
      <c r="O236">
        <f t="shared" si="3"/>
        <v>0.25830078125</v>
      </c>
      <c r="Q236" s="90"/>
      <c r="R236" s="89"/>
      <c r="S236" s="89"/>
    </row>
    <row r="237" spans="1:19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9.697224672649563</v>
      </c>
      <c r="H237">
        <v>6.4926562499999999E-4</v>
      </c>
      <c r="I237">
        <v>-0.72379952622299915</v>
      </c>
      <c r="J237">
        <v>-4.6993815176787945E-4</v>
      </c>
      <c r="M237">
        <v>5.616338130913987</v>
      </c>
      <c r="N237">
        <v>9.765625E-4</v>
      </c>
      <c r="O237">
        <f t="shared" si="3"/>
        <v>0.25927734375</v>
      </c>
      <c r="Q237" s="90"/>
      <c r="R237" s="89"/>
      <c r="S237" s="89"/>
    </row>
    <row r="238" spans="1:19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14.545837008974342</v>
      </c>
      <c r="H238">
        <v>4.100625E-4</v>
      </c>
      <c r="I238">
        <v>-0.61578264075601263</v>
      </c>
      <c r="J238">
        <v>-2.5250936912501245E-4</v>
      </c>
      <c r="M238">
        <v>5.616338130913987</v>
      </c>
      <c r="N238">
        <v>4.8828125E-4</v>
      </c>
      <c r="O238">
        <f t="shared" si="3"/>
        <v>0.259765625</v>
      </c>
      <c r="Q238" s="90"/>
      <c r="R238" s="89"/>
      <c r="S238" s="89"/>
    </row>
    <row r="239" spans="1:19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1.6162041121082618</v>
      </c>
      <c r="H239">
        <v>6.4926562499999999E-4</v>
      </c>
      <c r="I239">
        <v>-0.94755199228823228</v>
      </c>
      <c r="J239">
        <v>-6.1521293649301428E-4</v>
      </c>
      <c r="M239">
        <v>5.616338130913987</v>
      </c>
      <c r="N239">
        <v>9.765625E-4</v>
      </c>
      <c r="O239">
        <f t="shared" si="3"/>
        <v>0.2607421875</v>
      </c>
      <c r="Q239" s="90"/>
      <c r="R239" s="89"/>
      <c r="S239" s="89"/>
    </row>
    <row r="240" spans="1:19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8.081020560541301</v>
      </c>
      <c r="H240">
        <v>1.3706718749999997E-3</v>
      </c>
      <c r="I240">
        <v>-0.7638625976344624</v>
      </c>
      <c r="J240">
        <v>-1.0470049789419989E-3</v>
      </c>
      <c r="M240">
        <v>5.616338130913987</v>
      </c>
      <c r="N240">
        <v>1.953125E-3</v>
      </c>
      <c r="O240">
        <f t="shared" si="3"/>
        <v>0.2626953125</v>
      </c>
      <c r="Q240" s="90"/>
      <c r="R240" s="89"/>
      <c r="S240" s="89"/>
    </row>
    <row r="241" spans="1:19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12.929632896866085</v>
      </c>
      <c r="H241">
        <v>8.6568749999999992E-4</v>
      </c>
      <c r="I241">
        <v>-0.64986686299816243</v>
      </c>
      <c r="J241">
        <v>-5.6258161996172165E-4</v>
      </c>
      <c r="M241">
        <v>5.616338130913987</v>
      </c>
      <c r="N241">
        <v>9.765625E-4</v>
      </c>
      <c r="O241">
        <f t="shared" si="3"/>
        <v>0.263671875</v>
      </c>
      <c r="Q241" s="90"/>
      <c r="R241" s="89"/>
      <c r="S241" s="89"/>
    </row>
    <row r="242" spans="1:19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4.100625E-4</v>
      </c>
      <c r="I242">
        <v>-1</v>
      </c>
      <c r="J242">
        <v>-4.100625E-4</v>
      </c>
      <c r="M242">
        <v>5.616338130913987</v>
      </c>
      <c r="N242">
        <v>4.8828125E-4</v>
      </c>
      <c r="O242">
        <f t="shared" si="3"/>
        <v>0.26416015625</v>
      </c>
      <c r="Q242" s="90"/>
      <c r="R242" s="89"/>
      <c r="S242" s="89"/>
    </row>
    <row r="243" spans="1:19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6.4648164484330399</v>
      </c>
      <c r="H243">
        <v>8.6568749999999992E-4</v>
      </c>
      <c r="I243">
        <v>-0.80614320253796257</v>
      </c>
      <c r="J243">
        <v>-6.9786809364708242E-4</v>
      </c>
      <c r="M243">
        <v>5.616338130913987</v>
      </c>
      <c r="N243">
        <v>9.765625E-4</v>
      </c>
      <c r="O243">
        <f t="shared" si="3"/>
        <v>0.26513671875</v>
      </c>
      <c r="Q243" s="90"/>
      <c r="R243" s="89"/>
      <c r="S243" s="89"/>
    </row>
    <row r="244" spans="1:19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11.313428784757823</v>
      </c>
      <c r="H244">
        <v>5.4674999999999993E-4</v>
      </c>
      <c r="I244">
        <v>-0.68583768308988147</v>
      </c>
      <c r="J244">
        <v>-3.7498175322939263E-4</v>
      </c>
      <c r="M244">
        <v>5.616338130913987</v>
      </c>
      <c r="N244">
        <v>4.8828125E-4</v>
      </c>
      <c r="O244">
        <f t="shared" si="3"/>
        <v>0.265625</v>
      </c>
      <c r="Q244" s="90"/>
      <c r="R244" s="89"/>
      <c r="S244" s="89"/>
    </row>
    <row r="245" spans="1:19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4.6528762310459726</v>
      </c>
      <c r="H245">
        <v>2.73908935546875E-4</v>
      </c>
      <c r="I245">
        <v>-0.85633307315546936</v>
      </c>
      <c r="J245">
        <v>-2.3455728054159886E-4</v>
      </c>
      <c r="M245">
        <v>5.616338130913987</v>
      </c>
      <c r="N245">
        <v>2.44140625E-4</v>
      </c>
      <c r="O245">
        <f t="shared" si="3"/>
        <v>0.265869140625</v>
      </c>
      <c r="Q245" s="90"/>
      <c r="R245" s="89"/>
      <c r="S245" s="89"/>
    </row>
    <row r="246" spans="1:19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13.958628693137905</v>
      </c>
      <c r="H246">
        <v>5.7825219726562497E-4</v>
      </c>
      <c r="I246">
        <v>-0.62795446499997132</v>
      </c>
      <c r="J246">
        <v>-3.6311604916899339E-4</v>
      </c>
      <c r="M246">
        <v>5.616338130913987</v>
      </c>
      <c r="N246">
        <v>4.8828125E-4</v>
      </c>
      <c r="O246">
        <f t="shared" si="3"/>
        <v>0.266357421875</v>
      </c>
      <c r="Q246" s="90"/>
      <c r="R246" s="89"/>
      <c r="S246" s="89"/>
    </row>
    <row r="247" spans="1:19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20.937943039706855</v>
      </c>
      <c r="H247">
        <v>3.652119140625E-4</v>
      </c>
      <c r="I247">
        <v>-0.49761358610864465</v>
      </c>
      <c r="J247">
        <v>-1.8173441024624278E-4</v>
      </c>
      <c r="M247">
        <v>5.616338130913987</v>
      </c>
      <c r="N247">
        <v>2.44140625E-4</v>
      </c>
      <c r="O247">
        <f t="shared" si="3"/>
        <v>0.2666015625</v>
      </c>
      <c r="Q247" s="90"/>
      <c r="R247" s="89"/>
      <c r="S247" s="89"/>
    </row>
    <row r="248" spans="1:19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2.3264381155229863</v>
      </c>
      <c r="H248">
        <v>5.7825219726562497E-4</v>
      </c>
      <c r="I248">
        <v>-0.92538266309428419</v>
      </c>
      <c r="J248">
        <v>-5.3510455824578543E-4</v>
      </c>
      <c r="M248">
        <v>5.616338130913987</v>
      </c>
      <c r="N248">
        <v>4.8828125E-4</v>
      </c>
      <c r="O248">
        <f t="shared" si="3"/>
        <v>0.26708984375</v>
      </c>
      <c r="Q248" s="90"/>
      <c r="R248" s="89"/>
      <c r="S248" s="89"/>
    </row>
    <row r="249" spans="1:19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11.632190577614921</v>
      </c>
      <c r="H249">
        <v>1.2207546386718748E-3</v>
      </c>
      <c r="I249">
        <v>-0.678588966536529</v>
      </c>
      <c r="J249">
        <v>-8.2839062865102146E-4</v>
      </c>
      <c r="M249">
        <v>5.616338130913987</v>
      </c>
      <c r="N249">
        <v>9.765625E-4</v>
      </c>
      <c r="O249">
        <f t="shared" si="3"/>
        <v>0.26806640625</v>
      </c>
      <c r="Q249" s="90"/>
      <c r="R249" s="89"/>
      <c r="S249" s="89"/>
    </row>
    <row r="250" spans="1:19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18.611504924183873</v>
      </c>
      <c r="H250">
        <v>7.7100292968749996E-4</v>
      </c>
      <c r="I250">
        <v>-0.53773817681512415</v>
      </c>
      <c r="J250">
        <v>-4.1459770972927557E-4</v>
      </c>
      <c r="M250">
        <v>5.616338130913987</v>
      </c>
      <c r="N250">
        <v>4.8828125E-4</v>
      </c>
      <c r="O250">
        <f t="shared" si="3"/>
        <v>0.2685546875</v>
      </c>
      <c r="Q250" s="90"/>
      <c r="R250" s="89"/>
      <c r="S250" s="89"/>
    </row>
    <row r="251" spans="1:19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3.652119140625E-4</v>
      </c>
      <c r="I251">
        <v>-1</v>
      </c>
      <c r="J251">
        <v>-3.652119140625E-4</v>
      </c>
      <c r="M251">
        <v>5.616338130913987</v>
      </c>
      <c r="N251">
        <v>2.44140625E-4</v>
      </c>
      <c r="O251">
        <f t="shared" si="3"/>
        <v>0.268798828125</v>
      </c>
      <c r="Q251" s="90"/>
      <c r="R251" s="89"/>
      <c r="S251" s="89"/>
    </row>
    <row r="252" spans="1:19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9.3057524620919345</v>
      </c>
      <c r="H252">
        <v>7.7100292968749996E-4</v>
      </c>
      <c r="I252">
        <v>-0.73330633217989072</v>
      </c>
      <c r="J252">
        <v>-5.6538133046909079E-4</v>
      </c>
      <c r="M252">
        <v>5.616338130913987</v>
      </c>
      <c r="N252">
        <v>4.8828125E-4</v>
      </c>
      <c r="O252">
        <f t="shared" si="3"/>
        <v>0.269287109375</v>
      </c>
      <c r="Q252" s="90"/>
      <c r="R252" s="89"/>
      <c r="S252" s="89"/>
    </row>
    <row r="253" spans="1:19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16.285066808660886</v>
      </c>
      <c r="H253">
        <v>4.8694921874999997E-4</v>
      </c>
      <c r="I253">
        <v>-0.58109817512362005</v>
      </c>
      <c r="J253">
        <v>-2.8296530239349743E-4</v>
      </c>
      <c r="M253">
        <v>5.616338130913987</v>
      </c>
      <c r="N253">
        <v>2.44140625E-4</v>
      </c>
      <c r="O253">
        <f t="shared" si="3"/>
        <v>0.26953125</v>
      </c>
      <c r="Q253" s="90"/>
      <c r="R253" s="89"/>
      <c r="S253" s="89"/>
    </row>
    <row r="254" spans="1:19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4.6528762310459726</v>
      </c>
      <c r="H254">
        <v>5.7825219726562497E-4</v>
      </c>
      <c r="I254">
        <v>-0.85633307315546936</v>
      </c>
      <c r="J254">
        <v>-4.9517648114337531E-4</v>
      </c>
      <c r="M254">
        <v>5.616338130913987</v>
      </c>
      <c r="N254">
        <v>4.8828125E-4</v>
      </c>
      <c r="O254">
        <f t="shared" si="3"/>
        <v>0.27001953125</v>
      </c>
      <c r="Q254" s="90"/>
      <c r="R254" s="89"/>
      <c r="S254" s="89"/>
    </row>
    <row r="255" spans="1:19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13.958628693137905</v>
      </c>
      <c r="H255">
        <v>1.2207546386718748E-3</v>
      </c>
      <c r="I255">
        <v>-0.62795446499997132</v>
      </c>
      <c r="J255">
        <v>-7.6657832602343044E-4</v>
      </c>
      <c r="M255">
        <v>5.616338130913987</v>
      </c>
      <c r="N255">
        <v>9.765625E-4</v>
      </c>
      <c r="O255">
        <f t="shared" si="3"/>
        <v>0.27099609375</v>
      </c>
      <c r="Q255" s="90"/>
      <c r="R255" s="89"/>
      <c r="S255" s="89"/>
    </row>
    <row r="256" spans="1:19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20.937943039706855</v>
      </c>
      <c r="H256">
        <v>7.7100292968749996E-4</v>
      </c>
      <c r="I256">
        <v>-0.49761358610864465</v>
      </c>
      <c r="J256">
        <v>-3.8366153274206806E-4</v>
      </c>
      <c r="M256">
        <v>5.616338130913987</v>
      </c>
      <c r="N256">
        <v>4.8828125E-4</v>
      </c>
      <c r="O256">
        <f t="shared" si="3"/>
        <v>0.271484375</v>
      </c>
      <c r="Q256" s="90"/>
      <c r="R256" s="89"/>
      <c r="S256" s="89"/>
    </row>
    <row r="257" spans="1:19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2.3264381155229863</v>
      </c>
      <c r="H257">
        <v>1.2207546386718748E-3</v>
      </c>
      <c r="I257">
        <v>-0.92538266309428419</v>
      </c>
      <c r="J257">
        <v>-1.1296651785188802E-3</v>
      </c>
      <c r="M257">
        <v>5.616338130913987</v>
      </c>
      <c r="N257">
        <v>9.765625E-4</v>
      </c>
      <c r="O257">
        <f t="shared" si="3"/>
        <v>0.2724609375</v>
      </c>
      <c r="Q257" s="90"/>
      <c r="R257" s="89"/>
      <c r="S257" s="89"/>
    </row>
    <row r="258" spans="1:19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11.632190577614921</v>
      </c>
      <c r="H258">
        <v>2.5771486816406246E-3</v>
      </c>
      <c r="I258">
        <v>-0.678588966536529</v>
      </c>
      <c r="J258">
        <v>-1.7488246604854896E-3</v>
      </c>
      <c r="M258">
        <v>5.616338130913987</v>
      </c>
      <c r="N258">
        <v>1.953125E-3</v>
      </c>
      <c r="O258">
        <f t="shared" si="3"/>
        <v>0.2744140625</v>
      </c>
      <c r="Q258" s="90"/>
      <c r="R258" s="89"/>
      <c r="S258" s="89"/>
    </row>
    <row r="259" spans="1:19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18.611504924183873</v>
      </c>
      <c r="H259">
        <v>1.6276728515624997E-3</v>
      </c>
      <c r="I259">
        <v>-0.53773817681512415</v>
      </c>
      <c r="J259">
        <v>-8.7526183165069276E-4</v>
      </c>
      <c r="M259">
        <v>5.616338130913987</v>
      </c>
      <c r="N259">
        <v>9.765625E-4</v>
      </c>
      <c r="O259">
        <f t="shared" si="3"/>
        <v>0.275390625</v>
      </c>
      <c r="Q259" s="90"/>
      <c r="R259" s="89"/>
      <c r="S259" s="89"/>
    </row>
    <row r="260" spans="1:19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7.7100292968749985E-4</v>
      </c>
      <c r="I260">
        <v>-1</v>
      </c>
      <c r="J260">
        <v>-7.7100292968749985E-4</v>
      </c>
      <c r="M260">
        <v>5.616338130913987</v>
      </c>
      <c r="N260">
        <v>4.8828125E-4</v>
      </c>
      <c r="O260">
        <f t="shared" ref="O260:O323" si="4">N260+O259</f>
        <v>0.27587890625</v>
      </c>
      <c r="Q260" s="90"/>
      <c r="R260" s="89"/>
      <c r="S260" s="89"/>
    </row>
    <row r="261" spans="1:19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9.3057524620919345</v>
      </c>
      <c r="H261">
        <v>1.6276728515624997E-3</v>
      </c>
      <c r="I261">
        <v>-0.73330633217989072</v>
      </c>
      <c r="J261">
        <v>-1.1935828087680804E-3</v>
      </c>
      <c r="M261">
        <v>5.616338130913987</v>
      </c>
      <c r="N261">
        <v>9.765625E-4</v>
      </c>
      <c r="O261">
        <f t="shared" si="4"/>
        <v>0.27685546875</v>
      </c>
      <c r="Q261" s="90"/>
      <c r="R261" s="89"/>
      <c r="S261" s="89"/>
    </row>
    <row r="262" spans="1:19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16.285066808660886</v>
      </c>
      <c r="H262">
        <v>1.0280039062499997E-3</v>
      </c>
      <c r="I262">
        <v>-0.58109817512362005</v>
      </c>
      <c r="J262">
        <v>-5.9737119394182784E-4</v>
      </c>
      <c r="M262">
        <v>5.616338130913987</v>
      </c>
      <c r="N262">
        <v>4.8828125E-4</v>
      </c>
      <c r="O262">
        <f t="shared" si="4"/>
        <v>0.27734375</v>
      </c>
      <c r="Q262" s="90"/>
      <c r="R262" s="89"/>
      <c r="S262" s="89"/>
    </row>
    <row r="263" spans="1:19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4.6528762310459726</v>
      </c>
      <c r="H263">
        <v>3.6521191406249995E-4</v>
      </c>
      <c r="I263">
        <v>-0.85633307315546936</v>
      </c>
      <c r="J263">
        <v>-3.1274304072213176E-4</v>
      </c>
      <c r="M263">
        <v>5.616338130913987</v>
      </c>
      <c r="N263">
        <v>2.44140625E-4</v>
      </c>
      <c r="O263">
        <f t="shared" si="4"/>
        <v>0.277587890625</v>
      </c>
      <c r="Q263" s="90"/>
      <c r="R263" s="89"/>
      <c r="S263" s="89"/>
    </row>
    <row r="264" spans="1:19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13.958628693137905</v>
      </c>
      <c r="H264">
        <v>7.7100292968749985E-4</v>
      </c>
      <c r="I264">
        <v>-0.62795446499997132</v>
      </c>
      <c r="J264">
        <v>-4.8415473222532447E-4</v>
      </c>
      <c r="M264">
        <v>5.616338130913987</v>
      </c>
      <c r="N264">
        <v>4.8828125E-4</v>
      </c>
      <c r="O264">
        <f t="shared" si="4"/>
        <v>0.278076171875</v>
      </c>
      <c r="Q264" s="90"/>
      <c r="R264" s="89"/>
      <c r="S264" s="89"/>
    </row>
    <row r="265" spans="1:19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20.937943039706855</v>
      </c>
      <c r="H265">
        <v>4.8694921874999991E-4</v>
      </c>
      <c r="I265">
        <v>-0.49761358610864465</v>
      </c>
      <c r="J265">
        <v>-2.4231254699499033E-4</v>
      </c>
      <c r="M265">
        <v>5.616338130913987</v>
      </c>
      <c r="N265">
        <v>2.44140625E-4</v>
      </c>
      <c r="O265">
        <f t="shared" si="4"/>
        <v>0.2783203125</v>
      </c>
      <c r="Q265" s="90"/>
      <c r="R265" s="89"/>
      <c r="S265" s="89"/>
    </row>
    <row r="266" spans="1:19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2.3264381155229863</v>
      </c>
      <c r="H266">
        <v>7.7100292968749985E-4</v>
      </c>
      <c r="I266">
        <v>-0.92538266309428419</v>
      </c>
      <c r="J266">
        <v>-7.1347274432771376E-4</v>
      </c>
      <c r="M266">
        <v>5.616338130913987</v>
      </c>
      <c r="N266">
        <v>4.8828125E-4</v>
      </c>
      <c r="O266">
        <f t="shared" si="4"/>
        <v>0.27880859375</v>
      </c>
      <c r="Q266" s="90"/>
      <c r="R266" s="89"/>
      <c r="S266" s="89"/>
    </row>
    <row r="267" spans="1:19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11.632190577614921</v>
      </c>
      <c r="H267">
        <v>1.6276728515624997E-3</v>
      </c>
      <c r="I267">
        <v>-0.678588966536529</v>
      </c>
      <c r="J267">
        <v>-1.1045208382013619E-3</v>
      </c>
      <c r="M267">
        <v>5.616338130913987</v>
      </c>
      <c r="N267">
        <v>9.765625E-4</v>
      </c>
      <c r="O267">
        <f t="shared" si="4"/>
        <v>0.27978515625</v>
      </c>
      <c r="Q267" s="90"/>
      <c r="R267" s="89"/>
      <c r="S267" s="89"/>
    </row>
    <row r="268" spans="1:19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18.611504924183873</v>
      </c>
      <c r="H268">
        <v>1.0280039062499997E-3</v>
      </c>
      <c r="I268">
        <v>-0.53773817681512415</v>
      </c>
      <c r="J268">
        <v>-5.5279694630570061E-4</v>
      </c>
      <c r="M268">
        <v>5.616338130913987</v>
      </c>
      <c r="N268">
        <v>4.8828125E-4</v>
      </c>
      <c r="O268">
        <f t="shared" si="4"/>
        <v>0.2802734375</v>
      </c>
      <c r="Q268" s="90"/>
      <c r="R268" s="89"/>
      <c r="S268" s="89"/>
    </row>
    <row r="269" spans="1:19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4.8694921874999991E-4</v>
      </c>
      <c r="I269">
        <v>-1</v>
      </c>
      <c r="J269">
        <v>-4.8694921874999991E-4</v>
      </c>
      <c r="M269">
        <v>5.616338130913987</v>
      </c>
      <c r="N269">
        <v>2.44140625E-4</v>
      </c>
      <c r="O269">
        <f t="shared" si="4"/>
        <v>0.280517578125</v>
      </c>
      <c r="Q269" s="90"/>
      <c r="R269" s="89"/>
      <c r="S269" s="89"/>
    </row>
    <row r="270" spans="1:19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9.3057524620919345</v>
      </c>
      <c r="H270">
        <v>1.0280039062499997E-3</v>
      </c>
      <c r="I270">
        <v>-0.73330633217989072</v>
      </c>
      <c r="J270">
        <v>-7.5384177395878757E-4</v>
      </c>
      <c r="M270">
        <v>5.616338130913987</v>
      </c>
      <c r="N270">
        <v>4.8828125E-4</v>
      </c>
      <c r="O270">
        <f t="shared" si="4"/>
        <v>0.281005859375</v>
      </c>
      <c r="Q270" s="90"/>
      <c r="R270" s="89"/>
      <c r="S270" s="89"/>
    </row>
    <row r="271" spans="1:19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16.285066808660886</v>
      </c>
      <c r="H271">
        <v>6.4926562499999978E-4</v>
      </c>
      <c r="I271">
        <v>-0.58109817512362005</v>
      </c>
      <c r="J271">
        <v>-3.7728706985799647E-4</v>
      </c>
      <c r="M271">
        <v>5.616338130913987</v>
      </c>
      <c r="N271">
        <v>2.44140625E-4</v>
      </c>
      <c r="O271">
        <f t="shared" si="4"/>
        <v>0.28125</v>
      </c>
      <c r="Q271" s="90"/>
      <c r="R271" s="89"/>
      <c r="S271" s="89"/>
    </row>
    <row r="272" spans="1:19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4.6528762310459726</v>
      </c>
      <c r="H272">
        <v>5.7825219726562497E-4</v>
      </c>
      <c r="I272">
        <v>-0.85633307315546936</v>
      </c>
      <c r="J272">
        <v>-4.9517648114337531E-4</v>
      </c>
      <c r="M272">
        <v>5.9479430501281003</v>
      </c>
      <c r="N272">
        <v>9.765625E-4</v>
      </c>
      <c r="O272">
        <f t="shared" si="4"/>
        <v>0.2822265625</v>
      </c>
      <c r="Q272" s="90"/>
      <c r="R272" s="89"/>
      <c r="S272" s="89"/>
    </row>
    <row r="273" spans="1:19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13.958628693137905</v>
      </c>
      <c r="H273">
        <v>1.2207546386718748E-3</v>
      </c>
      <c r="I273">
        <v>-0.62795446499997132</v>
      </c>
      <c r="J273">
        <v>-7.6657832602343044E-4</v>
      </c>
      <c r="M273">
        <v>5.9479430501281003</v>
      </c>
      <c r="N273">
        <v>1.953125E-3</v>
      </c>
      <c r="O273">
        <f t="shared" si="4"/>
        <v>0.2841796875</v>
      </c>
      <c r="Q273" s="90"/>
      <c r="R273" s="89"/>
      <c r="S273" s="89"/>
    </row>
    <row r="274" spans="1:19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20.937943039706855</v>
      </c>
      <c r="H274">
        <v>7.7100292968749996E-4</v>
      </c>
      <c r="I274">
        <v>-0.49761358610864465</v>
      </c>
      <c r="J274">
        <v>-3.8366153274206806E-4</v>
      </c>
      <c r="M274">
        <v>5.9479430501281003</v>
      </c>
      <c r="N274">
        <v>9.765625E-4</v>
      </c>
      <c r="O274">
        <f t="shared" si="4"/>
        <v>0.28515625</v>
      </c>
      <c r="Q274" s="90"/>
      <c r="R274" s="89"/>
      <c r="S274" s="89"/>
    </row>
    <row r="275" spans="1:19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2.3264381155229863</v>
      </c>
      <c r="H275">
        <v>1.2207546386718748E-3</v>
      </c>
      <c r="I275">
        <v>-0.92538266309428419</v>
      </c>
      <c r="J275">
        <v>-1.1296651785188802E-3</v>
      </c>
      <c r="M275">
        <v>5.9479430501281003</v>
      </c>
      <c r="N275">
        <v>1.953125E-3</v>
      </c>
      <c r="O275">
        <f t="shared" si="4"/>
        <v>0.287109375</v>
      </c>
      <c r="Q275" s="90"/>
      <c r="R275" s="89"/>
      <c r="S275" s="89"/>
    </row>
    <row r="276" spans="1:19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11.632190577614921</v>
      </c>
      <c r="H276">
        <v>2.5771486816406246E-3</v>
      </c>
      <c r="I276">
        <v>-0.678588966536529</v>
      </c>
      <c r="J276">
        <v>-1.7488246604854896E-3</v>
      </c>
      <c r="M276">
        <v>5.9479430501281003</v>
      </c>
      <c r="N276">
        <v>3.90625E-3</v>
      </c>
      <c r="O276">
        <f t="shared" si="4"/>
        <v>0.291015625</v>
      </c>
      <c r="Q276" s="90"/>
      <c r="R276" s="89"/>
      <c r="S276" s="89"/>
    </row>
    <row r="277" spans="1:19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18.611504924183873</v>
      </c>
      <c r="H277">
        <v>1.6276728515624997E-3</v>
      </c>
      <c r="I277">
        <v>-0.53773817681512415</v>
      </c>
      <c r="J277">
        <v>-8.7526183165069276E-4</v>
      </c>
      <c r="M277">
        <v>5.9479430501281003</v>
      </c>
      <c r="N277">
        <v>1.953125E-3</v>
      </c>
      <c r="O277">
        <f t="shared" si="4"/>
        <v>0.29296875</v>
      </c>
      <c r="Q277" s="90"/>
      <c r="R277" s="89"/>
      <c r="S277" s="89"/>
    </row>
    <row r="278" spans="1:19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7.7100292968749985E-4</v>
      </c>
      <c r="I278">
        <v>-1</v>
      </c>
      <c r="J278">
        <v>-7.7100292968749985E-4</v>
      </c>
      <c r="M278">
        <v>5.9479430501281003</v>
      </c>
      <c r="N278">
        <v>9.765625E-4</v>
      </c>
      <c r="O278">
        <f t="shared" si="4"/>
        <v>0.2939453125</v>
      </c>
      <c r="Q278" s="90"/>
      <c r="R278" s="89"/>
      <c r="S278" s="89"/>
    </row>
    <row r="279" spans="1:19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9.3057524620919345</v>
      </c>
      <c r="H279">
        <v>1.6276728515624997E-3</v>
      </c>
      <c r="I279">
        <v>-0.73330633217989072</v>
      </c>
      <c r="J279">
        <v>-1.1935828087680804E-3</v>
      </c>
      <c r="M279">
        <v>5.9479430501281003</v>
      </c>
      <c r="N279">
        <v>1.953125E-3</v>
      </c>
      <c r="O279">
        <f t="shared" si="4"/>
        <v>0.2958984375</v>
      </c>
      <c r="Q279" s="90"/>
      <c r="R279" s="89"/>
      <c r="S279" s="89"/>
    </row>
    <row r="280" spans="1:19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16.285066808660886</v>
      </c>
      <c r="H280">
        <v>1.0280039062499997E-3</v>
      </c>
      <c r="I280">
        <v>-0.58109817512362005</v>
      </c>
      <c r="J280">
        <v>-5.9737119394182784E-4</v>
      </c>
      <c r="M280">
        <v>5.9479430501281003</v>
      </c>
      <c r="N280">
        <v>9.765625E-4</v>
      </c>
      <c r="O280">
        <f t="shared" si="4"/>
        <v>0.296875</v>
      </c>
      <c r="Q280" s="90"/>
      <c r="R280" s="89"/>
      <c r="S280" s="89"/>
    </row>
    <row r="281" spans="1:19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4.6528762310459726</v>
      </c>
      <c r="H281">
        <v>1.2207546386718748E-3</v>
      </c>
      <c r="I281">
        <v>-0.85633307315546936</v>
      </c>
      <c r="J281">
        <v>-1.0453725713026811E-3</v>
      </c>
      <c r="M281">
        <v>6.4648164484330399</v>
      </c>
      <c r="N281">
        <v>4.8828125E-4</v>
      </c>
      <c r="O281">
        <f t="shared" si="4"/>
        <v>0.29736328125</v>
      </c>
      <c r="Q281" s="90"/>
      <c r="R281" s="89"/>
      <c r="S281" s="89"/>
    </row>
    <row r="282" spans="1:19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13.958628693137905</v>
      </c>
      <c r="H282">
        <v>2.5771486816406246E-3</v>
      </c>
      <c r="I282">
        <v>-0.62795446499997132</v>
      </c>
      <c r="J282">
        <v>-1.6183320216050197E-3</v>
      </c>
      <c r="M282">
        <v>6.4648164484330399</v>
      </c>
      <c r="N282">
        <v>9.765625E-4</v>
      </c>
      <c r="O282">
        <f t="shared" si="4"/>
        <v>0.29833984375</v>
      </c>
      <c r="Q282" s="90"/>
      <c r="R282" s="89"/>
      <c r="S282" s="89"/>
    </row>
    <row r="283" spans="1:19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20.937943039706855</v>
      </c>
      <c r="H283">
        <v>1.6276728515624997E-3</v>
      </c>
      <c r="I283">
        <v>-0.49761358610864465</v>
      </c>
      <c r="J283">
        <v>-8.0995212467769911E-4</v>
      </c>
      <c r="M283">
        <v>6.4648164484330399</v>
      </c>
      <c r="N283">
        <v>4.8828125E-4</v>
      </c>
      <c r="O283">
        <f t="shared" si="4"/>
        <v>0.298828125</v>
      </c>
      <c r="Q283" s="90"/>
      <c r="R283" s="89"/>
      <c r="S283" s="89"/>
    </row>
    <row r="284" spans="1:19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2.3264381155229863</v>
      </c>
      <c r="H284">
        <v>2.5771486816406246E-3</v>
      </c>
      <c r="I284">
        <v>-0.92538266309428419</v>
      </c>
      <c r="J284">
        <v>-2.3848487102065248E-3</v>
      </c>
      <c r="M284">
        <v>6.4648164484330399</v>
      </c>
      <c r="N284">
        <v>9.765625E-4</v>
      </c>
      <c r="O284">
        <f t="shared" si="4"/>
        <v>0.2998046875</v>
      </c>
      <c r="Q284" s="90"/>
      <c r="R284" s="89"/>
      <c r="S284" s="89"/>
    </row>
    <row r="285" spans="1:19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11.632190577614921</v>
      </c>
      <c r="H285">
        <v>5.4406472167968737E-3</v>
      </c>
      <c r="I285">
        <v>-0.678588966536529</v>
      </c>
      <c r="J285">
        <v>-3.6919631721360332E-3</v>
      </c>
      <c r="M285">
        <v>6.4648164484330399</v>
      </c>
      <c r="N285">
        <v>1.953125E-3</v>
      </c>
      <c r="O285">
        <f t="shared" si="4"/>
        <v>0.3017578125</v>
      </c>
      <c r="Q285" s="90"/>
      <c r="R285" s="89"/>
      <c r="S285" s="89"/>
    </row>
    <row r="286" spans="1:19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18.611504924183873</v>
      </c>
      <c r="H286">
        <v>3.4361982421874993E-3</v>
      </c>
      <c r="I286">
        <v>-0.53773817681512415</v>
      </c>
      <c r="J286">
        <v>-1.8477749779292404E-3</v>
      </c>
      <c r="M286">
        <v>6.4648164484330399</v>
      </c>
      <c r="N286">
        <v>9.765625E-4</v>
      </c>
      <c r="O286">
        <f t="shared" si="4"/>
        <v>0.302734375</v>
      </c>
      <c r="Q286" s="90"/>
      <c r="R286" s="89"/>
      <c r="S286" s="89"/>
    </row>
    <row r="287" spans="1:19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1.6276728515624997E-3</v>
      </c>
      <c r="I287">
        <v>-1</v>
      </c>
      <c r="J287">
        <v>-1.6276728515624997E-3</v>
      </c>
      <c r="M287">
        <v>6.4648164484330399</v>
      </c>
      <c r="N287">
        <v>4.8828125E-4</v>
      </c>
      <c r="O287">
        <f t="shared" si="4"/>
        <v>0.30322265625</v>
      </c>
      <c r="Q287" s="90"/>
      <c r="R287" s="89"/>
      <c r="S287" s="89"/>
    </row>
    <row r="288" spans="1:19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9.3057524620919345</v>
      </c>
      <c r="H288">
        <v>3.4361982421874993E-3</v>
      </c>
      <c r="I288">
        <v>-0.73330633217989072</v>
      </c>
      <c r="J288">
        <v>-2.5197859296215031E-3</v>
      </c>
      <c r="M288">
        <v>6.4648164484330399</v>
      </c>
      <c r="N288">
        <v>9.765625E-4</v>
      </c>
      <c r="O288">
        <f t="shared" si="4"/>
        <v>0.30419921875</v>
      </c>
      <c r="Q288" s="90"/>
      <c r="R288" s="89"/>
      <c r="S288" s="89"/>
    </row>
    <row r="289" spans="1:19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16.285066808660886</v>
      </c>
      <c r="H289">
        <v>2.1702304687499993E-3</v>
      </c>
      <c r="I289">
        <v>-0.58109817512362005</v>
      </c>
      <c r="J289">
        <v>-1.2611169649883031E-3</v>
      </c>
      <c r="M289">
        <v>6.4648164484330399</v>
      </c>
      <c r="N289">
        <v>4.8828125E-4</v>
      </c>
      <c r="O289">
        <f t="shared" si="4"/>
        <v>0.3046875</v>
      </c>
      <c r="Q289" s="90"/>
      <c r="R289" s="89"/>
      <c r="S289" s="89"/>
    </row>
    <row r="290" spans="1:19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4.6528762310459726</v>
      </c>
      <c r="H290">
        <v>7.7100292968749996E-4</v>
      </c>
      <c r="I290">
        <v>-0.85633307315546936</v>
      </c>
      <c r="J290">
        <v>-6.6023530819116715E-4</v>
      </c>
      <c r="M290">
        <v>6.5140267234643545</v>
      </c>
      <c r="N290">
        <v>2.44140625E-4</v>
      </c>
      <c r="O290">
        <f t="shared" si="4"/>
        <v>0.304931640625</v>
      </c>
      <c r="Q290" s="90"/>
      <c r="R290" s="89"/>
      <c r="S290" s="89"/>
    </row>
    <row r="291" spans="1:19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13.958628693137905</v>
      </c>
      <c r="H291">
        <v>1.6276728515624999E-3</v>
      </c>
      <c r="I291">
        <v>-0.62795446499997132</v>
      </c>
      <c r="J291">
        <v>-1.0221044346979075E-3</v>
      </c>
      <c r="M291">
        <v>6.5140267234643545</v>
      </c>
      <c r="N291">
        <v>4.8828125E-4</v>
      </c>
      <c r="O291">
        <f t="shared" si="4"/>
        <v>0.305419921875</v>
      </c>
      <c r="Q291" s="90"/>
      <c r="R291" s="89"/>
      <c r="S291" s="89"/>
    </row>
    <row r="292" spans="1:19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20.937943039706855</v>
      </c>
      <c r="H292">
        <v>1.0280039062499999E-3</v>
      </c>
      <c r="I292">
        <v>-0.49761358610864465</v>
      </c>
      <c r="J292">
        <v>-5.1154871032275744E-4</v>
      </c>
      <c r="M292">
        <v>6.5140267234643545</v>
      </c>
      <c r="N292">
        <v>2.44140625E-4</v>
      </c>
      <c r="O292">
        <f t="shared" si="4"/>
        <v>0.3056640625</v>
      </c>
      <c r="Q292" s="90"/>
      <c r="R292" s="89"/>
      <c r="S292" s="89"/>
    </row>
    <row r="293" spans="1:19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2.3264381155229863</v>
      </c>
      <c r="H293">
        <v>1.6276728515624997E-3</v>
      </c>
      <c r="I293">
        <v>-0.92538266309428419</v>
      </c>
      <c r="J293">
        <v>-1.5062202380251735E-3</v>
      </c>
      <c r="M293">
        <v>6.5140267234643545</v>
      </c>
      <c r="N293">
        <v>4.8828125E-4</v>
      </c>
      <c r="O293">
        <f t="shared" si="4"/>
        <v>0.30615234375</v>
      </c>
      <c r="Q293" s="90"/>
      <c r="R293" s="89"/>
      <c r="S293" s="89"/>
    </row>
    <row r="294" spans="1:19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11.632190577614921</v>
      </c>
      <c r="H294">
        <v>3.4361982421874993E-3</v>
      </c>
      <c r="I294">
        <v>-0.678588966536529</v>
      </c>
      <c r="J294">
        <v>-2.3317662139806529E-3</v>
      </c>
      <c r="M294">
        <v>6.5140267234643545</v>
      </c>
      <c r="N294">
        <v>9.765625E-4</v>
      </c>
      <c r="O294">
        <f t="shared" si="4"/>
        <v>0.30712890625</v>
      </c>
      <c r="Q294" s="90"/>
      <c r="R294" s="89"/>
      <c r="S294" s="89"/>
    </row>
    <row r="295" spans="1:19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18.611504924183873</v>
      </c>
      <c r="H295">
        <v>2.1702304687499993E-3</v>
      </c>
      <c r="I295">
        <v>-0.53773817681512415</v>
      </c>
      <c r="J295">
        <v>-1.1670157755342568E-3</v>
      </c>
      <c r="M295">
        <v>6.5140267234643545</v>
      </c>
      <c r="N295">
        <v>4.8828125E-4</v>
      </c>
      <c r="O295">
        <f t="shared" si="4"/>
        <v>0.3076171875</v>
      </c>
      <c r="Q295" s="90"/>
      <c r="R295" s="89"/>
      <c r="S295" s="89"/>
    </row>
    <row r="296" spans="1:19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1.0280039062499999E-3</v>
      </c>
      <c r="I296">
        <v>-1</v>
      </c>
      <c r="J296">
        <v>-1.0280039062499999E-3</v>
      </c>
      <c r="M296">
        <v>6.5140267234643545</v>
      </c>
      <c r="N296">
        <v>2.44140625E-4</v>
      </c>
      <c r="O296">
        <f t="shared" si="4"/>
        <v>0.307861328125</v>
      </c>
      <c r="Q296" s="90"/>
      <c r="R296" s="89"/>
      <c r="S296" s="89"/>
    </row>
    <row r="297" spans="1:19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9.3057524620919345</v>
      </c>
      <c r="H297">
        <v>2.1702304687499993E-3</v>
      </c>
      <c r="I297">
        <v>-0.73330633217989072</v>
      </c>
      <c r="J297">
        <v>-1.591443745024107E-3</v>
      </c>
      <c r="M297">
        <v>6.5140267234643545</v>
      </c>
      <c r="N297">
        <v>4.8828125E-4</v>
      </c>
      <c r="O297">
        <f t="shared" si="4"/>
        <v>0.308349609375</v>
      </c>
      <c r="Q297" s="90"/>
      <c r="R297" s="89"/>
      <c r="S297" s="89"/>
    </row>
    <row r="298" spans="1:19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16.285066808660886</v>
      </c>
      <c r="H298">
        <v>1.3706718749999997E-3</v>
      </c>
      <c r="I298">
        <v>-0.58109817512362005</v>
      </c>
      <c r="J298">
        <v>-7.9649492525577046E-4</v>
      </c>
      <c r="M298">
        <v>6.5140267234643545</v>
      </c>
      <c r="N298">
        <v>2.44140625E-4</v>
      </c>
      <c r="O298">
        <f t="shared" si="4"/>
        <v>0.30859375</v>
      </c>
      <c r="Q298" s="90"/>
      <c r="R298" s="89"/>
      <c r="S298" s="89"/>
    </row>
    <row r="299" spans="1:19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4.6528762310459726</v>
      </c>
      <c r="H299">
        <v>3.652119140625E-4</v>
      </c>
      <c r="I299">
        <v>-0.85633307315546936</v>
      </c>
      <c r="J299">
        <v>-3.1274304072213181E-4</v>
      </c>
      <c r="M299">
        <v>7.4349288126601252</v>
      </c>
      <c r="N299">
        <v>1.953125E-3</v>
      </c>
      <c r="O299">
        <f t="shared" si="4"/>
        <v>0.310546875</v>
      </c>
      <c r="Q299" s="90"/>
      <c r="R299" s="89"/>
      <c r="S299" s="89"/>
    </row>
    <row r="300" spans="1:19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13.958628693137905</v>
      </c>
      <c r="H300">
        <v>7.7100292968749996E-4</v>
      </c>
      <c r="I300">
        <v>-0.62795446499997132</v>
      </c>
      <c r="J300">
        <v>-4.8415473222532452E-4</v>
      </c>
      <c r="M300">
        <v>7.4349288126601252</v>
      </c>
      <c r="N300">
        <v>3.90625E-3</v>
      </c>
      <c r="O300">
        <f t="shared" si="4"/>
        <v>0.314453125</v>
      </c>
      <c r="Q300" s="90"/>
      <c r="R300" s="89"/>
      <c r="S300" s="89"/>
    </row>
    <row r="301" spans="1:19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20.937943039706855</v>
      </c>
      <c r="H301">
        <v>4.8694921874999997E-4</v>
      </c>
      <c r="I301">
        <v>-0.49761358610864465</v>
      </c>
      <c r="J301">
        <v>-2.4231254699499035E-4</v>
      </c>
      <c r="M301">
        <v>7.4349288126601252</v>
      </c>
      <c r="N301">
        <v>1.953125E-3</v>
      </c>
      <c r="O301">
        <f t="shared" si="4"/>
        <v>0.31640625</v>
      </c>
      <c r="Q301" s="90"/>
      <c r="R301" s="89"/>
      <c r="S301" s="89"/>
    </row>
    <row r="302" spans="1:19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2.3264381155229863</v>
      </c>
      <c r="H302">
        <v>7.7100292968749996E-4</v>
      </c>
      <c r="I302">
        <v>-0.92538266309428419</v>
      </c>
      <c r="J302">
        <v>-7.1347274432771387E-4</v>
      </c>
      <c r="M302">
        <v>7.4349288126601252</v>
      </c>
      <c r="N302">
        <v>3.90625E-3</v>
      </c>
      <c r="O302">
        <f t="shared" si="4"/>
        <v>0.3203125</v>
      </c>
      <c r="Q302" s="90"/>
      <c r="R302" s="89"/>
      <c r="S302" s="89"/>
    </row>
    <row r="303" spans="1:19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11.632190577614921</v>
      </c>
      <c r="H303">
        <v>1.6276728515624999E-3</v>
      </c>
      <c r="I303">
        <v>-0.678588966536529</v>
      </c>
      <c r="J303">
        <v>-1.1045208382013619E-3</v>
      </c>
      <c r="M303">
        <v>7.4349288126601252</v>
      </c>
      <c r="N303">
        <v>7.8125E-3</v>
      </c>
      <c r="O303">
        <f t="shared" si="4"/>
        <v>0.328125</v>
      </c>
      <c r="Q303" s="90"/>
      <c r="R303" s="89"/>
      <c r="S303" s="89"/>
    </row>
    <row r="304" spans="1:19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18.611504924183873</v>
      </c>
      <c r="H304">
        <v>1.0280039062499999E-3</v>
      </c>
      <c r="I304">
        <v>-0.53773817681512415</v>
      </c>
      <c r="J304">
        <v>-5.5279694630570083E-4</v>
      </c>
      <c r="M304">
        <v>7.4349288126601252</v>
      </c>
      <c r="N304">
        <v>3.90625E-3</v>
      </c>
      <c r="O304">
        <f t="shared" si="4"/>
        <v>0.33203125</v>
      </c>
      <c r="Q304" s="90"/>
      <c r="R304" s="89"/>
      <c r="S304" s="89"/>
    </row>
    <row r="305" spans="1:19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4.8694921874999997E-4</v>
      </c>
      <c r="I305">
        <v>-1</v>
      </c>
      <c r="J305">
        <v>-4.8694921874999997E-4</v>
      </c>
      <c r="M305">
        <v>7.4349288126601252</v>
      </c>
      <c r="N305">
        <v>1.953125E-3</v>
      </c>
      <c r="O305">
        <f t="shared" si="4"/>
        <v>0.333984375</v>
      </c>
      <c r="Q305" s="90"/>
      <c r="R305" s="89"/>
      <c r="S305" s="89"/>
    </row>
    <row r="306" spans="1:19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9.3057524620919345</v>
      </c>
      <c r="H306">
        <v>1.0280039062499999E-3</v>
      </c>
      <c r="I306">
        <v>-0.73330633217989072</v>
      </c>
      <c r="J306">
        <v>-7.5384177395878768E-4</v>
      </c>
      <c r="M306">
        <v>7.4349288126601252</v>
      </c>
      <c r="N306">
        <v>3.90625E-3</v>
      </c>
      <c r="O306">
        <f t="shared" si="4"/>
        <v>0.337890625</v>
      </c>
      <c r="Q306" s="90"/>
      <c r="R306" s="89"/>
      <c r="S306" s="89"/>
    </row>
    <row r="307" spans="1:19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16.285066808660886</v>
      </c>
      <c r="H307">
        <v>6.4926562499999999E-4</v>
      </c>
      <c r="I307">
        <v>-0.58109817512362005</v>
      </c>
      <c r="J307">
        <v>-3.7728706985799663E-4</v>
      </c>
      <c r="M307">
        <v>7.4349288126601252</v>
      </c>
      <c r="N307">
        <v>1.953125E-3</v>
      </c>
      <c r="O307">
        <f t="shared" si="4"/>
        <v>0.33984375</v>
      </c>
      <c r="Q307" s="90"/>
      <c r="R307" s="89"/>
      <c r="S307" s="89"/>
    </row>
    <row r="308" spans="1:19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4.6528762310459726</v>
      </c>
      <c r="H308">
        <v>7.7100292968750007E-4</v>
      </c>
      <c r="I308">
        <v>-0.85633307315546936</v>
      </c>
      <c r="J308">
        <v>-6.6023530819116715E-4</v>
      </c>
      <c r="M308">
        <v>7.4446019696735473</v>
      </c>
      <c r="N308">
        <v>4.8828125E-4</v>
      </c>
      <c r="O308">
        <f t="shared" si="4"/>
        <v>0.34033203125</v>
      </c>
      <c r="Q308" s="90"/>
      <c r="R308" s="89"/>
      <c r="S308" s="89"/>
    </row>
    <row r="309" spans="1:19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13.958628693137905</v>
      </c>
      <c r="H309">
        <v>1.6276728515625001E-3</v>
      </c>
      <c r="I309">
        <v>-0.62795446499997132</v>
      </c>
      <c r="J309">
        <v>-1.0221044346979075E-3</v>
      </c>
      <c r="M309">
        <v>7.4446019696735473</v>
      </c>
      <c r="N309">
        <v>9.765625E-4</v>
      </c>
      <c r="O309">
        <f t="shared" si="4"/>
        <v>0.34130859375</v>
      </c>
      <c r="Q309" s="90"/>
      <c r="R309" s="89"/>
      <c r="S309" s="89"/>
    </row>
    <row r="310" spans="1:19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20.937943039706855</v>
      </c>
      <c r="H310">
        <v>1.0280039062499999E-3</v>
      </c>
      <c r="I310">
        <v>-0.49761358610864465</v>
      </c>
      <c r="J310">
        <v>-5.1154871032275744E-4</v>
      </c>
      <c r="M310">
        <v>7.4446019696735473</v>
      </c>
      <c r="N310">
        <v>4.8828125E-4</v>
      </c>
      <c r="O310">
        <f t="shared" si="4"/>
        <v>0.341796875</v>
      </c>
      <c r="Q310" s="90"/>
      <c r="R310" s="89"/>
      <c r="S310" s="89"/>
    </row>
    <row r="311" spans="1:19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2.3264381155229863</v>
      </c>
      <c r="H311">
        <v>1.6276728515624999E-3</v>
      </c>
      <c r="I311">
        <v>-0.92538266309428419</v>
      </c>
      <c r="J311">
        <v>-1.5062202380251737E-3</v>
      </c>
      <c r="M311">
        <v>7.4446019696735473</v>
      </c>
      <c r="N311">
        <v>9.765625E-4</v>
      </c>
      <c r="O311">
        <f t="shared" si="4"/>
        <v>0.3427734375</v>
      </c>
      <c r="Q311" s="90"/>
      <c r="R311" s="89"/>
      <c r="S311" s="89"/>
    </row>
    <row r="312" spans="1:19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11.632190577614921</v>
      </c>
      <c r="H312">
        <v>3.4361982421874998E-3</v>
      </c>
      <c r="I312">
        <v>-0.678588966536529</v>
      </c>
      <c r="J312">
        <v>-2.3317662139806529E-3</v>
      </c>
      <c r="M312">
        <v>7.4446019696735473</v>
      </c>
      <c r="N312">
        <v>1.953125E-3</v>
      </c>
      <c r="O312">
        <f t="shared" si="4"/>
        <v>0.3447265625</v>
      </c>
      <c r="Q312" s="90"/>
      <c r="R312" s="89"/>
      <c r="S312" s="89"/>
    </row>
    <row r="313" spans="1:19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18.611504924183873</v>
      </c>
      <c r="H313">
        <v>2.1702304687499997E-3</v>
      </c>
      <c r="I313">
        <v>-0.53773817681512415</v>
      </c>
      <c r="J313">
        <v>-1.167015775534257E-3</v>
      </c>
      <c r="M313">
        <v>7.4446019696735473</v>
      </c>
      <c r="N313">
        <v>9.765625E-4</v>
      </c>
      <c r="O313">
        <f t="shared" si="4"/>
        <v>0.345703125</v>
      </c>
      <c r="Q313" s="90"/>
      <c r="R313" s="89"/>
      <c r="S313" s="89"/>
    </row>
    <row r="314" spans="1:19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1.0280039062499999E-3</v>
      </c>
      <c r="I314">
        <v>-1</v>
      </c>
      <c r="J314">
        <v>-1.0280039062499999E-3</v>
      </c>
      <c r="M314">
        <v>7.4446019696735473</v>
      </c>
      <c r="N314">
        <v>4.8828125E-4</v>
      </c>
      <c r="O314">
        <f t="shared" si="4"/>
        <v>0.34619140625</v>
      </c>
      <c r="Q314" s="90"/>
      <c r="R314" s="89"/>
      <c r="S314" s="89"/>
    </row>
    <row r="315" spans="1:19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9.3057524620919345</v>
      </c>
      <c r="H315">
        <v>2.1702304687499997E-3</v>
      </c>
      <c r="I315">
        <v>-0.73330633217989072</v>
      </c>
      <c r="J315">
        <v>-1.5914437450241072E-3</v>
      </c>
      <c r="M315">
        <v>7.4446019696735473</v>
      </c>
      <c r="N315">
        <v>9.765625E-4</v>
      </c>
      <c r="O315">
        <f t="shared" si="4"/>
        <v>0.34716796875</v>
      </c>
      <c r="Q315" s="90"/>
      <c r="R315" s="89"/>
      <c r="S315" s="89"/>
    </row>
    <row r="316" spans="1:19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16.285066808660886</v>
      </c>
      <c r="H316">
        <v>1.3706718749999999E-3</v>
      </c>
      <c r="I316">
        <v>-0.58109817512362005</v>
      </c>
      <c r="J316">
        <v>-7.9649492525577057E-4</v>
      </c>
      <c r="M316">
        <v>7.4446019696735473</v>
      </c>
      <c r="N316">
        <v>4.8828125E-4</v>
      </c>
      <c r="O316">
        <f t="shared" si="4"/>
        <v>0.34765625</v>
      </c>
      <c r="Q316" s="90"/>
      <c r="R316" s="89"/>
      <c r="S316" s="89"/>
    </row>
    <row r="317" spans="1:19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4.6528762310459726</v>
      </c>
      <c r="H317">
        <v>4.8694921875000008E-4</v>
      </c>
      <c r="I317">
        <v>-0.85633307315546936</v>
      </c>
      <c r="J317">
        <v>-4.1699072096284249E-4</v>
      </c>
      <c r="M317">
        <v>8.081020560541301</v>
      </c>
      <c r="N317">
        <v>9.765625E-4</v>
      </c>
      <c r="O317">
        <f t="shared" si="4"/>
        <v>0.3486328125</v>
      </c>
      <c r="Q317" s="90"/>
      <c r="R317" s="89"/>
      <c r="S317" s="89"/>
    </row>
    <row r="318" spans="1:19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13.958628693137905</v>
      </c>
      <c r="H318">
        <v>1.0280039062500002E-3</v>
      </c>
      <c r="I318">
        <v>-0.62795446499997132</v>
      </c>
      <c r="J318">
        <v>-6.4553964296709947E-4</v>
      </c>
      <c r="M318">
        <v>8.081020560541301</v>
      </c>
      <c r="N318">
        <v>1.953125E-3</v>
      </c>
      <c r="O318">
        <f t="shared" si="4"/>
        <v>0.3505859375</v>
      </c>
      <c r="Q318" s="90"/>
      <c r="R318" s="89"/>
      <c r="S318" s="89"/>
    </row>
    <row r="319" spans="1:19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20.937943039706855</v>
      </c>
      <c r="H319">
        <v>6.492656250000001E-4</v>
      </c>
      <c r="I319">
        <v>-0.49761358610864465</v>
      </c>
      <c r="J319">
        <v>-3.2308339599332054E-4</v>
      </c>
      <c r="M319">
        <v>8.081020560541301</v>
      </c>
      <c r="N319">
        <v>9.765625E-4</v>
      </c>
      <c r="O319">
        <f t="shared" si="4"/>
        <v>0.3515625</v>
      </c>
      <c r="Q319" s="90"/>
      <c r="R319" s="89"/>
      <c r="S319" s="89"/>
    </row>
    <row r="320" spans="1:19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2.3264381155229863</v>
      </c>
      <c r="H320">
        <v>1.0280039062499999E-3</v>
      </c>
      <c r="I320">
        <v>-0.92538266309428419</v>
      </c>
      <c r="J320">
        <v>-9.5129699243695176E-4</v>
      </c>
      <c r="M320">
        <v>8.081020560541301</v>
      </c>
      <c r="N320">
        <v>1.953125E-3</v>
      </c>
      <c r="O320">
        <f t="shared" si="4"/>
        <v>0.353515625</v>
      </c>
      <c r="Q320" s="90"/>
      <c r="R320" s="89"/>
      <c r="S320" s="89"/>
    </row>
    <row r="321" spans="1:19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11.632190577614921</v>
      </c>
      <c r="H321">
        <v>2.1702304687499997E-3</v>
      </c>
      <c r="I321">
        <v>-0.678588966536529</v>
      </c>
      <c r="J321">
        <v>-1.4726944509351493E-3</v>
      </c>
      <c r="M321">
        <v>8.081020560541301</v>
      </c>
      <c r="N321">
        <v>3.90625E-3</v>
      </c>
      <c r="O321">
        <f t="shared" si="4"/>
        <v>0.357421875</v>
      </c>
      <c r="Q321" s="90"/>
      <c r="R321" s="89"/>
      <c r="S321" s="89"/>
    </row>
    <row r="322" spans="1:19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18.611504924183873</v>
      </c>
      <c r="H322">
        <v>1.3706718749999999E-3</v>
      </c>
      <c r="I322">
        <v>-0.53773817681512415</v>
      </c>
      <c r="J322">
        <v>-7.3706259507426767E-4</v>
      </c>
      <c r="M322">
        <v>8.081020560541301</v>
      </c>
      <c r="N322">
        <v>1.953125E-3</v>
      </c>
      <c r="O322">
        <f t="shared" si="4"/>
        <v>0.359375</v>
      </c>
      <c r="Q322" s="90"/>
      <c r="R322" s="89"/>
      <c r="S322" s="89"/>
    </row>
    <row r="323" spans="1:19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6.492656250000001E-4</v>
      </c>
      <c r="I323">
        <v>-1</v>
      </c>
      <c r="J323">
        <v>-6.492656250000001E-4</v>
      </c>
      <c r="M323">
        <v>8.081020560541301</v>
      </c>
      <c r="N323">
        <v>9.765625E-4</v>
      </c>
      <c r="O323">
        <f t="shared" si="4"/>
        <v>0.3603515625</v>
      </c>
      <c r="Q323" s="90"/>
      <c r="R323" s="89"/>
      <c r="S323" s="89"/>
    </row>
    <row r="324" spans="1:19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9.3057524620919345</v>
      </c>
      <c r="H324">
        <v>1.3706718749999999E-3</v>
      </c>
      <c r="I324">
        <v>-0.73330633217989072</v>
      </c>
      <c r="J324">
        <v>-1.0051223652783835E-3</v>
      </c>
      <c r="M324">
        <v>8.081020560541301</v>
      </c>
      <c r="N324">
        <v>1.953125E-3</v>
      </c>
      <c r="O324">
        <f t="shared" ref="O324:O387" si="5">N324+O323</f>
        <v>0.3623046875</v>
      </c>
      <c r="Q324" s="90"/>
      <c r="R324" s="89"/>
      <c r="S324" s="89"/>
    </row>
    <row r="325" spans="1:19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16.285066808660886</v>
      </c>
      <c r="H325">
        <v>8.6568750000000003E-4</v>
      </c>
      <c r="I325">
        <v>-0.58109817512362005</v>
      </c>
      <c r="J325">
        <v>-5.0304942647732881E-4</v>
      </c>
      <c r="M325">
        <v>8.081020560541301</v>
      </c>
      <c r="N325">
        <v>9.765625E-4</v>
      </c>
      <c r="O325">
        <f t="shared" si="5"/>
        <v>0.36328125</v>
      </c>
      <c r="Q325" s="90"/>
      <c r="R325" s="89"/>
      <c r="S325" s="89"/>
    </row>
    <row r="326" spans="1:19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5.616338130913987</v>
      </c>
      <c r="H326">
        <v>5.7825219726562508E-4</v>
      </c>
      <c r="I326">
        <v>-0.82926851746249697</v>
      </c>
      <c r="J326">
        <v>-4.7952634234589624E-4</v>
      </c>
      <c r="M326">
        <v>8.3751772158827436</v>
      </c>
      <c r="N326">
        <v>2.44140625E-4</v>
      </c>
      <c r="O326">
        <f t="shared" si="5"/>
        <v>0.363525390625</v>
      </c>
      <c r="Q326" s="90"/>
      <c r="R326" s="89"/>
      <c r="S326" s="89"/>
    </row>
    <row r="327" spans="1:19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16.849014392741964</v>
      </c>
      <c r="H327">
        <v>1.220754638671875E-3</v>
      </c>
      <c r="I327">
        <v>-0.57027657696444012</v>
      </c>
      <c r="J327">
        <v>-6.961677766552588E-4</v>
      </c>
      <c r="M327">
        <v>8.3751772158827436</v>
      </c>
      <c r="N327">
        <v>4.8828125E-4</v>
      </c>
      <c r="O327">
        <f t="shared" si="5"/>
        <v>0.364013671875</v>
      </c>
      <c r="Q327" s="90"/>
      <c r="R327" s="89"/>
      <c r="S327" s="89"/>
    </row>
    <row r="328" spans="1:19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25.273521589112942</v>
      </c>
      <c r="H328">
        <v>7.7100292968750007E-4</v>
      </c>
      <c r="I328">
        <v>-0.4306538173458283</v>
      </c>
      <c r="J328">
        <v>-3.3203535485473918E-4</v>
      </c>
      <c r="M328">
        <v>8.3751772158827436</v>
      </c>
      <c r="N328">
        <v>2.44140625E-4</v>
      </c>
      <c r="O328">
        <f t="shared" si="5"/>
        <v>0.3642578125</v>
      </c>
      <c r="Q328" s="90"/>
      <c r="R328" s="89"/>
      <c r="S328" s="89"/>
    </row>
    <row r="329" spans="1:19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2.8081690654569935</v>
      </c>
      <c r="H329">
        <v>1.220754638671875E-3</v>
      </c>
      <c r="I329">
        <v>-0.91064181622770701</v>
      </c>
      <c r="J329">
        <v>-1.1116702213285546E-3</v>
      </c>
      <c r="M329">
        <v>8.3751772158827436</v>
      </c>
      <c r="N329">
        <v>4.8828125E-4</v>
      </c>
      <c r="O329">
        <f t="shared" si="5"/>
        <v>0.36474609375</v>
      </c>
      <c r="Q329" s="90"/>
      <c r="R329" s="89"/>
      <c r="S329" s="89"/>
    </row>
    <row r="330" spans="1:19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14.040845327284968</v>
      </c>
      <c r="H330">
        <v>2.577148681640625E-3</v>
      </c>
      <c r="I330">
        <v>-0.62623587759980681</v>
      </c>
      <c r="J330">
        <v>-1.6139029663524019E-3</v>
      </c>
      <c r="M330">
        <v>8.3751772158827436</v>
      </c>
      <c r="N330">
        <v>9.765625E-4</v>
      </c>
      <c r="O330">
        <f t="shared" si="5"/>
        <v>0.36572265625</v>
      </c>
      <c r="Q330" s="90"/>
      <c r="R330" s="89"/>
      <c r="S330" s="89"/>
    </row>
    <row r="331" spans="1:19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22.465352523655948</v>
      </c>
      <c r="H331">
        <v>1.6276728515624999E-3</v>
      </c>
      <c r="I331">
        <v>-0.47291241152288888</v>
      </c>
      <c r="J331">
        <v>-7.6974669340275901E-4</v>
      </c>
      <c r="M331">
        <v>8.3751772158827436</v>
      </c>
      <c r="N331">
        <v>4.8828125E-4</v>
      </c>
      <c r="O331">
        <f t="shared" si="5"/>
        <v>0.3662109375</v>
      </c>
      <c r="Q331" s="90"/>
      <c r="R331" s="89"/>
      <c r="S331" s="89"/>
    </row>
    <row r="332" spans="1:19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7.7100292968750007E-4</v>
      </c>
      <c r="I332">
        <v>-1</v>
      </c>
      <c r="J332">
        <v>-7.7100292968750007E-4</v>
      </c>
      <c r="M332">
        <v>8.3751772158827436</v>
      </c>
      <c r="N332">
        <v>2.44140625E-4</v>
      </c>
      <c r="O332">
        <f t="shared" si="5"/>
        <v>0.366455078125</v>
      </c>
      <c r="Q332" s="90"/>
      <c r="R332" s="89"/>
      <c r="S332" s="89"/>
    </row>
    <row r="333" spans="1:19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11.232676261827974</v>
      </c>
      <c r="H333">
        <v>1.6276728515625001E-3</v>
      </c>
      <c r="I333">
        <v>-0.6876862740544476</v>
      </c>
      <c r="J333">
        <v>-1.1193282786705937E-3</v>
      </c>
      <c r="M333">
        <v>8.3751772158827436</v>
      </c>
      <c r="N333">
        <v>4.8828125E-4</v>
      </c>
      <c r="O333">
        <f t="shared" si="5"/>
        <v>0.366943359375</v>
      </c>
      <c r="Q333" s="90"/>
      <c r="R333" s="89"/>
      <c r="S333" s="89"/>
    </row>
    <row r="334" spans="1:19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19.657183458198954</v>
      </c>
      <c r="H334">
        <v>1.0280039062499999E-3</v>
      </c>
      <c r="I334">
        <v>-0.51931769779901749</v>
      </c>
      <c r="J334">
        <v>-5.3386062192214696E-4</v>
      </c>
      <c r="M334">
        <v>8.3751772158827436</v>
      </c>
      <c r="N334">
        <v>2.44140625E-4</v>
      </c>
      <c r="O334">
        <f t="shared" si="5"/>
        <v>0.3671875</v>
      </c>
      <c r="Q334" s="90"/>
      <c r="R334" s="89"/>
      <c r="S334" s="89"/>
    </row>
    <row r="335" spans="1:19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5.616338130913987</v>
      </c>
      <c r="H335">
        <v>1.220754638671875E-3</v>
      </c>
      <c r="I335">
        <v>-0.82926851746249697</v>
      </c>
      <c r="J335">
        <v>-1.0123333893968919E-3</v>
      </c>
      <c r="M335">
        <v>8.9219145751921509</v>
      </c>
      <c r="N335">
        <v>9.765625E-4</v>
      </c>
      <c r="O335">
        <f t="shared" si="5"/>
        <v>0.3681640625</v>
      </c>
      <c r="Q335" s="90"/>
      <c r="R335" s="89"/>
      <c r="S335" s="89"/>
    </row>
    <row r="336" spans="1:19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16.849014392741964</v>
      </c>
      <c r="H336">
        <v>2.577148681640625E-3</v>
      </c>
      <c r="I336">
        <v>-0.57027657696444012</v>
      </c>
      <c r="J336">
        <v>-1.4696875284944354E-3</v>
      </c>
      <c r="M336">
        <v>8.9219145751921509</v>
      </c>
      <c r="N336">
        <v>1.953125E-3</v>
      </c>
      <c r="O336">
        <f t="shared" si="5"/>
        <v>0.3701171875</v>
      </c>
      <c r="Q336" s="90"/>
      <c r="R336" s="89"/>
      <c r="S336" s="89"/>
    </row>
    <row r="337" spans="1:19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25.273521589112942</v>
      </c>
      <c r="H337">
        <v>1.6276728515624999E-3</v>
      </c>
      <c r="I337">
        <v>-0.4306538173458283</v>
      </c>
      <c r="J337">
        <v>-7.0096352691556031E-4</v>
      </c>
      <c r="M337">
        <v>8.9219145751921509</v>
      </c>
      <c r="N337">
        <v>9.765625E-4</v>
      </c>
      <c r="O337">
        <f t="shared" si="5"/>
        <v>0.37109375</v>
      </c>
      <c r="Q337" s="90"/>
      <c r="R337" s="89"/>
      <c r="S337" s="89"/>
    </row>
    <row r="338" spans="1:19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2.8081690654569935</v>
      </c>
      <c r="H338">
        <v>2.577148681640625E-3</v>
      </c>
      <c r="I338">
        <v>-0.91064181622770701</v>
      </c>
      <c r="J338">
        <v>-2.3468593561380593E-3</v>
      </c>
      <c r="M338">
        <v>8.9219145751921509</v>
      </c>
      <c r="N338">
        <v>1.953125E-3</v>
      </c>
      <c r="O338">
        <f t="shared" si="5"/>
        <v>0.373046875</v>
      </c>
      <c r="Q338" s="90"/>
      <c r="R338" s="89"/>
      <c r="S338" s="89"/>
    </row>
    <row r="339" spans="1:19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14.040845327284968</v>
      </c>
      <c r="H339">
        <v>5.4406472167968746E-3</v>
      </c>
      <c r="I339">
        <v>-0.62623587759980681</v>
      </c>
      <c r="J339">
        <v>-3.4071284845217371E-3</v>
      </c>
      <c r="M339">
        <v>8.9219145751921509</v>
      </c>
      <c r="N339">
        <v>3.90625E-3</v>
      </c>
      <c r="O339">
        <f t="shared" si="5"/>
        <v>0.376953125</v>
      </c>
      <c r="Q339" s="90"/>
      <c r="R339" s="89"/>
      <c r="S339" s="89"/>
    </row>
    <row r="340" spans="1:19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22.465352523655948</v>
      </c>
      <c r="H340">
        <v>3.4361982421874998E-3</v>
      </c>
      <c r="I340">
        <v>-0.47291241152288888</v>
      </c>
      <c r="J340">
        <v>-1.6250207971836024E-3</v>
      </c>
      <c r="M340">
        <v>8.9219145751921509</v>
      </c>
      <c r="N340">
        <v>1.953125E-3</v>
      </c>
      <c r="O340">
        <f t="shared" si="5"/>
        <v>0.37890625</v>
      </c>
      <c r="Q340" s="90"/>
      <c r="R340" s="89"/>
      <c r="S340" s="89"/>
    </row>
    <row r="341" spans="1:19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1.6276728515624999E-3</v>
      </c>
      <c r="I341">
        <v>-1</v>
      </c>
      <c r="J341">
        <v>-1.6276728515624999E-3</v>
      </c>
      <c r="M341">
        <v>8.9219145751921509</v>
      </c>
      <c r="N341">
        <v>9.765625E-4</v>
      </c>
      <c r="O341">
        <f t="shared" si="5"/>
        <v>0.3798828125</v>
      </c>
      <c r="Q341" s="90"/>
      <c r="R341" s="89"/>
      <c r="S341" s="89"/>
    </row>
    <row r="342" spans="1:19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11.232676261827974</v>
      </c>
      <c r="H342">
        <v>3.4361982421874998E-3</v>
      </c>
      <c r="I342">
        <v>-0.6876862740544476</v>
      </c>
      <c r="J342">
        <v>-2.3630263660823639E-3</v>
      </c>
      <c r="M342">
        <v>8.9219145751921509</v>
      </c>
      <c r="N342">
        <v>1.953125E-3</v>
      </c>
      <c r="O342">
        <f t="shared" si="5"/>
        <v>0.3818359375</v>
      </c>
      <c r="Q342" s="90"/>
      <c r="R342" s="89"/>
      <c r="S342" s="89"/>
    </row>
    <row r="343" spans="1:19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19.657183458198954</v>
      </c>
      <c r="H343">
        <v>2.1702304687499997E-3</v>
      </c>
      <c r="I343">
        <v>-0.51931769779901749</v>
      </c>
      <c r="J343">
        <v>-1.1270390907245325E-3</v>
      </c>
      <c r="M343">
        <v>8.9219145751921509</v>
      </c>
      <c r="N343">
        <v>9.765625E-4</v>
      </c>
      <c r="O343">
        <f t="shared" si="5"/>
        <v>0.3828125</v>
      </c>
      <c r="Q343" s="90"/>
      <c r="R343" s="89"/>
      <c r="S343" s="89"/>
    </row>
    <row r="344" spans="1:19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5.616338130913987</v>
      </c>
      <c r="H344">
        <v>7.7100292968750007E-4</v>
      </c>
      <c r="I344">
        <v>-0.82926851746249697</v>
      </c>
      <c r="J344">
        <v>-6.3936845646119498E-4</v>
      </c>
      <c r="M344">
        <v>9.3057524620919345</v>
      </c>
      <c r="N344">
        <v>9.765625E-4</v>
      </c>
      <c r="O344">
        <f t="shared" si="5"/>
        <v>0.3837890625</v>
      </c>
      <c r="Q344" s="90"/>
      <c r="R344" s="89"/>
      <c r="S344" s="89"/>
    </row>
    <row r="345" spans="1:19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16.849014392741964</v>
      </c>
      <c r="H345">
        <v>1.6276728515625001E-3</v>
      </c>
      <c r="I345">
        <v>-0.57027657696444012</v>
      </c>
      <c r="J345">
        <v>-9.2822370220701177E-4</v>
      </c>
      <c r="M345">
        <v>9.3057524620919345</v>
      </c>
      <c r="N345">
        <v>1.953125E-3</v>
      </c>
      <c r="O345">
        <f t="shared" si="5"/>
        <v>0.3857421875</v>
      </c>
      <c r="Q345" s="90"/>
      <c r="R345" s="89"/>
      <c r="S345" s="89"/>
    </row>
    <row r="346" spans="1:19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25.273521589112942</v>
      </c>
      <c r="H346">
        <v>1.0280039062499999E-3</v>
      </c>
      <c r="I346">
        <v>-0.4306538173458283</v>
      </c>
      <c r="J346">
        <v>-4.4271380647298547E-4</v>
      </c>
      <c r="M346">
        <v>9.3057524620919345</v>
      </c>
      <c r="N346">
        <v>9.765625E-4</v>
      </c>
      <c r="O346">
        <f t="shared" si="5"/>
        <v>0.38671875</v>
      </c>
      <c r="Q346" s="90"/>
      <c r="R346" s="89"/>
      <c r="S346" s="89"/>
    </row>
    <row r="347" spans="1:19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2.8081690654569935</v>
      </c>
      <c r="H347">
        <v>1.6276728515624999E-3</v>
      </c>
      <c r="I347">
        <v>-0.91064181622770701</v>
      </c>
      <c r="J347">
        <v>-1.4822269617714059E-3</v>
      </c>
      <c r="M347">
        <v>9.3057524620919345</v>
      </c>
      <c r="N347">
        <v>1.953125E-3</v>
      </c>
      <c r="O347">
        <f t="shared" si="5"/>
        <v>0.388671875</v>
      </c>
      <c r="Q347" s="90"/>
      <c r="R347" s="89"/>
      <c r="S347" s="89"/>
    </row>
    <row r="348" spans="1:19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14.040845327284968</v>
      </c>
      <c r="H348">
        <v>3.4361982421874998E-3</v>
      </c>
      <c r="I348">
        <v>-0.62623587759980681</v>
      </c>
      <c r="J348">
        <v>-2.1518706218032024E-3</v>
      </c>
      <c r="M348">
        <v>9.3057524620919345</v>
      </c>
      <c r="N348">
        <v>3.90625E-3</v>
      </c>
      <c r="O348">
        <f t="shared" si="5"/>
        <v>0.392578125</v>
      </c>
      <c r="Q348" s="90"/>
      <c r="R348" s="89"/>
      <c r="S348" s="89"/>
    </row>
    <row r="349" spans="1:19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22.465352523655948</v>
      </c>
      <c r="H349">
        <v>2.1702304687499997E-3</v>
      </c>
      <c r="I349">
        <v>-0.47291241152288888</v>
      </c>
      <c r="J349">
        <v>-1.0263289245370118E-3</v>
      </c>
      <c r="M349">
        <v>9.3057524620919345</v>
      </c>
      <c r="N349">
        <v>1.953125E-3</v>
      </c>
      <c r="O349">
        <f t="shared" si="5"/>
        <v>0.39453125</v>
      </c>
      <c r="Q349" s="90"/>
      <c r="R349" s="89"/>
      <c r="S349" s="89"/>
    </row>
    <row r="350" spans="1:19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1.0280039062499999E-3</v>
      </c>
      <c r="I350">
        <v>-1</v>
      </c>
      <c r="J350">
        <v>-1.0280039062499999E-3</v>
      </c>
      <c r="M350">
        <v>9.3057524620919345</v>
      </c>
      <c r="N350">
        <v>9.765625E-4</v>
      </c>
      <c r="O350">
        <f t="shared" si="5"/>
        <v>0.3955078125</v>
      </c>
      <c r="Q350" s="90"/>
      <c r="R350" s="89"/>
      <c r="S350" s="89"/>
    </row>
    <row r="351" spans="1:19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11.232676261827974</v>
      </c>
      <c r="H351">
        <v>2.1702304687499997E-3</v>
      </c>
      <c r="I351">
        <v>-0.6876862740544476</v>
      </c>
      <c r="J351">
        <v>-1.4924377048941245E-3</v>
      </c>
      <c r="M351">
        <v>9.3057524620919345</v>
      </c>
      <c r="N351">
        <v>1.953125E-3</v>
      </c>
      <c r="O351">
        <f t="shared" si="5"/>
        <v>0.3974609375</v>
      </c>
      <c r="Q351" s="90"/>
      <c r="R351" s="89"/>
      <c r="S351" s="89"/>
    </row>
    <row r="352" spans="1:19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19.657183458198954</v>
      </c>
      <c r="H352">
        <v>1.3706718749999999E-3</v>
      </c>
      <c r="I352">
        <v>-0.51931769779901749</v>
      </c>
      <c r="J352">
        <v>-7.1181416256286265E-4</v>
      </c>
      <c r="M352">
        <v>9.3057524620919345</v>
      </c>
      <c r="N352">
        <v>9.765625E-4</v>
      </c>
      <c r="O352">
        <f t="shared" si="5"/>
        <v>0.3984375</v>
      </c>
      <c r="Q352" s="90"/>
      <c r="R352" s="89"/>
      <c r="S352" s="89"/>
    </row>
    <row r="353" spans="1:19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5.616338130913987</v>
      </c>
      <c r="H353">
        <v>1.2207546386718748E-3</v>
      </c>
      <c r="I353">
        <v>-0.82926851746249697</v>
      </c>
      <c r="J353">
        <v>-1.0123333893968917E-3</v>
      </c>
      <c r="M353">
        <v>9.697224672649563</v>
      </c>
      <c r="N353">
        <v>4.8828125E-4</v>
      </c>
      <c r="O353">
        <f t="shared" si="5"/>
        <v>0.39892578125</v>
      </c>
      <c r="Q353" s="90"/>
      <c r="R353" s="89"/>
      <c r="S353" s="89"/>
    </row>
    <row r="354" spans="1:19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16.849014392741964</v>
      </c>
      <c r="H354">
        <v>2.5771486816406246E-3</v>
      </c>
      <c r="I354">
        <v>-0.57027657696444012</v>
      </c>
      <c r="J354">
        <v>-1.469687528494435E-3</v>
      </c>
      <c r="M354">
        <v>9.697224672649563</v>
      </c>
      <c r="N354">
        <v>9.765625E-4</v>
      </c>
      <c r="O354">
        <f t="shared" si="5"/>
        <v>0.39990234375</v>
      </c>
      <c r="Q354" s="90"/>
      <c r="R354" s="89"/>
      <c r="S354" s="89"/>
    </row>
    <row r="355" spans="1:19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25.273521589112942</v>
      </c>
      <c r="H355">
        <v>1.6276728515624997E-3</v>
      </c>
      <c r="I355">
        <v>-0.4306538173458283</v>
      </c>
      <c r="J355">
        <v>-7.0096352691556021E-4</v>
      </c>
      <c r="M355">
        <v>9.697224672649563</v>
      </c>
      <c r="N355">
        <v>4.8828125E-4</v>
      </c>
      <c r="O355">
        <f t="shared" si="5"/>
        <v>0.400390625</v>
      </c>
      <c r="Q355" s="90"/>
      <c r="R355" s="89"/>
      <c r="S355" s="89"/>
    </row>
    <row r="356" spans="1:19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2.8081690654569935</v>
      </c>
      <c r="H356">
        <v>2.5771486816406246E-3</v>
      </c>
      <c r="I356">
        <v>-0.91064181622770701</v>
      </c>
      <c r="J356">
        <v>-2.3468593561380589E-3</v>
      </c>
      <c r="M356">
        <v>9.697224672649563</v>
      </c>
      <c r="N356">
        <v>9.765625E-4</v>
      </c>
      <c r="O356">
        <f t="shared" si="5"/>
        <v>0.4013671875</v>
      </c>
      <c r="Q356" s="90"/>
      <c r="R356" s="89"/>
      <c r="S356" s="89"/>
    </row>
    <row r="357" spans="1:19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14.040845327284968</v>
      </c>
      <c r="H357">
        <v>5.4406472167968737E-3</v>
      </c>
      <c r="I357">
        <v>-0.62623587759980681</v>
      </c>
      <c r="J357">
        <v>-3.4071284845217367E-3</v>
      </c>
      <c r="M357">
        <v>9.697224672649563</v>
      </c>
      <c r="N357">
        <v>1.953125E-3</v>
      </c>
      <c r="O357">
        <f t="shared" si="5"/>
        <v>0.4033203125</v>
      </c>
      <c r="Q357" s="90"/>
      <c r="R357" s="89"/>
      <c r="S357" s="89"/>
    </row>
    <row r="358" spans="1:19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22.465352523655948</v>
      </c>
      <c r="H358">
        <v>3.4361982421874993E-3</v>
      </c>
      <c r="I358">
        <v>-0.47291241152288888</v>
      </c>
      <c r="J358">
        <v>-1.6250207971836021E-3</v>
      </c>
      <c r="M358">
        <v>9.697224672649563</v>
      </c>
      <c r="N358">
        <v>9.765625E-4</v>
      </c>
      <c r="O358">
        <f t="shared" si="5"/>
        <v>0.404296875</v>
      </c>
      <c r="Q358" s="90"/>
      <c r="R358" s="89"/>
      <c r="S358" s="89"/>
    </row>
    <row r="359" spans="1:19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1.6276728515624997E-3</v>
      </c>
      <c r="I359">
        <v>-1</v>
      </c>
      <c r="J359">
        <v>-1.6276728515624997E-3</v>
      </c>
      <c r="M359">
        <v>9.697224672649563</v>
      </c>
      <c r="N359">
        <v>4.8828125E-4</v>
      </c>
      <c r="O359">
        <f t="shared" si="5"/>
        <v>0.40478515625</v>
      </c>
      <c r="Q359" s="90"/>
      <c r="R359" s="89"/>
      <c r="S359" s="89"/>
    </row>
    <row r="360" spans="1:19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11.232676261827974</v>
      </c>
      <c r="H360">
        <v>3.4361982421874993E-3</v>
      </c>
      <c r="I360">
        <v>-0.6876862740544476</v>
      </c>
      <c r="J360">
        <v>-2.3630263660823639E-3</v>
      </c>
      <c r="M360">
        <v>9.697224672649563</v>
      </c>
      <c r="N360">
        <v>9.765625E-4</v>
      </c>
      <c r="O360">
        <f t="shared" si="5"/>
        <v>0.40576171875</v>
      </c>
      <c r="Q360" s="90"/>
      <c r="R360" s="89"/>
      <c r="S360" s="89"/>
    </row>
    <row r="361" spans="1:19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19.657183458198954</v>
      </c>
      <c r="H361">
        <v>2.1702304687499993E-3</v>
      </c>
      <c r="I361">
        <v>-0.51931769779901749</v>
      </c>
      <c r="J361">
        <v>-1.1270390907245323E-3</v>
      </c>
      <c r="M361">
        <v>9.697224672649563</v>
      </c>
      <c r="N361">
        <v>4.8828125E-4</v>
      </c>
      <c r="O361">
        <f t="shared" si="5"/>
        <v>0.40625</v>
      </c>
      <c r="Q361" s="90"/>
      <c r="R361" s="89"/>
      <c r="S361" s="89"/>
    </row>
    <row r="362" spans="1:19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5.616338130913987</v>
      </c>
      <c r="H362">
        <v>2.5771486816406246E-3</v>
      </c>
      <c r="I362">
        <v>-0.82926851746249697</v>
      </c>
      <c r="J362">
        <v>-2.1371482665045495E-3</v>
      </c>
      <c r="M362">
        <v>10.408900337724178</v>
      </c>
      <c r="N362">
        <v>4.8828125E-4</v>
      </c>
      <c r="O362">
        <f t="shared" si="5"/>
        <v>0.40673828125</v>
      </c>
      <c r="Q362" s="90"/>
      <c r="R362" s="89"/>
      <c r="S362" s="89"/>
    </row>
    <row r="363" spans="1:19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16.849014392741964</v>
      </c>
      <c r="H363">
        <v>5.4406472167968737E-3</v>
      </c>
      <c r="I363">
        <v>-0.57027657696444012</v>
      </c>
      <c r="J363">
        <v>-3.1026736712660291E-3</v>
      </c>
      <c r="M363">
        <v>10.408900337724178</v>
      </c>
      <c r="N363">
        <v>9.765625E-4</v>
      </c>
      <c r="O363">
        <f t="shared" si="5"/>
        <v>0.40771484375</v>
      </c>
      <c r="Q363" s="90"/>
      <c r="R363" s="89"/>
      <c r="S363" s="89"/>
    </row>
    <row r="364" spans="1:19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25.273521589112942</v>
      </c>
      <c r="H364">
        <v>3.4361982421874993E-3</v>
      </c>
      <c r="I364">
        <v>-0.4306538173458283</v>
      </c>
      <c r="J364">
        <v>-1.4798118901550715E-3</v>
      </c>
      <c r="M364">
        <v>10.408900337724178</v>
      </c>
      <c r="N364">
        <v>4.8828125E-4</v>
      </c>
      <c r="O364">
        <f t="shared" si="5"/>
        <v>0.408203125</v>
      </c>
      <c r="Q364" s="90"/>
      <c r="R364" s="89"/>
      <c r="S364" s="89"/>
    </row>
    <row r="365" spans="1:19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2.8081690654569935</v>
      </c>
      <c r="H365">
        <v>5.4406472167968746E-3</v>
      </c>
      <c r="I365">
        <v>-0.91064181622770701</v>
      </c>
      <c r="J365">
        <v>-4.9544808629581249E-3</v>
      </c>
      <c r="M365">
        <v>10.408900337724178</v>
      </c>
      <c r="N365">
        <v>9.765625E-4</v>
      </c>
      <c r="O365">
        <f t="shared" si="5"/>
        <v>0.4091796875</v>
      </c>
      <c r="Q365" s="90"/>
      <c r="R365" s="89"/>
      <c r="S365" s="89"/>
    </row>
    <row r="366" spans="1:19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14.040845327284968</v>
      </c>
      <c r="H366">
        <v>1.1485810791015622E-2</v>
      </c>
      <c r="I366">
        <v>-0.62623587759980681</v>
      </c>
      <c r="J366">
        <v>-7.1928268006569993E-3</v>
      </c>
      <c r="M366">
        <v>10.408900337724178</v>
      </c>
      <c r="N366">
        <v>1.953125E-3</v>
      </c>
      <c r="O366">
        <f t="shared" si="5"/>
        <v>0.4111328125</v>
      </c>
      <c r="Q366" s="90"/>
      <c r="R366" s="89"/>
      <c r="S366" s="89"/>
    </row>
    <row r="367" spans="1:19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22.465352523655948</v>
      </c>
      <c r="H367">
        <v>7.2541962890624988E-3</v>
      </c>
      <c r="I367">
        <v>-0.47291241152288888</v>
      </c>
      <c r="J367">
        <v>-3.4305994607209379E-3</v>
      </c>
      <c r="M367">
        <v>10.408900337724178</v>
      </c>
      <c r="N367">
        <v>9.765625E-4</v>
      </c>
      <c r="O367">
        <f t="shared" si="5"/>
        <v>0.412109375</v>
      </c>
      <c r="Q367" s="90"/>
      <c r="R367" s="89"/>
      <c r="S367" s="89"/>
    </row>
    <row r="368" spans="1:19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3.4361982421874993E-3</v>
      </c>
      <c r="I368">
        <v>-1</v>
      </c>
      <c r="J368">
        <v>-3.4361982421874993E-3</v>
      </c>
      <c r="M368">
        <v>10.408900337724178</v>
      </c>
      <c r="N368">
        <v>4.8828125E-4</v>
      </c>
      <c r="O368">
        <f t="shared" si="5"/>
        <v>0.41259765625</v>
      </c>
      <c r="Q368" s="90"/>
      <c r="R368" s="89"/>
      <c r="S368" s="89"/>
    </row>
    <row r="369" spans="1:19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11.232676261827974</v>
      </c>
      <c r="H369">
        <v>7.254196289062498E-3</v>
      </c>
      <c r="I369">
        <v>-0.6876862740544476</v>
      </c>
      <c r="J369">
        <v>-4.9886112172849899E-3</v>
      </c>
      <c r="M369">
        <v>10.408900337724178</v>
      </c>
      <c r="N369">
        <v>9.765625E-4</v>
      </c>
      <c r="O369">
        <f t="shared" si="5"/>
        <v>0.41357421875</v>
      </c>
      <c r="Q369" s="90"/>
      <c r="R369" s="89"/>
      <c r="S369" s="89"/>
    </row>
    <row r="370" spans="1:19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19.657183458198954</v>
      </c>
      <c r="H370">
        <v>4.5815976562499985E-3</v>
      </c>
      <c r="I370">
        <v>-0.51931769779901749</v>
      </c>
      <c r="J370">
        <v>-2.3793047470851234E-3</v>
      </c>
      <c r="M370">
        <v>10.408900337724178</v>
      </c>
      <c r="N370">
        <v>4.8828125E-4</v>
      </c>
      <c r="O370">
        <f t="shared" si="5"/>
        <v>0.4140625</v>
      </c>
      <c r="Q370" s="90"/>
      <c r="R370" s="89"/>
      <c r="S370" s="89"/>
    </row>
    <row r="371" spans="1:19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5.616338130913987</v>
      </c>
      <c r="H371">
        <v>1.6276728515624997E-3</v>
      </c>
      <c r="I371">
        <v>-0.82926851746249697</v>
      </c>
      <c r="J371">
        <v>-1.3497778525291891E-3</v>
      </c>
      <c r="M371">
        <v>11.232676261827974</v>
      </c>
      <c r="N371">
        <v>1.953125E-3</v>
      </c>
      <c r="O371">
        <f t="shared" si="5"/>
        <v>0.416015625</v>
      </c>
      <c r="Q371" s="90"/>
      <c r="R371" s="89"/>
      <c r="S371" s="89"/>
    </row>
    <row r="372" spans="1:19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16.849014392741964</v>
      </c>
      <c r="H372">
        <v>3.4361982421874993E-3</v>
      </c>
      <c r="I372">
        <v>-0.57027657696444012</v>
      </c>
      <c r="J372">
        <v>-1.9595833713259131E-3</v>
      </c>
      <c r="M372">
        <v>11.232676261827974</v>
      </c>
      <c r="N372">
        <v>3.90625E-3</v>
      </c>
      <c r="O372">
        <f t="shared" si="5"/>
        <v>0.419921875</v>
      </c>
      <c r="Q372" s="90"/>
      <c r="R372" s="89"/>
      <c r="S372" s="89"/>
    </row>
    <row r="373" spans="1:19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25.273521589112942</v>
      </c>
      <c r="H373">
        <v>2.1702304687499993E-3</v>
      </c>
      <c r="I373">
        <v>-0.4306538173458283</v>
      </c>
      <c r="J373">
        <v>-9.346180358874135E-4</v>
      </c>
      <c r="M373">
        <v>11.232676261827974</v>
      </c>
      <c r="N373">
        <v>1.953125E-3</v>
      </c>
      <c r="O373">
        <f t="shared" si="5"/>
        <v>0.421875</v>
      </c>
      <c r="Q373" s="90"/>
      <c r="R373" s="89"/>
      <c r="S373" s="89"/>
    </row>
    <row r="374" spans="1:19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2.8081690654569935</v>
      </c>
      <c r="H374">
        <v>3.4361982421874993E-3</v>
      </c>
      <c r="I374">
        <v>-0.91064181622770701</v>
      </c>
      <c r="J374">
        <v>-3.1291458081840785E-3</v>
      </c>
      <c r="M374">
        <v>11.232676261827974</v>
      </c>
      <c r="N374">
        <v>3.90625E-3</v>
      </c>
      <c r="O374">
        <f t="shared" si="5"/>
        <v>0.42578125</v>
      </c>
      <c r="Q374" s="90"/>
      <c r="R374" s="89"/>
      <c r="S374" s="89"/>
    </row>
    <row r="375" spans="1:19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14.040845327284968</v>
      </c>
      <c r="H375">
        <v>7.254196289062498E-3</v>
      </c>
      <c r="I375">
        <v>-0.62623587759980681</v>
      </c>
      <c r="J375">
        <v>-4.5428379793623153E-3</v>
      </c>
      <c r="M375">
        <v>11.232676261827974</v>
      </c>
      <c r="N375">
        <v>7.8125E-3</v>
      </c>
      <c r="O375">
        <f t="shared" si="5"/>
        <v>0.43359375</v>
      </c>
      <c r="Q375" s="90"/>
      <c r="R375" s="89"/>
      <c r="S375" s="89"/>
    </row>
    <row r="376" spans="1:19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22.465352523655948</v>
      </c>
      <c r="H376">
        <v>4.5815976562499985E-3</v>
      </c>
      <c r="I376">
        <v>-0.47291241152288888</v>
      </c>
      <c r="J376">
        <v>-2.1666943962448024E-3</v>
      </c>
      <c r="M376">
        <v>11.232676261827974</v>
      </c>
      <c r="N376">
        <v>3.90625E-3</v>
      </c>
      <c r="O376">
        <f t="shared" si="5"/>
        <v>0.4375</v>
      </c>
      <c r="Q376" s="90"/>
      <c r="R376" s="89"/>
      <c r="S376" s="89"/>
    </row>
    <row r="377" spans="1:19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2.1702304687499997E-3</v>
      </c>
      <c r="I377">
        <v>-1</v>
      </c>
      <c r="J377">
        <v>-2.1702304687499997E-3</v>
      </c>
      <c r="M377">
        <v>11.232676261827974</v>
      </c>
      <c r="N377">
        <v>1.953125E-3</v>
      </c>
      <c r="O377">
        <f t="shared" si="5"/>
        <v>0.439453125</v>
      </c>
      <c r="Q377" s="90"/>
      <c r="R377" s="89"/>
      <c r="S377" s="89"/>
    </row>
    <row r="378" spans="1:19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11.232676261827974</v>
      </c>
      <c r="H378">
        <v>4.5815976562499994E-3</v>
      </c>
      <c r="I378">
        <v>-0.6876862740544476</v>
      </c>
      <c r="J378">
        <v>-3.1507018214431519E-3</v>
      </c>
      <c r="M378">
        <v>11.232676261827974</v>
      </c>
      <c r="N378">
        <v>3.90625E-3</v>
      </c>
      <c r="O378">
        <f t="shared" si="5"/>
        <v>0.443359375</v>
      </c>
      <c r="Q378" s="90"/>
      <c r="R378" s="89"/>
      <c r="S378" s="89"/>
    </row>
    <row r="379" spans="1:19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19.657183458198954</v>
      </c>
      <c r="H379">
        <v>2.8936406249999995E-3</v>
      </c>
      <c r="I379">
        <v>-0.51931769779901749</v>
      </c>
      <c r="J379">
        <v>-1.5027187876327098E-3</v>
      </c>
      <c r="M379">
        <v>11.232676261827974</v>
      </c>
      <c r="N379">
        <v>1.953125E-3</v>
      </c>
      <c r="O379">
        <f t="shared" si="5"/>
        <v>0.4453125</v>
      </c>
      <c r="Q379" s="90"/>
      <c r="R379" s="89"/>
      <c r="S379" s="89"/>
    </row>
    <row r="380" spans="1:19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5.616338130913987</v>
      </c>
      <c r="H380">
        <v>7.7100292968750007E-4</v>
      </c>
      <c r="I380">
        <v>-0.82926851746249697</v>
      </c>
      <c r="J380">
        <v>-6.3936845646119498E-4</v>
      </c>
      <c r="M380">
        <v>11.232676261827974</v>
      </c>
      <c r="N380">
        <v>9.765625E-4</v>
      </c>
      <c r="O380">
        <f t="shared" si="5"/>
        <v>0.4462890625</v>
      </c>
      <c r="Q380" s="90"/>
      <c r="R380" s="89"/>
      <c r="S380" s="89"/>
    </row>
    <row r="381" spans="1:19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16.849014392741964</v>
      </c>
      <c r="H381">
        <v>1.6276728515625001E-3</v>
      </c>
      <c r="I381">
        <v>-0.57027657696444012</v>
      </c>
      <c r="J381">
        <v>-9.2822370220701177E-4</v>
      </c>
      <c r="M381">
        <v>11.232676261827974</v>
      </c>
      <c r="N381">
        <v>1.953125E-3</v>
      </c>
      <c r="O381">
        <f t="shared" si="5"/>
        <v>0.4482421875</v>
      </c>
      <c r="Q381" s="90"/>
      <c r="R381" s="89"/>
      <c r="S381" s="89"/>
    </row>
    <row r="382" spans="1:19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25.273521589112942</v>
      </c>
      <c r="H382">
        <v>1.0280039062499999E-3</v>
      </c>
      <c r="I382">
        <v>-0.4306538173458283</v>
      </c>
      <c r="J382">
        <v>-4.4271380647298547E-4</v>
      </c>
      <c r="M382">
        <v>11.232676261827974</v>
      </c>
      <c r="N382">
        <v>9.765625E-4</v>
      </c>
      <c r="O382">
        <f t="shared" si="5"/>
        <v>0.44921875</v>
      </c>
      <c r="Q382" s="90"/>
      <c r="R382" s="89"/>
      <c r="S382" s="89"/>
    </row>
    <row r="383" spans="1:19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2.8081690654569935</v>
      </c>
      <c r="H383">
        <v>1.6276728515624999E-3</v>
      </c>
      <c r="I383">
        <v>-0.91064181622770701</v>
      </c>
      <c r="J383">
        <v>-1.4822269617714059E-3</v>
      </c>
      <c r="M383">
        <v>11.232676261827974</v>
      </c>
      <c r="N383">
        <v>1.953125E-3</v>
      </c>
      <c r="O383">
        <f t="shared" si="5"/>
        <v>0.451171875</v>
      </c>
      <c r="Q383" s="90"/>
      <c r="R383" s="89"/>
      <c r="S383" s="89"/>
    </row>
    <row r="384" spans="1:19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14.040845327284968</v>
      </c>
      <c r="H384">
        <v>3.4361982421874998E-3</v>
      </c>
      <c r="I384">
        <v>-0.62623587759980681</v>
      </c>
      <c r="J384">
        <v>-2.1518706218032024E-3</v>
      </c>
      <c r="M384">
        <v>11.232676261827974</v>
      </c>
      <c r="N384">
        <v>3.90625E-3</v>
      </c>
      <c r="O384">
        <f t="shared" si="5"/>
        <v>0.455078125</v>
      </c>
      <c r="Q384" s="90"/>
      <c r="R384" s="89"/>
      <c r="S384" s="89"/>
    </row>
    <row r="385" spans="1:19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22.465352523655948</v>
      </c>
      <c r="H385">
        <v>2.1702304687499997E-3</v>
      </c>
      <c r="I385">
        <v>-0.47291241152288888</v>
      </c>
      <c r="J385">
        <v>-1.0263289245370118E-3</v>
      </c>
      <c r="M385">
        <v>11.232676261827974</v>
      </c>
      <c r="N385">
        <v>1.953125E-3</v>
      </c>
      <c r="O385">
        <f t="shared" si="5"/>
        <v>0.45703125</v>
      </c>
      <c r="Q385" s="90"/>
      <c r="R385" s="89"/>
      <c r="S385" s="89"/>
    </row>
    <row r="386" spans="1:19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1.0280039062499999E-3</v>
      </c>
      <c r="I386">
        <v>-1</v>
      </c>
      <c r="J386">
        <v>-1.0280039062499999E-3</v>
      </c>
      <c r="M386">
        <v>11.232676261827974</v>
      </c>
      <c r="N386">
        <v>9.765625E-4</v>
      </c>
      <c r="O386">
        <f t="shared" si="5"/>
        <v>0.4580078125</v>
      </c>
      <c r="Q386" s="90"/>
      <c r="R386" s="89"/>
      <c r="S386" s="89"/>
    </row>
    <row r="387" spans="1:19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11.232676261827974</v>
      </c>
      <c r="H387">
        <v>2.1702304687499997E-3</v>
      </c>
      <c r="I387">
        <v>-0.6876862740544476</v>
      </c>
      <c r="J387">
        <v>-1.4924377048941245E-3</v>
      </c>
      <c r="M387">
        <v>11.232676261827974</v>
      </c>
      <c r="N387">
        <v>1.953125E-3</v>
      </c>
      <c r="O387">
        <f t="shared" si="5"/>
        <v>0.4599609375</v>
      </c>
      <c r="Q387" s="90"/>
      <c r="R387" s="89"/>
      <c r="S387" s="89"/>
    </row>
    <row r="388" spans="1:19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19.657183458198954</v>
      </c>
      <c r="H388">
        <v>1.3706718749999999E-3</v>
      </c>
      <c r="I388">
        <v>-0.51931769779901749</v>
      </c>
      <c r="J388">
        <v>-7.1181416256286265E-4</v>
      </c>
      <c r="M388">
        <v>11.232676261827974</v>
      </c>
      <c r="N388">
        <v>9.765625E-4</v>
      </c>
      <c r="O388">
        <f t="shared" ref="O388:O451" si="6">N388+O387</f>
        <v>0.4609375</v>
      </c>
      <c r="Q388" s="90"/>
      <c r="R388" s="89"/>
      <c r="S388" s="89"/>
    </row>
    <row r="389" spans="1:19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5.616338130913987</v>
      </c>
      <c r="H389">
        <v>1.6276728515624997E-3</v>
      </c>
      <c r="I389">
        <v>-0.82926851746249697</v>
      </c>
      <c r="J389">
        <v>-1.3497778525291891E-3</v>
      </c>
      <c r="M389">
        <v>11.232676261827974</v>
      </c>
      <c r="N389">
        <v>4.8828125E-4</v>
      </c>
      <c r="O389">
        <f t="shared" si="6"/>
        <v>0.46142578125</v>
      </c>
      <c r="Q389" s="90"/>
      <c r="R389" s="89"/>
      <c r="S389" s="89"/>
    </row>
    <row r="390" spans="1:19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16.849014392741964</v>
      </c>
      <c r="H390">
        <v>3.4361982421874993E-3</v>
      </c>
      <c r="I390">
        <v>-0.57027657696444012</v>
      </c>
      <c r="J390">
        <v>-1.9595833713259131E-3</v>
      </c>
      <c r="M390">
        <v>11.232676261827974</v>
      </c>
      <c r="N390">
        <v>9.765625E-4</v>
      </c>
      <c r="O390">
        <f t="shared" si="6"/>
        <v>0.46240234375</v>
      </c>
      <c r="Q390" s="90"/>
      <c r="R390" s="89"/>
      <c r="S390" s="89"/>
    </row>
    <row r="391" spans="1:19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25.273521589112942</v>
      </c>
      <c r="H391">
        <v>2.1702304687499993E-3</v>
      </c>
      <c r="I391">
        <v>-0.4306538173458283</v>
      </c>
      <c r="J391">
        <v>-9.346180358874135E-4</v>
      </c>
      <c r="M391">
        <v>11.232676261827974</v>
      </c>
      <c r="N391">
        <v>4.8828125E-4</v>
      </c>
      <c r="O391">
        <f t="shared" si="6"/>
        <v>0.462890625</v>
      </c>
      <c r="Q391" s="90"/>
      <c r="R391" s="89"/>
      <c r="S391" s="89"/>
    </row>
    <row r="392" spans="1:19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2.8081690654569935</v>
      </c>
      <c r="H392">
        <v>3.4361982421874993E-3</v>
      </c>
      <c r="I392">
        <v>-0.91064181622770701</v>
      </c>
      <c r="J392">
        <v>-3.1291458081840785E-3</v>
      </c>
      <c r="M392">
        <v>11.232676261827974</v>
      </c>
      <c r="N392">
        <v>9.765625E-4</v>
      </c>
      <c r="O392">
        <f t="shared" si="6"/>
        <v>0.4638671875</v>
      </c>
      <c r="Q392" s="90"/>
      <c r="R392" s="89"/>
      <c r="S392" s="89"/>
    </row>
    <row r="393" spans="1:19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14.040845327284968</v>
      </c>
      <c r="H393">
        <v>7.254196289062498E-3</v>
      </c>
      <c r="I393">
        <v>-0.62623587759980681</v>
      </c>
      <c r="J393">
        <v>-4.5428379793623153E-3</v>
      </c>
      <c r="M393">
        <v>11.232676261827974</v>
      </c>
      <c r="N393">
        <v>1.953125E-3</v>
      </c>
      <c r="O393">
        <f t="shared" si="6"/>
        <v>0.4658203125</v>
      </c>
      <c r="Q393" s="90"/>
      <c r="R393" s="89"/>
      <c r="S393" s="89"/>
    </row>
    <row r="394" spans="1:19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22.465352523655948</v>
      </c>
      <c r="H394">
        <v>4.5815976562499985E-3</v>
      </c>
      <c r="I394">
        <v>-0.47291241152288888</v>
      </c>
      <c r="J394">
        <v>-2.1666943962448024E-3</v>
      </c>
      <c r="M394">
        <v>11.232676261827974</v>
      </c>
      <c r="N394">
        <v>9.765625E-4</v>
      </c>
      <c r="O394">
        <f t="shared" si="6"/>
        <v>0.466796875</v>
      </c>
      <c r="Q394" s="90"/>
      <c r="R394" s="89"/>
      <c r="S394" s="89"/>
    </row>
    <row r="395" spans="1:19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2.1702304687499997E-3</v>
      </c>
      <c r="I395">
        <v>-1</v>
      </c>
      <c r="J395">
        <v>-2.1702304687499997E-3</v>
      </c>
      <c r="M395">
        <v>11.232676261827974</v>
      </c>
      <c r="N395">
        <v>4.8828125E-4</v>
      </c>
      <c r="O395">
        <f t="shared" si="6"/>
        <v>0.46728515625</v>
      </c>
      <c r="Q395" s="90"/>
      <c r="R395" s="89"/>
      <c r="S395" s="89"/>
    </row>
    <row r="396" spans="1:19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11.232676261827974</v>
      </c>
      <c r="H396">
        <v>4.5815976562499994E-3</v>
      </c>
      <c r="I396">
        <v>-0.6876862740544476</v>
      </c>
      <c r="J396">
        <v>-3.1507018214431519E-3</v>
      </c>
      <c r="M396">
        <v>11.232676261827974</v>
      </c>
      <c r="N396">
        <v>9.765625E-4</v>
      </c>
      <c r="O396">
        <f t="shared" si="6"/>
        <v>0.46826171875</v>
      </c>
      <c r="Q396" s="90"/>
      <c r="R396" s="89"/>
      <c r="S396" s="89"/>
    </row>
    <row r="397" spans="1:19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19.657183458198954</v>
      </c>
      <c r="H397">
        <v>2.8936406249999995E-3</v>
      </c>
      <c r="I397">
        <v>-0.51931769779901749</v>
      </c>
      <c r="J397">
        <v>-1.5027187876327098E-3</v>
      </c>
      <c r="M397">
        <v>11.232676261827974</v>
      </c>
      <c r="N397">
        <v>4.8828125E-4</v>
      </c>
      <c r="O397">
        <f t="shared" si="6"/>
        <v>0.46875</v>
      </c>
      <c r="Q397" s="90"/>
      <c r="R397" s="89"/>
      <c r="S397" s="89"/>
    </row>
    <row r="398" spans="1:19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5.616338130913987</v>
      </c>
      <c r="H398">
        <v>1.0280039062499999E-3</v>
      </c>
      <c r="I398">
        <v>-0.82926851746249697</v>
      </c>
      <c r="J398">
        <v>-8.5249127528159313E-4</v>
      </c>
      <c r="M398">
        <v>11.232676261827974</v>
      </c>
      <c r="N398">
        <v>9.765625E-4</v>
      </c>
      <c r="O398">
        <f t="shared" si="6"/>
        <v>0.4697265625</v>
      </c>
      <c r="Q398" s="90"/>
      <c r="R398" s="89"/>
      <c r="S398" s="89"/>
    </row>
    <row r="399" spans="1:19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16.849014392741964</v>
      </c>
      <c r="H399">
        <v>2.1702304687499997E-3</v>
      </c>
      <c r="I399">
        <v>-0.57027657696444012</v>
      </c>
      <c r="J399">
        <v>-1.2376316029426822E-3</v>
      </c>
      <c r="M399">
        <v>11.232676261827974</v>
      </c>
      <c r="N399">
        <v>1.953125E-3</v>
      </c>
      <c r="O399">
        <f t="shared" si="6"/>
        <v>0.4716796875</v>
      </c>
      <c r="Q399" s="90"/>
      <c r="R399" s="89"/>
      <c r="S399" s="89"/>
    </row>
    <row r="400" spans="1:19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25.273521589112942</v>
      </c>
      <c r="H400">
        <v>1.3706718749999999E-3</v>
      </c>
      <c r="I400">
        <v>-0.4306538173458283</v>
      </c>
      <c r="J400">
        <v>-5.9028507529731403E-4</v>
      </c>
      <c r="M400">
        <v>11.232676261827974</v>
      </c>
      <c r="N400">
        <v>9.765625E-4</v>
      </c>
      <c r="O400">
        <f t="shared" si="6"/>
        <v>0.47265625</v>
      </c>
      <c r="Q400" s="90"/>
      <c r="R400" s="89"/>
      <c r="S400" s="89"/>
    </row>
    <row r="401" spans="1:19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2.8081690654569935</v>
      </c>
      <c r="H401">
        <v>2.1702304687499997E-3</v>
      </c>
      <c r="I401">
        <v>-0.91064181622770701</v>
      </c>
      <c r="J401">
        <v>-1.9763026156952076E-3</v>
      </c>
      <c r="M401">
        <v>11.232676261827974</v>
      </c>
      <c r="N401">
        <v>1.953125E-3</v>
      </c>
      <c r="O401">
        <f t="shared" si="6"/>
        <v>0.474609375</v>
      </c>
      <c r="Q401" s="90"/>
      <c r="R401" s="89"/>
      <c r="S401" s="89"/>
    </row>
    <row r="402" spans="1:19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14.040845327284968</v>
      </c>
      <c r="H402">
        <v>4.5815976562499994E-3</v>
      </c>
      <c r="I402">
        <v>-0.62623587759980681</v>
      </c>
      <c r="J402">
        <v>-2.8691608290709364E-3</v>
      </c>
      <c r="M402">
        <v>11.232676261827974</v>
      </c>
      <c r="N402">
        <v>3.90625E-3</v>
      </c>
      <c r="O402">
        <f t="shared" si="6"/>
        <v>0.478515625</v>
      </c>
      <c r="Q402" s="90"/>
      <c r="R402" s="89"/>
      <c r="S402" s="89"/>
    </row>
    <row r="403" spans="1:19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22.465352523655948</v>
      </c>
      <c r="H403">
        <v>2.8936406249999995E-3</v>
      </c>
      <c r="I403">
        <v>-0.47291241152288888</v>
      </c>
      <c r="J403">
        <v>-1.3684385660493491E-3</v>
      </c>
      <c r="M403">
        <v>11.232676261827974</v>
      </c>
      <c r="N403">
        <v>1.953125E-3</v>
      </c>
      <c r="O403">
        <f t="shared" si="6"/>
        <v>0.48046875</v>
      </c>
      <c r="Q403" s="90"/>
      <c r="R403" s="89"/>
      <c r="S403" s="89"/>
    </row>
    <row r="404" spans="1:19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1.3706718749999999E-3</v>
      </c>
      <c r="I404">
        <v>-1</v>
      </c>
      <c r="J404">
        <v>-1.3706718749999999E-3</v>
      </c>
      <c r="M404">
        <v>11.232676261827974</v>
      </c>
      <c r="N404">
        <v>9.765625E-4</v>
      </c>
      <c r="O404">
        <f t="shared" si="6"/>
        <v>0.4814453125</v>
      </c>
      <c r="Q404" s="90"/>
      <c r="R404" s="89"/>
      <c r="S404" s="89"/>
    </row>
    <row r="405" spans="1:19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11.232676261827974</v>
      </c>
      <c r="H405">
        <v>2.8936406249999995E-3</v>
      </c>
      <c r="I405">
        <v>-0.6876862740544476</v>
      </c>
      <c r="J405">
        <v>-1.9899169398588327E-3</v>
      </c>
      <c r="M405">
        <v>11.232676261827974</v>
      </c>
      <c r="N405">
        <v>1.953125E-3</v>
      </c>
      <c r="O405">
        <f t="shared" si="6"/>
        <v>0.4833984375</v>
      </c>
      <c r="Q405" s="90"/>
      <c r="R405" s="89"/>
      <c r="S405" s="89"/>
    </row>
    <row r="406" spans="1:19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19.657183458198954</v>
      </c>
      <c r="H406">
        <v>1.8275624999999998E-3</v>
      </c>
      <c r="I406">
        <v>-0.51931769779901749</v>
      </c>
      <c r="J406">
        <v>-9.4908555008381672E-4</v>
      </c>
      <c r="M406">
        <v>11.232676261827974</v>
      </c>
      <c r="N406">
        <v>9.765625E-4</v>
      </c>
      <c r="O406">
        <f t="shared" si="6"/>
        <v>0.484375</v>
      </c>
      <c r="Q406" s="90"/>
      <c r="R406" s="89"/>
      <c r="S406" s="89"/>
    </row>
    <row r="407" spans="1:19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5.616338130913987</v>
      </c>
      <c r="H407">
        <v>3.652119140625E-4</v>
      </c>
      <c r="I407">
        <v>-0.82926851746249697</v>
      </c>
      <c r="J407">
        <v>-3.0285874253425021E-4</v>
      </c>
      <c r="M407">
        <v>11.232676261827974</v>
      </c>
      <c r="N407">
        <v>4.8828125E-4</v>
      </c>
      <c r="O407">
        <f t="shared" si="6"/>
        <v>0.48486328125</v>
      </c>
      <c r="Q407" s="90"/>
      <c r="R407" s="89"/>
      <c r="S407" s="89"/>
    </row>
    <row r="408" spans="1:19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16.849014392741964</v>
      </c>
      <c r="H408">
        <v>7.7100292968749996E-4</v>
      </c>
      <c r="I408">
        <v>-0.57027657696444012</v>
      </c>
      <c r="J408">
        <v>-4.3968491157174238E-4</v>
      </c>
      <c r="M408">
        <v>11.232676261827974</v>
      </c>
      <c r="N408">
        <v>9.765625E-4</v>
      </c>
      <c r="O408">
        <f t="shared" si="6"/>
        <v>0.48583984375</v>
      </c>
      <c r="Q408" s="90"/>
      <c r="R408" s="89"/>
      <c r="S408" s="89"/>
    </row>
    <row r="409" spans="1:19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25.273521589112942</v>
      </c>
      <c r="H409">
        <v>4.8694921874999997E-4</v>
      </c>
      <c r="I409">
        <v>-0.4306538173458283</v>
      </c>
      <c r="J409">
        <v>-2.0970653990825627E-4</v>
      </c>
      <c r="M409">
        <v>11.232676261827974</v>
      </c>
      <c r="N409">
        <v>4.8828125E-4</v>
      </c>
      <c r="O409">
        <f t="shared" si="6"/>
        <v>0.486328125</v>
      </c>
      <c r="Q409" s="90"/>
      <c r="R409" s="89"/>
      <c r="S409" s="89"/>
    </row>
    <row r="410" spans="1:19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2.8081690654569935</v>
      </c>
      <c r="H410">
        <v>7.7100292968749996E-4</v>
      </c>
      <c r="I410">
        <v>-0.91064181622770701</v>
      </c>
      <c r="J410">
        <v>-7.0210750820750808E-4</v>
      </c>
      <c r="M410">
        <v>11.232676261827974</v>
      </c>
      <c r="N410">
        <v>9.765625E-4</v>
      </c>
      <c r="O410">
        <f t="shared" si="6"/>
        <v>0.4873046875</v>
      </c>
      <c r="Q410" s="90"/>
      <c r="R410" s="89"/>
      <c r="S410" s="89"/>
    </row>
    <row r="411" spans="1:19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14.040845327284968</v>
      </c>
      <c r="H411">
        <v>1.6276728515624999E-3</v>
      </c>
      <c r="I411">
        <v>-0.62623587759980681</v>
      </c>
      <c r="J411">
        <v>-1.0193071366436223E-3</v>
      </c>
      <c r="M411">
        <v>11.232676261827974</v>
      </c>
      <c r="N411">
        <v>1.953125E-3</v>
      </c>
      <c r="O411">
        <f t="shared" si="6"/>
        <v>0.4892578125</v>
      </c>
      <c r="Q411" s="90"/>
      <c r="R411" s="89"/>
      <c r="S411" s="89"/>
    </row>
    <row r="412" spans="1:19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22.465352523655948</v>
      </c>
      <c r="H412">
        <v>1.0280039062499999E-3</v>
      </c>
      <c r="I412">
        <v>-0.47291241152288888</v>
      </c>
      <c r="J412">
        <v>-4.8615580635963726E-4</v>
      </c>
      <c r="M412">
        <v>11.232676261827974</v>
      </c>
      <c r="N412">
        <v>9.765625E-4</v>
      </c>
      <c r="O412">
        <f t="shared" si="6"/>
        <v>0.490234375</v>
      </c>
      <c r="Q412" s="90"/>
      <c r="R412" s="89"/>
      <c r="S412" s="89"/>
    </row>
    <row r="413" spans="1:19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4.8694921874999997E-4</v>
      </c>
      <c r="I413">
        <v>-1</v>
      </c>
      <c r="J413">
        <v>-4.8694921874999997E-4</v>
      </c>
      <c r="M413">
        <v>11.232676261827974</v>
      </c>
      <c r="N413">
        <v>4.8828125E-4</v>
      </c>
      <c r="O413">
        <f t="shared" si="6"/>
        <v>0.49072265625</v>
      </c>
      <c r="Q413" s="90"/>
      <c r="R413" s="89"/>
      <c r="S413" s="89"/>
    </row>
    <row r="414" spans="1:19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11.232676261827974</v>
      </c>
      <c r="H414">
        <v>1.0280039062499999E-3</v>
      </c>
      <c r="I414">
        <v>-0.6876862740544476</v>
      </c>
      <c r="J414">
        <v>-7.069441760024801E-4</v>
      </c>
      <c r="M414">
        <v>11.232676261827974</v>
      </c>
      <c r="N414">
        <v>9.765625E-4</v>
      </c>
      <c r="O414">
        <f t="shared" si="6"/>
        <v>0.49169921875</v>
      </c>
      <c r="Q414" s="90"/>
      <c r="R414" s="89"/>
      <c r="S414" s="89"/>
    </row>
    <row r="415" spans="1:19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19.657183458198954</v>
      </c>
      <c r="H415">
        <v>6.4926562499999999E-4</v>
      </c>
      <c r="I415">
        <v>-0.51931769779901749</v>
      </c>
      <c r="J415">
        <v>-3.3717512963504022E-4</v>
      </c>
      <c r="M415">
        <v>11.232676261827974</v>
      </c>
      <c r="N415">
        <v>4.8828125E-4</v>
      </c>
      <c r="O415">
        <f t="shared" si="6"/>
        <v>0.4921875</v>
      </c>
      <c r="Q415" s="90"/>
      <c r="R415" s="89"/>
      <c r="S415" s="89"/>
    </row>
    <row r="416" spans="1:19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5.616338130913987</v>
      </c>
      <c r="H416">
        <v>7.7100292968750007E-4</v>
      </c>
      <c r="I416">
        <v>-0.82926851746249697</v>
      </c>
      <c r="J416">
        <v>-6.3936845646119498E-4</v>
      </c>
      <c r="M416">
        <v>11.313428784757823</v>
      </c>
      <c r="N416">
        <v>2.44140625E-4</v>
      </c>
      <c r="O416">
        <f t="shared" si="6"/>
        <v>0.492431640625</v>
      </c>
      <c r="Q416" s="90"/>
      <c r="R416" s="89"/>
      <c r="S416" s="89"/>
    </row>
    <row r="417" spans="1:19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16.849014392741964</v>
      </c>
      <c r="H417">
        <v>1.6276728515625001E-3</v>
      </c>
      <c r="I417">
        <v>-0.57027657696444012</v>
      </c>
      <c r="J417">
        <v>-9.2822370220701177E-4</v>
      </c>
      <c r="M417">
        <v>11.313428784757823</v>
      </c>
      <c r="N417">
        <v>4.8828125E-4</v>
      </c>
      <c r="O417">
        <f t="shared" si="6"/>
        <v>0.492919921875</v>
      </c>
      <c r="Q417" s="90"/>
      <c r="R417" s="89"/>
      <c r="S417" s="89"/>
    </row>
    <row r="418" spans="1:19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25.273521589112942</v>
      </c>
      <c r="H418">
        <v>1.0280039062499999E-3</v>
      </c>
      <c r="I418">
        <v>-0.4306538173458283</v>
      </c>
      <c r="J418">
        <v>-4.4271380647298547E-4</v>
      </c>
      <c r="M418">
        <v>11.313428784757823</v>
      </c>
      <c r="N418">
        <v>2.44140625E-4</v>
      </c>
      <c r="O418">
        <f t="shared" si="6"/>
        <v>0.4931640625</v>
      </c>
      <c r="Q418" s="90"/>
      <c r="R418" s="89"/>
      <c r="S418" s="89"/>
    </row>
    <row r="419" spans="1:19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2.8081690654569935</v>
      </c>
      <c r="H419">
        <v>1.6276728515624999E-3</v>
      </c>
      <c r="I419">
        <v>-0.91064181622770701</v>
      </c>
      <c r="J419">
        <v>-1.4822269617714059E-3</v>
      </c>
      <c r="M419">
        <v>11.313428784757823</v>
      </c>
      <c r="N419">
        <v>4.8828125E-4</v>
      </c>
      <c r="O419">
        <f t="shared" si="6"/>
        <v>0.49365234375</v>
      </c>
      <c r="Q419" s="90"/>
      <c r="R419" s="89"/>
      <c r="S419" s="89"/>
    </row>
    <row r="420" spans="1:19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14.040845327284968</v>
      </c>
      <c r="H420">
        <v>3.4361982421874998E-3</v>
      </c>
      <c r="I420">
        <v>-0.62623587759980681</v>
      </c>
      <c r="J420">
        <v>-2.1518706218032024E-3</v>
      </c>
      <c r="M420">
        <v>11.313428784757823</v>
      </c>
      <c r="N420">
        <v>9.765625E-4</v>
      </c>
      <c r="O420">
        <f t="shared" si="6"/>
        <v>0.49462890625</v>
      </c>
      <c r="Q420" s="90"/>
      <c r="R420" s="89"/>
      <c r="S420" s="89"/>
    </row>
    <row r="421" spans="1:19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22.465352523655948</v>
      </c>
      <c r="H421">
        <v>2.1702304687499997E-3</v>
      </c>
      <c r="I421">
        <v>-0.47291241152288888</v>
      </c>
      <c r="J421">
        <v>-1.0263289245370118E-3</v>
      </c>
      <c r="M421">
        <v>11.313428784757823</v>
      </c>
      <c r="N421">
        <v>4.8828125E-4</v>
      </c>
      <c r="O421">
        <f t="shared" si="6"/>
        <v>0.4951171875</v>
      </c>
      <c r="Q421" s="90"/>
      <c r="R421" s="89"/>
      <c r="S421" s="89"/>
    </row>
    <row r="422" spans="1:19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1.0280039062499999E-3</v>
      </c>
      <c r="I422">
        <v>-1</v>
      </c>
      <c r="J422">
        <v>-1.0280039062499999E-3</v>
      </c>
      <c r="M422">
        <v>11.313428784757823</v>
      </c>
      <c r="N422">
        <v>2.44140625E-4</v>
      </c>
      <c r="O422">
        <f t="shared" si="6"/>
        <v>0.495361328125</v>
      </c>
      <c r="Q422" s="90"/>
      <c r="R422" s="89"/>
      <c r="S422" s="89"/>
    </row>
    <row r="423" spans="1:19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11.232676261827974</v>
      </c>
      <c r="H423">
        <v>2.1702304687499997E-3</v>
      </c>
      <c r="I423">
        <v>-0.6876862740544476</v>
      </c>
      <c r="J423">
        <v>-1.4924377048941245E-3</v>
      </c>
      <c r="M423">
        <v>11.313428784757823</v>
      </c>
      <c r="N423">
        <v>4.8828125E-4</v>
      </c>
      <c r="O423">
        <f t="shared" si="6"/>
        <v>0.495849609375</v>
      </c>
      <c r="Q423" s="90"/>
      <c r="R423" s="89"/>
      <c r="S423" s="89"/>
    </row>
    <row r="424" spans="1:19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19.657183458198954</v>
      </c>
      <c r="H424">
        <v>1.3706718749999999E-3</v>
      </c>
      <c r="I424">
        <v>-0.51931769779901749</v>
      </c>
      <c r="J424">
        <v>-7.1181416256286265E-4</v>
      </c>
      <c r="M424">
        <v>11.313428784757823</v>
      </c>
      <c r="N424">
        <v>2.44140625E-4</v>
      </c>
      <c r="O424">
        <f t="shared" si="6"/>
        <v>0.49609375</v>
      </c>
      <c r="Q424" s="90"/>
      <c r="R424" s="89"/>
      <c r="S424" s="89"/>
    </row>
    <row r="425" spans="1:19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5.616338130913987</v>
      </c>
      <c r="H425">
        <v>4.8694921875000008E-4</v>
      </c>
      <c r="I425">
        <v>-0.82926851746249697</v>
      </c>
      <c r="J425">
        <v>-4.0381165671233367E-4</v>
      </c>
      <c r="M425">
        <v>11.632190577614921</v>
      </c>
      <c r="N425">
        <v>1.953125E-3</v>
      </c>
      <c r="O425">
        <f t="shared" si="6"/>
        <v>0.498046875</v>
      </c>
      <c r="Q425" s="90"/>
      <c r="R425" s="89"/>
      <c r="S425" s="89"/>
    </row>
    <row r="426" spans="1:19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16.849014392741964</v>
      </c>
      <c r="H426">
        <v>1.0280039062500002E-3</v>
      </c>
      <c r="I426">
        <v>-0.57027657696444012</v>
      </c>
      <c r="J426">
        <v>-5.8624654876232335E-4</v>
      </c>
      <c r="M426">
        <v>11.632190577614921</v>
      </c>
      <c r="N426">
        <v>3.90625E-3</v>
      </c>
      <c r="O426">
        <f t="shared" si="6"/>
        <v>0.501953125</v>
      </c>
      <c r="Q426" s="90"/>
      <c r="R426" s="89"/>
      <c r="S426" s="89"/>
    </row>
    <row r="427" spans="1:19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25.273521589112942</v>
      </c>
      <c r="H427">
        <v>6.492656250000001E-4</v>
      </c>
      <c r="I427">
        <v>-0.4306538173458283</v>
      </c>
      <c r="J427">
        <v>-2.7960871987767509E-4</v>
      </c>
      <c r="M427">
        <v>11.632190577614921</v>
      </c>
      <c r="N427">
        <v>1.953125E-3</v>
      </c>
      <c r="O427">
        <f t="shared" si="6"/>
        <v>0.50390625</v>
      </c>
      <c r="Q427" s="90"/>
      <c r="R427" s="89"/>
      <c r="S427" s="89"/>
    </row>
    <row r="428" spans="1:19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2.8081690654569935</v>
      </c>
      <c r="H428">
        <v>1.0280039062499999E-3</v>
      </c>
      <c r="I428">
        <v>-0.91064181622770701</v>
      </c>
      <c r="J428">
        <v>-9.3614334427667744E-4</v>
      </c>
      <c r="M428">
        <v>11.632190577614921</v>
      </c>
      <c r="N428">
        <v>3.90625E-3</v>
      </c>
      <c r="O428">
        <f t="shared" si="6"/>
        <v>0.5078125</v>
      </c>
      <c r="Q428" s="90"/>
      <c r="R428" s="89"/>
      <c r="S428" s="89"/>
    </row>
    <row r="429" spans="1:19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14.040845327284968</v>
      </c>
      <c r="H429">
        <v>2.1702304687499997E-3</v>
      </c>
      <c r="I429">
        <v>-0.62623587759980681</v>
      </c>
      <c r="J429">
        <v>-1.3590761821914961E-3</v>
      </c>
      <c r="M429">
        <v>11.632190577614921</v>
      </c>
      <c r="N429">
        <v>7.8125E-3</v>
      </c>
      <c r="O429">
        <f t="shared" si="6"/>
        <v>0.515625</v>
      </c>
      <c r="Q429" s="90"/>
      <c r="R429" s="89"/>
      <c r="S429" s="89"/>
    </row>
    <row r="430" spans="1:19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22.465352523655948</v>
      </c>
      <c r="H430">
        <v>1.3706718749999999E-3</v>
      </c>
      <c r="I430">
        <v>-0.47291241152288888</v>
      </c>
      <c r="J430">
        <v>-6.4820774181284968E-4</v>
      </c>
      <c r="M430">
        <v>11.632190577614921</v>
      </c>
      <c r="N430">
        <v>3.90625E-3</v>
      </c>
      <c r="O430">
        <f t="shared" si="6"/>
        <v>0.51953125</v>
      </c>
      <c r="Q430" s="90"/>
      <c r="R430" s="89"/>
      <c r="S430" s="89"/>
    </row>
    <row r="431" spans="1:19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6.492656250000001E-4</v>
      </c>
      <c r="I431">
        <v>-1</v>
      </c>
      <c r="J431">
        <v>-6.492656250000001E-4</v>
      </c>
      <c r="M431">
        <v>11.632190577614921</v>
      </c>
      <c r="N431">
        <v>1.953125E-3</v>
      </c>
      <c r="O431">
        <f t="shared" si="6"/>
        <v>0.521484375</v>
      </c>
      <c r="Q431" s="90"/>
      <c r="R431" s="89"/>
      <c r="S431" s="89"/>
    </row>
    <row r="432" spans="1:19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11.232676261827974</v>
      </c>
      <c r="H432">
        <v>1.3706718749999999E-3</v>
      </c>
      <c r="I432">
        <v>-0.6876862740544476</v>
      </c>
      <c r="J432">
        <v>-9.4259223466997347E-4</v>
      </c>
      <c r="M432">
        <v>11.632190577614921</v>
      </c>
      <c r="N432">
        <v>3.90625E-3</v>
      </c>
      <c r="O432">
        <f t="shared" si="6"/>
        <v>0.525390625</v>
      </c>
      <c r="Q432" s="90"/>
      <c r="R432" s="89"/>
      <c r="S432" s="89"/>
    </row>
    <row r="433" spans="1:19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19.657183458198954</v>
      </c>
      <c r="H433">
        <v>8.6568750000000003E-4</v>
      </c>
      <c r="I433">
        <v>-0.51931769779901749</v>
      </c>
      <c r="J433">
        <v>-4.4956683951338696E-4</v>
      </c>
      <c r="M433">
        <v>11.632190577614921</v>
      </c>
      <c r="N433">
        <v>1.953125E-3</v>
      </c>
      <c r="O433">
        <f t="shared" si="6"/>
        <v>0.52734375</v>
      </c>
      <c r="Q433" s="90"/>
      <c r="R433" s="89"/>
      <c r="S433" s="89"/>
    </row>
    <row r="434" spans="1:19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5.616338130913987</v>
      </c>
      <c r="H434">
        <v>7.7100292968750007E-4</v>
      </c>
      <c r="I434">
        <v>-0.82926851746249697</v>
      </c>
      <c r="J434">
        <v>-6.3936845646119498E-4</v>
      </c>
      <c r="M434">
        <v>11.895886100256201</v>
      </c>
      <c r="N434">
        <v>9.765625E-4</v>
      </c>
      <c r="O434">
        <f t="shared" si="6"/>
        <v>0.5283203125</v>
      </c>
      <c r="Q434" s="90"/>
      <c r="R434" s="89"/>
      <c r="S434" s="89"/>
    </row>
    <row r="435" spans="1:19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16.849014392741964</v>
      </c>
      <c r="H435">
        <v>1.6276728515625001E-3</v>
      </c>
      <c r="I435">
        <v>-0.57027657696444012</v>
      </c>
      <c r="J435">
        <v>-9.2822370220701177E-4</v>
      </c>
      <c r="M435">
        <v>11.895886100256201</v>
      </c>
      <c r="N435">
        <v>1.953125E-3</v>
      </c>
      <c r="O435">
        <f t="shared" si="6"/>
        <v>0.5302734375</v>
      </c>
      <c r="Q435" s="90"/>
      <c r="R435" s="89"/>
      <c r="S435" s="89"/>
    </row>
    <row r="436" spans="1:19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25.273521589112942</v>
      </c>
      <c r="H436">
        <v>1.0280039062499999E-3</v>
      </c>
      <c r="I436">
        <v>-0.4306538173458283</v>
      </c>
      <c r="J436">
        <v>-4.4271380647298547E-4</v>
      </c>
      <c r="M436">
        <v>11.895886100256201</v>
      </c>
      <c r="N436">
        <v>9.765625E-4</v>
      </c>
      <c r="O436">
        <f t="shared" si="6"/>
        <v>0.53125</v>
      </c>
      <c r="Q436" s="90"/>
      <c r="R436" s="89"/>
      <c r="S436" s="89"/>
    </row>
    <row r="437" spans="1:19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2.8081690654569935</v>
      </c>
      <c r="H437">
        <v>1.6276728515624999E-3</v>
      </c>
      <c r="I437">
        <v>-0.91064181622770701</v>
      </c>
      <c r="J437">
        <v>-1.4822269617714059E-3</v>
      </c>
      <c r="M437">
        <v>11.895886100256201</v>
      </c>
      <c r="N437">
        <v>1.953125E-3</v>
      </c>
      <c r="O437">
        <f t="shared" si="6"/>
        <v>0.533203125</v>
      </c>
      <c r="Q437" s="90"/>
      <c r="R437" s="89"/>
      <c r="S437" s="89"/>
    </row>
    <row r="438" spans="1:19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14.040845327284968</v>
      </c>
      <c r="H438">
        <v>3.4361982421874998E-3</v>
      </c>
      <c r="I438">
        <v>-0.62623587759980681</v>
      </c>
      <c r="J438">
        <v>-2.1518706218032024E-3</v>
      </c>
      <c r="M438">
        <v>11.895886100256201</v>
      </c>
      <c r="N438">
        <v>3.90625E-3</v>
      </c>
      <c r="O438">
        <f t="shared" si="6"/>
        <v>0.537109375</v>
      </c>
      <c r="Q438" s="90"/>
      <c r="R438" s="89"/>
      <c r="S438" s="89"/>
    </row>
    <row r="439" spans="1:19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22.465352523655948</v>
      </c>
      <c r="H439">
        <v>2.1702304687499997E-3</v>
      </c>
      <c r="I439">
        <v>-0.47291241152288888</v>
      </c>
      <c r="J439">
        <v>-1.0263289245370118E-3</v>
      </c>
      <c r="M439">
        <v>11.895886100256201</v>
      </c>
      <c r="N439">
        <v>1.953125E-3</v>
      </c>
      <c r="O439">
        <f t="shared" si="6"/>
        <v>0.5390625</v>
      </c>
      <c r="Q439" s="90"/>
      <c r="R439" s="89"/>
      <c r="S439" s="89"/>
    </row>
    <row r="440" spans="1:19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1.0280039062499999E-3</v>
      </c>
      <c r="I440">
        <v>-1</v>
      </c>
      <c r="J440">
        <v>-1.0280039062499999E-3</v>
      </c>
      <c r="M440">
        <v>11.895886100256201</v>
      </c>
      <c r="N440">
        <v>9.765625E-4</v>
      </c>
      <c r="O440">
        <f t="shared" si="6"/>
        <v>0.5400390625</v>
      </c>
      <c r="Q440" s="90"/>
      <c r="R440" s="89"/>
      <c r="S440" s="89"/>
    </row>
    <row r="441" spans="1:19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11.232676261827974</v>
      </c>
      <c r="H441">
        <v>2.1702304687499997E-3</v>
      </c>
      <c r="I441">
        <v>-0.6876862740544476</v>
      </c>
      <c r="J441">
        <v>-1.4924377048941245E-3</v>
      </c>
      <c r="M441">
        <v>11.895886100256201</v>
      </c>
      <c r="N441">
        <v>1.953125E-3</v>
      </c>
      <c r="O441">
        <f t="shared" si="6"/>
        <v>0.5419921875</v>
      </c>
      <c r="Q441" s="90"/>
      <c r="R441" s="89"/>
      <c r="S441" s="89"/>
    </row>
    <row r="442" spans="1:19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19.657183458198954</v>
      </c>
      <c r="H442">
        <v>1.3706718749999999E-3</v>
      </c>
      <c r="I442">
        <v>-0.51931769779901749</v>
      </c>
      <c r="J442">
        <v>-7.1181416256286265E-4</v>
      </c>
      <c r="M442">
        <v>11.895886100256201</v>
      </c>
      <c r="N442">
        <v>9.765625E-4</v>
      </c>
      <c r="O442">
        <f t="shared" si="6"/>
        <v>0.54296875</v>
      </c>
      <c r="Q442" s="90"/>
      <c r="R442" s="89"/>
      <c r="S442" s="89"/>
    </row>
    <row r="443" spans="1:19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5.616338130913987</v>
      </c>
      <c r="H443">
        <v>1.6276728515624997E-3</v>
      </c>
      <c r="I443">
        <v>-0.82926851746249697</v>
      </c>
      <c r="J443">
        <v>-1.3497778525291891E-3</v>
      </c>
      <c r="M443">
        <v>12.929632896866085</v>
      </c>
      <c r="N443">
        <v>4.8828125E-4</v>
      </c>
      <c r="O443">
        <f t="shared" si="6"/>
        <v>0.54345703125</v>
      </c>
      <c r="Q443" s="90"/>
      <c r="R443" s="89"/>
      <c r="S443" s="89"/>
    </row>
    <row r="444" spans="1:19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16.849014392741964</v>
      </c>
      <c r="H444">
        <v>3.4361982421874993E-3</v>
      </c>
      <c r="I444">
        <v>-0.57027657696444012</v>
      </c>
      <c r="J444">
        <v>-1.9595833713259131E-3</v>
      </c>
      <c r="M444">
        <v>12.929632896866085</v>
      </c>
      <c r="N444">
        <v>9.765625E-4</v>
      </c>
      <c r="O444">
        <f t="shared" si="6"/>
        <v>0.54443359375</v>
      </c>
      <c r="Q444" s="90"/>
      <c r="R444" s="89"/>
      <c r="S444" s="89"/>
    </row>
    <row r="445" spans="1:19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25.273521589112942</v>
      </c>
      <c r="H445">
        <v>2.1702304687499993E-3</v>
      </c>
      <c r="I445">
        <v>-0.4306538173458283</v>
      </c>
      <c r="J445">
        <v>-9.346180358874135E-4</v>
      </c>
      <c r="M445">
        <v>12.929632896866085</v>
      </c>
      <c r="N445">
        <v>4.8828125E-4</v>
      </c>
      <c r="O445">
        <f t="shared" si="6"/>
        <v>0.544921875</v>
      </c>
      <c r="Q445" s="90"/>
      <c r="R445" s="89"/>
      <c r="S445" s="89"/>
    </row>
    <row r="446" spans="1:19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2.8081690654569935</v>
      </c>
      <c r="H446">
        <v>3.4361982421874993E-3</v>
      </c>
      <c r="I446">
        <v>-0.91064181622770701</v>
      </c>
      <c r="J446">
        <v>-3.1291458081840785E-3</v>
      </c>
      <c r="M446">
        <v>12.929632896866085</v>
      </c>
      <c r="N446">
        <v>9.765625E-4</v>
      </c>
      <c r="O446">
        <f t="shared" si="6"/>
        <v>0.5458984375</v>
      </c>
      <c r="Q446" s="90"/>
      <c r="R446" s="89"/>
      <c r="S446" s="89"/>
    </row>
    <row r="447" spans="1:19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14.040845327284968</v>
      </c>
      <c r="H447">
        <v>7.254196289062498E-3</v>
      </c>
      <c r="I447">
        <v>-0.62623587759980681</v>
      </c>
      <c r="J447">
        <v>-4.5428379793623153E-3</v>
      </c>
      <c r="M447">
        <v>12.929632896866085</v>
      </c>
      <c r="N447">
        <v>1.953125E-3</v>
      </c>
      <c r="O447">
        <f t="shared" si="6"/>
        <v>0.5478515625</v>
      </c>
      <c r="Q447" s="90"/>
      <c r="R447" s="89"/>
      <c r="S447" s="89"/>
    </row>
    <row r="448" spans="1:19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22.465352523655948</v>
      </c>
      <c r="H448">
        <v>4.5815976562499985E-3</v>
      </c>
      <c r="I448">
        <v>-0.47291241152288888</v>
      </c>
      <c r="J448">
        <v>-2.1666943962448024E-3</v>
      </c>
      <c r="M448">
        <v>12.929632896866085</v>
      </c>
      <c r="N448">
        <v>9.765625E-4</v>
      </c>
      <c r="O448">
        <f t="shared" si="6"/>
        <v>0.548828125</v>
      </c>
      <c r="Q448" s="90"/>
      <c r="R448" s="89"/>
      <c r="S448" s="89"/>
    </row>
    <row r="449" spans="1:19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2.1702304687499997E-3</v>
      </c>
      <c r="I449">
        <v>-1</v>
      </c>
      <c r="J449">
        <v>-2.1702304687499997E-3</v>
      </c>
      <c r="M449">
        <v>12.929632896866085</v>
      </c>
      <c r="N449">
        <v>4.8828125E-4</v>
      </c>
      <c r="O449">
        <f t="shared" si="6"/>
        <v>0.54931640625</v>
      </c>
      <c r="Q449" s="90"/>
      <c r="R449" s="89"/>
      <c r="S449" s="89"/>
    </row>
    <row r="450" spans="1:19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11.232676261827974</v>
      </c>
      <c r="H450">
        <v>4.5815976562499994E-3</v>
      </c>
      <c r="I450">
        <v>-0.6876862740544476</v>
      </c>
      <c r="J450">
        <v>-3.1507018214431519E-3</v>
      </c>
      <c r="M450">
        <v>12.929632896866085</v>
      </c>
      <c r="N450">
        <v>9.765625E-4</v>
      </c>
      <c r="O450">
        <f t="shared" si="6"/>
        <v>0.55029296875</v>
      </c>
      <c r="Q450" s="90"/>
      <c r="R450" s="89"/>
      <c r="S450" s="89"/>
    </row>
    <row r="451" spans="1:19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19.657183458198954</v>
      </c>
      <c r="H451">
        <v>2.8936406249999995E-3</v>
      </c>
      <c r="I451">
        <v>-0.51931769779901749</v>
      </c>
      <c r="J451">
        <v>-1.5027187876327098E-3</v>
      </c>
      <c r="M451">
        <v>12.929632896866085</v>
      </c>
      <c r="N451">
        <v>4.8828125E-4</v>
      </c>
      <c r="O451">
        <f t="shared" si="6"/>
        <v>0.55078125</v>
      </c>
      <c r="Q451" s="90"/>
      <c r="R451" s="89"/>
      <c r="S451" s="89"/>
    </row>
    <row r="452" spans="1:19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5.616338130913987</v>
      </c>
      <c r="H452">
        <v>1.0280039062499999E-3</v>
      </c>
      <c r="I452">
        <v>-0.82926851746249697</v>
      </c>
      <c r="J452">
        <v>-8.5249127528159313E-4</v>
      </c>
      <c r="M452">
        <v>13.38287186278823</v>
      </c>
      <c r="N452">
        <v>4.8828125E-4</v>
      </c>
      <c r="O452">
        <f t="shared" ref="O452:O515" si="7">N452+O451</f>
        <v>0.55126953125</v>
      </c>
      <c r="Q452" s="90"/>
      <c r="R452" s="89"/>
      <c r="S452" s="89"/>
    </row>
    <row r="453" spans="1:19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16.849014392741964</v>
      </c>
      <c r="H453">
        <v>2.1702304687499997E-3</v>
      </c>
      <c r="I453">
        <v>-0.57027657696444012</v>
      </c>
      <c r="J453">
        <v>-1.2376316029426822E-3</v>
      </c>
      <c r="M453">
        <v>13.38287186278823</v>
      </c>
      <c r="N453">
        <v>9.765625E-4</v>
      </c>
      <c r="O453">
        <f t="shared" si="7"/>
        <v>0.55224609375</v>
      </c>
      <c r="Q453" s="90"/>
      <c r="R453" s="89"/>
      <c r="S453" s="89"/>
    </row>
    <row r="454" spans="1:19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25.273521589112942</v>
      </c>
      <c r="H454">
        <v>1.3706718749999999E-3</v>
      </c>
      <c r="I454">
        <v>-0.4306538173458283</v>
      </c>
      <c r="J454">
        <v>-5.9028507529731403E-4</v>
      </c>
      <c r="M454">
        <v>13.38287186278823</v>
      </c>
      <c r="N454">
        <v>4.8828125E-4</v>
      </c>
      <c r="O454">
        <f t="shared" si="7"/>
        <v>0.552734375</v>
      </c>
      <c r="Q454" s="90"/>
      <c r="R454" s="89"/>
      <c r="S454" s="89"/>
    </row>
    <row r="455" spans="1:19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2.8081690654569935</v>
      </c>
      <c r="H455">
        <v>2.1702304687499997E-3</v>
      </c>
      <c r="I455">
        <v>-0.91064181622770701</v>
      </c>
      <c r="J455">
        <v>-1.9763026156952076E-3</v>
      </c>
      <c r="M455">
        <v>13.38287186278823</v>
      </c>
      <c r="N455">
        <v>9.765625E-4</v>
      </c>
      <c r="O455">
        <f t="shared" si="7"/>
        <v>0.5537109375</v>
      </c>
      <c r="Q455" s="90"/>
      <c r="R455" s="89"/>
      <c r="S455" s="89"/>
    </row>
    <row r="456" spans="1:19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14.040845327284968</v>
      </c>
      <c r="H456">
        <v>4.5815976562499994E-3</v>
      </c>
      <c r="I456">
        <v>-0.62623587759980681</v>
      </c>
      <c r="J456">
        <v>-2.8691608290709364E-3</v>
      </c>
      <c r="M456">
        <v>13.38287186278823</v>
      </c>
      <c r="N456">
        <v>1.953125E-3</v>
      </c>
      <c r="O456">
        <f t="shared" si="7"/>
        <v>0.5556640625</v>
      </c>
      <c r="Q456" s="90"/>
      <c r="R456" s="89"/>
      <c r="S456" s="89"/>
    </row>
    <row r="457" spans="1:19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22.465352523655948</v>
      </c>
      <c r="H457">
        <v>2.8936406249999995E-3</v>
      </c>
      <c r="I457">
        <v>-0.47291241152288888</v>
      </c>
      <c r="J457">
        <v>-1.3684385660493491E-3</v>
      </c>
      <c r="M457">
        <v>13.38287186278823</v>
      </c>
      <c r="N457">
        <v>9.765625E-4</v>
      </c>
      <c r="O457">
        <f t="shared" si="7"/>
        <v>0.556640625</v>
      </c>
      <c r="Q457" s="90"/>
      <c r="R457" s="89"/>
      <c r="S457" s="89"/>
    </row>
    <row r="458" spans="1:19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1.3706718749999999E-3</v>
      </c>
      <c r="I458">
        <v>-1</v>
      </c>
      <c r="J458">
        <v>-1.3706718749999999E-3</v>
      </c>
      <c r="M458">
        <v>13.38287186278823</v>
      </c>
      <c r="N458">
        <v>4.8828125E-4</v>
      </c>
      <c r="O458">
        <f t="shared" si="7"/>
        <v>0.55712890625</v>
      </c>
      <c r="Q458" s="90"/>
      <c r="R458" s="89"/>
      <c r="S458" s="89"/>
    </row>
    <row r="459" spans="1:19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11.232676261827974</v>
      </c>
      <c r="H459">
        <v>2.8936406249999995E-3</v>
      </c>
      <c r="I459">
        <v>-0.6876862740544476</v>
      </c>
      <c r="J459">
        <v>-1.9899169398588327E-3</v>
      </c>
      <c r="M459">
        <v>13.38287186278823</v>
      </c>
      <c r="N459">
        <v>9.765625E-4</v>
      </c>
      <c r="O459">
        <f t="shared" si="7"/>
        <v>0.55810546875</v>
      </c>
      <c r="Q459" s="90"/>
      <c r="R459" s="89"/>
      <c r="S459" s="89"/>
    </row>
    <row r="460" spans="1:19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19.657183458198954</v>
      </c>
      <c r="H460">
        <v>1.8275624999999998E-3</v>
      </c>
      <c r="I460">
        <v>-0.51931769779901749</v>
      </c>
      <c r="J460">
        <v>-9.4908555008381672E-4</v>
      </c>
      <c r="M460">
        <v>13.38287186278823</v>
      </c>
      <c r="N460">
        <v>4.8828125E-4</v>
      </c>
      <c r="O460">
        <f t="shared" si="7"/>
        <v>0.55859375</v>
      </c>
      <c r="Q460" s="90"/>
      <c r="R460" s="89"/>
      <c r="S460" s="89"/>
    </row>
    <row r="461" spans="1:19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5.616338130913987</v>
      </c>
      <c r="H461">
        <v>4.8694921874999997E-4</v>
      </c>
      <c r="I461">
        <v>-0.82926851746249697</v>
      </c>
      <c r="J461">
        <v>-4.0381165671233362E-4</v>
      </c>
      <c r="M461">
        <v>13.958628693137905</v>
      </c>
      <c r="N461">
        <v>9.765625E-4</v>
      </c>
      <c r="O461">
        <f t="shared" si="7"/>
        <v>0.5595703125</v>
      </c>
      <c r="Q461" s="90"/>
      <c r="R461" s="89"/>
      <c r="S461" s="89"/>
    </row>
    <row r="462" spans="1:19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16.849014392741964</v>
      </c>
      <c r="H462">
        <v>1.0280039062499999E-3</v>
      </c>
      <c r="I462">
        <v>-0.57027657696444012</v>
      </c>
      <c r="J462">
        <v>-5.8624654876232314E-4</v>
      </c>
      <c r="M462">
        <v>13.958628693137905</v>
      </c>
      <c r="N462">
        <v>1.953125E-3</v>
      </c>
      <c r="O462">
        <f t="shared" si="7"/>
        <v>0.5615234375</v>
      </c>
      <c r="Q462" s="90"/>
      <c r="R462" s="89"/>
      <c r="S462" s="89"/>
    </row>
    <row r="463" spans="1:19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25.273521589112942</v>
      </c>
      <c r="H463">
        <v>6.4926562499999999E-4</v>
      </c>
      <c r="I463">
        <v>-0.4306538173458283</v>
      </c>
      <c r="J463">
        <v>-2.7960871987767503E-4</v>
      </c>
      <c r="M463">
        <v>13.958628693137905</v>
      </c>
      <c r="N463">
        <v>9.765625E-4</v>
      </c>
      <c r="O463">
        <f t="shared" si="7"/>
        <v>0.5625</v>
      </c>
      <c r="Q463" s="90"/>
      <c r="R463" s="89"/>
      <c r="S463" s="89"/>
    </row>
    <row r="464" spans="1:19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2.8081690654569935</v>
      </c>
      <c r="H464">
        <v>1.0280039062499999E-3</v>
      </c>
      <c r="I464">
        <v>-0.91064181622770701</v>
      </c>
      <c r="J464">
        <v>-9.3614334427667744E-4</v>
      </c>
      <c r="M464">
        <v>13.958628693137905</v>
      </c>
      <c r="N464">
        <v>1.953125E-3</v>
      </c>
      <c r="O464">
        <f t="shared" si="7"/>
        <v>0.564453125</v>
      </c>
      <c r="Q464" s="90"/>
      <c r="R464" s="89"/>
      <c r="S464" s="89"/>
    </row>
    <row r="465" spans="1:19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14.040845327284968</v>
      </c>
      <c r="H465">
        <v>2.1702304687499993E-3</v>
      </c>
      <c r="I465">
        <v>-0.62623587759980681</v>
      </c>
      <c r="J465">
        <v>-1.3590761821914959E-3</v>
      </c>
      <c r="M465">
        <v>13.958628693137905</v>
      </c>
      <c r="N465">
        <v>3.90625E-3</v>
      </c>
      <c r="O465">
        <f t="shared" si="7"/>
        <v>0.568359375</v>
      </c>
      <c r="Q465" s="90"/>
      <c r="R465" s="89"/>
      <c r="S465" s="89"/>
    </row>
    <row r="466" spans="1:19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22.465352523655948</v>
      </c>
      <c r="H466">
        <v>1.3706718749999997E-3</v>
      </c>
      <c r="I466">
        <v>-0.47291241152288888</v>
      </c>
      <c r="J466">
        <v>-6.4820774181284957E-4</v>
      </c>
      <c r="M466">
        <v>13.958628693137905</v>
      </c>
      <c r="N466">
        <v>1.953125E-3</v>
      </c>
      <c r="O466">
        <f t="shared" si="7"/>
        <v>0.5703125</v>
      </c>
      <c r="Q466" s="90"/>
      <c r="R466" s="89"/>
      <c r="S466" s="89"/>
    </row>
    <row r="467" spans="1:19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6.4926562499999999E-4</v>
      </c>
      <c r="I467">
        <v>-1</v>
      </c>
      <c r="J467">
        <v>-6.4926562499999999E-4</v>
      </c>
      <c r="M467">
        <v>13.958628693137905</v>
      </c>
      <c r="N467">
        <v>9.765625E-4</v>
      </c>
      <c r="O467">
        <f t="shared" si="7"/>
        <v>0.5712890625</v>
      </c>
      <c r="Q467" s="90"/>
      <c r="R467" s="89"/>
      <c r="S467" s="89"/>
    </row>
    <row r="468" spans="1:19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11.232676261827974</v>
      </c>
      <c r="H468">
        <v>1.3706718749999997E-3</v>
      </c>
      <c r="I468">
        <v>-0.6876862740544476</v>
      </c>
      <c r="J468">
        <v>-9.4259223466997336E-4</v>
      </c>
      <c r="M468">
        <v>13.958628693137905</v>
      </c>
      <c r="N468">
        <v>1.953125E-3</v>
      </c>
      <c r="O468">
        <f t="shared" si="7"/>
        <v>0.5732421875</v>
      </c>
      <c r="Q468" s="90"/>
      <c r="R468" s="89"/>
      <c r="S468" s="89"/>
    </row>
    <row r="469" spans="1:19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19.657183458198954</v>
      </c>
      <c r="H469">
        <v>8.6568749999999992E-4</v>
      </c>
      <c r="I469">
        <v>-0.51931769779901749</v>
      </c>
      <c r="J469">
        <v>-4.4956683951338691E-4</v>
      </c>
      <c r="M469">
        <v>13.958628693137905</v>
      </c>
      <c r="N469">
        <v>9.765625E-4</v>
      </c>
      <c r="O469">
        <f t="shared" si="7"/>
        <v>0.57421875</v>
      </c>
      <c r="Q469" s="90"/>
      <c r="R469" s="89"/>
      <c r="S469" s="89"/>
    </row>
    <row r="470" spans="1:19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5.616338130913987</v>
      </c>
      <c r="H470">
        <v>1.0280039062499999E-3</v>
      </c>
      <c r="I470">
        <v>-0.82926851746249697</v>
      </c>
      <c r="J470">
        <v>-8.5249127528159313E-4</v>
      </c>
      <c r="M470">
        <v>14.040845327284968</v>
      </c>
      <c r="N470">
        <v>3.90625E-3</v>
      </c>
      <c r="O470">
        <f t="shared" si="7"/>
        <v>0.578125</v>
      </c>
      <c r="Q470" s="90"/>
      <c r="R470" s="89"/>
      <c r="S470" s="89"/>
    </row>
    <row r="471" spans="1:19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16.849014392741964</v>
      </c>
      <c r="H471">
        <v>2.1702304687499997E-3</v>
      </c>
      <c r="I471">
        <v>-0.57027657696444012</v>
      </c>
      <c r="J471">
        <v>-1.2376316029426822E-3</v>
      </c>
      <c r="M471">
        <v>14.040845327284968</v>
      </c>
      <c r="N471">
        <v>7.8125E-3</v>
      </c>
      <c r="O471">
        <f t="shared" si="7"/>
        <v>0.5859375</v>
      </c>
      <c r="Q471" s="90"/>
      <c r="R471" s="89"/>
      <c r="S471" s="89"/>
    </row>
    <row r="472" spans="1:19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25.273521589112942</v>
      </c>
      <c r="H472">
        <v>1.3706718749999999E-3</v>
      </c>
      <c r="I472">
        <v>-0.4306538173458283</v>
      </c>
      <c r="J472">
        <v>-5.9028507529731403E-4</v>
      </c>
      <c r="M472">
        <v>14.040845327284968</v>
      </c>
      <c r="N472">
        <v>3.90625E-3</v>
      </c>
      <c r="O472">
        <f t="shared" si="7"/>
        <v>0.58984375</v>
      </c>
      <c r="Q472" s="90"/>
      <c r="R472" s="89"/>
      <c r="S472" s="89"/>
    </row>
    <row r="473" spans="1:19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2.8081690654569935</v>
      </c>
      <c r="H473">
        <v>2.1702304687499997E-3</v>
      </c>
      <c r="I473">
        <v>-0.91064181622770701</v>
      </c>
      <c r="J473">
        <v>-1.9763026156952076E-3</v>
      </c>
      <c r="M473">
        <v>14.040845327284968</v>
      </c>
      <c r="N473">
        <v>7.8125E-3</v>
      </c>
      <c r="O473">
        <f t="shared" si="7"/>
        <v>0.59765625</v>
      </c>
      <c r="Q473" s="90"/>
      <c r="R473" s="89"/>
      <c r="S473" s="89"/>
    </row>
    <row r="474" spans="1:19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14.040845327284968</v>
      </c>
      <c r="H474">
        <v>4.5815976562499994E-3</v>
      </c>
      <c r="I474">
        <v>-0.62623587759980681</v>
      </c>
      <c r="J474">
        <v>-2.8691608290709364E-3</v>
      </c>
      <c r="M474">
        <v>14.040845327284968</v>
      </c>
      <c r="N474">
        <v>1.5625E-2</v>
      </c>
      <c r="O474">
        <f t="shared" si="7"/>
        <v>0.61328125</v>
      </c>
      <c r="Q474" s="90"/>
      <c r="R474" s="89"/>
      <c r="S474" s="89"/>
    </row>
    <row r="475" spans="1:19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22.465352523655948</v>
      </c>
      <c r="H475">
        <v>2.8936406249999995E-3</v>
      </c>
      <c r="I475">
        <v>-0.47291241152288888</v>
      </c>
      <c r="J475">
        <v>-1.3684385660493491E-3</v>
      </c>
      <c r="M475">
        <v>14.040845327284968</v>
      </c>
      <c r="N475">
        <v>7.8125E-3</v>
      </c>
      <c r="O475">
        <f t="shared" si="7"/>
        <v>0.62109375</v>
      </c>
      <c r="Q475" s="90"/>
      <c r="R475" s="89"/>
      <c r="S475" s="89"/>
    </row>
    <row r="476" spans="1:19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1.3706718749999999E-3</v>
      </c>
      <c r="I476">
        <v>-1</v>
      </c>
      <c r="J476">
        <v>-1.3706718749999999E-3</v>
      </c>
      <c r="M476">
        <v>14.040845327284968</v>
      </c>
      <c r="N476">
        <v>3.90625E-3</v>
      </c>
      <c r="O476">
        <f t="shared" si="7"/>
        <v>0.625</v>
      </c>
      <c r="Q476" s="90"/>
      <c r="R476" s="89"/>
      <c r="S476" s="89"/>
    </row>
    <row r="477" spans="1:19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11.232676261827974</v>
      </c>
      <c r="H477">
        <v>2.8936406249999995E-3</v>
      </c>
      <c r="I477">
        <v>-0.6876862740544476</v>
      </c>
      <c r="J477">
        <v>-1.9899169398588327E-3</v>
      </c>
      <c r="M477">
        <v>14.040845327284968</v>
      </c>
      <c r="N477">
        <v>7.8125E-3</v>
      </c>
      <c r="O477">
        <f t="shared" si="7"/>
        <v>0.6328125</v>
      </c>
      <c r="Q477" s="90"/>
      <c r="R477" s="89"/>
      <c r="S477" s="89"/>
    </row>
    <row r="478" spans="1:19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19.657183458198954</v>
      </c>
      <c r="H478">
        <v>1.8275624999999998E-3</v>
      </c>
      <c r="I478">
        <v>-0.51931769779901749</v>
      </c>
      <c r="J478">
        <v>-9.4908555008381672E-4</v>
      </c>
      <c r="M478">
        <v>14.040845327284968</v>
      </c>
      <c r="N478">
        <v>3.90625E-3</v>
      </c>
      <c r="O478">
        <f t="shared" si="7"/>
        <v>0.63671875</v>
      </c>
      <c r="Q478" s="90"/>
      <c r="R478" s="89"/>
      <c r="S478" s="89"/>
    </row>
    <row r="479" spans="1:19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5.616338130913987</v>
      </c>
      <c r="H479">
        <v>6.4926562499999999E-4</v>
      </c>
      <c r="I479">
        <v>-0.82926851746249697</v>
      </c>
      <c r="J479">
        <v>-5.3841554228311152E-4</v>
      </c>
      <c r="M479">
        <v>14.040845327284968</v>
      </c>
      <c r="N479">
        <v>1.953125E-3</v>
      </c>
      <c r="O479">
        <f t="shared" si="7"/>
        <v>0.638671875</v>
      </c>
      <c r="Q479" s="90"/>
      <c r="R479" s="89"/>
      <c r="S479" s="89"/>
    </row>
    <row r="480" spans="1:19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16.849014392741964</v>
      </c>
      <c r="H480">
        <v>1.3706718749999997E-3</v>
      </c>
      <c r="I480">
        <v>-0.57027657696444012</v>
      </c>
      <c r="J480">
        <v>-7.8166206501643074E-4</v>
      </c>
      <c r="M480">
        <v>14.040845327284968</v>
      </c>
      <c r="N480">
        <v>3.90625E-3</v>
      </c>
      <c r="O480">
        <f t="shared" si="7"/>
        <v>0.642578125</v>
      </c>
      <c r="Q480" s="90"/>
      <c r="R480" s="89"/>
      <c r="S480" s="89"/>
    </row>
    <row r="481" spans="1:19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25.273521589112942</v>
      </c>
      <c r="H481">
        <v>8.6568749999999992E-4</v>
      </c>
      <c r="I481">
        <v>-0.4306538173458283</v>
      </c>
      <c r="J481">
        <v>-3.7281162650356671E-4</v>
      </c>
      <c r="M481">
        <v>14.040845327284968</v>
      </c>
      <c r="N481">
        <v>1.953125E-3</v>
      </c>
      <c r="O481">
        <f t="shared" si="7"/>
        <v>0.64453125</v>
      </c>
      <c r="Q481" s="90"/>
      <c r="R481" s="89"/>
      <c r="S481" s="89"/>
    </row>
    <row r="482" spans="1:19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2.8081690654569935</v>
      </c>
      <c r="H482">
        <v>1.3706718749999997E-3</v>
      </c>
      <c r="I482">
        <v>-0.91064181622770701</v>
      </c>
      <c r="J482">
        <v>-1.2481911257022364E-3</v>
      </c>
      <c r="M482">
        <v>14.040845327284968</v>
      </c>
      <c r="N482">
        <v>3.90625E-3</v>
      </c>
      <c r="O482">
        <f t="shared" si="7"/>
        <v>0.6484375</v>
      </c>
      <c r="Q482" s="90"/>
      <c r="R482" s="89"/>
      <c r="S482" s="89"/>
    </row>
    <row r="483" spans="1:19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14.040845327284968</v>
      </c>
      <c r="H483">
        <v>2.8936406249999991E-3</v>
      </c>
      <c r="I483">
        <v>-0.62623587759980681</v>
      </c>
      <c r="J483">
        <v>-1.812101576255328E-3</v>
      </c>
      <c r="M483">
        <v>14.040845327284968</v>
      </c>
      <c r="N483">
        <v>7.8125E-3</v>
      </c>
      <c r="O483">
        <f t="shared" si="7"/>
        <v>0.65625</v>
      </c>
      <c r="Q483" s="90"/>
      <c r="R483" s="89"/>
      <c r="S483" s="89"/>
    </row>
    <row r="484" spans="1:19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22.465352523655948</v>
      </c>
      <c r="H484">
        <v>1.8275624999999993E-3</v>
      </c>
      <c r="I484">
        <v>-0.47291241152288888</v>
      </c>
      <c r="J484">
        <v>-8.6427698908379932E-4</v>
      </c>
      <c r="M484">
        <v>14.040845327284968</v>
      </c>
      <c r="N484">
        <v>3.90625E-3</v>
      </c>
      <c r="O484">
        <f t="shared" si="7"/>
        <v>0.66015625</v>
      </c>
      <c r="Q484" s="90"/>
      <c r="R484" s="89"/>
      <c r="S484" s="89"/>
    </row>
    <row r="485" spans="1:19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8.6568749999999992E-4</v>
      </c>
      <c r="I485">
        <v>-1</v>
      </c>
      <c r="J485">
        <v>-8.6568749999999992E-4</v>
      </c>
      <c r="M485">
        <v>14.040845327284968</v>
      </c>
      <c r="N485">
        <v>1.953125E-3</v>
      </c>
      <c r="O485">
        <f t="shared" si="7"/>
        <v>0.662109375</v>
      </c>
      <c r="Q485" s="90"/>
      <c r="R485" s="89"/>
      <c r="S485" s="89"/>
    </row>
    <row r="486" spans="1:19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11.232676261827974</v>
      </c>
      <c r="H486">
        <v>1.8275624999999995E-3</v>
      </c>
      <c r="I486">
        <v>-0.6876862740544476</v>
      </c>
      <c r="J486">
        <v>-1.2567896462266311E-3</v>
      </c>
      <c r="M486">
        <v>14.040845327284968</v>
      </c>
      <c r="N486">
        <v>3.90625E-3</v>
      </c>
      <c r="O486">
        <f t="shared" si="7"/>
        <v>0.666015625</v>
      </c>
      <c r="Q486" s="90"/>
      <c r="R486" s="89"/>
      <c r="S486" s="89"/>
    </row>
    <row r="487" spans="1:19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19.657183458198954</v>
      </c>
      <c r="H487">
        <v>1.1542499999999997E-3</v>
      </c>
      <c r="I487">
        <v>-0.51931769779901749</v>
      </c>
      <c r="J487">
        <v>-5.994224526845158E-4</v>
      </c>
      <c r="M487">
        <v>14.040845327284968</v>
      </c>
      <c r="N487">
        <v>1.953125E-3</v>
      </c>
      <c r="O487">
        <f t="shared" si="7"/>
        <v>0.66796875</v>
      </c>
      <c r="Q487" s="90"/>
      <c r="R487" s="89"/>
      <c r="S487" s="89"/>
    </row>
    <row r="488" spans="1:19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5.616338130913987</v>
      </c>
      <c r="H488">
        <v>1.7299511718750003E-4</v>
      </c>
      <c r="I488">
        <v>-0.82926851746249697</v>
      </c>
      <c r="J488">
        <v>-1.4345940435832907E-4</v>
      </c>
      <c r="M488">
        <v>14.040845327284968</v>
      </c>
      <c r="N488">
        <v>9.765625E-4</v>
      </c>
      <c r="O488">
        <f t="shared" si="7"/>
        <v>0.6689453125</v>
      </c>
      <c r="Q488" s="90"/>
      <c r="R488" s="89"/>
      <c r="S488" s="89"/>
    </row>
    <row r="489" spans="1:19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16.849014392741964</v>
      </c>
      <c r="H489">
        <v>3.6521191406250006E-4</v>
      </c>
      <c r="I489">
        <v>-0.57027657696444012</v>
      </c>
      <c r="J489">
        <v>-2.0827180021819382E-4</v>
      </c>
      <c r="M489">
        <v>14.040845327284968</v>
      </c>
      <c r="N489">
        <v>1.953125E-3</v>
      </c>
      <c r="O489">
        <f t="shared" si="7"/>
        <v>0.6708984375</v>
      </c>
      <c r="Q489" s="90"/>
      <c r="R489" s="89"/>
      <c r="S489" s="89"/>
    </row>
    <row r="490" spans="1:19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25.273521589112942</v>
      </c>
      <c r="H490">
        <v>2.3066015625000002E-4</v>
      </c>
      <c r="I490">
        <v>-0.4306538173458283</v>
      </c>
      <c r="J490">
        <v>-9.9334676798647719E-5</v>
      </c>
      <c r="M490">
        <v>14.040845327284968</v>
      </c>
      <c r="N490">
        <v>9.765625E-4</v>
      </c>
      <c r="O490">
        <f t="shared" si="7"/>
        <v>0.671875</v>
      </c>
      <c r="Q490" s="90"/>
      <c r="R490" s="89"/>
      <c r="S490" s="89"/>
    </row>
    <row r="491" spans="1:19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2.8081690654569935</v>
      </c>
      <c r="H491">
        <v>3.6521191406250006E-4</v>
      </c>
      <c r="I491">
        <v>-0.91064181622770701</v>
      </c>
      <c r="J491">
        <v>-3.3257724072987231E-4</v>
      </c>
      <c r="M491">
        <v>14.040845327284968</v>
      </c>
      <c r="N491">
        <v>1.953125E-3</v>
      </c>
      <c r="O491">
        <f t="shared" si="7"/>
        <v>0.673828125</v>
      </c>
      <c r="Q491" s="90"/>
      <c r="R491" s="89"/>
      <c r="S491" s="89"/>
    </row>
    <row r="492" spans="1:19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14.040845327284968</v>
      </c>
      <c r="H492">
        <v>7.7100292968750007E-4</v>
      </c>
      <c r="I492">
        <v>-0.62623587759980681</v>
      </c>
      <c r="J492">
        <v>-4.8282969630487373E-4</v>
      </c>
      <c r="M492">
        <v>14.040845327284968</v>
      </c>
      <c r="N492">
        <v>3.90625E-3</v>
      </c>
      <c r="O492">
        <f t="shared" si="7"/>
        <v>0.677734375</v>
      </c>
      <c r="Q492" s="90"/>
      <c r="R492" s="89"/>
      <c r="S492" s="89"/>
    </row>
    <row r="493" spans="1:19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22.465352523655948</v>
      </c>
      <c r="H493">
        <v>4.8694921875000008E-4</v>
      </c>
      <c r="I493">
        <v>-0.47291241152288888</v>
      </c>
      <c r="J493">
        <v>-2.3028432932824927E-4</v>
      </c>
      <c r="M493">
        <v>14.040845327284968</v>
      </c>
      <c r="N493">
        <v>1.953125E-3</v>
      </c>
      <c r="O493">
        <f t="shared" si="7"/>
        <v>0.6796875</v>
      </c>
      <c r="Q493" s="90"/>
      <c r="R493" s="89"/>
      <c r="S493" s="89"/>
    </row>
    <row r="494" spans="1:19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2.3066015625000002E-4</v>
      </c>
      <c r="I494">
        <v>-1</v>
      </c>
      <c r="J494">
        <v>-2.3066015625000002E-4</v>
      </c>
      <c r="M494">
        <v>14.040845327284968</v>
      </c>
      <c r="N494">
        <v>9.765625E-4</v>
      </c>
      <c r="O494">
        <f t="shared" si="7"/>
        <v>0.6806640625</v>
      </c>
      <c r="Q494" s="90"/>
      <c r="R494" s="89"/>
      <c r="S494" s="89"/>
    </row>
    <row r="495" spans="1:19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11.232676261827974</v>
      </c>
      <c r="H495">
        <v>4.8694921874999997E-4</v>
      </c>
      <c r="I495">
        <v>-0.6876862740544476</v>
      </c>
      <c r="J495">
        <v>-3.3486829389591161E-4</v>
      </c>
      <c r="M495">
        <v>14.040845327284968</v>
      </c>
      <c r="N495">
        <v>1.953125E-3</v>
      </c>
      <c r="O495">
        <f t="shared" si="7"/>
        <v>0.6826171875</v>
      </c>
      <c r="Q495" s="90"/>
      <c r="R495" s="89"/>
      <c r="S495" s="89"/>
    </row>
    <row r="496" spans="1:19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19.657183458198954</v>
      </c>
      <c r="H496">
        <v>3.0754687499999999E-4</v>
      </c>
      <c r="I496">
        <v>-0.51931769779901749</v>
      </c>
      <c r="J496">
        <v>-1.5971453509028221E-4</v>
      </c>
      <c r="M496">
        <v>14.040845327284968</v>
      </c>
      <c r="N496">
        <v>9.765625E-4</v>
      </c>
      <c r="O496">
        <f t="shared" si="7"/>
        <v>0.68359375</v>
      </c>
      <c r="Q496" s="90"/>
      <c r="R496" s="89"/>
      <c r="S496" s="89"/>
    </row>
    <row r="497" spans="1:19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5.616338130913987</v>
      </c>
      <c r="H497">
        <v>3.652119140625E-4</v>
      </c>
      <c r="I497">
        <v>-0.82926851746249697</v>
      </c>
      <c r="J497">
        <v>-3.0285874253425021E-4</v>
      </c>
      <c r="M497">
        <v>14.040845327284968</v>
      </c>
      <c r="N497">
        <v>1.953125E-3</v>
      </c>
      <c r="O497">
        <f t="shared" si="7"/>
        <v>0.685546875</v>
      </c>
      <c r="Q497" s="90"/>
      <c r="R497" s="89"/>
      <c r="S497" s="89"/>
    </row>
    <row r="498" spans="1:19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16.849014392741964</v>
      </c>
      <c r="H498">
        <v>7.7100292968749996E-4</v>
      </c>
      <c r="I498">
        <v>-0.57027657696444012</v>
      </c>
      <c r="J498">
        <v>-4.3968491157174238E-4</v>
      </c>
      <c r="M498">
        <v>14.040845327284968</v>
      </c>
      <c r="N498">
        <v>3.90625E-3</v>
      </c>
      <c r="O498">
        <f t="shared" si="7"/>
        <v>0.689453125</v>
      </c>
      <c r="Q498" s="90"/>
      <c r="R498" s="89"/>
      <c r="S498" s="89"/>
    </row>
    <row r="499" spans="1:19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25.273521589112942</v>
      </c>
      <c r="H499">
        <v>4.8694921874999997E-4</v>
      </c>
      <c r="I499">
        <v>-0.4306538173458283</v>
      </c>
      <c r="J499">
        <v>-2.0970653990825627E-4</v>
      </c>
      <c r="M499">
        <v>14.040845327284968</v>
      </c>
      <c r="N499">
        <v>1.953125E-3</v>
      </c>
      <c r="O499">
        <f t="shared" si="7"/>
        <v>0.69140625</v>
      </c>
      <c r="Q499" s="90"/>
      <c r="R499" s="89"/>
      <c r="S499" s="89"/>
    </row>
    <row r="500" spans="1:19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2.8081690654569935</v>
      </c>
      <c r="H500">
        <v>7.7100292968749996E-4</v>
      </c>
      <c r="I500">
        <v>-0.91064181622770701</v>
      </c>
      <c r="J500">
        <v>-7.0210750820750808E-4</v>
      </c>
      <c r="M500">
        <v>14.040845327284968</v>
      </c>
      <c r="N500">
        <v>3.90625E-3</v>
      </c>
      <c r="O500">
        <f t="shared" si="7"/>
        <v>0.6953125</v>
      </c>
      <c r="Q500" s="90"/>
      <c r="R500" s="89"/>
      <c r="S500" s="89"/>
    </row>
    <row r="501" spans="1:19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14.040845327284968</v>
      </c>
      <c r="H501">
        <v>1.6276728515624999E-3</v>
      </c>
      <c r="I501">
        <v>-0.62623587759980681</v>
      </c>
      <c r="J501">
        <v>-1.0193071366436223E-3</v>
      </c>
      <c r="M501">
        <v>14.040845327284968</v>
      </c>
      <c r="N501">
        <v>7.8125E-3</v>
      </c>
      <c r="O501">
        <f t="shared" si="7"/>
        <v>0.703125</v>
      </c>
      <c r="Q501" s="90"/>
      <c r="R501" s="89"/>
      <c r="S501" s="89"/>
    </row>
    <row r="502" spans="1:19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22.465352523655948</v>
      </c>
      <c r="H502">
        <v>1.0280039062499999E-3</v>
      </c>
      <c r="I502">
        <v>-0.47291241152288888</v>
      </c>
      <c r="J502">
        <v>-4.8615580635963726E-4</v>
      </c>
      <c r="M502">
        <v>14.040845327284968</v>
      </c>
      <c r="N502">
        <v>3.90625E-3</v>
      </c>
      <c r="O502">
        <f t="shared" si="7"/>
        <v>0.70703125</v>
      </c>
      <c r="Q502" s="90"/>
      <c r="R502" s="89"/>
      <c r="S502" s="89"/>
    </row>
    <row r="503" spans="1:19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4.8694921874999997E-4</v>
      </c>
      <c r="I503">
        <v>-1</v>
      </c>
      <c r="J503">
        <v>-4.8694921874999997E-4</v>
      </c>
      <c r="M503">
        <v>14.040845327284968</v>
      </c>
      <c r="N503">
        <v>1.953125E-3</v>
      </c>
      <c r="O503">
        <f t="shared" si="7"/>
        <v>0.708984375</v>
      </c>
      <c r="Q503" s="90"/>
      <c r="R503" s="89"/>
      <c r="S503" s="89"/>
    </row>
    <row r="504" spans="1:19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11.232676261827974</v>
      </c>
      <c r="H504">
        <v>1.0280039062499999E-3</v>
      </c>
      <c r="I504">
        <v>-0.6876862740544476</v>
      </c>
      <c r="J504">
        <v>-7.069441760024801E-4</v>
      </c>
      <c r="M504">
        <v>14.040845327284968</v>
      </c>
      <c r="N504">
        <v>3.90625E-3</v>
      </c>
      <c r="O504">
        <f t="shared" si="7"/>
        <v>0.712890625</v>
      </c>
      <c r="Q504" s="90"/>
      <c r="R504" s="89"/>
      <c r="S504" s="89"/>
    </row>
    <row r="505" spans="1:19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19.657183458198954</v>
      </c>
      <c r="H505">
        <v>6.4926562499999999E-4</v>
      </c>
      <c r="I505">
        <v>-0.51931769779901749</v>
      </c>
      <c r="J505">
        <v>-3.3717512963504022E-4</v>
      </c>
      <c r="M505">
        <v>14.040845327284968</v>
      </c>
      <c r="N505">
        <v>1.953125E-3</v>
      </c>
      <c r="O505">
        <f t="shared" si="7"/>
        <v>0.71484375</v>
      </c>
      <c r="Q505" s="90"/>
      <c r="R505" s="89"/>
      <c r="S505" s="89"/>
    </row>
    <row r="506" spans="1:19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5.616338130913987</v>
      </c>
      <c r="H506">
        <v>2.3066015625000002E-4</v>
      </c>
      <c r="I506">
        <v>-0.82926851746249697</v>
      </c>
      <c r="J506">
        <v>-1.9127920581110542E-4</v>
      </c>
      <c r="M506">
        <v>14.040845327284968</v>
      </c>
      <c r="N506">
        <v>9.765625E-4</v>
      </c>
      <c r="O506">
        <f t="shared" si="7"/>
        <v>0.7158203125</v>
      </c>
      <c r="Q506" s="90"/>
      <c r="R506" s="89"/>
      <c r="S506" s="89"/>
    </row>
    <row r="507" spans="1:19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16.849014392741964</v>
      </c>
      <c r="H507">
        <v>4.8694921874999997E-4</v>
      </c>
      <c r="I507">
        <v>-0.57027657696444012</v>
      </c>
      <c r="J507">
        <v>-2.7769573362425835E-4</v>
      </c>
      <c r="M507">
        <v>14.040845327284968</v>
      </c>
      <c r="N507">
        <v>1.953125E-3</v>
      </c>
      <c r="O507">
        <f t="shared" si="7"/>
        <v>0.7177734375</v>
      </c>
      <c r="Q507" s="90"/>
      <c r="R507" s="89"/>
      <c r="S507" s="89"/>
    </row>
    <row r="508" spans="1:19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25.273521589112942</v>
      </c>
      <c r="H508">
        <v>3.0754687499999999E-4</v>
      </c>
      <c r="I508">
        <v>-0.4306538173458283</v>
      </c>
      <c r="J508">
        <v>-1.3244623573153028E-4</v>
      </c>
      <c r="M508">
        <v>14.040845327284968</v>
      </c>
      <c r="N508">
        <v>9.765625E-4</v>
      </c>
      <c r="O508">
        <f t="shared" si="7"/>
        <v>0.71875</v>
      </c>
      <c r="Q508" s="90"/>
      <c r="R508" s="89"/>
      <c r="S508" s="89"/>
    </row>
    <row r="509" spans="1:19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2.8081690654569935</v>
      </c>
      <c r="H509">
        <v>4.8694921874999997E-4</v>
      </c>
      <c r="I509">
        <v>-0.91064181622770701</v>
      </c>
      <c r="J509">
        <v>-4.4343632097316299E-4</v>
      </c>
      <c r="M509">
        <v>14.040845327284968</v>
      </c>
      <c r="N509">
        <v>1.953125E-3</v>
      </c>
      <c r="O509">
        <f t="shared" si="7"/>
        <v>0.720703125</v>
      </c>
      <c r="Q509" s="90"/>
      <c r="R509" s="89"/>
      <c r="S509" s="89"/>
    </row>
    <row r="510" spans="1:19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14.040845327284968</v>
      </c>
      <c r="H510">
        <v>1.0280039062499999E-3</v>
      </c>
      <c r="I510">
        <v>-0.62623587759980681</v>
      </c>
      <c r="J510">
        <v>-6.4377292840649819E-4</v>
      </c>
      <c r="M510">
        <v>14.040845327284968</v>
      </c>
      <c r="N510">
        <v>3.90625E-3</v>
      </c>
      <c r="O510">
        <f t="shared" si="7"/>
        <v>0.724609375</v>
      </c>
      <c r="Q510" s="90"/>
      <c r="R510" s="89"/>
      <c r="S510" s="89"/>
    </row>
    <row r="511" spans="1:19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22.465352523655948</v>
      </c>
      <c r="H511">
        <v>6.4926562499999999E-4</v>
      </c>
      <c r="I511">
        <v>-0.47291241152288888</v>
      </c>
      <c r="J511">
        <v>-3.0704577243766563E-4</v>
      </c>
      <c r="M511">
        <v>14.040845327284968</v>
      </c>
      <c r="N511">
        <v>1.953125E-3</v>
      </c>
      <c r="O511">
        <f t="shared" si="7"/>
        <v>0.7265625</v>
      </c>
      <c r="Q511" s="90"/>
      <c r="R511" s="89"/>
      <c r="S511" s="89"/>
    </row>
    <row r="512" spans="1:19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3.0754687500000004E-4</v>
      </c>
      <c r="I512">
        <v>-1</v>
      </c>
      <c r="J512">
        <v>-3.0754687500000004E-4</v>
      </c>
      <c r="M512">
        <v>14.040845327284968</v>
      </c>
      <c r="N512">
        <v>9.765625E-4</v>
      </c>
      <c r="O512">
        <f t="shared" si="7"/>
        <v>0.7275390625</v>
      </c>
      <c r="Q512" s="90"/>
      <c r="R512" s="89"/>
      <c r="S512" s="89"/>
    </row>
    <row r="513" spans="1:19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11.232676261827974</v>
      </c>
      <c r="H513">
        <v>6.4926562499999999E-4</v>
      </c>
      <c r="I513">
        <v>-0.6876862740544476</v>
      </c>
      <c r="J513">
        <v>-4.4649105852788223E-4</v>
      </c>
      <c r="M513">
        <v>14.040845327284968</v>
      </c>
      <c r="N513">
        <v>1.953125E-3</v>
      </c>
      <c r="O513">
        <f t="shared" si="7"/>
        <v>0.7294921875</v>
      </c>
      <c r="Q513" s="90"/>
      <c r="R513" s="89"/>
      <c r="S513" s="89"/>
    </row>
    <row r="514" spans="1:19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19.657183458198954</v>
      </c>
      <c r="H514">
        <v>4.100625E-4</v>
      </c>
      <c r="I514">
        <v>-0.51931769779901749</v>
      </c>
      <c r="J514">
        <v>-2.1295271345370961E-4</v>
      </c>
      <c r="M514">
        <v>14.040845327284968</v>
      </c>
      <c r="N514">
        <v>9.765625E-4</v>
      </c>
      <c r="O514">
        <f t="shared" si="7"/>
        <v>0.73046875</v>
      </c>
      <c r="Q514" s="90"/>
      <c r="R514" s="89"/>
      <c r="S514" s="89"/>
    </row>
    <row r="515" spans="1:19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5.616338130913987</v>
      </c>
      <c r="H515">
        <v>3.652119140625E-4</v>
      </c>
      <c r="I515">
        <v>-0.82926851746249697</v>
      </c>
      <c r="J515">
        <v>-3.0285874253425021E-4</v>
      </c>
      <c r="M515">
        <v>14.545837008974342</v>
      </c>
      <c r="N515">
        <v>2.44140625E-4</v>
      </c>
      <c r="O515">
        <f t="shared" si="7"/>
        <v>0.730712890625</v>
      </c>
      <c r="Q515" s="90"/>
      <c r="R515" s="89"/>
      <c r="S515" s="89"/>
    </row>
    <row r="516" spans="1:19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16.849014392741964</v>
      </c>
      <c r="H516">
        <v>7.7100292968749996E-4</v>
      </c>
      <c r="I516">
        <v>-0.57027657696444012</v>
      </c>
      <c r="J516">
        <v>-4.3968491157174238E-4</v>
      </c>
      <c r="M516">
        <v>14.545837008974342</v>
      </c>
      <c r="N516">
        <v>4.8828125E-4</v>
      </c>
      <c r="O516">
        <f t="shared" ref="O516:O579" si="8">N516+O515</f>
        <v>0.731201171875</v>
      </c>
      <c r="Q516" s="90"/>
      <c r="R516" s="89"/>
      <c r="S516" s="89"/>
    </row>
    <row r="517" spans="1:19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25.273521589112942</v>
      </c>
      <c r="H517">
        <v>4.8694921874999997E-4</v>
      </c>
      <c r="I517">
        <v>-0.4306538173458283</v>
      </c>
      <c r="J517">
        <v>-2.0970653990825627E-4</v>
      </c>
      <c r="M517">
        <v>14.545837008974342</v>
      </c>
      <c r="N517">
        <v>2.44140625E-4</v>
      </c>
      <c r="O517">
        <f t="shared" si="8"/>
        <v>0.7314453125</v>
      </c>
      <c r="Q517" s="90"/>
      <c r="R517" s="89"/>
      <c r="S517" s="89"/>
    </row>
    <row r="518" spans="1:19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2.8081690654569935</v>
      </c>
      <c r="H518">
        <v>7.7100292968749996E-4</v>
      </c>
      <c r="I518">
        <v>-0.91064181622770701</v>
      </c>
      <c r="J518">
        <v>-7.0210750820750808E-4</v>
      </c>
      <c r="M518">
        <v>14.545837008974342</v>
      </c>
      <c r="N518">
        <v>4.8828125E-4</v>
      </c>
      <c r="O518">
        <f t="shared" si="8"/>
        <v>0.73193359375</v>
      </c>
      <c r="Q518" s="90"/>
      <c r="R518" s="89"/>
      <c r="S518" s="89"/>
    </row>
    <row r="519" spans="1:19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14.040845327284968</v>
      </c>
      <c r="H519">
        <v>1.6276728515624999E-3</v>
      </c>
      <c r="I519">
        <v>-0.62623587759980681</v>
      </c>
      <c r="J519">
        <v>-1.0193071366436223E-3</v>
      </c>
      <c r="M519">
        <v>14.545837008974342</v>
      </c>
      <c r="N519">
        <v>9.765625E-4</v>
      </c>
      <c r="O519">
        <f t="shared" si="8"/>
        <v>0.73291015625</v>
      </c>
      <c r="Q519" s="90"/>
      <c r="R519" s="89"/>
      <c r="S519" s="89"/>
    </row>
    <row r="520" spans="1:19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22.465352523655948</v>
      </c>
      <c r="H520">
        <v>1.0280039062499999E-3</v>
      </c>
      <c r="I520">
        <v>-0.47291241152288888</v>
      </c>
      <c r="J520">
        <v>-4.8615580635963726E-4</v>
      </c>
      <c r="M520">
        <v>14.545837008974342</v>
      </c>
      <c r="N520">
        <v>4.8828125E-4</v>
      </c>
      <c r="O520">
        <f t="shared" si="8"/>
        <v>0.7333984375</v>
      </c>
      <c r="Q520" s="90"/>
      <c r="R520" s="89"/>
      <c r="S520" s="89"/>
    </row>
    <row r="521" spans="1:19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4.8694921874999997E-4</v>
      </c>
      <c r="I521">
        <v>-1</v>
      </c>
      <c r="J521">
        <v>-4.8694921874999997E-4</v>
      </c>
      <c r="M521">
        <v>14.545837008974342</v>
      </c>
      <c r="N521">
        <v>2.44140625E-4</v>
      </c>
      <c r="O521">
        <f t="shared" si="8"/>
        <v>0.733642578125</v>
      </c>
      <c r="Q521" s="90"/>
      <c r="R521" s="89"/>
      <c r="S521" s="89"/>
    </row>
    <row r="522" spans="1:19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11.232676261827974</v>
      </c>
      <c r="H522">
        <v>1.0280039062499999E-3</v>
      </c>
      <c r="I522">
        <v>-0.6876862740544476</v>
      </c>
      <c r="J522">
        <v>-7.069441760024801E-4</v>
      </c>
      <c r="M522">
        <v>14.545837008974342</v>
      </c>
      <c r="N522">
        <v>4.8828125E-4</v>
      </c>
      <c r="O522">
        <f t="shared" si="8"/>
        <v>0.734130859375</v>
      </c>
      <c r="Q522" s="90"/>
      <c r="R522" s="89"/>
      <c r="S522" s="89"/>
    </row>
    <row r="523" spans="1:19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19.657183458198954</v>
      </c>
      <c r="H523">
        <v>6.4926562499999999E-4</v>
      </c>
      <c r="I523">
        <v>-0.51931769779901749</v>
      </c>
      <c r="J523">
        <v>-3.3717512963504022E-4</v>
      </c>
      <c r="M523">
        <v>14.545837008974342</v>
      </c>
      <c r="N523">
        <v>2.44140625E-4</v>
      </c>
      <c r="O523">
        <f t="shared" si="8"/>
        <v>0.734375</v>
      </c>
      <c r="Q523" s="90"/>
      <c r="R523" s="89"/>
      <c r="S523" s="89"/>
    </row>
    <row r="524" spans="1:19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5.616338130913987</v>
      </c>
      <c r="H524">
        <v>7.7100292968750007E-4</v>
      </c>
      <c r="I524">
        <v>-0.82926851746249697</v>
      </c>
      <c r="J524">
        <v>-6.3936845646119498E-4</v>
      </c>
      <c r="M524">
        <v>16.285066808660886</v>
      </c>
      <c r="N524">
        <v>4.8828125E-4</v>
      </c>
      <c r="O524">
        <f t="shared" si="8"/>
        <v>0.73486328125</v>
      </c>
      <c r="Q524" s="90"/>
      <c r="R524" s="89"/>
      <c r="S524" s="89"/>
    </row>
    <row r="525" spans="1:19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16.849014392741964</v>
      </c>
      <c r="H525">
        <v>1.6276728515625001E-3</v>
      </c>
      <c r="I525">
        <v>-0.57027657696444012</v>
      </c>
      <c r="J525">
        <v>-9.2822370220701177E-4</v>
      </c>
      <c r="M525">
        <v>16.285066808660886</v>
      </c>
      <c r="N525">
        <v>9.765625E-4</v>
      </c>
      <c r="O525">
        <f t="shared" si="8"/>
        <v>0.73583984375</v>
      </c>
      <c r="Q525" s="90"/>
      <c r="R525" s="89"/>
      <c r="S525" s="89"/>
    </row>
    <row r="526" spans="1:19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25.273521589112942</v>
      </c>
      <c r="H526">
        <v>1.0280039062499999E-3</v>
      </c>
      <c r="I526">
        <v>-0.4306538173458283</v>
      </c>
      <c r="J526">
        <v>-4.4271380647298547E-4</v>
      </c>
      <c r="M526">
        <v>16.285066808660886</v>
      </c>
      <c r="N526">
        <v>4.8828125E-4</v>
      </c>
      <c r="O526">
        <f t="shared" si="8"/>
        <v>0.736328125</v>
      </c>
      <c r="Q526" s="90"/>
      <c r="R526" s="89"/>
      <c r="S526" s="89"/>
    </row>
    <row r="527" spans="1:19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2.8081690654569935</v>
      </c>
      <c r="H527">
        <v>1.6276728515624999E-3</v>
      </c>
      <c r="I527">
        <v>-0.91064181622770701</v>
      </c>
      <c r="J527">
        <v>-1.4822269617714059E-3</v>
      </c>
      <c r="M527">
        <v>16.285066808660886</v>
      </c>
      <c r="N527">
        <v>9.765625E-4</v>
      </c>
      <c r="O527">
        <f t="shared" si="8"/>
        <v>0.7373046875</v>
      </c>
      <c r="Q527" s="90"/>
      <c r="R527" s="89"/>
      <c r="S527" s="89"/>
    </row>
    <row r="528" spans="1:19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14.040845327284968</v>
      </c>
      <c r="H528">
        <v>3.4361982421874998E-3</v>
      </c>
      <c r="I528">
        <v>-0.62623587759980681</v>
      </c>
      <c r="J528">
        <v>-2.1518706218032024E-3</v>
      </c>
      <c r="M528">
        <v>16.285066808660886</v>
      </c>
      <c r="N528">
        <v>1.953125E-3</v>
      </c>
      <c r="O528">
        <f t="shared" si="8"/>
        <v>0.7392578125</v>
      </c>
      <c r="Q528" s="90"/>
      <c r="R528" s="89"/>
      <c r="S528" s="89"/>
    </row>
    <row r="529" spans="1:19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22.465352523655948</v>
      </c>
      <c r="H529">
        <v>2.1702304687499997E-3</v>
      </c>
      <c r="I529">
        <v>-0.47291241152288888</v>
      </c>
      <c r="J529">
        <v>-1.0263289245370118E-3</v>
      </c>
      <c r="M529">
        <v>16.285066808660886</v>
      </c>
      <c r="N529">
        <v>9.765625E-4</v>
      </c>
      <c r="O529">
        <f t="shared" si="8"/>
        <v>0.740234375</v>
      </c>
      <c r="Q529" s="90"/>
      <c r="R529" s="89"/>
      <c r="S529" s="89"/>
    </row>
    <row r="530" spans="1:19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1.0280039062499999E-3</v>
      </c>
      <c r="I530">
        <v>-1</v>
      </c>
      <c r="J530">
        <v>-1.0280039062499999E-3</v>
      </c>
      <c r="M530">
        <v>16.285066808660886</v>
      </c>
      <c r="N530">
        <v>4.8828125E-4</v>
      </c>
      <c r="O530">
        <f t="shared" si="8"/>
        <v>0.74072265625</v>
      </c>
      <c r="Q530" s="90"/>
      <c r="R530" s="89"/>
      <c r="S530" s="89"/>
    </row>
    <row r="531" spans="1:19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11.232676261827974</v>
      </c>
      <c r="H531">
        <v>2.1702304687499997E-3</v>
      </c>
      <c r="I531">
        <v>-0.6876862740544476</v>
      </c>
      <c r="J531">
        <v>-1.4924377048941245E-3</v>
      </c>
      <c r="M531">
        <v>16.285066808660886</v>
      </c>
      <c r="N531">
        <v>9.765625E-4</v>
      </c>
      <c r="O531">
        <f t="shared" si="8"/>
        <v>0.74169921875</v>
      </c>
      <c r="Q531" s="90"/>
      <c r="R531" s="89"/>
      <c r="S531" s="89"/>
    </row>
    <row r="532" spans="1:19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19.657183458198954</v>
      </c>
      <c r="H532">
        <v>1.3706718749999999E-3</v>
      </c>
      <c r="I532">
        <v>-0.51931769779901749</v>
      </c>
      <c r="J532">
        <v>-7.1181416256286265E-4</v>
      </c>
      <c r="M532">
        <v>16.285066808660886</v>
      </c>
      <c r="N532">
        <v>4.8828125E-4</v>
      </c>
      <c r="O532">
        <f t="shared" si="8"/>
        <v>0.7421875</v>
      </c>
      <c r="Q532" s="90"/>
      <c r="R532" s="89"/>
      <c r="S532" s="89"/>
    </row>
    <row r="533" spans="1:19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5.616338130913987</v>
      </c>
      <c r="H533">
        <v>4.8694921875000008E-4</v>
      </c>
      <c r="I533">
        <v>-0.82926851746249697</v>
      </c>
      <c r="J533">
        <v>-4.0381165671233367E-4</v>
      </c>
      <c r="M533">
        <v>16.849014392741964</v>
      </c>
      <c r="N533">
        <v>1.953125E-3</v>
      </c>
      <c r="O533">
        <f t="shared" si="8"/>
        <v>0.744140625</v>
      </c>
      <c r="Q533" s="90"/>
      <c r="R533" s="89"/>
      <c r="S533" s="89"/>
    </row>
    <row r="534" spans="1:19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16.849014392741964</v>
      </c>
      <c r="H534">
        <v>1.0280039062500002E-3</v>
      </c>
      <c r="I534">
        <v>-0.57027657696444012</v>
      </c>
      <c r="J534">
        <v>-5.8624654876232335E-4</v>
      </c>
      <c r="M534">
        <v>16.849014392741964</v>
      </c>
      <c r="N534">
        <v>3.90625E-3</v>
      </c>
      <c r="O534">
        <f t="shared" si="8"/>
        <v>0.748046875</v>
      </c>
      <c r="Q534" s="90"/>
      <c r="R534" s="89"/>
      <c r="S534" s="89"/>
    </row>
    <row r="535" spans="1:19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25.273521589112942</v>
      </c>
      <c r="H535">
        <v>6.492656250000001E-4</v>
      </c>
      <c r="I535">
        <v>-0.4306538173458283</v>
      </c>
      <c r="J535">
        <v>-2.7960871987767509E-4</v>
      </c>
      <c r="M535">
        <v>16.849014392741964</v>
      </c>
      <c r="N535">
        <v>1.953125E-3</v>
      </c>
      <c r="O535">
        <f t="shared" si="8"/>
        <v>0.75</v>
      </c>
      <c r="Q535" s="90"/>
      <c r="R535" s="89"/>
      <c r="S535" s="89"/>
    </row>
    <row r="536" spans="1:19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2.8081690654569935</v>
      </c>
      <c r="H536">
        <v>1.0280039062499999E-3</v>
      </c>
      <c r="I536">
        <v>-0.91064181622770701</v>
      </c>
      <c r="J536">
        <v>-9.3614334427667744E-4</v>
      </c>
      <c r="M536">
        <v>16.849014392741964</v>
      </c>
      <c r="N536">
        <v>3.90625E-3</v>
      </c>
      <c r="O536">
        <f t="shared" si="8"/>
        <v>0.75390625</v>
      </c>
      <c r="Q536" s="90"/>
      <c r="R536" s="89"/>
      <c r="S536" s="89"/>
    </row>
    <row r="537" spans="1:19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14.040845327284968</v>
      </c>
      <c r="H537">
        <v>2.1702304687499997E-3</v>
      </c>
      <c r="I537">
        <v>-0.62623587759980681</v>
      </c>
      <c r="J537">
        <v>-1.3590761821914961E-3</v>
      </c>
      <c r="M537">
        <v>16.849014392741964</v>
      </c>
      <c r="N537">
        <v>7.8125E-3</v>
      </c>
      <c r="O537">
        <f t="shared" si="8"/>
        <v>0.76171875</v>
      </c>
      <c r="Q537" s="90"/>
      <c r="R537" s="89"/>
      <c r="S537" s="89"/>
    </row>
    <row r="538" spans="1:19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22.465352523655948</v>
      </c>
      <c r="H538">
        <v>1.3706718749999999E-3</v>
      </c>
      <c r="I538">
        <v>-0.47291241152288888</v>
      </c>
      <c r="J538">
        <v>-6.4820774181284968E-4</v>
      </c>
      <c r="M538">
        <v>16.849014392741964</v>
      </c>
      <c r="N538">
        <v>3.90625E-3</v>
      </c>
      <c r="O538">
        <f t="shared" si="8"/>
        <v>0.765625</v>
      </c>
      <c r="Q538" s="90"/>
      <c r="R538" s="89"/>
      <c r="S538" s="89"/>
    </row>
    <row r="539" spans="1:19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6.492656250000001E-4</v>
      </c>
      <c r="I539">
        <v>-1</v>
      </c>
      <c r="J539">
        <v>-6.492656250000001E-4</v>
      </c>
      <c r="M539">
        <v>16.849014392741964</v>
      </c>
      <c r="N539">
        <v>1.953125E-3</v>
      </c>
      <c r="O539">
        <f t="shared" si="8"/>
        <v>0.767578125</v>
      </c>
      <c r="Q539" s="90"/>
      <c r="R539" s="89"/>
      <c r="S539" s="89"/>
    </row>
    <row r="540" spans="1:19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11.232676261827974</v>
      </c>
      <c r="H540">
        <v>1.3706718749999999E-3</v>
      </c>
      <c r="I540">
        <v>-0.6876862740544476</v>
      </c>
      <c r="J540">
        <v>-9.4259223466997347E-4</v>
      </c>
      <c r="M540">
        <v>16.849014392741964</v>
      </c>
      <c r="N540">
        <v>3.90625E-3</v>
      </c>
      <c r="O540">
        <f t="shared" si="8"/>
        <v>0.771484375</v>
      </c>
      <c r="Q540" s="90"/>
      <c r="R540" s="89"/>
      <c r="S540" s="89"/>
    </row>
    <row r="541" spans="1:19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19.657183458198954</v>
      </c>
      <c r="H541">
        <v>8.6568750000000003E-4</v>
      </c>
      <c r="I541">
        <v>-0.51931769779901749</v>
      </c>
      <c r="J541">
        <v>-4.4956683951338696E-4</v>
      </c>
      <c r="M541">
        <v>16.849014392741964</v>
      </c>
      <c r="N541">
        <v>1.953125E-3</v>
      </c>
      <c r="O541">
        <f t="shared" si="8"/>
        <v>0.7734375</v>
      </c>
      <c r="Q541" s="90"/>
      <c r="R541" s="89"/>
      <c r="S541" s="89"/>
    </row>
    <row r="542" spans="1:19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5.616338130913987</v>
      </c>
      <c r="H542">
        <v>2.3066015625000002E-4</v>
      </c>
      <c r="I542">
        <v>-0.82926851746249697</v>
      </c>
      <c r="J542">
        <v>-1.9127920581110542E-4</v>
      </c>
      <c r="M542">
        <v>16.849014392741964</v>
      </c>
      <c r="N542">
        <v>9.765625E-4</v>
      </c>
      <c r="O542">
        <f t="shared" si="8"/>
        <v>0.7744140625</v>
      </c>
      <c r="Q542" s="90"/>
      <c r="R542" s="89"/>
      <c r="S542" s="89"/>
    </row>
    <row r="543" spans="1:19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16.849014392741964</v>
      </c>
      <c r="H543">
        <v>4.8694921874999997E-4</v>
      </c>
      <c r="I543">
        <v>-0.57027657696444012</v>
      </c>
      <c r="J543">
        <v>-2.7769573362425835E-4</v>
      </c>
      <c r="M543">
        <v>16.849014392741964</v>
      </c>
      <c r="N543">
        <v>1.953125E-3</v>
      </c>
      <c r="O543">
        <f t="shared" si="8"/>
        <v>0.7763671875</v>
      </c>
      <c r="Q543" s="90"/>
      <c r="R543" s="89"/>
      <c r="S543" s="89"/>
    </row>
    <row r="544" spans="1:19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25.273521589112942</v>
      </c>
      <c r="H544">
        <v>3.0754687499999999E-4</v>
      </c>
      <c r="I544">
        <v>-0.4306538173458283</v>
      </c>
      <c r="J544">
        <v>-1.3244623573153028E-4</v>
      </c>
      <c r="M544">
        <v>16.849014392741964</v>
      </c>
      <c r="N544">
        <v>9.765625E-4</v>
      </c>
      <c r="O544">
        <f t="shared" si="8"/>
        <v>0.77734375</v>
      </c>
      <c r="Q544" s="90"/>
      <c r="R544" s="89"/>
      <c r="S544" s="89"/>
    </row>
    <row r="545" spans="1:19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2.8081690654569935</v>
      </c>
      <c r="H545">
        <v>4.8694921874999997E-4</v>
      </c>
      <c r="I545">
        <v>-0.91064181622770701</v>
      </c>
      <c r="J545">
        <v>-4.4343632097316299E-4</v>
      </c>
      <c r="M545">
        <v>16.849014392741964</v>
      </c>
      <c r="N545">
        <v>1.953125E-3</v>
      </c>
      <c r="O545">
        <f t="shared" si="8"/>
        <v>0.779296875</v>
      </c>
      <c r="Q545" s="90"/>
      <c r="R545" s="89"/>
      <c r="S545" s="89"/>
    </row>
    <row r="546" spans="1:19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14.040845327284968</v>
      </c>
      <c r="H546">
        <v>1.0280039062499999E-3</v>
      </c>
      <c r="I546">
        <v>-0.62623587759980681</v>
      </c>
      <c r="J546">
        <v>-6.4377292840649819E-4</v>
      </c>
      <c r="M546">
        <v>16.849014392741964</v>
      </c>
      <c r="N546">
        <v>3.90625E-3</v>
      </c>
      <c r="O546">
        <f t="shared" si="8"/>
        <v>0.783203125</v>
      </c>
      <c r="Q546" s="90"/>
      <c r="R546" s="89"/>
      <c r="S546" s="89"/>
    </row>
    <row r="547" spans="1:19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22.465352523655948</v>
      </c>
      <c r="H547">
        <v>6.4926562499999999E-4</v>
      </c>
      <c r="I547">
        <v>-0.47291241152288888</v>
      </c>
      <c r="J547">
        <v>-3.0704577243766563E-4</v>
      </c>
      <c r="M547">
        <v>16.849014392741964</v>
      </c>
      <c r="N547">
        <v>1.953125E-3</v>
      </c>
      <c r="O547">
        <f t="shared" si="8"/>
        <v>0.78515625</v>
      </c>
      <c r="Q547" s="90"/>
      <c r="R547" s="89"/>
      <c r="S547" s="89"/>
    </row>
    <row r="548" spans="1:19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3.0754687500000004E-4</v>
      </c>
      <c r="I548">
        <v>-1</v>
      </c>
      <c r="J548">
        <v>-3.0754687500000004E-4</v>
      </c>
      <c r="M548">
        <v>16.849014392741964</v>
      </c>
      <c r="N548">
        <v>9.765625E-4</v>
      </c>
      <c r="O548">
        <f t="shared" si="8"/>
        <v>0.7861328125</v>
      </c>
      <c r="Q548" s="90"/>
      <c r="R548" s="89"/>
      <c r="S548" s="89"/>
    </row>
    <row r="549" spans="1:19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11.232676261827974</v>
      </c>
      <c r="H549">
        <v>6.4926562499999999E-4</v>
      </c>
      <c r="I549">
        <v>-0.6876862740544476</v>
      </c>
      <c r="J549">
        <v>-4.4649105852788223E-4</v>
      </c>
      <c r="M549">
        <v>16.849014392741964</v>
      </c>
      <c r="N549">
        <v>1.953125E-3</v>
      </c>
      <c r="O549">
        <f t="shared" si="8"/>
        <v>0.7880859375</v>
      </c>
      <c r="Q549" s="90"/>
      <c r="R549" s="89"/>
      <c r="S549" s="89"/>
    </row>
    <row r="550" spans="1:19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19.657183458198954</v>
      </c>
      <c r="H550">
        <v>4.100625E-4</v>
      </c>
      <c r="I550">
        <v>-0.51931769779901749</v>
      </c>
      <c r="J550">
        <v>-2.1295271345370961E-4</v>
      </c>
      <c r="M550">
        <v>16.849014392741964</v>
      </c>
      <c r="N550">
        <v>9.765625E-4</v>
      </c>
      <c r="O550">
        <f t="shared" si="8"/>
        <v>0.7890625</v>
      </c>
      <c r="Q550" s="90"/>
      <c r="R550" s="89"/>
      <c r="S550" s="89"/>
    </row>
    <row r="551" spans="1:19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5.616338130913987</v>
      </c>
      <c r="H551">
        <v>4.8694921875000008E-4</v>
      </c>
      <c r="I551">
        <v>-0.82926851746249697</v>
      </c>
      <c r="J551">
        <v>-4.0381165671233367E-4</v>
      </c>
      <c r="M551">
        <v>16.849014392741964</v>
      </c>
      <c r="N551">
        <v>4.8828125E-4</v>
      </c>
      <c r="O551">
        <f t="shared" si="8"/>
        <v>0.78955078125</v>
      </c>
      <c r="Q551" s="90"/>
      <c r="R551" s="89"/>
      <c r="S551" s="89"/>
    </row>
    <row r="552" spans="1:19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16.849014392741964</v>
      </c>
      <c r="H552">
        <v>1.0280039062500002E-3</v>
      </c>
      <c r="I552">
        <v>-0.57027657696444012</v>
      </c>
      <c r="J552">
        <v>-5.8624654876232335E-4</v>
      </c>
      <c r="M552">
        <v>16.849014392741964</v>
      </c>
      <c r="N552">
        <v>9.765625E-4</v>
      </c>
      <c r="O552">
        <f t="shared" si="8"/>
        <v>0.79052734375</v>
      </c>
      <c r="Q552" s="90"/>
      <c r="R552" s="89"/>
      <c r="S552" s="89"/>
    </row>
    <row r="553" spans="1:19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25.273521589112942</v>
      </c>
      <c r="H553">
        <v>6.492656250000001E-4</v>
      </c>
      <c r="I553">
        <v>-0.4306538173458283</v>
      </c>
      <c r="J553">
        <v>-2.7960871987767509E-4</v>
      </c>
      <c r="M553">
        <v>16.849014392741964</v>
      </c>
      <c r="N553">
        <v>4.8828125E-4</v>
      </c>
      <c r="O553">
        <f t="shared" si="8"/>
        <v>0.791015625</v>
      </c>
      <c r="Q553" s="90"/>
      <c r="R553" s="89"/>
      <c r="S553" s="89"/>
    </row>
    <row r="554" spans="1:19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2.8081690654569935</v>
      </c>
      <c r="H554">
        <v>1.0280039062499999E-3</v>
      </c>
      <c r="I554">
        <v>-0.91064181622770701</v>
      </c>
      <c r="J554">
        <v>-9.3614334427667744E-4</v>
      </c>
      <c r="M554">
        <v>16.849014392741964</v>
      </c>
      <c r="N554">
        <v>9.765625E-4</v>
      </c>
      <c r="O554">
        <f t="shared" si="8"/>
        <v>0.7919921875</v>
      </c>
      <c r="Q554" s="90"/>
      <c r="R554" s="89"/>
      <c r="S554" s="89"/>
    </row>
    <row r="555" spans="1:19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14.040845327284968</v>
      </c>
      <c r="H555">
        <v>2.1702304687499997E-3</v>
      </c>
      <c r="I555">
        <v>-0.62623587759980681</v>
      </c>
      <c r="J555">
        <v>-1.3590761821914961E-3</v>
      </c>
      <c r="M555">
        <v>16.849014392741964</v>
      </c>
      <c r="N555">
        <v>1.953125E-3</v>
      </c>
      <c r="O555">
        <f t="shared" si="8"/>
        <v>0.7939453125</v>
      </c>
      <c r="Q555" s="90"/>
      <c r="R555" s="89"/>
      <c r="S555" s="89"/>
    </row>
    <row r="556" spans="1:19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22.465352523655948</v>
      </c>
      <c r="H556">
        <v>1.3706718749999999E-3</v>
      </c>
      <c r="I556">
        <v>-0.47291241152288888</v>
      </c>
      <c r="J556">
        <v>-6.4820774181284968E-4</v>
      </c>
      <c r="M556">
        <v>16.849014392741964</v>
      </c>
      <c r="N556">
        <v>9.765625E-4</v>
      </c>
      <c r="O556">
        <f t="shared" si="8"/>
        <v>0.794921875</v>
      </c>
      <c r="Q556" s="90"/>
      <c r="R556" s="89"/>
      <c r="S556" s="89"/>
    </row>
    <row r="557" spans="1:19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6.492656250000001E-4</v>
      </c>
      <c r="I557">
        <v>-1</v>
      </c>
      <c r="J557">
        <v>-6.492656250000001E-4</v>
      </c>
      <c r="M557">
        <v>16.849014392741964</v>
      </c>
      <c r="N557">
        <v>4.8828125E-4</v>
      </c>
      <c r="O557">
        <f t="shared" si="8"/>
        <v>0.79541015625</v>
      </c>
      <c r="Q557" s="90"/>
      <c r="R557" s="89"/>
      <c r="S557" s="89"/>
    </row>
    <row r="558" spans="1:19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11.232676261827974</v>
      </c>
      <c r="H558">
        <v>1.3706718749999999E-3</v>
      </c>
      <c r="I558">
        <v>-0.6876862740544476</v>
      </c>
      <c r="J558">
        <v>-9.4259223466997347E-4</v>
      </c>
      <c r="M558">
        <v>16.849014392741964</v>
      </c>
      <c r="N558">
        <v>9.765625E-4</v>
      </c>
      <c r="O558">
        <f t="shared" si="8"/>
        <v>0.79638671875</v>
      </c>
      <c r="Q558" s="90"/>
      <c r="R558" s="89"/>
      <c r="S558" s="89"/>
    </row>
    <row r="559" spans="1:19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19.657183458198954</v>
      </c>
      <c r="H559">
        <v>8.6568750000000003E-4</v>
      </c>
      <c r="I559">
        <v>-0.51931769779901749</v>
      </c>
      <c r="J559">
        <v>-4.4956683951338696E-4</v>
      </c>
      <c r="M559">
        <v>16.849014392741964</v>
      </c>
      <c r="N559">
        <v>4.8828125E-4</v>
      </c>
      <c r="O559">
        <f t="shared" si="8"/>
        <v>0.796875</v>
      </c>
      <c r="Q559" s="90"/>
      <c r="R559" s="89"/>
      <c r="S559" s="89"/>
    </row>
    <row r="560" spans="1:19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5.616338130913987</v>
      </c>
      <c r="H560">
        <v>3.0754687500000004E-4</v>
      </c>
      <c r="I560">
        <v>-0.82926851746249697</v>
      </c>
      <c r="J560">
        <v>-2.5503894108147389E-4</v>
      </c>
      <c r="M560">
        <v>16.849014392741964</v>
      </c>
      <c r="N560">
        <v>9.765625E-4</v>
      </c>
      <c r="O560">
        <f t="shared" si="8"/>
        <v>0.7978515625</v>
      </c>
      <c r="Q560" s="90"/>
      <c r="R560" s="89"/>
      <c r="S560" s="89"/>
    </row>
    <row r="561" spans="1:19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16.849014392741964</v>
      </c>
      <c r="H561">
        <v>6.4926562499999999E-4</v>
      </c>
      <c r="I561">
        <v>-0.57027657696444012</v>
      </c>
      <c r="J561">
        <v>-3.7026097816567782E-4</v>
      </c>
      <c r="M561">
        <v>16.849014392741964</v>
      </c>
      <c r="N561">
        <v>1.953125E-3</v>
      </c>
      <c r="O561">
        <f t="shared" si="8"/>
        <v>0.7998046875</v>
      </c>
      <c r="Q561" s="90"/>
      <c r="R561" s="89"/>
      <c r="S561" s="89"/>
    </row>
    <row r="562" spans="1:19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25.273521589112942</v>
      </c>
      <c r="H562">
        <v>4.100625E-4</v>
      </c>
      <c r="I562">
        <v>-0.4306538173458283</v>
      </c>
      <c r="J562">
        <v>-1.7659498097537371E-4</v>
      </c>
      <c r="M562">
        <v>16.849014392741964</v>
      </c>
      <c r="N562">
        <v>9.765625E-4</v>
      </c>
      <c r="O562">
        <f t="shared" si="8"/>
        <v>0.80078125</v>
      </c>
      <c r="Q562" s="90"/>
      <c r="R562" s="89"/>
      <c r="S562" s="89"/>
    </row>
    <row r="563" spans="1:19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2.8081690654569935</v>
      </c>
      <c r="H563">
        <v>6.4926562499999999E-4</v>
      </c>
      <c r="I563">
        <v>-0.91064181622770701</v>
      </c>
      <c r="J563">
        <v>-5.9124842796421729E-4</v>
      </c>
      <c r="M563">
        <v>16.849014392741964</v>
      </c>
      <c r="N563">
        <v>1.953125E-3</v>
      </c>
      <c r="O563">
        <f t="shared" si="8"/>
        <v>0.802734375</v>
      </c>
      <c r="Q563" s="90"/>
      <c r="R563" s="89"/>
      <c r="S563" s="89"/>
    </row>
    <row r="564" spans="1:19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14.040845327284968</v>
      </c>
      <c r="H564">
        <v>1.3706718749999997E-3</v>
      </c>
      <c r="I564">
        <v>-0.62623587759980681</v>
      </c>
      <c r="J564">
        <v>-8.5836390454199752E-4</v>
      </c>
      <c r="M564">
        <v>16.849014392741964</v>
      </c>
      <c r="N564">
        <v>3.90625E-3</v>
      </c>
      <c r="O564">
        <f t="shared" si="8"/>
        <v>0.806640625</v>
      </c>
      <c r="Q564" s="90"/>
      <c r="R564" s="89"/>
      <c r="S564" s="89"/>
    </row>
    <row r="565" spans="1:19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22.465352523655948</v>
      </c>
      <c r="H565">
        <v>8.6568749999999992E-4</v>
      </c>
      <c r="I565">
        <v>-0.47291241152288888</v>
      </c>
      <c r="J565">
        <v>-4.093943632502208E-4</v>
      </c>
      <c r="M565">
        <v>16.849014392741964</v>
      </c>
      <c r="N565">
        <v>1.953125E-3</v>
      </c>
      <c r="O565">
        <f t="shared" si="8"/>
        <v>0.80859375</v>
      </c>
      <c r="Q565" s="90"/>
      <c r="R565" s="89"/>
      <c r="S565" s="89"/>
    </row>
    <row r="566" spans="1:19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4.100625E-4</v>
      </c>
      <c r="I566">
        <v>-1</v>
      </c>
      <c r="J566">
        <v>-4.100625E-4</v>
      </c>
      <c r="M566">
        <v>16.849014392741964</v>
      </c>
      <c r="N566">
        <v>9.765625E-4</v>
      </c>
      <c r="O566">
        <f t="shared" si="8"/>
        <v>0.8095703125</v>
      </c>
      <c r="Q566" s="90"/>
      <c r="R566" s="89"/>
      <c r="S566" s="89"/>
    </row>
    <row r="567" spans="1:19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11.232676261827974</v>
      </c>
      <c r="H567">
        <v>8.6568749999999992E-4</v>
      </c>
      <c r="I567">
        <v>-0.6876862740544476</v>
      </c>
      <c r="J567">
        <v>-5.953214113705096E-4</v>
      </c>
      <c r="M567">
        <v>16.849014392741964</v>
      </c>
      <c r="N567">
        <v>1.953125E-3</v>
      </c>
      <c r="O567">
        <f t="shared" si="8"/>
        <v>0.8115234375</v>
      </c>
      <c r="Q567" s="90"/>
      <c r="R567" s="89"/>
      <c r="S567" s="89"/>
    </row>
    <row r="568" spans="1:19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19.657183458198954</v>
      </c>
      <c r="H568">
        <v>5.4674999999999993E-4</v>
      </c>
      <c r="I568">
        <v>-0.51931769779901749</v>
      </c>
      <c r="J568">
        <v>-2.8393695127161279E-4</v>
      </c>
      <c r="M568">
        <v>16.849014392741964</v>
      </c>
      <c r="N568">
        <v>9.765625E-4</v>
      </c>
      <c r="O568">
        <f t="shared" si="8"/>
        <v>0.8125</v>
      </c>
      <c r="Q568" s="90"/>
      <c r="R568" s="89"/>
      <c r="S568" s="89"/>
    </row>
    <row r="569" spans="1:19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5.616338130913987</v>
      </c>
      <c r="H569">
        <v>3.652119140625E-4</v>
      </c>
      <c r="I569">
        <v>-0.82926851746249697</v>
      </c>
      <c r="J569">
        <v>-3.0285874253425021E-4</v>
      </c>
      <c r="M569">
        <v>16.849014392741964</v>
      </c>
      <c r="N569">
        <v>4.8828125E-4</v>
      </c>
      <c r="O569">
        <f t="shared" si="8"/>
        <v>0.81298828125</v>
      </c>
      <c r="Q569" s="90"/>
      <c r="R569" s="89"/>
      <c r="S569" s="89"/>
    </row>
    <row r="570" spans="1:19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16.849014392741964</v>
      </c>
      <c r="H570">
        <v>7.7100292968749996E-4</v>
      </c>
      <c r="I570">
        <v>-0.57027657696444012</v>
      </c>
      <c r="J570">
        <v>-4.3968491157174238E-4</v>
      </c>
      <c r="M570">
        <v>16.849014392741964</v>
      </c>
      <c r="N570">
        <v>9.765625E-4</v>
      </c>
      <c r="O570">
        <f t="shared" si="8"/>
        <v>0.81396484375</v>
      </c>
      <c r="Q570" s="90"/>
      <c r="R570" s="89"/>
      <c r="S570" s="89"/>
    </row>
    <row r="571" spans="1:19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25.273521589112942</v>
      </c>
      <c r="H571">
        <v>4.8694921874999997E-4</v>
      </c>
      <c r="I571">
        <v>-0.4306538173458283</v>
      </c>
      <c r="J571">
        <v>-2.0970653990825627E-4</v>
      </c>
      <c r="M571">
        <v>16.849014392741964</v>
      </c>
      <c r="N571">
        <v>4.8828125E-4</v>
      </c>
      <c r="O571">
        <f t="shared" si="8"/>
        <v>0.814453125</v>
      </c>
      <c r="Q571" s="90"/>
      <c r="R571" s="89"/>
      <c r="S571" s="89"/>
    </row>
    <row r="572" spans="1:19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2.8081690654569935</v>
      </c>
      <c r="H572">
        <v>7.7100292968749996E-4</v>
      </c>
      <c r="I572">
        <v>-0.91064181622770701</v>
      </c>
      <c r="J572">
        <v>-7.0210750820750808E-4</v>
      </c>
      <c r="M572">
        <v>16.849014392741964</v>
      </c>
      <c r="N572">
        <v>9.765625E-4</v>
      </c>
      <c r="O572">
        <f t="shared" si="8"/>
        <v>0.8154296875</v>
      </c>
      <c r="Q572" s="90"/>
      <c r="R572" s="89"/>
      <c r="S572" s="89"/>
    </row>
    <row r="573" spans="1:19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14.040845327284968</v>
      </c>
      <c r="H573">
        <v>1.6276728515624999E-3</v>
      </c>
      <c r="I573">
        <v>-0.62623587759980681</v>
      </c>
      <c r="J573">
        <v>-1.0193071366436223E-3</v>
      </c>
      <c r="M573">
        <v>16.849014392741964</v>
      </c>
      <c r="N573">
        <v>1.953125E-3</v>
      </c>
      <c r="O573">
        <f t="shared" si="8"/>
        <v>0.8173828125</v>
      </c>
      <c r="Q573" s="90"/>
      <c r="R573" s="89"/>
      <c r="S573" s="89"/>
    </row>
    <row r="574" spans="1:19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22.465352523655948</v>
      </c>
      <c r="H574">
        <v>1.0280039062499999E-3</v>
      </c>
      <c r="I574">
        <v>-0.47291241152288888</v>
      </c>
      <c r="J574">
        <v>-4.8615580635963726E-4</v>
      </c>
      <c r="M574">
        <v>16.849014392741964</v>
      </c>
      <c r="N574">
        <v>9.765625E-4</v>
      </c>
      <c r="O574">
        <f t="shared" si="8"/>
        <v>0.818359375</v>
      </c>
      <c r="Q574" s="90"/>
      <c r="R574" s="89"/>
      <c r="S574" s="89"/>
    </row>
    <row r="575" spans="1:19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4.8694921874999997E-4</v>
      </c>
      <c r="I575">
        <v>-1</v>
      </c>
      <c r="J575">
        <v>-4.8694921874999997E-4</v>
      </c>
      <c r="M575">
        <v>16.849014392741964</v>
      </c>
      <c r="N575">
        <v>4.8828125E-4</v>
      </c>
      <c r="O575">
        <f t="shared" si="8"/>
        <v>0.81884765625</v>
      </c>
      <c r="Q575" s="90"/>
      <c r="R575" s="89"/>
      <c r="S575" s="89"/>
    </row>
    <row r="576" spans="1:19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11.232676261827974</v>
      </c>
      <c r="H576">
        <v>1.0280039062499999E-3</v>
      </c>
      <c r="I576">
        <v>-0.6876862740544476</v>
      </c>
      <c r="J576">
        <v>-7.069441760024801E-4</v>
      </c>
      <c r="M576">
        <v>16.849014392741964</v>
      </c>
      <c r="N576">
        <v>9.765625E-4</v>
      </c>
      <c r="O576">
        <f t="shared" si="8"/>
        <v>0.81982421875</v>
      </c>
      <c r="Q576" s="90"/>
      <c r="R576" s="89"/>
      <c r="S576" s="89"/>
    </row>
    <row r="577" spans="1:19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19.657183458198954</v>
      </c>
      <c r="H577">
        <v>6.4926562499999999E-4</v>
      </c>
      <c r="I577">
        <v>-0.51931769779901749</v>
      </c>
      <c r="J577">
        <v>-3.3717512963504022E-4</v>
      </c>
      <c r="M577">
        <v>16.849014392741964</v>
      </c>
      <c r="N577">
        <v>4.8828125E-4</v>
      </c>
      <c r="O577">
        <f t="shared" si="8"/>
        <v>0.8203125</v>
      </c>
      <c r="Q577" s="90"/>
      <c r="R577" s="89"/>
      <c r="S577" s="89"/>
    </row>
    <row r="578" spans="1:19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5.616338130913987</v>
      </c>
      <c r="H578">
        <v>7.7100292968750007E-4</v>
      </c>
      <c r="I578">
        <v>-0.82926851746249697</v>
      </c>
      <c r="J578">
        <v>-6.3936845646119498E-4</v>
      </c>
      <c r="M578">
        <v>18.611504924183873</v>
      </c>
      <c r="N578">
        <v>9.765625E-4</v>
      </c>
      <c r="O578">
        <f t="shared" si="8"/>
        <v>0.8212890625</v>
      </c>
      <c r="Q578" s="90"/>
      <c r="R578" s="89"/>
      <c r="S578" s="89"/>
    </row>
    <row r="579" spans="1:19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16.849014392741964</v>
      </c>
      <c r="H579">
        <v>1.6276728515625001E-3</v>
      </c>
      <c r="I579">
        <v>-0.57027657696444012</v>
      </c>
      <c r="J579">
        <v>-9.2822370220701177E-4</v>
      </c>
      <c r="M579">
        <v>18.611504924183873</v>
      </c>
      <c r="N579">
        <v>1.953125E-3</v>
      </c>
      <c r="O579">
        <f t="shared" si="8"/>
        <v>0.8232421875</v>
      </c>
      <c r="Q579" s="90"/>
      <c r="R579" s="89"/>
      <c r="S579" s="89"/>
    </row>
    <row r="580" spans="1:19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25.273521589112942</v>
      </c>
      <c r="H580">
        <v>1.0280039062499999E-3</v>
      </c>
      <c r="I580">
        <v>-0.4306538173458283</v>
      </c>
      <c r="J580">
        <v>-4.4271380647298547E-4</v>
      </c>
      <c r="M580">
        <v>18.611504924183873</v>
      </c>
      <c r="N580">
        <v>9.765625E-4</v>
      </c>
      <c r="O580">
        <f t="shared" ref="O580:O643" si="9">N580+O579</f>
        <v>0.82421875</v>
      </c>
      <c r="Q580" s="90"/>
      <c r="R580" s="89"/>
      <c r="S580" s="89"/>
    </row>
    <row r="581" spans="1:19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2.8081690654569935</v>
      </c>
      <c r="H581">
        <v>1.6276728515624999E-3</v>
      </c>
      <c r="I581">
        <v>-0.91064181622770701</v>
      </c>
      <c r="J581">
        <v>-1.4822269617714059E-3</v>
      </c>
      <c r="M581">
        <v>18.611504924183873</v>
      </c>
      <c r="N581">
        <v>1.953125E-3</v>
      </c>
      <c r="O581">
        <f t="shared" si="9"/>
        <v>0.826171875</v>
      </c>
      <c r="Q581" s="90"/>
      <c r="R581" s="89"/>
      <c r="S581" s="89"/>
    </row>
    <row r="582" spans="1:19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14.040845327284968</v>
      </c>
      <c r="H582">
        <v>3.4361982421874998E-3</v>
      </c>
      <c r="I582">
        <v>-0.62623587759980681</v>
      </c>
      <c r="J582">
        <v>-2.1518706218032024E-3</v>
      </c>
      <c r="M582">
        <v>18.611504924183873</v>
      </c>
      <c r="N582">
        <v>3.90625E-3</v>
      </c>
      <c r="O582">
        <f t="shared" si="9"/>
        <v>0.830078125</v>
      </c>
      <c r="Q582" s="90"/>
      <c r="R582" s="89"/>
      <c r="S582" s="89"/>
    </row>
    <row r="583" spans="1:19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22.465352523655948</v>
      </c>
      <c r="H583">
        <v>2.1702304687499997E-3</v>
      </c>
      <c r="I583">
        <v>-0.47291241152288888</v>
      </c>
      <c r="J583">
        <v>-1.0263289245370118E-3</v>
      </c>
      <c r="M583">
        <v>18.611504924183873</v>
      </c>
      <c r="N583">
        <v>1.953125E-3</v>
      </c>
      <c r="O583">
        <f t="shared" si="9"/>
        <v>0.83203125</v>
      </c>
      <c r="Q583" s="90"/>
      <c r="R583" s="89"/>
      <c r="S583" s="89"/>
    </row>
    <row r="584" spans="1:19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1.0280039062499999E-3</v>
      </c>
      <c r="I584">
        <v>-1</v>
      </c>
      <c r="J584">
        <v>-1.0280039062499999E-3</v>
      </c>
      <c r="M584">
        <v>18.611504924183873</v>
      </c>
      <c r="N584">
        <v>9.765625E-4</v>
      </c>
      <c r="O584">
        <f t="shared" si="9"/>
        <v>0.8330078125</v>
      </c>
      <c r="Q584" s="90"/>
      <c r="R584" s="89"/>
      <c r="S584" s="89"/>
    </row>
    <row r="585" spans="1:19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11.232676261827974</v>
      </c>
      <c r="H585">
        <v>2.1702304687499997E-3</v>
      </c>
      <c r="I585">
        <v>-0.6876862740544476</v>
      </c>
      <c r="J585">
        <v>-1.4924377048941245E-3</v>
      </c>
      <c r="M585">
        <v>18.611504924183873</v>
      </c>
      <c r="N585">
        <v>1.953125E-3</v>
      </c>
      <c r="O585">
        <f t="shared" si="9"/>
        <v>0.8349609375</v>
      </c>
      <c r="Q585" s="90"/>
      <c r="R585" s="89"/>
      <c r="S585" s="89"/>
    </row>
    <row r="586" spans="1:19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19.657183458198954</v>
      </c>
      <c r="H586">
        <v>1.3706718749999999E-3</v>
      </c>
      <c r="I586">
        <v>-0.51931769779901749</v>
      </c>
      <c r="J586">
        <v>-7.1181416256286265E-4</v>
      </c>
      <c r="M586">
        <v>18.611504924183873</v>
      </c>
      <c r="N586">
        <v>9.765625E-4</v>
      </c>
      <c r="O586">
        <f t="shared" si="9"/>
        <v>0.8359375</v>
      </c>
      <c r="Q586" s="90"/>
      <c r="R586" s="89"/>
      <c r="S586" s="89"/>
    </row>
    <row r="587" spans="1:19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5.616338130913987</v>
      </c>
      <c r="H587">
        <v>4.8694921875000008E-4</v>
      </c>
      <c r="I587">
        <v>-0.82926851746249697</v>
      </c>
      <c r="J587">
        <v>-4.0381165671233367E-4</v>
      </c>
      <c r="M587">
        <v>19.657183458198954</v>
      </c>
      <c r="N587">
        <v>9.765625E-4</v>
      </c>
      <c r="O587">
        <f t="shared" si="9"/>
        <v>0.8369140625</v>
      </c>
      <c r="Q587" s="90"/>
      <c r="R587" s="89"/>
      <c r="S587" s="89"/>
    </row>
    <row r="588" spans="1:19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16.849014392741964</v>
      </c>
      <c r="H588">
        <v>1.0280039062500002E-3</v>
      </c>
      <c r="I588">
        <v>-0.57027657696444012</v>
      </c>
      <c r="J588">
        <v>-5.8624654876232335E-4</v>
      </c>
      <c r="M588">
        <v>19.657183458198954</v>
      </c>
      <c r="N588">
        <v>1.953125E-3</v>
      </c>
      <c r="O588">
        <f t="shared" si="9"/>
        <v>0.8388671875</v>
      </c>
      <c r="Q588" s="90"/>
      <c r="R588" s="89"/>
      <c r="S588" s="89"/>
    </row>
    <row r="589" spans="1:19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25.273521589112942</v>
      </c>
      <c r="H589">
        <v>6.492656250000001E-4</v>
      </c>
      <c r="I589">
        <v>-0.4306538173458283</v>
      </c>
      <c r="J589">
        <v>-2.7960871987767509E-4</v>
      </c>
      <c r="M589">
        <v>19.657183458198954</v>
      </c>
      <c r="N589">
        <v>9.765625E-4</v>
      </c>
      <c r="O589">
        <f t="shared" si="9"/>
        <v>0.83984375</v>
      </c>
      <c r="Q589" s="90"/>
      <c r="R589" s="89"/>
      <c r="S589" s="89"/>
    </row>
    <row r="590" spans="1:19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2.8081690654569935</v>
      </c>
      <c r="H590">
        <v>1.0280039062499999E-3</v>
      </c>
      <c r="I590">
        <v>-0.91064181622770701</v>
      </c>
      <c r="J590">
        <v>-9.3614334427667744E-4</v>
      </c>
      <c r="M590">
        <v>19.657183458198954</v>
      </c>
      <c r="N590">
        <v>1.953125E-3</v>
      </c>
      <c r="O590">
        <f t="shared" si="9"/>
        <v>0.841796875</v>
      </c>
      <c r="Q590" s="90"/>
      <c r="R590" s="89"/>
      <c r="S590" s="89"/>
    </row>
    <row r="591" spans="1:19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14.040845327284968</v>
      </c>
      <c r="H591">
        <v>2.1702304687499997E-3</v>
      </c>
      <c r="I591">
        <v>-0.62623587759980681</v>
      </c>
      <c r="J591">
        <v>-1.3590761821914961E-3</v>
      </c>
      <c r="M591">
        <v>19.657183458198954</v>
      </c>
      <c r="N591">
        <v>3.90625E-3</v>
      </c>
      <c r="O591">
        <f t="shared" si="9"/>
        <v>0.845703125</v>
      </c>
      <c r="Q591" s="90"/>
      <c r="R591" s="89"/>
      <c r="S591" s="89"/>
    </row>
    <row r="592" spans="1:19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22.465352523655948</v>
      </c>
      <c r="H592">
        <v>1.3706718749999999E-3</v>
      </c>
      <c r="I592">
        <v>-0.47291241152288888</v>
      </c>
      <c r="J592">
        <v>-6.4820774181284968E-4</v>
      </c>
      <c r="M592">
        <v>19.657183458198954</v>
      </c>
      <c r="N592">
        <v>1.953125E-3</v>
      </c>
      <c r="O592">
        <f t="shared" si="9"/>
        <v>0.84765625</v>
      </c>
      <c r="Q592" s="90"/>
      <c r="R592" s="89"/>
      <c r="S592" s="89"/>
    </row>
    <row r="593" spans="1:19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6.492656250000001E-4</v>
      </c>
      <c r="I593">
        <v>-1</v>
      </c>
      <c r="J593">
        <v>-6.492656250000001E-4</v>
      </c>
      <c r="M593">
        <v>19.657183458198954</v>
      </c>
      <c r="N593">
        <v>9.765625E-4</v>
      </c>
      <c r="O593">
        <f t="shared" si="9"/>
        <v>0.8486328125</v>
      </c>
      <c r="Q593" s="90"/>
      <c r="R593" s="89"/>
      <c r="S593" s="89"/>
    </row>
    <row r="594" spans="1:19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11.232676261827974</v>
      </c>
      <c r="H594">
        <v>1.3706718749999999E-3</v>
      </c>
      <c r="I594">
        <v>-0.6876862740544476</v>
      </c>
      <c r="J594">
        <v>-9.4259223466997347E-4</v>
      </c>
      <c r="M594">
        <v>19.657183458198954</v>
      </c>
      <c r="N594">
        <v>1.953125E-3</v>
      </c>
      <c r="O594">
        <f t="shared" si="9"/>
        <v>0.8505859375</v>
      </c>
      <c r="Q594" s="90"/>
      <c r="R594" s="89"/>
      <c r="S594" s="89"/>
    </row>
    <row r="595" spans="1:19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19.657183458198954</v>
      </c>
      <c r="H595">
        <v>8.6568750000000003E-4</v>
      </c>
      <c r="I595">
        <v>-0.51931769779901749</v>
      </c>
      <c r="J595">
        <v>-4.4956683951338696E-4</v>
      </c>
      <c r="M595">
        <v>19.657183458198954</v>
      </c>
      <c r="N595">
        <v>9.765625E-4</v>
      </c>
      <c r="O595">
        <f t="shared" si="9"/>
        <v>0.8515625</v>
      </c>
      <c r="Q595" s="90"/>
      <c r="R595" s="89"/>
      <c r="S595" s="89"/>
    </row>
    <row r="596" spans="1:19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5.616338130913987</v>
      </c>
      <c r="H596">
        <v>7.7100292968750007E-4</v>
      </c>
      <c r="I596">
        <v>-0.82926851746249697</v>
      </c>
      <c r="J596">
        <v>-6.3936845646119498E-4</v>
      </c>
      <c r="M596">
        <v>19.657183458198954</v>
      </c>
      <c r="N596">
        <v>4.8828125E-4</v>
      </c>
      <c r="O596">
        <f t="shared" si="9"/>
        <v>0.85205078125</v>
      </c>
      <c r="Q596" s="90"/>
      <c r="R596" s="89"/>
      <c r="S596" s="89"/>
    </row>
    <row r="597" spans="1:19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16.849014392741964</v>
      </c>
      <c r="H597">
        <v>1.6276728515625001E-3</v>
      </c>
      <c r="I597">
        <v>-0.57027657696444012</v>
      </c>
      <c r="J597">
        <v>-9.2822370220701177E-4</v>
      </c>
      <c r="M597">
        <v>19.657183458198954</v>
      </c>
      <c r="N597">
        <v>9.765625E-4</v>
      </c>
      <c r="O597">
        <f t="shared" si="9"/>
        <v>0.85302734375</v>
      </c>
      <c r="Q597" s="90"/>
      <c r="R597" s="89"/>
      <c r="S597" s="89"/>
    </row>
    <row r="598" spans="1:19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25.273521589112942</v>
      </c>
      <c r="H598">
        <v>1.0280039062499999E-3</v>
      </c>
      <c r="I598">
        <v>-0.4306538173458283</v>
      </c>
      <c r="J598">
        <v>-4.4271380647298547E-4</v>
      </c>
      <c r="M598">
        <v>19.657183458198954</v>
      </c>
      <c r="N598">
        <v>4.8828125E-4</v>
      </c>
      <c r="O598">
        <f t="shared" si="9"/>
        <v>0.853515625</v>
      </c>
      <c r="Q598" s="90"/>
      <c r="R598" s="89"/>
      <c r="S598" s="89"/>
    </row>
    <row r="599" spans="1:19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2.8081690654569935</v>
      </c>
      <c r="H599">
        <v>1.6276728515624999E-3</v>
      </c>
      <c r="I599">
        <v>-0.91064181622770701</v>
      </c>
      <c r="J599">
        <v>-1.4822269617714059E-3</v>
      </c>
      <c r="M599">
        <v>19.657183458198954</v>
      </c>
      <c r="N599">
        <v>9.765625E-4</v>
      </c>
      <c r="O599">
        <f t="shared" si="9"/>
        <v>0.8544921875</v>
      </c>
      <c r="Q599" s="90"/>
      <c r="R599" s="89"/>
      <c r="S599" s="89"/>
    </row>
    <row r="600" spans="1:19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14.040845327284968</v>
      </c>
      <c r="H600">
        <v>3.4361982421874998E-3</v>
      </c>
      <c r="I600">
        <v>-0.62623587759980681</v>
      </c>
      <c r="J600">
        <v>-2.1518706218032024E-3</v>
      </c>
      <c r="M600">
        <v>19.657183458198954</v>
      </c>
      <c r="N600">
        <v>1.953125E-3</v>
      </c>
      <c r="O600">
        <f t="shared" si="9"/>
        <v>0.8564453125</v>
      </c>
      <c r="Q600" s="90"/>
      <c r="R600" s="89"/>
      <c r="S600" s="89"/>
    </row>
    <row r="601" spans="1:19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22.465352523655948</v>
      </c>
      <c r="H601">
        <v>2.1702304687499997E-3</v>
      </c>
      <c r="I601">
        <v>-0.47291241152288888</v>
      </c>
      <c r="J601">
        <v>-1.0263289245370118E-3</v>
      </c>
      <c r="M601">
        <v>19.657183458198954</v>
      </c>
      <c r="N601">
        <v>9.765625E-4</v>
      </c>
      <c r="O601">
        <f t="shared" si="9"/>
        <v>0.857421875</v>
      </c>
      <c r="Q601" s="90"/>
      <c r="R601" s="89"/>
      <c r="S601" s="89"/>
    </row>
    <row r="602" spans="1:19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1.0280039062499999E-3</v>
      </c>
      <c r="I602">
        <v>-1</v>
      </c>
      <c r="J602">
        <v>-1.0280039062499999E-3</v>
      </c>
      <c r="M602">
        <v>19.657183458198954</v>
      </c>
      <c r="N602">
        <v>4.8828125E-4</v>
      </c>
      <c r="O602">
        <f t="shared" si="9"/>
        <v>0.85791015625</v>
      </c>
      <c r="Q602" s="90"/>
      <c r="R602" s="89"/>
      <c r="S602" s="89"/>
    </row>
    <row r="603" spans="1:19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11.232676261827974</v>
      </c>
      <c r="H603">
        <v>2.1702304687499997E-3</v>
      </c>
      <c r="I603">
        <v>-0.6876862740544476</v>
      </c>
      <c r="J603">
        <v>-1.4924377048941245E-3</v>
      </c>
      <c r="M603">
        <v>19.657183458198954</v>
      </c>
      <c r="N603">
        <v>9.765625E-4</v>
      </c>
      <c r="O603">
        <f t="shared" si="9"/>
        <v>0.85888671875</v>
      </c>
      <c r="Q603" s="90"/>
      <c r="R603" s="89"/>
      <c r="S603" s="89"/>
    </row>
    <row r="604" spans="1:19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19.657183458198954</v>
      </c>
      <c r="H604">
        <v>1.3706718749999999E-3</v>
      </c>
      <c r="I604">
        <v>-0.51931769779901749</v>
      </c>
      <c r="J604">
        <v>-7.1181416256286265E-4</v>
      </c>
      <c r="M604">
        <v>19.657183458198954</v>
      </c>
      <c r="N604">
        <v>4.8828125E-4</v>
      </c>
      <c r="O604">
        <f t="shared" si="9"/>
        <v>0.859375</v>
      </c>
      <c r="Q604" s="90"/>
      <c r="R604" s="89"/>
      <c r="S604" s="89"/>
    </row>
    <row r="605" spans="1:19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5.616338130913987</v>
      </c>
      <c r="H605">
        <v>1.6276728515624997E-3</v>
      </c>
      <c r="I605">
        <v>-0.82926851746249697</v>
      </c>
      <c r="J605">
        <v>-1.3497778525291891E-3</v>
      </c>
      <c r="M605">
        <v>19.657183458198954</v>
      </c>
      <c r="N605">
        <v>2.44140625E-4</v>
      </c>
      <c r="O605">
        <f t="shared" si="9"/>
        <v>0.859619140625</v>
      </c>
      <c r="Q605" s="90"/>
      <c r="R605" s="89"/>
      <c r="S605" s="89"/>
    </row>
    <row r="606" spans="1:19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16.849014392741964</v>
      </c>
      <c r="H606">
        <v>3.4361982421874993E-3</v>
      </c>
      <c r="I606">
        <v>-0.57027657696444012</v>
      </c>
      <c r="J606">
        <v>-1.9595833713259131E-3</v>
      </c>
      <c r="M606">
        <v>19.657183458198954</v>
      </c>
      <c r="N606">
        <v>4.8828125E-4</v>
      </c>
      <c r="O606">
        <f t="shared" si="9"/>
        <v>0.860107421875</v>
      </c>
      <c r="Q606" s="90"/>
      <c r="R606" s="89"/>
      <c r="S606" s="89"/>
    </row>
    <row r="607" spans="1:19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25.273521589112942</v>
      </c>
      <c r="H607">
        <v>2.1702304687499993E-3</v>
      </c>
      <c r="I607">
        <v>-0.4306538173458283</v>
      </c>
      <c r="J607">
        <v>-9.346180358874135E-4</v>
      </c>
      <c r="M607">
        <v>19.657183458198954</v>
      </c>
      <c r="N607">
        <v>2.44140625E-4</v>
      </c>
      <c r="O607">
        <f t="shared" si="9"/>
        <v>0.8603515625</v>
      </c>
      <c r="Q607" s="90"/>
      <c r="R607" s="89"/>
      <c r="S607" s="89"/>
    </row>
    <row r="608" spans="1:19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2.8081690654569935</v>
      </c>
      <c r="H608">
        <v>3.4361982421874993E-3</v>
      </c>
      <c r="I608">
        <v>-0.91064181622770701</v>
      </c>
      <c r="J608">
        <v>-3.1291458081840785E-3</v>
      </c>
      <c r="M608">
        <v>19.657183458198954</v>
      </c>
      <c r="N608">
        <v>4.8828125E-4</v>
      </c>
      <c r="O608">
        <f t="shared" si="9"/>
        <v>0.86083984375</v>
      </c>
      <c r="Q608" s="90"/>
      <c r="R608" s="89"/>
      <c r="S608" s="89"/>
    </row>
    <row r="609" spans="1:19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14.040845327284968</v>
      </c>
      <c r="H609">
        <v>7.254196289062498E-3</v>
      </c>
      <c r="I609">
        <v>-0.62623587759980681</v>
      </c>
      <c r="J609">
        <v>-4.5428379793623153E-3</v>
      </c>
      <c r="M609">
        <v>19.657183458198954</v>
      </c>
      <c r="N609">
        <v>9.765625E-4</v>
      </c>
      <c r="O609">
        <f t="shared" si="9"/>
        <v>0.86181640625</v>
      </c>
      <c r="Q609" s="90"/>
      <c r="R609" s="89"/>
      <c r="S609" s="89"/>
    </row>
    <row r="610" spans="1:19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22.465352523655948</v>
      </c>
      <c r="H610">
        <v>4.5815976562499985E-3</v>
      </c>
      <c r="I610">
        <v>-0.47291241152288888</v>
      </c>
      <c r="J610">
        <v>-2.1666943962448024E-3</v>
      </c>
      <c r="M610">
        <v>19.657183458198954</v>
      </c>
      <c r="N610">
        <v>4.8828125E-4</v>
      </c>
      <c r="O610">
        <f t="shared" si="9"/>
        <v>0.8623046875</v>
      </c>
      <c r="Q610" s="90"/>
      <c r="R610" s="89"/>
      <c r="S610" s="89"/>
    </row>
    <row r="611" spans="1:19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2.1702304687499997E-3</v>
      </c>
      <c r="I611">
        <v>-1</v>
      </c>
      <c r="J611">
        <v>-2.1702304687499997E-3</v>
      </c>
      <c r="M611">
        <v>19.657183458198954</v>
      </c>
      <c r="N611">
        <v>2.44140625E-4</v>
      </c>
      <c r="O611">
        <f t="shared" si="9"/>
        <v>0.862548828125</v>
      </c>
      <c r="Q611" s="90"/>
      <c r="R611" s="89"/>
      <c r="S611" s="89"/>
    </row>
    <row r="612" spans="1:19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11.232676261827974</v>
      </c>
      <c r="H612">
        <v>4.5815976562499994E-3</v>
      </c>
      <c r="I612">
        <v>-0.6876862740544476</v>
      </c>
      <c r="J612">
        <v>-3.1507018214431519E-3</v>
      </c>
      <c r="M612">
        <v>19.657183458198954</v>
      </c>
      <c r="N612">
        <v>4.8828125E-4</v>
      </c>
      <c r="O612">
        <f t="shared" si="9"/>
        <v>0.863037109375</v>
      </c>
      <c r="Q612" s="90"/>
      <c r="R612" s="89"/>
      <c r="S612" s="89"/>
    </row>
    <row r="613" spans="1:19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19.657183458198954</v>
      </c>
      <c r="H613">
        <v>2.8936406249999995E-3</v>
      </c>
      <c r="I613">
        <v>-0.51931769779901749</v>
      </c>
      <c r="J613">
        <v>-1.5027187876327098E-3</v>
      </c>
      <c r="M613">
        <v>19.657183458198954</v>
      </c>
      <c r="N613">
        <v>2.44140625E-4</v>
      </c>
      <c r="O613">
        <f t="shared" si="9"/>
        <v>0.86328125</v>
      </c>
      <c r="Q613" s="90"/>
      <c r="R613" s="89"/>
      <c r="S613" s="89"/>
    </row>
    <row r="614" spans="1:19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5.616338130913987</v>
      </c>
      <c r="H614">
        <v>1.0280039062499999E-3</v>
      </c>
      <c r="I614">
        <v>-0.82926851746249697</v>
      </c>
      <c r="J614">
        <v>-8.5249127528159313E-4</v>
      </c>
      <c r="M614">
        <v>19.657183458198954</v>
      </c>
      <c r="N614">
        <v>4.8828125E-4</v>
      </c>
      <c r="O614">
        <f t="shared" si="9"/>
        <v>0.86376953125</v>
      </c>
      <c r="Q614" s="90"/>
      <c r="R614" s="89"/>
      <c r="S614" s="89"/>
    </row>
    <row r="615" spans="1:19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16.849014392741964</v>
      </c>
      <c r="H615">
        <v>2.1702304687499997E-3</v>
      </c>
      <c r="I615">
        <v>-0.57027657696444012</v>
      </c>
      <c r="J615">
        <v>-1.2376316029426822E-3</v>
      </c>
      <c r="M615">
        <v>19.657183458198954</v>
      </c>
      <c r="N615">
        <v>9.765625E-4</v>
      </c>
      <c r="O615">
        <f t="shared" si="9"/>
        <v>0.86474609375</v>
      </c>
      <c r="Q615" s="90"/>
      <c r="R615" s="89"/>
      <c r="S615" s="89"/>
    </row>
    <row r="616" spans="1:19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25.273521589112942</v>
      </c>
      <c r="H616">
        <v>1.3706718749999999E-3</v>
      </c>
      <c r="I616">
        <v>-0.4306538173458283</v>
      </c>
      <c r="J616">
        <v>-5.9028507529731403E-4</v>
      </c>
      <c r="M616">
        <v>19.657183458198954</v>
      </c>
      <c r="N616">
        <v>4.8828125E-4</v>
      </c>
      <c r="O616">
        <f t="shared" si="9"/>
        <v>0.865234375</v>
      </c>
      <c r="Q616" s="90"/>
      <c r="R616" s="89"/>
      <c r="S616" s="89"/>
    </row>
    <row r="617" spans="1:19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2.8081690654569935</v>
      </c>
      <c r="H617">
        <v>2.1702304687499997E-3</v>
      </c>
      <c r="I617">
        <v>-0.91064181622770701</v>
      </c>
      <c r="J617">
        <v>-1.9763026156952076E-3</v>
      </c>
      <c r="M617">
        <v>19.657183458198954</v>
      </c>
      <c r="N617">
        <v>9.765625E-4</v>
      </c>
      <c r="O617">
        <f t="shared" si="9"/>
        <v>0.8662109375</v>
      </c>
      <c r="Q617" s="90"/>
      <c r="R617" s="89"/>
      <c r="S617" s="89"/>
    </row>
    <row r="618" spans="1:19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14.040845327284968</v>
      </c>
      <c r="H618">
        <v>4.5815976562499994E-3</v>
      </c>
      <c r="I618">
        <v>-0.62623587759980681</v>
      </c>
      <c r="J618">
        <v>-2.8691608290709364E-3</v>
      </c>
      <c r="M618">
        <v>19.657183458198954</v>
      </c>
      <c r="N618">
        <v>1.953125E-3</v>
      </c>
      <c r="O618">
        <f t="shared" si="9"/>
        <v>0.8681640625</v>
      </c>
      <c r="Q618" s="90"/>
      <c r="R618" s="89"/>
      <c r="S618" s="89"/>
    </row>
    <row r="619" spans="1:19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22.465352523655948</v>
      </c>
      <c r="H619">
        <v>2.8936406249999995E-3</v>
      </c>
      <c r="I619">
        <v>-0.47291241152288888</v>
      </c>
      <c r="J619">
        <v>-1.3684385660493491E-3</v>
      </c>
      <c r="M619">
        <v>19.657183458198954</v>
      </c>
      <c r="N619">
        <v>9.765625E-4</v>
      </c>
      <c r="O619">
        <f t="shared" si="9"/>
        <v>0.869140625</v>
      </c>
      <c r="Q619" s="90"/>
      <c r="R619" s="89"/>
      <c r="S619" s="89"/>
    </row>
    <row r="620" spans="1:19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1.3706718749999999E-3</v>
      </c>
      <c r="I620">
        <v>-1</v>
      </c>
      <c r="J620">
        <v>-1.3706718749999999E-3</v>
      </c>
      <c r="M620">
        <v>19.657183458198954</v>
      </c>
      <c r="N620">
        <v>4.8828125E-4</v>
      </c>
      <c r="O620">
        <f t="shared" si="9"/>
        <v>0.86962890625</v>
      </c>
      <c r="Q620" s="90"/>
      <c r="R620" s="89"/>
      <c r="S620" s="89"/>
    </row>
    <row r="621" spans="1:19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11.232676261827974</v>
      </c>
      <c r="H621">
        <v>2.8936406249999995E-3</v>
      </c>
      <c r="I621">
        <v>-0.6876862740544476</v>
      </c>
      <c r="J621">
        <v>-1.9899169398588327E-3</v>
      </c>
      <c r="M621">
        <v>19.657183458198954</v>
      </c>
      <c r="N621">
        <v>9.765625E-4</v>
      </c>
      <c r="O621">
        <f t="shared" si="9"/>
        <v>0.87060546875</v>
      </c>
      <c r="Q621" s="90"/>
      <c r="R621" s="89"/>
      <c r="S621" s="89"/>
    </row>
    <row r="622" spans="1:19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19.657183458198954</v>
      </c>
      <c r="H622">
        <v>1.8275624999999998E-3</v>
      </c>
      <c r="I622">
        <v>-0.51931769779901749</v>
      </c>
      <c r="J622">
        <v>-9.4908555008381672E-4</v>
      </c>
      <c r="M622">
        <v>19.657183458198954</v>
      </c>
      <c r="N622">
        <v>4.8828125E-4</v>
      </c>
      <c r="O622">
        <f t="shared" si="9"/>
        <v>0.87109375</v>
      </c>
      <c r="Q622" s="90"/>
      <c r="R622" s="89"/>
      <c r="S622" s="89"/>
    </row>
    <row r="623" spans="1:19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5.616338130913987</v>
      </c>
      <c r="H623">
        <v>4.8694921874999997E-4</v>
      </c>
      <c r="I623">
        <v>-0.82926851746249697</v>
      </c>
      <c r="J623">
        <v>-4.0381165671233362E-4</v>
      </c>
      <c r="M623">
        <v>19.657183458198954</v>
      </c>
      <c r="N623">
        <v>2.44140625E-4</v>
      </c>
      <c r="O623">
        <f t="shared" si="9"/>
        <v>0.871337890625</v>
      </c>
      <c r="Q623" s="90"/>
      <c r="R623" s="89"/>
      <c r="S623" s="89"/>
    </row>
    <row r="624" spans="1:19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16.849014392741964</v>
      </c>
      <c r="H624">
        <v>1.0280039062499999E-3</v>
      </c>
      <c r="I624">
        <v>-0.57027657696444012</v>
      </c>
      <c r="J624">
        <v>-5.8624654876232314E-4</v>
      </c>
      <c r="M624">
        <v>19.657183458198954</v>
      </c>
      <c r="N624">
        <v>4.8828125E-4</v>
      </c>
      <c r="O624">
        <f t="shared" si="9"/>
        <v>0.871826171875</v>
      </c>
      <c r="Q624" s="90"/>
      <c r="R624" s="89"/>
      <c r="S624" s="89"/>
    </row>
    <row r="625" spans="1:19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25.273521589112942</v>
      </c>
      <c r="H625">
        <v>6.4926562499999999E-4</v>
      </c>
      <c r="I625">
        <v>-0.4306538173458283</v>
      </c>
      <c r="J625">
        <v>-2.7960871987767503E-4</v>
      </c>
      <c r="M625">
        <v>19.657183458198954</v>
      </c>
      <c r="N625">
        <v>2.44140625E-4</v>
      </c>
      <c r="O625">
        <f t="shared" si="9"/>
        <v>0.8720703125</v>
      </c>
      <c r="Q625" s="90"/>
      <c r="R625" s="89"/>
      <c r="S625" s="89"/>
    </row>
    <row r="626" spans="1:19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2.8081690654569935</v>
      </c>
      <c r="H626">
        <v>1.0280039062499999E-3</v>
      </c>
      <c r="I626">
        <v>-0.91064181622770701</v>
      </c>
      <c r="J626">
        <v>-9.3614334427667744E-4</v>
      </c>
      <c r="M626">
        <v>19.657183458198954</v>
      </c>
      <c r="N626">
        <v>4.8828125E-4</v>
      </c>
      <c r="O626">
        <f t="shared" si="9"/>
        <v>0.87255859375</v>
      </c>
      <c r="Q626" s="90"/>
      <c r="R626" s="89"/>
      <c r="S626" s="89"/>
    </row>
    <row r="627" spans="1:19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14.040845327284968</v>
      </c>
      <c r="H627">
        <v>2.1702304687499993E-3</v>
      </c>
      <c r="I627">
        <v>-0.62623587759980681</v>
      </c>
      <c r="J627">
        <v>-1.3590761821914959E-3</v>
      </c>
      <c r="M627">
        <v>19.657183458198954</v>
      </c>
      <c r="N627">
        <v>9.765625E-4</v>
      </c>
      <c r="O627">
        <f t="shared" si="9"/>
        <v>0.87353515625</v>
      </c>
      <c r="Q627" s="90"/>
      <c r="R627" s="89"/>
      <c r="S627" s="89"/>
    </row>
    <row r="628" spans="1:19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22.465352523655948</v>
      </c>
      <c r="H628">
        <v>1.3706718749999997E-3</v>
      </c>
      <c r="I628">
        <v>-0.47291241152288888</v>
      </c>
      <c r="J628">
        <v>-6.4820774181284957E-4</v>
      </c>
      <c r="M628">
        <v>19.657183458198954</v>
      </c>
      <c r="N628">
        <v>4.8828125E-4</v>
      </c>
      <c r="O628">
        <f t="shared" si="9"/>
        <v>0.8740234375</v>
      </c>
      <c r="Q628" s="90"/>
      <c r="R628" s="89"/>
      <c r="S628" s="89"/>
    </row>
    <row r="629" spans="1:19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6.4926562499999999E-4</v>
      </c>
      <c r="I629">
        <v>-1</v>
      </c>
      <c r="J629">
        <v>-6.4926562499999999E-4</v>
      </c>
      <c r="M629">
        <v>19.657183458198954</v>
      </c>
      <c r="N629">
        <v>2.44140625E-4</v>
      </c>
      <c r="O629">
        <f t="shared" si="9"/>
        <v>0.874267578125</v>
      </c>
      <c r="Q629" s="90"/>
      <c r="R629" s="89"/>
      <c r="S629" s="89"/>
    </row>
    <row r="630" spans="1:19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11.232676261827974</v>
      </c>
      <c r="H630">
        <v>1.3706718749999997E-3</v>
      </c>
      <c r="I630">
        <v>-0.6876862740544476</v>
      </c>
      <c r="J630">
        <v>-9.4259223466997336E-4</v>
      </c>
      <c r="M630">
        <v>19.657183458198954</v>
      </c>
      <c r="N630">
        <v>4.8828125E-4</v>
      </c>
      <c r="O630">
        <f t="shared" si="9"/>
        <v>0.874755859375</v>
      </c>
      <c r="Q630" s="90"/>
      <c r="R630" s="89"/>
      <c r="S630" s="89"/>
    </row>
    <row r="631" spans="1:19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19.657183458198954</v>
      </c>
      <c r="H631">
        <v>8.6568749999999992E-4</v>
      </c>
      <c r="I631">
        <v>-0.51931769779901749</v>
      </c>
      <c r="J631">
        <v>-4.4956683951338691E-4</v>
      </c>
      <c r="M631">
        <v>19.657183458198954</v>
      </c>
      <c r="N631">
        <v>2.44140625E-4</v>
      </c>
      <c r="O631">
        <f t="shared" si="9"/>
        <v>0.875</v>
      </c>
      <c r="Q631" s="90"/>
      <c r="R631" s="89"/>
      <c r="S631" s="89"/>
    </row>
    <row r="632" spans="1:19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5.616338130913987</v>
      </c>
      <c r="H632">
        <v>1.0280039062499999E-3</v>
      </c>
      <c r="I632">
        <v>-0.82926851746249697</v>
      </c>
      <c r="J632">
        <v>-8.5249127528159313E-4</v>
      </c>
      <c r="M632">
        <v>20.937943039706855</v>
      </c>
      <c r="N632">
        <v>4.8828125E-4</v>
      </c>
      <c r="O632">
        <f t="shared" si="9"/>
        <v>0.87548828125</v>
      </c>
      <c r="Q632" s="90"/>
      <c r="R632" s="89"/>
      <c r="S632" s="89"/>
    </row>
    <row r="633" spans="1:19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16.849014392741964</v>
      </c>
      <c r="H633">
        <v>2.1702304687499997E-3</v>
      </c>
      <c r="I633">
        <v>-0.57027657696444012</v>
      </c>
      <c r="J633">
        <v>-1.2376316029426822E-3</v>
      </c>
      <c r="M633">
        <v>20.937943039706855</v>
      </c>
      <c r="N633">
        <v>9.765625E-4</v>
      </c>
      <c r="O633">
        <f t="shared" si="9"/>
        <v>0.87646484375</v>
      </c>
      <c r="Q633" s="90"/>
      <c r="R633" s="89"/>
      <c r="S633" s="89"/>
    </row>
    <row r="634" spans="1:19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25.273521589112942</v>
      </c>
      <c r="H634">
        <v>1.3706718749999999E-3</v>
      </c>
      <c r="I634">
        <v>-0.4306538173458283</v>
      </c>
      <c r="J634">
        <v>-5.9028507529731403E-4</v>
      </c>
      <c r="M634">
        <v>20.937943039706855</v>
      </c>
      <c r="N634">
        <v>4.8828125E-4</v>
      </c>
      <c r="O634">
        <f t="shared" si="9"/>
        <v>0.876953125</v>
      </c>
      <c r="Q634" s="90"/>
      <c r="R634" s="89"/>
      <c r="S634" s="89"/>
    </row>
    <row r="635" spans="1:19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2.8081690654569935</v>
      </c>
      <c r="H635">
        <v>2.1702304687499997E-3</v>
      </c>
      <c r="I635">
        <v>-0.91064181622770701</v>
      </c>
      <c r="J635">
        <v>-1.9763026156952076E-3</v>
      </c>
      <c r="M635">
        <v>20.937943039706855</v>
      </c>
      <c r="N635">
        <v>9.765625E-4</v>
      </c>
      <c r="O635">
        <f t="shared" si="9"/>
        <v>0.8779296875</v>
      </c>
      <c r="Q635" s="90"/>
      <c r="R635" s="89"/>
      <c r="S635" s="89"/>
    </row>
    <row r="636" spans="1:19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14.040845327284968</v>
      </c>
      <c r="H636">
        <v>4.5815976562499994E-3</v>
      </c>
      <c r="I636">
        <v>-0.62623587759980681</v>
      </c>
      <c r="J636">
        <v>-2.8691608290709364E-3</v>
      </c>
      <c r="M636">
        <v>20.937943039706855</v>
      </c>
      <c r="N636">
        <v>1.953125E-3</v>
      </c>
      <c r="O636">
        <f t="shared" si="9"/>
        <v>0.8798828125</v>
      </c>
      <c r="Q636" s="90"/>
      <c r="R636" s="89"/>
      <c r="S636" s="89"/>
    </row>
    <row r="637" spans="1:19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22.465352523655948</v>
      </c>
      <c r="H637">
        <v>2.8936406249999995E-3</v>
      </c>
      <c r="I637">
        <v>-0.47291241152288888</v>
      </c>
      <c r="J637">
        <v>-1.3684385660493491E-3</v>
      </c>
      <c r="M637">
        <v>20.937943039706855</v>
      </c>
      <c r="N637">
        <v>9.765625E-4</v>
      </c>
      <c r="O637">
        <f t="shared" si="9"/>
        <v>0.880859375</v>
      </c>
      <c r="Q637" s="90"/>
      <c r="R637" s="89"/>
      <c r="S637" s="89"/>
    </row>
    <row r="638" spans="1:19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1.3706718749999999E-3</v>
      </c>
      <c r="I638">
        <v>-1</v>
      </c>
      <c r="J638">
        <v>-1.3706718749999999E-3</v>
      </c>
      <c r="M638">
        <v>20.937943039706855</v>
      </c>
      <c r="N638">
        <v>4.8828125E-4</v>
      </c>
      <c r="O638">
        <f t="shared" si="9"/>
        <v>0.88134765625</v>
      </c>
      <c r="Q638" s="90"/>
      <c r="R638" s="89"/>
      <c r="S638" s="89"/>
    </row>
    <row r="639" spans="1:19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11.232676261827974</v>
      </c>
      <c r="H639">
        <v>2.8936406249999995E-3</v>
      </c>
      <c r="I639">
        <v>-0.6876862740544476</v>
      </c>
      <c r="J639">
        <v>-1.9899169398588327E-3</v>
      </c>
      <c r="M639">
        <v>20.937943039706855</v>
      </c>
      <c r="N639">
        <v>9.765625E-4</v>
      </c>
      <c r="O639">
        <f t="shared" si="9"/>
        <v>0.88232421875</v>
      </c>
      <c r="Q639" s="90"/>
      <c r="R639" s="89"/>
      <c r="S639" s="89"/>
    </row>
    <row r="640" spans="1:19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19.657183458198954</v>
      </c>
      <c r="H640">
        <v>1.8275624999999998E-3</v>
      </c>
      <c r="I640">
        <v>-0.51931769779901749</v>
      </c>
      <c r="J640">
        <v>-9.4908555008381672E-4</v>
      </c>
      <c r="M640">
        <v>20.937943039706855</v>
      </c>
      <c r="N640">
        <v>4.8828125E-4</v>
      </c>
      <c r="O640">
        <f t="shared" si="9"/>
        <v>0.8828125</v>
      </c>
      <c r="Q640" s="90"/>
      <c r="R640" s="89"/>
      <c r="S640" s="89"/>
    </row>
    <row r="641" spans="1:19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5.616338130913987</v>
      </c>
      <c r="H641">
        <v>6.4926562499999999E-4</v>
      </c>
      <c r="I641">
        <v>-0.82926851746249697</v>
      </c>
      <c r="J641">
        <v>-5.3841554228311152E-4</v>
      </c>
      <c r="M641">
        <v>22.465352523655948</v>
      </c>
      <c r="N641">
        <v>1.953125E-3</v>
      </c>
      <c r="O641">
        <f t="shared" si="9"/>
        <v>0.884765625</v>
      </c>
      <c r="Q641" s="90"/>
      <c r="R641" s="89"/>
      <c r="S641" s="89"/>
    </row>
    <row r="642" spans="1:19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16.849014392741964</v>
      </c>
      <c r="H642">
        <v>1.3706718749999997E-3</v>
      </c>
      <c r="I642">
        <v>-0.57027657696444012</v>
      </c>
      <c r="J642">
        <v>-7.8166206501643074E-4</v>
      </c>
      <c r="M642">
        <v>22.465352523655948</v>
      </c>
      <c r="N642">
        <v>3.90625E-3</v>
      </c>
      <c r="O642">
        <f t="shared" si="9"/>
        <v>0.888671875</v>
      </c>
      <c r="Q642" s="90"/>
      <c r="R642" s="89"/>
      <c r="S642" s="89"/>
    </row>
    <row r="643" spans="1:19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25.273521589112942</v>
      </c>
      <c r="H643">
        <v>8.6568749999999992E-4</v>
      </c>
      <c r="I643">
        <v>-0.4306538173458283</v>
      </c>
      <c r="J643">
        <v>-3.7281162650356671E-4</v>
      </c>
      <c r="M643">
        <v>22.465352523655948</v>
      </c>
      <c r="N643">
        <v>1.953125E-3</v>
      </c>
      <c r="O643">
        <f t="shared" si="9"/>
        <v>0.890625</v>
      </c>
      <c r="Q643" s="90"/>
      <c r="R643" s="89"/>
      <c r="S643" s="89"/>
    </row>
    <row r="644" spans="1:19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2.8081690654569935</v>
      </c>
      <c r="H644">
        <v>1.3706718749999997E-3</v>
      </c>
      <c r="I644">
        <v>-0.91064181622770701</v>
      </c>
      <c r="J644">
        <v>-1.2481911257022364E-3</v>
      </c>
      <c r="M644">
        <v>22.465352523655948</v>
      </c>
      <c r="N644">
        <v>3.90625E-3</v>
      </c>
      <c r="O644">
        <f t="shared" ref="O644:O707" si="10">N644+O643</f>
        <v>0.89453125</v>
      </c>
      <c r="Q644" s="90"/>
      <c r="R644" s="89"/>
      <c r="S644" s="89"/>
    </row>
    <row r="645" spans="1:19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14.040845327284968</v>
      </c>
      <c r="H645">
        <v>2.8936406249999991E-3</v>
      </c>
      <c r="I645">
        <v>-0.62623587759980681</v>
      </c>
      <c r="J645">
        <v>-1.812101576255328E-3</v>
      </c>
      <c r="M645">
        <v>22.465352523655948</v>
      </c>
      <c r="N645">
        <v>7.8125E-3</v>
      </c>
      <c r="O645">
        <f t="shared" si="10"/>
        <v>0.90234375</v>
      </c>
      <c r="Q645" s="90"/>
      <c r="R645" s="89"/>
      <c r="S645" s="89"/>
    </row>
    <row r="646" spans="1:19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22.465352523655948</v>
      </c>
      <c r="H646">
        <v>1.8275624999999993E-3</v>
      </c>
      <c r="I646">
        <v>-0.47291241152288888</v>
      </c>
      <c r="J646">
        <v>-8.6427698908379932E-4</v>
      </c>
      <c r="M646">
        <v>22.465352523655948</v>
      </c>
      <c r="N646">
        <v>3.90625E-3</v>
      </c>
      <c r="O646">
        <f t="shared" si="10"/>
        <v>0.90625</v>
      </c>
      <c r="Q646" s="90"/>
      <c r="R646" s="89"/>
      <c r="S646" s="89"/>
    </row>
    <row r="647" spans="1:19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8.6568749999999992E-4</v>
      </c>
      <c r="I647">
        <v>-1</v>
      </c>
      <c r="J647">
        <v>-8.6568749999999992E-4</v>
      </c>
      <c r="M647">
        <v>22.465352523655948</v>
      </c>
      <c r="N647">
        <v>1.953125E-3</v>
      </c>
      <c r="O647">
        <f t="shared" si="10"/>
        <v>0.908203125</v>
      </c>
      <c r="Q647" s="90"/>
      <c r="R647" s="89"/>
      <c r="S647" s="89"/>
    </row>
    <row r="648" spans="1:19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11.232676261827974</v>
      </c>
      <c r="H648">
        <v>1.8275624999999995E-3</v>
      </c>
      <c r="I648">
        <v>-0.6876862740544476</v>
      </c>
      <c r="J648">
        <v>-1.2567896462266311E-3</v>
      </c>
      <c r="M648">
        <v>22.465352523655948</v>
      </c>
      <c r="N648">
        <v>3.90625E-3</v>
      </c>
      <c r="O648">
        <f t="shared" si="10"/>
        <v>0.912109375</v>
      </c>
      <c r="Q648" s="90"/>
      <c r="R648" s="89"/>
      <c r="S648" s="89"/>
    </row>
    <row r="649" spans="1:19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19.657183458198954</v>
      </c>
      <c r="H649">
        <v>1.1542499999999997E-3</v>
      </c>
      <c r="I649">
        <v>-0.51931769779901749</v>
      </c>
      <c r="J649">
        <v>-5.994224526845158E-4</v>
      </c>
      <c r="M649">
        <v>22.465352523655948</v>
      </c>
      <c r="N649">
        <v>1.953125E-3</v>
      </c>
      <c r="O649">
        <f t="shared" si="10"/>
        <v>0.9140625</v>
      </c>
      <c r="Q649" s="90"/>
      <c r="R649" s="89"/>
      <c r="S649" s="89"/>
    </row>
    <row r="650" spans="1:19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5.616338130913987</v>
      </c>
      <c r="H650">
        <v>2.3066015625000002E-4</v>
      </c>
      <c r="I650">
        <v>-0.82926851746249697</v>
      </c>
      <c r="J650">
        <v>-1.9127920581110542E-4</v>
      </c>
      <c r="M650">
        <v>22.465352523655948</v>
      </c>
      <c r="N650">
        <v>9.765625E-4</v>
      </c>
      <c r="O650">
        <f t="shared" si="10"/>
        <v>0.9150390625</v>
      </c>
      <c r="Q650" s="90"/>
      <c r="R650" s="89"/>
      <c r="S650" s="89"/>
    </row>
    <row r="651" spans="1:19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16.849014392741964</v>
      </c>
      <c r="H651">
        <v>4.8694921874999997E-4</v>
      </c>
      <c r="I651">
        <v>-0.57027657696444012</v>
      </c>
      <c r="J651">
        <v>-2.7769573362425835E-4</v>
      </c>
      <c r="M651">
        <v>22.465352523655948</v>
      </c>
      <c r="N651">
        <v>1.953125E-3</v>
      </c>
      <c r="O651">
        <f t="shared" si="10"/>
        <v>0.9169921875</v>
      </c>
      <c r="Q651" s="90"/>
      <c r="R651" s="89"/>
      <c r="S651" s="89"/>
    </row>
    <row r="652" spans="1:19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25.273521589112942</v>
      </c>
      <c r="H652">
        <v>3.0754687499999999E-4</v>
      </c>
      <c r="I652">
        <v>-0.4306538173458283</v>
      </c>
      <c r="J652">
        <v>-1.3244623573153028E-4</v>
      </c>
      <c r="M652">
        <v>22.465352523655948</v>
      </c>
      <c r="N652">
        <v>9.765625E-4</v>
      </c>
      <c r="O652">
        <f t="shared" si="10"/>
        <v>0.91796875</v>
      </c>
      <c r="Q652" s="90"/>
      <c r="R652" s="89"/>
      <c r="S652" s="89"/>
    </row>
    <row r="653" spans="1:19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2.8081690654569935</v>
      </c>
      <c r="H653">
        <v>4.8694921874999997E-4</v>
      </c>
      <c r="I653">
        <v>-0.91064181622770701</v>
      </c>
      <c r="J653">
        <v>-4.4343632097316299E-4</v>
      </c>
      <c r="M653">
        <v>22.465352523655948</v>
      </c>
      <c r="N653">
        <v>1.953125E-3</v>
      </c>
      <c r="O653">
        <f t="shared" si="10"/>
        <v>0.919921875</v>
      </c>
      <c r="Q653" s="90"/>
      <c r="R653" s="89"/>
      <c r="S653" s="89"/>
    </row>
    <row r="654" spans="1:19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14.040845327284968</v>
      </c>
      <c r="H654">
        <v>1.0280039062499999E-3</v>
      </c>
      <c r="I654">
        <v>-0.62623587759980681</v>
      </c>
      <c r="J654">
        <v>-6.4377292840649819E-4</v>
      </c>
      <c r="M654">
        <v>22.465352523655948</v>
      </c>
      <c r="N654">
        <v>3.90625E-3</v>
      </c>
      <c r="O654">
        <f t="shared" si="10"/>
        <v>0.923828125</v>
      </c>
      <c r="Q654" s="90"/>
      <c r="R654" s="89"/>
      <c r="S654" s="89"/>
    </row>
    <row r="655" spans="1:19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22.465352523655948</v>
      </c>
      <c r="H655">
        <v>6.4926562499999999E-4</v>
      </c>
      <c r="I655">
        <v>-0.47291241152288888</v>
      </c>
      <c r="J655">
        <v>-3.0704577243766563E-4</v>
      </c>
      <c r="M655">
        <v>22.465352523655948</v>
      </c>
      <c r="N655">
        <v>1.953125E-3</v>
      </c>
      <c r="O655">
        <f t="shared" si="10"/>
        <v>0.92578125</v>
      </c>
      <c r="Q655" s="90"/>
      <c r="R655" s="89"/>
      <c r="S655" s="89"/>
    </row>
    <row r="656" spans="1:19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3.0754687500000004E-4</v>
      </c>
      <c r="I656">
        <v>-1</v>
      </c>
      <c r="J656">
        <v>-3.0754687500000004E-4</v>
      </c>
      <c r="M656">
        <v>22.465352523655948</v>
      </c>
      <c r="N656">
        <v>9.765625E-4</v>
      </c>
      <c r="O656">
        <f t="shared" si="10"/>
        <v>0.9267578125</v>
      </c>
      <c r="Q656" s="90"/>
      <c r="R656" s="89"/>
      <c r="S656" s="89"/>
    </row>
    <row r="657" spans="1:19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11.232676261827974</v>
      </c>
      <c r="H657">
        <v>6.4926562499999999E-4</v>
      </c>
      <c r="I657">
        <v>-0.6876862740544476</v>
      </c>
      <c r="J657">
        <v>-4.4649105852788223E-4</v>
      </c>
      <c r="M657">
        <v>22.465352523655948</v>
      </c>
      <c r="N657">
        <v>1.953125E-3</v>
      </c>
      <c r="O657">
        <f t="shared" si="10"/>
        <v>0.9287109375</v>
      </c>
      <c r="Q657" s="90"/>
      <c r="R657" s="89"/>
      <c r="S657" s="89"/>
    </row>
    <row r="658" spans="1:19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19.657183458198954</v>
      </c>
      <c r="H658">
        <v>4.100625E-4</v>
      </c>
      <c r="I658">
        <v>-0.51931769779901749</v>
      </c>
      <c r="J658">
        <v>-2.1295271345370961E-4</v>
      </c>
      <c r="M658">
        <v>22.465352523655948</v>
      </c>
      <c r="N658">
        <v>9.765625E-4</v>
      </c>
      <c r="O658">
        <f t="shared" si="10"/>
        <v>0.9296875</v>
      </c>
      <c r="Q658" s="90"/>
      <c r="R658" s="89"/>
      <c r="S658" s="89"/>
    </row>
    <row r="659" spans="1:19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5.616338130913987</v>
      </c>
      <c r="H659">
        <v>4.8694921875000008E-4</v>
      </c>
      <c r="I659">
        <v>-0.82926851746249697</v>
      </c>
      <c r="J659">
        <v>-4.0381165671233367E-4</v>
      </c>
      <c r="M659">
        <v>22.465352523655948</v>
      </c>
      <c r="N659">
        <v>4.8828125E-4</v>
      </c>
      <c r="O659">
        <f t="shared" si="10"/>
        <v>0.93017578125</v>
      </c>
      <c r="Q659" s="90"/>
      <c r="R659" s="89"/>
      <c r="S659" s="89"/>
    </row>
    <row r="660" spans="1:19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16.849014392741964</v>
      </c>
      <c r="H660">
        <v>1.0280039062500002E-3</v>
      </c>
      <c r="I660">
        <v>-0.57027657696444012</v>
      </c>
      <c r="J660">
        <v>-5.8624654876232335E-4</v>
      </c>
      <c r="M660">
        <v>22.465352523655948</v>
      </c>
      <c r="N660">
        <v>9.765625E-4</v>
      </c>
      <c r="O660">
        <f t="shared" si="10"/>
        <v>0.93115234375</v>
      </c>
      <c r="Q660" s="90"/>
      <c r="R660" s="89"/>
      <c r="S660" s="89"/>
    </row>
    <row r="661" spans="1:19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25.273521589112942</v>
      </c>
      <c r="H661">
        <v>6.492656250000001E-4</v>
      </c>
      <c r="I661">
        <v>-0.4306538173458283</v>
      </c>
      <c r="J661">
        <v>-2.7960871987767509E-4</v>
      </c>
      <c r="M661">
        <v>22.465352523655948</v>
      </c>
      <c r="N661">
        <v>4.8828125E-4</v>
      </c>
      <c r="O661">
        <f t="shared" si="10"/>
        <v>0.931640625</v>
      </c>
      <c r="Q661" s="90"/>
      <c r="R661" s="89"/>
      <c r="S661" s="89"/>
    </row>
    <row r="662" spans="1:19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2.8081690654569935</v>
      </c>
      <c r="H662">
        <v>1.0280039062499999E-3</v>
      </c>
      <c r="I662">
        <v>-0.91064181622770701</v>
      </c>
      <c r="J662">
        <v>-9.3614334427667744E-4</v>
      </c>
      <c r="M662">
        <v>22.465352523655948</v>
      </c>
      <c r="N662">
        <v>9.765625E-4</v>
      </c>
      <c r="O662">
        <f t="shared" si="10"/>
        <v>0.9326171875</v>
      </c>
      <c r="Q662" s="90"/>
      <c r="R662" s="89"/>
      <c r="S662" s="89"/>
    </row>
    <row r="663" spans="1:19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14.040845327284968</v>
      </c>
      <c r="H663">
        <v>2.1702304687499997E-3</v>
      </c>
      <c r="I663">
        <v>-0.62623587759980681</v>
      </c>
      <c r="J663">
        <v>-1.3590761821914961E-3</v>
      </c>
      <c r="M663">
        <v>22.465352523655948</v>
      </c>
      <c r="N663">
        <v>1.953125E-3</v>
      </c>
      <c r="O663">
        <f t="shared" si="10"/>
        <v>0.9345703125</v>
      </c>
      <c r="Q663" s="90"/>
      <c r="R663" s="89"/>
      <c r="S663" s="89"/>
    </row>
    <row r="664" spans="1:19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22.465352523655948</v>
      </c>
      <c r="H664">
        <v>1.3706718749999999E-3</v>
      </c>
      <c r="I664">
        <v>-0.47291241152288888</v>
      </c>
      <c r="J664">
        <v>-6.4820774181284968E-4</v>
      </c>
      <c r="M664">
        <v>22.465352523655948</v>
      </c>
      <c r="N664">
        <v>9.765625E-4</v>
      </c>
      <c r="O664">
        <f t="shared" si="10"/>
        <v>0.935546875</v>
      </c>
      <c r="Q664" s="90"/>
      <c r="R664" s="89"/>
      <c r="S664" s="89"/>
    </row>
    <row r="665" spans="1:19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6.492656250000001E-4</v>
      </c>
      <c r="I665">
        <v>-1</v>
      </c>
      <c r="J665">
        <v>-6.492656250000001E-4</v>
      </c>
      <c r="M665">
        <v>22.465352523655948</v>
      </c>
      <c r="N665">
        <v>4.8828125E-4</v>
      </c>
      <c r="O665">
        <f t="shared" si="10"/>
        <v>0.93603515625</v>
      </c>
      <c r="Q665" s="90"/>
      <c r="R665" s="89"/>
      <c r="S665" s="89"/>
    </row>
    <row r="666" spans="1:19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11.232676261827974</v>
      </c>
      <c r="H666">
        <v>1.3706718749999999E-3</v>
      </c>
      <c r="I666">
        <v>-0.6876862740544476</v>
      </c>
      <c r="J666">
        <v>-9.4259223466997347E-4</v>
      </c>
      <c r="M666">
        <v>22.465352523655948</v>
      </c>
      <c r="N666">
        <v>9.765625E-4</v>
      </c>
      <c r="O666">
        <f t="shared" si="10"/>
        <v>0.93701171875</v>
      </c>
      <c r="Q666" s="90"/>
      <c r="R666" s="89"/>
      <c r="S666" s="89"/>
    </row>
    <row r="667" spans="1:19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19.657183458198954</v>
      </c>
      <c r="H667">
        <v>8.6568750000000003E-4</v>
      </c>
      <c r="I667">
        <v>-0.51931769779901749</v>
      </c>
      <c r="J667">
        <v>-4.4956683951338696E-4</v>
      </c>
      <c r="M667">
        <v>22.465352523655948</v>
      </c>
      <c r="N667">
        <v>4.8828125E-4</v>
      </c>
      <c r="O667">
        <f t="shared" si="10"/>
        <v>0.9375</v>
      </c>
      <c r="Q667" s="90"/>
      <c r="R667" s="89"/>
      <c r="S667" s="89"/>
    </row>
    <row r="668" spans="1:19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5.616338130913987</v>
      </c>
      <c r="H668">
        <v>3.0754687500000004E-4</v>
      </c>
      <c r="I668">
        <v>-0.82926851746249697</v>
      </c>
      <c r="J668">
        <v>-2.5503894108147389E-4</v>
      </c>
      <c r="M668">
        <v>22.465352523655948</v>
      </c>
      <c r="N668">
        <v>9.765625E-4</v>
      </c>
      <c r="O668">
        <f t="shared" si="10"/>
        <v>0.9384765625</v>
      </c>
      <c r="Q668" s="90"/>
      <c r="R668" s="89"/>
      <c r="S668" s="89"/>
    </row>
    <row r="669" spans="1:19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16.849014392741964</v>
      </c>
      <c r="H669">
        <v>6.4926562499999999E-4</v>
      </c>
      <c r="I669">
        <v>-0.57027657696444012</v>
      </c>
      <c r="J669">
        <v>-3.7026097816567782E-4</v>
      </c>
      <c r="M669">
        <v>22.465352523655948</v>
      </c>
      <c r="N669">
        <v>1.953125E-3</v>
      </c>
      <c r="O669">
        <f t="shared" si="10"/>
        <v>0.9404296875</v>
      </c>
      <c r="Q669" s="90"/>
      <c r="R669" s="89"/>
      <c r="S669" s="89"/>
    </row>
    <row r="670" spans="1:19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25.273521589112942</v>
      </c>
      <c r="H670">
        <v>4.100625E-4</v>
      </c>
      <c r="I670">
        <v>-0.4306538173458283</v>
      </c>
      <c r="J670">
        <v>-1.7659498097537371E-4</v>
      </c>
      <c r="M670">
        <v>22.465352523655948</v>
      </c>
      <c r="N670">
        <v>9.765625E-4</v>
      </c>
      <c r="O670">
        <f t="shared" si="10"/>
        <v>0.94140625</v>
      </c>
      <c r="Q670" s="90"/>
      <c r="R670" s="89"/>
      <c r="S670" s="89"/>
    </row>
    <row r="671" spans="1:19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2.8081690654569935</v>
      </c>
      <c r="H671">
        <v>6.4926562499999999E-4</v>
      </c>
      <c r="I671">
        <v>-0.91064181622770701</v>
      </c>
      <c r="J671">
        <v>-5.9124842796421729E-4</v>
      </c>
      <c r="M671">
        <v>22.465352523655948</v>
      </c>
      <c r="N671">
        <v>1.953125E-3</v>
      </c>
      <c r="O671">
        <f t="shared" si="10"/>
        <v>0.943359375</v>
      </c>
      <c r="Q671" s="90"/>
      <c r="R671" s="89"/>
      <c r="S671" s="89"/>
    </row>
    <row r="672" spans="1:19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14.040845327284968</v>
      </c>
      <c r="H672">
        <v>1.3706718749999997E-3</v>
      </c>
      <c r="I672">
        <v>-0.62623587759980681</v>
      </c>
      <c r="J672">
        <v>-8.5836390454199752E-4</v>
      </c>
      <c r="M672">
        <v>22.465352523655948</v>
      </c>
      <c r="N672">
        <v>3.90625E-3</v>
      </c>
      <c r="O672">
        <f t="shared" si="10"/>
        <v>0.947265625</v>
      </c>
      <c r="Q672" s="90"/>
      <c r="R672" s="89"/>
      <c r="S672" s="89"/>
    </row>
    <row r="673" spans="1:19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22.465352523655948</v>
      </c>
      <c r="H673">
        <v>8.6568749999999992E-4</v>
      </c>
      <c r="I673">
        <v>-0.47291241152288888</v>
      </c>
      <c r="J673">
        <v>-4.093943632502208E-4</v>
      </c>
      <c r="M673">
        <v>22.465352523655948</v>
      </c>
      <c r="N673">
        <v>1.953125E-3</v>
      </c>
      <c r="O673">
        <f t="shared" si="10"/>
        <v>0.94921875</v>
      </c>
      <c r="Q673" s="90"/>
      <c r="R673" s="89"/>
      <c r="S673" s="89"/>
    </row>
    <row r="674" spans="1:19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4.100625E-4</v>
      </c>
      <c r="I674">
        <v>-1</v>
      </c>
      <c r="J674">
        <v>-4.100625E-4</v>
      </c>
      <c r="M674">
        <v>22.465352523655948</v>
      </c>
      <c r="N674">
        <v>9.765625E-4</v>
      </c>
      <c r="O674">
        <f t="shared" si="10"/>
        <v>0.9501953125</v>
      </c>
      <c r="Q674" s="90"/>
      <c r="R674" s="89"/>
      <c r="S674" s="89"/>
    </row>
    <row r="675" spans="1:19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11.232676261827974</v>
      </c>
      <c r="H675">
        <v>8.6568749999999992E-4</v>
      </c>
      <c r="I675">
        <v>-0.6876862740544476</v>
      </c>
      <c r="J675">
        <v>-5.953214113705096E-4</v>
      </c>
      <c r="M675">
        <v>22.465352523655948</v>
      </c>
      <c r="N675">
        <v>1.953125E-3</v>
      </c>
      <c r="O675">
        <f t="shared" si="10"/>
        <v>0.9521484375</v>
      </c>
      <c r="Q675" s="90"/>
      <c r="R675" s="89"/>
      <c r="S675" s="89"/>
    </row>
    <row r="676" spans="1:19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19.657183458198954</v>
      </c>
      <c r="H676">
        <v>5.4674999999999993E-4</v>
      </c>
      <c r="I676">
        <v>-0.51931769779901749</v>
      </c>
      <c r="J676">
        <v>-2.8393695127161279E-4</v>
      </c>
      <c r="M676">
        <v>22.465352523655948</v>
      </c>
      <c r="N676">
        <v>9.765625E-4</v>
      </c>
      <c r="O676">
        <f t="shared" si="10"/>
        <v>0.953125</v>
      </c>
      <c r="Q676" s="90"/>
      <c r="R676" s="89"/>
      <c r="S676" s="89"/>
    </row>
    <row r="677" spans="1:19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5.616338130913987</v>
      </c>
      <c r="H677">
        <v>4.8694921874999997E-4</v>
      </c>
      <c r="I677">
        <v>-0.82926851746249697</v>
      </c>
      <c r="J677">
        <v>-4.0381165671233362E-4</v>
      </c>
      <c r="M677">
        <v>22.465352523655948</v>
      </c>
      <c r="N677">
        <v>4.8828125E-4</v>
      </c>
      <c r="O677">
        <f t="shared" si="10"/>
        <v>0.95361328125</v>
      </c>
      <c r="Q677" s="90"/>
      <c r="R677" s="89"/>
      <c r="S677" s="89"/>
    </row>
    <row r="678" spans="1:19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16.849014392741964</v>
      </c>
      <c r="H678">
        <v>1.0280039062499999E-3</v>
      </c>
      <c r="I678">
        <v>-0.57027657696444012</v>
      </c>
      <c r="J678">
        <v>-5.8624654876232314E-4</v>
      </c>
      <c r="M678">
        <v>22.465352523655948</v>
      </c>
      <c r="N678">
        <v>9.765625E-4</v>
      </c>
      <c r="O678">
        <f t="shared" si="10"/>
        <v>0.95458984375</v>
      </c>
      <c r="Q678" s="90"/>
      <c r="R678" s="89"/>
      <c r="S678" s="89"/>
    </row>
    <row r="679" spans="1:19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25.273521589112942</v>
      </c>
      <c r="H679">
        <v>6.4926562499999999E-4</v>
      </c>
      <c r="I679">
        <v>-0.4306538173458283</v>
      </c>
      <c r="J679">
        <v>-2.7960871987767503E-4</v>
      </c>
      <c r="M679">
        <v>22.465352523655948</v>
      </c>
      <c r="N679">
        <v>4.8828125E-4</v>
      </c>
      <c r="O679">
        <f t="shared" si="10"/>
        <v>0.955078125</v>
      </c>
      <c r="Q679" s="90"/>
      <c r="R679" s="89"/>
      <c r="S679" s="89"/>
    </row>
    <row r="680" spans="1:19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2.8081690654569935</v>
      </c>
      <c r="H680">
        <v>1.0280039062499999E-3</v>
      </c>
      <c r="I680">
        <v>-0.91064181622770701</v>
      </c>
      <c r="J680">
        <v>-9.3614334427667744E-4</v>
      </c>
      <c r="M680">
        <v>22.465352523655948</v>
      </c>
      <c r="N680">
        <v>9.765625E-4</v>
      </c>
      <c r="O680">
        <f t="shared" si="10"/>
        <v>0.9560546875</v>
      </c>
      <c r="Q680" s="90"/>
      <c r="R680" s="89"/>
      <c r="S680" s="89"/>
    </row>
    <row r="681" spans="1:19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14.040845327284968</v>
      </c>
      <c r="H681">
        <v>2.1702304687499993E-3</v>
      </c>
      <c r="I681">
        <v>-0.62623587759980681</v>
      </c>
      <c r="J681">
        <v>-1.3590761821914959E-3</v>
      </c>
      <c r="M681">
        <v>22.465352523655948</v>
      </c>
      <c r="N681">
        <v>1.953125E-3</v>
      </c>
      <c r="O681">
        <f t="shared" si="10"/>
        <v>0.9580078125</v>
      </c>
      <c r="Q681" s="90"/>
      <c r="R681" s="89"/>
      <c r="S681" s="89"/>
    </row>
    <row r="682" spans="1:19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22.465352523655948</v>
      </c>
      <c r="H682">
        <v>1.3706718749999997E-3</v>
      </c>
      <c r="I682">
        <v>-0.47291241152288888</v>
      </c>
      <c r="J682">
        <v>-6.4820774181284957E-4</v>
      </c>
      <c r="M682">
        <v>22.465352523655948</v>
      </c>
      <c r="N682">
        <v>9.765625E-4</v>
      </c>
      <c r="O682">
        <f t="shared" si="10"/>
        <v>0.958984375</v>
      </c>
      <c r="Q682" s="90"/>
      <c r="R682" s="89"/>
      <c r="S682" s="89"/>
    </row>
    <row r="683" spans="1:19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6.4926562499999999E-4</v>
      </c>
      <c r="I683">
        <v>-1</v>
      </c>
      <c r="J683">
        <v>-6.4926562499999999E-4</v>
      </c>
      <c r="M683">
        <v>22.465352523655948</v>
      </c>
      <c r="N683">
        <v>4.8828125E-4</v>
      </c>
      <c r="O683">
        <f t="shared" si="10"/>
        <v>0.95947265625</v>
      </c>
      <c r="Q683" s="90"/>
      <c r="R683" s="89"/>
      <c r="S683" s="89"/>
    </row>
    <row r="684" spans="1:19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11.232676261827974</v>
      </c>
      <c r="H684">
        <v>1.3706718749999997E-3</v>
      </c>
      <c r="I684">
        <v>-0.6876862740544476</v>
      </c>
      <c r="J684">
        <v>-9.4259223466997336E-4</v>
      </c>
      <c r="M684">
        <v>22.465352523655948</v>
      </c>
      <c r="N684">
        <v>9.765625E-4</v>
      </c>
      <c r="O684">
        <f t="shared" si="10"/>
        <v>0.96044921875</v>
      </c>
      <c r="Q684" s="90"/>
      <c r="R684" s="89"/>
      <c r="S684" s="89"/>
    </row>
    <row r="685" spans="1:19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19.657183458198954</v>
      </c>
      <c r="H685">
        <v>8.6568749999999992E-4</v>
      </c>
      <c r="I685">
        <v>-0.51931769779901749</v>
      </c>
      <c r="J685">
        <v>-4.4956683951338691E-4</v>
      </c>
      <c r="M685">
        <v>22.465352523655948</v>
      </c>
      <c r="N685">
        <v>4.8828125E-4</v>
      </c>
      <c r="O685">
        <f t="shared" si="10"/>
        <v>0.9609375</v>
      </c>
      <c r="Q685" s="90"/>
      <c r="R685" s="89"/>
      <c r="S685" s="89"/>
    </row>
    <row r="686" spans="1:19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5.616338130913987</v>
      </c>
      <c r="H686">
        <v>1.0280039062499999E-3</v>
      </c>
      <c r="I686">
        <v>-0.82926851746249697</v>
      </c>
      <c r="J686">
        <v>-8.5249127528159313E-4</v>
      </c>
      <c r="M686">
        <v>25.273521589112942</v>
      </c>
      <c r="N686">
        <v>9.765625E-4</v>
      </c>
      <c r="O686">
        <f t="shared" si="10"/>
        <v>0.9619140625</v>
      </c>
      <c r="Q686" s="90"/>
      <c r="R686" s="89"/>
      <c r="S686" s="89"/>
    </row>
    <row r="687" spans="1:19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16.849014392741964</v>
      </c>
      <c r="H687">
        <v>2.1702304687499997E-3</v>
      </c>
      <c r="I687">
        <v>-0.57027657696444012</v>
      </c>
      <c r="J687">
        <v>-1.2376316029426822E-3</v>
      </c>
      <c r="M687">
        <v>25.273521589112942</v>
      </c>
      <c r="N687">
        <v>1.953125E-3</v>
      </c>
      <c r="O687">
        <f t="shared" si="10"/>
        <v>0.9638671875</v>
      </c>
      <c r="Q687" s="90"/>
      <c r="R687" s="89"/>
      <c r="S687" s="89"/>
    </row>
    <row r="688" spans="1:19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25.273521589112942</v>
      </c>
      <c r="H688">
        <v>1.3706718749999999E-3</v>
      </c>
      <c r="I688">
        <v>-0.4306538173458283</v>
      </c>
      <c r="J688">
        <v>-5.9028507529731403E-4</v>
      </c>
      <c r="M688">
        <v>25.273521589112942</v>
      </c>
      <c r="N688">
        <v>9.765625E-4</v>
      </c>
      <c r="O688">
        <f t="shared" si="10"/>
        <v>0.96484375</v>
      </c>
      <c r="Q688" s="90"/>
      <c r="R688" s="89"/>
      <c r="S688" s="89"/>
    </row>
    <row r="689" spans="1:19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2.8081690654569935</v>
      </c>
      <c r="H689">
        <v>2.1702304687499997E-3</v>
      </c>
      <c r="I689">
        <v>-0.91064181622770701</v>
      </c>
      <c r="J689">
        <v>-1.9763026156952076E-3</v>
      </c>
      <c r="M689">
        <v>25.273521589112942</v>
      </c>
      <c r="N689">
        <v>1.953125E-3</v>
      </c>
      <c r="O689">
        <f t="shared" si="10"/>
        <v>0.966796875</v>
      </c>
      <c r="Q689" s="90"/>
      <c r="R689" s="89"/>
      <c r="S689" s="89"/>
    </row>
    <row r="690" spans="1:19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14.040845327284968</v>
      </c>
      <c r="H690">
        <v>4.5815976562499994E-3</v>
      </c>
      <c r="I690">
        <v>-0.62623587759980681</v>
      </c>
      <c r="J690">
        <v>-2.8691608290709364E-3</v>
      </c>
      <c r="M690">
        <v>25.273521589112942</v>
      </c>
      <c r="N690">
        <v>3.90625E-3</v>
      </c>
      <c r="O690">
        <f t="shared" si="10"/>
        <v>0.970703125</v>
      </c>
      <c r="Q690" s="90"/>
      <c r="R690" s="89"/>
      <c r="S690" s="89"/>
    </row>
    <row r="691" spans="1:19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22.465352523655948</v>
      </c>
      <c r="H691">
        <v>2.8936406249999995E-3</v>
      </c>
      <c r="I691">
        <v>-0.47291241152288888</v>
      </c>
      <c r="J691">
        <v>-1.3684385660493491E-3</v>
      </c>
      <c r="M691">
        <v>25.273521589112942</v>
      </c>
      <c r="N691">
        <v>1.953125E-3</v>
      </c>
      <c r="O691">
        <f t="shared" si="10"/>
        <v>0.97265625</v>
      </c>
      <c r="Q691" s="90"/>
      <c r="R691" s="89"/>
      <c r="S691" s="89"/>
    </row>
    <row r="692" spans="1:19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1.3706718749999999E-3</v>
      </c>
      <c r="I692">
        <v>-1</v>
      </c>
      <c r="J692">
        <v>-1.3706718749999999E-3</v>
      </c>
      <c r="M692">
        <v>25.273521589112942</v>
      </c>
      <c r="N692">
        <v>9.765625E-4</v>
      </c>
      <c r="O692">
        <f t="shared" si="10"/>
        <v>0.9736328125</v>
      </c>
      <c r="Q692" s="90"/>
      <c r="R692" s="89"/>
      <c r="S692" s="89"/>
    </row>
    <row r="693" spans="1:19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11.232676261827974</v>
      </c>
      <c r="H693">
        <v>2.8936406249999995E-3</v>
      </c>
      <c r="I693">
        <v>-0.6876862740544476</v>
      </c>
      <c r="J693">
        <v>-1.9899169398588327E-3</v>
      </c>
      <c r="M693">
        <v>25.273521589112942</v>
      </c>
      <c r="N693">
        <v>1.953125E-3</v>
      </c>
      <c r="O693">
        <f t="shared" si="10"/>
        <v>0.9755859375</v>
      </c>
      <c r="Q693" s="90"/>
      <c r="R693" s="89"/>
      <c r="S693" s="89"/>
    </row>
    <row r="694" spans="1:19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19.657183458198954</v>
      </c>
      <c r="H694">
        <v>1.8275624999999998E-3</v>
      </c>
      <c r="I694">
        <v>-0.51931769779901749</v>
      </c>
      <c r="J694">
        <v>-9.4908555008381672E-4</v>
      </c>
      <c r="M694">
        <v>25.273521589112942</v>
      </c>
      <c r="N694">
        <v>9.765625E-4</v>
      </c>
      <c r="O694">
        <f t="shared" si="10"/>
        <v>0.9765625</v>
      </c>
      <c r="Q694" s="90"/>
      <c r="R694" s="89"/>
      <c r="S694" s="89"/>
    </row>
    <row r="695" spans="1:19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5.616338130913987</v>
      </c>
      <c r="H695">
        <v>6.4926562499999999E-4</v>
      </c>
      <c r="I695">
        <v>-0.82926851746249697</v>
      </c>
      <c r="J695">
        <v>-5.3841554228311152E-4</v>
      </c>
      <c r="M695">
        <v>25.273521589112942</v>
      </c>
      <c r="N695">
        <v>4.8828125E-4</v>
      </c>
      <c r="O695">
        <f t="shared" si="10"/>
        <v>0.97705078125</v>
      </c>
      <c r="Q695" s="90"/>
      <c r="R695" s="89"/>
      <c r="S695" s="89"/>
    </row>
    <row r="696" spans="1:19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16.849014392741964</v>
      </c>
      <c r="H696">
        <v>1.3706718749999997E-3</v>
      </c>
      <c r="I696">
        <v>-0.57027657696444012</v>
      </c>
      <c r="J696">
        <v>-7.8166206501643074E-4</v>
      </c>
      <c r="M696">
        <v>25.273521589112942</v>
      </c>
      <c r="N696">
        <v>9.765625E-4</v>
      </c>
      <c r="O696">
        <f t="shared" si="10"/>
        <v>0.97802734375</v>
      </c>
      <c r="Q696" s="90"/>
      <c r="R696" s="89"/>
      <c r="S696" s="89"/>
    </row>
    <row r="697" spans="1:19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25.273521589112942</v>
      </c>
      <c r="H697">
        <v>8.6568749999999992E-4</v>
      </c>
      <c r="I697">
        <v>-0.4306538173458283</v>
      </c>
      <c r="J697">
        <v>-3.7281162650356671E-4</v>
      </c>
      <c r="M697">
        <v>25.273521589112942</v>
      </c>
      <c r="N697">
        <v>4.8828125E-4</v>
      </c>
      <c r="O697">
        <f t="shared" si="10"/>
        <v>0.978515625</v>
      </c>
      <c r="Q697" s="90"/>
      <c r="R697" s="89"/>
      <c r="S697" s="89"/>
    </row>
    <row r="698" spans="1:19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2.8081690654569935</v>
      </c>
      <c r="H698">
        <v>1.3706718749999997E-3</v>
      </c>
      <c r="I698">
        <v>-0.91064181622770701</v>
      </c>
      <c r="J698">
        <v>-1.2481911257022364E-3</v>
      </c>
      <c r="M698">
        <v>25.273521589112942</v>
      </c>
      <c r="N698">
        <v>9.765625E-4</v>
      </c>
      <c r="O698">
        <f t="shared" si="10"/>
        <v>0.9794921875</v>
      </c>
      <c r="Q698" s="90"/>
      <c r="R698" s="89"/>
      <c r="S698" s="89"/>
    </row>
    <row r="699" spans="1:19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14.040845327284968</v>
      </c>
      <c r="H699">
        <v>2.8936406249999991E-3</v>
      </c>
      <c r="I699">
        <v>-0.62623587759980681</v>
      </c>
      <c r="J699">
        <v>-1.812101576255328E-3</v>
      </c>
      <c r="M699">
        <v>25.273521589112942</v>
      </c>
      <c r="N699">
        <v>1.953125E-3</v>
      </c>
      <c r="O699">
        <f t="shared" si="10"/>
        <v>0.9814453125</v>
      </c>
      <c r="Q699" s="90"/>
      <c r="R699" s="89"/>
      <c r="S699" s="89"/>
    </row>
    <row r="700" spans="1:19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22.465352523655948</v>
      </c>
      <c r="H700">
        <v>1.8275624999999993E-3</v>
      </c>
      <c r="I700">
        <v>-0.47291241152288888</v>
      </c>
      <c r="J700">
        <v>-8.6427698908379932E-4</v>
      </c>
      <c r="M700">
        <v>25.273521589112942</v>
      </c>
      <c r="N700">
        <v>9.765625E-4</v>
      </c>
      <c r="O700">
        <f t="shared" si="10"/>
        <v>0.982421875</v>
      </c>
      <c r="Q700" s="90"/>
      <c r="R700" s="89"/>
      <c r="S700" s="89"/>
    </row>
    <row r="701" spans="1:19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8.6568749999999992E-4</v>
      </c>
      <c r="I701">
        <v>-1</v>
      </c>
      <c r="J701">
        <v>-8.6568749999999992E-4</v>
      </c>
      <c r="M701">
        <v>25.273521589112942</v>
      </c>
      <c r="N701">
        <v>4.8828125E-4</v>
      </c>
      <c r="O701">
        <f t="shared" si="10"/>
        <v>0.98291015625</v>
      </c>
      <c r="Q701" s="90"/>
      <c r="R701" s="89"/>
      <c r="S701" s="89"/>
    </row>
    <row r="702" spans="1:19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11.232676261827974</v>
      </c>
      <c r="H702">
        <v>1.8275624999999995E-3</v>
      </c>
      <c r="I702">
        <v>-0.6876862740544476</v>
      </c>
      <c r="J702">
        <v>-1.2567896462266311E-3</v>
      </c>
      <c r="M702">
        <v>25.273521589112942</v>
      </c>
      <c r="N702">
        <v>9.765625E-4</v>
      </c>
      <c r="O702">
        <f t="shared" si="10"/>
        <v>0.98388671875</v>
      </c>
      <c r="Q702" s="90"/>
      <c r="R702" s="89"/>
      <c r="S702" s="89"/>
    </row>
    <row r="703" spans="1:19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19.657183458198954</v>
      </c>
      <c r="H703">
        <v>1.1542499999999997E-3</v>
      </c>
      <c r="I703">
        <v>-0.51931769779901749</v>
      </c>
      <c r="J703">
        <v>-5.994224526845158E-4</v>
      </c>
      <c r="M703">
        <v>25.273521589112942</v>
      </c>
      <c r="N703">
        <v>4.8828125E-4</v>
      </c>
      <c r="O703">
        <f t="shared" si="10"/>
        <v>0.984375</v>
      </c>
      <c r="Q703" s="90"/>
      <c r="R703" s="89"/>
      <c r="S703" s="89"/>
    </row>
    <row r="704" spans="1:19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5.616338130913987</v>
      </c>
      <c r="H704">
        <v>3.0754687500000004E-4</v>
      </c>
      <c r="I704">
        <v>-0.82926851746249697</v>
      </c>
      <c r="J704">
        <v>-2.5503894108147389E-4</v>
      </c>
      <c r="M704">
        <v>25.273521589112942</v>
      </c>
      <c r="N704">
        <v>2.44140625E-4</v>
      </c>
      <c r="O704">
        <f t="shared" si="10"/>
        <v>0.984619140625</v>
      </c>
      <c r="Q704" s="90"/>
      <c r="R704" s="89"/>
      <c r="S704" s="89"/>
    </row>
    <row r="705" spans="1:19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16.849014392741964</v>
      </c>
      <c r="H705">
        <v>6.4926562499999999E-4</v>
      </c>
      <c r="I705">
        <v>-0.57027657696444012</v>
      </c>
      <c r="J705">
        <v>-3.7026097816567782E-4</v>
      </c>
      <c r="M705">
        <v>25.273521589112942</v>
      </c>
      <c r="N705">
        <v>4.8828125E-4</v>
      </c>
      <c r="O705">
        <f t="shared" si="10"/>
        <v>0.985107421875</v>
      </c>
      <c r="Q705" s="90"/>
      <c r="R705" s="89"/>
      <c r="S705" s="89"/>
    </row>
    <row r="706" spans="1:19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25.273521589112942</v>
      </c>
      <c r="H706">
        <v>4.100625E-4</v>
      </c>
      <c r="I706">
        <v>-0.4306538173458283</v>
      </c>
      <c r="J706">
        <v>-1.7659498097537371E-4</v>
      </c>
      <c r="M706">
        <v>25.273521589112942</v>
      </c>
      <c r="N706">
        <v>2.44140625E-4</v>
      </c>
      <c r="O706">
        <f t="shared" si="10"/>
        <v>0.9853515625</v>
      </c>
      <c r="Q706" s="90"/>
      <c r="R706" s="89"/>
      <c r="S706" s="89"/>
    </row>
    <row r="707" spans="1:19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2.8081690654569935</v>
      </c>
      <c r="H707">
        <v>6.4926562499999999E-4</v>
      </c>
      <c r="I707">
        <v>-0.91064181622770701</v>
      </c>
      <c r="J707">
        <v>-5.9124842796421729E-4</v>
      </c>
      <c r="M707">
        <v>25.273521589112942</v>
      </c>
      <c r="N707">
        <v>4.8828125E-4</v>
      </c>
      <c r="O707">
        <f t="shared" si="10"/>
        <v>0.98583984375</v>
      </c>
      <c r="Q707" s="90"/>
      <c r="R707" s="89"/>
      <c r="S707" s="89"/>
    </row>
    <row r="708" spans="1:19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14.040845327284968</v>
      </c>
      <c r="H708">
        <v>1.3706718749999997E-3</v>
      </c>
      <c r="I708">
        <v>-0.62623587759980681</v>
      </c>
      <c r="J708">
        <v>-8.5836390454199752E-4</v>
      </c>
      <c r="M708">
        <v>25.273521589112942</v>
      </c>
      <c r="N708">
        <v>9.765625E-4</v>
      </c>
      <c r="O708">
        <f t="shared" ref="O708:O730" si="11">N708+O707</f>
        <v>0.98681640625</v>
      </c>
      <c r="Q708" s="90"/>
      <c r="R708" s="89"/>
      <c r="S708" s="89"/>
    </row>
    <row r="709" spans="1:19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22.465352523655948</v>
      </c>
      <c r="H709">
        <v>8.6568749999999992E-4</v>
      </c>
      <c r="I709">
        <v>-0.47291241152288888</v>
      </c>
      <c r="J709">
        <v>-4.093943632502208E-4</v>
      </c>
      <c r="M709">
        <v>25.273521589112942</v>
      </c>
      <c r="N709">
        <v>4.8828125E-4</v>
      </c>
      <c r="O709">
        <f t="shared" si="11"/>
        <v>0.9873046875</v>
      </c>
      <c r="Q709" s="90"/>
      <c r="R709" s="89"/>
      <c r="S709" s="89"/>
    </row>
    <row r="710" spans="1:19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4.100625E-4</v>
      </c>
      <c r="I710">
        <v>-1</v>
      </c>
      <c r="J710">
        <v>-4.100625E-4</v>
      </c>
      <c r="M710">
        <v>25.273521589112942</v>
      </c>
      <c r="N710">
        <v>2.44140625E-4</v>
      </c>
      <c r="O710">
        <f t="shared" si="11"/>
        <v>0.987548828125</v>
      </c>
      <c r="Q710" s="90"/>
      <c r="R710" s="89"/>
      <c r="S710" s="89"/>
    </row>
    <row r="711" spans="1:19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11.232676261827974</v>
      </c>
      <c r="H711">
        <v>8.6568749999999992E-4</v>
      </c>
      <c r="I711">
        <v>-0.6876862740544476</v>
      </c>
      <c r="J711">
        <v>-5.953214113705096E-4</v>
      </c>
      <c r="M711">
        <v>25.273521589112942</v>
      </c>
      <c r="N711">
        <v>4.8828125E-4</v>
      </c>
      <c r="O711">
        <f t="shared" si="11"/>
        <v>0.988037109375</v>
      </c>
      <c r="Q711" s="90"/>
      <c r="R711" s="89"/>
      <c r="S711" s="89"/>
    </row>
    <row r="712" spans="1:19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19.657183458198954</v>
      </c>
      <c r="H712">
        <v>5.4674999999999993E-4</v>
      </c>
      <c r="I712">
        <v>-0.51931769779901749</v>
      </c>
      <c r="J712">
        <v>-2.8393695127161279E-4</v>
      </c>
      <c r="M712">
        <v>25.273521589112942</v>
      </c>
      <c r="N712">
        <v>2.44140625E-4</v>
      </c>
      <c r="O712">
        <f t="shared" si="11"/>
        <v>0.98828125</v>
      </c>
      <c r="Q712" s="90"/>
      <c r="R712" s="89"/>
      <c r="S712" s="89"/>
    </row>
    <row r="713" spans="1:19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5.616338130913987</v>
      </c>
      <c r="H713">
        <v>6.492656250000001E-4</v>
      </c>
      <c r="I713">
        <v>-0.82926851746249697</v>
      </c>
      <c r="J713">
        <v>-5.3841554228311163E-4</v>
      </c>
      <c r="M713">
        <v>25.273521589112942</v>
      </c>
      <c r="N713">
        <v>4.8828125E-4</v>
      </c>
      <c r="O713">
        <f t="shared" si="11"/>
        <v>0.98876953125</v>
      </c>
      <c r="Q713" s="90"/>
      <c r="R713" s="89"/>
      <c r="S713" s="89"/>
    </row>
    <row r="714" spans="1:19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16.849014392741964</v>
      </c>
      <c r="H714">
        <v>1.3706718749999999E-3</v>
      </c>
      <c r="I714">
        <v>-0.57027657696444012</v>
      </c>
      <c r="J714">
        <v>-7.8166206501643096E-4</v>
      </c>
      <c r="M714">
        <v>25.273521589112942</v>
      </c>
      <c r="N714">
        <v>9.765625E-4</v>
      </c>
      <c r="O714">
        <f t="shared" si="11"/>
        <v>0.98974609375</v>
      </c>
      <c r="Q714" s="90"/>
      <c r="R714" s="89"/>
      <c r="S714" s="89"/>
    </row>
    <row r="715" spans="1:19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25.273521589112942</v>
      </c>
      <c r="H715">
        <v>8.6568750000000003E-4</v>
      </c>
      <c r="I715">
        <v>-0.4306538173458283</v>
      </c>
      <c r="J715">
        <v>-3.7281162650356676E-4</v>
      </c>
      <c r="M715">
        <v>25.273521589112942</v>
      </c>
      <c r="N715">
        <v>4.8828125E-4</v>
      </c>
      <c r="O715">
        <f t="shared" si="11"/>
        <v>0.990234375</v>
      </c>
      <c r="Q715" s="90"/>
      <c r="R715" s="89"/>
      <c r="S715" s="89"/>
    </row>
    <row r="716" spans="1:19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2.8081690654569935</v>
      </c>
      <c r="H716">
        <v>1.3706718749999999E-3</v>
      </c>
      <c r="I716">
        <v>-0.91064181622770701</v>
      </c>
      <c r="J716">
        <v>-1.2481911257022364E-3</v>
      </c>
      <c r="M716">
        <v>25.273521589112942</v>
      </c>
      <c r="N716">
        <v>9.765625E-4</v>
      </c>
      <c r="O716">
        <f t="shared" si="11"/>
        <v>0.9912109375</v>
      </c>
      <c r="Q716" s="90"/>
      <c r="R716" s="89"/>
      <c r="S716" s="89"/>
    </row>
    <row r="717" spans="1:19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14.040845327284968</v>
      </c>
      <c r="H717">
        <v>2.8936406249999995E-3</v>
      </c>
      <c r="I717">
        <v>-0.62623587759980681</v>
      </c>
      <c r="J717">
        <v>-1.8121015762553282E-3</v>
      </c>
      <c r="M717">
        <v>25.273521589112942</v>
      </c>
      <c r="N717">
        <v>1.953125E-3</v>
      </c>
      <c r="O717">
        <f t="shared" si="11"/>
        <v>0.9931640625</v>
      </c>
      <c r="Q717" s="90"/>
      <c r="R717" s="89"/>
      <c r="S717" s="89"/>
    </row>
    <row r="718" spans="1:19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22.465352523655948</v>
      </c>
      <c r="H718">
        <v>1.8275624999999998E-3</v>
      </c>
      <c r="I718">
        <v>-0.47291241152288888</v>
      </c>
      <c r="J718">
        <v>-8.6427698908379954E-4</v>
      </c>
      <c r="M718">
        <v>25.273521589112942</v>
      </c>
      <c r="N718">
        <v>9.765625E-4</v>
      </c>
      <c r="O718">
        <f t="shared" si="11"/>
        <v>0.994140625</v>
      </c>
      <c r="Q718" s="90"/>
      <c r="R718" s="89"/>
      <c r="S718" s="89"/>
    </row>
    <row r="719" spans="1:19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8.6568749999999992E-4</v>
      </c>
      <c r="I719">
        <v>-1</v>
      </c>
      <c r="J719">
        <v>-8.6568749999999992E-4</v>
      </c>
      <c r="M719">
        <v>25.273521589112942</v>
      </c>
      <c r="N719">
        <v>4.8828125E-4</v>
      </c>
      <c r="O719">
        <f t="shared" si="11"/>
        <v>0.99462890625</v>
      </c>
      <c r="Q719" s="90"/>
      <c r="R719" s="89"/>
      <c r="S719" s="89"/>
    </row>
    <row r="720" spans="1:19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11.232676261827974</v>
      </c>
      <c r="H720">
        <v>1.8275624999999998E-3</v>
      </c>
      <c r="I720">
        <v>-0.6876862740544476</v>
      </c>
      <c r="J720">
        <v>-1.2567896462266311E-3</v>
      </c>
      <c r="M720">
        <v>25.273521589112942</v>
      </c>
      <c r="N720">
        <v>9.765625E-4</v>
      </c>
      <c r="O720">
        <f t="shared" si="11"/>
        <v>0.99560546875</v>
      </c>
      <c r="Q720" s="90"/>
      <c r="R720" s="89"/>
      <c r="S720" s="89"/>
    </row>
    <row r="721" spans="1:19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19.657183458198954</v>
      </c>
      <c r="H721">
        <v>1.1542499999999999E-3</v>
      </c>
      <c r="I721">
        <v>-0.51931769779901749</v>
      </c>
      <c r="J721">
        <v>-5.9942245268451591E-4</v>
      </c>
      <c r="M721">
        <v>25.273521589112942</v>
      </c>
      <c r="N721">
        <v>4.8828125E-4</v>
      </c>
      <c r="O721">
        <f t="shared" si="11"/>
        <v>0.99609375</v>
      </c>
      <c r="Q721" s="90"/>
      <c r="R721" s="89"/>
      <c r="S721" s="89"/>
    </row>
    <row r="722" spans="1:19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5.616338130913987</v>
      </c>
      <c r="H722">
        <v>4.100625E-4</v>
      </c>
      <c r="I722">
        <v>-0.82926851746249697</v>
      </c>
      <c r="J722">
        <v>-3.4005192144196517E-4</v>
      </c>
      <c r="M722">
        <v>25.273521589112942</v>
      </c>
      <c r="N722">
        <v>2.44140625E-4</v>
      </c>
      <c r="O722">
        <f t="shared" si="11"/>
        <v>0.996337890625</v>
      </c>
      <c r="Q722" s="90"/>
      <c r="R722" s="89"/>
      <c r="S722" s="89"/>
    </row>
    <row r="723" spans="1:19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16.849014392741964</v>
      </c>
      <c r="H723">
        <v>8.6568749999999992E-4</v>
      </c>
      <c r="I723">
        <v>-0.57027657696444012</v>
      </c>
      <c r="J723">
        <v>-4.9368130422090372E-4</v>
      </c>
      <c r="M723">
        <v>25.273521589112942</v>
      </c>
      <c r="N723">
        <v>4.8828125E-4</v>
      </c>
      <c r="O723">
        <f t="shared" si="11"/>
        <v>0.996826171875</v>
      </c>
      <c r="Q723" s="90"/>
      <c r="R723" s="89"/>
      <c r="S723" s="89"/>
    </row>
    <row r="724" spans="1:19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25.273521589112942</v>
      </c>
      <c r="H724">
        <v>5.4674999999999993E-4</v>
      </c>
      <c r="I724">
        <v>-0.4306538173458283</v>
      </c>
      <c r="J724">
        <v>-2.354599746338316E-4</v>
      </c>
      <c r="M724">
        <v>25.273521589112942</v>
      </c>
      <c r="N724">
        <v>2.44140625E-4</v>
      </c>
      <c r="O724">
        <f t="shared" si="11"/>
        <v>0.9970703125</v>
      </c>
      <c r="Q724" s="90"/>
      <c r="R724" s="89"/>
      <c r="S724" s="89"/>
    </row>
    <row r="725" spans="1:19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2.8081690654569935</v>
      </c>
      <c r="H725">
        <v>8.6568749999999992E-4</v>
      </c>
      <c r="I725">
        <v>-0.91064181622770701</v>
      </c>
      <c r="J725">
        <v>-7.8833123728562309E-4</v>
      </c>
      <c r="M725">
        <v>25.273521589112942</v>
      </c>
      <c r="N725">
        <v>4.8828125E-4</v>
      </c>
      <c r="O725">
        <f t="shared" si="11"/>
        <v>0.99755859375</v>
      </c>
      <c r="Q725" s="90"/>
      <c r="R725" s="89"/>
      <c r="S725" s="89"/>
    </row>
    <row r="726" spans="1:19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14.040845327284968</v>
      </c>
      <c r="H726">
        <v>1.8275624999999998E-3</v>
      </c>
      <c r="I726">
        <v>-0.62623587759980681</v>
      </c>
      <c r="J726">
        <v>-1.1444852060559967E-3</v>
      </c>
      <c r="M726">
        <v>25.273521589112942</v>
      </c>
      <c r="N726">
        <v>9.765625E-4</v>
      </c>
      <c r="O726">
        <f t="shared" si="11"/>
        <v>0.99853515625</v>
      </c>
      <c r="Q726" s="90"/>
      <c r="R726" s="89"/>
      <c r="S726" s="89"/>
    </row>
    <row r="727" spans="1:19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22.465352523655948</v>
      </c>
      <c r="H727">
        <v>1.1542499999999999E-3</v>
      </c>
      <c r="I727">
        <v>-0.47291241152288888</v>
      </c>
      <c r="J727">
        <v>-5.458591510002944E-4</v>
      </c>
      <c r="M727">
        <v>25.273521589112942</v>
      </c>
      <c r="N727">
        <v>4.8828125E-4</v>
      </c>
      <c r="O727">
        <f t="shared" si="11"/>
        <v>0.9990234375</v>
      </c>
      <c r="Q727" s="90"/>
      <c r="R727" s="89"/>
      <c r="S727" s="89"/>
    </row>
    <row r="728" spans="1:19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5.4675000000000004E-4</v>
      </c>
      <c r="I728">
        <v>-1</v>
      </c>
      <c r="J728">
        <v>-5.4675000000000004E-4</v>
      </c>
      <c r="M728">
        <v>25.273521589112942</v>
      </c>
      <c r="N728">
        <v>2.44140625E-4</v>
      </c>
      <c r="O728">
        <f t="shared" si="11"/>
        <v>0.999267578125</v>
      </c>
      <c r="Q728" s="90"/>
      <c r="R728" s="89"/>
      <c r="S728" s="89"/>
    </row>
    <row r="729" spans="1:19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11.232676261827974</v>
      </c>
      <c r="H729">
        <v>1.1542499999999999E-3</v>
      </c>
      <c r="I729">
        <v>-0.6876862740544476</v>
      </c>
      <c r="J729">
        <v>-7.9376188182734609E-4</v>
      </c>
      <c r="M729">
        <v>25.273521589112942</v>
      </c>
      <c r="N729">
        <v>4.8828125E-4</v>
      </c>
      <c r="O729">
        <f t="shared" si="11"/>
        <v>0.999755859375</v>
      </c>
      <c r="Q729" s="90"/>
      <c r="R729" s="89"/>
      <c r="S729" s="89"/>
    </row>
    <row r="730" spans="1:19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19.657183458198954</v>
      </c>
      <c r="H730">
        <v>7.2899999999999994E-4</v>
      </c>
      <c r="I730">
        <v>-0.51931769779901749</v>
      </c>
      <c r="J730">
        <v>-3.7858260169548372E-4</v>
      </c>
      <c r="M730">
        <v>25.273521589112942</v>
      </c>
      <c r="N730">
        <v>2.44140625E-4</v>
      </c>
      <c r="O730">
        <f t="shared" si="11"/>
        <v>1</v>
      </c>
      <c r="Q730" s="90"/>
      <c r="R730" s="89"/>
      <c r="S730" s="89"/>
    </row>
  </sheetData>
  <sortState ref="M2:N731">
    <sortCondition ref="M2:M7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30"/>
  <sheetViews>
    <sheetView topLeftCell="A2" workbookViewId="0">
      <selection activeCell="L2" sqref="L2"/>
    </sheetView>
  </sheetViews>
  <sheetFormatPr defaultRowHeight="14.25" x14ac:dyDescent="0.45"/>
  <cols>
    <col min="10" max="16" width="9.06640625" style="93"/>
  </cols>
  <sheetData>
    <row r="1" spans="1:15" x14ac:dyDescent="0.45">
      <c r="G1" t="s">
        <v>84</v>
      </c>
      <c r="H1" t="s">
        <v>75</v>
      </c>
      <c r="M1" s="93" t="s">
        <v>84</v>
      </c>
      <c r="N1" s="93" t="s">
        <v>75</v>
      </c>
      <c r="O1" s="93" t="s">
        <v>76</v>
      </c>
    </row>
    <row r="2" spans="1:15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-9.9981443670671162</v>
      </c>
      <c r="H2">
        <v>1.2974633789062504E-4</v>
      </c>
      <c r="I2">
        <v>-1.3955261029432362</v>
      </c>
      <c r="J2" s="93">
        <v>-1.8106440128766031E-4</v>
      </c>
      <c r="K2" s="94" t="s">
        <v>86</v>
      </c>
      <c r="L2" s="95">
        <f>SUM(J2:J730)</f>
        <v>-0.83777970356621856</v>
      </c>
      <c r="M2" s="97">
        <v>-17</v>
      </c>
      <c r="N2" s="93">
        <v>2.44140625E-4</v>
      </c>
      <c r="O2" s="93">
        <f>N2</f>
        <v>2.44140625E-4</v>
      </c>
    </row>
    <row r="3" spans="1:15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-3.9944331012013521</v>
      </c>
      <c r="H3">
        <v>2.7390893554687506E-4</v>
      </c>
      <c r="I3">
        <v>-1.1424188011305803</v>
      </c>
      <c r="J3" s="93">
        <v>-3.1291871776641437E-4</v>
      </c>
      <c r="K3" s="94"/>
      <c r="L3" s="95"/>
      <c r="M3" s="97">
        <v>-17</v>
      </c>
      <c r="N3" s="93">
        <v>4.8828125E-4</v>
      </c>
      <c r="O3" s="93">
        <f>N3+O2</f>
        <v>7.32421875E-4</v>
      </c>
    </row>
    <row r="4" spans="1:15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-0.5537080305622587</v>
      </c>
      <c r="H4">
        <v>1.7299511718750005E-4</v>
      </c>
      <c r="I4">
        <v>-1.0186283163365246</v>
      </c>
      <c r="J4" s="93">
        <v>-1.7621772495514295E-4</v>
      </c>
      <c r="K4" s="94" t="s">
        <v>93</v>
      </c>
      <c r="L4" s="95">
        <f>-LN(-1*L2)/(1/risk_tol)</f>
        <v>5.310002898975867</v>
      </c>
      <c r="M4" s="97">
        <v>-17</v>
      </c>
      <c r="N4" s="93">
        <v>2.44140625E-4</v>
      </c>
      <c r="O4" s="93">
        <f t="shared" ref="O4:O67" si="0">N4+O3</f>
        <v>9.765625E-4</v>
      </c>
    </row>
    <row r="5" spans="1:15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-11.499072183533562</v>
      </c>
      <c r="H5">
        <v>2.73908935546875E-4</v>
      </c>
      <c r="I5">
        <v>-1.4671216295477303</v>
      </c>
      <c r="J5" s="93">
        <v>-4.018577238672155E-4</v>
      </c>
      <c r="K5" s="94"/>
      <c r="L5" s="95"/>
      <c r="M5" s="97">
        <v>-17</v>
      </c>
      <c r="N5" s="93">
        <v>4.8828125E-4</v>
      </c>
      <c r="O5" s="93">
        <f t="shared" si="0"/>
        <v>1.46484375E-3</v>
      </c>
    </row>
    <row r="6" spans="1:15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-5.495360917667794</v>
      </c>
      <c r="H6">
        <v>5.7825219726562497E-4</v>
      </c>
      <c r="I6">
        <v>-1.2010290094938023</v>
      </c>
      <c r="J6" s="93">
        <v>-6.9449766371954837E-4</v>
      </c>
      <c r="K6" s="94" t="s">
        <v>83</v>
      </c>
      <c r="L6" s="95">
        <f>SUMPRODUCT(G2:G730,H2:H730)</f>
        <v>10.01946117017515</v>
      </c>
      <c r="M6" s="97">
        <v>-17</v>
      </c>
      <c r="N6" s="93">
        <v>9.765625E-4</v>
      </c>
      <c r="O6" s="93">
        <f t="shared" si="0"/>
        <v>2.44140625E-3</v>
      </c>
    </row>
    <row r="7" spans="1:15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-1.607294633344857</v>
      </c>
      <c r="H7">
        <v>3.652119140625E-4</v>
      </c>
      <c r="I7">
        <v>-1.0550376861699764</v>
      </c>
      <c r="J7" s="93">
        <v>-3.8531233277420827E-4</v>
      </c>
      <c r="L7" s="97"/>
      <c r="M7" s="97">
        <v>-17</v>
      </c>
      <c r="N7" s="93">
        <v>4.8828125E-4</v>
      </c>
      <c r="O7" s="93">
        <f t="shared" si="0"/>
        <v>2.9296875E-3</v>
      </c>
    </row>
    <row r="8" spans="1:15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-13</v>
      </c>
      <c r="H8">
        <v>1.7299511718750003E-4</v>
      </c>
      <c r="I8">
        <v>-1.5423902651101746</v>
      </c>
      <c r="J8" s="93">
        <v>-2.668259846615939E-4</v>
      </c>
      <c r="L8" s="97"/>
      <c r="M8" s="97">
        <v>-17</v>
      </c>
      <c r="N8" s="93">
        <v>2.44140625E-4</v>
      </c>
      <c r="O8" s="93">
        <f t="shared" si="0"/>
        <v>3.173828125E-3</v>
      </c>
    </row>
    <row r="9" spans="1:15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-6.9962887341342359</v>
      </c>
      <c r="H9">
        <v>3.6521191406250006E-4</v>
      </c>
      <c r="I9">
        <v>-1.2626461331152299</v>
      </c>
      <c r="J9" s="93">
        <v>-4.6113341105862737E-4</v>
      </c>
      <c r="L9" s="97"/>
      <c r="M9" s="97">
        <v>-17</v>
      </c>
      <c r="N9" s="93">
        <v>4.8828125E-4</v>
      </c>
      <c r="O9" s="93">
        <f t="shared" si="0"/>
        <v>3.662109375E-3</v>
      </c>
    </row>
    <row r="10" spans="1:15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-2.6920034286358208</v>
      </c>
      <c r="H10">
        <v>2.3066015625000002E-4</v>
      </c>
      <c r="I10">
        <v>-1.0938826678142417</v>
      </c>
      <c r="J10" s="93">
        <v>-2.5231514707719984E-4</v>
      </c>
      <c r="L10" s="97"/>
      <c r="M10" s="97">
        <v>-17</v>
      </c>
      <c r="N10" s="93">
        <v>2.44140625E-4</v>
      </c>
      <c r="O10" s="93">
        <f t="shared" si="0"/>
        <v>3.90625E-3</v>
      </c>
    </row>
    <row r="11" spans="1:15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-11.498144367067116</v>
      </c>
      <c r="H11">
        <v>2.7390893554687506E-4</v>
      </c>
      <c r="I11">
        <v>-1.4670762562624962</v>
      </c>
      <c r="J11" s="93">
        <v>-4.0184529571895482E-4</v>
      </c>
      <c r="L11" s="97"/>
      <c r="M11" s="97">
        <v>-17</v>
      </c>
      <c r="N11" s="93">
        <v>4.8828125E-4</v>
      </c>
      <c r="O11" s="93">
        <f t="shared" si="0"/>
        <v>4.39453125E-3</v>
      </c>
    </row>
    <row r="12" spans="1:15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-5.4944331012013539</v>
      </c>
      <c r="H12">
        <v>5.7825219726562508E-4</v>
      </c>
      <c r="I12">
        <v>-1.2009918655851279</v>
      </c>
      <c r="J12" s="93">
        <v>-6.9447618517274245E-4</v>
      </c>
      <c r="L12" s="97"/>
      <c r="M12" s="97">
        <v>-17</v>
      </c>
      <c r="N12" s="93">
        <v>9.765625E-4</v>
      </c>
      <c r="O12" s="93">
        <f t="shared" si="0"/>
        <v>5.37109375E-3</v>
      </c>
    </row>
    <row r="13" spans="1:15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-1.7109222562879141</v>
      </c>
      <c r="H13">
        <v>3.6521191406250006E-4</v>
      </c>
      <c r="I13">
        <v>-1.0586883559616826</v>
      </c>
      <c r="J13" s="93">
        <v>-3.8664560087644753E-4</v>
      </c>
      <c r="L13" s="97"/>
      <c r="M13" s="97">
        <v>-17</v>
      </c>
      <c r="N13" s="93">
        <v>4.8828125E-4</v>
      </c>
      <c r="O13" s="93">
        <f t="shared" si="0"/>
        <v>5.859375E-3</v>
      </c>
    </row>
    <row r="14" spans="1:15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-12.999072183533562</v>
      </c>
      <c r="H14">
        <v>5.7825219726562508E-4</v>
      </c>
      <c r="I14">
        <v>-1.5423425640116213</v>
      </c>
      <c r="J14" s="93">
        <v>-8.9186297657601796E-4</v>
      </c>
      <c r="L14" s="97"/>
      <c r="M14" s="97">
        <v>-17</v>
      </c>
      <c r="N14" s="93">
        <v>9.765625E-4</v>
      </c>
      <c r="O14" s="93">
        <f t="shared" si="0"/>
        <v>6.8359375E-3</v>
      </c>
    </row>
    <row r="15" spans="1:15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-6.995360917667794</v>
      </c>
      <c r="H15">
        <v>1.220754638671875E-3</v>
      </c>
      <c r="I15">
        <v>-1.2626070835899597</v>
      </c>
      <c r="J15" s="93">
        <v>-1.5413334541124111E-3</v>
      </c>
      <c r="L15" s="97"/>
      <c r="M15" s="97">
        <v>-17</v>
      </c>
      <c r="N15" s="93">
        <v>1.953125E-3</v>
      </c>
      <c r="O15" s="93">
        <f t="shared" si="0"/>
        <v>8.7890625E-3</v>
      </c>
    </row>
    <row r="16" spans="1:15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-2.7917339750834369</v>
      </c>
      <c r="H16">
        <v>7.7100292968750007E-4</v>
      </c>
      <c r="I16">
        <v>-1.0975251694780861</v>
      </c>
      <c r="J16" s="93">
        <v>-8.4619512107337441E-4</v>
      </c>
      <c r="L16" s="97"/>
      <c r="M16" s="97">
        <v>-17</v>
      </c>
      <c r="N16" s="93">
        <v>9.765625E-4</v>
      </c>
      <c r="O16" s="93">
        <f t="shared" si="0"/>
        <v>9.765625E-3</v>
      </c>
    </row>
    <row r="17" spans="1:15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-14.5</v>
      </c>
      <c r="H17">
        <v>3.6521191406250006E-4</v>
      </c>
      <c r="I17">
        <v>-1.6214703050420796</v>
      </c>
      <c r="J17" s="93">
        <v>-5.9218027369992371E-4</v>
      </c>
      <c r="L17" s="97"/>
      <c r="M17" s="97">
        <v>-17</v>
      </c>
      <c r="N17" s="93">
        <v>4.8828125E-4</v>
      </c>
      <c r="O17" s="93">
        <f t="shared" si="0"/>
        <v>1.025390625E-2</v>
      </c>
    </row>
    <row r="18" spans="1:15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-8.4962887341342359</v>
      </c>
      <c r="H18">
        <v>7.7100292968750007E-4</v>
      </c>
      <c r="I18">
        <v>-1.3273833846949947</v>
      </c>
      <c r="J18" s="93">
        <v>-1.0234164784183508E-3</v>
      </c>
      <c r="L18" s="97"/>
      <c r="M18" s="97">
        <v>-17</v>
      </c>
      <c r="N18" s="93">
        <v>9.765625E-4</v>
      </c>
      <c r="O18" s="93">
        <f t="shared" si="0"/>
        <v>1.123046875E-2</v>
      </c>
    </row>
    <row r="19" spans="1:15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-3.9935052847349115</v>
      </c>
      <c r="H19">
        <v>4.8694921875000008E-4</v>
      </c>
      <c r="I19">
        <v>-1.1423834698444235</v>
      </c>
      <c r="J19" s="93">
        <v>-5.5628273815365632E-4</v>
      </c>
      <c r="L19" s="97"/>
      <c r="M19" s="97">
        <v>-17</v>
      </c>
      <c r="N19" s="93">
        <v>4.8828125E-4</v>
      </c>
      <c r="O19" s="93">
        <f t="shared" si="0"/>
        <v>1.171875E-2</v>
      </c>
    </row>
    <row r="20" spans="1:15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-13.998144367067118</v>
      </c>
      <c r="H20">
        <v>1.7299511718750003E-4</v>
      </c>
      <c r="I20">
        <v>-1.5945711238881513</v>
      </c>
      <c r="J20" s="93">
        <v>-2.7585301844083437E-4</v>
      </c>
      <c r="L20" s="97"/>
      <c r="M20" s="97">
        <v>-17</v>
      </c>
      <c r="N20" s="93">
        <v>2.44140625E-4</v>
      </c>
      <c r="O20" s="93">
        <f t="shared" si="0"/>
        <v>1.1962890625E-2</v>
      </c>
    </row>
    <row r="21" spans="1:15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-7.9944331012013539</v>
      </c>
      <c r="H21">
        <v>3.6521191406250006E-4</v>
      </c>
      <c r="I21">
        <v>-1.305362922146531</v>
      </c>
      <c r="J21" s="93">
        <v>-4.7673409134335284E-4</v>
      </c>
      <c r="L21" s="97"/>
      <c r="M21" s="97">
        <v>-17</v>
      </c>
      <c r="N21" s="93">
        <v>4.8828125E-4</v>
      </c>
      <c r="O21" s="93">
        <f t="shared" si="0"/>
        <v>1.2451171875E-2</v>
      </c>
    </row>
    <row r="22" spans="1:15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-3.6925488061003531</v>
      </c>
      <c r="H22">
        <v>2.3066015625000002E-4</v>
      </c>
      <c r="I22">
        <v>-1.1309805051994639</v>
      </c>
      <c r="J22" s="93">
        <v>-2.6087214004501231E-4</v>
      </c>
      <c r="L22" s="97"/>
      <c r="M22" s="97">
        <v>-17</v>
      </c>
      <c r="N22" s="93">
        <v>2.44140625E-4</v>
      </c>
      <c r="O22" s="93">
        <f t="shared" si="0"/>
        <v>1.26953125E-2</v>
      </c>
    </row>
    <row r="23" spans="1:15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-15.499072183533563</v>
      </c>
      <c r="H23">
        <v>3.6521191406250006E-4</v>
      </c>
      <c r="I23">
        <v>-1.6763783785731865</v>
      </c>
      <c r="J23" s="93">
        <v>-6.1223335633170373E-4</v>
      </c>
      <c r="L23" s="97"/>
      <c r="M23" s="97">
        <v>-17</v>
      </c>
      <c r="N23" s="93">
        <v>4.8828125E-4</v>
      </c>
      <c r="O23" s="93">
        <f t="shared" si="0"/>
        <v>1.318359375E-2</v>
      </c>
    </row>
    <row r="24" spans="1:15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-9.495360917667794</v>
      </c>
      <c r="H24">
        <v>7.7100292968750007E-4</v>
      </c>
      <c r="I24">
        <v>-1.3723327521081159</v>
      </c>
      <c r="J24" s="93">
        <v>-1.0580725723814671E-3</v>
      </c>
      <c r="L24" s="97"/>
      <c r="M24" s="97">
        <v>-17</v>
      </c>
      <c r="N24" s="93">
        <v>9.765625E-4</v>
      </c>
      <c r="O24" s="93">
        <f t="shared" si="0"/>
        <v>1.416015625E-2</v>
      </c>
    </row>
    <row r="25" spans="1:15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-4.9925774682684709</v>
      </c>
      <c r="H25">
        <v>4.8694921875000008E-4</v>
      </c>
      <c r="I25">
        <v>-1.1810681595164372</v>
      </c>
      <c r="J25" s="93">
        <v>-5.7512021756702953E-4</v>
      </c>
      <c r="L25" s="97"/>
      <c r="M25" s="97">
        <v>-17</v>
      </c>
      <c r="N25" s="93">
        <v>4.8828125E-4</v>
      </c>
      <c r="O25" s="93">
        <f t="shared" si="0"/>
        <v>1.46484375E-2</v>
      </c>
    </row>
    <row r="26" spans="1:15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-17</v>
      </c>
      <c r="H26">
        <v>2.3066015625000002E-4</v>
      </c>
      <c r="I26">
        <v>-1.7623826407286585</v>
      </c>
      <c r="J26" s="93">
        <v>-4.0651145528276003E-4</v>
      </c>
      <c r="L26" s="97"/>
      <c r="M26" s="97">
        <v>-17</v>
      </c>
      <c r="N26" s="93">
        <v>2.44140625E-4</v>
      </c>
      <c r="O26" s="93">
        <f t="shared" si="0"/>
        <v>1.4892578125E-2</v>
      </c>
    </row>
    <row r="27" spans="1:15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-10.996288734134236</v>
      </c>
      <c r="H27">
        <v>4.8694921874999997E-4</v>
      </c>
      <c r="I27">
        <v>-1.442738376092185</v>
      </c>
      <c r="J27" s="93">
        <v>-7.0254032509873318E-4</v>
      </c>
      <c r="L27" s="97"/>
      <c r="M27" s="97">
        <v>-17</v>
      </c>
      <c r="N27" s="93">
        <v>4.8828125E-4</v>
      </c>
      <c r="O27" s="93">
        <f t="shared" si="0"/>
        <v>1.5380859375E-2</v>
      </c>
    </row>
    <row r="28" spans="1:15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-6.4935052847349111</v>
      </c>
      <c r="H28">
        <v>3.0754687499999999E-4</v>
      </c>
      <c r="I28">
        <v>-1.2416612194800165</v>
      </c>
      <c r="J28" s="93">
        <v>-3.8186902785976816E-4</v>
      </c>
      <c r="L28" s="97"/>
      <c r="M28" s="97">
        <v>-17</v>
      </c>
      <c r="N28" s="93">
        <v>2.44140625E-4</v>
      </c>
      <c r="O28" s="93">
        <f t="shared" si="0"/>
        <v>1.5625E-2</v>
      </c>
    </row>
    <row r="29" spans="1:15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-9.9981443670671162</v>
      </c>
      <c r="H29">
        <v>2.73908935546875E-4</v>
      </c>
      <c r="I29">
        <v>-1.3955261029432362</v>
      </c>
      <c r="J29" s="93">
        <v>-3.8224706938506052E-4</v>
      </c>
      <c r="L29" s="97"/>
      <c r="M29" s="97">
        <v>-15.499072183533563</v>
      </c>
      <c r="N29" s="93">
        <v>4.8828125E-4</v>
      </c>
      <c r="O29" s="93">
        <f t="shared" si="0"/>
        <v>1.611328125E-2</v>
      </c>
    </row>
    <row r="30" spans="1:15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-3.9944331012013521</v>
      </c>
      <c r="H30">
        <v>5.7825219726562497E-4</v>
      </c>
      <c r="I30">
        <v>-1.1424188011305803</v>
      </c>
      <c r="J30" s="93">
        <v>-6.6060618195131903E-4</v>
      </c>
      <c r="L30" s="97"/>
      <c r="M30" s="97">
        <v>-15.499072183533563</v>
      </c>
      <c r="N30" s="93">
        <v>9.765625E-4</v>
      </c>
      <c r="O30" s="93">
        <f t="shared" si="0"/>
        <v>1.708984375E-2</v>
      </c>
    </row>
    <row r="31" spans="1:15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-0.5537080305622587</v>
      </c>
      <c r="H31">
        <v>3.652119140625E-4</v>
      </c>
      <c r="I31">
        <v>-1.0186283163365246</v>
      </c>
      <c r="J31" s="93">
        <v>-3.7201519712752389E-4</v>
      </c>
      <c r="L31" s="97"/>
      <c r="M31" s="97">
        <v>-15.499072183533563</v>
      </c>
      <c r="N31" s="93">
        <v>4.8828125E-4</v>
      </c>
      <c r="O31" s="93">
        <f t="shared" si="0"/>
        <v>1.7578125E-2</v>
      </c>
    </row>
    <row r="32" spans="1:15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-11.499072183533562</v>
      </c>
      <c r="H32">
        <v>5.7825219726562497E-4</v>
      </c>
      <c r="I32">
        <v>-1.4671216295477303</v>
      </c>
      <c r="J32" s="93">
        <v>-8.4836630594189934E-4</v>
      </c>
      <c r="L32" s="97"/>
      <c r="M32" s="97">
        <v>-14.60163586688383</v>
      </c>
      <c r="N32" s="93">
        <v>9.765625E-4</v>
      </c>
      <c r="O32" s="93">
        <f t="shared" si="0"/>
        <v>1.85546875E-2</v>
      </c>
    </row>
    <row r="33" spans="1:15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-5.495360917667794</v>
      </c>
      <c r="H33">
        <v>1.2207546386718748E-3</v>
      </c>
      <c r="I33">
        <v>-1.2010290094938023</v>
      </c>
      <c r="J33" s="93">
        <v>-1.4661617345190464E-3</v>
      </c>
      <c r="L33" s="97"/>
      <c r="M33" s="97">
        <v>-14.60163586688383</v>
      </c>
      <c r="N33" s="93">
        <v>1.953125E-3</v>
      </c>
      <c r="O33" s="93">
        <f t="shared" si="0"/>
        <v>2.05078125E-2</v>
      </c>
    </row>
    <row r="34" spans="1:15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-1.607294633344857</v>
      </c>
      <c r="H34">
        <v>7.7100292968749996E-4</v>
      </c>
      <c r="I34">
        <v>-1.0550376861699764</v>
      </c>
      <c r="J34" s="93">
        <v>-8.1343714696777299E-4</v>
      </c>
      <c r="L34" s="97"/>
      <c r="M34" s="97">
        <v>-14.60163586688383</v>
      </c>
      <c r="N34" s="93">
        <v>9.765625E-4</v>
      </c>
      <c r="O34" s="93">
        <f t="shared" si="0"/>
        <v>2.1484375E-2</v>
      </c>
    </row>
    <row r="35" spans="1:15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-13</v>
      </c>
      <c r="H35">
        <v>3.652119140625E-4</v>
      </c>
      <c r="I35">
        <v>-1.5423902651101746</v>
      </c>
      <c r="J35" s="93">
        <v>-5.6329930095225375E-4</v>
      </c>
      <c r="L35" s="97"/>
      <c r="M35" s="97">
        <v>-14.5</v>
      </c>
      <c r="N35" s="93">
        <v>4.8828125E-4</v>
      </c>
      <c r="O35" s="93">
        <f t="shared" si="0"/>
        <v>2.197265625E-2</v>
      </c>
    </row>
    <row r="36" spans="1:15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-6.9962887341342359</v>
      </c>
      <c r="H36">
        <v>7.7100292968749996E-4</v>
      </c>
      <c r="I36">
        <v>-1.2626461331152299</v>
      </c>
      <c r="J36" s="93">
        <v>-9.7350386779043534E-4</v>
      </c>
      <c r="L36" s="97"/>
      <c r="M36" s="97">
        <v>-14.5</v>
      </c>
      <c r="N36" s="93">
        <v>9.765625E-4</v>
      </c>
      <c r="O36" s="93">
        <f t="shared" si="0"/>
        <v>2.294921875E-2</v>
      </c>
    </row>
    <row r="37" spans="1:15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-2.6920034286358208</v>
      </c>
      <c r="H37">
        <v>4.8694921874999997E-4</v>
      </c>
      <c r="I37">
        <v>-1.0938826678142417</v>
      </c>
      <c r="J37" s="93">
        <v>-5.3266531049631072E-4</v>
      </c>
      <c r="L37" s="97"/>
      <c r="M37" s="97">
        <v>-14.5</v>
      </c>
      <c r="N37" s="93">
        <v>4.8828125E-4</v>
      </c>
      <c r="O37" s="93">
        <f t="shared" si="0"/>
        <v>2.34375E-2</v>
      </c>
    </row>
    <row r="38" spans="1:15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-11.498144367067116</v>
      </c>
      <c r="H38">
        <v>5.7825219726562497E-4</v>
      </c>
      <c r="I38">
        <v>-1.4670762562624962</v>
      </c>
      <c r="J38" s="93">
        <v>-8.4834006874001547E-4</v>
      </c>
      <c r="L38" s="97"/>
      <c r="M38" s="97">
        <v>-14.5</v>
      </c>
      <c r="N38" s="93">
        <v>9.765625E-4</v>
      </c>
      <c r="O38" s="93">
        <f t="shared" si="0"/>
        <v>2.44140625E-2</v>
      </c>
    </row>
    <row r="39" spans="1:15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-5.4944331012013539</v>
      </c>
      <c r="H39">
        <v>1.2207546386718748E-3</v>
      </c>
      <c r="I39">
        <v>-1.2009918655851279</v>
      </c>
      <c r="J39" s="93">
        <v>-1.4661163909202336E-3</v>
      </c>
      <c r="L39" s="97"/>
      <c r="M39" s="97">
        <v>-14.5</v>
      </c>
      <c r="N39" s="93">
        <v>1.953125E-3</v>
      </c>
      <c r="O39" s="93">
        <f t="shared" si="0"/>
        <v>2.63671875E-2</v>
      </c>
    </row>
    <row r="40" spans="1:15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-1.7109222562879141</v>
      </c>
      <c r="H40">
        <v>7.7100292968749996E-4</v>
      </c>
      <c r="I40">
        <v>-1.0586883559616826</v>
      </c>
      <c r="J40" s="93">
        <v>-8.1625182407250017E-4</v>
      </c>
      <c r="L40" s="97"/>
      <c r="M40" s="97">
        <v>-14.5</v>
      </c>
      <c r="N40" s="93">
        <v>9.765625E-4</v>
      </c>
      <c r="O40" s="93">
        <f t="shared" si="0"/>
        <v>2.734375E-2</v>
      </c>
    </row>
    <row r="41" spans="1:15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-12.999072183533562</v>
      </c>
      <c r="H41">
        <v>1.2207546386718748E-3</v>
      </c>
      <c r="I41">
        <v>-1.5423425640116213</v>
      </c>
      <c r="J41" s="93">
        <v>-1.8828218394382598E-3</v>
      </c>
      <c r="L41" s="97"/>
      <c r="M41" s="97">
        <v>-14.5</v>
      </c>
      <c r="N41" s="93">
        <v>4.8828125E-4</v>
      </c>
      <c r="O41" s="93">
        <f t="shared" si="0"/>
        <v>2.783203125E-2</v>
      </c>
    </row>
    <row r="42" spans="1:15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-6.995360917667794</v>
      </c>
      <c r="H42">
        <v>2.5771486816406246E-3</v>
      </c>
      <c r="I42">
        <v>-1.2626070835899597</v>
      </c>
      <c r="J42" s="93">
        <v>-3.2539261809039783E-3</v>
      </c>
      <c r="L42" s="97"/>
      <c r="M42" s="97">
        <v>-14.5</v>
      </c>
      <c r="N42" s="93">
        <v>9.765625E-4</v>
      </c>
      <c r="O42" s="93">
        <f t="shared" si="0"/>
        <v>2.880859375E-2</v>
      </c>
    </row>
    <row r="43" spans="1:15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-2.7917339750834369</v>
      </c>
      <c r="H43">
        <v>1.6276728515624997E-3</v>
      </c>
      <c r="I43">
        <v>-1.0975251694780861</v>
      </c>
      <c r="J43" s="93">
        <v>-1.7864119222660122E-3</v>
      </c>
      <c r="L43" s="97"/>
      <c r="M43" s="97">
        <v>-14.5</v>
      </c>
      <c r="N43" s="93">
        <v>4.8828125E-4</v>
      </c>
      <c r="O43" s="93">
        <f t="shared" si="0"/>
        <v>2.9296875E-2</v>
      </c>
    </row>
    <row r="44" spans="1:15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-14.5</v>
      </c>
      <c r="H44">
        <v>7.7100292968749985E-4</v>
      </c>
      <c r="I44">
        <v>-1.6214703050420796</v>
      </c>
      <c r="J44" s="93">
        <v>-1.2501583555887274E-3</v>
      </c>
      <c r="L44" s="97"/>
      <c r="M44" s="97">
        <v>-14.5</v>
      </c>
      <c r="N44" s="93">
        <v>9.765625E-4</v>
      </c>
      <c r="O44" s="93">
        <f t="shared" si="0"/>
        <v>3.02734375E-2</v>
      </c>
    </row>
    <row r="45" spans="1:15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-8.4962887341342359</v>
      </c>
      <c r="H45">
        <v>1.6276728515624997E-3</v>
      </c>
      <c r="I45">
        <v>-1.3273833846949947</v>
      </c>
      <c r="J45" s="93">
        <v>-2.1605458988831847E-3</v>
      </c>
      <c r="L45" s="97"/>
      <c r="M45" s="97">
        <v>-14.5</v>
      </c>
      <c r="N45" s="93">
        <v>1.953125E-3</v>
      </c>
      <c r="O45" s="93">
        <f t="shared" si="0"/>
        <v>3.22265625E-2</v>
      </c>
    </row>
    <row r="46" spans="1:15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-3.9935052847349115</v>
      </c>
      <c r="H46">
        <v>1.0280039062499997E-3</v>
      </c>
      <c r="I46">
        <v>-1.1423834698444235</v>
      </c>
      <c r="J46" s="93">
        <v>-1.1743746694354961E-3</v>
      </c>
      <c r="L46" s="97"/>
      <c r="M46" s="97">
        <v>-14.5</v>
      </c>
      <c r="N46" s="93">
        <v>9.765625E-4</v>
      </c>
      <c r="O46" s="93">
        <f t="shared" si="0"/>
        <v>3.3203125E-2</v>
      </c>
    </row>
    <row r="47" spans="1:15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-13.998144367067118</v>
      </c>
      <c r="H47">
        <v>3.6521191406249995E-4</v>
      </c>
      <c r="I47">
        <v>-1.5945711238881513</v>
      </c>
      <c r="J47" s="93">
        <v>-5.8235637226398344E-4</v>
      </c>
      <c r="L47" s="97"/>
      <c r="M47" s="97">
        <v>-14.5</v>
      </c>
      <c r="N47" s="93">
        <v>1.953125E-3</v>
      </c>
      <c r="O47" s="93">
        <f t="shared" si="0"/>
        <v>3.515625E-2</v>
      </c>
    </row>
    <row r="48" spans="1:15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-7.9944331012013539</v>
      </c>
      <c r="H48">
        <v>7.7100292968749985E-4</v>
      </c>
      <c r="I48">
        <v>-1.305362922146531</v>
      </c>
      <c r="J48" s="93">
        <v>-1.0064386372804113E-3</v>
      </c>
      <c r="L48" s="97"/>
      <c r="M48" s="97">
        <v>-14.5</v>
      </c>
      <c r="N48" s="93">
        <v>3.90625E-3</v>
      </c>
      <c r="O48" s="93">
        <f t="shared" si="0"/>
        <v>3.90625E-2</v>
      </c>
    </row>
    <row r="49" spans="1:15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-3.6925488061003531</v>
      </c>
      <c r="H49">
        <v>4.8694921874999991E-4</v>
      </c>
      <c r="I49">
        <v>-1.1309805051994639</v>
      </c>
      <c r="J49" s="93">
        <v>-5.5073007342835913E-4</v>
      </c>
      <c r="L49" s="97"/>
      <c r="M49" s="97">
        <v>-14.5</v>
      </c>
      <c r="N49" s="93">
        <v>1.953125E-3</v>
      </c>
      <c r="O49" s="93">
        <f t="shared" si="0"/>
        <v>4.1015625E-2</v>
      </c>
    </row>
    <row r="50" spans="1:15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-15.499072183533563</v>
      </c>
      <c r="H50">
        <v>7.7100292968749985E-4</v>
      </c>
      <c r="I50">
        <v>-1.6763783785731865</v>
      </c>
      <c r="J50" s="93">
        <v>-1.2924926411447075E-3</v>
      </c>
      <c r="L50" s="97"/>
      <c r="M50" s="97">
        <v>-14.5</v>
      </c>
      <c r="N50" s="93">
        <v>9.765625E-4</v>
      </c>
      <c r="O50" s="93">
        <f t="shared" si="0"/>
        <v>4.19921875E-2</v>
      </c>
    </row>
    <row r="51" spans="1:15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-9.495360917667794</v>
      </c>
      <c r="H51">
        <v>1.6276728515624997E-3</v>
      </c>
      <c r="I51">
        <v>-1.3723327521081159</v>
      </c>
      <c r="J51" s="93">
        <v>-2.2337087639164302E-3</v>
      </c>
      <c r="L51" s="97"/>
      <c r="M51" s="97">
        <v>-14.5</v>
      </c>
      <c r="N51" s="93">
        <v>1.953125E-3</v>
      </c>
      <c r="O51" s="93">
        <f t="shared" si="0"/>
        <v>4.39453125E-2</v>
      </c>
    </row>
    <row r="52" spans="1:15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-4.9925774682684709</v>
      </c>
      <c r="H52">
        <v>1.0280039062499997E-3</v>
      </c>
      <c r="I52">
        <v>-1.1810681595164372</v>
      </c>
      <c r="J52" s="93">
        <v>-1.2141426815303951E-3</v>
      </c>
      <c r="L52" s="97"/>
      <c r="M52" s="97">
        <v>-14.5</v>
      </c>
      <c r="N52" s="93">
        <v>9.765625E-4</v>
      </c>
      <c r="O52" s="93">
        <f t="shared" si="0"/>
        <v>4.4921875E-2</v>
      </c>
    </row>
    <row r="53" spans="1:15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-17</v>
      </c>
      <c r="H53">
        <v>4.8694921874999991E-4</v>
      </c>
      <c r="I53">
        <v>-1.7623826407286585</v>
      </c>
      <c r="J53" s="93">
        <v>-8.58190850041382E-4</v>
      </c>
      <c r="L53" s="97"/>
      <c r="M53" s="97">
        <v>-14.5</v>
      </c>
      <c r="N53" s="93">
        <v>4.8828125E-4</v>
      </c>
      <c r="O53" s="93">
        <f t="shared" si="0"/>
        <v>4.541015625E-2</v>
      </c>
    </row>
    <row r="54" spans="1:15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-10.996288734134236</v>
      </c>
      <c r="H54">
        <v>1.0280039062499997E-3</v>
      </c>
      <c r="I54">
        <v>-1.442738376092185</v>
      </c>
      <c r="J54" s="93">
        <v>-1.4831406863195474E-3</v>
      </c>
      <c r="L54" s="97"/>
      <c r="M54" s="97">
        <v>-14.5</v>
      </c>
      <c r="N54" s="93">
        <v>9.765625E-4</v>
      </c>
      <c r="O54" s="93">
        <f t="shared" si="0"/>
        <v>4.638671875E-2</v>
      </c>
    </row>
    <row r="55" spans="1:15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-6.4935052847349111</v>
      </c>
      <c r="H55">
        <v>6.4926562499999978E-4</v>
      </c>
      <c r="I55">
        <v>-1.2416612194800165</v>
      </c>
      <c r="J55" s="93">
        <v>-8.061679477039548E-4</v>
      </c>
      <c r="L55" s="97"/>
      <c r="M55" s="97">
        <v>-14.5</v>
      </c>
      <c r="N55" s="93">
        <v>4.8828125E-4</v>
      </c>
      <c r="O55" s="93">
        <f t="shared" si="0"/>
        <v>4.6875E-2</v>
      </c>
    </row>
    <row r="56" spans="1:15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-9.9981443670671162</v>
      </c>
      <c r="H56">
        <v>1.729951171875E-4</v>
      </c>
      <c r="I56">
        <v>-1.3955261029432362</v>
      </c>
      <c r="J56" s="93">
        <v>-2.4141920171688033E-4</v>
      </c>
      <c r="L56" s="97"/>
      <c r="M56" s="97">
        <v>-14.5</v>
      </c>
      <c r="N56" s="93">
        <v>9.765625E-4</v>
      </c>
      <c r="O56" s="93">
        <f t="shared" si="0"/>
        <v>4.78515625E-2</v>
      </c>
    </row>
    <row r="57" spans="1:15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-3.9944331012013521</v>
      </c>
      <c r="H57">
        <v>3.652119140625E-4</v>
      </c>
      <c r="I57">
        <v>-1.1424188011305803</v>
      </c>
      <c r="J57" s="93">
        <v>-4.1722495702188573E-4</v>
      </c>
      <c r="L57" s="97"/>
      <c r="M57" s="97">
        <v>-14.5</v>
      </c>
      <c r="N57" s="93">
        <v>1.953125E-3</v>
      </c>
      <c r="O57" s="93">
        <f t="shared" si="0"/>
        <v>4.98046875E-2</v>
      </c>
    </row>
    <row r="58" spans="1:15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-0.5537080305622587</v>
      </c>
      <c r="H58">
        <v>2.3066015624999999E-4</v>
      </c>
      <c r="I58">
        <v>-1.0186283163365246</v>
      </c>
      <c r="J58" s="93">
        <v>-2.349569666068572E-4</v>
      </c>
      <c r="L58" s="97"/>
      <c r="M58" s="97">
        <v>-14.5</v>
      </c>
      <c r="N58" s="93">
        <v>9.765625E-4</v>
      </c>
      <c r="O58" s="93">
        <f t="shared" si="0"/>
        <v>5.078125E-2</v>
      </c>
    </row>
    <row r="59" spans="1:15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-11.499072183533562</v>
      </c>
      <c r="H59">
        <v>3.652119140625E-4</v>
      </c>
      <c r="I59">
        <v>-1.4671216295477303</v>
      </c>
      <c r="J59" s="93">
        <v>-5.3581029848962067E-4</v>
      </c>
      <c r="L59" s="97"/>
      <c r="M59" s="97">
        <v>-14.5</v>
      </c>
      <c r="N59" s="93">
        <v>4.8828125E-4</v>
      </c>
      <c r="O59" s="93">
        <f t="shared" si="0"/>
        <v>5.126953125E-2</v>
      </c>
    </row>
    <row r="60" spans="1:15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-5.495360917667794</v>
      </c>
      <c r="H60">
        <v>7.7100292968749996E-4</v>
      </c>
      <c r="I60">
        <v>-1.2010290094938023</v>
      </c>
      <c r="J60" s="93">
        <v>-9.2599688495939776E-4</v>
      </c>
      <c r="L60" s="97"/>
      <c r="M60" s="97">
        <v>-14.5</v>
      </c>
      <c r="N60" s="93">
        <v>9.765625E-4</v>
      </c>
      <c r="O60" s="93">
        <f t="shared" si="0"/>
        <v>5.224609375E-2</v>
      </c>
    </row>
    <row r="61" spans="1:15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-1.607294633344857</v>
      </c>
      <c r="H61">
        <v>4.8694921874999997E-4</v>
      </c>
      <c r="I61">
        <v>-1.0550376861699764</v>
      </c>
      <c r="J61" s="93">
        <v>-5.1374977703227769E-4</v>
      </c>
      <c r="L61" s="97"/>
      <c r="M61" s="97">
        <v>-14.5</v>
      </c>
      <c r="N61" s="93">
        <v>4.8828125E-4</v>
      </c>
      <c r="O61" s="93">
        <f t="shared" si="0"/>
        <v>5.2734375E-2</v>
      </c>
    </row>
    <row r="62" spans="1:15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-13</v>
      </c>
      <c r="H62">
        <v>2.3066015625000002E-4</v>
      </c>
      <c r="I62">
        <v>-1.5423902651101746</v>
      </c>
      <c r="J62" s="93">
        <v>-3.5576797954879185E-4</v>
      </c>
      <c r="L62" s="97"/>
      <c r="M62" s="97">
        <v>-14.393219174018933</v>
      </c>
      <c r="N62" s="93">
        <v>4.8828125E-4</v>
      </c>
      <c r="O62" s="93">
        <f t="shared" si="0"/>
        <v>5.322265625E-2</v>
      </c>
    </row>
    <row r="63" spans="1:15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-6.9962887341342359</v>
      </c>
      <c r="H63">
        <v>4.8694921874999997E-4</v>
      </c>
      <c r="I63">
        <v>-1.2626461331152299</v>
      </c>
      <c r="J63" s="93">
        <v>-6.1484454807816968E-4</v>
      </c>
      <c r="L63" s="97"/>
      <c r="M63" s="97">
        <v>-14.393219174018933</v>
      </c>
      <c r="N63" s="93">
        <v>9.765625E-4</v>
      </c>
      <c r="O63" s="93">
        <f t="shared" si="0"/>
        <v>5.419921875E-2</v>
      </c>
    </row>
    <row r="64" spans="1:15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-2.6920034286358208</v>
      </c>
      <c r="H64">
        <v>3.0754687499999999E-4</v>
      </c>
      <c r="I64">
        <v>-1.0938826678142417</v>
      </c>
      <c r="J64" s="93">
        <v>-3.3642019610293308E-4</v>
      </c>
      <c r="L64" s="97"/>
      <c r="M64" s="97">
        <v>-14.393219174018933</v>
      </c>
      <c r="N64" s="93">
        <v>4.8828125E-4</v>
      </c>
      <c r="O64" s="93">
        <f t="shared" si="0"/>
        <v>5.46875E-2</v>
      </c>
    </row>
    <row r="65" spans="1:15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-11.498144367067116</v>
      </c>
      <c r="H65">
        <v>3.6521191406249995E-4</v>
      </c>
      <c r="I65">
        <v>-1.4670762562624962</v>
      </c>
      <c r="J65" s="93">
        <v>-5.3579372762527287E-4</v>
      </c>
      <c r="L65" s="97"/>
      <c r="M65" s="97">
        <v>-13.998144367067118</v>
      </c>
      <c r="N65" s="93">
        <v>2.44140625E-4</v>
      </c>
      <c r="O65" s="93">
        <f t="shared" si="0"/>
        <v>5.4931640625E-2</v>
      </c>
    </row>
    <row r="66" spans="1:15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-5.4944331012013539</v>
      </c>
      <c r="H66">
        <v>7.7100292968749985E-4</v>
      </c>
      <c r="I66">
        <v>-1.2009918655851279</v>
      </c>
      <c r="J66" s="93">
        <v>-9.2596824689698972E-4</v>
      </c>
      <c r="L66" s="97"/>
      <c r="M66" s="97">
        <v>-13.998144367067118</v>
      </c>
      <c r="N66" s="93">
        <v>4.8828125E-4</v>
      </c>
      <c r="O66" s="93">
        <f t="shared" si="0"/>
        <v>5.5419921875E-2</v>
      </c>
    </row>
    <row r="67" spans="1:15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-1.7109222562879141</v>
      </c>
      <c r="H67">
        <v>4.8694921874999991E-4</v>
      </c>
      <c r="I67">
        <v>-1.0586883559616826</v>
      </c>
      <c r="J67" s="93">
        <v>-5.1552746783526315E-4</v>
      </c>
      <c r="L67" s="97"/>
      <c r="M67" s="97">
        <v>-13.998144367067118</v>
      </c>
      <c r="N67" s="93">
        <v>2.44140625E-4</v>
      </c>
      <c r="O67" s="93">
        <f t="shared" si="0"/>
        <v>5.56640625E-2</v>
      </c>
    </row>
    <row r="68" spans="1:15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-12.999072183533562</v>
      </c>
      <c r="H68">
        <v>7.7100292968749985E-4</v>
      </c>
      <c r="I68">
        <v>-1.5423425640116213</v>
      </c>
      <c r="J68" s="93">
        <v>-1.1891506354346903E-3</v>
      </c>
      <c r="L68" s="97"/>
      <c r="M68" s="97">
        <v>-13.247680458833893</v>
      </c>
      <c r="N68" s="93">
        <v>9.765625E-4</v>
      </c>
      <c r="O68" s="93">
        <f t="shared" ref="O68:O131" si="1">N68+O67</f>
        <v>5.6640625E-2</v>
      </c>
    </row>
    <row r="69" spans="1:15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-6.995360917667794</v>
      </c>
      <c r="H69">
        <v>1.6276728515624997E-3</v>
      </c>
      <c r="I69">
        <v>-1.2626070835899597</v>
      </c>
      <c r="J69" s="93">
        <v>-2.0551112721498808E-3</v>
      </c>
      <c r="L69" s="97"/>
      <c r="M69" s="97">
        <v>-13.247680458833893</v>
      </c>
      <c r="N69" s="93">
        <v>1.953125E-3</v>
      </c>
      <c r="O69" s="93">
        <f t="shared" si="1"/>
        <v>5.859375E-2</v>
      </c>
    </row>
    <row r="70" spans="1:15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-2.7917339750834369</v>
      </c>
      <c r="H70">
        <v>1.0280039062499997E-3</v>
      </c>
      <c r="I70">
        <v>-1.0975251694780861</v>
      </c>
      <c r="J70" s="93">
        <v>-1.1282601614311654E-3</v>
      </c>
      <c r="L70" s="97"/>
      <c r="M70" s="97">
        <v>-13.247680458833893</v>
      </c>
      <c r="N70" s="93">
        <v>9.765625E-4</v>
      </c>
      <c r="O70" s="93">
        <f t="shared" si="1"/>
        <v>5.95703125E-2</v>
      </c>
    </row>
    <row r="71" spans="1:15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-14.5</v>
      </c>
      <c r="H71">
        <v>4.8694921874999991E-4</v>
      </c>
      <c r="I71">
        <v>-1.6214703050420796</v>
      </c>
      <c r="J71" s="93">
        <v>-7.895736982665647E-4</v>
      </c>
      <c r="L71" s="97"/>
      <c r="M71" s="97">
        <v>-13</v>
      </c>
      <c r="N71" s="93">
        <v>2.44140625E-4</v>
      </c>
      <c r="O71" s="93">
        <f t="shared" si="1"/>
        <v>5.9814453125E-2</v>
      </c>
    </row>
    <row r="72" spans="1:15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-8.4962887341342359</v>
      </c>
      <c r="H72">
        <v>1.0280039062499997E-3</v>
      </c>
      <c r="I72">
        <v>-1.3273833846949947</v>
      </c>
      <c r="J72" s="93">
        <v>-1.3645553045578008E-3</v>
      </c>
      <c r="L72" s="97"/>
      <c r="M72" s="97">
        <v>-13</v>
      </c>
      <c r="N72" s="93">
        <v>4.8828125E-4</v>
      </c>
      <c r="O72" s="93">
        <f t="shared" si="1"/>
        <v>6.0302734375E-2</v>
      </c>
    </row>
    <row r="73" spans="1:15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-3.9935052847349115</v>
      </c>
      <c r="H73">
        <v>6.4926562499999978E-4</v>
      </c>
      <c r="I73">
        <v>-1.1423834698444235</v>
      </c>
      <c r="J73" s="93">
        <v>-7.4171031753820799E-4</v>
      </c>
      <c r="L73" s="97"/>
      <c r="M73" s="97">
        <v>-13</v>
      </c>
      <c r="N73" s="93">
        <v>2.44140625E-4</v>
      </c>
      <c r="O73" s="93">
        <f t="shared" si="1"/>
        <v>6.0546875E-2</v>
      </c>
    </row>
    <row r="74" spans="1:15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-13.998144367067118</v>
      </c>
      <c r="H74">
        <v>2.3066015625000002E-4</v>
      </c>
      <c r="I74">
        <v>-1.5945711238881513</v>
      </c>
      <c r="J74" s="93">
        <v>-3.6780402458777908E-4</v>
      </c>
      <c r="L74" s="97"/>
      <c r="M74" s="97">
        <v>-13</v>
      </c>
      <c r="N74" s="93">
        <v>4.8828125E-4</v>
      </c>
      <c r="O74" s="93">
        <f t="shared" si="1"/>
        <v>6.103515625E-2</v>
      </c>
    </row>
    <row r="75" spans="1:15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-7.9944331012013539</v>
      </c>
      <c r="H75">
        <v>4.8694921874999997E-4</v>
      </c>
      <c r="I75">
        <v>-1.305362922146531</v>
      </c>
      <c r="J75" s="93">
        <v>-6.3564545512447034E-4</v>
      </c>
      <c r="L75" s="97"/>
      <c r="M75" s="97">
        <v>-13</v>
      </c>
      <c r="N75" s="93">
        <v>9.765625E-4</v>
      </c>
      <c r="O75" s="93">
        <f t="shared" si="1"/>
        <v>6.201171875E-2</v>
      </c>
    </row>
    <row r="76" spans="1:15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-3.6925488061003531</v>
      </c>
      <c r="H76">
        <v>3.0754687499999999E-4</v>
      </c>
      <c r="I76">
        <v>-1.1309805051994639</v>
      </c>
      <c r="J76" s="93">
        <v>-3.4782952006001634E-4</v>
      </c>
      <c r="L76" s="97"/>
      <c r="M76" s="97">
        <v>-13</v>
      </c>
      <c r="N76" s="93">
        <v>4.8828125E-4</v>
      </c>
      <c r="O76" s="93">
        <f t="shared" si="1"/>
        <v>6.25E-2</v>
      </c>
    </row>
    <row r="77" spans="1:15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-15.499072183533563</v>
      </c>
      <c r="H77">
        <v>4.8694921874999991E-4</v>
      </c>
      <c r="I77">
        <v>-1.6763783785731865</v>
      </c>
      <c r="J77" s="93">
        <v>-8.1631114177560472E-4</v>
      </c>
      <c r="L77" s="97"/>
      <c r="M77" s="97">
        <v>-13</v>
      </c>
      <c r="N77" s="93">
        <v>2.44140625E-4</v>
      </c>
      <c r="O77" s="93">
        <f t="shared" si="1"/>
        <v>6.2744140625E-2</v>
      </c>
    </row>
    <row r="78" spans="1:15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-9.495360917667794</v>
      </c>
      <c r="H78">
        <v>1.0280039062499997E-3</v>
      </c>
      <c r="I78">
        <v>-1.3723327521081159</v>
      </c>
      <c r="J78" s="93">
        <v>-1.4107634298419556E-3</v>
      </c>
      <c r="L78" s="97"/>
      <c r="M78" s="97">
        <v>-13</v>
      </c>
      <c r="N78" s="93">
        <v>4.8828125E-4</v>
      </c>
      <c r="O78" s="93">
        <f t="shared" si="1"/>
        <v>6.3232421875E-2</v>
      </c>
    </row>
    <row r="79" spans="1:15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-4.9925774682684709</v>
      </c>
      <c r="H79">
        <v>6.4926562499999978E-4</v>
      </c>
      <c r="I79">
        <v>-1.1810681595164372</v>
      </c>
      <c r="J79" s="93">
        <v>-7.6682695675603905E-4</v>
      </c>
      <c r="L79" s="97"/>
      <c r="M79" s="97">
        <v>-13</v>
      </c>
      <c r="N79" s="93">
        <v>2.44140625E-4</v>
      </c>
      <c r="O79" s="93">
        <f t="shared" si="1"/>
        <v>6.34765625E-2</v>
      </c>
    </row>
    <row r="80" spans="1:15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-17</v>
      </c>
      <c r="H80">
        <v>3.0754687499999999E-4</v>
      </c>
      <c r="I80">
        <v>-1.7623826407286585</v>
      </c>
      <c r="J80" s="93">
        <v>-5.4201527371034656E-4</v>
      </c>
      <c r="L80" s="97"/>
      <c r="M80" s="97">
        <v>-13</v>
      </c>
      <c r="N80" s="93">
        <v>4.8828125E-4</v>
      </c>
      <c r="O80" s="93">
        <f t="shared" si="1"/>
        <v>6.396484375E-2</v>
      </c>
    </row>
    <row r="81" spans="1:15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-10.996288734134236</v>
      </c>
      <c r="H81">
        <v>6.4926562499999989E-4</v>
      </c>
      <c r="I81">
        <v>-1.442738376092185</v>
      </c>
      <c r="J81" s="93">
        <v>-9.3672043346497739E-4</v>
      </c>
      <c r="L81" s="97"/>
      <c r="M81" s="97">
        <v>-13</v>
      </c>
      <c r="N81" s="93">
        <v>9.765625E-4</v>
      </c>
      <c r="O81" s="93">
        <f t="shared" si="1"/>
        <v>6.494140625E-2</v>
      </c>
    </row>
    <row r="82" spans="1:15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-6.4935052847349111</v>
      </c>
      <c r="H82">
        <v>4.1006249999999995E-4</v>
      </c>
      <c r="I82">
        <v>-1.2416612194800165</v>
      </c>
      <c r="J82" s="93">
        <v>-5.0915870381302425E-4</v>
      </c>
      <c r="L82" s="97"/>
      <c r="M82" s="97">
        <v>-13</v>
      </c>
      <c r="N82" s="93">
        <v>4.8828125E-4</v>
      </c>
      <c r="O82" s="93">
        <f t="shared" si="1"/>
        <v>6.54296875E-2</v>
      </c>
    </row>
    <row r="83" spans="1:15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-8.2032717337676591</v>
      </c>
      <c r="H83">
        <v>2.73908935546875E-4</v>
      </c>
      <c r="I83">
        <v>-1.3144816312235683</v>
      </c>
      <c r="J83" s="93">
        <v>-3.6004826440436751E-4</v>
      </c>
      <c r="L83" s="97"/>
      <c r="M83" s="97">
        <v>-13</v>
      </c>
      <c r="N83" s="93">
        <v>9.765625E-4</v>
      </c>
      <c r="O83" s="93">
        <f t="shared" si="1"/>
        <v>6.640625E-2</v>
      </c>
    </row>
    <row r="84" spans="1:15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-0.19301833094307452</v>
      </c>
      <c r="H84">
        <v>5.7825219726562497E-4</v>
      </c>
      <c r="I84">
        <v>-1.0064546866458464</v>
      </c>
      <c r="J84" s="93">
        <v>-5.819846340012467E-4</v>
      </c>
      <c r="L84" s="97"/>
      <c r="M84" s="97">
        <v>-13</v>
      </c>
      <c r="N84" s="93">
        <v>1.953125E-3</v>
      </c>
      <c r="O84" s="93">
        <f t="shared" si="1"/>
        <v>6.8359375E-2</v>
      </c>
    </row>
    <row r="85" spans="1:15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4.5951686554850308</v>
      </c>
      <c r="H85">
        <v>3.652119140625E-4</v>
      </c>
      <c r="I85">
        <v>-0.85798188865028724</v>
      </c>
      <c r="J85" s="93">
        <v>-3.1334520778493013E-4</v>
      </c>
      <c r="L85" s="97"/>
      <c r="M85" s="97">
        <v>-13</v>
      </c>
      <c r="N85" s="93">
        <v>9.765625E-4</v>
      </c>
      <c r="O85" s="93">
        <f t="shared" si="1"/>
        <v>6.93359375E-2</v>
      </c>
    </row>
    <row r="86" spans="1:15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-10.60163586688383</v>
      </c>
      <c r="H86">
        <v>5.7825219726562497E-4</v>
      </c>
      <c r="I86">
        <v>-1.4238833068989094</v>
      </c>
      <c r="J86" s="93">
        <v>-8.2336365086413854E-4</v>
      </c>
      <c r="L86" s="97"/>
      <c r="M86" s="97">
        <v>-13</v>
      </c>
      <c r="N86" s="93">
        <v>4.8828125E-4</v>
      </c>
      <c r="O86" s="93">
        <f t="shared" si="1"/>
        <v>6.982421875E-2</v>
      </c>
    </row>
    <row r="87" spans="1:15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-1.8499864674531208</v>
      </c>
      <c r="H87">
        <v>1.2207546386718748E-3</v>
      </c>
      <c r="I87">
        <v>-1.0636072699382935</v>
      </c>
      <c r="J87" s="93">
        <v>-1.2984035085023007E-3</v>
      </c>
      <c r="L87" s="97"/>
      <c r="M87" s="97">
        <v>-13</v>
      </c>
      <c r="N87" s="93">
        <v>9.765625E-4</v>
      </c>
      <c r="O87" s="93">
        <f t="shared" si="1"/>
        <v>7.080078125E-2</v>
      </c>
    </row>
    <row r="88" spans="1:15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3.0137144708029968</v>
      </c>
      <c r="H88">
        <v>7.7100292968749996E-4</v>
      </c>
      <c r="I88">
        <v>-0.90442386702534561</v>
      </c>
      <c r="J88" s="93">
        <v>-6.9731345115583933E-4</v>
      </c>
      <c r="L88" s="97"/>
      <c r="M88" s="97">
        <v>-13</v>
      </c>
      <c r="N88" s="93">
        <v>4.8828125E-4</v>
      </c>
      <c r="O88" s="93">
        <f t="shared" si="1"/>
        <v>7.12890625E-2</v>
      </c>
    </row>
    <row r="89" spans="1:15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-13</v>
      </c>
      <c r="H89">
        <v>3.652119140625E-4</v>
      </c>
      <c r="I89">
        <v>-1.5423902651101746</v>
      </c>
      <c r="J89" s="93">
        <v>-5.6329930095225375E-4</v>
      </c>
      <c r="L89" s="97"/>
      <c r="M89" s="97">
        <v>-13</v>
      </c>
      <c r="N89" s="93">
        <v>2.44140625E-4</v>
      </c>
      <c r="O89" s="93">
        <f t="shared" si="1"/>
        <v>7.1533203125E-2</v>
      </c>
    </row>
    <row r="90" spans="1:15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-3.5617458222870511</v>
      </c>
      <c r="H90">
        <v>7.7100292968749996E-4</v>
      </c>
      <c r="I90">
        <v>-1.1260600523359159</v>
      </c>
      <c r="J90" s="93">
        <v>-8.6819559935505072E-4</v>
      </c>
      <c r="L90" s="97"/>
      <c r="M90" s="97">
        <v>-13</v>
      </c>
      <c r="N90" s="93">
        <v>4.8828125E-4</v>
      </c>
      <c r="O90" s="93">
        <f t="shared" si="1"/>
        <v>7.2021484375E-2</v>
      </c>
    </row>
    <row r="91" spans="1:15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1.4230314944119988</v>
      </c>
      <c r="H91">
        <v>4.8694921874999997E-4</v>
      </c>
      <c r="I91">
        <v>-0.95367304810376152</v>
      </c>
      <c r="J91" s="93">
        <v>-4.6439034571705781E-4</v>
      </c>
      <c r="L91" s="97"/>
      <c r="M91" s="97">
        <v>-13</v>
      </c>
      <c r="N91" s="93">
        <v>2.44140625E-4</v>
      </c>
      <c r="O91" s="93">
        <f t="shared" si="1"/>
        <v>7.2265625E-2</v>
      </c>
    </row>
    <row r="92" spans="1:15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-9.7032717337676591</v>
      </c>
      <c r="H92">
        <v>5.7825219726562497E-4</v>
      </c>
      <c r="I92">
        <v>-1.381876545622545</v>
      </c>
      <c r="J92" s="93">
        <v>-7.9907314885606828E-4</v>
      </c>
      <c r="L92" s="97"/>
      <c r="M92" s="97">
        <v>-13</v>
      </c>
      <c r="N92" s="93">
        <v>4.8828125E-4</v>
      </c>
      <c r="O92" s="93">
        <f t="shared" si="1"/>
        <v>7.275390625E-2</v>
      </c>
    </row>
    <row r="93" spans="1:15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-1.3604288056436586</v>
      </c>
      <c r="H93">
        <v>1.2207546386718748E-3</v>
      </c>
      <c r="I93">
        <v>-1.0463915504943231</v>
      </c>
      <c r="J93" s="93">
        <v>-1.2773873391330002E-3</v>
      </c>
      <c r="L93" s="97"/>
      <c r="M93" s="97">
        <v>-13</v>
      </c>
      <c r="N93" s="93">
        <v>9.765625E-4</v>
      </c>
      <c r="O93" s="93">
        <f t="shared" si="1"/>
        <v>7.373046875E-2</v>
      </c>
    </row>
    <row r="94" spans="1:15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3.483101077794271</v>
      </c>
      <c r="H94">
        <v>7.7100292968749996E-4</v>
      </c>
      <c r="I94">
        <v>-0.89038318029005281</v>
      </c>
      <c r="J94" s="93">
        <v>-6.8648804054810423E-4</v>
      </c>
      <c r="L94" s="97"/>
      <c r="M94" s="97">
        <v>-13</v>
      </c>
      <c r="N94" s="93">
        <v>4.8828125E-4</v>
      </c>
      <c r="O94" s="93">
        <f t="shared" si="1"/>
        <v>7.421875E-2</v>
      </c>
    </row>
    <row r="95" spans="1:15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-12.10163586688383</v>
      </c>
      <c r="H95">
        <v>1.2207546386718748E-3</v>
      </c>
      <c r="I95">
        <v>-1.4968873651551353</v>
      </c>
      <c r="J95" s="93">
        <v>-1.827332194582452E-3</v>
      </c>
      <c r="L95" s="97"/>
      <c r="M95" s="97">
        <v>-13</v>
      </c>
      <c r="N95" s="93">
        <v>2.44140625E-4</v>
      </c>
      <c r="O95" s="93">
        <f t="shared" si="1"/>
        <v>7.4462890625E-2</v>
      </c>
    </row>
    <row r="96" spans="1:15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-3.0420332032869952</v>
      </c>
      <c r="H96">
        <v>2.5771486816406246E-3</v>
      </c>
      <c r="I96">
        <v>-1.1067204658252923</v>
      </c>
      <c r="J96" s="93">
        <v>-2.85218318944635E-3</v>
      </c>
      <c r="L96" s="97"/>
      <c r="M96" s="97">
        <v>-13</v>
      </c>
      <c r="N96" s="93">
        <v>4.8828125E-4</v>
      </c>
      <c r="O96" s="93">
        <f t="shared" si="1"/>
        <v>7.4951171875E-2</v>
      </c>
    </row>
    <row r="97" spans="1:15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1.8979415442510021</v>
      </c>
      <c r="H97">
        <v>1.6276728515624997E-3</v>
      </c>
      <c r="I97">
        <v>-0.93869495121327207</v>
      </c>
      <c r="J97" s="93">
        <v>-1.527888287988628E-3</v>
      </c>
      <c r="L97" s="97"/>
      <c r="M97" s="97">
        <v>-13</v>
      </c>
      <c r="N97" s="93">
        <v>2.44140625E-4</v>
      </c>
      <c r="O97" s="93">
        <f t="shared" si="1"/>
        <v>7.51953125E-2</v>
      </c>
    </row>
    <row r="98" spans="1:15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-14.5</v>
      </c>
      <c r="H98">
        <v>7.7100292968749985E-4</v>
      </c>
      <c r="I98">
        <v>-1.6214703050420796</v>
      </c>
      <c r="J98" s="93">
        <v>-1.2501583555887274E-3</v>
      </c>
      <c r="L98" s="97"/>
      <c r="M98" s="97">
        <v>-12.999072183533562</v>
      </c>
      <c r="N98" s="93">
        <v>9.765625E-4</v>
      </c>
      <c r="O98" s="93">
        <f t="shared" si="1"/>
        <v>7.6171875E-2</v>
      </c>
    </row>
    <row r="99" spans="1:15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-4.9065434675353217</v>
      </c>
      <c r="H99">
        <v>1.6276728515624997E-3</v>
      </c>
      <c r="I99">
        <v>-1.1776859442961809</v>
      </c>
      <c r="J99" s="93">
        <v>-1.91688743919764E-3</v>
      </c>
      <c r="L99" s="97"/>
      <c r="M99" s="97">
        <v>-12.999072183533562</v>
      </c>
      <c r="N99" s="93">
        <v>1.953125E-3</v>
      </c>
      <c r="O99" s="93">
        <f t="shared" si="1"/>
        <v>7.8125E-2</v>
      </c>
    </row>
    <row r="100" spans="1:15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0.28222818173536612</v>
      </c>
      <c r="H100">
        <v>1.0280039062499997E-3</v>
      </c>
      <c r="I100">
        <v>-0.99063650702680317</v>
      </c>
      <c r="J100" s="93">
        <v>-1.0183781988974089E-3</v>
      </c>
      <c r="L100" s="97"/>
      <c r="M100" s="97">
        <v>-12.999072183533562</v>
      </c>
      <c r="N100" s="93">
        <v>9.765625E-4</v>
      </c>
      <c r="O100" s="93">
        <f t="shared" si="1"/>
        <v>7.91015625E-2</v>
      </c>
    </row>
    <row r="101" spans="1:15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-12.203271733767659</v>
      </c>
      <c r="H101">
        <v>3.6521191406249995E-4</v>
      </c>
      <c r="I101">
        <v>-1.5019672133755515</v>
      </c>
      <c r="J101" s="93">
        <v>-5.4853632085600449E-4</v>
      </c>
      <c r="L101" s="97"/>
      <c r="M101" s="97">
        <v>-12.203271733767659</v>
      </c>
      <c r="N101" s="93">
        <v>4.8828125E-4</v>
      </c>
      <c r="O101" s="93">
        <f t="shared" si="1"/>
        <v>7.958984375E-2</v>
      </c>
    </row>
    <row r="102" spans="1:15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-3.3325607143886926</v>
      </c>
      <c r="H102">
        <v>7.7100292968749985E-4</v>
      </c>
      <c r="I102">
        <v>-1.1174902885656834</v>
      </c>
      <c r="J102" s="93">
        <v>-8.6158828638147153E-4</v>
      </c>
      <c r="L102" s="97"/>
      <c r="M102" s="97">
        <v>-12.203271733767659</v>
      </c>
      <c r="N102" s="93">
        <v>9.765625E-4</v>
      </c>
      <c r="O102" s="93">
        <f t="shared" si="1"/>
        <v>8.056640625E-2</v>
      </c>
    </row>
    <row r="103" spans="1:15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1.6123160523055924</v>
      </c>
      <c r="H103">
        <v>4.8694921874999991E-4</v>
      </c>
      <c r="I103">
        <v>-0.94767480487351008</v>
      </c>
      <c r="J103" s="93">
        <v>-4.6146950586221436E-4</v>
      </c>
      <c r="L103" s="97"/>
      <c r="M103" s="97">
        <v>-12.203271733767659</v>
      </c>
      <c r="N103" s="93">
        <v>4.8828125E-4</v>
      </c>
      <c r="O103" s="93">
        <f t="shared" si="1"/>
        <v>8.10546875E-2</v>
      </c>
    </row>
    <row r="104" spans="1:15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-14.60163586688383</v>
      </c>
      <c r="H104">
        <v>7.7100292968749985E-4</v>
      </c>
      <c r="I104">
        <v>-1.6269729388642791</v>
      </c>
      <c r="J104" s="93">
        <v>-1.2544009023866408E-3</v>
      </c>
      <c r="L104" s="97"/>
      <c r="M104" s="97">
        <v>-12.10163586688383</v>
      </c>
      <c r="N104" s="93">
        <v>1.953125E-3</v>
      </c>
      <c r="O104" s="93">
        <f t="shared" si="1"/>
        <v>8.30078125E-2</v>
      </c>
    </row>
    <row r="105" spans="1:15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-5.0596113222263472</v>
      </c>
      <c r="H105">
        <v>1.6276728515624997E-3</v>
      </c>
      <c r="I105">
        <v>-1.1837101618277797</v>
      </c>
      <c r="J105" s="93">
        <v>-1.92669289452573E-3</v>
      </c>
      <c r="L105" s="97"/>
      <c r="M105" s="97">
        <v>-12.10163586688383</v>
      </c>
      <c r="N105" s="93">
        <v>3.90625E-3</v>
      </c>
      <c r="O105" s="93">
        <f t="shared" si="1"/>
        <v>8.69140625E-2</v>
      </c>
    </row>
    <row r="106" spans="1:15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-3.3973102100479657E-3</v>
      </c>
      <c r="H106">
        <v>1.0280039062499997E-3</v>
      </c>
      <c r="I106">
        <v>-1.0001132500859751</v>
      </c>
      <c r="J106" s="93">
        <v>-1.0281203277807652E-3</v>
      </c>
      <c r="L106" s="97"/>
      <c r="M106" s="97">
        <v>-12.10163586688383</v>
      </c>
      <c r="N106" s="93">
        <v>1.953125E-3</v>
      </c>
      <c r="O106" s="93">
        <f t="shared" si="1"/>
        <v>8.88671875E-2</v>
      </c>
    </row>
    <row r="107" spans="1:15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-17</v>
      </c>
      <c r="H107">
        <v>4.8694921874999991E-4</v>
      </c>
      <c r="I107">
        <v>-1.7623826407286585</v>
      </c>
      <c r="J107" s="93">
        <v>-8.58190850041382E-4</v>
      </c>
      <c r="L107" s="97"/>
      <c r="M107" s="97">
        <v>-11.893219174018935</v>
      </c>
      <c r="N107" s="93">
        <v>9.765625E-4</v>
      </c>
      <c r="O107" s="93">
        <f t="shared" si="1"/>
        <v>8.984375E-2</v>
      </c>
    </row>
    <row r="108" spans="1:15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-7.4065434675353199</v>
      </c>
      <c r="H108">
        <v>1.0280039062499997E-3</v>
      </c>
      <c r="I108">
        <v>-1.2800316219197514</v>
      </c>
      <c r="J108" s="93">
        <v>-1.3158775074570272E-3</v>
      </c>
      <c r="L108" s="97"/>
      <c r="M108" s="97">
        <v>-11.893219174018935</v>
      </c>
      <c r="N108" s="93">
        <v>1.953125E-3</v>
      </c>
      <c r="O108" s="93">
        <f t="shared" si="1"/>
        <v>9.1796875E-2</v>
      </c>
    </row>
    <row r="109" spans="1:15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-1.6520230774009681</v>
      </c>
      <c r="H109">
        <v>6.4926562499999978E-4</v>
      </c>
      <c r="I109">
        <v>-1.05661186585927</v>
      </c>
      <c r="J109" s="93">
        <v>-6.8602176346953486E-4</v>
      </c>
      <c r="L109" s="97"/>
      <c r="M109" s="97">
        <v>-11.893219174018935</v>
      </c>
      <c r="N109" s="93">
        <v>9.765625E-4</v>
      </c>
      <c r="O109" s="93">
        <f t="shared" si="1"/>
        <v>9.27734375E-2</v>
      </c>
    </row>
    <row r="110" spans="1:15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-8.2032717337676591</v>
      </c>
      <c r="H110">
        <v>5.7825219726562497E-4</v>
      </c>
      <c r="I110">
        <v>-1.3144816312235683</v>
      </c>
      <c r="J110" s="93">
        <v>-7.6010189152033131E-4</v>
      </c>
      <c r="L110" s="97"/>
      <c r="M110" s="97">
        <v>-11.786438348037867</v>
      </c>
      <c r="N110" s="93">
        <v>2.44140625E-4</v>
      </c>
      <c r="O110" s="93">
        <f t="shared" si="1"/>
        <v>9.3017578125E-2</v>
      </c>
    </row>
    <row r="111" spans="1:15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-0.19301833094307452</v>
      </c>
      <c r="H111">
        <v>1.2207546386718748E-3</v>
      </c>
      <c r="I111">
        <v>-1.0064546866458464</v>
      </c>
      <c r="J111" s="93">
        <v>-1.2286342273359651E-3</v>
      </c>
      <c r="L111" s="97"/>
      <c r="M111" s="97">
        <v>-11.786438348037867</v>
      </c>
      <c r="N111" s="93">
        <v>4.8828125E-4</v>
      </c>
      <c r="O111" s="93">
        <f t="shared" si="1"/>
        <v>9.3505859375E-2</v>
      </c>
    </row>
    <row r="112" spans="1:15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4.5951686554850308</v>
      </c>
      <c r="H112">
        <v>7.7100292968749996E-4</v>
      </c>
      <c r="I112">
        <v>-0.85798188865028724</v>
      </c>
      <c r="J112" s="93">
        <v>-6.615065497681858E-4</v>
      </c>
      <c r="L112" s="97"/>
      <c r="M112" s="97">
        <v>-11.786438348037867</v>
      </c>
      <c r="N112" s="93">
        <v>2.44140625E-4</v>
      </c>
      <c r="O112" s="93">
        <f t="shared" si="1"/>
        <v>9.375E-2</v>
      </c>
    </row>
    <row r="113" spans="1:15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-10.60163586688383</v>
      </c>
      <c r="H113">
        <v>1.2207546386718748E-3</v>
      </c>
      <c r="I113">
        <v>-1.4238833068989094</v>
      </c>
      <c r="J113" s="93">
        <v>-1.7382121518242923E-3</v>
      </c>
      <c r="L113" s="97"/>
      <c r="M113" s="97">
        <v>-11.499072183533562</v>
      </c>
      <c r="N113" s="93">
        <v>4.8828125E-4</v>
      </c>
      <c r="O113" s="93">
        <f t="shared" si="1"/>
        <v>9.423828125E-2</v>
      </c>
    </row>
    <row r="114" spans="1:15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-1.8499864674531208</v>
      </c>
      <c r="H114">
        <v>2.5771486816406246E-3</v>
      </c>
      <c r="I114">
        <v>-1.0636072699382935</v>
      </c>
      <c r="J114" s="93">
        <v>-2.7410740735048567E-3</v>
      </c>
      <c r="L114" s="97"/>
      <c r="M114" s="97">
        <v>-11.499072183533562</v>
      </c>
      <c r="N114" s="93">
        <v>9.765625E-4</v>
      </c>
      <c r="O114" s="93">
        <f t="shared" si="1"/>
        <v>9.521484375E-2</v>
      </c>
    </row>
    <row r="115" spans="1:15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3.0137144708029968</v>
      </c>
      <c r="H115">
        <v>1.6276728515624997E-3</v>
      </c>
      <c r="I115">
        <v>-0.90442386702534561</v>
      </c>
      <c r="J115" s="93">
        <v>-1.4721061746623273E-3</v>
      </c>
      <c r="L115" s="97"/>
      <c r="M115" s="97">
        <v>-11.499072183533562</v>
      </c>
      <c r="N115" s="93">
        <v>4.8828125E-4</v>
      </c>
      <c r="O115" s="93">
        <f t="shared" si="1"/>
        <v>9.5703125E-2</v>
      </c>
    </row>
    <row r="116" spans="1:15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-13</v>
      </c>
      <c r="H116">
        <v>7.7100292968749985E-4</v>
      </c>
      <c r="I116">
        <v>-1.5423902651101746</v>
      </c>
      <c r="J116" s="93">
        <v>-1.1891874131214242E-3</v>
      </c>
      <c r="L116" s="97"/>
      <c r="M116" s="97">
        <v>-11.498144367067116</v>
      </c>
      <c r="N116" s="93">
        <v>4.8828125E-4</v>
      </c>
      <c r="O116" s="93">
        <f t="shared" si="1"/>
        <v>9.619140625E-2</v>
      </c>
    </row>
    <row r="117" spans="1:15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-3.5617458222870511</v>
      </c>
      <c r="H117">
        <v>1.6276728515624997E-3</v>
      </c>
      <c r="I117">
        <v>-1.1260600523359159</v>
      </c>
      <c r="J117" s="93">
        <v>-1.8328573764162179E-3</v>
      </c>
      <c r="L117" s="97"/>
      <c r="M117" s="97">
        <v>-11.498144367067116</v>
      </c>
      <c r="N117" s="93">
        <v>9.765625E-4</v>
      </c>
      <c r="O117" s="93">
        <f t="shared" si="1"/>
        <v>9.716796875E-2</v>
      </c>
    </row>
    <row r="118" spans="1:15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1.4230314944119988</v>
      </c>
      <c r="H118">
        <v>1.0280039062499997E-3</v>
      </c>
      <c r="I118">
        <v>-0.95367304810376152</v>
      </c>
      <c r="J118" s="93">
        <v>-9.8037961873601075E-4</v>
      </c>
      <c r="L118" s="97"/>
      <c r="M118" s="97">
        <v>-11.498144367067116</v>
      </c>
      <c r="N118" s="93">
        <v>4.8828125E-4</v>
      </c>
      <c r="O118" s="93">
        <f t="shared" si="1"/>
        <v>9.765625E-2</v>
      </c>
    </row>
    <row r="119" spans="1:15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-9.7032717337676591</v>
      </c>
      <c r="H119">
        <v>1.2207546386718748E-3</v>
      </c>
      <c r="I119">
        <v>-1.381876545622545</v>
      </c>
      <c r="J119" s="93">
        <v>-1.6869322031405885E-3</v>
      </c>
      <c r="L119" s="97"/>
      <c r="M119" s="97">
        <v>-11.004089667209579</v>
      </c>
      <c r="N119" s="93">
        <v>1.953125E-3</v>
      </c>
      <c r="O119" s="93">
        <f t="shared" si="1"/>
        <v>9.9609375E-2</v>
      </c>
    </row>
    <row r="120" spans="1:15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-1.3604288056436586</v>
      </c>
      <c r="H120">
        <v>2.5771486816406246E-3</v>
      </c>
      <c r="I120">
        <v>-1.0463915504943231</v>
      </c>
      <c r="J120" s="93">
        <v>-2.6967066048363339E-3</v>
      </c>
      <c r="L120" s="97"/>
      <c r="M120" s="97">
        <v>-11.004089667209579</v>
      </c>
      <c r="N120" s="93">
        <v>3.90625E-3</v>
      </c>
      <c r="O120" s="93">
        <f t="shared" si="1"/>
        <v>0.103515625</v>
      </c>
    </row>
    <row r="121" spans="1:15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3.483101077794271</v>
      </c>
      <c r="H121">
        <v>1.6276728515624997E-3</v>
      </c>
      <c r="I121">
        <v>-0.89038318029005281</v>
      </c>
      <c r="J121" s="93">
        <v>-1.4492525300459976E-3</v>
      </c>
      <c r="L121" s="97"/>
      <c r="M121" s="97">
        <v>-11.004089667209579</v>
      </c>
      <c r="N121" s="93">
        <v>1.953125E-3</v>
      </c>
      <c r="O121" s="93">
        <f t="shared" si="1"/>
        <v>0.10546875</v>
      </c>
    </row>
    <row r="122" spans="1:15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-12.10163586688383</v>
      </c>
      <c r="H122">
        <v>2.5771486816406246E-3</v>
      </c>
      <c r="I122">
        <v>-1.4968873651551353</v>
      </c>
      <c r="J122" s="93">
        <v>-3.8577012996740653E-3</v>
      </c>
      <c r="L122" s="97"/>
      <c r="M122" s="97">
        <v>-10.996288734134236</v>
      </c>
      <c r="N122" s="93">
        <v>4.8828125E-4</v>
      </c>
      <c r="O122" s="93">
        <f t="shared" si="1"/>
        <v>0.10595703125</v>
      </c>
    </row>
    <row r="123" spans="1:15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-3.0420332032869952</v>
      </c>
      <c r="H123">
        <v>5.4406472167968737E-3</v>
      </c>
      <c r="I123">
        <v>-1.1067204658252923</v>
      </c>
      <c r="J123" s="93">
        <v>-6.0212756221645156E-3</v>
      </c>
      <c r="L123" s="97"/>
      <c r="M123" s="97">
        <v>-10.996288734134236</v>
      </c>
      <c r="N123" s="93">
        <v>9.765625E-4</v>
      </c>
      <c r="O123" s="93">
        <f t="shared" si="1"/>
        <v>0.10693359375</v>
      </c>
    </row>
    <row r="124" spans="1:15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1.8979415442510021</v>
      </c>
      <c r="H124">
        <v>3.4361982421874993E-3</v>
      </c>
      <c r="I124">
        <v>-0.93869495121327207</v>
      </c>
      <c r="J124" s="93">
        <v>-3.2255419413093258E-3</v>
      </c>
      <c r="L124" s="97"/>
      <c r="M124" s="97">
        <v>-10.996288734134236</v>
      </c>
      <c r="N124" s="93">
        <v>4.8828125E-4</v>
      </c>
      <c r="O124" s="93">
        <f t="shared" si="1"/>
        <v>0.107421875</v>
      </c>
    </row>
    <row r="125" spans="1:15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-14.5</v>
      </c>
      <c r="H125">
        <v>1.6276728515624997E-3</v>
      </c>
      <c r="I125">
        <v>-1.6214703050420796</v>
      </c>
      <c r="J125" s="93">
        <v>-2.639223195131758E-3</v>
      </c>
      <c r="L125" s="97"/>
      <c r="M125" s="97">
        <v>-10.747680458833893</v>
      </c>
      <c r="N125" s="93">
        <v>1.953125E-3</v>
      </c>
      <c r="O125" s="93">
        <f t="shared" si="1"/>
        <v>0.109375</v>
      </c>
    </row>
    <row r="126" spans="1:15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-4.9065434675353217</v>
      </c>
      <c r="H126">
        <v>3.4361982421874993E-3</v>
      </c>
      <c r="I126">
        <v>-1.1776859442961809</v>
      </c>
      <c r="J126" s="93">
        <v>-4.046762371639462E-3</v>
      </c>
      <c r="L126" s="97"/>
      <c r="M126" s="97">
        <v>-10.747680458833893</v>
      </c>
      <c r="N126" s="93">
        <v>3.90625E-3</v>
      </c>
      <c r="O126" s="93">
        <f t="shared" si="1"/>
        <v>0.11328125</v>
      </c>
    </row>
    <row r="127" spans="1:15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0.28222818173536612</v>
      </c>
      <c r="H127">
        <v>2.1702304687499993E-3</v>
      </c>
      <c r="I127">
        <v>-0.99063650702680317</v>
      </c>
      <c r="J127" s="93">
        <v>-2.1499095310056411E-3</v>
      </c>
      <c r="L127" s="97"/>
      <c r="M127" s="97">
        <v>-10.747680458833893</v>
      </c>
      <c r="N127" s="93">
        <v>1.953125E-3</v>
      </c>
      <c r="O127" s="93">
        <f t="shared" si="1"/>
        <v>0.115234375</v>
      </c>
    </row>
    <row r="128" spans="1:15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-12.203271733767659</v>
      </c>
      <c r="H128">
        <v>7.7100292968749996E-4</v>
      </c>
      <c r="I128">
        <v>-1.5019672133755515</v>
      </c>
      <c r="J128" s="93">
        <v>-1.1580211218071206E-3</v>
      </c>
      <c r="L128" s="97"/>
      <c r="M128" s="97">
        <v>-10.60163586688383</v>
      </c>
      <c r="N128" s="93">
        <v>9.765625E-4</v>
      </c>
      <c r="O128" s="93">
        <f t="shared" si="1"/>
        <v>0.1162109375</v>
      </c>
    </row>
    <row r="129" spans="1:15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-3.3325607143886926</v>
      </c>
      <c r="H129">
        <v>1.6276728515624999E-3</v>
      </c>
      <c r="I129">
        <v>-1.1174902885656834</v>
      </c>
      <c r="J129" s="93">
        <v>-1.8189086045831068E-3</v>
      </c>
      <c r="L129" s="97"/>
      <c r="M129" s="97">
        <v>-10.60163586688383</v>
      </c>
      <c r="N129" s="93">
        <v>1.953125E-3</v>
      </c>
      <c r="O129" s="93">
        <f t="shared" si="1"/>
        <v>0.1181640625</v>
      </c>
    </row>
    <row r="130" spans="1:15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1.6123160523055924</v>
      </c>
      <c r="H130">
        <v>1.0280039062499999E-3</v>
      </c>
      <c r="I130">
        <v>-0.94767480487351008</v>
      </c>
      <c r="J130" s="93">
        <v>-9.7421340126467484E-4</v>
      </c>
      <c r="L130" s="97"/>
      <c r="M130" s="97">
        <v>-10.60163586688383</v>
      </c>
      <c r="N130" s="93">
        <v>9.765625E-4</v>
      </c>
      <c r="O130" s="93">
        <f t="shared" si="1"/>
        <v>0.119140625</v>
      </c>
    </row>
    <row r="131" spans="1:15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-14.60163586688383</v>
      </c>
      <c r="H131">
        <v>1.6276728515624997E-3</v>
      </c>
      <c r="I131">
        <v>-1.6269729388642791</v>
      </c>
      <c r="J131" s="93">
        <v>-2.6481796828162416E-3</v>
      </c>
      <c r="L131" s="97"/>
      <c r="M131" s="97">
        <v>-10.483047935047331</v>
      </c>
      <c r="N131" s="93">
        <v>9.765625E-4</v>
      </c>
      <c r="O131" s="93">
        <f t="shared" si="1"/>
        <v>0.1201171875</v>
      </c>
    </row>
    <row r="132" spans="1:15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-5.0596113222263472</v>
      </c>
      <c r="H132">
        <v>3.4361982421874993E-3</v>
      </c>
      <c r="I132">
        <v>-1.1837101618277797</v>
      </c>
      <c r="J132" s="93">
        <v>-4.0674627773320971E-3</v>
      </c>
      <c r="L132" s="97"/>
      <c r="M132" s="97">
        <v>-10.483047935047331</v>
      </c>
      <c r="N132" s="93">
        <v>1.953125E-3</v>
      </c>
      <c r="O132" s="93">
        <f t="shared" ref="O132:O195" si="2">N132+O131</f>
        <v>0.1220703125</v>
      </c>
    </row>
    <row r="133" spans="1:15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-3.3973102100479657E-3</v>
      </c>
      <c r="H133">
        <v>2.1702304687499993E-3</v>
      </c>
      <c r="I133">
        <v>-1.0001132500859751</v>
      </c>
      <c r="J133" s="93">
        <v>-2.1704762475371711E-3</v>
      </c>
      <c r="L133" s="97"/>
      <c r="M133" s="97">
        <v>-10.483047935047331</v>
      </c>
      <c r="N133" s="93">
        <v>9.765625E-4</v>
      </c>
      <c r="O133" s="93">
        <f t="shared" si="2"/>
        <v>0.123046875</v>
      </c>
    </row>
    <row r="134" spans="1:15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-17</v>
      </c>
      <c r="H134">
        <v>1.0280039062499999E-3</v>
      </c>
      <c r="I134">
        <v>-1.7623826407286585</v>
      </c>
      <c r="J134" s="93">
        <v>-1.8117362389762511E-3</v>
      </c>
      <c r="L134" s="97"/>
      <c r="M134" s="97">
        <v>-10.393219174018935</v>
      </c>
      <c r="N134" s="93">
        <v>4.8828125E-4</v>
      </c>
      <c r="O134" s="93">
        <f t="shared" si="2"/>
        <v>0.12353515625</v>
      </c>
    </row>
    <row r="135" spans="1:15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-7.4065434675353199</v>
      </c>
      <c r="H135">
        <v>2.1702304687499993E-3</v>
      </c>
      <c r="I135">
        <v>-1.2800316219197514</v>
      </c>
      <c r="J135" s="93">
        <v>-2.7779636268537239E-3</v>
      </c>
      <c r="L135" s="97"/>
      <c r="M135" s="97">
        <v>-10.393219174018935</v>
      </c>
      <c r="N135" s="93">
        <v>9.765625E-4</v>
      </c>
      <c r="O135" s="93">
        <f t="shared" si="2"/>
        <v>0.12451171875</v>
      </c>
    </row>
    <row r="136" spans="1:15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-1.6520230774009681</v>
      </c>
      <c r="H136">
        <v>1.3706718749999997E-3</v>
      </c>
      <c r="I136">
        <v>-1.05661186585927</v>
      </c>
      <c r="J136" s="93">
        <v>-1.4482681673245739E-3</v>
      </c>
      <c r="L136" s="97"/>
      <c r="M136" s="97">
        <v>-10.393219174018935</v>
      </c>
      <c r="N136" s="93">
        <v>4.8828125E-4</v>
      </c>
      <c r="O136" s="93">
        <f t="shared" si="2"/>
        <v>0.125</v>
      </c>
    </row>
    <row r="137" spans="1:15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-8.2032717337676591</v>
      </c>
      <c r="H137">
        <v>3.652119140625E-4</v>
      </c>
      <c r="I137">
        <v>-1.3144816312235683</v>
      </c>
      <c r="J137" s="93">
        <v>-4.8006435253915666E-4</v>
      </c>
      <c r="L137" s="97"/>
      <c r="M137" s="97">
        <v>-9.9981443670671162</v>
      </c>
      <c r="N137" s="93">
        <v>2.44140625E-4</v>
      </c>
      <c r="O137" s="93">
        <f t="shared" si="2"/>
        <v>0.125244140625</v>
      </c>
    </row>
    <row r="138" spans="1:15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-0.19301833094307452</v>
      </c>
      <c r="H138">
        <v>7.7100292968749996E-4</v>
      </c>
      <c r="I138">
        <v>-1.0064546866458464</v>
      </c>
      <c r="J138" s="93">
        <v>-7.759795120016623E-4</v>
      </c>
      <c r="L138" s="97"/>
      <c r="M138" s="97">
        <v>-9.9981443670671162</v>
      </c>
      <c r="N138" s="93">
        <v>4.8828125E-4</v>
      </c>
      <c r="O138" s="93">
        <f t="shared" si="2"/>
        <v>0.125732421875</v>
      </c>
    </row>
    <row r="139" spans="1:15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4.5951686554850308</v>
      </c>
      <c r="H139">
        <v>4.8694921874999997E-4</v>
      </c>
      <c r="I139">
        <v>-0.85798188865028724</v>
      </c>
      <c r="J139" s="93">
        <v>-4.1779361037990684E-4</v>
      </c>
      <c r="L139" s="97"/>
      <c r="M139" s="97">
        <v>-9.9981443670671162</v>
      </c>
      <c r="N139" s="93">
        <v>2.44140625E-4</v>
      </c>
      <c r="O139" s="93">
        <f t="shared" si="2"/>
        <v>0.1259765625</v>
      </c>
    </row>
    <row r="140" spans="1:15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-10.60163586688383</v>
      </c>
      <c r="H140">
        <v>7.7100292968749996E-4</v>
      </c>
      <c r="I140">
        <v>-1.4238833068989094</v>
      </c>
      <c r="J140" s="93">
        <v>-1.0978182011521847E-3</v>
      </c>
      <c r="L140" s="97"/>
      <c r="M140" s="97">
        <v>-9.7032717337676591</v>
      </c>
      <c r="N140" s="93">
        <v>9.765625E-4</v>
      </c>
      <c r="O140" s="93">
        <f t="shared" si="2"/>
        <v>0.126953125</v>
      </c>
    </row>
    <row r="141" spans="1:15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-1.8499864674531208</v>
      </c>
      <c r="H141">
        <v>1.6276728515624999E-3</v>
      </c>
      <c r="I141">
        <v>-1.0636072699382935</v>
      </c>
      <c r="J141" s="93">
        <v>-1.7312046780030676E-3</v>
      </c>
      <c r="L141" s="97"/>
      <c r="M141" s="97">
        <v>-9.7032717337676591</v>
      </c>
      <c r="N141" s="93">
        <v>1.953125E-3</v>
      </c>
      <c r="O141" s="93">
        <f t="shared" si="2"/>
        <v>0.12890625</v>
      </c>
    </row>
    <row r="142" spans="1:15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3.0137144708029968</v>
      </c>
      <c r="H142">
        <v>1.0280039062499999E-3</v>
      </c>
      <c r="I142">
        <v>-0.90442386702534561</v>
      </c>
      <c r="J142" s="93">
        <v>-9.2975126820778577E-4</v>
      </c>
      <c r="L142" s="97"/>
      <c r="M142" s="97">
        <v>-9.7032717337676591</v>
      </c>
      <c r="N142" s="93">
        <v>9.765625E-4</v>
      </c>
      <c r="O142" s="93">
        <f t="shared" si="2"/>
        <v>0.1298828125</v>
      </c>
    </row>
    <row r="143" spans="1:15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-13</v>
      </c>
      <c r="H143">
        <v>4.8694921874999997E-4</v>
      </c>
      <c r="I143">
        <v>-1.5423902651101746</v>
      </c>
      <c r="J143" s="93">
        <v>-7.5106573460300492E-4</v>
      </c>
      <c r="L143" s="97"/>
      <c r="M143" s="97">
        <v>-9.495360917667794</v>
      </c>
      <c r="N143" s="93">
        <v>9.765625E-4</v>
      </c>
      <c r="O143" s="93">
        <f t="shared" si="2"/>
        <v>0.130859375</v>
      </c>
    </row>
    <row r="144" spans="1:15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-3.5617458222870511</v>
      </c>
      <c r="H144">
        <v>1.0280039062499999E-3</v>
      </c>
      <c r="I144">
        <v>-1.1260600523359159</v>
      </c>
      <c r="J144" s="93">
        <v>-1.1575941324734008E-3</v>
      </c>
      <c r="L144" s="97"/>
      <c r="M144" s="97">
        <v>-9.495360917667794</v>
      </c>
      <c r="N144" s="93">
        <v>1.953125E-3</v>
      </c>
      <c r="O144" s="93">
        <f t="shared" si="2"/>
        <v>0.1328125</v>
      </c>
    </row>
    <row r="145" spans="1:15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1.4230314944119988</v>
      </c>
      <c r="H145">
        <v>6.4926562499999999E-4</v>
      </c>
      <c r="I145">
        <v>-0.95367304810376152</v>
      </c>
      <c r="J145" s="93">
        <v>-6.1918712762274375E-4</v>
      </c>
      <c r="L145" s="97"/>
      <c r="M145" s="97">
        <v>-9.495360917667794</v>
      </c>
      <c r="N145" s="93">
        <v>9.765625E-4</v>
      </c>
      <c r="O145" s="93">
        <f t="shared" si="2"/>
        <v>0.1337890625</v>
      </c>
    </row>
    <row r="146" spans="1:15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-9.7032717337676591</v>
      </c>
      <c r="H146">
        <v>7.7100292968750007E-4</v>
      </c>
      <c r="I146">
        <v>-1.381876545622545</v>
      </c>
      <c r="J146" s="93">
        <v>-1.0654308651414247E-3</v>
      </c>
      <c r="L146" s="97"/>
      <c r="M146" s="97">
        <v>-9.4953609176677851</v>
      </c>
      <c r="N146" s="93">
        <v>4.8828125E-4</v>
      </c>
      <c r="O146" s="93">
        <f t="shared" si="2"/>
        <v>0.13427734375</v>
      </c>
    </row>
    <row r="147" spans="1:15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-1.3604288056436586</v>
      </c>
      <c r="H147">
        <v>1.6276728515625001E-3</v>
      </c>
      <c r="I147">
        <v>-1.0463915504943231</v>
      </c>
      <c r="J147" s="93">
        <v>-1.7031831188440007E-3</v>
      </c>
      <c r="L147" s="97"/>
      <c r="M147" s="97">
        <v>-9.4953609176677851</v>
      </c>
      <c r="N147" s="93">
        <v>9.765625E-4</v>
      </c>
      <c r="O147" s="93">
        <f t="shared" si="2"/>
        <v>0.13525390625</v>
      </c>
    </row>
    <row r="148" spans="1:15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3.483101077794271</v>
      </c>
      <c r="H148">
        <v>1.0280039062499999E-3</v>
      </c>
      <c r="I148">
        <v>-0.89038318029005281</v>
      </c>
      <c r="J148" s="93">
        <v>-9.153173873974723E-4</v>
      </c>
      <c r="L148" s="97"/>
      <c r="M148" s="97">
        <v>-9.4953609176677851</v>
      </c>
      <c r="N148" s="93">
        <v>4.8828125E-4</v>
      </c>
      <c r="O148" s="93">
        <f t="shared" si="2"/>
        <v>0.1357421875</v>
      </c>
    </row>
    <row r="149" spans="1:15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-12.10163586688383</v>
      </c>
      <c r="H149">
        <v>1.6276728515624999E-3</v>
      </c>
      <c r="I149">
        <v>-1.4968873651551353</v>
      </c>
      <c r="J149" s="93">
        <v>-2.4364429261099362E-3</v>
      </c>
      <c r="L149" s="97"/>
      <c r="M149" s="97">
        <v>-9.2864383480378674</v>
      </c>
      <c r="N149" s="93">
        <v>4.8828125E-4</v>
      </c>
      <c r="O149" s="93">
        <f t="shared" si="2"/>
        <v>0.13623046875</v>
      </c>
    </row>
    <row r="150" spans="1:15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-3.0420332032869952</v>
      </c>
      <c r="H150">
        <v>3.4361982421874998E-3</v>
      </c>
      <c r="I150">
        <v>-1.1067204658252923</v>
      </c>
      <c r="J150" s="93">
        <v>-3.8029109192618E-3</v>
      </c>
      <c r="L150" s="97"/>
      <c r="M150" s="97">
        <v>-9.2864383480378674</v>
      </c>
      <c r="N150" s="93">
        <v>9.765625E-4</v>
      </c>
      <c r="O150" s="93">
        <f t="shared" si="2"/>
        <v>0.13720703125</v>
      </c>
    </row>
    <row r="151" spans="1:15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1.8979415442510021</v>
      </c>
      <c r="H151">
        <v>2.1702304687499997E-3</v>
      </c>
      <c r="I151">
        <v>-0.93869495121327207</v>
      </c>
      <c r="J151" s="93">
        <v>-2.0371843839848375E-3</v>
      </c>
      <c r="L151" s="97"/>
      <c r="M151" s="97">
        <v>-9.2864383480378674</v>
      </c>
      <c r="N151" s="93">
        <v>4.8828125E-4</v>
      </c>
      <c r="O151" s="93">
        <f t="shared" si="2"/>
        <v>0.1376953125</v>
      </c>
    </row>
    <row r="152" spans="1:15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-14.5</v>
      </c>
      <c r="H152">
        <v>1.0280039062499999E-3</v>
      </c>
      <c r="I152">
        <v>-1.6214703050420796</v>
      </c>
      <c r="J152" s="93">
        <v>-1.6668778074516368E-3</v>
      </c>
      <c r="L152" s="97"/>
      <c r="M152" s="97">
        <v>-9.2476804588338926</v>
      </c>
      <c r="N152" s="93">
        <v>9.765625E-4</v>
      </c>
      <c r="O152" s="93">
        <f t="shared" si="2"/>
        <v>0.138671875</v>
      </c>
    </row>
    <row r="153" spans="1:15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-4.9065434675353217</v>
      </c>
      <c r="H153">
        <v>2.1702304687499997E-3</v>
      </c>
      <c r="I153">
        <v>-1.1776859442961809</v>
      </c>
      <c r="J153" s="93">
        <v>-2.5558499189301869E-3</v>
      </c>
      <c r="L153" s="97"/>
      <c r="M153" s="97">
        <v>-9.2476804588338926</v>
      </c>
      <c r="N153" s="93">
        <v>1.953125E-3</v>
      </c>
      <c r="O153" s="93">
        <f t="shared" si="2"/>
        <v>0.140625</v>
      </c>
    </row>
    <row r="154" spans="1:15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0.28222818173536612</v>
      </c>
      <c r="H154">
        <v>1.3706718749999999E-3</v>
      </c>
      <c r="I154">
        <v>-0.99063650702680317</v>
      </c>
      <c r="J154" s="93">
        <v>-1.3578375985298788E-3</v>
      </c>
      <c r="L154" s="97"/>
      <c r="M154" s="97">
        <v>-9.2476804588338926</v>
      </c>
      <c r="N154" s="93">
        <v>9.765625E-4</v>
      </c>
      <c r="O154" s="93">
        <f t="shared" si="2"/>
        <v>0.1416015625</v>
      </c>
    </row>
    <row r="155" spans="1:15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-12.203271733767659</v>
      </c>
      <c r="H155">
        <v>4.8694921875000008E-4</v>
      </c>
      <c r="I155">
        <v>-1.5019672133755515</v>
      </c>
      <c r="J155" s="93">
        <v>-7.3138176114133943E-4</v>
      </c>
      <c r="L155" s="97"/>
      <c r="M155" s="97">
        <v>-8.7448970094345775</v>
      </c>
      <c r="N155" s="93">
        <v>4.8828125E-4</v>
      </c>
      <c r="O155" s="93">
        <f t="shared" si="2"/>
        <v>0.14208984375</v>
      </c>
    </row>
    <row r="156" spans="1:15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-3.3325607143886926</v>
      </c>
      <c r="H156">
        <v>1.0280039062500002E-3</v>
      </c>
      <c r="I156">
        <v>-1.1174902885656834</v>
      </c>
      <c r="J156" s="93">
        <v>-1.1487843818419625E-3</v>
      </c>
      <c r="L156" s="97"/>
      <c r="M156" s="97">
        <v>-8.7448970094345775</v>
      </c>
      <c r="N156" s="93">
        <v>9.765625E-4</v>
      </c>
      <c r="O156" s="93">
        <f t="shared" si="2"/>
        <v>0.14306640625</v>
      </c>
    </row>
    <row r="157" spans="1:15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1.6123160523055924</v>
      </c>
      <c r="H157">
        <v>6.492656250000001E-4</v>
      </c>
      <c r="I157">
        <v>-0.94767480487351008</v>
      </c>
      <c r="J157" s="93">
        <v>-6.152926744829527E-4</v>
      </c>
      <c r="L157" s="97"/>
      <c r="M157" s="97">
        <v>-8.7448970094345775</v>
      </c>
      <c r="N157" s="93">
        <v>4.8828125E-4</v>
      </c>
      <c r="O157" s="93">
        <f t="shared" si="2"/>
        <v>0.1435546875</v>
      </c>
    </row>
    <row r="158" spans="1:15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-14.60163586688383</v>
      </c>
      <c r="H158">
        <v>1.0280039062499999E-3</v>
      </c>
      <c r="I158">
        <v>-1.6269729388642791</v>
      </c>
      <c r="J158" s="93">
        <v>-1.6725345365155213E-3</v>
      </c>
      <c r="L158" s="97"/>
      <c r="M158" s="97">
        <v>-8.5040896672095787</v>
      </c>
      <c r="N158" s="93">
        <v>3.90625E-3</v>
      </c>
      <c r="O158" s="93">
        <f t="shared" si="2"/>
        <v>0.1474609375</v>
      </c>
    </row>
    <row r="159" spans="1:15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-5.0596113222263472</v>
      </c>
      <c r="H159">
        <v>2.1702304687499997E-3</v>
      </c>
      <c r="I159">
        <v>-1.1837101618277797</v>
      </c>
      <c r="J159" s="93">
        <v>-2.5689238593676403E-3</v>
      </c>
      <c r="L159" s="97"/>
      <c r="M159" s="97">
        <v>-8.5040896672095787</v>
      </c>
      <c r="N159" s="93">
        <v>7.8125E-3</v>
      </c>
      <c r="O159" s="93">
        <f t="shared" si="2"/>
        <v>0.1552734375</v>
      </c>
    </row>
    <row r="160" spans="1:15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-3.3973102100479657E-3</v>
      </c>
      <c r="H160">
        <v>1.3706718749999999E-3</v>
      </c>
      <c r="I160">
        <v>-1.0001132500859751</v>
      </c>
      <c r="J160" s="93">
        <v>-1.3708271037076872E-3</v>
      </c>
      <c r="L160" s="97"/>
      <c r="M160" s="97">
        <v>-8.5040896672095787</v>
      </c>
      <c r="N160" s="93">
        <v>3.90625E-3</v>
      </c>
      <c r="O160" s="93">
        <f t="shared" si="2"/>
        <v>0.1591796875</v>
      </c>
    </row>
    <row r="161" spans="1:15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-17</v>
      </c>
      <c r="H161">
        <v>6.492656250000001E-4</v>
      </c>
      <c r="I161">
        <v>-1.7623826407286585</v>
      </c>
      <c r="J161" s="93">
        <v>-1.1442544667218432E-3</v>
      </c>
      <c r="L161" s="97"/>
      <c r="M161" s="97">
        <v>-8.4962887341342359</v>
      </c>
      <c r="N161" s="93">
        <v>9.765625E-4</v>
      </c>
      <c r="O161" s="93">
        <f t="shared" si="2"/>
        <v>0.16015625</v>
      </c>
    </row>
    <row r="162" spans="1:15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-7.4065434675353199</v>
      </c>
      <c r="H162">
        <v>1.3706718749999999E-3</v>
      </c>
      <c r="I162">
        <v>-1.2800316219197514</v>
      </c>
      <c r="J162" s="93">
        <v>-1.7545033432760366E-3</v>
      </c>
      <c r="L162" s="97"/>
      <c r="M162" s="97">
        <v>-8.4962887341342359</v>
      </c>
      <c r="N162" s="93">
        <v>1.953125E-3</v>
      </c>
      <c r="O162" s="93">
        <f t="shared" si="2"/>
        <v>0.162109375</v>
      </c>
    </row>
    <row r="163" spans="1:15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-1.6520230774009681</v>
      </c>
      <c r="H163">
        <v>8.6568750000000003E-4</v>
      </c>
      <c r="I163">
        <v>-1.05661186585927</v>
      </c>
      <c r="J163" s="93">
        <v>-9.1469568462604681E-4</v>
      </c>
      <c r="L163" s="97"/>
      <c r="M163" s="97">
        <v>-8.4962887341342359</v>
      </c>
      <c r="N163" s="93">
        <v>9.765625E-4</v>
      </c>
      <c r="O163" s="93">
        <f t="shared" si="2"/>
        <v>0.1630859375</v>
      </c>
    </row>
    <row r="164" spans="1:15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-7.7864383480378674</v>
      </c>
      <c r="H164">
        <v>1.7299511718750003E-4</v>
      </c>
      <c r="I164">
        <v>-1.2963439353469375</v>
      </c>
      <c r="J164" s="93">
        <v>-2.2426117101064842E-4</v>
      </c>
      <c r="L164" s="97"/>
      <c r="M164" s="97">
        <v>-8.2032717337676591</v>
      </c>
      <c r="N164" s="93">
        <v>4.8828125E-4</v>
      </c>
      <c r="O164" s="93">
        <f t="shared" si="2"/>
        <v>0.16357421875</v>
      </c>
    </row>
    <row r="165" spans="1:15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0.60805662147890094</v>
      </c>
      <c r="H165">
        <v>3.6521191406250006E-4</v>
      </c>
      <c r="I165">
        <v>-0.97993547232734979</v>
      </c>
      <c r="J165" s="93">
        <v>-3.5788410950641147E-4</v>
      </c>
      <c r="L165" s="97"/>
      <c r="M165" s="97">
        <v>-8.2032717337676591</v>
      </c>
      <c r="N165" s="93">
        <v>9.765625E-4</v>
      </c>
      <c r="O165" s="93">
        <f t="shared" si="2"/>
        <v>0.16455078125</v>
      </c>
    </row>
    <row r="166" spans="1:15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5.7706930533776735</v>
      </c>
      <c r="H166">
        <v>2.3066015625000002E-4</v>
      </c>
      <c r="I166">
        <v>-0.82501275256482653</v>
      </c>
      <c r="J166" s="93">
        <v>-1.9029757041484548E-4</v>
      </c>
      <c r="L166" s="97"/>
      <c r="M166" s="97">
        <v>-8.2032717337676591</v>
      </c>
      <c r="N166" s="93">
        <v>4.8828125E-4</v>
      </c>
      <c r="O166" s="93">
        <f t="shared" si="2"/>
        <v>0.1650390625</v>
      </c>
    </row>
    <row r="167" spans="1:15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-10.393219174018935</v>
      </c>
      <c r="H167">
        <v>3.6521191406250006E-4</v>
      </c>
      <c r="I167">
        <v>-1.4140255535575479</v>
      </c>
      <c r="J167" s="93">
        <v>-5.1641897894803823E-4</v>
      </c>
      <c r="L167" s="97"/>
      <c r="M167" s="97">
        <v>-7.9944331012013539</v>
      </c>
      <c r="N167" s="93">
        <v>4.8828125E-4</v>
      </c>
      <c r="O167" s="93">
        <f t="shared" si="2"/>
        <v>0.16552734375</v>
      </c>
    </row>
    <row r="168" spans="1:15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-1.1677106800845569</v>
      </c>
      <c r="H168">
        <v>7.7100292968750007E-4</v>
      </c>
      <c r="I168">
        <v>-1.0396911411016807</v>
      </c>
      <c r="J168" s="93">
        <v>-8.0160491575953583E-4</v>
      </c>
      <c r="L168" s="97"/>
      <c r="M168" s="97">
        <v>-7.9944331012013539</v>
      </c>
      <c r="N168" s="93">
        <v>9.765625E-4</v>
      </c>
      <c r="O168" s="93">
        <f t="shared" si="2"/>
        <v>0.16650390625</v>
      </c>
    </row>
    <row r="169" spans="1:15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4.0671878152258945</v>
      </c>
      <c r="H169">
        <v>4.8694921875000008E-4</v>
      </c>
      <c r="I169">
        <v>-0.8732154794689978</v>
      </c>
      <c r="J169" s="93">
        <v>-4.2521159552783521E-4</v>
      </c>
      <c r="L169" s="97"/>
      <c r="M169" s="97">
        <v>-7.9944331012013539</v>
      </c>
      <c r="N169" s="93">
        <v>4.8828125E-4</v>
      </c>
      <c r="O169" s="93">
        <f t="shared" si="2"/>
        <v>0.1669921875</v>
      </c>
    </row>
    <row r="170" spans="1:15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-13</v>
      </c>
      <c r="H170">
        <v>2.3066015625000002E-4</v>
      </c>
      <c r="I170">
        <v>-1.5423902651101746</v>
      </c>
      <c r="J170" s="93">
        <v>-3.5576797954879185E-4</v>
      </c>
      <c r="L170" s="97"/>
      <c r="M170" s="97">
        <v>-7.9830479350473311</v>
      </c>
      <c r="N170" s="93">
        <v>1.953125E-3</v>
      </c>
      <c r="O170" s="93">
        <f t="shared" si="2"/>
        <v>0.1689453125</v>
      </c>
    </row>
    <row r="171" spans="1:15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-2.9900607231347447</v>
      </c>
      <c r="H171">
        <v>4.8694921874999997E-4</v>
      </c>
      <c r="I171">
        <v>-1.1048048253993314</v>
      </c>
      <c r="J171" s="93">
        <v>-5.3798384659943456E-4</v>
      </c>
      <c r="L171" s="97"/>
      <c r="M171" s="97">
        <v>-7.9830479350473311</v>
      </c>
      <c r="N171" s="93">
        <v>3.90625E-3</v>
      </c>
      <c r="O171" s="93">
        <f t="shared" si="2"/>
        <v>0.1728515625</v>
      </c>
    </row>
    <row r="172" spans="1:15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2.3540494624909964</v>
      </c>
      <c r="H172">
        <v>3.0754687499999999E-4</v>
      </c>
      <c r="I172">
        <v>-0.924531352858455</v>
      </c>
      <c r="J172" s="93">
        <v>-2.8433672841114016E-4</v>
      </c>
      <c r="L172" s="97"/>
      <c r="M172" s="97">
        <v>-7.9830479350473311</v>
      </c>
      <c r="N172" s="93">
        <v>1.953125E-3</v>
      </c>
      <c r="O172" s="93">
        <f t="shared" si="2"/>
        <v>0.1748046875</v>
      </c>
    </row>
    <row r="173" spans="1:15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-9.2864383480378674</v>
      </c>
      <c r="H173">
        <v>3.652119140625E-4</v>
      </c>
      <c r="I173">
        <v>-1.3628089101925844</v>
      </c>
      <c r="J173" s="93">
        <v>-4.9771405059286346E-4</v>
      </c>
      <c r="L173" s="97"/>
      <c r="M173" s="97">
        <v>-7.7864383480378674</v>
      </c>
      <c r="N173" s="93">
        <v>2.44140625E-4</v>
      </c>
      <c r="O173" s="93">
        <f t="shared" si="2"/>
        <v>0.175048828125</v>
      </c>
    </row>
    <row r="174" spans="1:15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-0.54515180132103835</v>
      </c>
      <c r="H174">
        <v>7.7100292968749996E-4</v>
      </c>
      <c r="I174">
        <v>-1.0183378371823917</v>
      </c>
      <c r="J174" s="93">
        <v>-7.8514145587925627E-4</v>
      </c>
      <c r="L174" s="97"/>
      <c r="M174" s="97">
        <v>-7.7864383480378674</v>
      </c>
      <c r="N174" s="93">
        <v>4.8828125E-4</v>
      </c>
      <c r="O174" s="93">
        <f t="shared" si="2"/>
        <v>0.175537109375</v>
      </c>
    </row>
    <row r="175" spans="1:15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4.6682585902700255</v>
      </c>
      <c r="H175">
        <v>4.8694921874999997E-4</v>
      </c>
      <c r="I175">
        <v>-0.85589410493964257</v>
      </c>
      <c r="J175" s="93">
        <v>-4.1677696573308947E-4</v>
      </c>
      <c r="L175" s="97"/>
      <c r="M175" s="97">
        <v>-7.7864383480378674</v>
      </c>
      <c r="N175" s="93">
        <v>2.44140625E-4</v>
      </c>
      <c r="O175" s="93">
        <f t="shared" si="2"/>
        <v>0.17578125</v>
      </c>
    </row>
    <row r="176" spans="1:15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-11.893219174018935</v>
      </c>
      <c r="H176">
        <v>7.7100292968749996E-4</v>
      </c>
      <c r="I176">
        <v>-1.4865241939921576</v>
      </c>
      <c r="J176" s="93">
        <v>-1.1461145086193031E-3</v>
      </c>
      <c r="L176" s="97"/>
      <c r="M176" s="97">
        <v>-7.4065434675353199</v>
      </c>
      <c r="N176" s="93">
        <v>9.765625E-4</v>
      </c>
      <c r="O176" s="93">
        <f t="shared" si="2"/>
        <v>0.1767578125</v>
      </c>
    </row>
    <row r="177" spans="1:15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-2.3468547121122434</v>
      </c>
      <c r="H177">
        <v>1.6276728515624999E-3</v>
      </c>
      <c r="I177">
        <v>-1.0813697130465589</v>
      </c>
      <c r="J177" s="93">
        <v>-1.7601161244278148E-3</v>
      </c>
      <c r="L177" s="97"/>
      <c r="M177" s="97">
        <v>-7.4065434675353199</v>
      </c>
      <c r="N177" s="93">
        <v>1.953125E-3</v>
      </c>
      <c r="O177" s="93">
        <f t="shared" si="2"/>
        <v>0.1787109375</v>
      </c>
    </row>
    <row r="178" spans="1:15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2.9551202375351329</v>
      </c>
      <c r="H178">
        <v>1.0280039062499999E-3</v>
      </c>
      <c r="I178">
        <v>-0.90619206066366809</v>
      </c>
      <c r="J178" s="93">
        <v>-9.3156897817498775E-4</v>
      </c>
      <c r="L178" s="97"/>
      <c r="M178" s="97">
        <v>-7.4065434675353199</v>
      </c>
      <c r="N178" s="93">
        <v>9.765625E-4</v>
      </c>
      <c r="O178" s="93">
        <f t="shared" si="2"/>
        <v>0.1796875</v>
      </c>
    </row>
    <row r="179" spans="1:15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-14.5</v>
      </c>
      <c r="H179">
        <v>4.8694921874999997E-4</v>
      </c>
      <c r="I179">
        <v>-1.6214703050420796</v>
      </c>
      <c r="J179" s="93">
        <v>-7.8957369826656481E-4</v>
      </c>
      <c r="L179" s="97"/>
      <c r="M179" s="97">
        <v>-7.0040896672095787</v>
      </c>
      <c r="N179" s="93">
        <v>1.953125E-3</v>
      </c>
      <c r="O179" s="93">
        <f t="shared" si="2"/>
        <v>0.181640625</v>
      </c>
    </row>
    <row r="180" spans="1:15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-4.2045988987920433</v>
      </c>
      <c r="H180">
        <v>1.0280039062499999E-3</v>
      </c>
      <c r="I180">
        <v>-1.1504501454663549</v>
      </c>
      <c r="J180" s="93">
        <v>-1.1826672434852934E-3</v>
      </c>
      <c r="L180" s="97"/>
      <c r="M180" s="97">
        <v>-7.0040896672095787</v>
      </c>
      <c r="N180" s="93">
        <v>3.90625E-3</v>
      </c>
      <c r="O180" s="93">
        <f t="shared" si="2"/>
        <v>0.185546875</v>
      </c>
    </row>
    <row r="181" spans="1:15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1.2164230862483281</v>
      </c>
      <c r="H181">
        <v>6.4926562499999999E-4</v>
      </c>
      <c r="I181">
        <v>-0.96026361216629819</v>
      </c>
      <c r="J181" s="93">
        <v>-6.2346615431790918E-4</v>
      </c>
      <c r="L181" s="97"/>
      <c r="M181" s="97">
        <v>-7.0040896672095787</v>
      </c>
      <c r="N181" s="93">
        <v>1.953125E-3</v>
      </c>
      <c r="O181" s="93">
        <f t="shared" si="2"/>
        <v>0.1875</v>
      </c>
    </row>
    <row r="182" spans="1:15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-11.786438348037867</v>
      </c>
      <c r="H182">
        <v>2.3066015625000002E-4</v>
      </c>
      <c r="I182">
        <v>-1.4812425232119328</v>
      </c>
      <c r="J182" s="93">
        <v>-3.4166363184820871E-4</v>
      </c>
      <c r="L182" s="97"/>
      <c r="M182" s="97">
        <v>-6.9962887341342359</v>
      </c>
      <c r="N182" s="93">
        <v>4.8828125E-4</v>
      </c>
      <c r="O182" s="93">
        <f t="shared" si="2"/>
        <v>0.18798828125</v>
      </c>
    </row>
    <row r="183" spans="1:15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-2.4983465249789889</v>
      </c>
      <c r="H183">
        <v>4.8694921874999997E-4</v>
      </c>
      <c r="I183">
        <v>-1.0868441455488689</v>
      </c>
      <c r="J183" s="93">
        <v>-5.2923790757803291E-4</v>
      </c>
      <c r="L183" s="97"/>
      <c r="M183" s="97">
        <v>-6.9962887341342359</v>
      </c>
      <c r="N183" s="93">
        <v>9.765625E-4</v>
      </c>
      <c r="O183" s="93">
        <f t="shared" si="2"/>
        <v>0.18896484375</v>
      </c>
    </row>
    <row r="184" spans="1:15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2.813423786679401</v>
      </c>
      <c r="H184">
        <v>3.0754687499999999E-4</v>
      </c>
      <c r="I184">
        <v>-0.9104823245669269</v>
      </c>
      <c r="J184" s="93">
        <v>-2.8001599366329411E-4</v>
      </c>
      <c r="L184" s="97"/>
      <c r="M184" s="97">
        <v>-6.9962887341342359</v>
      </c>
      <c r="N184" s="93">
        <v>4.8828125E-4</v>
      </c>
      <c r="O184" s="93">
        <f t="shared" si="2"/>
        <v>0.189453125</v>
      </c>
    </row>
    <row r="185" spans="1:15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-14.393219174018933</v>
      </c>
      <c r="H185">
        <v>4.8694921874999997E-4</v>
      </c>
      <c r="I185">
        <v>-1.615709166161357</v>
      </c>
      <c r="J185" s="93">
        <v>-7.8676831618948668E-4</v>
      </c>
      <c r="L185" s="97"/>
      <c r="M185" s="97">
        <v>-6.995360917667794</v>
      </c>
      <c r="N185" s="93">
        <v>1.953125E-3</v>
      </c>
      <c r="O185" s="93">
        <f t="shared" si="2"/>
        <v>0.19140625</v>
      </c>
    </row>
    <row r="186" spans="1:15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-4.3446050569387502</v>
      </c>
      <c r="H186">
        <v>1.0280039062499999E-3</v>
      </c>
      <c r="I186">
        <v>-1.1558316967044109</v>
      </c>
      <c r="J186" s="93">
        <v>-1.1881994991796996E-3</v>
      </c>
      <c r="L186" s="97"/>
      <c r="M186" s="97">
        <v>-6.995360917667794</v>
      </c>
      <c r="N186" s="93">
        <v>3.90625E-3</v>
      </c>
      <c r="O186" s="93">
        <f t="shared" si="2"/>
        <v>0.1953125</v>
      </c>
    </row>
    <row r="187" spans="1:15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1.0642540092333412</v>
      </c>
      <c r="H187">
        <v>6.4926562499999999E-4</v>
      </c>
      <c r="I187">
        <v>-0.96514673361666881</v>
      </c>
      <c r="J187" s="93">
        <v>-6.2663659721833498E-4</v>
      </c>
      <c r="L187" s="97"/>
      <c r="M187" s="97">
        <v>-6.995360917667794</v>
      </c>
      <c r="N187" s="93">
        <v>1.953125E-3</v>
      </c>
      <c r="O187" s="93">
        <f t="shared" si="2"/>
        <v>0.197265625</v>
      </c>
    </row>
    <row r="188" spans="1:15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-17</v>
      </c>
      <c r="H188">
        <v>3.0754687500000004E-4</v>
      </c>
      <c r="I188">
        <v>-1.7623826407286585</v>
      </c>
      <c r="J188" s="93">
        <v>-5.4201527371034667E-4</v>
      </c>
      <c r="L188" s="97"/>
      <c r="M188" s="97">
        <v>-6.995360917667786</v>
      </c>
      <c r="N188" s="93">
        <v>9.765625E-4</v>
      </c>
      <c r="O188" s="93">
        <f t="shared" si="2"/>
        <v>0.1982421875</v>
      </c>
    </row>
    <row r="189" spans="1:15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-6.5728766960757419</v>
      </c>
      <c r="H189">
        <v>6.4926562499999999E-4</v>
      </c>
      <c r="I189">
        <v>-1.2449506491190301</v>
      </c>
      <c r="J189" s="93">
        <v>-8.0830366129442277E-4</v>
      </c>
      <c r="L189" s="97"/>
      <c r="M189" s="97">
        <v>-6.995360917667786</v>
      </c>
      <c r="N189" s="93">
        <v>1.953125E-3</v>
      </c>
      <c r="O189" s="93">
        <f t="shared" si="2"/>
        <v>0.2001953125</v>
      </c>
    </row>
    <row r="190" spans="1:15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-0.7008665723579155</v>
      </c>
      <c r="H190">
        <v>4.100625E-4</v>
      </c>
      <c r="I190">
        <v>-1.0236372533460838</v>
      </c>
      <c r="J190" s="93">
        <v>-4.1975525120022849E-4</v>
      </c>
      <c r="L190" s="97"/>
      <c r="M190" s="97">
        <v>-6.995360917667786</v>
      </c>
      <c r="N190" s="93">
        <v>9.765625E-4</v>
      </c>
      <c r="O190" s="93">
        <f t="shared" si="2"/>
        <v>0.201171875</v>
      </c>
    </row>
    <row r="191" spans="1:15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-7.7864383480378674</v>
      </c>
      <c r="H191">
        <v>3.652119140625E-4</v>
      </c>
      <c r="I191">
        <v>-1.2963439353469375</v>
      </c>
      <c r="J191" s="93">
        <v>-4.7344024991136877E-4</v>
      </c>
      <c r="L191" s="97"/>
      <c r="M191" s="97">
        <v>-6.5728766960757419</v>
      </c>
      <c r="N191" s="93">
        <v>4.8828125E-4</v>
      </c>
      <c r="O191" s="93">
        <f t="shared" si="2"/>
        <v>0.20166015625</v>
      </c>
    </row>
    <row r="192" spans="1:15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0.60805662147890094</v>
      </c>
      <c r="H192">
        <v>7.7100292968749996E-4</v>
      </c>
      <c r="I192">
        <v>-0.97993547232734979</v>
      </c>
      <c r="J192" s="93">
        <v>-7.555331200690907E-4</v>
      </c>
      <c r="L192" s="97"/>
      <c r="M192" s="97">
        <v>-6.5728766960757419</v>
      </c>
      <c r="N192" s="93">
        <v>9.765625E-4</v>
      </c>
      <c r="O192" s="93">
        <f t="shared" si="2"/>
        <v>0.20263671875</v>
      </c>
    </row>
    <row r="193" spans="1:15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5.7706930533776735</v>
      </c>
      <c r="H193">
        <v>4.8694921874999997E-4</v>
      </c>
      <c r="I193">
        <v>-0.82501275256482653</v>
      </c>
      <c r="J193" s="93">
        <v>-4.0173931532022932E-4</v>
      </c>
      <c r="L193" s="97"/>
      <c r="M193" s="97">
        <v>-6.5728766960757419</v>
      </c>
      <c r="N193" s="93">
        <v>4.8828125E-4</v>
      </c>
      <c r="O193" s="93">
        <f t="shared" si="2"/>
        <v>0.203125</v>
      </c>
    </row>
    <row r="194" spans="1:15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-10.393219174018935</v>
      </c>
      <c r="H194">
        <v>7.7100292968749996E-4</v>
      </c>
      <c r="I194">
        <v>-1.4140255535575479</v>
      </c>
      <c r="J194" s="93">
        <v>-1.0902178444458584E-3</v>
      </c>
      <c r="L194" s="97"/>
      <c r="M194" s="97">
        <v>-6.4935052847349111</v>
      </c>
      <c r="N194" s="93">
        <v>2.44140625E-4</v>
      </c>
      <c r="O194" s="93">
        <f t="shared" si="2"/>
        <v>0.203369140625</v>
      </c>
    </row>
    <row r="195" spans="1:15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-1.1677106800845569</v>
      </c>
      <c r="H195">
        <v>1.6276728515624999E-3</v>
      </c>
      <c r="I195">
        <v>-1.0396911411016807</v>
      </c>
      <c r="J195" s="93">
        <v>-1.692277044381242E-3</v>
      </c>
      <c r="L195" s="97"/>
      <c r="M195" s="97">
        <v>-6.4935052847349111</v>
      </c>
      <c r="N195" s="93">
        <v>4.8828125E-4</v>
      </c>
      <c r="O195" s="93">
        <f t="shared" si="2"/>
        <v>0.203857421875</v>
      </c>
    </row>
    <row r="196" spans="1:15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4.0671878152258945</v>
      </c>
      <c r="H196">
        <v>1.0280039062499999E-3</v>
      </c>
      <c r="I196">
        <v>-0.8732154794689978</v>
      </c>
      <c r="J196" s="93">
        <v>-8.9766892389209641E-4</v>
      </c>
      <c r="L196" s="97"/>
      <c r="M196" s="97">
        <v>-6.4935052847349111</v>
      </c>
      <c r="N196" s="93">
        <v>2.44140625E-4</v>
      </c>
      <c r="O196" s="93">
        <f t="shared" ref="O196:O259" si="3">N196+O195</f>
        <v>0.2041015625</v>
      </c>
    </row>
    <row r="197" spans="1:15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-13</v>
      </c>
      <c r="H197">
        <v>4.8694921874999997E-4</v>
      </c>
      <c r="I197">
        <v>-1.5423902651101746</v>
      </c>
      <c r="J197" s="93">
        <v>-7.5106573460300492E-4</v>
      </c>
      <c r="L197" s="97"/>
      <c r="M197" s="97">
        <v>-6.4830479350473311</v>
      </c>
      <c r="N197" s="93">
        <v>9.765625E-4</v>
      </c>
      <c r="O197" s="93">
        <f t="shared" si="3"/>
        <v>0.205078125</v>
      </c>
    </row>
    <row r="198" spans="1:15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-2.9900607231347447</v>
      </c>
      <c r="H198">
        <v>1.0280039062499999E-3</v>
      </c>
      <c r="I198">
        <v>-1.1048048253993314</v>
      </c>
      <c r="J198" s="93">
        <v>-1.1357436761543619E-3</v>
      </c>
      <c r="L198" s="97"/>
      <c r="M198" s="97">
        <v>-6.4830479350473311</v>
      </c>
      <c r="N198" s="93">
        <v>1.953125E-3</v>
      </c>
      <c r="O198" s="93">
        <f t="shared" si="3"/>
        <v>0.20703125</v>
      </c>
    </row>
    <row r="199" spans="1:15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2.3540494624909964</v>
      </c>
      <c r="H199">
        <v>6.4926562499999999E-4</v>
      </c>
      <c r="I199">
        <v>-0.924531352858455</v>
      </c>
      <c r="J199" s="93">
        <v>-6.0026642664574035E-4</v>
      </c>
      <c r="L199" s="97"/>
      <c r="M199" s="97">
        <v>-6.4830479350473311</v>
      </c>
      <c r="N199" s="93">
        <v>9.765625E-4</v>
      </c>
      <c r="O199" s="93">
        <f t="shared" si="3"/>
        <v>0.2080078125</v>
      </c>
    </row>
    <row r="200" spans="1:15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-9.2864383480378674</v>
      </c>
      <c r="H200">
        <v>7.7100292968750007E-4</v>
      </c>
      <c r="I200">
        <v>-1.3628089101925844</v>
      </c>
      <c r="J200" s="93">
        <v>-1.0507296623627118E-3</v>
      </c>
      <c r="L200" s="97"/>
      <c r="M200" s="97">
        <v>-6.2448970094345793</v>
      </c>
      <c r="N200" s="93">
        <v>9.765625E-4</v>
      </c>
      <c r="O200" s="93">
        <f t="shared" si="3"/>
        <v>0.208984375</v>
      </c>
    </row>
    <row r="201" spans="1:15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-0.54515180132103835</v>
      </c>
      <c r="H201">
        <v>1.6276728515625001E-3</v>
      </c>
      <c r="I201">
        <v>-1.0183378371823917</v>
      </c>
      <c r="J201" s="93">
        <v>-1.6575208513006524E-3</v>
      </c>
      <c r="L201" s="97"/>
      <c r="M201" s="97">
        <v>-6.2448970094345793</v>
      </c>
      <c r="N201" s="93">
        <v>1.953125E-3</v>
      </c>
      <c r="O201" s="93">
        <f t="shared" si="3"/>
        <v>0.2109375</v>
      </c>
    </row>
    <row r="202" spans="1:15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4.6682585902700255</v>
      </c>
      <c r="H202">
        <v>1.0280039062499999E-3</v>
      </c>
      <c r="I202">
        <v>-0.85589410493964257</v>
      </c>
      <c r="J202" s="93">
        <v>-8.7986248321429998E-4</v>
      </c>
      <c r="L202" s="97"/>
      <c r="M202" s="97">
        <v>-6.2448970094345793</v>
      </c>
      <c r="N202" s="93">
        <v>9.765625E-4</v>
      </c>
      <c r="O202" s="93">
        <f t="shared" si="3"/>
        <v>0.2119140625</v>
      </c>
    </row>
    <row r="203" spans="1:15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-11.893219174018935</v>
      </c>
      <c r="H203">
        <v>1.6276728515624999E-3</v>
      </c>
      <c r="I203">
        <v>-1.4865241939921576</v>
      </c>
      <c r="J203" s="93">
        <v>-2.419575073751862E-3</v>
      </c>
      <c r="L203" s="97"/>
      <c r="M203" s="97">
        <v>-5.495360917667794</v>
      </c>
      <c r="N203" s="93">
        <v>9.765625E-4</v>
      </c>
      <c r="O203" s="93">
        <f t="shared" si="3"/>
        <v>0.212890625</v>
      </c>
    </row>
    <row r="204" spans="1:15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-2.3468547121122434</v>
      </c>
      <c r="H204">
        <v>3.4361982421874998E-3</v>
      </c>
      <c r="I204">
        <v>-1.0813697130465589</v>
      </c>
      <c r="J204" s="93">
        <v>-3.7158007071253869E-3</v>
      </c>
      <c r="L204" s="97"/>
      <c r="M204" s="97">
        <v>-5.495360917667794</v>
      </c>
      <c r="N204" s="93">
        <v>1.953125E-3</v>
      </c>
      <c r="O204" s="93">
        <f t="shared" si="3"/>
        <v>0.21484375</v>
      </c>
    </row>
    <row r="205" spans="1:15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2.9551202375351329</v>
      </c>
      <c r="H205">
        <v>2.1702304687499997E-3</v>
      </c>
      <c r="I205">
        <v>-0.90619206066366809</v>
      </c>
      <c r="J205" s="93">
        <v>-1.9666456205916405E-3</v>
      </c>
      <c r="L205" s="97"/>
      <c r="M205" s="97">
        <v>-5.495360917667794</v>
      </c>
      <c r="N205" s="93">
        <v>9.765625E-4</v>
      </c>
      <c r="O205" s="93">
        <f t="shared" si="3"/>
        <v>0.2158203125</v>
      </c>
    </row>
    <row r="206" spans="1:15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-14.5</v>
      </c>
      <c r="H206">
        <v>1.0280039062499999E-3</v>
      </c>
      <c r="I206">
        <v>-1.6214703050420796</v>
      </c>
      <c r="J206" s="93">
        <v>-1.6668778074516368E-3</v>
      </c>
      <c r="L206" s="97"/>
      <c r="M206" s="97">
        <v>-5.4953609176677878</v>
      </c>
      <c r="N206" s="93">
        <v>4.8828125E-4</v>
      </c>
      <c r="O206" s="93">
        <f t="shared" si="3"/>
        <v>0.21630859375</v>
      </c>
    </row>
    <row r="207" spans="1:15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-4.2045988987920433</v>
      </c>
      <c r="H207">
        <v>2.1702304687499997E-3</v>
      </c>
      <c r="I207">
        <v>-1.1504501454663549</v>
      </c>
      <c r="J207" s="93">
        <v>-2.4967419584689529E-3</v>
      </c>
      <c r="L207" s="97"/>
      <c r="M207" s="97">
        <v>-5.4953609176677878</v>
      </c>
      <c r="N207" s="93">
        <v>9.765625E-4</v>
      </c>
      <c r="O207" s="93">
        <f t="shared" si="3"/>
        <v>0.21728515625</v>
      </c>
    </row>
    <row r="208" spans="1:15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1.2164230862483281</v>
      </c>
      <c r="H208">
        <v>1.3706718749999999E-3</v>
      </c>
      <c r="I208">
        <v>-0.96026361216629819</v>
      </c>
      <c r="J208" s="93">
        <v>-1.3162063257822526E-3</v>
      </c>
      <c r="L208" s="97"/>
      <c r="M208" s="97">
        <v>-5.4953609176677878</v>
      </c>
      <c r="N208" s="93">
        <v>4.8828125E-4</v>
      </c>
      <c r="O208" s="93">
        <f t="shared" si="3"/>
        <v>0.2177734375</v>
      </c>
    </row>
    <row r="209" spans="1:15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-11.786438348037867</v>
      </c>
      <c r="H209">
        <v>4.8694921875000008E-4</v>
      </c>
      <c r="I209">
        <v>-1.4812425232119328</v>
      </c>
      <c r="J209" s="93">
        <v>-7.2128988945732958E-4</v>
      </c>
      <c r="L209" s="97"/>
      <c r="M209" s="97">
        <v>-5.4944331012013539</v>
      </c>
      <c r="N209" s="93">
        <v>9.765625E-4</v>
      </c>
      <c r="O209" s="93">
        <f t="shared" si="3"/>
        <v>0.21875</v>
      </c>
    </row>
    <row r="210" spans="1:15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-2.4983465249789889</v>
      </c>
      <c r="H210">
        <v>1.0280039062500002E-3</v>
      </c>
      <c r="I210">
        <v>-1.0868441455488689</v>
      </c>
      <c r="J210" s="93">
        <v>-1.117280027109181E-3</v>
      </c>
      <c r="L210" s="97"/>
      <c r="M210" s="97">
        <v>-5.4944331012013539</v>
      </c>
      <c r="N210" s="93">
        <v>1.953125E-3</v>
      </c>
      <c r="O210" s="93">
        <f t="shared" si="3"/>
        <v>0.220703125</v>
      </c>
    </row>
    <row r="211" spans="1:15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2.813423786679401</v>
      </c>
      <c r="H211">
        <v>6.492656250000001E-4</v>
      </c>
      <c r="I211">
        <v>-0.9104823245669269</v>
      </c>
      <c r="J211" s="93">
        <v>-5.9114487551139878E-4</v>
      </c>
      <c r="L211" s="97"/>
      <c r="M211" s="97">
        <v>-5.4944331012013539</v>
      </c>
      <c r="N211" s="93">
        <v>9.765625E-4</v>
      </c>
      <c r="O211" s="93">
        <f t="shared" si="3"/>
        <v>0.2216796875</v>
      </c>
    </row>
    <row r="212" spans="1:15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-14.393219174018933</v>
      </c>
      <c r="H212">
        <v>1.0280039062499999E-3</v>
      </c>
      <c r="I212">
        <v>-1.615709166161357</v>
      </c>
      <c r="J212" s="93">
        <v>-1.6609553341778052E-3</v>
      </c>
      <c r="L212" s="97"/>
      <c r="M212" s="97">
        <v>-5.0596113222263472</v>
      </c>
      <c r="N212" s="93">
        <v>1.953125E-3</v>
      </c>
      <c r="O212" s="93">
        <f t="shared" si="3"/>
        <v>0.2236328125</v>
      </c>
    </row>
    <row r="213" spans="1:15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-4.3446050569387502</v>
      </c>
      <c r="H213">
        <v>2.1702304687499997E-3</v>
      </c>
      <c r="I213">
        <v>-1.1558316967044109</v>
      </c>
      <c r="J213" s="93">
        <v>-2.508421164934921E-3</v>
      </c>
      <c r="L213" s="97"/>
      <c r="M213" s="97">
        <v>-5.0596113222263472</v>
      </c>
      <c r="N213" s="93">
        <v>3.90625E-3</v>
      </c>
      <c r="O213" s="93">
        <f t="shared" si="3"/>
        <v>0.2275390625</v>
      </c>
    </row>
    <row r="214" spans="1:15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1.0642540092333412</v>
      </c>
      <c r="H214">
        <v>1.3706718749999999E-3</v>
      </c>
      <c r="I214">
        <v>-0.96514673361666881</v>
      </c>
      <c r="J214" s="93">
        <v>-1.3228994830164849E-3</v>
      </c>
      <c r="L214" s="97"/>
      <c r="M214" s="97">
        <v>-5.0596113222263472</v>
      </c>
      <c r="N214" s="93">
        <v>1.953125E-3</v>
      </c>
      <c r="O214" s="93">
        <f t="shared" si="3"/>
        <v>0.2294921875</v>
      </c>
    </row>
    <row r="215" spans="1:15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-17</v>
      </c>
      <c r="H215">
        <v>6.492656250000001E-4</v>
      </c>
      <c r="I215">
        <v>-1.7623826407286585</v>
      </c>
      <c r="J215" s="93">
        <v>-1.1442544667218432E-3</v>
      </c>
      <c r="L215" s="97"/>
      <c r="M215" s="97">
        <v>-5.0596113222263472</v>
      </c>
      <c r="N215" s="93">
        <v>9.765625E-4</v>
      </c>
      <c r="O215" s="93">
        <f t="shared" si="3"/>
        <v>0.23046875</v>
      </c>
    </row>
    <row r="216" spans="1:15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-6.5728766960757419</v>
      </c>
      <c r="H216">
        <v>1.3706718749999999E-3</v>
      </c>
      <c r="I216">
        <v>-1.2449506491190301</v>
      </c>
      <c r="J216" s="93">
        <v>-1.706418840510448E-3</v>
      </c>
      <c r="L216" s="97"/>
      <c r="M216" s="97">
        <v>-5.0596113222263472</v>
      </c>
      <c r="N216" s="93">
        <v>1.953125E-3</v>
      </c>
      <c r="O216" s="93">
        <f t="shared" si="3"/>
        <v>0.232421875</v>
      </c>
    </row>
    <row r="217" spans="1:15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-0.7008665723579155</v>
      </c>
      <c r="H217">
        <v>8.6568750000000003E-4</v>
      </c>
      <c r="I217">
        <v>-1.0236372533460838</v>
      </c>
      <c r="J217" s="93">
        <v>-8.8614997475603796E-4</v>
      </c>
      <c r="L217" s="97"/>
      <c r="M217" s="97">
        <v>-5.0596113222263472</v>
      </c>
      <c r="N217" s="93">
        <v>9.765625E-4</v>
      </c>
      <c r="O217" s="93">
        <f t="shared" si="3"/>
        <v>0.2333984375</v>
      </c>
    </row>
    <row r="218" spans="1:15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-7.7864383480378674</v>
      </c>
      <c r="H218">
        <v>2.3066015625000002E-4</v>
      </c>
      <c r="I218">
        <v>-1.2963439353469375</v>
      </c>
      <c r="J218" s="93">
        <v>-2.990148946808645E-4</v>
      </c>
      <c r="L218" s="97"/>
      <c r="M218" s="97">
        <v>-4.9925774682684709</v>
      </c>
      <c r="N218" s="93">
        <v>4.8828125E-4</v>
      </c>
      <c r="O218" s="93">
        <f t="shared" si="3"/>
        <v>0.23388671875</v>
      </c>
    </row>
    <row r="219" spans="1:15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0.60805662147890094</v>
      </c>
      <c r="H219">
        <v>4.8694921874999997E-4</v>
      </c>
      <c r="I219">
        <v>-0.97993547232734979</v>
      </c>
      <c r="J219" s="93">
        <v>-4.7717881267521519E-4</v>
      </c>
      <c r="L219" s="97"/>
      <c r="M219" s="97">
        <v>-4.9925774682684709</v>
      </c>
      <c r="N219" s="93">
        <v>9.765625E-4</v>
      </c>
      <c r="O219" s="93">
        <f t="shared" si="3"/>
        <v>0.23486328125</v>
      </c>
    </row>
    <row r="220" spans="1:15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5.7706930533776735</v>
      </c>
      <c r="H220">
        <v>3.0754687499999999E-4</v>
      </c>
      <c r="I220">
        <v>-0.82501275256482653</v>
      </c>
      <c r="J220" s="93">
        <v>-2.5373009388646064E-4</v>
      </c>
      <c r="L220" s="97"/>
      <c r="M220" s="97">
        <v>-4.9925774682684709</v>
      </c>
      <c r="N220" s="93">
        <v>4.8828125E-4</v>
      </c>
      <c r="O220" s="93">
        <f t="shared" si="3"/>
        <v>0.2353515625</v>
      </c>
    </row>
    <row r="221" spans="1:15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-10.393219174018935</v>
      </c>
      <c r="H221">
        <v>4.8694921874999997E-4</v>
      </c>
      <c r="I221">
        <v>-1.4140255535575479</v>
      </c>
      <c r="J221" s="93">
        <v>-6.885586385973842E-4</v>
      </c>
      <c r="L221" s="97"/>
      <c r="M221" s="97">
        <v>-4.9065434675353217</v>
      </c>
      <c r="N221" s="93">
        <v>1.953125E-3</v>
      </c>
      <c r="O221" s="93">
        <f t="shared" si="3"/>
        <v>0.2373046875</v>
      </c>
    </row>
    <row r="222" spans="1:15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-1.1677106800845569</v>
      </c>
      <c r="H222">
        <v>1.0280039062499999E-3</v>
      </c>
      <c r="I222">
        <v>-1.0396911411016807</v>
      </c>
      <c r="J222" s="93">
        <v>-1.0688065543460476E-3</v>
      </c>
      <c r="L222" s="97"/>
      <c r="M222" s="97">
        <v>-4.9065434675353217</v>
      </c>
      <c r="N222" s="93">
        <v>3.90625E-3</v>
      </c>
      <c r="O222" s="93">
        <f t="shared" si="3"/>
        <v>0.2412109375</v>
      </c>
    </row>
    <row r="223" spans="1:15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4.0671878152258945</v>
      </c>
      <c r="H223">
        <v>6.4926562499999999E-4</v>
      </c>
      <c r="I223">
        <v>-0.8732154794689978</v>
      </c>
      <c r="J223" s="93">
        <v>-5.6694879403711357E-4</v>
      </c>
      <c r="L223" s="97"/>
      <c r="M223" s="97">
        <v>-4.9065434675353217</v>
      </c>
      <c r="N223" s="93">
        <v>1.953125E-3</v>
      </c>
      <c r="O223" s="93">
        <f t="shared" si="3"/>
        <v>0.2431640625</v>
      </c>
    </row>
    <row r="224" spans="1:15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-13</v>
      </c>
      <c r="H224">
        <v>3.0754687500000004E-4</v>
      </c>
      <c r="I224">
        <v>-1.5423902651101746</v>
      </c>
      <c r="J224" s="93">
        <v>-4.743573060650558E-4</v>
      </c>
      <c r="L224" s="97"/>
      <c r="M224" s="97">
        <v>-4.7448970094345793</v>
      </c>
      <c r="N224" s="93">
        <v>4.8828125E-4</v>
      </c>
      <c r="O224" s="93">
        <f t="shared" si="3"/>
        <v>0.24365234375</v>
      </c>
    </row>
    <row r="225" spans="1:15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-2.9900607231347447</v>
      </c>
      <c r="H225">
        <v>6.4926562499999999E-4</v>
      </c>
      <c r="I225">
        <v>-1.1048048253993314</v>
      </c>
      <c r="J225" s="93">
        <v>-7.1731179546591275E-4</v>
      </c>
      <c r="L225" s="97"/>
      <c r="M225" s="97">
        <v>-4.7448970094345793</v>
      </c>
      <c r="N225" s="93">
        <v>9.765625E-4</v>
      </c>
      <c r="O225" s="93">
        <f t="shared" si="3"/>
        <v>0.24462890625</v>
      </c>
    </row>
    <row r="226" spans="1:15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2.3540494624909964</v>
      </c>
      <c r="H226">
        <v>4.100625E-4</v>
      </c>
      <c r="I226">
        <v>-0.924531352858455</v>
      </c>
      <c r="J226" s="93">
        <v>-3.7911563788152019E-4</v>
      </c>
      <c r="L226" s="97"/>
      <c r="M226" s="97">
        <v>-4.7448970094345793</v>
      </c>
      <c r="N226" s="93">
        <v>4.8828125E-4</v>
      </c>
      <c r="O226" s="93">
        <f t="shared" si="3"/>
        <v>0.2451171875</v>
      </c>
    </row>
    <row r="227" spans="1:15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-9.2864383480378674</v>
      </c>
      <c r="H227">
        <v>4.8694921875000008E-4</v>
      </c>
      <c r="I227">
        <v>-1.3628089101925844</v>
      </c>
      <c r="J227" s="93">
        <v>-6.6361873412381798E-4</v>
      </c>
      <c r="L227" s="97"/>
      <c r="M227" s="97">
        <v>-4.4294892017680674</v>
      </c>
      <c r="N227" s="93">
        <v>9.765625E-4</v>
      </c>
      <c r="O227" s="93">
        <f t="shared" si="3"/>
        <v>0.24609375</v>
      </c>
    </row>
    <row r="228" spans="1:15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-0.54515180132103835</v>
      </c>
      <c r="H228">
        <v>1.0280039062500002E-3</v>
      </c>
      <c r="I228">
        <v>-1.0183378371823917</v>
      </c>
      <c r="J228" s="93">
        <v>-1.0468552745056753E-3</v>
      </c>
      <c r="L228" s="97"/>
      <c r="M228" s="97">
        <v>-4.4294892017680674</v>
      </c>
      <c r="N228" s="93">
        <v>1.953125E-3</v>
      </c>
      <c r="O228" s="93">
        <f t="shared" si="3"/>
        <v>0.248046875</v>
      </c>
    </row>
    <row r="229" spans="1:15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4.6682585902700255</v>
      </c>
      <c r="H229">
        <v>6.492656250000001E-4</v>
      </c>
      <c r="I229">
        <v>-0.85589410493964257</v>
      </c>
      <c r="J229" s="93">
        <v>-5.5570262097745266E-4</v>
      </c>
      <c r="L229" s="97"/>
      <c r="M229" s="97">
        <v>-4.4294892017680674</v>
      </c>
      <c r="N229" s="93">
        <v>9.765625E-4</v>
      </c>
      <c r="O229" s="93">
        <f t="shared" si="3"/>
        <v>0.2490234375</v>
      </c>
    </row>
    <row r="230" spans="1:15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-11.893219174018935</v>
      </c>
      <c r="H230">
        <v>1.0280039062499999E-3</v>
      </c>
      <c r="I230">
        <v>-1.4865241939921576</v>
      </c>
      <c r="J230" s="93">
        <v>-1.5281526781590706E-3</v>
      </c>
      <c r="L230" s="97"/>
      <c r="M230" s="97">
        <v>-4.3446050569387502</v>
      </c>
      <c r="N230" s="93">
        <v>9.765625E-4</v>
      </c>
      <c r="O230" s="93">
        <f t="shared" si="3"/>
        <v>0.25</v>
      </c>
    </row>
    <row r="231" spans="1:15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-2.3468547121122434</v>
      </c>
      <c r="H231">
        <v>2.1702304687499997E-3</v>
      </c>
      <c r="I231">
        <v>-1.0813697130465589</v>
      </c>
      <c r="J231" s="93">
        <v>-2.3468214992370864E-3</v>
      </c>
      <c r="L231" s="97"/>
      <c r="M231" s="97">
        <v>-4.3446050569387502</v>
      </c>
      <c r="N231" s="93">
        <v>1.953125E-3</v>
      </c>
      <c r="O231" s="93">
        <f t="shared" si="3"/>
        <v>0.251953125</v>
      </c>
    </row>
    <row r="232" spans="1:15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2.9551202375351329</v>
      </c>
      <c r="H232">
        <v>1.3706718749999999E-3</v>
      </c>
      <c r="I232">
        <v>-0.90619206066366809</v>
      </c>
      <c r="J232" s="93">
        <v>-1.2420919708999835E-3</v>
      </c>
      <c r="L232" s="97"/>
      <c r="M232" s="97">
        <v>-4.3446050569387502</v>
      </c>
      <c r="N232" s="93">
        <v>9.765625E-4</v>
      </c>
      <c r="O232" s="93">
        <f t="shared" si="3"/>
        <v>0.2529296875</v>
      </c>
    </row>
    <row r="233" spans="1:15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-14.5</v>
      </c>
      <c r="H233">
        <v>6.492656250000001E-4</v>
      </c>
      <c r="I233">
        <v>-1.6214703050420796</v>
      </c>
      <c r="J233" s="93">
        <v>-1.0527649310220866E-3</v>
      </c>
      <c r="L233" s="97"/>
      <c r="M233" s="97">
        <v>-4.3446050569387475</v>
      </c>
      <c r="N233" s="93">
        <v>4.8828125E-4</v>
      </c>
      <c r="O233" s="93">
        <f t="shared" si="3"/>
        <v>0.25341796875</v>
      </c>
    </row>
    <row r="234" spans="1:15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-4.2045988987920433</v>
      </c>
      <c r="H234">
        <v>1.3706718749999999E-3</v>
      </c>
      <c r="I234">
        <v>-1.1504501454663549</v>
      </c>
      <c r="J234" s="93">
        <v>-1.5768896579803915E-3</v>
      </c>
      <c r="L234" s="97"/>
      <c r="M234" s="97">
        <v>-4.3446050569387475</v>
      </c>
      <c r="N234" s="93">
        <v>9.765625E-4</v>
      </c>
      <c r="O234" s="93">
        <f t="shared" si="3"/>
        <v>0.25439453125</v>
      </c>
    </row>
    <row r="235" spans="1:15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1.2164230862483281</v>
      </c>
      <c r="H235">
        <v>8.6568750000000003E-4</v>
      </c>
      <c r="I235">
        <v>-0.96026361216629819</v>
      </c>
      <c r="J235" s="93">
        <v>-8.3128820575721228E-4</v>
      </c>
      <c r="L235" s="97"/>
      <c r="M235" s="97">
        <v>-4.3446050569387475</v>
      </c>
      <c r="N235" s="93">
        <v>4.8828125E-4</v>
      </c>
      <c r="O235" s="93">
        <f t="shared" si="3"/>
        <v>0.2548828125</v>
      </c>
    </row>
    <row r="236" spans="1:15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-11.786438348037867</v>
      </c>
      <c r="H236">
        <v>3.0754687500000004E-4</v>
      </c>
      <c r="I236">
        <v>-1.4812425232119328</v>
      </c>
      <c r="J236" s="93">
        <v>-4.5555150913094498E-4</v>
      </c>
      <c r="L236" s="97"/>
      <c r="M236" s="97">
        <v>-4.2045988987920433</v>
      </c>
      <c r="N236" s="93">
        <v>9.765625E-4</v>
      </c>
      <c r="O236" s="93">
        <f t="shared" si="3"/>
        <v>0.255859375</v>
      </c>
    </row>
    <row r="237" spans="1:15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-2.4983465249789889</v>
      </c>
      <c r="H237">
        <v>6.4926562499999999E-4</v>
      </c>
      <c r="I237">
        <v>-1.0868441455488689</v>
      </c>
      <c r="J237" s="93">
        <v>-7.0565054343737729E-4</v>
      </c>
      <c r="L237" s="97"/>
      <c r="M237" s="97">
        <v>-4.2045988987920433</v>
      </c>
      <c r="N237" s="93">
        <v>1.953125E-3</v>
      </c>
      <c r="O237" s="93">
        <f t="shared" si="3"/>
        <v>0.2578125</v>
      </c>
    </row>
    <row r="238" spans="1:15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2.813423786679401</v>
      </c>
      <c r="H238">
        <v>4.100625E-4</v>
      </c>
      <c r="I238">
        <v>-0.9104823245669269</v>
      </c>
      <c r="J238" s="93">
        <v>-3.7335465821772545E-4</v>
      </c>
      <c r="L238" s="97"/>
      <c r="M238" s="97">
        <v>-4.2045988987920433</v>
      </c>
      <c r="N238" s="93">
        <v>9.765625E-4</v>
      </c>
      <c r="O238" s="93">
        <f t="shared" si="3"/>
        <v>0.2587890625</v>
      </c>
    </row>
    <row r="239" spans="1:15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-14.393219174018933</v>
      </c>
      <c r="H239">
        <v>6.4926562499999999E-4</v>
      </c>
      <c r="I239">
        <v>-1.615709166161357</v>
      </c>
      <c r="J239" s="93">
        <v>-1.0490244215859822E-3</v>
      </c>
      <c r="L239" s="97"/>
      <c r="M239" s="97">
        <v>-4.1171713473951597</v>
      </c>
      <c r="N239" s="93">
        <v>4.8828125E-4</v>
      </c>
      <c r="O239" s="93">
        <f t="shared" si="3"/>
        <v>0.25927734375</v>
      </c>
    </row>
    <row r="240" spans="1:15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-4.3446050569387502</v>
      </c>
      <c r="H240">
        <v>1.3706718749999997E-3</v>
      </c>
      <c r="I240">
        <v>-1.1558316967044109</v>
      </c>
      <c r="J240" s="93">
        <v>-1.5842659989062659E-3</v>
      </c>
      <c r="L240" s="97"/>
      <c r="M240" s="97">
        <v>-4.1171713473951597</v>
      </c>
      <c r="N240" s="93">
        <v>9.765625E-4</v>
      </c>
      <c r="O240" s="93">
        <f t="shared" si="3"/>
        <v>0.26025390625</v>
      </c>
    </row>
    <row r="241" spans="1:15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1.0642540092333412</v>
      </c>
      <c r="H241">
        <v>8.6568749999999992E-4</v>
      </c>
      <c r="I241">
        <v>-0.96514673361666881</v>
      </c>
      <c r="J241" s="93">
        <v>-8.3551546295777986E-4</v>
      </c>
      <c r="L241" s="97"/>
      <c r="M241" s="97">
        <v>-4.1171713473951597</v>
      </c>
      <c r="N241" s="93">
        <v>4.8828125E-4</v>
      </c>
      <c r="O241" s="93">
        <f t="shared" si="3"/>
        <v>0.2607421875</v>
      </c>
    </row>
    <row r="242" spans="1:15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-17</v>
      </c>
      <c r="H242">
        <v>4.100625E-4</v>
      </c>
      <c r="I242">
        <v>-1.7623826407286585</v>
      </c>
      <c r="J242" s="93">
        <v>-7.2268703161379553E-4</v>
      </c>
      <c r="L242" s="97"/>
      <c r="M242" s="97">
        <v>-3.9944331012013521</v>
      </c>
      <c r="N242" s="93">
        <v>4.8828125E-4</v>
      </c>
      <c r="O242" s="93">
        <f t="shared" si="3"/>
        <v>0.26123046875</v>
      </c>
    </row>
    <row r="243" spans="1:15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-6.5728766960757419</v>
      </c>
      <c r="H243">
        <v>8.6568749999999992E-4</v>
      </c>
      <c r="I243">
        <v>-1.2449506491190301</v>
      </c>
      <c r="J243" s="93">
        <v>-1.0777382150592301E-3</v>
      </c>
      <c r="L243" s="97"/>
      <c r="M243" s="97">
        <v>-3.9944331012013521</v>
      </c>
      <c r="N243" s="93">
        <v>9.765625E-4</v>
      </c>
      <c r="O243" s="93">
        <f t="shared" si="3"/>
        <v>0.26220703125</v>
      </c>
    </row>
    <row r="244" spans="1:15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-0.7008665723579155</v>
      </c>
      <c r="H244">
        <v>5.4674999999999993E-4</v>
      </c>
      <c r="I244">
        <v>-1.0236372533460838</v>
      </c>
      <c r="J244" s="93">
        <v>-5.5967366826697128E-4</v>
      </c>
      <c r="L244" s="97"/>
      <c r="M244" s="97">
        <v>-3.9944331012013521</v>
      </c>
      <c r="N244" s="93">
        <v>4.8828125E-4</v>
      </c>
      <c r="O244" s="93">
        <f t="shared" si="3"/>
        <v>0.2626953125</v>
      </c>
    </row>
    <row r="245" spans="1:15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-5.4953609176677878</v>
      </c>
      <c r="H245">
        <v>2.73908935546875E-4</v>
      </c>
      <c r="I245">
        <v>-1.2010290094938021</v>
      </c>
      <c r="J245" s="93">
        <v>-3.2897257755136499E-4</v>
      </c>
      <c r="L245" s="97"/>
      <c r="M245" s="97">
        <v>-3.9935052847349115</v>
      </c>
      <c r="N245" s="93">
        <v>4.8828125E-4</v>
      </c>
      <c r="O245" s="93">
        <f t="shared" si="3"/>
        <v>0.26318359375</v>
      </c>
    </row>
    <row r="246" spans="1:15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5.4344442763823277</v>
      </c>
      <c r="H246">
        <v>5.7825219726562497E-4</v>
      </c>
      <c r="I246">
        <v>-0.83431175247311151</v>
      </c>
      <c r="J246" s="93">
        <v>-4.8244260407211094E-4</v>
      </c>
      <c r="L246" s="97"/>
      <c r="M246" s="97">
        <v>-3.9935052847349115</v>
      </c>
      <c r="N246" s="93">
        <v>9.765625E-4</v>
      </c>
      <c r="O246" s="93">
        <f t="shared" si="3"/>
        <v>0.26416015625</v>
      </c>
    </row>
    <row r="247" spans="1:15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12.617409774960631</v>
      </c>
      <c r="H247">
        <v>3.652119140625E-4</v>
      </c>
      <c r="I247">
        <v>-0.656665629190752</v>
      </c>
      <c r="J247" s="93">
        <v>-2.3982211133581041E-4</v>
      </c>
      <c r="L247" s="97"/>
      <c r="M247" s="97">
        <v>-3.9935052847349115</v>
      </c>
      <c r="N247" s="93">
        <v>4.8828125E-4</v>
      </c>
      <c r="O247" s="93">
        <f t="shared" si="3"/>
        <v>0.2646484375</v>
      </c>
    </row>
    <row r="248" spans="1:15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-9.2476804588338926</v>
      </c>
      <c r="H248">
        <v>5.7825219726562497E-4</v>
      </c>
      <c r="I248">
        <v>-1.3610493937980925</v>
      </c>
      <c r="J248" s="93">
        <v>-7.870298025507939E-4</v>
      </c>
      <c r="L248" s="97"/>
      <c r="M248" s="97">
        <v>-3.6925488061003531</v>
      </c>
      <c r="N248" s="93">
        <v>2.44140625E-4</v>
      </c>
      <c r="O248" s="93">
        <f t="shared" si="3"/>
        <v>0.264892578125</v>
      </c>
    </row>
    <row r="249" spans="1:15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2.9841941874053277</v>
      </c>
      <c r="H249">
        <v>1.2207546386718748E-3</v>
      </c>
      <c r="I249">
        <v>-0.90531426666320058</v>
      </c>
      <c r="J249" s="93">
        <v>-1.1051665904849288E-3</v>
      </c>
      <c r="L249" s="97"/>
      <c r="M249" s="97">
        <v>-3.6925488061003531</v>
      </c>
      <c r="N249" s="93">
        <v>4.8828125E-4</v>
      </c>
      <c r="O249" s="93">
        <f t="shared" si="3"/>
        <v>0.265380859375</v>
      </c>
    </row>
    <row r="250" spans="1:15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10.24161466355287</v>
      </c>
      <c r="H250">
        <v>7.7100292968749996E-4</v>
      </c>
      <c r="I250">
        <v>-0.71078367115677354</v>
      </c>
      <c r="J250" s="93">
        <v>-5.4801629283590897E-4</v>
      </c>
      <c r="L250" s="97"/>
      <c r="M250" s="97">
        <v>-3.6925488061003531</v>
      </c>
      <c r="N250" s="93">
        <v>2.44140625E-4</v>
      </c>
      <c r="O250" s="93">
        <f t="shared" si="3"/>
        <v>0.265625</v>
      </c>
    </row>
    <row r="251" spans="1:15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-13</v>
      </c>
      <c r="H251">
        <v>3.652119140625E-4</v>
      </c>
      <c r="I251">
        <v>-1.5423902651101746</v>
      </c>
      <c r="J251" s="93">
        <v>-5.6329930095225375E-4</v>
      </c>
      <c r="L251" s="97"/>
      <c r="M251" s="97">
        <v>-3.5617458222870511</v>
      </c>
      <c r="N251" s="93">
        <v>9.765625E-4</v>
      </c>
      <c r="O251" s="93">
        <f t="shared" si="3"/>
        <v>0.2666015625</v>
      </c>
    </row>
    <row r="252" spans="1:15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0.47861892205448392</v>
      </c>
      <c r="H252">
        <v>7.7100292968749996E-4</v>
      </c>
      <c r="I252">
        <v>-0.9841726263160453</v>
      </c>
      <c r="J252" s="93">
        <v>-7.5879997820791202E-4</v>
      </c>
      <c r="L252" s="97"/>
      <c r="M252" s="97">
        <v>-3.5617458222870511</v>
      </c>
      <c r="N252" s="93">
        <v>1.953125E-3</v>
      </c>
      <c r="O252" s="93">
        <f t="shared" si="3"/>
        <v>0.2685546875</v>
      </c>
    </row>
    <row r="253" spans="1:15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7.853263110672775</v>
      </c>
      <c r="H253">
        <v>4.8694921874999997E-4</v>
      </c>
      <c r="I253">
        <v>-0.76968384679844337</v>
      </c>
      <c r="J253" s="93">
        <v>-3.7479694788299664E-4</v>
      </c>
      <c r="L253" s="97"/>
      <c r="M253" s="97">
        <v>-3.5617458222870511</v>
      </c>
      <c r="N253" s="93">
        <v>9.765625E-4</v>
      </c>
      <c r="O253" s="93">
        <f t="shared" si="3"/>
        <v>0.26953125</v>
      </c>
    </row>
    <row r="254" spans="1:15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-6.995360917667786</v>
      </c>
      <c r="H254">
        <v>5.7825219726562497E-4</v>
      </c>
      <c r="I254">
        <v>-1.2626070835899594</v>
      </c>
      <c r="J254" s="93">
        <v>-7.3010532036903663E-4</v>
      </c>
      <c r="L254" s="97"/>
      <c r="M254" s="97">
        <v>-3.3325607143886926</v>
      </c>
      <c r="N254" s="93">
        <v>9.765625E-4</v>
      </c>
      <c r="O254" s="93">
        <f t="shared" si="3"/>
        <v>0.2705078125</v>
      </c>
    </row>
    <row r="255" spans="1:15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4.373790546417478</v>
      </c>
      <c r="H255">
        <v>1.2207546386718748E-3</v>
      </c>
      <c r="I255">
        <v>-0.86433658660167212</v>
      </c>
      <c r="J255" s="93">
        <v>-1.0551428974678058E-3</v>
      </c>
      <c r="L255" s="97"/>
      <c r="M255" s="97">
        <v>-3.3325607143886926</v>
      </c>
      <c r="N255" s="93">
        <v>1.953125E-3</v>
      </c>
      <c r="O255" s="93">
        <f t="shared" si="3"/>
        <v>0.2724609375</v>
      </c>
    </row>
    <row r="256" spans="1:15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11.606092902532644</v>
      </c>
      <c r="H256">
        <v>7.7100292968749996E-4</v>
      </c>
      <c r="I256">
        <v>-0.67917954318934792</v>
      </c>
      <c r="J256" s="93">
        <v>-5.2364941758280519E-4</v>
      </c>
      <c r="L256" s="97"/>
      <c r="M256" s="97">
        <v>-3.3325607143886926</v>
      </c>
      <c r="N256" s="93">
        <v>9.765625E-4</v>
      </c>
      <c r="O256" s="93">
        <f t="shared" si="3"/>
        <v>0.2734375</v>
      </c>
    </row>
    <row r="257" spans="1:15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-10.747680458833893</v>
      </c>
      <c r="H257">
        <v>1.2207546386718748E-3</v>
      </c>
      <c r="I257">
        <v>-1.4308318884400437</v>
      </c>
      <c r="J257" s="93">
        <v>-1.7466946649728218E-3</v>
      </c>
      <c r="L257" s="97"/>
      <c r="M257" s="97">
        <v>-3.0420332032869952</v>
      </c>
      <c r="N257" s="93">
        <v>3.90625E-3</v>
      </c>
      <c r="O257" s="93">
        <f t="shared" si="3"/>
        <v>0.27734375</v>
      </c>
    </row>
    <row r="258" spans="1:15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1.8956858265406606</v>
      </c>
      <c r="H258">
        <v>2.5771486816406246E-3</v>
      </c>
      <c r="I258">
        <v>-0.93876553489438852</v>
      </c>
      <c r="J258" s="93">
        <v>-2.4193383606227292E-3</v>
      </c>
      <c r="L258" s="97"/>
      <c r="M258" s="97">
        <v>-3.0420332032869952</v>
      </c>
      <c r="N258" s="93">
        <v>7.8125E-3</v>
      </c>
      <c r="O258" s="93">
        <f t="shared" si="3"/>
        <v>0.28515625</v>
      </c>
    </row>
    <row r="259" spans="1:15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9.224566322344721</v>
      </c>
      <c r="H259">
        <v>1.6276728515624997E-3</v>
      </c>
      <c r="I259">
        <v>-0.73529349681629386</v>
      </c>
      <c r="J259" s="93">
        <v>-1.1968172626983388E-3</v>
      </c>
      <c r="L259" s="97"/>
      <c r="M259" s="97">
        <v>-3.0420332032869952</v>
      </c>
      <c r="N259" s="93">
        <v>3.90625E-3</v>
      </c>
      <c r="O259" s="93">
        <f t="shared" si="3"/>
        <v>0.2890625</v>
      </c>
    </row>
    <row r="260" spans="1:15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-14.5</v>
      </c>
      <c r="H260">
        <v>7.7100292968749985E-4</v>
      </c>
      <c r="I260">
        <v>-1.6214703050420796</v>
      </c>
      <c r="J260" s="93">
        <v>-1.2501583555887274E-3</v>
      </c>
      <c r="L260" s="97"/>
      <c r="M260" s="97">
        <v>-3.0420332032869939</v>
      </c>
      <c r="N260" s="93">
        <v>1.953125E-3</v>
      </c>
      <c r="O260" s="93">
        <f t="shared" ref="O260:O323" si="4">N260+O259</f>
        <v>0.291015625</v>
      </c>
    </row>
    <row r="261" spans="1:15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-0.65748311961275752</v>
      </c>
      <c r="H261">
        <v>1.6276728515624997E-3</v>
      </c>
      <c r="I261">
        <v>-1.0221580258901528</v>
      </c>
      <c r="J261" s="93">
        <v>-1.6637388687481204E-3</v>
      </c>
      <c r="L261" s="97"/>
      <c r="M261" s="97">
        <v>-3.0420332032869939</v>
      </c>
      <c r="N261" s="93">
        <v>3.90625E-3</v>
      </c>
      <c r="O261" s="93">
        <f t="shared" si="4"/>
        <v>0.294921875</v>
      </c>
    </row>
    <row r="262" spans="1:15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6.8057474880542728</v>
      </c>
      <c r="H262">
        <v>1.0280039062499997E-3</v>
      </c>
      <c r="I262">
        <v>-0.79703375413506872</v>
      </c>
      <c r="J262" s="93">
        <v>-8.193538126639525E-4</v>
      </c>
      <c r="L262" s="97"/>
      <c r="M262" s="97">
        <v>-3.0420332032869939</v>
      </c>
      <c r="N262" s="93">
        <v>1.953125E-3</v>
      </c>
      <c r="O262" s="93">
        <f t="shared" si="4"/>
        <v>0.296875</v>
      </c>
    </row>
    <row r="263" spans="1:15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-9.4953609176677851</v>
      </c>
      <c r="H263">
        <v>3.6521191406249995E-4</v>
      </c>
      <c r="I263">
        <v>-1.3723327521081155</v>
      </c>
      <c r="J263" s="93">
        <v>-5.0119227112806306E-4</v>
      </c>
      <c r="L263" s="97"/>
      <c r="M263" s="97">
        <v>-2.9900607231347447</v>
      </c>
      <c r="N263" s="93">
        <v>4.8828125E-4</v>
      </c>
      <c r="O263" s="93">
        <f t="shared" si="4"/>
        <v>0.29736328125</v>
      </c>
    </row>
    <row r="264" spans="1:15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2.5713743458996654</v>
      </c>
      <c r="H264">
        <v>7.7100292968749985E-4</v>
      </c>
      <c r="I264">
        <v>-0.9178580975000864</v>
      </c>
      <c r="J264" s="93">
        <v>-7.0767128220996145E-4</v>
      </c>
      <c r="L264" s="97"/>
      <c r="M264" s="97">
        <v>-2.9900607231347447</v>
      </c>
      <c r="N264" s="93">
        <v>9.765625E-4</v>
      </c>
      <c r="O264" s="93">
        <f t="shared" si="4"/>
        <v>0.29833984375</v>
      </c>
    </row>
    <row r="265" spans="1:15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9.8975257856043335</v>
      </c>
      <c r="H265">
        <v>4.8694921874999991E-4</v>
      </c>
      <c r="I265">
        <v>-0.71898302825871585</v>
      </c>
      <c r="J265" s="93">
        <v>-3.5010822390509077E-4</v>
      </c>
      <c r="L265" s="97"/>
      <c r="M265" s="97">
        <v>-2.9900607231347447</v>
      </c>
      <c r="N265" s="93">
        <v>4.8828125E-4</v>
      </c>
      <c r="O265" s="93">
        <f t="shared" si="4"/>
        <v>0.298828125</v>
      </c>
    </row>
    <row r="266" spans="1:15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-13.247680458833893</v>
      </c>
      <c r="H266">
        <v>7.7100292968749985E-4</v>
      </c>
      <c r="I266">
        <v>-1.5551769737295909</v>
      </c>
      <c r="J266" s="93">
        <v>-1.1990460029280546E-3</v>
      </c>
      <c r="L266" s="97"/>
      <c r="M266" s="97">
        <v>-2.7917339750834369</v>
      </c>
      <c r="N266" s="93">
        <v>9.765625E-4</v>
      </c>
      <c r="O266" s="93">
        <f t="shared" si="4"/>
        <v>0.2998046875</v>
      </c>
    </row>
    <row r="267" spans="1:15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3.3748584991527442E-2</v>
      </c>
      <c r="H267">
        <v>1.6276728515624997E-3</v>
      </c>
      <c r="I267">
        <v>-0.99887567968917923</v>
      </c>
      <c r="J267" s="93">
        <v>-1.6258428259161165E-3</v>
      </c>
      <c r="L267" s="97"/>
      <c r="M267" s="97">
        <v>-2.7917339750834369</v>
      </c>
      <c r="N267" s="93">
        <v>1.953125E-3</v>
      </c>
      <c r="O267" s="93">
        <f t="shared" si="4"/>
        <v>0.3017578125</v>
      </c>
    </row>
    <row r="268" spans="1:15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7.4787069513138844</v>
      </c>
      <c r="H268">
        <v>1.0280039062499997E-3</v>
      </c>
      <c r="I268">
        <v>-0.77935374738614971</v>
      </c>
      <c r="J268" s="93">
        <v>-8.0117869666353745E-4</v>
      </c>
      <c r="L268" s="97"/>
      <c r="M268" s="97">
        <v>-2.7917339750834369</v>
      </c>
      <c r="N268" s="93">
        <v>9.765625E-4</v>
      </c>
      <c r="O268" s="93">
        <f t="shared" si="4"/>
        <v>0.302734375</v>
      </c>
    </row>
    <row r="269" spans="1:15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-17</v>
      </c>
      <c r="H269">
        <v>4.8694921874999991E-4</v>
      </c>
      <c r="I269">
        <v>-1.7623826407286585</v>
      </c>
      <c r="J269" s="93">
        <v>-8.58190850041382E-4</v>
      </c>
      <c r="L269" s="97"/>
      <c r="M269" s="97">
        <v>-2.6920034286358208</v>
      </c>
      <c r="N269" s="93">
        <v>2.44140625E-4</v>
      </c>
      <c r="O269" s="93">
        <f t="shared" si="4"/>
        <v>0.302978515625</v>
      </c>
    </row>
    <row r="270" spans="1:15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-2.5956324169788907</v>
      </c>
      <c r="H270">
        <v>1.0280039062499997E-3</v>
      </c>
      <c r="I270">
        <v>-1.090374353183982</v>
      </c>
      <c r="J270" s="93">
        <v>-1.1209090943479503E-3</v>
      </c>
      <c r="L270" s="97"/>
      <c r="M270" s="97">
        <v>-2.6920034286358208</v>
      </c>
      <c r="N270" s="93">
        <v>4.8828125E-4</v>
      </c>
      <c r="O270" s="93">
        <f t="shared" si="4"/>
        <v>0.303466796875</v>
      </c>
    </row>
    <row r="271" spans="1:15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5.0426982494922781</v>
      </c>
      <c r="H271">
        <v>6.4926562499999978E-4</v>
      </c>
      <c r="I271">
        <v>-0.84527780558529353</v>
      </c>
      <c r="J271" s="93">
        <v>-5.488098227419639E-4</v>
      </c>
      <c r="L271" s="97"/>
      <c r="M271" s="97">
        <v>-2.6920034286358208</v>
      </c>
      <c r="N271" s="93">
        <v>2.44140625E-4</v>
      </c>
      <c r="O271" s="93">
        <f t="shared" si="4"/>
        <v>0.3037109375</v>
      </c>
    </row>
    <row r="272" spans="1:15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-5.4953609176677878</v>
      </c>
      <c r="H272">
        <v>5.7825219726562497E-4</v>
      </c>
      <c r="I272">
        <v>-1.2010290094938021</v>
      </c>
      <c r="J272" s="93">
        <v>-6.9449766371954826E-4</v>
      </c>
      <c r="L272" s="97"/>
      <c r="M272" s="97">
        <v>-2.5956324169788907</v>
      </c>
      <c r="N272" s="93">
        <v>9.765625E-4</v>
      </c>
      <c r="O272" s="93">
        <f t="shared" si="4"/>
        <v>0.3046875</v>
      </c>
    </row>
    <row r="273" spans="1:15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5.4344442763823277</v>
      </c>
      <c r="H273">
        <v>1.2207546386718748E-3</v>
      </c>
      <c r="I273">
        <v>-0.83431175247311151</v>
      </c>
      <c r="J273" s="93">
        <v>-1.0184899419300119E-3</v>
      </c>
      <c r="L273" s="97"/>
      <c r="M273" s="97">
        <v>-2.5956324169788907</v>
      </c>
      <c r="N273" s="93">
        <v>1.953125E-3</v>
      </c>
      <c r="O273" s="93">
        <f t="shared" si="4"/>
        <v>0.306640625</v>
      </c>
    </row>
    <row r="274" spans="1:15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12.617409774960631</v>
      </c>
      <c r="H274">
        <v>7.7100292968749996E-4</v>
      </c>
      <c r="I274">
        <v>-0.656665629190752</v>
      </c>
      <c r="J274" s="93">
        <v>-5.0629112393115524E-4</v>
      </c>
      <c r="L274" s="97"/>
      <c r="M274" s="97">
        <v>-2.5956324169788907</v>
      </c>
      <c r="N274" s="93">
        <v>9.765625E-4</v>
      </c>
      <c r="O274" s="93">
        <f t="shared" si="4"/>
        <v>0.3076171875</v>
      </c>
    </row>
    <row r="275" spans="1:15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-9.2476804588338926</v>
      </c>
      <c r="H275">
        <v>1.2207546386718748E-3</v>
      </c>
      <c r="I275">
        <v>-1.3610493937980925</v>
      </c>
      <c r="J275" s="93">
        <v>-1.6615073609405648E-3</v>
      </c>
      <c r="L275" s="97"/>
      <c r="M275" s="97">
        <v>-2.4983465249789889</v>
      </c>
      <c r="N275" s="93">
        <v>4.8828125E-4</v>
      </c>
      <c r="O275" s="93">
        <f t="shared" si="4"/>
        <v>0.30810546875</v>
      </c>
    </row>
    <row r="276" spans="1:15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2.9841941874053277</v>
      </c>
      <c r="H276">
        <v>2.5771486816406246E-3</v>
      </c>
      <c r="I276">
        <v>-0.90531426666320058</v>
      </c>
      <c r="J276" s="93">
        <v>-2.3331294688015165E-3</v>
      </c>
      <c r="L276" s="97"/>
      <c r="M276" s="97">
        <v>-2.4983465249789889</v>
      </c>
      <c r="N276" s="93">
        <v>9.765625E-4</v>
      </c>
      <c r="O276" s="93">
        <f t="shared" si="4"/>
        <v>0.30908203125</v>
      </c>
    </row>
    <row r="277" spans="1:15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10.24161466355287</v>
      </c>
      <c r="H277">
        <v>1.6276728515624997E-3</v>
      </c>
      <c r="I277">
        <v>-0.71078367115677354</v>
      </c>
      <c r="J277" s="93">
        <v>-1.1569232848758076E-3</v>
      </c>
      <c r="L277" s="97"/>
      <c r="M277" s="97">
        <v>-2.4983465249789889</v>
      </c>
      <c r="N277" s="93">
        <v>4.8828125E-4</v>
      </c>
      <c r="O277" s="93">
        <f t="shared" si="4"/>
        <v>0.3095703125</v>
      </c>
    </row>
    <row r="278" spans="1:15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-13</v>
      </c>
      <c r="H278">
        <v>7.7100292968749985E-4</v>
      </c>
      <c r="I278">
        <v>-1.5423902651101746</v>
      </c>
      <c r="J278" s="93">
        <v>-1.1891874131214242E-3</v>
      </c>
      <c r="L278" s="97"/>
      <c r="M278" s="97">
        <v>-2.4298072441115979</v>
      </c>
      <c r="N278" s="93">
        <v>1.953125E-3</v>
      </c>
      <c r="O278" s="93">
        <f t="shared" si="4"/>
        <v>0.3115234375</v>
      </c>
    </row>
    <row r="279" spans="1:15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0.47861892205448392</v>
      </c>
      <c r="H279">
        <v>1.6276728515624997E-3</v>
      </c>
      <c r="I279">
        <v>-0.9841726263160453</v>
      </c>
      <c r="J279" s="93">
        <v>-1.6019110651055918E-3</v>
      </c>
      <c r="L279" s="97"/>
      <c r="M279" s="97">
        <v>-2.4298072441115979</v>
      </c>
      <c r="N279" s="93">
        <v>3.90625E-3</v>
      </c>
      <c r="O279" s="93">
        <f t="shared" si="4"/>
        <v>0.3154296875</v>
      </c>
    </row>
    <row r="280" spans="1:15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7.853263110672775</v>
      </c>
      <c r="H280">
        <v>1.0280039062499997E-3</v>
      </c>
      <c r="I280">
        <v>-0.76968384679844337</v>
      </c>
      <c r="J280" s="93">
        <v>-7.9123800108632611E-4</v>
      </c>
      <c r="L280" s="97"/>
      <c r="M280" s="97">
        <v>-2.4298072441115979</v>
      </c>
      <c r="N280" s="93">
        <v>1.953125E-3</v>
      </c>
      <c r="O280" s="93">
        <f t="shared" si="4"/>
        <v>0.3173828125</v>
      </c>
    </row>
    <row r="281" spans="1:15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-6.995360917667786</v>
      </c>
      <c r="H281">
        <v>1.2207546386718748E-3</v>
      </c>
      <c r="I281">
        <v>-1.2626070835899594</v>
      </c>
      <c r="J281" s="93">
        <v>-1.5413334541124106E-3</v>
      </c>
      <c r="L281" s="97"/>
      <c r="M281" s="97">
        <v>-2.3468547121122434</v>
      </c>
      <c r="N281" s="93">
        <v>1.953125E-3</v>
      </c>
      <c r="O281" s="93">
        <f t="shared" si="4"/>
        <v>0.3193359375</v>
      </c>
    </row>
    <row r="282" spans="1:15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4.373790546417478</v>
      </c>
      <c r="H282">
        <v>2.5771486816406246E-3</v>
      </c>
      <c r="I282">
        <v>-0.86433658660167212</v>
      </c>
      <c r="J282" s="93">
        <v>-2.2275238946542568E-3</v>
      </c>
      <c r="L282" s="97"/>
      <c r="M282" s="97">
        <v>-2.3468547121122434</v>
      </c>
      <c r="N282" s="93">
        <v>3.90625E-3</v>
      </c>
      <c r="O282" s="93">
        <f t="shared" si="4"/>
        <v>0.3232421875</v>
      </c>
    </row>
    <row r="283" spans="1:15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11.606092902532644</v>
      </c>
      <c r="H283">
        <v>1.6276728515624997E-3</v>
      </c>
      <c r="I283">
        <v>-0.67917954318934792</v>
      </c>
      <c r="J283" s="93">
        <v>-1.1054821037859218E-3</v>
      </c>
      <c r="L283" s="97"/>
      <c r="M283" s="97">
        <v>-2.3468547121122434</v>
      </c>
      <c r="N283" s="93">
        <v>1.953125E-3</v>
      </c>
      <c r="O283" s="93">
        <f t="shared" si="4"/>
        <v>0.3251953125</v>
      </c>
    </row>
    <row r="284" spans="1:15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-10.747680458833893</v>
      </c>
      <c r="H284">
        <v>2.5771486816406246E-3</v>
      </c>
      <c r="I284">
        <v>-1.4308318884400437</v>
      </c>
      <c r="J284" s="93">
        <v>-3.6874665149426241E-3</v>
      </c>
      <c r="L284" s="97"/>
      <c r="M284" s="97">
        <v>-2.3468547121122407</v>
      </c>
      <c r="N284" s="93">
        <v>9.765625E-4</v>
      </c>
      <c r="O284" s="93">
        <f t="shared" si="4"/>
        <v>0.326171875</v>
      </c>
    </row>
    <row r="285" spans="1:15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1.8956858265406606</v>
      </c>
      <c r="H285">
        <v>5.4406472167968737E-3</v>
      </c>
      <c r="I285">
        <v>-0.93876553489438852</v>
      </c>
      <c r="J285" s="93">
        <v>-5.107492094647983E-3</v>
      </c>
      <c r="L285" s="97"/>
      <c r="M285" s="97">
        <v>-2.3468547121122407</v>
      </c>
      <c r="N285" s="93">
        <v>1.953125E-3</v>
      </c>
      <c r="O285" s="93">
        <f t="shared" si="4"/>
        <v>0.328125</v>
      </c>
    </row>
    <row r="286" spans="1:15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9.224566322344721</v>
      </c>
      <c r="H286">
        <v>3.4361982421874993E-3</v>
      </c>
      <c r="I286">
        <v>-0.73529349681629386</v>
      </c>
      <c r="J286" s="93">
        <v>-2.5266142212520487E-3</v>
      </c>
      <c r="L286" s="97"/>
      <c r="M286" s="97">
        <v>-2.3468547121122407</v>
      </c>
      <c r="N286" s="93">
        <v>9.765625E-4</v>
      </c>
      <c r="O286" s="93">
        <f t="shared" si="4"/>
        <v>0.3291015625</v>
      </c>
    </row>
    <row r="287" spans="1:15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-14.5</v>
      </c>
      <c r="H287">
        <v>1.6276728515624997E-3</v>
      </c>
      <c r="I287">
        <v>-1.6214703050420796</v>
      </c>
      <c r="J287" s="93">
        <v>-2.639223195131758E-3</v>
      </c>
      <c r="L287" s="97"/>
      <c r="M287" s="97">
        <v>-2.127715838674793</v>
      </c>
      <c r="N287" s="93">
        <v>9.765625E-4</v>
      </c>
      <c r="O287" s="93">
        <f t="shared" si="4"/>
        <v>0.330078125</v>
      </c>
    </row>
    <row r="288" spans="1:15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-0.65748311961275752</v>
      </c>
      <c r="H288">
        <v>3.4361982421874993E-3</v>
      </c>
      <c r="I288">
        <v>-1.0221580258901528</v>
      </c>
      <c r="J288" s="93">
        <v>-3.5123376118015876E-3</v>
      </c>
      <c r="L288" s="97"/>
      <c r="M288" s="97">
        <v>-2.127715838674793</v>
      </c>
      <c r="N288" s="93">
        <v>1.953125E-3</v>
      </c>
      <c r="O288" s="93">
        <f t="shared" si="4"/>
        <v>0.33203125</v>
      </c>
    </row>
    <row r="289" spans="1:15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6.8057474880542728</v>
      </c>
      <c r="H289">
        <v>2.1702304687499993E-3</v>
      </c>
      <c r="I289">
        <v>-0.79703375413506872</v>
      </c>
      <c r="J289" s="93">
        <v>-1.7297469378461218E-3</v>
      </c>
      <c r="L289" s="97"/>
      <c r="M289" s="97">
        <v>-2.127715838674793</v>
      </c>
      <c r="N289" s="93">
        <v>9.765625E-4</v>
      </c>
      <c r="O289" s="93">
        <f t="shared" si="4"/>
        <v>0.3330078125</v>
      </c>
    </row>
    <row r="290" spans="1:15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-9.4953609176677851</v>
      </c>
      <c r="H290">
        <v>7.7100292968749996E-4</v>
      </c>
      <c r="I290">
        <v>-1.3723327521081155</v>
      </c>
      <c r="J290" s="93">
        <v>-1.0580725723814666E-3</v>
      </c>
      <c r="L290" s="97"/>
      <c r="M290" s="97">
        <v>-1.849986467453121</v>
      </c>
      <c r="N290" s="93">
        <v>9.765625E-4</v>
      </c>
      <c r="O290" s="93">
        <f t="shared" si="4"/>
        <v>0.333984375</v>
      </c>
    </row>
    <row r="291" spans="1:15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2.5713743458996654</v>
      </c>
      <c r="H291">
        <v>1.6276728515624999E-3</v>
      </c>
      <c r="I291">
        <v>-0.9178580975000864</v>
      </c>
      <c r="J291" s="93">
        <v>-1.4939727068876967E-3</v>
      </c>
      <c r="L291" s="97"/>
      <c r="M291" s="97">
        <v>-1.849986467453121</v>
      </c>
      <c r="N291" s="93">
        <v>1.953125E-3</v>
      </c>
      <c r="O291" s="93">
        <f t="shared" si="4"/>
        <v>0.3359375</v>
      </c>
    </row>
    <row r="292" spans="1:15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9.8975257856043335</v>
      </c>
      <c r="H292">
        <v>1.0280039062499999E-3</v>
      </c>
      <c r="I292">
        <v>-0.71898302825871585</v>
      </c>
      <c r="J292" s="93">
        <v>-7.3911736157741402E-4</v>
      </c>
      <c r="L292" s="97"/>
      <c r="M292" s="97">
        <v>-1.849986467453121</v>
      </c>
      <c r="N292" s="93">
        <v>9.765625E-4</v>
      </c>
      <c r="O292" s="93">
        <f t="shared" si="4"/>
        <v>0.3369140625</v>
      </c>
    </row>
    <row r="293" spans="1:15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-13.247680458833893</v>
      </c>
      <c r="H293">
        <v>1.6276728515624997E-3</v>
      </c>
      <c r="I293">
        <v>-1.5551769737295909</v>
      </c>
      <c r="J293" s="93">
        <v>-2.5313193395147819E-3</v>
      </c>
      <c r="L293" s="97"/>
      <c r="M293" s="97">
        <v>-1.8499864674531208</v>
      </c>
      <c r="N293" s="93">
        <v>1.953125E-3</v>
      </c>
      <c r="O293" s="93">
        <f t="shared" si="4"/>
        <v>0.3388671875</v>
      </c>
    </row>
    <row r="294" spans="1:15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3.3748584991527442E-2</v>
      </c>
      <c r="H294">
        <v>3.4361982421874993E-3</v>
      </c>
      <c r="I294">
        <v>-0.99887567968917923</v>
      </c>
      <c r="J294" s="93">
        <v>-3.4323348547118013E-3</v>
      </c>
      <c r="L294" s="97"/>
      <c r="M294" s="97">
        <v>-1.8499864674531208</v>
      </c>
      <c r="N294" s="93">
        <v>3.90625E-3</v>
      </c>
      <c r="O294" s="93">
        <f t="shared" si="4"/>
        <v>0.3427734375</v>
      </c>
    </row>
    <row r="295" spans="1:15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7.4787069513138844</v>
      </c>
      <c r="H295">
        <v>2.1702304687499993E-3</v>
      </c>
      <c r="I295">
        <v>-0.77935374738614971</v>
      </c>
      <c r="J295" s="93">
        <v>-1.6913772485119122E-3</v>
      </c>
      <c r="L295" s="97"/>
      <c r="M295" s="97">
        <v>-1.8499864674531208</v>
      </c>
      <c r="N295" s="93">
        <v>1.953125E-3</v>
      </c>
      <c r="O295" s="93">
        <f t="shared" si="4"/>
        <v>0.3447265625</v>
      </c>
    </row>
    <row r="296" spans="1:15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-17</v>
      </c>
      <c r="H296">
        <v>1.0280039062499999E-3</v>
      </c>
      <c r="I296">
        <v>-1.7623826407286585</v>
      </c>
      <c r="J296" s="93">
        <v>-1.8117362389762511E-3</v>
      </c>
      <c r="L296" s="97"/>
      <c r="M296" s="97">
        <v>-1.7109222562879141</v>
      </c>
      <c r="N296" s="93">
        <v>4.8828125E-4</v>
      </c>
      <c r="O296" s="93">
        <f t="shared" si="4"/>
        <v>0.34521484375</v>
      </c>
    </row>
    <row r="297" spans="1:15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-2.5956324169788907</v>
      </c>
      <c r="H297">
        <v>2.1702304687499993E-3</v>
      </c>
      <c r="I297">
        <v>-1.090374353183982</v>
      </c>
      <c r="J297" s="93">
        <v>-2.3663636436234508E-3</v>
      </c>
      <c r="L297" s="97"/>
      <c r="M297" s="97">
        <v>-1.7109222562879141</v>
      </c>
      <c r="N297" s="93">
        <v>9.765625E-4</v>
      </c>
      <c r="O297" s="93">
        <f t="shared" si="4"/>
        <v>0.34619140625</v>
      </c>
    </row>
    <row r="298" spans="1:15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5.0426982494922781</v>
      </c>
      <c r="H298">
        <v>1.3706718749999997E-3</v>
      </c>
      <c r="I298">
        <v>-0.84527780558529353</v>
      </c>
      <c r="J298" s="93">
        <v>-1.1585985146774795E-3</v>
      </c>
      <c r="L298" s="97"/>
      <c r="M298" s="97">
        <v>-1.7109222562879141</v>
      </c>
      <c r="N298" s="93">
        <v>4.8828125E-4</v>
      </c>
      <c r="O298" s="93">
        <f t="shared" si="4"/>
        <v>0.3466796875</v>
      </c>
    </row>
    <row r="299" spans="1:15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-5.4953609176677878</v>
      </c>
      <c r="H299">
        <v>3.652119140625E-4</v>
      </c>
      <c r="I299">
        <v>-1.2010290094938021</v>
      </c>
      <c r="J299" s="93">
        <v>-4.3863010340181995E-4</v>
      </c>
      <c r="L299" s="97"/>
      <c r="M299" s="97">
        <v>-1.6520230774009681</v>
      </c>
      <c r="N299" s="93">
        <v>4.8828125E-4</v>
      </c>
      <c r="O299" s="93">
        <f t="shared" si="4"/>
        <v>0.34716796875</v>
      </c>
    </row>
    <row r="300" spans="1:15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5.4344442763823277</v>
      </c>
      <c r="H300">
        <v>7.7100292968749996E-4</v>
      </c>
      <c r="I300">
        <v>-0.83431175247311151</v>
      </c>
      <c r="J300" s="93">
        <v>-6.4325680542948128E-4</v>
      </c>
      <c r="L300" s="97"/>
      <c r="M300" s="97">
        <v>-1.6520230774009681</v>
      </c>
      <c r="N300" s="93">
        <v>9.765625E-4</v>
      </c>
      <c r="O300" s="93">
        <f t="shared" si="4"/>
        <v>0.34814453125</v>
      </c>
    </row>
    <row r="301" spans="1:15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12.617409774960631</v>
      </c>
      <c r="H301">
        <v>4.8694921874999997E-4</v>
      </c>
      <c r="I301">
        <v>-0.656665629190752</v>
      </c>
      <c r="J301" s="93">
        <v>-3.1976281511441386E-4</v>
      </c>
      <c r="L301" s="97"/>
      <c r="M301" s="97">
        <v>-1.6520230774009681</v>
      </c>
      <c r="N301" s="93">
        <v>4.8828125E-4</v>
      </c>
      <c r="O301" s="93">
        <f t="shared" si="4"/>
        <v>0.3486328125</v>
      </c>
    </row>
    <row r="302" spans="1:15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-9.2476804588338926</v>
      </c>
      <c r="H302">
        <v>7.7100292968749996E-4</v>
      </c>
      <c r="I302">
        <v>-1.3610493937980925</v>
      </c>
      <c r="J302" s="93">
        <v>-1.0493730700677252E-3</v>
      </c>
      <c r="L302" s="97"/>
      <c r="M302" s="97">
        <v>-1.607294633344857</v>
      </c>
      <c r="N302" s="93">
        <v>4.8828125E-4</v>
      </c>
      <c r="O302" s="93">
        <f t="shared" si="4"/>
        <v>0.34912109375</v>
      </c>
    </row>
    <row r="303" spans="1:15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2.9841941874053277</v>
      </c>
      <c r="H303">
        <v>1.6276728515624999E-3</v>
      </c>
      <c r="I303">
        <v>-0.90531426666320058</v>
      </c>
      <c r="J303" s="93">
        <v>-1.4735554539799052E-3</v>
      </c>
      <c r="L303" s="97"/>
      <c r="M303" s="97">
        <v>-1.607294633344857</v>
      </c>
      <c r="N303" s="93">
        <v>9.765625E-4</v>
      </c>
      <c r="O303" s="93">
        <f t="shared" si="4"/>
        <v>0.35009765625</v>
      </c>
    </row>
    <row r="304" spans="1:15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10.24161466355287</v>
      </c>
      <c r="H304">
        <v>1.0280039062499999E-3</v>
      </c>
      <c r="I304">
        <v>-0.71078367115677354</v>
      </c>
      <c r="J304" s="93">
        <v>-7.3068839044787863E-4</v>
      </c>
      <c r="L304" s="97"/>
      <c r="M304" s="97">
        <v>-1.607294633344857</v>
      </c>
      <c r="N304" s="93">
        <v>4.8828125E-4</v>
      </c>
      <c r="O304" s="93">
        <f t="shared" si="4"/>
        <v>0.3505859375</v>
      </c>
    </row>
    <row r="305" spans="1:15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-13</v>
      </c>
      <c r="H305">
        <v>4.8694921874999997E-4</v>
      </c>
      <c r="I305">
        <v>-1.5423902651101746</v>
      </c>
      <c r="J305" s="93">
        <v>-7.5106573460300492E-4</v>
      </c>
      <c r="L305" s="97"/>
      <c r="M305" s="97">
        <v>-1.5290406772738361</v>
      </c>
      <c r="N305" s="93">
        <v>2.44140625E-4</v>
      </c>
      <c r="O305" s="93">
        <f t="shared" si="4"/>
        <v>0.350830078125</v>
      </c>
    </row>
    <row r="306" spans="1:15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0.47861892205448392</v>
      </c>
      <c r="H306">
        <v>1.0280039062499999E-3</v>
      </c>
      <c r="I306">
        <v>-0.9841726263160453</v>
      </c>
      <c r="J306" s="93">
        <v>-1.011733304277216E-3</v>
      </c>
      <c r="L306" s="97"/>
      <c r="M306" s="97">
        <v>-1.5290406772738361</v>
      </c>
      <c r="N306" s="93">
        <v>4.8828125E-4</v>
      </c>
      <c r="O306" s="93">
        <f t="shared" si="4"/>
        <v>0.351318359375</v>
      </c>
    </row>
    <row r="307" spans="1:15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7.853263110672775</v>
      </c>
      <c r="H307">
        <v>6.4926562499999999E-4</v>
      </c>
      <c r="I307">
        <v>-0.76968384679844337</v>
      </c>
      <c r="J307" s="93">
        <v>-4.9972926384399556E-4</v>
      </c>
      <c r="L307" s="97"/>
      <c r="M307" s="97">
        <v>-1.5290406772738361</v>
      </c>
      <c r="N307" s="93">
        <v>2.44140625E-4</v>
      </c>
      <c r="O307" s="93">
        <f t="shared" si="4"/>
        <v>0.3515625</v>
      </c>
    </row>
    <row r="308" spans="1:15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-6.995360917667786</v>
      </c>
      <c r="H308">
        <v>7.7100292968750007E-4</v>
      </c>
      <c r="I308">
        <v>-1.2626070835899594</v>
      </c>
      <c r="J308" s="93">
        <v>-9.7347376049204898E-4</v>
      </c>
      <c r="L308" s="97"/>
      <c r="M308" s="97">
        <v>-1.3604288056436586</v>
      </c>
      <c r="N308" s="93">
        <v>1.953125E-3</v>
      </c>
      <c r="O308" s="93">
        <f t="shared" si="4"/>
        <v>0.353515625</v>
      </c>
    </row>
    <row r="309" spans="1:15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4.373790546417478</v>
      </c>
      <c r="H309">
        <v>1.6276728515625001E-3</v>
      </c>
      <c r="I309">
        <v>-0.86433658660167212</v>
      </c>
      <c r="J309" s="93">
        <v>-1.4068571966237414E-3</v>
      </c>
      <c r="L309" s="97"/>
      <c r="M309" s="97">
        <v>-1.3604288056436586</v>
      </c>
      <c r="N309" s="93">
        <v>3.90625E-3</v>
      </c>
      <c r="O309" s="93">
        <f t="shared" si="4"/>
        <v>0.357421875</v>
      </c>
    </row>
    <row r="310" spans="1:15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11.606092902532644</v>
      </c>
      <c r="H310">
        <v>1.0280039062499999E-3</v>
      </c>
      <c r="I310">
        <v>-0.67917954318934792</v>
      </c>
      <c r="J310" s="93">
        <v>-6.9819922344374022E-4</v>
      </c>
      <c r="L310" s="97"/>
      <c r="M310" s="97">
        <v>-1.3604288056436586</v>
      </c>
      <c r="N310" s="93">
        <v>1.953125E-3</v>
      </c>
      <c r="O310" s="93">
        <f t="shared" si="4"/>
        <v>0.359375</v>
      </c>
    </row>
    <row r="311" spans="1:15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-10.747680458833893</v>
      </c>
      <c r="H311">
        <v>1.6276728515624999E-3</v>
      </c>
      <c r="I311">
        <v>-1.4308318884400437</v>
      </c>
      <c r="J311" s="93">
        <v>-2.3289262199637627E-3</v>
      </c>
      <c r="L311" s="97"/>
      <c r="M311" s="97">
        <v>-1.2545834449263205</v>
      </c>
      <c r="N311" s="93">
        <v>9.765625E-4</v>
      </c>
      <c r="O311" s="93">
        <f t="shared" si="4"/>
        <v>0.3603515625</v>
      </c>
    </row>
    <row r="312" spans="1:15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1.8956858265406606</v>
      </c>
      <c r="H312">
        <v>3.4361982421874998E-3</v>
      </c>
      <c r="I312">
        <v>-0.93876553489438852</v>
      </c>
      <c r="J312" s="93">
        <v>-3.2257844808303059E-3</v>
      </c>
      <c r="L312" s="97"/>
      <c r="M312" s="97">
        <v>-1.2545834449263205</v>
      </c>
      <c r="N312" s="93">
        <v>1.953125E-3</v>
      </c>
      <c r="O312" s="93">
        <f t="shared" si="4"/>
        <v>0.3623046875</v>
      </c>
    </row>
    <row r="313" spans="1:15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9.224566322344721</v>
      </c>
      <c r="H313">
        <v>2.1702304687499997E-3</v>
      </c>
      <c r="I313">
        <v>-0.73529349681629386</v>
      </c>
      <c r="J313" s="93">
        <v>-1.5957563502644518E-3</v>
      </c>
      <c r="L313" s="97"/>
      <c r="M313" s="97">
        <v>-1.2545834449263205</v>
      </c>
      <c r="N313" s="93">
        <v>9.765625E-4</v>
      </c>
      <c r="O313" s="93">
        <f t="shared" si="4"/>
        <v>0.36328125</v>
      </c>
    </row>
    <row r="314" spans="1:15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-14.5</v>
      </c>
      <c r="H314">
        <v>1.0280039062499999E-3</v>
      </c>
      <c r="I314">
        <v>-1.6214703050420796</v>
      </c>
      <c r="J314" s="93">
        <v>-1.6668778074516368E-3</v>
      </c>
      <c r="L314" s="97"/>
      <c r="M314" s="97">
        <v>-1.1677106800845569</v>
      </c>
      <c r="N314" s="93">
        <v>9.765625E-4</v>
      </c>
      <c r="O314" s="93">
        <f t="shared" si="4"/>
        <v>0.3642578125</v>
      </c>
    </row>
    <row r="315" spans="1:15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-0.65748311961275752</v>
      </c>
      <c r="H315">
        <v>2.1702304687499997E-3</v>
      </c>
      <c r="I315">
        <v>-1.0221580258901528</v>
      </c>
      <c r="J315" s="93">
        <v>-2.2183184916641607E-3</v>
      </c>
      <c r="L315" s="97"/>
      <c r="M315" s="97">
        <v>-1.1677106800845569</v>
      </c>
      <c r="N315" s="93">
        <v>1.953125E-3</v>
      </c>
      <c r="O315" s="93">
        <f t="shared" si="4"/>
        <v>0.3662109375</v>
      </c>
    </row>
    <row r="316" spans="1:15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6.8057474880542728</v>
      </c>
      <c r="H316">
        <v>1.3706718749999999E-3</v>
      </c>
      <c r="I316">
        <v>-0.79703375413506872</v>
      </c>
      <c r="J316" s="93">
        <v>-1.0924717502186036E-3</v>
      </c>
      <c r="L316" s="97"/>
      <c r="M316" s="97">
        <v>-1.1677106800845569</v>
      </c>
      <c r="N316" s="93">
        <v>9.765625E-4</v>
      </c>
      <c r="O316" s="93">
        <f t="shared" si="4"/>
        <v>0.3671875</v>
      </c>
    </row>
    <row r="317" spans="1:15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-9.4953609176677851</v>
      </c>
      <c r="H317">
        <v>4.8694921875000008E-4</v>
      </c>
      <c r="I317">
        <v>-1.3723327521081155</v>
      </c>
      <c r="J317" s="93">
        <v>-6.6825636150408436E-4</v>
      </c>
      <c r="L317" s="97"/>
      <c r="M317" s="97">
        <v>-1.1677106800845551</v>
      </c>
      <c r="N317" s="93">
        <v>4.8828125E-4</v>
      </c>
      <c r="O317" s="93">
        <f t="shared" si="4"/>
        <v>0.36767578125</v>
      </c>
    </row>
    <row r="318" spans="1:15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2.5713743458996654</v>
      </c>
      <c r="H318">
        <v>1.0280039062500002E-3</v>
      </c>
      <c r="I318">
        <v>-0.9178580975000864</v>
      </c>
      <c r="J318" s="93">
        <v>-9.4356170961328229E-4</v>
      </c>
      <c r="L318" s="97"/>
      <c r="M318" s="97">
        <v>-1.1677106800845551</v>
      </c>
      <c r="N318" s="93">
        <v>9.765625E-4</v>
      </c>
      <c r="O318" s="93">
        <f t="shared" si="4"/>
        <v>0.36865234375</v>
      </c>
    </row>
    <row r="319" spans="1:15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9.8975257856043335</v>
      </c>
      <c r="H319">
        <v>6.492656250000001E-4</v>
      </c>
      <c r="I319">
        <v>-0.71898302825871585</v>
      </c>
      <c r="J319" s="93">
        <v>-4.6681096520678788E-4</v>
      </c>
      <c r="L319" s="97"/>
      <c r="M319" s="97">
        <v>-1.1677106800845551</v>
      </c>
      <c r="N319" s="93">
        <v>4.8828125E-4</v>
      </c>
      <c r="O319" s="93">
        <f t="shared" si="4"/>
        <v>0.369140625</v>
      </c>
    </row>
    <row r="320" spans="1:15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-13.247680458833893</v>
      </c>
      <c r="H320">
        <v>1.0280039062499999E-3</v>
      </c>
      <c r="I320">
        <v>-1.5551769737295909</v>
      </c>
      <c r="J320" s="93">
        <v>-1.598728003904073E-3</v>
      </c>
      <c r="L320" s="97"/>
      <c r="M320" s="97">
        <v>-0.96030536397420951</v>
      </c>
      <c r="N320" s="93">
        <v>4.8828125E-4</v>
      </c>
      <c r="O320" s="93">
        <f t="shared" si="4"/>
        <v>0.36962890625</v>
      </c>
    </row>
    <row r="321" spans="1:15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3.3748584991527442E-2</v>
      </c>
      <c r="H321">
        <v>2.1702304687499997E-3</v>
      </c>
      <c r="I321">
        <v>-0.99887567968917923</v>
      </c>
      <c r="J321" s="93">
        <v>-2.167790434554822E-3</v>
      </c>
      <c r="L321" s="97"/>
      <c r="M321" s="97">
        <v>-0.96030536397420951</v>
      </c>
      <c r="N321" s="93">
        <v>9.765625E-4</v>
      </c>
      <c r="O321" s="93">
        <f t="shared" si="4"/>
        <v>0.37060546875</v>
      </c>
    </row>
    <row r="322" spans="1:15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7.4787069513138844</v>
      </c>
      <c r="H322">
        <v>1.3706718749999999E-3</v>
      </c>
      <c r="I322">
        <v>-0.77935374738614971</v>
      </c>
      <c r="J322" s="93">
        <v>-1.06823826221805E-3</v>
      </c>
      <c r="L322" s="97"/>
      <c r="M322" s="97">
        <v>-0.96030536397420951</v>
      </c>
      <c r="N322" s="93">
        <v>4.8828125E-4</v>
      </c>
      <c r="O322" s="93">
        <f t="shared" si="4"/>
        <v>0.37109375</v>
      </c>
    </row>
    <row r="323" spans="1:15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-17</v>
      </c>
      <c r="H323">
        <v>6.492656250000001E-4</v>
      </c>
      <c r="I323">
        <v>-1.7623826407286585</v>
      </c>
      <c r="J323" s="93">
        <v>-1.1442544667218432E-3</v>
      </c>
      <c r="L323" s="97"/>
      <c r="M323" s="97">
        <v>-0.7008665723579155</v>
      </c>
      <c r="N323" s="93">
        <v>2.44140625E-4</v>
      </c>
      <c r="O323" s="93">
        <f t="shared" si="4"/>
        <v>0.371337890625</v>
      </c>
    </row>
    <row r="324" spans="1:15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-2.5956324169788907</v>
      </c>
      <c r="H324">
        <v>1.3706718749999999E-3</v>
      </c>
      <c r="I324">
        <v>-1.090374353183982</v>
      </c>
      <c r="J324" s="93">
        <v>-1.4945454591306008E-3</v>
      </c>
      <c r="L324" s="97"/>
      <c r="M324" s="97">
        <v>-0.7008665723579155</v>
      </c>
      <c r="N324" s="93">
        <v>4.8828125E-4</v>
      </c>
      <c r="O324" s="93">
        <f t="shared" ref="O324:O387" si="5">N324+O323</f>
        <v>0.371826171875</v>
      </c>
    </row>
    <row r="325" spans="1:15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5.0426982494922781</v>
      </c>
      <c r="H325">
        <v>8.6568750000000003E-4</v>
      </c>
      <c r="I325">
        <v>-0.84527780558529353</v>
      </c>
      <c r="J325" s="93">
        <v>-7.3174643032261882E-4</v>
      </c>
      <c r="L325" s="97"/>
      <c r="M325" s="97">
        <v>-0.7008665723579155</v>
      </c>
      <c r="N325" s="93">
        <v>2.44140625E-4</v>
      </c>
      <c r="O325" s="93">
        <f t="shared" si="5"/>
        <v>0.3720703125</v>
      </c>
    </row>
    <row r="326" spans="1:15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-1.849986467453121</v>
      </c>
      <c r="H326">
        <v>5.7825219726562508E-4</v>
      </c>
      <c r="I326">
        <v>-1.0636072699382935</v>
      </c>
      <c r="J326" s="93">
        <v>-6.1503324086951104E-4</v>
      </c>
      <c r="L326" s="97"/>
      <c r="M326" s="97">
        <v>-0.65748311961275752</v>
      </c>
      <c r="N326" s="93">
        <v>1.953125E-3</v>
      </c>
      <c r="O326" s="93">
        <f t="shared" si="5"/>
        <v>0.3740234375</v>
      </c>
    </row>
    <row r="327" spans="1:15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13.825126483959142</v>
      </c>
      <c r="H327">
        <v>1.220754638671875E-3</v>
      </c>
      <c r="I327">
        <v>-0.63075513558467278</v>
      </c>
      <c r="J327" s="93">
        <v>-7.6999725763109682E-4</v>
      </c>
      <c r="L327" s="97"/>
      <c r="M327" s="97">
        <v>-0.65748311961275752</v>
      </c>
      <c r="N327" s="93">
        <v>3.90625E-3</v>
      </c>
      <c r="O327" s="93">
        <f t="shared" si="5"/>
        <v>0.3779296875</v>
      </c>
    </row>
    <row r="328" spans="1:15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25.154238984816935</v>
      </c>
      <c r="H328">
        <v>7.7100292968750007E-4</v>
      </c>
      <c r="I328">
        <v>-0.43236954298527502</v>
      </c>
      <c r="J328" s="93">
        <v>-3.3335818434929252E-4</v>
      </c>
      <c r="L328" s="97"/>
      <c r="M328" s="97">
        <v>-0.65748311961275752</v>
      </c>
      <c r="N328" s="93">
        <v>1.953125E-3</v>
      </c>
      <c r="O328" s="93">
        <f t="shared" si="5"/>
        <v>0.3798828125</v>
      </c>
    </row>
    <row r="329" spans="1:15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-7.0040896672095787</v>
      </c>
      <c r="H329">
        <v>1.220754638671875E-3</v>
      </c>
      <c r="I329">
        <v>-1.2629745030726562</v>
      </c>
      <c r="J329" s="93">
        <v>-1.5417819831502514E-3</v>
      </c>
      <c r="L329" s="97"/>
      <c r="M329" s="97">
        <v>-0.5537080305622587</v>
      </c>
      <c r="N329" s="93">
        <v>2.44140625E-4</v>
      </c>
      <c r="O329" s="93">
        <f t="shared" si="5"/>
        <v>0.380126953125</v>
      </c>
    </row>
    <row r="330" spans="1:15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10.007860615072559</v>
      </c>
      <c r="H330">
        <v>2.577148681640625E-3</v>
      </c>
      <c r="I330">
        <v>-0.71634358927428265</v>
      </c>
      <c r="J330" s="93">
        <v>-1.846123936699931E-3</v>
      </c>
      <c r="L330" s="97"/>
      <c r="M330" s="97">
        <v>-0.5537080305622587</v>
      </c>
      <c r="N330" s="93">
        <v>4.8828125E-4</v>
      </c>
      <c r="O330" s="93">
        <f t="shared" si="5"/>
        <v>0.380615234375</v>
      </c>
    </row>
    <row r="331" spans="1:15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21.385462850091812</v>
      </c>
      <c r="H331">
        <v>1.6276728515624999E-3</v>
      </c>
      <c r="I331">
        <v>-0.49024561337830186</v>
      </c>
      <c r="J331" s="93">
        <v>-7.979594754934674E-4</v>
      </c>
      <c r="L331" s="97"/>
      <c r="M331" s="97">
        <v>-0.5537080305622587</v>
      </c>
      <c r="N331" s="93">
        <v>2.44140625E-4</v>
      </c>
      <c r="O331" s="93">
        <f t="shared" si="5"/>
        <v>0.380859375</v>
      </c>
    </row>
    <row r="332" spans="1:15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-13</v>
      </c>
      <c r="H332">
        <v>7.7100292968750007E-4</v>
      </c>
      <c r="I332">
        <v>-1.5423902651101746</v>
      </c>
      <c r="J332" s="93">
        <v>-1.1891874131214246E-3</v>
      </c>
      <c r="L332" s="97"/>
      <c r="M332" s="97">
        <v>-0.54515180132103835</v>
      </c>
      <c r="N332" s="93">
        <v>9.765625E-4</v>
      </c>
      <c r="O332" s="93">
        <f t="shared" si="5"/>
        <v>0.3818359375</v>
      </c>
    </row>
    <row r="333" spans="1:15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6.1481362377391306</v>
      </c>
      <c r="H333">
        <v>1.6276728515625001E-3</v>
      </c>
      <c r="I333">
        <v>-0.81469792828101473</v>
      </c>
      <c r="J333" s="93">
        <v>-1.3260617000872205E-3</v>
      </c>
      <c r="L333" s="97"/>
      <c r="M333" s="97">
        <v>-0.54515180132103835</v>
      </c>
      <c r="N333" s="93">
        <v>1.953125E-3</v>
      </c>
      <c r="O333" s="93">
        <f t="shared" si="5"/>
        <v>0.3837890625</v>
      </c>
    </row>
    <row r="334" spans="1:15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17.616686715366686</v>
      </c>
      <c r="H334">
        <v>1.0280039062499999E-3</v>
      </c>
      <c r="I334">
        <v>-0.55586885185585933</v>
      </c>
      <c r="J334" s="93">
        <v>-5.7143535107052597E-4</v>
      </c>
      <c r="L334" s="97"/>
      <c r="M334" s="97">
        <v>-0.54515180132103835</v>
      </c>
      <c r="N334" s="93">
        <v>9.765625E-4</v>
      </c>
      <c r="O334" s="93">
        <f t="shared" si="5"/>
        <v>0.384765625</v>
      </c>
    </row>
    <row r="335" spans="1:15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-3.0420332032869939</v>
      </c>
      <c r="H335">
        <v>1.220754638671875E-3</v>
      </c>
      <c r="I335">
        <v>-1.106720465825292</v>
      </c>
      <c r="J335" s="93">
        <v>-1.3510341423693237E-3</v>
      </c>
      <c r="L335" s="97"/>
      <c r="M335" s="97">
        <v>-0.19301833094307452</v>
      </c>
      <c r="N335" s="93">
        <v>9.765625E-4</v>
      </c>
      <c r="O335" s="93">
        <f t="shared" si="5"/>
        <v>0.3857421875</v>
      </c>
    </row>
    <row r="336" spans="1:15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12.777610861340639</v>
      </c>
      <c r="H336">
        <v>2.577148681640625E-3</v>
      </c>
      <c r="I336">
        <v>-0.65316835704189646</v>
      </c>
      <c r="J336" s="93">
        <v>-1.6833119702398965E-3</v>
      </c>
      <c r="L336" s="97"/>
      <c r="M336" s="97">
        <v>-0.19301833094307452</v>
      </c>
      <c r="N336" s="93">
        <v>1.953125E-3</v>
      </c>
      <c r="O336" s="93">
        <f t="shared" si="5"/>
        <v>0.3876953125</v>
      </c>
    </row>
    <row r="337" spans="1:15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24.142922112388952</v>
      </c>
      <c r="H337">
        <v>1.6276728515624999E-3</v>
      </c>
      <c r="I337">
        <v>-0.44719342027329273</v>
      </c>
      <c r="J337" s="93">
        <v>-7.2788458957621786E-4</v>
      </c>
      <c r="L337" s="97"/>
      <c r="M337" s="97">
        <v>-0.19301833094307452</v>
      </c>
      <c r="N337" s="93">
        <v>9.765625E-4</v>
      </c>
      <c r="O337" s="93">
        <f t="shared" si="5"/>
        <v>0.388671875</v>
      </c>
    </row>
    <row r="338" spans="1:15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-8.5040896672095787</v>
      </c>
      <c r="H338">
        <v>2.577148681640625E-3</v>
      </c>
      <c r="I338">
        <v>-1.3277285905401555</v>
      </c>
      <c r="J338" s="93">
        <v>-3.421753986687127E-3</v>
      </c>
      <c r="L338" s="97"/>
      <c r="M338" s="97">
        <v>-3.3973102100479657E-3</v>
      </c>
      <c r="N338" s="93">
        <v>9.765625E-4</v>
      </c>
      <c r="O338" s="93">
        <f t="shared" si="5"/>
        <v>0.3896484375</v>
      </c>
    </row>
    <row r="339" spans="1:15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8.9463754450642696</v>
      </c>
      <c r="H339">
        <v>5.4406472167968746E-3</v>
      </c>
      <c r="I339">
        <v>-0.74214360646160982</v>
      </c>
      <c r="J339" s="93">
        <v>-4.0377415469589522E-3</v>
      </c>
      <c r="L339" s="97"/>
      <c r="M339" s="97">
        <v>-3.3973102100479657E-3</v>
      </c>
      <c r="N339" s="93">
        <v>1.953125E-3</v>
      </c>
      <c r="O339" s="93">
        <f t="shared" si="5"/>
        <v>0.3916015625</v>
      </c>
    </row>
    <row r="340" spans="1:15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20.374145977663829</v>
      </c>
      <c r="H340">
        <v>3.4361982421874998E-3</v>
      </c>
      <c r="I340">
        <v>-0.50705378345321495</v>
      </c>
      <c r="J340" s="93">
        <v>-1.7423373193964583E-3</v>
      </c>
      <c r="L340" s="97"/>
      <c r="M340" s="97">
        <v>-3.3973102100479657E-3</v>
      </c>
      <c r="N340" s="93">
        <v>9.765625E-4</v>
      </c>
      <c r="O340" s="93">
        <f t="shared" si="5"/>
        <v>0.392578125</v>
      </c>
    </row>
    <row r="341" spans="1:15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-14.5</v>
      </c>
      <c r="H341">
        <v>1.6276728515624999E-3</v>
      </c>
      <c r="I341">
        <v>-1.6214703050420796</v>
      </c>
      <c r="J341" s="93">
        <v>-2.6392231951317584E-3</v>
      </c>
      <c r="L341" s="97"/>
      <c r="M341" s="97">
        <v>3.3748584991527442E-2</v>
      </c>
      <c r="N341" s="93">
        <v>1.953125E-3</v>
      </c>
      <c r="O341" s="93">
        <f t="shared" si="5"/>
        <v>0.39453125</v>
      </c>
    </row>
    <row r="342" spans="1:15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5.0645552624763033</v>
      </c>
      <c r="H342">
        <v>3.4361982421874998E-3</v>
      </c>
      <c r="I342">
        <v>-0.84466218827272521</v>
      </c>
      <c r="J342" s="93">
        <v>-2.9024267265849854E-3</v>
      </c>
      <c r="L342" s="97"/>
      <c r="M342" s="97">
        <v>3.3748584991527442E-2</v>
      </c>
      <c r="N342" s="93">
        <v>3.90625E-3</v>
      </c>
      <c r="O342" s="93">
        <f t="shared" si="5"/>
        <v>0.3984375</v>
      </c>
    </row>
    <row r="343" spans="1:15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16.594876730227227</v>
      </c>
      <c r="H343">
        <v>2.1702304687499997E-3</v>
      </c>
      <c r="I343">
        <v>-0.57512805555077229</v>
      </c>
      <c r="J343" s="93">
        <v>-1.2481604295892285E-3</v>
      </c>
      <c r="L343" s="97"/>
      <c r="M343" s="97">
        <v>3.3748584991527442E-2</v>
      </c>
      <c r="N343" s="93">
        <v>1.953125E-3</v>
      </c>
      <c r="O343" s="93">
        <f t="shared" si="5"/>
        <v>0.400390625</v>
      </c>
    </row>
    <row r="344" spans="1:15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-5.0596113222263472</v>
      </c>
      <c r="H344">
        <v>7.7100292968750007E-4</v>
      </c>
      <c r="I344">
        <v>-1.1837101618277797</v>
      </c>
      <c r="J344" s="93">
        <v>-9.126440026700829E-4</v>
      </c>
      <c r="L344" s="97"/>
      <c r="M344" s="97">
        <v>0.28222818173536612</v>
      </c>
      <c r="N344" s="93">
        <v>9.765625E-4</v>
      </c>
      <c r="O344" s="93">
        <f t="shared" si="5"/>
        <v>0.4013671875</v>
      </c>
    </row>
    <row r="345" spans="1:15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11.023925996452062</v>
      </c>
      <c r="H345">
        <v>1.6276728515625001E-3</v>
      </c>
      <c r="I345">
        <v>-0.69248811752138961</v>
      </c>
      <c r="J345" s="93">
        <v>-1.127144108919188E-3</v>
      </c>
      <c r="L345" s="97"/>
      <c r="M345" s="97">
        <v>0.28222818173536612</v>
      </c>
      <c r="N345" s="93">
        <v>1.953125E-3</v>
      </c>
      <c r="O345" s="93">
        <f t="shared" si="5"/>
        <v>0.4033203125</v>
      </c>
    </row>
    <row r="346" spans="1:15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22.457393991675644</v>
      </c>
      <c r="H346">
        <v>1.0280039062499999E-3</v>
      </c>
      <c r="I346">
        <v>-0.47303788445019096</v>
      </c>
      <c r="J346" s="93">
        <v>-4.8628479301903241E-4</v>
      </c>
      <c r="L346" s="97"/>
      <c r="M346" s="97">
        <v>0.28222818173536612</v>
      </c>
      <c r="N346" s="93">
        <v>9.765625E-4</v>
      </c>
      <c r="O346" s="93">
        <f t="shared" si="5"/>
        <v>0.404296875</v>
      </c>
    </row>
    <row r="347" spans="1:15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-11.004089667209579</v>
      </c>
      <c r="H347">
        <v>1.6276728515624999E-3</v>
      </c>
      <c r="I347">
        <v>-1.4431135817232088</v>
      </c>
      <c r="J347" s="93">
        <v>-2.3489167986919879E-3</v>
      </c>
      <c r="L347" s="97"/>
      <c r="M347" s="97">
        <v>0.37820513723450122</v>
      </c>
      <c r="N347" s="93">
        <v>4.8828125E-4</v>
      </c>
      <c r="O347" s="93">
        <f t="shared" si="5"/>
        <v>0.40478515625</v>
      </c>
    </row>
    <row r="348" spans="1:15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7.1446538052209014</v>
      </c>
      <c r="H348">
        <v>3.4361982421874998E-3</v>
      </c>
      <c r="I348">
        <v>-0.78808042918376953</v>
      </c>
      <c r="J348" s="93">
        <v>-2.7080005854636393E-3</v>
      </c>
      <c r="L348" s="97"/>
      <c r="M348" s="97">
        <v>0.37820513723450122</v>
      </c>
      <c r="N348" s="93">
        <v>9.765625E-4</v>
      </c>
      <c r="O348" s="93">
        <f t="shared" si="5"/>
        <v>0.40576171875</v>
      </c>
    </row>
    <row r="349" spans="1:15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18.666283228082971</v>
      </c>
      <c r="H349">
        <v>2.1702304687499997E-3</v>
      </c>
      <c r="I349">
        <v>-0.53675719318907533</v>
      </c>
      <c r="J349" s="93">
        <v>-1.1648868149796612E-3</v>
      </c>
      <c r="L349" s="97"/>
      <c r="M349" s="97">
        <v>0.37820513723450122</v>
      </c>
      <c r="N349" s="93">
        <v>4.8828125E-4</v>
      </c>
      <c r="O349" s="93">
        <f t="shared" si="5"/>
        <v>0.40625</v>
      </c>
    </row>
    <row r="350" spans="1:15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-17</v>
      </c>
      <c r="H350">
        <v>1.0280039062499999E-3</v>
      </c>
      <c r="I350">
        <v>-1.7623826407286585</v>
      </c>
      <c r="J350" s="93">
        <v>-1.8117362389762511E-3</v>
      </c>
      <c r="L350" s="97"/>
      <c r="M350" s="97">
        <v>0.47861892205448392</v>
      </c>
      <c r="N350" s="93">
        <v>9.765625E-4</v>
      </c>
      <c r="O350" s="93">
        <f t="shared" si="5"/>
        <v>0.4072265625</v>
      </c>
    </row>
    <row r="351" spans="1:15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3.2111092996583683</v>
      </c>
      <c r="H351">
        <v>2.1702304687499997E-3</v>
      </c>
      <c r="I351">
        <v>-0.89849244913049353</v>
      </c>
      <c r="J351" s="93">
        <v>-1.9499356890448063E-3</v>
      </c>
      <c r="L351" s="97"/>
      <c r="M351" s="97">
        <v>0.47861892205448392</v>
      </c>
      <c r="N351" s="93">
        <v>1.953125E-3</v>
      </c>
      <c r="O351" s="93">
        <f t="shared" si="5"/>
        <v>0.4091796875</v>
      </c>
    </row>
    <row r="352" spans="1:15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14.849017359196388</v>
      </c>
      <c r="H352">
        <v>1.3706718749999999E-3</v>
      </c>
      <c r="I352">
        <v>-0.60959087393151479</v>
      </c>
      <c r="J352" s="93">
        <v>-8.3554906615459796E-4</v>
      </c>
      <c r="L352" s="97"/>
      <c r="M352" s="97">
        <v>0.47861892205448392</v>
      </c>
      <c r="N352" s="93">
        <v>9.765625E-4</v>
      </c>
      <c r="O352" s="93">
        <f t="shared" si="5"/>
        <v>0.41015625</v>
      </c>
    </row>
    <row r="353" spans="1:15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-1.849986467453121</v>
      </c>
      <c r="H353">
        <v>1.2207546386718748E-3</v>
      </c>
      <c r="I353">
        <v>-1.0636072699382935</v>
      </c>
      <c r="J353" s="93">
        <v>-1.2984035085023007E-3</v>
      </c>
      <c r="L353" s="97"/>
      <c r="M353" s="97">
        <v>0.60805662147890094</v>
      </c>
      <c r="N353" s="93">
        <v>4.8828125E-4</v>
      </c>
      <c r="O353" s="93">
        <f t="shared" si="5"/>
        <v>0.41064453125</v>
      </c>
    </row>
    <row r="354" spans="1:15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13.825126483959142</v>
      </c>
      <c r="H354">
        <v>2.5771486816406246E-3</v>
      </c>
      <c r="I354">
        <v>-0.63075513558467278</v>
      </c>
      <c r="J354" s="93">
        <v>-1.6255497661100929E-3</v>
      </c>
      <c r="L354" s="97"/>
      <c r="M354" s="97">
        <v>0.60805662147890094</v>
      </c>
      <c r="N354" s="93">
        <v>9.765625E-4</v>
      </c>
      <c r="O354" s="93">
        <f t="shared" si="5"/>
        <v>0.41162109375</v>
      </c>
    </row>
    <row r="355" spans="1:15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25.154238984816935</v>
      </c>
      <c r="H355">
        <v>1.6276728515624997E-3</v>
      </c>
      <c r="I355">
        <v>-0.43236954298527502</v>
      </c>
      <c r="J355" s="93">
        <v>-7.037561669596174E-4</v>
      </c>
      <c r="L355" s="97"/>
      <c r="M355" s="97">
        <v>0.60805662147890094</v>
      </c>
      <c r="N355" s="93">
        <v>4.8828125E-4</v>
      </c>
      <c r="O355" s="93">
        <f t="shared" si="5"/>
        <v>0.412109375</v>
      </c>
    </row>
    <row r="356" spans="1:15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-7.0040896672095787</v>
      </c>
      <c r="H356">
        <v>2.5771486816406246E-3</v>
      </c>
      <c r="I356">
        <v>-1.2629745030726562</v>
      </c>
      <c r="J356" s="93">
        <v>-3.254873075539419E-3</v>
      </c>
      <c r="L356" s="97"/>
      <c r="M356" s="97">
        <v>1.0642540092333412</v>
      </c>
      <c r="N356" s="93">
        <v>4.8828125E-4</v>
      </c>
      <c r="O356" s="93">
        <f t="shared" si="5"/>
        <v>0.41259765625</v>
      </c>
    </row>
    <row r="357" spans="1:15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10.007860615072559</v>
      </c>
      <c r="H357">
        <v>5.4406472167968737E-3</v>
      </c>
      <c r="I357">
        <v>-0.71634358927428265</v>
      </c>
      <c r="J357" s="93">
        <v>-3.8973727552554086E-3</v>
      </c>
      <c r="L357" s="97"/>
      <c r="M357" s="97">
        <v>1.0642540092333412</v>
      </c>
      <c r="N357" s="93">
        <v>9.765625E-4</v>
      </c>
      <c r="O357" s="93">
        <f t="shared" si="5"/>
        <v>0.41357421875</v>
      </c>
    </row>
    <row r="358" spans="1:15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21.385462850091812</v>
      </c>
      <c r="H358">
        <v>3.4361982421874993E-3</v>
      </c>
      <c r="I358">
        <v>-0.49024561337830186</v>
      </c>
      <c r="J358" s="93">
        <v>-1.6845811149306532E-3</v>
      </c>
      <c r="L358" s="97"/>
      <c r="M358" s="97">
        <v>1.0642540092333412</v>
      </c>
      <c r="N358" s="93">
        <v>4.8828125E-4</v>
      </c>
      <c r="O358" s="93">
        <f t="shared" si="5"/>
        <v>0.4140625</v>
      </c>
    </row>
    <row r="359" spans="1:15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-13</v>
      </c>
      <c r="H359">
        <v>1.6276728515624997E-3</v>
      </c>
      <c r="I359">
        <v>-1.5423902651101746</v>
      </c>
      <c r="J359" s="93">
        <v>-2.5105067610341177E-3</v>
      </c>
      <c r="L359" s="97"/>
      <c r="M359" s="97">
        <v>1.2164230862483281</v>
      </c>
      <c r="N359" s="93">
        <v>4.8828125E-4</v>
      </c>
      <c r="O359" s="93">
        <f t="shared" si="5"/>
        <v>0.41455078125</v>
      </c>
    </row>
    <row r="360" spans="1:15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6.1481362377391306</v>
      </c>
      <c r="H360">
        <v>3.4361982421874993E-3</v>
      </c>
      <c r="I360">
        <v>-0.81469792828101473</v>
      </c>
      <c r="J360" s="93">
        <v>-2.7994635890730203E-3</v>
      </c>
      <c r="L360" s="97"/>
      <c r="M360" s="97">
        <v>1.2164230862483281</v>
      </c>
      <c r="N360" s="93">
        <v>9.765625E-4</v>
      </c>
      <c r="O360" s="93">
        <f t="shared" si="5"/>
        <v>0.41552734375</v>
      </c>
    </row>
    <row r="361" spans="1:15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17.616686715366686</v>
      </c>
      <c r="H361">
        <v>2.1702304687499993E-3</v>
      </c>
      <c r="I361">
        <v>-0.55586885185585933</v>
      </c>
      <c r="J361" s="93">
        <v>-1.2063635189266655E-3</v>
      </c>
      <c r="L361" s="97"/>
      <c r="M361" s="97">
        <v>1.2164230862483281</v>
      </c>
      <c r="N361" s="93">
        <v>4.8828125E-4</v>
      </c>
      <c r="O361" s="93">
        <f t="shared" si="5"/>
        <v>0.416015625</v>
      </c>
    </row>
    <row r="362" spans="1:15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-3.0420332032869939</v>
      </c>
      <c r="H362">
        <v>2.5771486816406246E-3</v>
      </c>
      <c r="I362">
        <v>-1.106720465825292</v>
      </c>
      <c r="J362" s="93">
        <v>-2.8521831894463491E-3</v>
      </c>
      <c r="L362" s="97"/>
      <c r="M362" s="97">
        <v>1.4230314944119988</v>
      </c>
      <c r="N362" s="93">
        <v>4.8828125E-4</v>
      </c>
      <c r="O362" s="93">
        <f t="shared" si="5"/>
        <v>0.41650390625</v>
      </c>
    </row>
    <row r="363" spans="1:15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12.777610861340639</v>
      </c>
      <c r="H363">
        <v>5.4406472167968737E-3</v>
      </c>
      <c r="I363">
        <v>-0.65316835704189646</v>
      </c>
      <c r="J363" s="93">
        <v>-3.5536586038397806E-3</v>
      </c>
      <c r="L363" s="97"/>
      <c r="M363" s="97">
        <v>1.4230314944119988</v>
      </c>
      <c r="N363" s="93">
        <v>9.765625E-4</v>
      </c>
      <c r="O363" s="93">
        <f t="shared" si="5"/>
        <v>0.41748046875</v>
      </c>
    </row>
    <row r="364" spans="1:15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24.142922112388952</v>
      </c>
      <c r="H364">
        <v>3.4361982421874993E-3</v>
      </c>
      <c r="I364">
        <v>-0.44719342027329273</v>
      </c>
      <c r="J364" s="93">
        <v>-1.5366452446609041E-3</v>
      </c>
      <c r="L364" s="97"/>
      <c r="M364" s="97">
        <v>1.4230314944119988</v>
      </c>
      <c r="N364" s="93">
        <v>4.8828125E-4</v>
      </c>
      <c r="O364" s="93">
        <f t="shared" si="5"/>
        <v>0.41796875</v>
      </c>
    </row>
    <row r="365" spans="1:15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-8.5040896672095787</v>
      </c>
      <c r="H365">
        <v>5.4406472167968746E-3</v>
      </c>
      <c r="I365">
        <v>-1.3277285905401555</v>
      </c>
      <c r="J365" s="93">
        <v>-7.223702860783934E-3</v>
      </c>
      <c r="L365" s="97"/>
      <c r="M365" s="97">
        <v>1.4902727149252621</v>
      </c>
      <c r="N365" s="93">
        <v>2.44140625E-4</v>
      </c>
      <c r="O365" s="93">
        <f t="shared" si="5"/>
        <v>0.418212890625</v>
      </c>
    </row>
    <row r="366" spans="1:15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8.9463754450642696</v>
      </c>
      <c r="H366">
        <v>1.1485810791015622E-2</v>
      </c>
      <c r="I366">
        <v>-0.74214360646160982</v>
      </c>
      <c r="J366" s="93">
        <v>-8.5241210435800085E-3</v>
      </c>
      <c r="L366" s="97"/>
      <c r="M366" s="97">
        <v>1.4902727149252621</v>
      </c>
      <c r="N366" s="93">
        <v>4.8828125E-4</v>
      </c>
      <c r="O366" s="93">
        <f t="shared" si="5"/>
        <v>0.418701171875</v>
      </c>
    </row>
    <row r="367" spans="1:15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20.374145977663829</v>
      </c>
      <c r="H367">
        <v>7.2541962890624988E-3</v>
      </c>
      <c r="I367">
        <v>-0.50705378345321495</v>
      </c>
      <c r="J367" s="93">
        <v>-3.6782676742814118E-3</v>
      </c>
      <c r="L367" s="97"/>
      <c r="M367" s="97">
        <v>1.4902727149252621</v>
      </c>
      <c r="N367" s="93">
        <v>2.44140625E-4</v>
      </c>
      <c r="O367" s="93">
        <f t="shared" si="5"/>
        <v>0.4189453125</v>
      </c>
    </row>
    <row r="368" spans="1:15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-14.5</v>
      </c>
      <c r="H368">
        <v>3.4361982421874993E-3</v>
      </c>
      <c r="I368">
        <v>-1.6214703050420796</v>
      </c>
      <c r="J368" s="93">
        <v>-5.571693411944822E-3</v>
      </c>
      <c r="L368" s="97"/>
      <c r="M368" s="97">
        <v>1.6123160523055924</v>
      </c>
      <c r="N368" s="93">
        <v>4.8828125E-4</v>
      </c>
      <c r="O368" s="93">
        <f t="shared" si="5"/>
        <v>0.41943359375</v>
      </c>
    </row>
    <row r="369" spans="1:15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5.0645552624763033</v>
      </c>
      <c r="H369">
        <v>7.254196289062498E-3</v>
      </c>
      <c r="I369">
        <v>-0.84466218827272521</v>
      </c>
      <c r="J369" s="93">
        <v>-6.1273453116794125E-3</v>
      </c>
      <c r="L369" s="97"/>
      <c r="M369" s="97">
        <v>1.6123160523055924</v>
      </c>
      <c r="N369" s="93">
        <v>9.765625E-4</v>
      </c>
      <c r="O369" s="93">
        <f t="shared" si="5"/>
        <v>0.42041015625</v>
      </c>
    </row>
    <row r="370" spans="1:15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16.594876730227227</v>
      </c>
      <c r="H370">
        <v>4.5815976562499985E-3</v>
      </c>
      <c r="I370">
        <v>-0.57512805555077229</v>
      </c>
      <c r="J370" s="93">
        <v>-2.6350053513550372E-3</v>
      </c>
      <c r="L370" s="97"/>
      <c r="M370" s="97">
        <v>1.6123160523055924</v>
      </c>
      <c r="N370" s="93">
        <v>4.8828125E-4</v>
      </c>
      <c r="O370" s="93">
        <f t="shared" si="5"/>
        <v>0.4208984375</v>
      </c>
    </row>
    <row r="371" spans="1:15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-5.0596113222263472</v>
      </c>
      <c r="H371">
        <v>1.6276728515624997E-3</v>
      </c>
      <c r="I371">
        <v>-1.1837101618277797</v>
      </c>
      <c r="J371" s="93">
        <v>-1.92669289452573E-3</v>
      </c>
      <c r="L371" s="97"/>
      <c r="M371" s="97">
        <v>1.8956858265406606</v>
      </c>
      <c r="N371" s="93">
        <v>3.90625E-3</v>
      </c>
      <c r="O371" s="93">
        <f t="shared" si="5"/>
        <v>0.4248046875</v>
      </c>
    </row>
    <row r="372" spans="1:15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11.023925996452062</v>
      </c>
      <c r="H372">
        <v>3.4361982421874993E-3</v>
      </c>
      <c r="I372">
        <v>-0.69248811752138961</v>
      </c>
      <c r="J372" s="93">
        <v>-2.3795264521627294E-3</v>
      </c>
      <c r="L372" s="97"/>
      <c r="M372" s="97">
        <v>1.8956858265406606</v>
      </c>
      <c r="N372" s="93">
        <v>7.8125E-3</v>
      </c>
      <c r="O372" s="93">
        <f t="shared" si="5"/>
        <v>0.4326171875</v>
      </c>
    </row>
    <row r="373" spans="1:15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22.457393991675644</v>
      </c>
      <c r="H373">
        <v>2.1702304687499993E-3</v>
      </c>
      <c r="I373">
        <v>-0.47303788445019096</v>
      </c>
      <c r="J373" s="93">
        <v>-1.026601229706846E-3</v>
      </c>
      <c r="L373" s="97"/>
      <c r="M373" s="97">
        <v>1.8956858265406606</v>
      </c>
      <c r="N373" s="93">
        <v>3.90625E-3</v>
      </c>
      <c r="O373" s="93">
        <f t="shared" si="5"/>
        <v>0.4365234375</v>
      </c>
    </row>
    <row r="374" spans="1:15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-11.004089667209579</v>
      </c>
      <c r="H374">
        <v>3.4361982421874993E-3</v>
      </c>
      <c r="I374">
        <v>-1.4431135817232088</v>
      </c>
      <c r="J374" s="93">
        <v>-4.9588243527941963E-3</v>
      </c>
      <c r="L374" s="97"/>
      <c r="M374" s="97">
        <v>1.8979415442510021</v>
      </c>
      <c r="N374" s="93">
        <v>1.953125E-3</v>
      </c>
      <c r="O374" s="93">
        <f t="shared" si="5"/>
        <v>0.4384765625</v>
      </c>
    </row>
    <row r="375" spans="1:15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7.1446538052209014</v>
      </c>
      <c r="H375">
        <v>7.254196289062498E-3</v>
      </c>
      <c r="I375">
        <v>-0.78808042918376953</v>
      </c>
      <c r="J375" s="93">
        <v>-5.7168901248676818E-3</v>
      </c>
      <c r="L375" s="97"/>
      <c r="M375" s="97">
        <v>1.8979415442510021</v>
      </c>
      <c r="N375" s="93">
        <v>3.90625E-3</v>
      </c>
      <c r="O375" s="93">
        <f t="shared" si="5"/>
        <v>0.4423828125</v>
      </c>
    </row>
    <row r="376" spans="1:15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18.666283228082971</v>
      </c>
      <c r="H376">
        <v>4.5815976562499985E-3</v>
      </c>
      <c r="I376">
        <v>-0.53675719318907533</v>
      </c>
      <c r="J376" s="93">
        <v>-2.4592054982903954E-3</v>
      </c>
      <c r="L376" s="97"/>
      <c r="M376" s="97">
        <v>1.8979415442510021</v>
      </c>
      <c r="N376" s="93">
        <v>1.953125E-3</v>
      </c>
      <c r="O376" s="93">
        <f t="shared" si="5"/>
        <v>0.4443359375</v>
      </c>
    </row>
    <row r="377" spans="1:15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-17</v>
      </c>
      <c r="H377">
        <v>2.1702304687499997E-3</v>
      </c>
      <c r="I377">
        <v>-1.7623826407286585</v>
      </c>
      <c r="J377" s="93">
        <v>-3.824776504505419E-3</v>
      </c>
      <c r="L377" s="97"/>
      <c r="M377" s="97">
        <v>2.3540494624909964</v>
      </c>
      <c r="N377" s="93">
        <v>2.44140625E-4</v>
      </c>
      <c r="O377" s="93">
        <f t="shared" si="5"/>
        <v>0.444580078125</v>
      </c>
    </row>
    <row r="378" spans="1:15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3.2111092996583683</v>
      </c>
      <c r="H378">
        <v>4.5815976562499994E-3</v>
      </c>
      <c r="I378">
        <v>-0.89849244913049353</v>
      </c>
      <c r="J378" s="93">
        <v>-4.1165308990945906E-3</v>
      </c>
      <c r="L378" s="97"/>
      <c r="M378" s="97">
        <v>2.3540494624909964</v>
      </c>
      <c r="N378" s="93">
        <v>4.8828125E-4</v>
      </c>
      <c r="O378" s="93">
        <f t="shared" si="5"/>
        <v>0.445068359375</v>
      </c>
    </row>
    <row r="379" spans="1:15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14.849017359196388</v>
      </c>
      <c r="H379">
        <v>2.8936406249999995E-3</v>
      </c>
      <c r="I379">
        <v>-0.60959087393151479</v>
      </c>
      <c r="J379" s="93">
        <v>-1.7639369174374843E-3</v>
      </c>
      <c r="L379" s="97"/>
      <c r="M379" s="97">
        <v>2.3540494624909964</v>
      </c>
      <c r="N379" s="93">
        <v>2.44140625E-4</v>
      </c>
      <c r="O379" s="93">
        <f t="shared" si="5"/>
        <v>0.4453125</v>
      </c>
    </row>
    <row r="380" spans="1:15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-1.849986467453121</v>
      </c>
      <c r="H380">
        <v>7.7100292968750007E-4</v>
      </c>
      <c r="I380">
        <v>-1.0636072699382935</v>
      </c>
      <c r="J380" s="93">
        <v>-8.2004432115934795E-4</v>
      </c>
      <c r="L380" s="97"/>
      <c r="M380" s="97">
        <v>2.5713743458996654</v>
      </c>
      <c r="N380" s="93">
        <v>9.765625E-4</v>
      </c>
      <c r="O380" s="93">
        <f t="shared" si="5"/>
        <v>0.4462890625</v>
      </c>
    </row>
    <row r="381" spans="1:15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13.825126483959142</v>
      </c>
      <c r="H381">
        <v>1.6276728515625001E-3</v>
      </c>
      <c r="I381">
        <v>-0.63075513558467278</v>
      </c>
      <c r="J381" s="93">
        <v>-1.0266630101747958E-3</v>
      </c>
      <c r="L381" s="97"/>
      <c r="M381" s="97">
        <v>2.5713743458996654</v>
      </c>
      <c r="N381" s="93">
        <v>1.953125E-3</v>
      </c>
      <c r="O381" s="93">
        <f t="shared" si="5"/>
        <v>0.4482421875</v>
      </c>
    </row>
    <row r="382" spans="1:15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25.154238984816935</v>
      </c>
      <c r="H382">
        <v>1.0280039062499999E-3</v>
      </c>
      <c r="I382">
        <v>-0.43236954298527502</v>
      </c>
      <c r="J382" s="93">
        <v>-4.4447757913238997E-4</v>
      </c>
      <c r="L382" s="97"/>
      <c r="M382" s="97">
        <v>2.5713743458996654</v>
      </c>
      <c r="N382" s="93">
        <v>9.765625E-4</v>
      </c>
      <c r="O382" s="93">
        <f t="shared" si="5"/>
        <v>0.44921875</v>
      </c>
    </row>
    <row r="383" spans="1:15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-7.0040896672095787</v>
      </c>
      <c r="H383">
        <v>1.6276728515624999E-3</v>
      </c>
      <c r="I383">
        <v>-1.2629745030726562</v>
      </c>
      <c r="J383" s="93">
        <v>-2.0557093108670016E-3</v>
      </c>
      <c r="L383" s="97"/>
      <c r="M383" s="97">
        <v>2.813423786679401</v>
      </c>
      <c r="N383" s="93">
        <v>2.44140625E-4</v>
      </c>
      <c r="O383" s="93">
        <f t="shared" si="5"/>
        <v>0.449462890625</v>
      </c>
    </row>
    <row r="384" spans="1:15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10.007860615072559</v>
      </c>
      <c r="H384">
        <v>3.4361982421874998E-3</v>
      </c>
      <c r="I384">
        <v>-0.71634358927428265</v>
      </c>
      <c r="J384" s="93">
        <v>-2.4614985822665743E-3</v>
      </c>
      <c r="L384" s="97"/>
      <c r="M384" s="97">
        <v>2.813423786679401</v>
      </c>
      <c r="N384" s="93">
        <v>4.8828125E-4</v>
      </c>
      <c r="O384" s="93">
        <f t="shared" si="5"/>
        <v>0.449951171875</v>
      </c>
    </row>
    <row r="385" spans="1:15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21.385462850091812</v>
      </c>
      <c r="H385">
        <v>2.1702304687499997E-3</v>
      </c>
      <c r="I385">
        <v>-0.49024561337830186</v>
      </c>
      <c r="J385" s="93">
        <v>-1.0639459673246231E-3</v>
      </c>
      <c r="L385" s="97"/>
      <c r="M385" s="97">
        <v>2.813423786679401</v>
      </c>
      <c r="N385" s="93">
        <v>2.44140625E-4</v>
      </c>
      <c r="O385" s="93">
        <f t="shared" si="5"/>
        <v>0.4501953125</v>
      </c>
    </row>
    <row r="386" spans="1:15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-13</v>
      </c>
      <c r="H386">
        <v>1.0280039062499999E-3</v>
      </c>
      <c r="I386">
        <v>-1.5423902651101746</v>
      </c>
      <c r="J386" s="93">
        <v>-1.5855832174952325E-3</v>
      </c>
      <c r="L386" s="97"/>
      <c r="M386" s="97">
        <v>2.9551202375351329</v>
      </c>
      <c r="N386" s="93">
        <v>9.765625E-4</v>
      </c>
      <c r="O386" s="93">
        <f t="shared" si="5"/>
        <v>0.451171875</v>
      </c>
    </row>
    <row r="387" spans="1:15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6.1481362377391306</v>
      </c>
      <c r="H387">
        <v>2.1702304687499997E-3</v>
      </c>
      <c r="I387">
        <v>-0.81469792828101473</v>
      </c>
      <c r="J387" s="93">
        <v>-1.7680822667829603E-3</v>
      </c>
      <c r="L387" s="97"/>
      <c r="M387" s="97">
        <v>2.9551202375351329</v>
      </c>
      <c r="N387" s="93">
        <v>1.953125E-3</v>
      </c>
      <c r="O387" s="93">
        <f t="shared" si="5"/>
        <v>0.453125</v>
      </c>
    </row>
    <row r="388" spans="1:15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17.616686715366686</v>
      </c>
      <c r="H388">
        <v>1.3706718749999999E-3</v>
      </c>
      <c r="I388">
        <v>-0.55586885185585933</v>
      </c>
      <c r="J388" s="93">
        <v>-7.6191380142736785E-4</v>
      </c>
      <c r="L388" s="97"/>
      <c r="M388" s="97">
        <v>2.9551202375351329</v>
      </c>
      <c r="N388" s="93">
        <v>9.765625E-4</v>
      </c>
      <c r="O388" s="93">
        <f t="shared" ref="O388:O451" si="6">N388+O387</f>
        <v>0.4541015625</v>
      </c>
    </row>
    <row r="389" spans="1:15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-3.0420332032869939</v>
      </c>
      <c r="H389">
        <v>1.6276728515624997E-3</v>
      </c>
      <c r="I389">
        <v>-1.106720465825292</v>
      </c>
      <c r="J389" s="93">
        <v>-1.8013788564924312E-3</v>
      </c>
      <c r="L389" s="97"/>
      <c r="M389" s="97">
        <v>2.9841941874053277</v>
      </c>
      <c r="N389" s="93">
        <v>1.953125E-3</v>
      </c>
      <c r="O389" s="93">
        <f t="shared" si="6"/>
        <v>0.4560546875</v>
      </c>
    </row>
    <row r="390" spans="1:15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12.777610861340639</v>
      </c>
      <c r="H390">
        <v>3.4361982421874993E-3</v>
      </c>
      <c r="I390">
        <v>-0.65316835704189646</v>
      </c>
      <c r="J390" s="93">
        <v>-2.2444159603198614E-3</v>
      </c>
      <c r="L390" s="97"/>
      <c r="M390" s="97">
        <v>2.9841941874053277</v>
      </c>
      <c r="N390" s="93">
        <v>3.90625E-3</v>
      </c>
      <c r="O390" s="93">
        <f t="shared" si="6"/>
        <v>0.4599609375</v>
      </c>
    </row>
    <row r="391" spans="1:15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24.142922112388952</v>
      </c>
      <c r="H391">
        <v>2.1702304687499993E-3</v>
      </c>
      <c r="I391">
        <v>-0.44719342027329273</v>
      </c>
      <c r="J391" s="93">
        <v>-9.7051278610162355E-4</v>
      </c>
      <c r="L391" s="97"/>
      <c r="M391" s="97">
        <v>2.9841941874053277</v>
      </c>
      <c r="N391" s="93">
        <v>1.953125E-3</v>
      </c>
      <c r="O391" s="93">
        <f t="shared" si="6"/>
        <v>0.4619140625</v>
      </c>
    </row>
    <row r="392" spans="1:15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-8.5040896672095787</v>
      </c>
      <c r="H392">
        <v>3.4361982421874993E-3</v>
      </c>
      <c r="I392">
        <v>-1.3277285905401555</v>
      </c>
      <c r="J392" s="93">
        <v>-4.5623386489161682E-3</v>
      </c>
      <c r="L392" s="97"/>
      <c r="M392" s="97">
        <v>3.0137144708029968</v>
      </c>
      <c r="N392" s="93">
        <v>9.765625E-4</v>
      </c>
      <c r="O392" s="93">
        <f t="shared" si="6"/>
        <v>0.462890625</v>
      </c>
    </row>
    <row r="393" spans="1:15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8.9463754450642696</v>
      </c>
      <c r="H393">
        <v>7.254196289062498E-3</v>
      </c>
      <c r="I393">
        <v>-0.74214360646160982</v>
      </c>
      <c r="J393" s="93">
        <v>-5.383655395945269E-3</v>
      </c>
      <c r="L393" s="97"/>
      <c r="M393" s="97">
        <v>3.0137144708029968</v>
      </c>
      <c r="N393" s="93">
        <v>1.953125E-3</v>
      </c>
      <c r="O393" s="93">
        <f t="shared" si="6"/>
        <v>0.46484375</v>
      </c>
    </row>
    <row r="394" spans="1:15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20.374145977663829</v>
      </c>
      <c r="H394">
        <v>4.5815976562499985E-3</v>
      </c>
      <c r="I394">
        <v>-0.50705378345321495</v>
      </c>
      <c r="J394" s="93">
        <v>-2.3231164258619439E-3</v>
      </c>
      <c r="L394" s="97"/>
      <c r="M394" s="97">
        <v>3.0137144708029968</v>
      </c>
      <c r="N394" s="93">
        <v>9.765625E-4</v>
      </c>
      <c r="O394" s="93">
        <f t="shared" si="6"/>
        <v>0.4658203125</v>
      </c>
    </row>
    <row r="395" spans="1:15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-14.5</v>
      </c>
      <c r="H395">
        <v>2.1702304687499997E-3</v>
      </c>
      <c r="I395">
        <v>-1.6214703050420796</v>
      </c>
      <c r="J395" s="93">
        <v>-3.5189642601756773E-3</v>
      </c>
      <c r="L395" s="97"/>
      <c r="M395" s="97">
        <v>3.2111092996583683</v>
      </c>
      <c r="N395" s="93">
        <v>1.953125E-3</v>
      </c>
      <c r="O395" s="93">
        <f t="shared" si="6"/>
        <v>0.4677734375</v>
      </c>
    </row>
    <row r="396" spans="1:15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5.0645552624763033</v>
      </c>
      <c r="H396">
        <v>4.5815976562499994E-3</v>
      </c>
      <c r="I396">
        <v>-0.84466218827272521</v>
      </c>
      <c r="J396" s="93">
        <v>-3.8699023021133137E-3</v>
      </c>
      <c r="L396" s="97"/>
      <c r="M396" s="97">
        <v>3.2111092996583683</v>
      </c>
      <c r="N396" s="93">
        <v>3.90625E-3</v>
      </c>
      <c r="O396" s="93">
        <f t="shared" si="6"/>
        <v>0.4716796875</v>
      </c>
    </row>
    <row r="397" spans="1:15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16.594876730227227</v>
      </c>
      <c r="H397">
        <v>2.8936406249999995E-3</v>
      </c>
      <c r="I397">
        <v>-0.57512805555077229</v>
      </c>
      <c r="J397" s="93">
        <v>-1.6642139061189712E-3</v>
      </c>
      <c r="L397" s="97"/>
      <c r="M397" s="97">
        <v>3.2111092996583683</v>
      </c>
      <c r="N397" s="93">
        <v>1.953125E-3</v>
      </c>
      <c r="O397" s="93">
        <f t="shared" si="6"/>
        <v>0.4736328125</v>
      </c>
    </row>
    <row r="398" spans="1:15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-5.0596113222263472</v>
      </c>
      <c r="H398">
        <v>1.0280039062499999E-3</v>
      </c>
      <c r="I398">
        <v>-1.1837101618277797</v>
      </c>
      <c r="J398" s="93">
        <v>-1.216858670226777E-3</v>
      </c>
      <c r="L398" s="97"/>
      <c r="M398" s="97">
        <v>3.483101077794271</v>
      </c>
      <c r="N398" s="93">
        <v>9.765625E-4</v>
      </c>
      <c r="O398" s="93">
        <f t="shared" si="6"/>
        <v>0.474609375</v>
      </c>
    </row>
    <row r="399" spans="1:15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11.023925996452062</v>
      </c>
      <c r="H399">
        <v>2.1702304687499997E-3</v>
      </c>
      <c r="I399">
        <v>-0.69248811752138961</v>
      </c>
      <c r="J399" s="93">
        <v>-1.5028588118922502E-3</v>
      </c>
      <c r="L399" s="97"/>
      <c r="M399" s="97">
        <v>3.483101077794271</v>
      </c>
      <c r="N399" s="93">
        <v>1.953125E-3</v>
      </c>
      <c r="O399" s="93">
        <f t="shared" si="6"/>
        <v>0.4765625</v>
      </c>
    </row>
    <row r="400" spans="1:15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22.457393991675644</v>
      </c>
      <c r="H400">
        <v>1.3706718749999999E-3</v>
      </c>
      <c r="I400">
        <v>-0.47303788445019096</v>
      </c>
      <c r="J400" s="93">
        <v>-6.4837972402537658E-4</v>
      </c>
      <c r="L400" s="97"/>
      <c r="M400" s="97">
        <v>3.483101077794271</v>
      </c>
      <c r="N400" s="93">
        <v>9.765625E-4</v>
      </c>
      <c r="O400" s="93">
        <f t="shared" si="6"/>
        <v>0.4775390625</v>
      </c>
    </row>
    <row r="401" spans="1:15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-11.004089667209579</v>
      </c>
      <c r="H401">
        <v>2.1702304687499997E-3</v>
      </c>
      <c r="I401">
        <v>-1.4431135817232088</v>
      </c>
      <c r="J401" s="93">
        <v>-3.1318890649226507E-3</v>
      </c>
      <c r="L401" s="97"/>
      <c r="M401" s="97">
        <v>4.0671878152258945</v>
      </c>
      <c r="N401" s="93">
        <v>4.8828125E-4</v>
      </c>
      <c r="O401" s="93">
        <f t="shared" si="6"/>
        <v>0.47802734375</v>
      </c>
    </row>
    <row r="402" spans="1:15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7.1446538052209014</v>
      </c>
      <c r="H402">
        <v>4.5815976562499994E-3</v>
      </c>
      <c r="I402">
        <v>-0.78808042918376953</v>
      </c>
      <c r="J402" s="93">
        <v>-3.6106674472848521E-3</v>
      </c>
      <c r="L402" s="97"/>
      <c r="M402" s="97">
        <v>4.0671878152258945</v>
      </c>
      <c r="N402" s="93">
        <v>9.765625E-4</v>
      </c>
      <c r="O402" s="93">
        <f t="shared" si="6"/>
        <v>0.47900390625</v>
      </c>
    </row>
    <row r="403" spans="1:15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18.666283228082971</v>
      </c>
      <c r="H403">
        <v>2.8936406249999995E-3</v>
      </c>
      <c r="I403">
        <v>-0.53675719318907533</v>
      </c>
      <c r="J403" s="93">
        <v>-1.5531824199728815E-3</v>
      </c>
      <c r="L403" s="97"/>
      <c r="M403" s="97">
        <v>4.0671878152258945</v>
      </c>
      <c r="N403" s="93">
        <v>4.8828125E-4</v>
      </c>
      <c r="O403" s="93">
        <f t="shared" si="6"/>
        <v>0.4794921875</v>
      </c>
    </row>
    <row r="404" spans="1:15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-17</v>
      </c>
      <c r="H404">
        <v>1.3706718749999999E-3</v>
      </c>
      <c r="I404">
        <v>-1.7623826407286585</v>
      </c>
      <c r="J404" s="93">
        <v>-2.4156483186350015E-3</v>
      </c>
      <c r="L404" s="97"/>
      <c r="M404" s="97">
        <v>4.3235231091175752</v>
      </c>
      <c r="N404" s="93">
        <v>4.8828125E-4</v>
      </c>
      <c r="O404" s="93">
        <f t="shared" si="6"/>
        <v>0.47998046875</v>
      </c>
    </row>
    <row r="405" spans="1:15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3.2111092996583683</v>
      </c>
      <c r="H405">
        <v>2.8936406249999995E-3</v>
      </c>
      <c r="I405">
        <v>-0.89849244913049353</v>
      </c>
      <c r="J405" s="93">
        <v>-2.5999142520597416E-3</v>
      </c>
      <c r="L405" s="97"/>
      <c r="M405" s="97">
        <v>4.3235231091175752</v>
      </c>
      <c r="N405" s="93">
        <v>9.765625E-4</v>
      </c>
      <c r="O405" s="93">
        <f t="shared" si="6"/>
        <v>0.48095703125</v>
      </c>
    </row>
    <row r="406" spans="1:15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14.849017359196388</v>
      </c>
      <c r="H406">
        <v>1.8275624999999998E-3</v>
      </c>
      <c r="I406">
        <v>-0.60959087393151479</v>
      </c>
      <c r="J406" s="93">
        <v>-1.1140654215394639E-3</v>
      </c>
      <c r="L406" s="97"/>
      <c r="M406" s="97">
        <v>4.3235231091175752</v>
      </c>
      <c r="N406" s="93">
        <v>4.8828125E-4</v>
      </c>
      <c r="O406" s="93">
        <f t="shared" si="6"/>
        <v>0.4814453125</v>
      </c>
    </row>
    <row r="407" spans="1:15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-1.1677106800845551</v>
      </c>
      <c r="H407">
        <v>3.652119140625E-4</v>
      </c>
      <c r="I407">
        <v>-1.0396911411016805</v>
      </c>
      <c r="J407" s="93">
        <v>-3.797075916755695E-4</v>
      </c>
      <c r="L407" s="97"/>
      <c r="M407" s="97">
        <v>4.373790546417478</v>
      </c>
      <c r="N407" s="93">
        <v>1.953125E-3</v>
      </c>
      <c r="O407" s="93">
        <f t="shared" si="6"/>
        <v>0.4833984375</v>
      </c>
    </row>
    <row r="408" spans="1:15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15.771075862643059</v>
      </c>
      <c r="H408">
        <v>7.7100292968749996E-4</v>
      </c>
      <c r="I408">
        <v>-0.59113992565921525</v>
      </c>
      <c r="J408" s="93">
        <v>-4.5577061453850589E-4</v>
      </c>
      <c r="L408" s="97"/>
      <c r="M408" s="97">
        <v>4.373790546417478</v>
      </c>
      <c r="N408" s="93">
        <v>3.90625E-3</v>
      </c>
      <c r="O408" s="93">
        <f t="shared" si="6"/>
        <v>0.4873046875</v>
      </c>
    </row>
    <row r="409" spans="1:15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28.064583949047659</v>
      </c>
      <c r="H409">
        <v>4.8694921874999997E-4</v>
      </c>
      <c r="I409">
        <v>-0.39239506350406861</v>
      </c>
      <c r="J409" s="93">
        <v>-1.9107646961466284E-4</v>
      </c>
      <c r="L409" s="97"/>
      <c r="M409" s="97">
        <v>4.373790546417478</v>
      </c>
      <c r="N409" s="93">
        <v>1.953125E-3</v>
      </c>
      <c r="O409" s="93">
        <f t="shared" si="6"/>
        <v>0.4892578125</v>
      </c>
    </row>
    <row r="410" spans="1:15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-6.4830479350473311</v>
      </c>
      <c r="H410">
        <v>7.7100292968749996E-4</v>
      </c>
      <c r="I410">
        <v>-1.241228478720902</v>
      </c>
      <c r="J410" s="93">
        <v>-9.5699079350537416E-4</v>
      </c>
      <c r="L410" s="97"/>
      <c r="M410" s="97">
        <v>4.5279509801869846</v>
      </c>
      <c r="N410" s="93">
        <v>9.765625E-4</v>
      </c>
      <c r="O410" s="93">
        <f t="shared" si="6"/>
        <v>0.490234375</v>
      </c>
    </row>
    <row r="411" spans="1:15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11.629485097309161</v>
      </c>
      <c r="H411">
        <v>1.6276728515624999E-3</v>
      </c>
      <c r="I411">
        <v>-0.6786501662655543</v>
      </c>
      <c r="J411" s="93">
        <v>-1.1046204513388194E-3</v>
      </c>
      <c r="L411" s="97"/>
      <c r="M411" s="97">
        <v>4.5279509801869846</v>
      </c>
      <c r="N411" s="93">
        <v>1.953125E-3</v>
      </c>
      <c r="O411" s="93">
        <f t="shared" si="6"/>
        <v>0.4921875</v>
      </c>
    </row>
    <row r="412" spans="1:15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23.972436151630234</v>
      </c>
      <c r="H412">
        <v>1.0280039062499999E-3</v>
      </c>
      <c r="I412">
        <v>-0.44974199501468498</v>
      </c>
      <c r="J412" s="93">
        <v>-4.6233652767976418E-4</v>
      </c>
      <c r="L412" s="97"/>
      <c r="M412" s="97">
        <v>4.5279509801869846</v>
      </c>
      <c r="N412" s="93">
        <v>9.765625E-4</v>
      </c>
      <c r="O412" s="93">
        <f t="shared" si="6"/>
        <v>0.4931640625</v>
      </c>
    </row>
    <row r="413" spans="1:15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-13</v>
      </c>
      <c r="H413">
        <v>4.8694921874999997E-4</v>
      </c>
      <c r="I413">
        <v>-1.5423902651101746</v>
      </c>
      <c r="J413" s="93">
        <v>-7.5106573460300492E-4</v>
      </c>
      <c r="L413" s="97"/>
      <c r="M413" s="97">
        <v>4.5951686554850308</v>
      </c>
      <c r="N413" s="93">
        <v>4.8828125E-4</v>
      </c>
      <c r="O413" s="93">
        <f t="shared" si="6"/>
        <v>0.49365234375</v>
      </c>
    </row>
    <row r="414" spans="1:15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7.4528758956624728</v>
      </c>
      <c r="H414">
        <v>1.0280039062499999E-3</v>
      </c>
      <c r="I414">
        <v>-0.78002508736904297</v>
      </c>
      <c r="J414" s="93">
        <v>-8.0186883678837369E-4</v>
      </c>
      <c r="L414" s="97"/>
      <c r="M414" s="97">
        <v>4.5951686554850308</v>
      </c>
      <c r="N414" s="93">
        <v>9.765625E-4</v>
      </c>
      <c r="O414" s="93">
        <f t="shared" si="6"/>
        <v>0.49462890625</v>
      </c>
    </row>
    <row r="415" spans="1:15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19.880288354212805</v>
      </c>
      <c r="H415">
        <v>6.4926562499999999E-4</v>
      </c>
      <c r="I415">
        <v>-0.51546994570611271</v>
      </c>
      <c r="J415" s="93">
        <v>-3.3467691646759534E-4</v>
      </c>
      <c r="L415" s="97"/>
      <c r="M415" s="97">
        <v>4.5951686554850308</v>
      </c>
      <c r="N415" s="93">
        <v>4.8828125E-4</v>
      </c>
      <c r="O415" s="93">
        <f t="shared" si="6"/>
        <v>0.4951171875</v>
      </c>
    </row>
    <row r="416" spans="1:15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-2.3468547121122407</v>
      </c>
      <c r="H416">
        <v>7.7100292968750007E-4</v>
      </c>
      <c r="I416">
        <v>-1.0813697130465589</v>
      </c>
      <c r="J416" s="93">
        <v>-8.3373921683422821E-4</v>
      </c>
      <c r="L416" s="97"/>
      <c r="M416" s="97">
        <v>4.6682585902700255</v>
      </c>
      <c r="N416" s="93">
        <v>4.8828125E-4</v>
      </c>
      <c r="O416" s="93">
        <f t="shared" si="6"/>
        <v>0.49560546875</v>
      </c>
    </row>
    <row r="417" spans="1:15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14.723560240024558</v>
      </c>
      <c r="H417">
        <v>1.6276728515625001E-3</v>
      </c>
      <c r="I417">
        <v>-0.61214546222726141</v>
      </c>
      <c r="J417" s="93">
        <v>-9.9637255007449131E-4</v>
      </c>
      <c r="L417" s="97"/>
      <c r="M417" s="97">
        <v>4.6682585902700255</v>
      </c>
      <c r="N417" s="93">
        <v>9.765625E-4</v>
      </c>
      <c r="O417" s="93">
        <f t="shared" si="6"/>
        <v>0.49658203125</v>
      </c>
    </row>
    <row r="418" spans="1:15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27.053267076619676</v>
      </c>
      <c r="H418">
        <v>1.0280039062499999E-3</v>
      </c>
      <c r="I418">
        <v>-0.40584840767268493</v>
      </c>
      <c r="J418" s="93">
        <v>-4.1721374843286255E-4</v>
      </c>
      <c r="L418" s="97"/>
      <c r="M418" s="97">
        <v>4.6682585902700255</v>
      </c>
      <c r="N418" s="93">
        <v>4.8828125E-4</v>
      </c>
      <c r="O418" s="93">
        <f t="shared" si="6"/>
        <v>0.4970703125</v>
      </c>
    </row>
    <row r="419" spans="1:15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-7.9830479350473311</v>
      </c>
      <c r="H419">
        <v>1.6276728515624999E-3</v>
      </c>
      <c r="I419">
        <v>-1.304867623678067</v>
      </c>
      <c r="J419" s="93">
        <v>-2.1238976059436625E-3</v>
      </c>
      <c r="L419" s="97"/>
      <c r="M419" s="97">
        <v>4.8723522556397576</v>
      </c>
      <c r="N419" s="93">
        <v>2.44140625E-4</v>
      </c>
      <c r="O419" s="93">
        <f t="shared" si="6"/>
        <v>0.497314453125</v>
      </c>
    </row>
    <row r="420" spans="1:15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10.577300017468453</v>
      </c>
      <c r="H420">
        <v>3.4361982421874998E-3</v>
      </c>
      <c r="I420">
        <v>-0.70287468027687106</v>
      </c>
      <c r="J420" s="93">
        <v>-2.4152167408454852E-3</v>
      </c>
      <c r="L420" s="97"/>
      <c r="M420" s="97">
        <v>4.8723522556397576</v>
      </c>
      <c r="N420" s="93">
        <v>4.8828125E-4</v>
      </c>
      <c r="O420" s="93">
        <f t="shared" si="6"/>
        <v>0.497802734375</v>
      </c>
    </row>
    <row r="421" spans="1:15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22.961119279202251</v>
      </c>
      <c r="H421">
        <v>2.1702304687499997E-3</v>
      </c>
      <c r="I421">
        <v>-0.46516149033652132</v>
      </c>
      <c r="J421" s="93">
        <v>-1.0095076392174771E-3</v>
      </c>
      <c r="L421" s="97"/>
      <c r="M421" s="97">
        <v>4.8723522556397576</v>
      </c>
      <c r="N421" s="93">
        <v>2.44140625E-4</v>
      </c>
      <c r="O421" s="93">
        <f t="shared" si="6"/>
        <v>0.498046875</v>
      </c>
    </row>
    <row r="422" spans="1:15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-14.5</v>
      </c>
      <c r="H422">
        <v>1.0280039062499999E-3</v>
      </c>
      <c r="I422">
        <v>-1.6214703050420796</v>
      </c>
      <c r="J422" s="93">
        <v>-1.6668778074516368E-3</v>
      </c>
      <c r="L422" s="97"/>
      <c r="M422" s="97">
        <v>5.0426982494922781</v>
      </c>
      <c r="N422" s="93">
        <v>4.8828125E-4</v>
      </c>
      <c r="O422" s="93">
        <f t="shared" si="6"/>
        <v>0.49853515625</v>
      </c>
    </row>
    <row r="423" spans="1:15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6.3718429117564508</v>
      </c>
      <c r="H423">
        <v>2.1702304687499997E-3</v>
      </c>
      <c r="I423">
        <v>-0.8086454106745089</v>
      </c>
      <c r="J423" s="93">
        <v>-1.7549469086606754E-3</v>
      </c>
      <c r="L423" s="97"/>
      <c r="M423" s="97">
        <v>5.0426982494922781</v>
      </c>
      <c r="N423" s="93">
        <v>9.765625E-4</v>
      </c>
      <c r="O423" s="93">
        <f t="shared" si="6"/>
        <v>0.49951171875</v>
      </c>
    </row>
    <row r="424" spans="1:15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18.865151005358459</v>
      </c>
      <c r="H424">
        <v>1.3706718749999999E-3</v>
      </c>
      <c r="I424">
        <v>-0.53321083677750525</v>
      </c>
      <c r="J424" s="93">
        <v>-7.3085709741614201E-4</v>
      </c>
      <c r="L424" s="97"/>
      <c r="M424" s="97">
        <v>5.0426982494922781</v>
      </c>
      <c r="N424" s="93">
        <v>4.8828125E-4</v>
      </c>
      <c r="O424" s="93">
        <f t="shared" si="6"/>
        <v>0.5</v>
      </c>
    </row>
    <row r="425" spans="1:15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-4.3446050569387475</v>
      </c>
      <c r="H425">
        <v>4.8694921875000008E-4</v>
      </c>
      <c r="I425">
        <v>-1.1558316967044109</v>
      </c>
      <c r="J425" s="93">
        <v>-5.6283134171669993E-4</v>
      </c>
      <c r="L425" s="97"/>
      <c r="M425" s="97">
        <v>5.0645552624763033</v>
      </c>
      <c r="N425" s="93">
        <v>3.90625E-3</v>
      </c>
      <c r="O425" s="93">
        <f t="shared" si="6"/>
        <v>0.50390625</v>
      </c>
    </row>
    <row r="426" spans="1:15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12.977700868993718</v>
      </c>
      <c r="H426">
        <v>1.0280039062500002E-3</v>
      </c>
      <c r="I426">
        <v>-0.64882643733137257</v>
      </c>
      <c r="J426" s="93">
        <v>-6.6699611205492198E-4</v>
      </c>
      <c r="L426" s="97"/>
      <c r="M426" s="97">
        <v>5.0645552624763033</v>
      </c>
      <c r="N426" s="93">
        <v>7.8125E-3</v>
      </c>
      <c r="O426" s="93">
        <f t="shared" si="6"/>
        <v>0.51171875</v>
      </c>
    </row>
    <row r="427" spans="1:15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25.367738955906368</v>
      </c>
      <c r="H427">
        <v>6.492656250000001E-4</v>
      </c>
      <c r="I427">
        <v>-0.42930343665530679</v>
      </c>
      <c r="J427" s="93">
        <v>-2.7873196411465573E-4</v>
      </c>
      <c r="L427" s="97"/>
      <c r="M427" s="97">
        <v>5.0645552624763033</v>
      </c>
      <c r="N427" s="93">
        <v>3.90625E-3</v>
      </c>
      <c r="O427" s="93">
        <f t="shared" si="6"/>
        <v>0.515625</v>
      </c>
    </row>
    <row r="428" spans="1:15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-10.483047935047331</v>
      </c>
      <c r="H428">
        <v>1.0280039062499999E-3</v>
      </c>
      <c r="I428">
        <v>-1.418265904264834</v>
      </c>
      <c r="J428" s="93">
        <v>-1.4579828896854378E-3</v>
      </c>
      <c r="L428" s="97"/>
      <c r="M428" s="97">
        <v>5.4344442763823277</v>
      </c>
      <c r="N428" s="93">
        <v>9.765625E-4</v>
      </c>
      <c r="O428" s="93">
        <f t="shared" si="6"/>
        <v>0.5166015625</v>
      </c>
    </row>
    <row r="429" spans="1:15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8.7755783776250844</v>
      </c>
      <c r="H429">
        <v>2.1702304687499997E-3</v>
      </c>
      <c r="I429">
        <v>-0.74638085523095454</v>
      </c>
      <c r="J429" s="93">
        <v>-1.6198184733139001E-3</v>
      </c>
      <c r="L429" s="97"/>
      <c r="M429" s="97">
        <v>5.4344442763823277</v>
      </c>
      <c r="N429" s="93">
        <v>1.953125E-3</v>
      </c>
      <c r="O429" s="93">
        <f t="shared" si="6"/>
        <v>0.5185546875</v>
      </c>
    </row>
    <row r="430" spans="1:15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21.260882399661533</v>
      </c>
      <c r="H430">
        <v>1.3706718749999999E-3</v>
      </c>
      <c r="I430">
        <v>-0.49228568029873199</v>
      </c>
      <c r="J430" s="93">
        <v>-6.7476213645071355E-4</v>
      </c>
      <c r="L430" s="97"/>
      <c r="M430" s="97">
        <v>5.4344442763823277</v>
      </c>
      <c r="N430" s="93">
        <v>9.765625E-4</v>
      </c>
      <c r="O430" s="93">
        <f t="shared" si="6"/>
        <v>0.51953125</v>
      </c>
    </row>
    <row r="431" spans="1:15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-17</v>
      </c>
      <c r="H431">
        <v>6.492656250000001E-4</v>
      </c>
      <c r="I431">
        <v>-1.7623826407286585</v>
      </c>
      <c r="J431" s="93">
        <v>-1.1442544667218432E-3</v>
      </c>
      <c r="L431" s="97"/>
      <c r="M431" s="97">
        <v>5.7706930533776735</v>
      </c>
      <c r="N431" s="93">
        <v>2.44140625E-4</v>
      </c>
      <c r="O431" s="93">
        <f t="shared" si="6"/>
        <v>0.519775390625</v>
      </c>
    </row>
    <row r="432" spans="1:15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4.5279509801869846</v>
      </c>
      <c r="H432">
        <v>1.3706718749999999E-3</v>
      </c>
      <c r="I432">
        <v>-0.85990642883052837</v>
      </c>
      <c r="J432" s="93">
        <v>-1.1786495571296943E-3</v>
      </c>
      <c r="L432" s="97"/>
      <c r="M432" s="97">
        <v>5.7706930533776735</v>
      </c>
      <c r="N432" s="93">
        <v>4.8828125E-4</v>
      </c>
      <c r="O432" s="93">
        <f t="shared" si="6"/>
        <v>0.520263671875</v>
      </c>
    </row>
    <row r="433" spans="1:15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17.11929163432762</v>
      </c>
      <c r="H433">
        <v>8.6568750000000003E-4</v>
      </c>
      <c r="I433">
        <v>-0.56516189193670641</v>
      </c>
      <c r="J433" s="93">
        <v>-4.8925358532595756E-4</v>
      </c>
      <c r="L433" s="97"/>
      <c r="M433" s="97">
        <v>5.7706930533776735</v>
      </c>
      <c r="N433" s="93">
        <v>2.44140625E-4</v>
      </c>
      <c r="O433" s="93">
        <f t="shared" si="6"/>
        <v>0.5205078125</v>
      </c>
    </row>
    <row r="434" spans="1:15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-1.1677106800845551</v>
      </c>
      <c r="H434">
        <v>7.7100292968750007E-4</v>
      </c>
      <c r="I434">
        <v>-1.0396911411016805</v>
      </c>
      <c r="J434" s="93">
        <v>-8.0160491575953562E-4</v>
      </c>
      <c r="L434" s="97"/>
      <c r="M434" s="97">
        <v>6.1481362377391306</v>
      </c>
      <c r="N434" s="93">
        <v>1.953125E-3</v>
      </c>
      <c r="O434" s="93">
        <f t="shared" si="6"/>
        <v>0.5224609375</v>
      </c>
    </row>
    <row r="435" spans="1:15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15.771075862643059</v>
      </c>
      <c r="H435">
        <v>1.6276728515625001E-3</v>
      </c>
      <c r="I435">
        <v>-0.59113992565921525</v>
      </c>
      <c r="J435" s="93">
        <v>-9.6218240847017924E-4</v>
      </c>
      <c r="L435" s="97"/>
      <c r="M435" s="97">
        <v>6.1481362377391306</v>
      </c>
      <c r="N435" s="93">
        <v>3.90625E-3</v>
      </c>
      <c r="O435" s="93">
        <f t="shared" si="6"/>
        <v>0.5263671875</v>
      </c>
    </row>
    <row r="436" spans="1:15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28.064583949047659</v>
      </c>
      <c r="H436">
        <v>1.0280039062499999E-3</v>
      </c>
      <c r="I436">
        <v>-0.39239506350406861</v>
      </c>
      <c r="J436" s="93">
        <v>-4.0338365807539935E-4</v>
      </c>
      <c r="L436" s="97"/>
      <c r="M436" s="97">
        <v>6.1481362377391306</v>
      </c>
      <c r="N436" s="93">
        <v>1.953125E-3</v>
      </c>
      <c r="O436" s="93">
        <f t="shared" si="6"/>
        <v>0.5283203125</v>
      </c>
    </row>
    <row r="437" spans="1:15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-6.4830479350473311</v>
      </c>
      <c r="H437">
        <v>1.6276728515624999E-3</v>
      </c>
      <c r="I437">
        <v>-1.241228478720902</v>
      </c>
      <c r="J437" s="93">
        <v>-2.0203138974002346E-3</v>
      </c>
      <c r="L437" s="97"/>
      <c r="M437" s="97">
        <v>6.1497717551027478</v>
      </c>
      <c r="N437" s="93">
        <v>9.765625E-4</v>
      </c>
      <c r="O437" s="93">
        <f t="shared" si="6"/>
        <v>0.529296875</v>
      </c>
    </row>
    <row r="438" spans="1:15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11.629485097309161</v>
      </c>
      <c r="H438">
        <v>3.4361982421874998E-3</v>
      </c>
      <c r="I438">
        <v>-0.6786501662655543</v>
      </c>
      <c r="J438" s="93">
        <v>-2.3319765083819523E-3</v>
      </c>
      <c r="L438" s="97"/>
      <c r="M438" s="97">
        <v>6.1497717551027478</v>
      </c>
      <c r="N438" s="93">
        <v>1.953125E-3</v>
      </c>
      <c r="O438" s="93">
        <f t="shared" si="6"/>
        <v>0.53125</v>
      </c>
    </row>
    <row r="439" spans="1:15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23.972436151630234</v>
      </c>
      <c r="H439">
        <v>2.1702304687499997E-3</v>
      </c>
      <c r="I439">
        <v>-0.44974199501468498</v>
      </c>
      <c r="J439" s="93">
        <v>-9.7604378065727982E-4</v>
      </c>
      <c r="L439" s="97"/>
      <c r="M439" s="97">
        <v>6.1497717551027478</v>
      </c>
      <c r="N439" s="93">
        <v>9.765625E-4</v>
      </c>
      <c r="O439" s="93">
        <f t="shared" si="6"/>
        <v>0.5322265625</v>
      </c>
    </row>
    <row r="440" spans="1:15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-13</v>
      </c>
      <c r="H440">
        <v>1.0280039062499999E-3</v>
      </c>
      <c r="I440">
        <v>-1.5423902651101746</v>
      </c>
      <c r="J440" s="93">
        <v>-1.5855832174952325E-3</v>
      </c>
      <c r="L440" s="97"/>
      <c r="M440" s="97">
        <v>6.3718429117564508</v>
      </c>
      <c r="N440" s="93">
        <v>1.953125E-3</v>
      </c>
      <c r="O440" s="93">
        <f t="shared" si="6"/>
        <v>0.5341796875</v>
      </c>
    </row>
    <row r="441" spans="1:15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7.4528758956624728</v>
      </c>
      <c r="H441">
        <v>2.1702304687499997E-3</v>
      </c>
      <c r="I441">
        <v>-0.78002508736904297</v>
      </c>
      <c r="J441" s="93">
        <v>-1.6928342109976777E-3</v>
      </c>
      <c r="L441" s="97"/>
      <c r="M441" s="97">
        <v>6.3718429117564508</v>
      </c>
      <c r="N441" s="93">
        <v>3.90625E-3</v>
      </c>
      <c r="O441" s="93">
        <f t="shared" si="6"/>
        <v>0.5380859375</v>
      </c>
    </row>
    <row r="442" spans="1:15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19.880288354212805</v>
      </c>
      <c r="H442">
        <v>1.3706718749999999E-3</v>
      </c>
      <c r="I442">
        <v>-0.51546994570611271</v>
      </c>
      <c r="J442" s="93">
        <v>-7.0654015698714569E-4</v>
      </c>
      <c r="L442" s="97"/>
      <c r="M442" s="97">
        <v>6.3718429117564508</v>
      </c>
      <c r="N442" s="93">
        <v>1.953125E-3</v>
      </c>
      <c r="O442" s="93">
        <f t="shared" si="6"/>
        <v>0.5400390625</v>
      </c>
    </row>
    <row r="443" spans="1:15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-2.3468547121122407</v>
      </c>
      <c r="H443">
        <v>1.6276728515624997E-3</v>
      </c>
      <c r="I443">
        <v>-1.0813697130465589</v>
      </c>
      <c r="J443" s="93">
        <v>-1.7601161244278146E-3</v>
      </c>
      <c r="L443" s="97"/>
      <c r="M443" s="97">
        <v>6.6852886767591286</v>
      </c>
      <c r="N443" s="93">
        <v>4.8828125E-4</v>
      </c>
      <c r="O443" s="93">
        <f t="shared" si="6"/>
        <v>0.54052734375</v>
      </c>
    </row>
    <row r="444" spans="1:15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14.723560240024558</v>
      </c>
      <c r="H444">
        <v>3.4361982421874993E-3</v>
      </c>
      <c r="I444">
        <v>-0.61214546222726141</v>
      </c>
      <c r="J444" s="93">
        <v>-2.1034531612683701E-3</v>
      </c>
      <c r="L444" s="97"/>
      <c r="M444" s="97">
        <v>6.6852886767591286</v>
      </c>
      <c r="N444" s="93">
        <v>9.765625E-4</v>
      </c>
      <c r="O444" s="93">
        <f t="shared" si="6"/>
        <v>0.54150390625</v>
      </c>
    </row>
    <row r="445" spans="1:15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27.053267076619676</v>
      </c>
      <c r="H445">
        <v>2.1702304687499993E-3</v>
      </c>
      <c r="I445">
        <v>-0.40584840767268493</v>
      </c>
      <c r="J445" s="93">
        <v>-8.8078458002493185E-4</v>
      </c>
      <c r="L445" s="97"/>
      <c r="M445" s="97">
        <v>6.6852886767591286</v>
      </c>
      <c r="N445" s="93">
        <v>4.8828125E-4</v>
      </c>
      <c r="O445" s="93">
        <f t="shared" si="6"/>
        <v>0.5419921875</v>
      </c>
    </row>
    <row r="446" spans="1:15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-7.9830479350473311</v>
      </c>
      <c r="H446">
        <v>3.4361982421874993E-3</v>
      </c>
      <c r="I446">
        <v>-1.304867623678067</v>
      </c>
      <c r="J446" s="93">
        <v>-4.4837838347699527E-3</v>
      </c>
      <c r="L446" s="97"/>
      <c r="M446" s="97">
        <v>6.8057474880542728</v>
      </c>
      <c r="N446" s="93">
        <v>9.765625E-4</v>
      </c>
      <c r="O446" s="93">
        <f t="shared" si="6"/>
        <v>0.54296875</v>
      </c>
    </row>
    <row r="447" spans="1:15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10.577300017468453</v>
      </c>
      <c r="H447">
        <v>7.254196289062498E-3</v>
      </c>
      <c r="I447">
        <v>-0.70287468027687106</v>
      </c>
      <c r="J447" s="93">
        <v>-5.0987908973404682E-3</v>
      </c>
      <c r="L447" s="97"/>
      <c r="M447" s="97">
        <v>6.8057474880542728</v>
      </c>
      <c r="N447" s="93">
        <v>1.953125E-3</v>
      </c>
      <c r="O447" s="93">
        <f t="shared" si="6"/>
        <v>0.544921875</v>
      </c>
    </row>
    <row r="448" spans="1:15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22.961119279202251</v>
      </c>
      <c r="H448">
        <v>4.5815976562499985E-3</v>
      </c>
      <c r="I448">
        <v>-0.46516149033652132</v>
      </c>
      <c r="J448" s="93">
        <v>-2.1311827939035624E-3</v>
      </c>
      <c r="L448" s="97"/>
      <c r="M448" s="97">
        <v>6.8057474880542728</v>
      </c>
      <c r="N448" s="93">
        <v>9.765625E-4</v>
      </c>
      <c r="O448" s="93">
        <f t="shared" si="6"/>
        <v>0.5458984375</v>
      </c>
    </row>
    <row r="449" spans="1:15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-14.5</v>
      </c>
      <c r="H449">
        <v>2.1702304687499997E-3</v>
      </c>
      <c r="I449">
        <v>-1.6214703050420796</v>
      </c>
      <c r="J449" s="93">
        <v>-3.5189642601756773E-3</v>
      </c>
      <c r="L449" s="97"/>
      <c r="M449" s="97">
        <v>7.1446538052209014</v>
      </c>
      <c r="N449" s="93">
        <v>3.90625E-3</v>
      </c>
      <c r="O449" s="93">
        <f t="shared" si="6"/>
        <v>0.5498046875</v>
      </c>
    </row>
    <row r="450" spans="1:15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6.3718429117564508</v>
      </c>
      <c r="H450">
        <v>4.5815976562499994E-3</v>
      </c>
      <c r="I450">
        <v>-0.8086454106745089</v>
      </c>
      <c r="J450" s="93">
        <v>-3.7048879182836484E-3</v>
      </c>
      <c r="L450" s="97"/>
      <c r="M450" s="97">
        <v>7.1446538052209014</v>
      </c>
      <c r="N450" s="93">
        <v>7.8125E-3</v>
      </c>
      <c r="O450" s="93">
        <f t="shared" si="6"/>
        <v>0.5576171875</v>
      </c>
    </row>
    <row r="451" spans="1:15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18.865151005358459</v>
      </c>
      <c r="H451">
        <v>2.8936406249999995E-3</v>
      </c>
      <c r="I451">
        <v>-0.53321083677750525</v>
      </c>
      <c r="J451" s="93">
        <v>-1.542920538989633E-3</v>
      </c>
      <c r="L451" s="97"/>
      <c r="M451" s="97">
        <v>7.1446538052209014</v>
      </c>
      <c r="N451" s="93">
        <v>3.90625E-3</v>
      </c>
      <c r="O451" s="93">
        <f t="shared" si="6"/>
        <v>0.5615234375</v>
      </c>
    </row>
    <row r="452" spans="1:15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-4.3446050569387475</v>
      </c>
      <c r="H452">
        <v>1.0280039062499999E-3</v>
      </c>
      <c r="I452">
        <v>-1.1558316967044109</v>
      </c>
      <c r="J452" s="93">
        <v>-1.1881994991796996E-3</v>
      </c>
      <c r="L452" s="97"/>
      <c r="M452" s="97">
        <v>7.2308047390087697</v>
      </c>
      <c r="N452" s="93">
        <v>4.8828125E-4</v>
      </c>
      <c r="O452" s="93">
        <f t="shared" ref="O452:O515" si="7">N452+O451</f>
        <v>0.56201171875</v>
      </c>
    </row>
    <row r="453" spans="1:15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12.977700868993718</v>
      </c>
      <c r="H453">
        <v>2.1702304687499997E-3</v>
      </c>
      <c r="I453">
        <v>-0.64882643733137257</v>
      </c>
      <c r="J453" s="93">
        <v>-1.408102903227057E-3</v>
      </c>
      <c r="L453" s="97"/>
      <c r="M453" s="97">
        <v>7.2308047390087697</v>
      </c>
      <c r="N453" s="93">
        <v>9.765625E-4</v>
      </c>
      <c r="O453" s="93">
        <f t="shared" si="7"/>
        <v>0.56298828125</v>
      </c>
    </row>
    <row r="454" spans="1:15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25.367738955906368</v>
      </c>
      <c r="H454">
        <v>1.3706718749999999E-3</v>
      </c>
      <c r="I454">
        <v>-0.42930343665530679</v>
      </c>
      <c r="J454" s="93">
        <v>-5.8843414646427309E-4</v>
      </c>
      <c r="L454" s="97"/>
      <c r="M454" s="97">
        <v>7.2308047390087697</v>
      </c>
      <c r="N454" s="93">
        <v>4.8828125E-4</v>
      </c>
      <c r="O454" s="93">
        <f t="shared" si="7"/>
        <v>0.5634765625</v>
      </c>
    </row>
    <row r="455" spans="1:15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-10.483047935047331</v>
      </c>
      <c r="H455">
        <v>2.1702304687499997E-3</v>
      </c>
      <c r="I455">
        <v>-1.418265904264834</v>
      </c>
      <c r="J455" s="93">
        <v>-3.0779638782248132E-3</v>
      </c>
      <c r="L455" s="97"/>
      <c r="M455" s="97">
        <v>7.4528758956624728</v>
      </c>
      <c r="N455" s="93">
        <v>9.765625E-4</v>
      </c>
      <c r="O455" s="93">
        <f t="shared" si="7"/>
        <v>0.564453125</v>
      </c>
    </row>
    <row r="456" spans="1:15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8.7755783776250844</v>
      </c>
      <c r="H456">
        <v>4.5815976562499994E-3</v>
      </c>
      <c r="I456">
        <v>-0.74638085523095454</v>
      </c>
      <c r="J456" s="93">
        <v>-3.4196167769960113E-3</v>
      </c>
      <c r="L456" s="97"/>
      <c r="M456" s="97">
        <v>7.4528758956624728</v>
      </c>
      <c r="N456" s="93">
        <v>1.953125E-3</v>
      </c>
      <c r="O456" s="93">
        <f t="shared" si="7"/>
        <v>0.56640625</v>
      </c>
    </row>
    <row r="457" spans="1:15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21.260882399661533</v>
      </c>
      <c r="H457">
        <v>2.8936406249999995E-3</v>
      </c>
      <c r="I457">
        <v>-0.49228568029873199</v>
      </c>
      <c r="J457" s="93">
        <v>-1.4244978436181728E-3</v>
      </c>
      <c r="L457" s="97"/>
      <c r="M457" s="97">
        <v>7.4528758956624728</v>
      </c>
      <c r="N457" s="93">
        <v>9.765625E-4</v>
      </c>
      <c r="O457" s="93">
        <f t="shared" si="7"/>
        <v>0.5673828125</v>
      </c>
    </row>
    <row r="458" spans="1:15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-17</v>
      </c>
      <c r="H458">
        <v>1.3706718749999999E-3</v>
      </c>
      <c r="I458">
        <v>-1.7623826407286585</v>
      </c>
      <c r="J458" s="93">
        <v>-2.4156483186350015E-3</v>
      </c>
      <c r="L458" s="97"/>
      <c r="M458" s="97">
        <v>7.4787069513138844</v>
      </c>
      <c r="N458" s="93">
        <v>9.765625E-4</v>
      </c>
      <c r="O458" s="93">
        <f t="shared" si="7"/>
        <v>0.568359375</v>
      </c>
    </row>
    <row r="459" spans="1:15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4.5279509801869846</v>
      </c>
      <c r="H459">
        <v>2.8936406249999995E-3</v>
      </c>
      <c r="I459">
        <v>-0.85990642883052837</v>
      </c>
      <c r="J459" s="93">
        <v>-2.4882601761626877E-3</v>
      </c>
      <c r="L459" s="97"/>
      <c r="M459" s="97">
        <v>7.4787069513138844</v>
      </c>
      <c r="N459" s="93">
        <v>1.953125E-3</v>
      </c>
      <c r="O459" s="93">
        <f t="shared" si="7"/>
        <v>0.5703125</v>
      </c>
    </row>
    <row r="460" spans="1:15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17.11929163432762</v>
      </c>
      <c r="H460">
        <v>1.8275624999999998E-3</v>
      </c>
      <c r="I460">
        <v>-0.56516189193670641</v>
      </c>
      <c r="J460" s="93">
        <v>-1.0328686801325769E-3</v>
      </c>
      <c r="L460" s="97"/>
      <c r="M460" s="97">
        <v>7.4787069513138844</v>
      </c>
      <c r="N460" s="93">
        <v>9.765625E-4</v>
      </c>
      <c r="O460" s="93">
        <f t="shared" si="7"/>
        <v>0.5712890625</v>
      </c>
    </row>
    <row r="461" spans="1:15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-1.1677106800845551</v>
      </c>
      <c r="H461">
        <v>4.8694921874999997E-4</v>
      </c>
      <c r="I461">
        <v>-1.0396911411016805</v>
      </c>
      <c r="J461" s="93">
        <v>-5.0627678890075934E-4</v>
      </c>
      <c r="L461" s="97"/>
      <c r="M461" s="97">
        <v>7.7663216606651506</v>
      </c>
      <c r="N461" s="93">
        <v>2.44140625E-4</v>
      </c>
      <c r="O461" s="93">
        <f t="shared" si="7"/>
        <v>0.571533203125</v>
      </c>
    </row>
    <row r="462" spans="1:15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15.771075862643059</v>
      </c>
      <c r="H462">
        <v>1.0280039062499999E-3</v>
      </c>
      <c r="I462">
        <v>-0.59113992565921525</v>
      </c>
      <c r="J462" s="93">
        <v>-6.0769415271800782E-4</v>
      </c>
      <c r="L462" s="97"/>
      <c r="M462" s="97">
        <v>7.7663216606651506</v>
      </c>
      <c r="N462" s="93">
        <v>4.8828125E-4</v>
      </c>
      <c r="O462" s="93">
        <f t="shared" si="7"/>
        <v>0.572021484375</v>
      </c>
    </row>
    <row r="463" spans="1:15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28.064583949047659</v>
      </c>
      <c r="H463">
        <v>6.4926562499999999E-4</v>
      </c>
      <c r="I463">
        <v>-0.39239506350406861</v>
      </c>
      <c r="J463" s="93">
        <v>-2.5476862615288377E-4</v>
      </c>
      <c r="L463" s="97"/>
      <c r="M463" s="97">
        <v>7.7663216606651506</v>
      </c>
      <c r="N463" s="93">
        <v>2.44140625E-4</v>
      </c>
      <c r="O463" s="93">
        <f t="shared" si="7"/>
        <v>0.572265625</v>
      </c>
    </row>
    <row r="464" spans="1:15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-6.4830479350473311</v>
      </c>
      <c r="H464">
        <v>1.0280039062499999E-3</v>
      </c>
      <c r="I464">
        <v>-1.241228478720902</v>
      </c>
      <c r="J464" s="93">
        <v>-1.2759877246738321E-3</v>
      </c>
      <c r="L464" s="97"/>
      <c r="M464" s="97">
        <v>7.853263110672775</v>
      </c>
      <c r="N464" s="93">
        <v>4.8828125E-4</v>
      </c>
      <c r="O464" s="93">
        <f t="shared" si="7"/>
        <v>0.57275390625</v>
      </c>
    </row>
    <row r="465" spans="1:15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11.629485097309161</v>
      </c>
      <c r="H465">
        <v>2.1702304687499993E-3</v>
      </c>
      <c r="I465">
        <v>-0.6786501662655543</v>
      </c>
      <c r="J465" s="93">
        <v>-1.4728272684517588E-3</v>
      </c>
      <c r="L465" s="97"/>
      <c r="M465" s="97">
        <v>7.853263110672775</v>
      </c>
      <c r="N465" s="93">
        <v>9.765625E-4</v>
      </c>
      <c r="O465" s="93">
        <f t="shared" si="7"/>
        <v>0.57373046875</v>
      </c>
    </row>
    <row r="466" spans="1:15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23.972436151630234</v>
      </c>
      <c r="H466">
        <v>1.3706718749999997E-3</v>
      </c>
      <c r="I466">
        <v>-0.44974199501468498</v>
      </c>
      <c r="J466" s="93">
        <v>-6.1644870357301877E-4</v>
      </c>
      <c r="L466" s="97"/>
      <c r="M466" s="97">
        <v>7.853263110672775</v>
      </c>
      <c r="N466" s="93">
        <v>4.8828125E-4</v>
      </c>
      <c r="O466" s="93">
        <f t="shared" si="7"/>
        <v>0.57421875</v>
      </c>
    </row>
    <row r="467" spans="1:15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-13</v>
      </c>
      <c r="H467">
        <v>6.4926562499999999E-4</v>
      </c>
      <c r="I467">
        <v>-1.5423902651101746</v>
      </c>
      <c r="J467" s="93">
        <v>-1.0014209794706732E-3</v>
      </c>
      <c r="L467" s="97"/>
      <c r="M467" s="97">
        <v>8.7755783776250844</v>
      </c>
      <c r="N467" s="93">
        <v>1.953125E-3</v>
      </c>
      <c r="O467" s="93">
        <f t="shared" si="7"/>
        <v>0.576171875</v>
      </c>
    </row>
    <row r="468" spans="1:15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7.4528758956624728</v>
      </c>
      <c r="H468">
        <v>1.3706718749999997E-3</v>
      </c>
      <c r="I468">
        <v>-0.78002508736904297</v>
      </c>
      <c r="J468" s="93">
        <v>-1.0691584490511647E-3</v>
      </c>
      <c r="L468" s="97"/>
      <c r="M468" s="97">
        <v>8.7755783776250844</v>
      </c>
      <c r="N468" s="93">
        <v>3.90625E-3</v>
      </c>
      <c r="O468" s="93">
        <f t="shared" si="7"/>
        <v>0.580078125</v>
      </c>
    </row>
    <row r="469" spans="1:15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19.880288354212805</v>
      </c>
      <c r="H469">
        <v>8.6568749999999992E-4</v>
      </c>
      <c r="I469">
        <v>-0.51546994570611271</v>
      </c>
      <c r="J469" s="93">
        <v>-4.4623588862346042E-4</v>
      </c>
      <c r="L469" s="97"/>
      <c r="M469" s="97">
        <v>8.7755783776250844</v>
      </c>
      <c r="N469" s="93">
        <v>1.953125E-3</v>
      </c>
      <c r="O469" s="93">
        <f t="shared" si="7"/>
        <v>0.58203125</v>
      </c>
    </row>
    <row r="470" spans="1:15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-2.3468547121122407</v>
      </c>
      <c r="H470">
        <v>1.0280039062499999E-3</v>
      </c>
      <c r="I470">
        <v>-1.0813697130465589</v>
      </c>
      <c r="J470" s="93">
        <v>-1.1116522891123041E-3</v>
      </c>
      <c r="L470" s="97"/>
      <c r="M470" s="97">
        <v>8.9463754450642696</v>
      </c>
      <c r="N470" s="93">
        <v>7.8125E-3</v>
      </c>
      <c r="O470" s="93">
        <f t="shared" si="7"/>
        <v>0.58984375</v>
      </c>
    </row>
    <row r="471" spans="1:15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14.723560240024558</v>
      </c>
      <c r="H471">
        <v>2.1702304687499997E-3</v>
      </c>
      <c r="I471">
        <v>-0.61214546222726141</v>
      </c>
      <c r="J471" s="93">
        <v>-1.3284967334326549E-3</v>
      </c>
      <c r="L471" s="97"/>
      <c r="M471" s="97">
        <v>8.9463754450642696</v>
      </c>
      <c r="N471" s="93">
        <v>1.5625E-2</v>
      </c>
      <c r="O471" s="93">
        <f t="shared" si="7"/>
        <v>0.60546875</v>
      </c>
    </row>
    <row r="472" spans="1:15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27.053267076619676</v>
      </c>
      <c r="H472">
        <v>1.3706718749999999E-3</v>
      </c>
      <c r="I472">
        <v>-0.40584840767268493</v>
      </c>
      <c r="J472" s="93">
        <v>-5.562849979104834E-4</v>
      </c>
      <c r="L472" s="97"/>
      <c r="M472" s="97">
        <v>8.9463754450642696</v>
      </c>
      <c r="N472" s="93">
        <v>7.8125E-3</v>
      </c>
      <c r="O472" s="93">
        <f t="shared" si="7"/>
        <v>0.61328125</v>
      </c>
    </row>
    <row r="473" spans="1:15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-7.9830479350473311</v>
      </c>
      <c r="H473">
        <v>2.1702304687499997E-3</v>
      </c>
      <c r="I473">
        <v>-1.304867623678067</v>
      </c>
      <c r="J473" s="93">
        <v>-2.8318634745915497E-3</v>
      </c>
      <c r="L473" s="97"/>
      <c r="M473" s="97">
        <v>9.224566322344721</v>
      </c>
      <c r="N473" s="93">
        <v>1.953125E-3</v>
      </c>
      <c r="O473" s="93">
        <f t="shared" si="7"/>
        <v>0.615234375</v>
      </c>
    </row>
    <row r="474" spans="1:15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10.577300017468453</v>
      </c>
      <c r="H474">
        <v>4.5815976562499994E-3</v>
      </c>
      <c r="I474">
        <v>-0.70287468027687106</v>
      </c>
      <c r="J474" s="93">
        <v>-3.2202889877939803E-3</v>
      </c>
      <c r="L474" s="97"/>
      <c r="M474" s="97">
        <v>9.224566322344721</v>
      </c>
      <c r="N474" s="93">
        <v>3.90625E-3</v>
      </c>
      <c r="O474" s="93">
        <f t="shared" si="7"/>
        <v>0.619140625</v>
      </c>
    </row>
    <row r="475" spans="1:15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22.961119279202251</v>
      </c>
      <c r="H475">
        <v>2.8936406249999995E-3</v>
      </c>
      <c r="I475">
        <v>-0.46516149033652132</v>
      </c>
      <c r="J475" s="93">
        <v>-1.3460101856233029E-3</v>
      </c>
      <c r="L475" s="97"/>
      <c r="M475" s="97">
        <v>9.224566322344721</v>
      </c>
      <c r="N475" s="93">
        <v>1.953125E-3</v>
      </c>
      <c r="O475" s="93">
        <f t="shared" si="7"/>
        <v>0.62109375</v>
      </c>
    </row>
    <row r="476" spans="1:15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-14.5</v>
      </c>
      <c r="H476">
        <v>1.3706718749999999E-3</v>
      </c>
      <c r="I476">
        <v>-1.6214703050420796</v>
      </c>
      <c r="J476" s="93">
        <v>-2.2225037432688491E-3</v>
      </c>
      <c r="L476" s="97"/>
      <c r="M476" s="97">
        <v>9.4137620187462474</v>
      </c>
      <c r="N476" s="93">
        <v>4.8828125E-4</v>
      </c>
      <c r="O476" s="93">
        <f t="shared" si="7"/>
        <v>0.62158203125</v>
      </c>
    </row>
    <row r="477" spans="1:15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6.3718429117564508</v>
      </c>
      <c r="H477">
        <v>2.8936406249999995E-3</v>
      </c>
      <c r="I477">
        <v>-0.8086454106745089</v>
      </c>
      <c r="J477" s="93">
        <v>-2.3399292115475674E-3</v>
      </c>
      <c r="L477" s="97"/>
      <c r="M477" s="97">
        <v>9.4137620187462474</v>
      </c>
      <c r="N477" s="93">
        <v>9.765625E-4</v>
      </c>
      <c r="O477" s="93">
        <f t="shared" si="7"/>
        <v>0.62255859375</v>
      </c>
    </row>
    <row r="478" spans="1:15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18.865151005358459</v>
      </c>
      <c r="H478">
        <v>1.8275624999999998E-3</v>
      </c>
      <c r="I478">
        <v>-0.53321083677750525</v>
      </c>
      <c r="J478" s="93">
        <v>-9.7447612988818934E-4</v>
      </c>
      <c r="L478" s="97"/>
      <c r="M478" s="97">
        <v>9.4137620187462474</v>
      </c>
      <c r="N478" s="93">
        <v>4.8828125E-4</v>
      </c>
      <c r="O478" s="93">
        <f t="shared" si="7"/>
        <v>0.623046875</v>
      </c>
    </row>
    <row r="479" spans="1:15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-4.3446050569387475</v>
      </c>
      <c r="H479">
        <v>6.4926562499999999E-4</v>
      </c>
      <c r="I479">
        <v>-1.1558316967044109</v>
      </c>
      <c r="J479" s="93">
        <v>-7.5044178895559976E-4</v>
      </c>
      <c r="L479" s="97"/>
      <c r="M479" s="97">
        <v>9.8975257856043335</v>
      </c>
      <c r="N479" s="93">
        <v>4.8828125E-4</v>
      </c>
      <c r="O479" s="93">
        <f t="shared" si="7"/>
        <v>0.62353515625</v>
      </c>
    </row>
    <row r="480" spans="1:15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12.977700868993718</v>
      </c>
      <c r="H480">
        <v>1.3706718749999997E-3</v>
      </c>
      <c r="I480">
        <v>-0.64882643733137257</v>
      </c>
      <c r="J480" s="93">
        <v>-8.893281494065622E-4</v>
      </c>
      <c r="L480" s="97"/>
      <c r="M480" s="97">
        <v>9.8975257856043335</v>
      </c>
      <c r="N480" s="93">
        <v>9.765625E-4</v>
      </c>
      <c r="O480" s="93">
        <f t="shared" si="7"/>
        <v>0.62451171875</v>
      </c>
    </row>
    <row r="481" spans="1:15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25.367738955906368</v>
      </c>
      <c r="H481">
        <v>8.6568749999999992E-4</v>
      </c>
      <c r="I481">
        <v>-0.42930343665530679</v>
      </c>
      <c r="J481" s="93">
        <v>-3.7164261881954085E-4</v>
      </c>
      <c r="L481" s="97"/>
      <c r="M481" s="97">
        <v>9.8975257856043335</v>
      </c>
      <c r="N481" s="93">
        <v>4.8828125E-4</v>
      </c>
      <c r="O481" s="93">
        <f t="shared" si="7"/>
        <v>0.625</v>
      </c>
    </row>
    <row r="482" spans="1:15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-10.483047935047331</v>
      </c>
      <c r="H482">
        <v>1.3706718749999997E-3</v>
      </c>
      <c r="I482">
        <v>-1.418265904264834</v>
      </c>
      <c r="J482" s="93">
        <v>-1.9439771862472502E-3</v>
      </c>
      <c r="L482" s="97"/>
      <c r="M482" s="97">
        <v>10.007860615072559</v>
      </c>
      <c r="N482" s="93">
        <v>3.90625E-3</v>
      </c>
      <c r="O482" s="93">
        <f t="shared" si="7"/>
        <v>0.62890625</v>
      </c>
    </row>
    <row r="483" spans="1:15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8.7755783776250844</v>
      </c>
      <c r="H483">
        <v>2.8936406249999991E-3</v>
      </c>
      <c r="I483">
        <v>-0.74638085523095454</v>
      </c>
      <c r="J483" s="93">
        <v>-2.1597579644185333E-3</v>
      </c>
      <c r="L483" s="97"/>
      <c r="M483" s="97">
        <v>10.007860615072559</v>
      </c>
      <c r="N483" s="93">
        <v>7.8125E-3</v>
      </c>
      <c r="O483" s="93">
        <f t="shared" si="7"/>
        <v>0.63671875</v>
      </c>
    </row>
    <row r="484" spans="1:15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21.260882399661533</v>
      </c>
      <c r="H484">
        <v>1.8275624999999993E-3</v>
      </c>
      <c r="I484">
        <v>-0.49228568029873199</v>
      </c>
      <c r="J484" s="93">
        <v>-8.9968284860095107E-4</v>
      </c>
      <c r="L484" s="97"/>
      <c r="M484" s="97">
        <v>10.007860615072559</v>
      </c>
      <c r="N484" s="93">
        <v>3.90625E-3</v>
      </c>
      <c r="O484" s="93">
        <f t="shared" si="7"/>
        <v>0.640625</v>
      </c>
    </row>
    <row r="485" spans="1:15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-17</v>
      </c>
      <c r="H485">
        <v>8.6568749999999992E-4</v>
      </c>
      <c r="I485">
        <v>-1.7623826407286585</v>
      </c>
      <c r="J485" s="93">
        <v>-1.5256726222957905E-3</v>
      </c>
      <c r="L485" s="97"/>
      <c r="M485" s="97">
        <v>10.24161466355287</v>
      </c>
      <c r="N485" s="93">
        <v>9.765625E-4</v>
      </c>
      <c r="O485" s="93">
        <f t="shared" si="7"/>
        <v>0.6416015625</v>
      </c>
    </row>
    <row r="486" spans="1:15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4.5279509801869846</v>
      </c>
      <c r="H486">
        <v>1.8275624999999995E-3</v>
      </c>
      <c r="I486">
        <v>-0.85990642883052837</v>
      </c>
      <c r="J486" s="93">
        <v>-1.5715327428395922E-3</v>
      </c>
      <c r="L486" s="97"/>
      <c r="M486" s="97">
        <v>10.24161466355287</v>
      </c>
      <c r="N486" s="93">
        <v>1.953125E-3</v>
      </c>
      <c r="O486" s="93">
        <f t="shared" si="7"/>
        <v>0.6435546875</v>
      </c>
    </row>
    <row r="487" spans="1:15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17.11929163432762</v>
      </c>
      <c r="H487">
        <v>1.1542499999999997E-3</v>
      </c>
      <c r="I487">
        <v>-0.56516189193670641</v>
      </c>
      <c r="J487" s="93">
        <v>-6.5233811376794323E-4</v>
      </c>
      <c r="L487" s="97"/>
      <c r="M487" s="97">
        <v>10.24161466355287</v>
      </c>
      <c r="N487" s="93">
        <v>9.765625E-4</v>
      </c>
      <c r="O487" s="93">
        <f t="shared" si="7"/>
        <v>0.64453125</v>
      </c>
    </row>
    <row r="488" spans="1:15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1.4902727149252621</v>
      </c>
      <c r="H488">
        <v>1.7299511718750003E-4</v>
      </c>
      <c r="I488">
        <v>-0.9515379038352384</v>
      </c>
      <c r="J488" s="93">
        <v>-1.6461141118232519E-4</v>
      </c>
      <c r="L488" s="97"/>
      <c r="M488" s="97">
        <v>10.577300017468453</v>
      </c>
      <c r="N488" s="93">
        <v>3.90625E-3</v>
      </c>
      <c r="O488" s="93">
        <f t="shared" si="7"/>
        <v>0.6484375</v>
      </c>
    </row>
    <row r="489" spans="1:15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22.51527942119969</v>
      </c>
      <c r="H489">
        <v>3.6521191406250006E-4</v>
      </c>
      <c r="I489">
        <v>-0.47212603107941109</v>
      </c>
      <c r="J489" s="93">
        <v>-1.7242605148924312E-4</v>
      </c>
      <c r="L489" s="97"/>
      <c r="M489" s="97">
        <v>10.577300017468453</v>
      </c>
      <c r="N489" s="93">
        <v>7.8125E-3</v>
      </c>
      <c r="O489" s="93">
        <f t="shared" si="7"/>
        <v>0.65625</v>
      </c>
    </row>
    <row r="490" spans="1:15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37.985882094762495</v>
      </c>
      <c r="H490">
        <v>2.3066015625000002E-4</v>
      </c>
      <c r="I490">
        <v>-0.28190192003777143</v>
      </c>
      <c r="J490" s="93">
        <v>-6.5023540923087373E-5</v>
      </c>
      <c r="L490" s="97"/>
      <c r="M490" s="97">
        <v>10.577300017468453</v>
      </c>
      <c r="N490" s="93">
        <v>3.90625E-3</v>
      </c>
      <c r="O490" s="93">
        <f t="shared" si="7"/>
        <v>0.66015625</v>
      </c>
    </row>
    <row r="491" spans="1:15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-4.7448970094345793</v>
      </c>
      <c r="H491">
        <v>3.6521191406250006E-4</v>
      </c>
      <c r="I491">
        <v>-1.171357384041676</v>
      </c>
      <c r="J491" s="93">
        <v>-4.2779367227710344E-4</v>
      </c>
      <c r="L491" s="97"/>
      <c r="M491" s="97">
        <v>11.023925996452062</v>
      </c>
      <c r="N491" s="93">
        <v>1.953125E-3</v>
      </c>
      <c r="O491" s="93">
        <f t="shared" si="7"/>
        <v>0.662109375</v>
      </c>
    </row>
    <row r="492" spans="1:15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17.358411863345417</v>
      </c>
      <c r="H492">
        <v>7.7100292968750007E-4</v>
      </c>
      <c r="I492">
        <v>-0.56067507579855758</v>
      </c>
      <c r="J492" s="93">
        <v>-4.3228212604344904E-4</v>
      </c>
      <c r="L492" s="97"/>
      <c r="M492" s="97">
        <v>11.023925996452062</v>
      </c>
      <c r="N492" s="93">
        <v>3.90625E-3</v>
      </c>
      <c r="O492" s="93">
        <f t="shared" si="7"/>
        <v>0.666015625</v>
      </c>
    </row>
    <row r="493" spans="1:15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32.829014536908225</v>
      </c>
      <c r="H493">
        <v>4.8694921875000008E-4</v>
      </c>
      <c r="I493">
        <v>-0.33477370443561</v>
      </c>
      <c r="J493" s="93">
        <v>-1.6301779383296372E-4</v>
      </c>
      <c r="L493" s="97"/>
      <c r="M493" s="97">
        <v>11.023925996452062</v>
      </c>
      <c r="N493" s="93">
        <v>1.953125E-3</v>
      </c>
      <c r="O493" s="93">
        <f t="shared" si="7"/>
        <v>0.66796875</v>
      </c>
    </row>
    <row r="494" spans="1:15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-13</v>
      </c>
      <c r="H494">
        <v>2.3066015625000002E-4</v>
      </c>
      <c r="I494">
        <v>-1.5423902651101746</v>
      </c>
      <c r="J494" s="93">
        <v>-3.5576797954879185E-4</v>
      </c>
      <c r="L494" s="97"/>
      <c r="M494" s="97">
        <v>11.130933880251099</v>
      </c>
      <c r="N494" s="93">
        <v>9.765625E-4</v>
      </c>
      <c r="O494" s="93">
        <f t="shared" si="7"/>
        <v>0.6689453125</v>
      </c>
    </row>
    <row r="495" spans="1:15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12.142250752679082</v>
      </c>
      <c r="H495">
        <v>4.8694921874999997E-4</v>
      </c>
      <c r="I495">
        <v>-0.667149118720609</v>
      </c>
      <c r="J495" s="93">
        <v>-3.2486774215075156E-4</v>
      </c>
      <c r="L495" s="97"/>
      <c r="M495" s="97">
        <v>11.130933880251099</v>
      </c>
      <c r="N495" s="93">
        <v>1.953125E-3</v>
      </c>
      <c r="O495" s="93">
        <f t="shared" si="7"/>
        <v>0.6708984375</v>
      </c>
    </row>
    <row r="496" spans="1:15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27.672146979053963</v>
      </c>
      <c r="H496">
        <v>3.0754687499999999E-4</v>
      </c>
      <c r="I496">
        <v>-0.3975617944231265</v>
      </c>
      <c r="J496" s="93">
        <v>-1.2226888749422498E-4</v>
      </c>
      <c r="L496" s="97"/>
      <c r="M496" s="97">
        <v>11.130933880251099</v>
      </c>
      <c r="N496" s="93">
        <v>9.765625E-4</v>
      </c>
      <c r="O496" s="93">
        <f t="shared" si="7"/>
        <v>0.671875</v>
      </c>
    </row>
    <row r="497" spans="1:15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0.37820513723450122</v>
      </c>
      <c r="H497">
        <v>3.652119140625E-4</v>
      </c>
      <c r="I497">
        <v>-0.98747229538394343</v>
      </c>
      <c r="J497" s="93">
        <v>-3.6063664708086036E-4</v>
      </c>
      <c r="L497" s="97"/>
      <c r="M497" s="97">
        <v>11.606092902532644</v>
      </c>
      <c r="N497" s="93">
        <v>9.765625E-4</v>
      </c>
      <c r="O497" s="93">
        <f t="shared" si="7"/>
        <v>0.6728515625</v>
      </c>
    </row>
    <row r="498" spans="1:15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21.543057198977468</v>
      </c>
      <c r="H498">
        <v>7.7100292968749996E-4</v>
      </c>
      <c r="I498">
        <v>-0.48767703456901079</v>
      </c>
      <c r="J498" s="93">
        <v>-3.7600042239401953E-4</v>
      </c>
      <c r="L498" s="97"/>
      <c r="M498" s="97">
        <v>11.606092902532644</v>
      </c>
      <c r="N498" s="93">
        <v>1.953125E-3</v>
      </c>
      <c r="O498" s="93">
        <f t="shared" si="7"/>
        <v>0.6748046875</v>
      </c>
    </row>
    <row r="499" spans="1:15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37.013659872540273</v>
      </c>
      <c r="H499">
        <v>4.8694921874999997E-4</v>
      </c>
      <c r="I499">
        <v>-0.29118727490839674</v>
      </c>
      <c r="J499" s="93">
        <v>-1.4179341602658525E-4</v>
      </c>
      <c r="L499" s="97"/>
      <c r="M499" s="97">
        <v>11.606092902532644</v>
      </c>
      <c r="N499" s="93">
        <v>9.765625E-4</v>
      </c>
      <c r="O499" s="93">
        <f t="shared" si="7"/>
        <v>0.67578125</v>
      </c>
    </row>
    <row r="500" spans="1:15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-6.2448970094345793</v>
      </c>
      <c r="H500">
        <v>7.7100292968749996E-4</v>
      </c>
      <c r="I500">
        <v>-1.2314141613696441</v>
      </c>
      <c r="J500" s="93">
        <v>-9.494239260746714E-4</v>
      </c>
      <c r="L500" s="97"/>
      <c r="M500" s="97">
        <v>11.629485097309161</v>
      </c>
      <c r="N500" s="93">
        <v>1.953125E-3</v>
      </c>
      <c r="O500" s="93">
        <f t="shared" si="7"/>
        <v>0.677734375</v>
      </c>
    </row>
    <row r="501" spans="1:15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16.357683125348164</v>
      </c>
      <c r="H501">
        <v>1.6276728515624999E-3</v>
      </c>
      <c r="I501">
        <v>-0.579693302450496</v>
      </c>
      <c r="J501" s="93">
        <v>-9.4355105063128155E-4</v>
      </c>
      <c r="L501" s="97"/>
      <c r="M501" s="97">
        <v>11.629485097309161</v>
      </c>
      <c r="N501" s="93">
        <v>3.90625E-3</v>
      </c>
      <c r="O501" s="93">
        <f t="shared" si="7"/>
        <v>0.681640625</v>
      </c>
    </row>
    <row r="502" spans="1:15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31.856792314686004</v>
      </c>
      <c r="H502">
        <v>1.0280039062499999E-3</v>
      </c>
      <c r="I502">
        <v>-0.34580056316229763</v>
      </c>
      <c r="J502" s="93">
        <v>-3.5548432971429177E-4</v>
      </c>
      <c r="L502" s="97"/>
      <c r="M502" s="97">
        <v>11.629485097309161</v>
      </c>
      <c r="N502" s="93">
        <v>1.953125E-3</v>
      </c>
      <c r="O502" s="93">
        <f t="shared" si="7"/>
        <v>0.68359375</v>
      </c>
    </row>
    <row r="503" spans="1:15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-14.5</v>
      </c>
      <c r="H503">
        <v>4.8694921874999997E-4</v>
      </c>
      <c r="I503">
        <v>-1.6214703050420796</v>
      </c>
      <c r="J503" s="93">
        <v>-7.8957369826656481E-4</v>
      </c>
      <c r="L503" s="97"/>
      <c r="M503" s="97">
        <v>12.142250752679082</v>
      </c>
      <c r="N503" s="93">
        <v>4.8828125E-4</v>
      </c>
      <c r="O503" s="93">
        <f t="shared" si="7"/>
        <v>0.68408203125</v>
      </c>
    </row>
    <row r="504" spans="1:15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11.130933880251099</v>
      </c>
      <c r="H504">
        <v>1.0280039062499999E-3</v>
      </c>
      <c r="I504">
        <v>-0.6900224612794772</v>
      </c>
      <c r="J504" s="93">
        <v>-7.0934578559554186E-4</v>
      </c>
      <c r="L504" s="97"/>
      <c r="M504" s="97">
        <v>12.142250752679082</v>
      </c>
      <c r="N504" s="93">
        <v>9.765625E-4</v>
      </c>
      <c r="O504" s="93">
        <f t="shared" si="7"/>
        <v>0.68505859375</v>
      </c>
    </row>
    <row r="505" spans="1:15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26.699924756831738</v>
      </c>
      <c r="H505">
        <v>6.4926562499999999E-4</v>
      </c>
      <c r="I505">
        <v>-0.41065678272163386</v>
      </c>
      <c r="J505" s="93">
        <v>-2.6662533269425083E-4</v>
      </c>
      <c r="L505" s="97"/>
      <c r="M505" s="97">
        <v>12.142250752679082</v>
      </c>
      <c r="N505" s="93">
        <v>4.8828125E-4</v>
      </c>
      <c r="O505" s="93">
        <f t="shared" si="7"/>
        <v>0.685546875</v>
      </c>
    </row>
    <row r="506" spans="1:15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-1.5290406772738361</v>
      </c>
      <c r="H506">
        <v>2.3066015625000002E-4</v>
      </c>
      <c r="I506">
        <v>-1.0522892432456679</v>
      </c>
      <c r="J506" s="93">
        <v>-2.4272120126724001E-4</v>
      </c>
      <c r="L506" s="97"/>
      <c r="M506" s="97">
        <v>12.617409774960631</v>
      </c>
      <c r="N506" s="93">
        <v>4.8828125E-4</v>
      </c>
      <c r="O506" s="93">
        <f t="shared" si="7"/>
        <v>0.68603515625</v>
      </c>
    </row>
    <row r="507" spans="1:15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19.898904249731924</v>
      </c>
      <c r="H507">
        <v>4.8694921874999997E-4</v>
      </c>
      <c r="I507">
        <v>-0.51515018043990279</v>
      </c>
      <c r="J507" s="93">
        <v>-2.508519779041322E-4</v>
      </c>
      <c r="L507" s="97"/>
      <c r="M507" s="97">
        <v>12.617409774960631</v>
      </c>
      <c r="N507" s="93">
        <v>9.765625E-4</v>
      </c>
      <c r="O507" s="93">
        <f t="shared" si="7"/>
        <v>0.68701171875</v>
      </c>
    </row>
    <row r="508" spans="1:15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35.3932895021699</v>
      </c>
      <c r="H508">
        <v>3.0754687499999999E-4</v>
      </c>
      <c r="I508">
        <v>-0.30734747939921481</v>
      </c>
      <c r="J508" s="93">
        <v>-9.4523756828355387E-5</v>
      </c>
      <c r="L508" s="97"/>
      <c r="M508" s="97">
        <v>12.617409774960631</v>
      </c>
      <c r="N508" s="93">
        <v>4.8828125E-4</v>
      </c>
      <c r="O508" s="93">
        <f t="shared" si="7"/>
        <v>0.6875</v>
      </c>
    </row>
    <row r="509" spans="1:15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-8.7448970094345775</v>
      </c>
      <c r="H509">
        <v>4.8694921874999997E-4</v>
      </c>
      <c r="I509">
        <v>-1.338429038630454</v>
      </c>
      <c r="J509" s="93">
        <v>-6.5174697471341309E-4</v>
      </c>
      <c r="L509" s="97"/>
      <c r="M509" s="97">
        <v>12.777610861340639</v>
      </c>
      <c r="N509" s="93">
        <v>3.90625E-3</v>
      </c>
      <c r="O509" s="93">
        <f t="shared" si="7"/>
        <v>0.69140625</v>
      </c>
    </row>
    <row r="510" spans="1:15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14.672155004634858</v>
      </c>
      <c r="H510">
        <v>1.0280039062499999E-3</v>
      </c>
      <c r="I510">
        <v>-0.61319527745633073</v>
      </c>
      <c r="J510" s="93">
        <v>-6.3036714051916049E-4</v>
      </c>
      <c r="L510" s="97"/>
      <c r="M510" s="97">
        <v>12.777610861340639</v>
      </c>
      <c r="N510" s="93">
        <v>7.8125E-3</v>
      </c>
      <c r="O510" s="93">
        <f t="shared" si="7"/>
        <v>0.69921875</v>
      </c>
    </row>
    <row r="511" spans="1:15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30.23642194431563</v>
      </c>
      <c r="H511">
        <v>6.4926562499999999E-4</v>
      </c>
      <c r="I511">
        <v>-0.36499167587661779</v>
      </c>
      <c r="J511" s="93">
        <v>-2.3697654855782968E-4</v>
      </c>
      <c r="L511" s="97"/>
      <c r="M511" s="97">
        <v>12.777610861340639</v>
      </c>
      <c r="N511" s="93">
        <v>3.90625E-3</v>
      </c>
      <c r="O511" s="93">
        <f t="shared" si="7"/>
        <v>0.703125</v>
      </c>
    </row>
    <row r="512" spans="1:15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-17</v>
      </c>
      <c r="H512">
        <v>3.0754687500000004E-4</v>
      </c>
      <c r="I512">
        <v>-1.7623826407286585</v>
      </c>
      <c r="J512" s="93">
        <v>-5.4201527371034667E-4</v>
      </c>
      <c r="L512" s="97"/>
      <c r="M512" s="97">
        <v>12.977700868993718</v>
      </c>
      <c r="N512" s="93">
        <v>9.765625E-4</v>
      </c>
      <c r="O512" s="93">
        <f t="shared" si="7"/>
        <v>0.7041015625</v>
      </c>
    </row>
    <row r="513" spans="1:15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9.4137620187462474</v>
      </c>
      <c r="H513">
        <v>6.4926562499999999E-4</v>
      </c>
      <c r="I513">
        <v>-0.73067094275298961</v>
      </c>
      <c r="J513" s="93">
        <v>-4.7439952631585903E-4</v>
      </c>
      <c r="L513" s="97"/>
      <c r="M513" s="97">
        <v>12.977700868993718</v>
      </c>
      <c r="N513" s="93">
        <v>1.953125E-3</v>
      </c>
      <c r="O513" s="93">
        <f t="shared" si="7"/>
        <v>0.7060546875</v>
      </c>
    </row>
    <row r="514" spans="1:15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25.079554386461371</v>
      </c>
      <c r="H514">
        <v>4.100625E-4</v>
      </c>
      <c r="I514">
        <v>-0.43344726210096352</v>
      </c>
      <c r="J514" s="93">
        <v>-1.7774046791527634E-4</v>
      </c>
      <c r="L514" s="97"/>
      <c r="M514" s="97">
        <v>12.977700868993718</v>
      </c>
      <c r="N514" s="93">
        <v>9.765625E-4</v>
      </c>
      <c r="O514" s="93">
        <f t="shared" si="7"/>
        <v>0.70703125</v>
      </c>
    </row>
    <row r="515" spans="1:15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1.4902727149252621</v>
      </c>
      <c r="H515">
        <v>3.652119140625E-4</v>
      </c>
      <c r="I515">
        <v>-0.9515379038352384</v>
      </c>
      <c r="J515" s="93">
        <v>-3.4751297916268649E-4</v>
      </c>
      <c r="L515" s="97"/>
      <c r="M515" s="97">
        <v>13.825126483959142</v>
      </c>
      <c r="N515" s="93">
        <v>1.953125E-3</v>
      </c>
      <c r="O515" s="93">
        <f t="shared" si="7"/>
        <v>0.708984375</v>
      </c>
    </row>
    <row r="516" spans="1:15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22.51527942119969</v>
      </c>
      <c r="H516">
        <v>7.7100292968749996E-4</v>
      </c>
      <c r="I516">
        <v>-0.47212603107941109</v>
      </c>
      <c r="J516" s="93">
        <v>-3.6401055314395762E-4</v>
      </c>
      <c r="L516" s="97"/>
      <c r="M516" s="97">
        <v>13.825126483959142</v>
      </c>
      <c r="N516" s="93">
        <v>3.90625E-3</v>
      </c>
      <c r="O516" s="93">
        <f t="shared" ref="O516:O579" si="8">N516+O515</f>
        <v>0.712890625</v>
      </c>
    </row>
    <row r="517" spans="1:15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37.985882094762495</v>
      </c>
      <c r="H517">
        <v>4.8694921874999997E-4</v>
      </c>
      <c r="I517">
        <v>-0.28190192003777143</v>
      </c>
      <c r="J517" s="93">
        <v>-1.3727191972651774E-4</v>
      </c>
      <c r="L517" s="97"/>
      <c r="M517" s="97">
        <v>13.825126483959142</v>
      </c>
      <c r="N517" s="93">
        <v>1.953125E-3</v>
      </c>
      <c r="O517" s="93">
        <f t="shared" si="8"/>
        <v>0.71484375</v>
      </c>
    </row>
    <row r="518" spans="1:15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-4.7448970094345793</v>
      </c>
      <c r="H518">
        <v>7.7100292968749996E-4</v>
      </c>
      <c r="I518">
        <v>-1.171357384041676</v>
      </c>
      <c r="J518" s="93">
        <v>-9.0311997480721821E-4</v>
      </c>
      <c r="L518" s="97"/>
      <c r="M518" s="97">
        <v>14.672155004634858</v>
      </c>
      <c r="N518" s="93">
        <v>9.765625E-4</v>
      </c>
      <c r="O518" s="93">
        <f t="shared" si="8"/>
        <v>0.7158203125</v>
      </c>
    </row>
    <row r="519" spans="1:15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17.358411863345417</v>
      </c>
      <c r="H519">
        <v>1.6276728515624999E-3</v>
      </c>
      <c r="I519">
        <v>-0.56067507579855758</v>
      </c>
      <c r="J519" s="93">
        <v>-9.1259559942505895E-4</v>
      </c>
      <c r="L519" s="97"/>
      <c r="M519" s="97">
        <v>14.672155004634858</v>
      </c>
      <c r="N519" s="93">
        <v>1.953125E-3</v>
      </c>
      <c r="O519" s="93">
        <f t="shared" si="8"/>
        <v>0.7177734375</v>
      </c>
    </row>
    <row r="520" spans="1:15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32.829014536908225</v>
      </c>
      <c r="H520">
        <v>1.0280039062499999E-3</v>
      </c>
      <c r="I520">
        <v>-0.33477370443561</v>
      </c>
      <c r="J520" s="93">
        <v>-3.4414867586959002E-4</v>
      </c>
      <c r="L520" s="97"/>
      <c r="M520" s="97">
        <v>14.672155004634858</v>
      </c>
      <c r="N520" s="93">
        <v>9.765625E-4</v>
      </c>
      <c r="O520" s="93">
        <f t="shared" si="8"/>
        <v>0.71875</v>
      </c>
    </row>
    <row r="521" spans="1:15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-13</v>
      </c>
      <c r="H521">
        <v>4.8694921874999997E-4</v>
      </c>
      <c r="I521">
        <v>-1.5423902651101746</v>
      </c>
      <c r="J521" s="93">
        <v>-7.5106573460300492E-4</v>
      </c>
      <c r="L521" s="97"/>
      <c r="M521" s="97">
        <v>14.723560240024558</v>
      </c>
      <c r="N521" s="93">
        <v>1.953125E-3</v>
      </c>
      <c r="O521" s="93">
        <f t="shared" si="8"/>
        <v>0.720703125</v>
      </c>
    </row>
    <row r="522" spans="1:15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12.142250752679082</v>
      </c>
      <c r="H522">
        <v>1.0280039062499999E-3</v>
      </c>
      <c r="I522">
        <v>-0.667149118720609</v>
      </c>
      <c r="J522" s="93">
        <v>-6.8583190009603105E-4</v>
      </c>
      <c r="L522" s="97"/>
      <c r="M522" s="97">
        <v>14.723560240024558</v>
      </c>
      <c r="N522" s="93">
        <v>3.90625E-3</v>
      </c>
      <c r="O522" s="93">
        <f t="shared" si="8"/>
        <v>0.724609375</v>
      </c>
    </row>
    <row r="523" spans="1:15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27.672146979053963</v>
      </c>
      <c r="H523">
        <v>6.4926562499999999E-4</v>
      </c>
      <c r="I523">
        <v>-0.3975617944231265</v>
      </c>
      <c r="J523" s="93">
        <v>-2.5812320693225271E-4</v>
      </c>
      <c r="L523" s="97"/>
      <c r="M523" s="97">
        <v>14.723560240024558</v>
      </c>
      <c r="N523" s="93">
        <v>1.953125E-3</v>
      </c>
      <c r="O523" s="93">
        <f t="shared" si="8"/>
        <v>0.7265625</v>
      </c>
    </row>
    <row r="524" spans="1:15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0.37820513723450122</v>
      </c>
      <c r="H524">
        <v>7.7100292968750007E-4</v>
      </c>
      <c r="I524">
        <v>-0.98747229538394343</v>
      </c>
      <c r="J524" s="93">
        <v>-7.6134403272626089E-4</v>
      </c>
      <c r="L524" s="97"/>
      <c r="M524" s="97">
        <v>14.849017359196388</v>
      </c>
      <c r="N524" s="93">
        <v>9.765625E-4</v>
      </c>
      <c r="O524" s="93">
        <f t="shared" si="8"/>
        <v>0.7275390625</v>
      </c>
    </row>
    <row r="525" spans="1:15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21.543057198977468</v>
      </c>
      <c r="H525">
        <v>1.6276728515625001E-3</v>
      </c>
      <c r="I525">
        <v>-0.48767703456901079</v>
      </c>
      <c r="J525" s="93">
        <v>-7.9377866949848571E-4</v>
      </c>
      <c r="L525" s="97"/>
      <c r="M525" s="97">
        <v>14.849017359196388</v>
      </c>
      <c r="N525" s="93">
        <v>1.953125E-3</v>
      </c>
      <c r="O525" s="93">
        <f t="shared" si="8"/>
        <v>0.7294921875</v>
      </c>
    </row>
    <row r="526" spans="1:15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37.013659872540273</v>
      </c>
      <c r="H526">
        <v>1.0280039062499999E-3</v>
      </c>
      <c r="I526">
        <v>-0.29118727490839674</v>
      </c>
      <c r="J526" s="93">
        <v>-2.9934165605612447E-4</v>
      </c>
      <c r="L526" s="97"/>
      <c r="M526" s="97">
        <v>14.849017359196388</v>
      </c>
      <c r="N526" s="93">
        <v>9.765625E-4</v>
      </c>
      <c r="O526" s="93">
        <f t="shared" si="8"/>
        <v>0.73046875</v>
      </c>
    </row>
    <row r="527" spans="1:15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-6.2448970094345793</v>
      </c>
      <c r="H527">
        <v>1.6276728515624999E-3</v>
      </c>
      <c r="I527">
        <v>-1.2314141613696441</v>
      </c>
      <c r="J527" s="93">
        <v>-2.0043393994909732E-3</v>
      </c>
      <c r="L527" s="97"/>
      <c r="M527" s="97">
        <v>15.771075862643059</v>
      </c>
      <c r="N527" s="93">
        <v>9.765625E-4</v>
      </c>
      <c r="O527" s="93">
        <f t="shared" si="8"/>
        <v>0.7314453125</v>
      </c>
    </row>
    <row r="528" spans="1:15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16.357683125348164</v>
      </c>
      <c r="H528">
        <v>3.4361982421874998E-3</v>
      </c>
      <c r="I528">
        <v>-0.579693302450496</v>
      </c>
      <c r="J528" s="93">
        <v>-1.9919411068882609E-3</v>
      </c>
      <c r="L528" s="97"/>
      <c r="M528" s="97">
        <v>15.771075862643059</v>
      </c>
      <c r="N528" s="93">
        <v>1.953125E-3</v>
      </c>
      <c r="O528" s="93">
        <f t="shared" si="8"/>
        <v>0.7333984375</v>
      </c>
    </row>
    <row r="529" spans="1:15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31.856792314686004</v>
      </c>
      <c r="H529">
        <v>2.1702304687499997E-3</v>
      </c>
      <c r="I529">
        <v>-0.34580056316229763</v>
      </c>
      <c r="J529" s="93">
        <v>-7.5046691828572706E-4</v>
      </c>
      <c r="L529" s="97"/>
      <c r="M529" s="97">
        <v>15.771075862643059</v>
      </c>
      <c r="N529" s="93">
        <v>9.765625E-4</v>
      </c>
      <c r="O529" s="93">
        <f t="shared" si="8"/>
        <v>0.734375</v>
      </c>
    </row>
    <row r="530" spans="1:15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-14.5</v>
      </c>
      <c r="H530">
        <v>1.0280039062499999E-3</v>
      </c>
      <c r="I530">
        <v>-1.6214703050420796</v>
      </c>
      <c r="J530" s="93">
        <v>-1.6668778074516368E-3</v>
      </c>
      <c r="L530" s="97"/>
      <c r="M530" s="97">
        <v>16.357683125348164</v>
      </c>
      <c r="N530" s="93">
        <v>1.953125E-3</v>
      </c>
      <c r="O530" s="93">
        <f t="shared" si="8"/>
        <v>0.736328125</v>
      </c>
    </row>
    <row r="531" spans="1:15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11.130933880251099</v>
      </c>
      <c r="H531">
        <v>2.1702304687499997E-3</v>
      </c>
      <c r="I531">
        <v>-0.6900224612794772</v>
      </c>
      <c r="J531" s="93">
        <v>-1.4975077695905884E-3</v>
      </c>
      <c r="L531" s="97"/>
      <c r="M531" s="97">
        <v>16.357683125348164</v>
      </c>
      <c r="N531" s="93">
        <v>3.90625E-3</v>
      </c>
      <c r="O531" s="93">
        <f t="shared" si="8"/>
        <v>0.740234375</v>
      </c>
    </row>
    <row r="532" spans="1:15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26.699924756831738</v>
      </c>
      <c r="H532">
        <v>1.3706718749999999E-3</v>
      </c>
      <c r="I532">
        <v>-0.41065678272163386</v>
      </c>
      <c r="J532" s="93">
        <v>-5.6287570235452947E-4</v>
      </c>
      <c r="L532" s="97"/>
      <c r="M532" s="97">
        <v>16.357683125348164</v>
      </c>
      <c r="N532" s="93">
        <v>1.953125E-3</v>
      </c>
      <c r="O532" s="93">
        <f t="shared" si="8"/>
        <v>0.7421875</v>
      </c>
    </row>
    <row r="533" spans="1:15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-1.5290406772738361</v>
      </c>
      <c r="H533">
        <v>4.8694921875000008E-4</v>
      </c>
      <c r="I533">
        <v>-1.0522892432456679</v>
      </c>
      <c r="J533" s="93">
        <v>-5.1241142489750677E-4</v>
      </c>
      <c r="L533" s="97"/>
      <c r="M533" s="97">
        <v>16.594876730227227</v>
      </c>
      <c r="N533" s="93">
        <v>1.953125E-3</v>
      </c>
      <c r="O533" s="93">
        <f t="shared" si="8"/>
        <v>0.744140625</v>
      </c>
    </row>
    <row r="534" spans="1:15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19.898904249731924</v>
      </c>
      <c r="H534">
        <v>1.0280039062500002E-3</v>
      </c>
      <c r="I534">
        <v>-0.51515018043990279</v>
      </c>
      <c r="J534" s="93">
        <v>-5.2957639779761248E-4</v>
      </c>
      <c r="L534" s="97"/>
      <c r="M534" s="97">
        <v>16.594876730227227</v>
      </c>
      <c r="N534" s="93">
        <v>3.90625E-3</v>
      </c>
      <c r="O534" s="93">
        <f t="shared" si="8"/>
        <v>0.748046875</v>
      </c>
    </row>
    <row r="535" spans="1:15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35.3932895021699</v>
      </c>
      <c r="H535">
        <v>6.492656250000001E-4</v>
      </c>
      <c r="I535">
        <v>-0.30734747939921481</v>
      </c>
      <c r="J535" s="93">
        <v>-1.9955015330430585E-4</v>
      </c>
      <c r="L535" s="97"/>
      <c r="M535" s="97">
        <v>16.594876730227227</v>
      </c>
      <c r="N535" s="93">
        <v>1.953125E-3</v>
      </c>
      <c r="O535" s="93">
        <f t="shared" si="8"/>
        <v>0.75</v>
      </c>
    </row>
    <row r="536" spans="1:15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-8.7448970094345775</v>
      </c>
      <c r="H536">
        <v>1.0280039062499999E-3</v>
      </c>
      <c r="I536">
        <v>-1.338429038630454</v>
      </c>
      <c r="J536" s="93">
        <v>-1.3759102799505388E-3</v>
      </c>
      <c r="L536" s="97"/>
      <c r="M536" s="97">
        <v>17.11929163432762</v>
      </c>
      <c r="N536" s="93">
        <v>4.8828125E-4</v>
      </c>
      <c r="O536" s="93">
        <f t="shared" si="8"/>
        <v>0.75048828125</v>
      </c>
    </row>
    <row r="537" spans="1:15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14.672155004634858</v>
      </c>
      <c r="H537">
        <v>2.1702304687499997E-3</v>
      </c>
      <c r="I537">
        <v>-0.61319527745633073</v>
      </c>
      <c r="J537" s="93">
        <v>-1.3307750744293387E-3</v>
      </c>
      <c r="L537" s="97"/>
      <c r="M537" s="97">
        <v>17.11929163432762</v>
      </c>
      <c r="N537" s="93">
        <v>9.765625E-4</v>
      </c>
      <c r="O537" s="93">
        <f t="shared" si="8"/>
        <v>0.75146484375</v>
      </c>
    </row>
    <row r="538" spans="1:15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30.23642194431563</v>
      </c>
      <c r="H538">
        <v>1.3706718749999999E-3</v>
      </c>
      <c r="I538">
        <v>-0.36499167587661779</v>
      </c>
      <c r="J538" s="93">
        <v>-5.0028382473319593E-4</v>
      </c>
      <c r="L538" s="97"/>
      <c r="M538" s="97">
        <v>17.11929163432762</v>
      </c>
      <c r="N538" s="93">
        <v>4.8828125E-4</v>
      </c>
      <c r="O538" s="93">
        <f t="shared" si="8"/>
        <v>0.751953125</v>
      </c>
    </row>
    <row r="539" spans="1:15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-17</v>
      </c>
      <c r="H539">
        <v>6.492656250000001E-4</v>
      </c>
      <c r="I539">
        <v>-1.7623826407286585</v>
      </c>
      <c r="J539" s="93">
        <v>-1.1442544667218432E-3</v>
      </c>
      <c r="L539" s="97"/>
      <c r="M539" s="97">
        <v>17.358411863345417</v>
      </c>
      <c r="N539" s="93">
        <v>9.765625E-4</v>
      </c>
      <c r="O539" s="93">
        <f t="shared" si="8"/>
        <v>0.7529296875</v>
      </c>
    </row>
    <row r="540" spans="1:15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9.4137620187462474</v>
      </c>
      <c r="H540">
        <v>1.3706718749999999E-3</v>
      </c>
      <c r="I540">
        <v>-0.73067094275298961</v>
      </c>
      <c r="J540" s="93">
        <v>-1.0015101111112579E-3</v>
      </c>
      <c r="L540" s="97"/>
      <c r="M540" s="97">
        <v>17.358411863345417</v>
      </c>
      <c r="N540" s="93">
        <v>1.953125E-3</v>
      </c>
      <c r="O540" s="93">
        <f t="shared" si="8"/>
        <v>0.7548828125</v>
      </c>
    </row>
    <row r="541" spans="1:15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25.079554386461371</v>
      </c>
      <c r="H541">
        <v>8.6568750000000003E-4</v>
      </c>
      <c r="I541">
        <v>-0.43344726210096352</v>
      </c>
      <c r="J541" s="93">
        <v>-3.7522987671002785E-4</v>
      </c>
      <c r="L541" s="97"/>
      <c r="M541" s="97">
        <v>17.358411863345417</v>
      </c>
      <c r="N541" s="93">
        <v>9.765625E-4</v>
      </c>
      <c r="O541" s="93">
        <f t="shared" si="8"/>
        <v>0.755859375</v>
      </c>
    </row>
    <row r="542" spans="1:15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1.4902727149252621</v>
      </c>
      <c r="H542">
        <v>2.3066015625000002E-4</v>
      </c>
      <c r="I542">
        <v>-0.9515379038352384</v>
      </c>
      <c r="J542" s="93">
        <v>-2.1948188157643357E-4</v>
      </c>
      <c r="L542" s="97"/>
      <c r="M542" s="97">
        <v>17.616686715366686</v>
      </c>
      <c r="N542" s="93">
        <v>9.765625E-4</v>
      </c>
      <c r="O542" s="93">
        <f t="shared" si="8"/>
        <v>0.7568359375</v>
      </c>
    </row>
    <row r="543" spans="1:15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22.51527942119969</v>
      </c>
      <c r="H543">
        <v>4.8694921874999997E-4</v>
      </c>
      <c r="I543">
        <v>-0.47212603107941109</v>
      </c>
      <c r="J543" s="93">
        <v>-2.2990140198565743E-4</v>
      </c>
      <c r="L543" s="97"/>
      <c r="M543" s="97">
        <v>17.616686715366686</v>
      </c>
      <c r="N543" s="93">
        <v>1.953125E-3</v>
      </c>
      <c r="O543" s="93">
        <f t="shared" si="8"/>
        <v>0.7587890625</v>
      </c>
    </row>
    <row r="544" spans="1:15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37.985882094762495</v>
      </c>
      <c r="H544">
        <v>3.0754687499999999E-4</v>
      </c>
      <c r="I544">
        <v>-0.28190192003777143</v>
      </c>
      <c r="J544" s="93">
        <v>-8.6698054564116479E-5</v>
      </c>
      <c r="L544" s="97"/>
      <c r="M544" s="97">
        <v>17.616686715366686</v>
      </c>
      <c r="N544" s="93">
        <v>9.765625E-4</v>
      </c>
      <c r="O544" s="93">
        <f t="shared" si="8"/>
        <v>0.759765625</v>
      </c>
    </row>
    <row r="545" spans="1:15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-4.7448970094345793</v>
      </c>
      <c r="H545">
        <v>4.8694921874999997E-4</v>
      </c>
      <c r="I545">
        <v>-1.171357384041676</v>
      </c>
      <c r="J545" s="93">
        <v>-5.7039156303613785E-4</v>
      </c>
      <c r="L545" s="97"/>
      <c r="M545" s="97">
        <v>18.666283228082971</v>
      </c>
      <c r="N545" s="93">
        <v>1.953125E-3</v>
      </c>
      <c r="O545" s="93">
        <f t="shared" si="8"/>
        <v>0.76171875</v>
      </c>
    </row>
    <row r="546" spans="1:15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17.358411863345417</v>
      </c>
      <c r="H546">
        <v>1.0280039062499999E-3</v>
      </c>
      <c r="I546">
        <v>-0.56067507579855758</v>
      </c>
      <c r="J546" s="93">
        <v>-5.7637616805793202E-4</v>
      </c>
      <c r="L546" s="97"/>
      <c r="M546" s="97">
        <v>18.666283228082971</v>
      </c>
      <c r="N546" s="93">
        <v>3.90625E-3</v>
      </c>
      <c r="O546" s="93">
        <f t="shared" si="8"/>
        <v>0.765625</v>
      </c>
    </row>
    <row r="547" spans="1:15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32.829014536908225</v>
      </c>
      <c r="H547">
        <v>6.4926562499999999E-4</v>
      </c>
      <c r="I547">
        <v>-0.33477370443561</v>
      </c>
      <c r="J547" s="93">
        <v>-2.1735705844395161E-4</v>
      </c>
      <c r="L547" s="97"/>
      <c r="M547" s="97">
        <v>18.666283228082971</v>
      </c>
      <c r="N547" s="93">
        <v>1.953125E-3</v>
      </c>
      <c r="O547" s="93">
        <f t="shared" si="8"/>
        <v>0.767578125</v>
      </c>
    </row>
    <row r="548" spans="1:15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-13</v>
      </c>
      <c r="H548">
        <v>3.0754687500000004E-4</v>
      </c>
      <c r="I548">
        <v>-1.5423902651101746</v>
      </c>
      <c r="J548" s="93">
        <v>-4.743573060650558E-4</v>
      </c>
      <c r="L548" s="97"/>
      <c r="M548" s="97">
        <v>18.865151005358459</v>
      </c>
      <c r="N548" s="93">
        <v>9.765625E-4</v>
      </c>
      <c r="O548" s="93">
        <f t="shared" si="8"/>
        <v>0.7685546875</v>
      </c>
    </row>
    <row r="549" spans="1:15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12.142250752679082</v>
      </c>
      <c r="H549">
        <v>6.4926562499999999E-4</v>
      </c>
      <c r="I549">
        <v>-0.667149118720609</v>
      </c>
      <c r="J549" s="93">
        <v>-4.3315698953433541E-4</v>
      </c>
      <c r="L549" s="97"/>
      <c r="M549" s="97">
        <v>18.865151005358459</v>
      </c>
      <c r="N549" s="93">
        <v>1.953125E-3</v>
      </c>
      <c r="O549" s="93">
        <f t="shared" si="8"/>
        <v>0.7705078125</v>
      </c>
    </row>
    <row r="550" spans="1:15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27.672146979053963</v>
      </c>
      <c r="H550">
        <v>4.100625E-4</v>
      </c>
      <c r="I550">
        <v>-0.3975617944231265</v>
      </c>
      <c r="J550" s="93">
        <v>-1.6302518332563331E-4</v>
      </c>
      <c r="L550" s="97"/>
      <c r="M550" s="97">
        <v>18.865151005358459</v>
      </c>
      <c r="N550" s="93">
        <v>9.765625E-4</v>
      </c>
      <c r="O550" s="93">
        <f t="shared" si="8"/>
        <v>0.771484375</v>
      </c>
    </row>
    <row r="551" spans="1:15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0.37820513723450122</v>
      </c>
      <c r="H551">
        <v>4.8694921875000008E-4</v>
      </c>
      <c r="I551">
        <v>-0.98747229538394343</v>
      </c>
      <c r="J551" s="93">
        <v>-4.8084886277448058E-4</v>
      </c>
      <c r="L551" s="97"/>
      <c r="M551" s="97">
        <v>19.880288354212805</v>
      </c>
      <c r="N551" s="93">
        <v>4.8828125E-4</v>
      </c>
      <c r="O551" s="93">
        <f t="shared" si="8"/>
        <v>0.77197265625</v>
      </c>
    </row>
    <row r="552" spans="1:15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21.543057198977468</v>
      </c>
      <c r="H552">
        <v>1.0280039062500002E-3</v>
      </c>
      <c r="I552">
        <v>-0.48767703456901079</v>
      </c>
      <c r="J552" s="93">
        <v>-5.0133389652535945E-4</v>
      </c>
      <c r="L552" s="97"/>
      <c r="M552" s="97">
        <v>19.880288354212805</v>
      </c>
      <c r="N552" s="93">
        <v>9.765625E-4</v>
      </c>
      <c r="O552" s="93">
        <f t="shared" si="8"/>
        <v>0.77294921875</v>
      </c>
    </row>
    <row r="553" spans="1:15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37.013659872540273</v>
      </c>
      <c r="H553">
        <v>6.492656250000001E-4</v>
      </c>
      <c r="I553">
        <v>-0.29118727490839674</v>
      </c>
      <c r="J553" s="93">
        <v>-1.8905788803544706E-4</v>
      </c>
      <c r="L553" s="97"/>
      <c r="M553" s="97">
        <v>19.880288354212805</v>
      </c>
      <c r="N553" s="93">
        <v>4.8828125E-4</v>
      </c>
      <c r="O553" s="93">
        <f t="shared" si="8"/>
        <v>0.7734375</v>
      </c>
    </row>
    <row r="554" spans="1:15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-6.2448970094345793</v>
      </c>
      <c r="H554">
        <v>1.0280039062499999E-3</v>
      </c>
      <c r="I554">
        <v>-1.2314141613696441</v>
      </c>
      <c r="J554" s="93">
        <v>-1.2658985680995619E-3</v>
      </c>
      <c r="L554" s="97"/>
      <c r="M554" s="97">
        <v>19.898904249731924</v>
      </c>
      <c r="N554" s="93">
        <v>4.8828125E-4</v>
      </c>
      <c r="O554" s="93">
        <f t="shared" si="8"/>
        <v>0.77392578125</v>
      </c>
    </row>
    <row r="555" spans="1:15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16.357683125348164</v>
      </c>
      <c r="H555">
        <v>2.1702304687499997E-3</v>
      </c>
      <c r="I555">
        <v>-0.579693302450496</v>
      </c>
      <c r="J555" s="93">
        <v>-1.2580680675083754E-3</v>
      </c>
      <c r="L555" s="97"/>
      <c r="M555" s="97">
        <v>19.898904249731924</v>
      </c>
      <c r="N555" s="93">
        <v>9.765625E-4</v>
      </c>
      <c r="O555" s="93">
        <f t="shared" si="8"/>
        <v>0.77490234375</v>
      </c>
    </row>
    <row r="556" spans="1:15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31.856792314686004</v>
      </c>
      <c r="H556">
        <v>1.3706718749999999E-3</v>
      </c>
      <c r="I556">
        <v>-0.34580056316229763</v>
      </c>
      <c r="J556" s="93">
        <v>-4.7397910628572238E-4</v>
      </c>
      <c r="L556" s="97"/>
      <c r="M556" s="97">
        <v>19.898904249731924</v>
      </c>
      <c r="N556" s="93">
        <v>4.8828125E-4</v>
      </c>
      <c r="O556" s="93">
        <f t="shared" si="8"/>
        <v>0.775390625</v>
      </c>
    </row>
    <row r="557" spans="1:15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-14.5</v>
      </c>
      <c r="H557">
        <v>6.492656250000001E-4</v>
      </c>
      <c r="I557">
        <v>-1.6214703050420796</v>
      </c>
      <c r="J557" s="93">
        <v>-1.0527649310220866E-3</v>
      </c>
      <c r="L557" s="97"/>
      <c r="M557" s="97">
        <v>20.374145977663829</v>
      </c>
      <c r="N557" s="93">
        <v>3.90625E-3</v>
      </c>
      <c r="O557" s="93">
        <f t="shared" si="8"/>
        <v>0.779296875</v>
      </c>
    </row>
    <row r="558" spans="1:15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11.130933880251099</v>
      </c>
      <c r="H558">
        <v>1.3706718749999999E-3</v>
      </c>
      <c r="I558">
        <v>-0.6900224612794772</v>
      </c>
      <c r="J558" s="93">
        <v>-9.4579438079405581E-4</v>
      </c>
      <c r="L558" s="97"/>
      <c r="M558" s="97">
        <v>20.374145977663829</v>
      </c>
      <c r="N558" s="93">
        <v>7.8125E-3</v>
      </c>
      <c r="O558" s="93">
        <f t="shared" si="8"/>
        <v>0.787109375</v>
      </c>
    </row>
    <row r="559" spans="1:15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26.699924756831738</v>
      </c>
      <c r="H559">
        <v>8.6568750000000003E-4</v>
      </c>
      <c r="I559">
        <v>-0.41065678272163386</v>
      </c>
      <c r="J559" s="93">
        <v>-3.5550044359233444E-4</v>
      </c>
      <c r="L559" s="97"/>
      <c r="M559" s="97">
        <v>20.374145977663829</v>
      </c>
      <c r="N559" s="93">
        <v>3.90625E-3</v>
      </c>
      <c r="O559" s="93">
        <f t="shared" si="8"/>
        <v>0.791015625</v>
      </c>
    </row>
    <row r="560" spans="1:15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-1.5290406772738361</v>
      </c>
      <c r="H560">
        <v>3.0754687500000004E-4</v>
      </c>
      <c r="I560">
        <v>-1.0522892432456679</v>
      </c>
      <c r="J560" s="93">
        <v>-3.2362826835632003E-4</v>
      </c>
      <c r="L560" s="97"/>
      <c r="M560" s="97">
        <v>20.765558014284956</v>
      </c>
      <c r="N560" s="93">
        <v>9.765625E-4</v>
      </c>
      <c r="O560" s="93">
        <f t="shared" si="8"/>
        <v>0.7919921875</v>
      </c>
    </row>
    <row r="561" spans="1:15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19.898904249731924</v>
      </c>
      <c r="H561">
        <v>6.4926562499999999E-4</v>
      </c>
      <c r="I561">
        <v>-0.51515018043990279</v>
      </c>
      <c r="J561" s="93">
        <v>-3.3446930387217628E-4</v>
      </c>
      <c r="L561" s="97"/>
      <c r="M561" s="97">
        <v>20.765558014284956</v>
      </c>
      <c r="N561" s="93">
        <v>1.953125E-3</v>
      </c>
      <c r="O561" s="93">
        <f t="shared" si="8"/>
        <v>0.7939453125</v>
      </c>
    </row>
    <row r="562" spans="1:15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35.3932895021699</v>
      </c>
      <c r="H562">
        <v>4.100625E-4</v>
      </c>
      <c r="I562">
        <v>-0.30734747939921481</v>
      </c>
      <c r="J562" s="93">
        <v>-1.2603167577114052E-4</v>
      </c>
      <c r="L562" s="97"/>
      <c r="M562" s="97">
        <v>20.765558014284956</v>
      </c>
      <c r="N562" s="93">
        <v>9.765625E-4</v>
      </c>
      <c r="O562" s="93">
        <f t="shared" si="8"/>
        <v>0.794921875</v>
      </c>
    </row>
    <row r="563" spans="1:15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-8.7448970094345775</v>
      </c>
      <c r="H563">
        <v>6.4926562499999999E-4</v>
      </c>
      <c r="I563">
        <v>-1.338429038630454</v>
      </c>
      <c r="J563" s="93">
        <v>-8.6899596628455087E-4</v>
      </c>
      <c r="L563" s="97"/>
      <c r="M563" s="97">
        <v>21.260882399661533</v>
      </c>
      <c r="N563" s="93">
        <v>9.765625E-4</v>
      </c>
      <c r="O563" s="93">
        <f t="shared" si="8"/>
        <v>0.7958984375</v>
      </c>
    </row>
    <row r="564" spans="1:15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14.672155004634858</v>
      </c>
      <c r="H564">
        <v>1.3706718749999997E-3</v>
      </c>
      <c r="I564">
        <v>-0.61319527745633073</v>
      </c>
      <c r="J564" s="93">
        <v>-8.4048952069221388E-4</v>
      </c>
      <c r="L564" s="97"/>
      <c r="M564" s="97">
        <v>21.260882399661533</v>
      </c>
      <c r="N564" s="93">
        <v>1.953125E-3</v>
      </c>
      <c r="O564" s="93">
        <f t="shared" si="8"/>
        <v>0.7978515625</v>
      </c>
    </row>
    <row r="565" spans="1:15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30.23642194431563</v>
      </c>
      <c r="H565">
        <v>8.6568749999999992E-4</v>
      </c>
      <c r="I565">
        <v>-0.36499167587661779</v>
      </c>
      <c r="J565" s="93">
        <v>-3.1596873141043956E-4</v>
      </c>
      <c r="L565" s="97"/>
      <c r="M565" s="97">
        <v>21.260882399661533</v>
      </c>
      <c r="N565" s="93">
        <v>9.765625E-4</v>
      </c>
      <c r="O565" s="93">
        <f t="shared" si="8"/>
        <v>0.798828125</v>
      </c>
    </row>
    <row r="566" spans="1:15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-17</v>
      </c>
      <c r="H566">
        <v>4.100625E-4</v>
      </c>
      <c r="I566">
        <v>-1.7623826407286585</v>
      </c>
      <c r="J566" s="93">
        <v>-7.2268703161379553E-4</v>
      </c>
      <c r="L566" s="97"/>
      <c r="M566" s="97">
        <v>21.385462850091812</v>
      </c>
      <c r="N566" s="93">
        <v>1.953125E-3</v>
      </c>
      <c r="O566" s="93">
        <f t="shared" si="8"/>
        <v>0.80078125</v>
      </c>
    </row>
    <row r="567" spans="1:15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9.4137620187462474</v>
      </c>
      <c r="H567">
        <v>8.6568749999999992E-4</v>
      </c>
      <c r="I567">
        <v>-0.73067094275298961</v>
      </c>
      <c r="J567" s="93">
        <v>-6.3253270175447863E-4</v>
      </c>
      <c r="L567" s="97"/>
      <c r="M567" s="97">
        <v>21.385462850091812</v>
      </c>
      <c r="N567" s="93">
        <v>3.90625E-3</v>
      </c>
      <c r="O567" s="93">
        <f t="shared" si="8"/>
        <v>0.8046875</v>
      </c>
    </row>
    <row r="568" spans="1:15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25.079554386461371</v>
      </c>
      <c r="H568">
        <v>5.4674999999999993E-4</v>
      </c>
      <c r="I568">
        <v>-0.43344726210096352</v>
      </c>
      <c r="J568" s="93">
        <v>-2.3698729055370176E-4</v>
      </c>
      <c r="L568" s="97"/>
      <c r="M568" s="97">
        <v>21.385462850091812</v>
      </c>
      <c r="N568" s="93">
        <v>1.953125E-3</v>
      </c>
      <c r="O568" s="93">
        <f t="shared" si="8"/>
        <v>0.806640625</v>
      </c>
    </row>
    <row r="569" spans="1:15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7.2308047390087697</v>
      </c>
      <c r="H569">
        <v>3.652119140625E-4</v>
      </c>
      <c r="I569">
        <v>-0.7858205467573578</v>
      </c>
      <c r="J569" s="93">
        <v>-2.8699102599089493E-4</v>
      </c>
      <c r="L569" s="97"/>
      <c r="M569" s="97">
        <v>21.543057198977468</v>
      </c>
      <c r="N569" s="93">
        <v>9.765625E-4</v>
      </c>
      <c r="O569" s="93">
        <f t="shared" si="8"/>
        <v>0.8076171875</v>
      </c>
    </row>
    <row r="570" spans="1:15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39.469705334184646</v>
      </c>
      <c r="H570">
        <v>7.7100292968749996E-4</v>
      </c>
      <c r="I570">
        <v>-0.26829803526715063</v>
      </c>
      <c r="J570" s="93">
        <v>-2.0685857122037331E-4</v>
      </c>
      <c r="L570" s="97"/>
      <c r="M570" s="97">
        <v>21.543057198977468</v>
      </c>
      <c r="N570" s="93">
        <v>1.953125E-3</v>
      </c>
      <c r="O570" s="93">
        <f t="shared" si="8"/>
        <v>0.8095703125</v>
      </c>
    </row>
    <row r="571" spans="1:15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63.417520964239941</v>
      </c>
      <c r="H571">
        <v>4.8694921874999997E-4</v>
      </c>
      <c r="I571">
        <v>-0.12076396203984271</v>
      </c>
      <c r="J571" s="93">
        <v>-5.8805916968456065E-5</v>
      </c>
      <c r="L571" s="97"/>
      <c r="M571" s="97">
        <v>21.543057198977468</v>
      </c>
      <c r="N571" s="93">
        <v>9.765625E-4</v>
      </c>
      <c r="O571" s="93">
        <f t="shared" si="8"/>
        <v>0.810546875</v>
      </c>
    </row>
    <row r="572" spans="1:15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-1.2545834449263205</v>
      </c>
      <c r="H572">
        <v>7.7100292968749996E-4</v>
      </c>
      <c r="I572">
        <v>-1.0427061992357078</v>
      </c>
      <c r="J572" s="93">
        <v>-8.0392953441404881E-4</v>
      </c>
      <c r="L572" s="97"/>
      <c r="M572" s="97">
        <v>21.811835241858656</v>
      </c>
      <c r="N572" s="93">
        <v>4.8828125E-4</v>
      </c>
      <c r="O572" s="93">
        <f t="shared" si="8"/>
        <v>0.81103515625</v>
      </c>
    </row>
    <row r="573" spans="1:15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31.487100124166211</v>
      </c>
      <c r="H573">
        <v>1.6276728515624999E-3</v>
      </c>
      <c r="I573">
        <v>-0.35008825325068454</v>
      </c>
      <c r="J573" s="93">
        <v>-5.6982914546707631E-4</v>
      </c>
      <c r="L573" s="97"/>
      <c r="M573" s="97">
        <v>21.811835241858656</v>
      </c>
      <c r="N573" s="93">
        <v>9.765625E-4</v>
      </c>
      <c r="O573" s="93">
        <f t="shared" si="8"/>
        <v>0.81201171875</v>
      </c>
    </row>
    <row r="574" spans="1:15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55.434915754221493</v>
      </c>
      <c r="H574">
        <v>1.0280039062499999E-3</v>
      </c>
      <c r="I574">
        <v>-0.15757865868851142</v>
      </c>
      <c r="J574" s="93">
        <v>-1.6199147667342523E-4</v>
      </c>
      <c r="L574" s="97"/>
      <c r="M574" s="97">
        <v>21.811835241858656</v>
      </c>
      <c r="N574" s="93">
        <v>4.8828125E-4</v>
      </c>
      <c r="O574" s="93">
        <f t="shared" si="8"/>
        <v>0.8125</v>
      </c>
    </row>
    <row r="575" spans="1:15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-13</v>
      </c>
      <c r="H575">
        <v>4.8694921874999997E-4</v>
      </c>
      <c r="I575">
        <v>-1.5423902651101746</v>
      </c>
      <c r="J575" s="93">
        <v>-7.5106573460300492E-4</v>
      </c>
      <c r="L575" s="97"/>
      <c r="M575" s="97">
        <v>22.45108613499826</v>
      </c>
      <c r="N575" s="93">
        <v>1.953125E-3</v>
      </c>
      <c r="O575" s="93">
        <f t="shared" si="8"/>
        <v>0.814453125</v>
      </c>
    </row>
    <row r="576" spans="1:15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23.462403007426246</v>
      </c>
      <c r="H576">
        <v>1.0280039062499999E-3</v>
      </c>
      <c r="I576">
        <v>-0.45745347187983554</v>
      </c>
      <c r="J576" s="93">
        <v>-4.7026395602009545E-4</v>
      </c>
      <c r="L576" s="97"/>
      <c r="M576" s="97">
        <v>22.45108613499826</v>
      </c>
      <c r="N576" s="93">
        <v>3.90625E-3</v>
      </c>
      <c r="O576" s="93">
        <f t="shared" si="8"/>
        <v>0.818359375</v>
      </c>
    </row>
    <row r="577" spans="1:15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47.452310544203073</v>
      </c>
      <c r="H577">
        <v>6.4926562499999999E-4</v>
      </c>
      <c r="I577">
        <v>-0.20561625550077628</v>
      </c>
      <c r="J577" s="93">
        <v>-1.334995666378712E-4</v>
      </c>
      <c r="L577" s="97"/>
      <c r="M577" s="97">
        <v>22.45108613499826</v>
      </c>
      <c r="N577" s="93">
        <v>1.953125E-3</v>
      </c>
      <c r="O577" s="93">
        <f t="shared" si="8"/>
        <v>0.8203125</v>
      </c>
    </row>
    <row r="578" spans="1:15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6.1497717551027478</v>
      </c>
      <c r="H578">
        <v>7.7100292968750007E-4</v>
      </c>
      <c r="I578">
        <v>-0.81465351440475986</v>
      </c>
      <c r="J578" s="93">
        <v>-6.2810024628628784E-4</v>
      </c>
      <c r="L578" s="97"/>
      <c r="M578" s="97">
        <v>22.457393991675644</v>
      </c>
      <c r="N578" s="93">
        <v>9.765625E-4</v>
      </c>
      <c r="O578" s="93">
        <f t="shared" si="8"/>
        <v>0.8212890625</v>
      </c>
    </row>
    <row r="579" spans="1:15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38.497483111962424</v>
      </c>
      <c r="H579">
        <v>1.6276728515625001E-3</v>
      </c>
      <c r="I579">
        <v>-0.27713530203075859</v>
      </c>
      <c r="J579" s="93">
        <v>-4.5108560732503959E-4</v>
      </c>
      <c r="L579" s="97"/>
      <c r="M579" s="97">
        <v>22.457393991675644</v>
      </c>
      <c r="N579" s="93">
        <v>1.953125E-3</v>
      </c>
      <c r="O579" s="93">
        <f t="shared" si="8"/>
        <v>0.8232421875</v>
      </c>
    </row>
    <row r="580" spans="1:15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62.445298742017719</v>
      </c>
      <c r="H580">
        <v>1.0280039062499999E-3</v>
      </c>
      <c r="I580">
        <v>-0.12474171516395209</v>
      </c>
      <c r="J580" s="93">
        <v>-1.2823497046086761E-4</v>
      </c>
      <c r="L580" s="97"/>
      <c r="M580" s="97">
        <v>22.457393991675644</v>
      </c>
      <c r="N580" s="93">
        <v>9.765625E-4</v>
      </c>
      <c r="O580" s="93">
        <f t="shared" ref="O580:O643" si="9">N580+O579</f>
        <v>0.82421875</v>
      </c>
    </row>
    <row r="581" spans="1:15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-2.4298072441115979</v>
      </c>
      <c r="H581">
        <v>1.6276728515624999E-3</v>
      </c>
      <c r="I581">
        <v>-1.0843639292932925</v>
      </c>
      <c r="J581" s="93">
        <v>-1.7649897289243304E-3</v>
      </c>
      <c r="L581" s="97"/>
      <c r="M581" s="97">
        <v>22.51527942119969</v>
      </c>
      <c r="N581" s="93">
        <v>4.8828125E-4</v>
      </c>
      <c r="O581" s="93">
        <f t="shared" si="9"/>
        <v>0.82470703125</v>
      </c>
    </row>
    <row r="582" spans="1:15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30.507873443782124</v>
      </c>
      <c r="H582">
        <v>3.4361982421874998E-3</v>
      </c>
      <c r="I582">
        <v>-0.36170398784816177</v>
      </c>
      <c r="J582" s="93">
        <v>-1.2428866072360623E-3</v>
      </c>
      <c r="L582" s="97"/>
      <c r="M582" s="97">
        <v>22.51527942119969</v>
      </c>
      <c r="N582" s="93">
        <v>9.765625E-4</v>
      </c>
      <c r="O582" s="93">
        <f t="shared" si="9"/>
        <v>0.82568359375</v>
      </c>
    </row>
    <row r="583" spans="1:15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54.462693531999271</v>
      </c>
      <c r="H583">
        <v>2.1702304687499997E-3</v>
      </c>
      <c r="I583">
        <v>-0.16276902335776919</v>
      </c>
      <c r="J583" s="93">
        <v>-3.5324629385971107E-4</v>
      </c>
      <c r="L583" s="97"/>
      <c r="M583" s="97">
        <v>22.51527942119969</v>
      </c>
      <c r="N583" s="93">
        <v>4.8828125E-4</v>
      </c>
      <c r="O583" s="93">
        <f t="shared" si="9"/>
        <v>0.826171875</v>
      </c>
    </row>
    <row r="584" spans="1:15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-14.5</v>
      </c>
      <c r="H584">
        <v>1.0280039062499999E-3</v>
      </c>
      <c r="I584">
        <v>-1.6214703050420796</v>
      </c>
      <c r="J584" s="93">
        <v>-1.6668778074516368E-3</v>
      </c>
      <c r="L584" s="97"/>
      <c r="M584" s="97">
        <v>22.961119279202251</v>
      </c>
      <c r="N584" s="93">
        <v>1.953125E-3</v>
      </c>
      <c r="O584" s="93">
        <f t="shared" si="9"/>
        <v>0.828125</v>
      </c>
    </row>
    <row r="585" spans="1:15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22.45108613499826</v>
      </c>
      <c r="H585">
        <v>2.1702304687499997E-3</v>
      </c>
      <c r="I585">
        <v>-0.47313735674671048</v>
      </c>
      <c r="J585" s="93">
        <v>-1.0268171075155494E-3</v>
      </c>
      <c r="L585" s="97"/>
      <c r="M585" s="97">
        <v>22.961119279202251</v>
      </c>
      <c r="N585" s="93">
        <v>3.90625E-3</v>
      </c>
      <c r="O585" s="93">
        <f t="shared" si="9"/>
        <v>0.83203125</v>
      </c>
    </row>
    <row r="586" spans="1:15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46.480088321980844</v>
      </c>
      <c r="H586">
        <v>1.3706718749999999E-3</v>
      </c>
      <c r="I586">
        <v>-0.21238889436481131</v>
      </c>
      <c r="J586" s="93">
        <v>-2.9111548406819286E-4</v>
      </c>
      <c r="L586" s="97"/>
      <c r="M586" s="97">
        <v>22.961119279202251</v>
      </c>
      <c r="N586" s="93">
        <v>1.953125E-3</v>
      </c>
      <c r="O586" s="93">
        <f t="shared" si="9"/>
        <v>0.833984375</v>
      </c>
    </row>
    <row r="587" spans="1:15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4.3235231091175752</v>
      </c>
      <c r="H587">
        <v>4.8694921875000008E-4</v>
      </c>
      <c r="I587">
        <v>-0.86578606679589221</v>
      </c>
      <c r="J587" s="93">
        <v>-4.2159384883089511E-4</v>
      </c>
      <c r="L587" s="97"/>
      <c r="M587" s="97">
        <v>23.462403007426246</v>
      </c>
      <c r="N587" s="93">
        <v>9.765625E-4</v>
      </c>
      <c r="O587" s="93">
        <f t="shared" si="9"/>
        <v>0.8349609375</v>
      </c>
    </row>
    <row r="588" spans="1:15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36.87711274159205</v>
      </c>
      <c r="H588">
        <v>1.0280039062500002E-3</v>
      </c>
      <c r="I588">
        <v>-0.29251565528915763</v>
      </c>
      <c r="J588" s="93">
        <v>-3.0070723627653257E-4</v>
      </c>
      <c r="L588" s="97"/>
      <c r="M588" s="97">
        <v>23.462403007426246</v>
      </c>
      <c r="N588" s="93">
        <v>1.953125E-3</v>
      </c>
      <c r="O588" s="93">
        <f t="shared" si="9"/>
        <v>0.8369140625</v>
      </c>
    </row>
    <row r="589" spans="1:15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60.824928371647346</v>
      </c>
      <c r="H589">
        <v>6.492656250000001E-4</v>
      </c>
      <c r="I589">
        <v>-0.13166458508063714</v>
      </c>
      <c r="J589" s="93">
        <v>-8.548528912274556E-5</v>
      </c>
      <c r="L589" s="97"/>
      <c r="M589" s="97">
        <v>23.462403007426246</v>
      </c>
      <c r="N589" s="93">
        <v>9.765625E-4</v>
      </c>
      <c r="O589" s="93">
        <f t="shared" si="9"/>
        <v>0.837890625</v>
      </c>
    </row>
    <row r="590" spans="1:15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-4.4294892017680674</v>
      </c>
      <c r="H590">
        <v>1.0280039062499999E-3</v>
      </c>
      <c r="I590">
        <v>-1.1591067206509449</v>
      </c>
      <c r="J590" s="93">
        <v>-1.1915662365897988E-3</v>
      </c>
      <c r="L590" s="97"/>
      <c r="M590" s="97">
        <v>23.497363362571964</v>
      </c>
      <c r="N590" s="93">
        <v>9.765625E-4</v>
      </c>
      <c r="O590" s="93">
        <f t="shared" si="9"/>
        <v>0.8388671875</v>
      </c>
    </row>
    <row r="591" spans="1:15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28.822345323068816</v>
      </c>
      <c r="H591">
        <v>2.1702304687499997E-3</v>
      </c>
      <c r="I591">
        <v>-0.38260779665391337</v>
      </c>
      <c r="J591" s="93">
        <v>-8.3034709787962698E-4</v>
      </c>
      <c r="L591" s="97"/>
      <c r="M591" s="97">
        <v>23.497363362571964</v>
      </c>
      <c r="N591" s="93">
        <v>1.953125E-3</v>
      </c>
      <c r="O591" s="93">
        <f t="shared" si="9"/>
        <v>0.8408203125</v>
      </c>
    </row>
    <row r="592" spans="1:15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52.842323161628904</v>
      </c>
      <c r="H592">
        <v>1.3706718749999999E-3</v>
      </c>
      <c r="I592">
        <v>-0.17180231886513558</v>
      </c>
      <c r="J592" s="93">
        <v>-2.3548460652822326E-4</v>
      </c>
      <c r="L592" s="97"/>
      <c r="M592" s="97">
        <v>23.497363362571964</v>
      </c>
      <c r="N592" s="93">
        <v>9.765625E-4</v>
      </c>
      <c r="O592" s="93">
        <f t="shared" si="9"/>
        <v>0.841796875</v>
      </c>
    </row>
    <row r="593" spans="1:15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-17</v>
      </c>
      <c r="H593">
        <v>6.492656250000001E-4</v>
      </c>
      <c r="I593">
        <v>-1.7623826407286585</v>
      </c>
      <c r="J593" s="93">
        <v>-1.1442544667218432E-3</v>
      </c>
      <c r="L593" s="97"/>
      <c r="M593" s="97">
        <v>23.972436151630234</v>
      </c>
      <c r="N593" s="93">
        <v>9.765625E-4</v>
      </c>
      <c r="O593" s="93">
        <f t="shared" si="9"/>
        <v>0.8427734375</v>
      </c>
    </row>
    <row r="594" spans="1:15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20.765558014284956</v>
      </c>
      <c r="H594">
        <v>1.3706718749999999E-3</v>
      </c>
      <c r="I594">
        <v>-0.50048118810209974</v>
      </c>
      <c r="J594" s="93">
        <v>-6.8599548849813269E-4</v>
      </c>
      <c r="L594" s="97"/>
      <c r="M594" s="97">
        <v>23.972436151630234</v>
      </c>
      <c r="N594" s="93">
        <v>1.953125E-3</v>
      </c>
      <c r="O594" s="93">
        <f t="shared" si="9"/>
        <v>0.8447265625</v>
      </c>
    </row>
    <row r="595" spans="1:15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44.859717951610477</v>
      </c>
      <c r="H595">
        <v>8.6568750000000003E-4</v>
      </c>
      <c r="I595">
        <v>-0.22417597525834909</v>
      </c>
      <c r="J595" s="93">
        <v>-1.9406633958146208E-4</v>
      </c>
      <c r="L595" s="97"/>
      <c r="M595" s="97">
        <v>23.972436151630234</v>
      </c>
      <c r="N595" s="93">
        <v>9.765625E-4</v>
      </c>
      <c r="O595" s="93">
        <f t="shared" si="9"/>
        <v>0.845703125</v>
      </c>
    </row>
    <row r="596" spans="1:15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7.2308047390087697</v>
      </c>
      <c r="H596">
        <v>7.7100292968750007E-4</v>
      </c>
      <c r="I596">
        <v>-0.7858205467573578</v>
      </c>
      <c r="J596" s="93">
        <v>-6.0586994375855599E-4</v>
      </c>
      <c r="L596" s="97"/>
      <c r="M596" s="97">
        <v>24.142922112388952</v>
      </c>
      <c r="N596" s="93">
        <v>1.953125E-3</v>
      </c>
      <c r="O596" s="93">
        <f t="shared" si="9"/>
        <v>0.84765625</v>
      </c>
    </row>
    <row r="597" spans="1:15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39.469705334184646</v>
      </c>
      <c r="H597">
        <v>1.6276728515625001E-3</v>
      </c>
      <c r="I597">
        <v>-0.26829803526715063</v>
      </c>
      <c r="J597" s="93">
        <v>-4.367014281318993E-4</v>
      </c>
      <c r="L597" s="97"/>
      <c r="M597" s="97">
        <v>24.142922112388952</v>
      </c>
      <c r="N597" s="93">
        <v>3.90625E-3</v>
      </c>
      <c r="O597" s="93">
        <f t="shared" si="9"/>
        <v>0.8515625</v>
      </c>
    </row>
    <row r="598" spans="1:15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63.417520964239941</v>
      </c>
      <c r="H598">
        <v>1.0280039062499999E-3</v>
      </c>
      <c r="I598">
        <v>-0.12076396203984271</v>
      </c>
      <c r="J598" s="93">
        <v>-1.2414582471118502E-4</v>
      </c>
      <c r="L598" s="97"/>
      <c r="M598" s="97">
        <v>24.142922112388952</v>
      </c>
      <c r="N598" s="93">
        <v>1.953125E-3</v>
      </c>
      <c r="O598" s="93">
        <f t="shared" si="9"/>
        <v>0.853515625</v>
      </c>
    </row>
    <row r="599" spans="1:15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-1.2545834449263205</v>
      </c>
      <c r="H599">
        <v>1.6276728515624999E-3</v>
      </c>
      <c r="I599">
        <v>-1.0427061992357078</v>
      </c>
      <c r="J599" s="93">
        <v>-1.6971845726518808E-3</v>
      </c>
      <c r="L599" s="97"/>
      <c r="M599" s="97">
        <v>24.508680234999947</v>
      </c>
      <c r="N599" s="93">
        <v>4.8828125E-4</v>
      </c>
      <c r="O599" s="93">
        <f t="shared" si="9"/>
        <v>0.85400390625</v>
      </c>
    </row>
    <row r="600" spans="1:15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31.487100124166211</v>
      </c>
      <c r="H600">
        <v>3.4361982421874998E-3</v>
      </c>
      <c r="I600">
        <v>-0.35008825325068454</v>
      </c>
      <c r="J600" s="93">
        <v>-1.2029726404304945E-3</v>
      </c>
      <c r="L600" s="97"/>
      <c r="M600" s="97">
        <v>24.508680234999947</v>
      </c>
      <c r="N600" s="93">
        <v>9.765625E-4</v>
      </c>
      <c r="O600" s="93">
        <f t="shared" si="9"/>
        <v>0.85498046875</v>
      </c>
    </row>
    <row r="601" spans="1:15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55.434915754221493</v>
      </c>
      <c r="H601">
        <v>2.1702304687499997E-3</v>
      </c>
      <c r="I601">
        <v>-0.15757865868851142</v>
      </c>
      <c r="J601" s="93">
        <v>-3.4198200631056438E-4</v>
      </c>
      <c r="L601" s="97"/>
      <c r="M601" s="97">
        <v>24.508680234999947</v>
      </c>
      <c r="N601" s="93">
        <v>4.8828125E-4</v>
      </c>
      <c r="O601" s="93">
        <f t="shared" si="9"/>
        <v>0.85546875</v>
      </c>
    </row>
    <row r="602" spans="1:15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-13</v>
      </c>
      <c r="H602">
        <v>1.0280039062499999E-3</v>
      </c>
      <c r="I602">
        <v>-1.5423902651101746</v>
      </c>
      <c r="J602" s="93">
        <v>-1.5855832174952325E-3</v>
      </c>
      <c r="L602" s="97"/>
      <c r="M602" s="97">
        <v>25.079554386461371</v>
      </c>
      <c r="N602" s="93">
        <v>2.44140625E-4</v>
      </c>
      <c r="O602" s="93">
        <f t="shared" si="9"/>
        <v>0.855712890625</v>
      </c>
    </row>
    <row r="603" spans="1:15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23.462403007426246</v>
      </c>
      <c r="H603">
        <v>2.1702304687499997E-3</v>
      </c>
      <c r="I603">
        <v>-0.45745347187983554</v>
      </c>
      <c r="J603" s="93">
        <v>-9.9277946270909028E-4</v>
      </c>
      <c r="L603" s="97"/>
      <c r="M603" s="97">
        <v>25.079554386461371</v>
      </c>
      <c r="N603" s="93">
        <v>4.8828125E-4</v>
      </c>
      <c r="O603" s="93">
        <f t="shared" si="9"/>
        <v>0.856201171875</v>
      </c>
    </row>
    <row r="604" spans="1:15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47.452310544203073</v>
      </c>
      <c r="H604">
        <v>1.3706718749999999E-3</v>
      </c>
      <c r="I604">
        <v>-0.20561625550077628</v>
      </c>
      <c r="J604" s="93">
        <v>-2.8183241845772808E-4</v>
      </c>
      <c r="L604" s="97"/>
      <c r="M604" s="97">
        <v>25.079554386461371</v>
      </c>
      <c r="N604" s="93">
        <v>2.44140625E-4</v>
      </c>
      <c r="O604" s="93">
        <f t="shared" si="9"/>
        <v>0.8564453125</v>
      </c>
    </row>
    <row r="605" spans="1:15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6.1497717551027478</v>
      </c>
      <c r="H605">
        <v>1.6276728515624997E-3</v>
      </c>
      <c r="I605">
        <v>-0.81465351440475986</v>
      </c>
      <c r="J605" s="93">
        <v>-1.3259894088266074E-3</v>
      </c>
      <c r="L605" s="97"/>
      <c r="M605" s="97">
        <v>25.154238984816935</v>
      </c>
      <c r="N605" s="93">
        <v>9.765625E-4</v>
      </c>
      <c r="O605" s="93">
        <f t="shared" si="9"/>
        <v>0.857421875</v>
      </c>
    </row>
    <row r="606" spans="1:15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38.497483111962424</v>
      </c>
      <c r="H606">
        <v>3.4361982421874993E-3</v>
      </c>
      <c r="I606">
        <v>-0.27713530203075859</v>
      </c>
      <c r="J606" s="93">
        <v>-9.5229183768619436E-4</v>
      </c>
      <c r="L606" s="97"/>
      <c r="M606" s="97">
        <v>25.154238984816935</v>
      </c>
      <c r="N606" s="93">
        <v>1.953125E-3</v>
      </c>
      <c r="O606" s="93">
        <f t="shared" si="9"/>
        <v>0.859375</v>
      </c>
    </row>
    <row r="607" spans="1:15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62.445298742017719</v>
      </c>
      <c r="H607">
        <v>2.1702304687499993E-3</v>
      </c>
      <c r="I607">
        <v>-0.12474171516395209</v>
      </c>
      <c r="J607" s="93">
        <v>-2.7071827097294263E-4</v>
      </c>
      <c r="L607" s="97"/>
      <c r="M607" s="97">
        <v>25.154238984816935</v>
      </c>
      <c r="N607" s="93">
        <v>9.765625E-4</v>
      </c>
      <c r="O607" s="93">
        <f t="shared" si="9"/>
        <v>0.8603515625</v>
      </c>
    </row>
    <row r="608" spans="1:15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-2.4298072441115979</v>
      </c>
      <c r="H608">
        <v>3.4361982421874993E-3</v>
      </c>
      <c r="I608">
        <v>-1.0843639292932925</v>
      </c>
      <c r="J608" s="93">
        <v>-3.7260894277291417E-3</v>
      </c>
      <c r="L608" s="97"/>
      <c r="M608" s="97">
        <v>25.367738955906368</v>
      </c>
      <c r="N608" s="93">
        <v>4.8828125E-4</v>
      </c>
      <c r="O608" s="93">
        <f t="shared" si="9"/>
        <v>0.86083984375</v>
      </c>
    </row>
    <row r="609" spans="1:15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30.507873443782124</v>
      </c>
      <c r="H609">
        <v>7.254196289062498E-3</v>
      </c>
      <c r="I609">
        <v>-0.36170398784816177</v>
      </c>
      <c r="J609" s="93">
        <v>-2.6238717263872419E-3</v>
      </c>
      <c r="L609" s="97"/>
      <c r="M609" s="97">
        <v>25.367738955906368</v>
      </c>
      <c r="N609" s="93">
        <v>9.765625E-4</v>
      </c>
      <c r="O609" s="93">
        <f t="shared" si="9"/>
        <v>0.86181640625</v>
      </c>
    </row>
    <row r="610" spans="1:15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54.462693531999271</v>
      </c>
      <c r="H610">
        <v>4.5815976562499985E-3</v>
      </c>
      <c r="I610">
        <v>-0.16276902335776919</v>
      </c>
      <c r="J610" s="93">
        <v>-7.4574217592605658E-4</v>
      </c>
      <c r="L610" s="97"/>
      <c r="M610" s="97">
        <v>25.367738955906368</v>
      </c>
      <c r="N610" s="93">
        <v>4.8828125E-4</v>
      </c>
      <c r="O610" s="93">
        <f t="shared" si="9"/>
        <v>0.8623046875</v>
      </c>
    </row>
    <row r="611" spans="1:15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-14.5</v>
      </c>
      <c r="H611">
        <v>2.1702304687499997E-3</v>
      </c>
      <c r="I611">
        <v>-1.6214703050420796</v>
      </c>
      <c r="J611" s="93">
        <v>-3.5189642601756773E-3</v>
      </c>
      <c r="L611" s="97"/>
      <c r="M611" s="97">
        <v>26.699924756831738</v>
      </c>
      <c r="N611" s="93">
        <v>4.8828125E-4</v>
      </c>
      <c r="O611" s="93">
        <f t="shared" si="9"/>
        <v>0.86279296875</v>
      </c>
    </row>
    <row r="612" spans="1:15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22.45108613499826</v>
      </c>
      <c r="H612">
        <v>4.5815976562499994E-3</v>
      </c>
      <c r="I612">
        <v>-0.47313735674671048</v>
      </c>
      <c r="J612" s="93">
        <v>-2.1677250047550485E-3</v>
      </c>
      <c r="L612" s="97"/>
      <c r="M612" s="97">
        <v>26.699924756831738</v>
      </c>
      <c r="N612" s="93">
        <v>9.765625E-4</v>
      </c>
      <c r="O612" s="93">
        <f t="shared" si="9"/>
        <v>0.86376953125</v>
      </c>
    </row>
    <row r="613" spans="1:15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46.480088321980844</v>
      </c>
      <c r="H613">
        <v>2.8936406249999995E-3</v>
      </c>
      <c r="I613">
        <v>-0.21238889436481131</v>
      </c>
      <c r="J613" s="93">
        <v>-6.1457713303285149E-4</v>
      </c>
      <c r="L613" s="97"/>
      <c r="M613" s="97">
        <v>26.699924756831738</v>
      </c>
      <c r="N613" s="93">
        <v>4.8828125E-4</v>
      </c>
      <c r="O613" s="93">
        <f t="shared" si="9"/>
        <v>0.8642578125</v>
      </c>
    </row>
    <row r="614" spans="1:15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4.3235231091175752</v>
      </c>
      <c r="H614">
        <v>1.0280039062499999E-3</v>
      </c>
      <c r="I614">
        <v>-0.86578606679589221</v>
      </c>
      <c r="J614" s="93">
        <v>-8.9003145864300053E-4</v>
      </c>
      <c r="L614" s="97"/>
      <c r="M614" s="97">
        <v>27.053267076619676</v>
      </c>
      <c r="N614" s="93">
        <v>9.765625E-4</v>
      </c>
      <c r="O614" s="93">
        <f t="shared" si="9"/>
        <v>0.865234375</v>
      </c>
    </row>
    <row r="615" spans="1:15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36.87711274159205</v>
      </c>
      <c r="H615">
        <v>2.1702304687499997E-3</v>
      </c>
      <c r="I615">
        <v>-0.29251565528915763</v>
      </c>
      <c r="J615" s="93">
        <v>-6.3482638769490191E-4</v>
      </c>
      <c r="L615" s="97"/>
      <c r="M615" s="97">
        <v>27.053267076619676</v>
      </c>
      <c r="N615" s="93">
        <v>1.953125E-3</v>
      </c>
      <c r="O615" s="93">
        <f t="shared" si="9"/>
        <v>0.8671875</v>
      </c>
    </row>
    <row r="616" spans="1:15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60.824928371647346</v>
      </c>
      <c r="H616">
        <v>1.3706718749999999E-3</v>
      </c>
      <c r="I616">
        <v>-0.13166458508063714</v>
      </c>
      <c r="J616" s="93">
        <v>-1.8046894370357392E-4</v>
      </c>
      <c r="L616" s="97"/>
      <c r="M616" s="97">
        <v>27.053267076619676</v>
      </c>
      <c r="N616" s="93">
        <v>9.765625E-4</v>
      </c>
      <c r="O616" s="93">
        <f t="shared" si="9"/>
        <v>0.8681640625</v>
      </c>
    </row>
    <row r="617" spans="1:15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-4.4294892017680674</v>
      </c>
      <c r="H617">
        <v>2.1702304687499997E-3</v>
      </c>
      <c r="I617">
        <v>-1.1591067206509449</v>
      </c>
      <c r="J617" s="93">
        <v>-2.5155287216895752E-3</v>
      </c>
      <c r="L617" s="97"/>
      <c r="M617" s="97">
        <v>27.672146979053963</v>
      </c>
      <c r="N617" s="93">
        <v>2.44140625E-4</v>
      </c>
      <c r="O617" s="93">
        <f t="shared" si="9"/>
        <v>0.868408203125</v>
      </c>
    </row>
    <row r="618" spans="1:15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28.822345323068816</v>
      </c>
      <c r="H618">
        <v>4.5815976562499994E-3</v>
      </c>
      <c r="I618">
        <v>-0.38260779665391337</v>
      </c>
      <c r="J618" s="93">
        <v>-1.7529549844125458E-3</v>
      </c>
      <c r="L618" s="97"/>
      <c r="M618" s="97">
        <v>27.672146979053963</v>
      </c>
      <c r="N618" s="93">
        <v>4.8828125E-4</v>
      </c>
      <c r="O618" s="93">
        <f t="shared" si="9"/>
        <v>0.868896484375</v>
      </c>
    </row>
    <row r="619" spans="1:15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52.842323161628904</v>
      </c>
      <c r="H619">
        <v>2.8936406249999995E-3</v>
      </c>
      <c r="I619">
        <v>-0.17180231886513558</v>
      </c>
      <c r="J619" s="93">
        <v>-4.9713416933736009E-4</v>
      </c>
      <c r="L619" s="97"/>
      <c r="M619" s="97">
        <v>27.672146979053963</v>
      </c>
      <c r="N619" s="93">
        <v>2.44140625E-4</v>
      </c>
      <c r="O619" s="93">
        <f t="shared" si="9"/>
        <v>0.869140625</v>
      </c>
    </row>
    <row r="620" spans="1:15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-17</v>
      </c>
      <c r="H620">
        <v>1.3706718749999999E-3</v>
      </c>
      <c r="I620">
        <v>-1.7623826407286585</v>
      </c>
      <c r="J620" s="93">
        <v>-2.4156483186350015E-3</v>
      </c>
      <c r="L620" s="97"/>
      <c r="M620" s="97">
        <v>28.064583949047659</v>
      </c>
      <c r="N620" s="93">
        <v>4.8828125E-4</v>
      </c>
      <c r="O620" s="93">
        <f t="shared" si="9"/>
        <v>0.86962890625</v>
      </c>
    </row>
    <row r="621" spans="1:15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20.765558014284956</v>
      </c>
      <c r="H621">
        <v>2.8936406249999995E-3</v>
      </c>
      <c r="I621">
        <v>-0.50048118810209974</v>
      </c>
      <c r="J621" s="93">
        <v>-1.4482126979405022E-3</v>
      </c>
      <c r="L621" s="97"/>
      <c r="M621" s="97">
        <v>28.064583949047659</v>
      </c>
      <c r="N621" s="93">
        <v>9.765625E-4</v>
      </c>
      <c r="O621" s="93">
        <f t="shared" si="9"/>
        <v>0.87060546875</v>
      </c>
    </row>
    <row r="622" spans="1:15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44.859717951610477</v>
      </c>
      <c r="H622">
        <v>1.8275624999999998E-3</v>
      </c>
      <c r="I622">
        <v>-0.22417597525834909</v>
      </c>
      <c r="J622" s="93">
        <v>-4.0969560578308658E-4</v>
      </c>
      <c r="L622" s="97"/>
      <c r="M622" s="97">
        <v>28.064583949047659</v>
      </c>
      <c r="N622" s="93">
        <v>4.8828125E-4</v>
      </c>
      <c r="O622" s="93">
        <f t="shared" si="9"/>
        <v>0.87109375</v>
      </c>
    </row>
    <row r="623" spans="1:15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7.2308047390087697</v>
      </c>
      <c r="H623">
        <v>4.8694921874999997E-4</v>
      </c>
      <c r="I623">
        <v>-0.7858205467573578</v>
      </c>
      <c r="J623" s="93">
        <v>-3.8265470132119319E-4</v>
      </c>
      <c r="L623" s="97"/>
      <c r="M623" s="97">
        <v>28.822345323068816</v>
      </c>
      <c r="N623" s="93">
        <v>1.953125E-3</v>
      </c>
      <c r="O623" s="93">
        <f t="shared" si="9"/>
        <v>0.873046875</v>
      </c>
    </row>
    <row r="624" spans="1:15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39.469705334184646</v>
      </c>
      <c r="H624">
        <v>1.0280039062499999E-3</v>
      </c>
      <c r="I624">
        <v>-0.26829803526715063</v>
      </c>
      <c r="J624" s="93">
        <v>-2.7581142829383111E-4</v>
      </c>
      <c r="L624" s="97"/>
      <c r="M624" s="97">
        <v>28.822345323068816</v>
      </c>
      <c r="N624" s="93">
        <v>3.90625E-3</v>
      </c>
      <c r="O624" s="93">
        <f t="shared" si="9"/>
        <v>0.876953125</v>
      </c>
    </row>
    <row r="625" spans="1:15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63.417520964239941</v>
      </c>
      <c r="H625">
        <v>6.4926562499999999E-4</v>
      </c>
      <c r="I625">
        <v>-0.12076396203984271</v>
      </c>
      <c r="J625" s="93">
        <v>-7.8407889291274758E-5</v>
      </c>
      <c r="L625" s="97"/>
      <c r="M625" s="97">
        <v>28.822345323068816</v>
      </c>
      <c r="N625" s="93">
        <v>1.953125E-3</v>
      </c>
      <c r="O625" s="93">
        <f t="shared" si="9"/>
        <v>0.87890625</v>
      </c>
    </row>
    <row r="626" spans="1:15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-1.2545834449263205</v>
      </c>
      <c r="H626">
        <v>1.0280039062499999E-3</v>
      </c>
      <c r="I626">
        <v>-1.0427061992357078</v>
      </c>
      <c r="J626" s="93">
        <v>-1.0719060458853984E-3</v>
      </c>
      <c r="L626" s="97"/>
      <c r="M626" s="97">
        <v>30.130191857535941</v>
      </c>
      <c r="N626" s="93">
        <v>9.765625E-4</v>
      </c>
      <c r="O626" s="93">
        <f t="shared" si="9"/>
        <v>0.8798828125</v>
      </c>
    </row>
    <row r="627" spans="1:15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31.487100124166211</v>
      </c>
      <c r="H627">
        <v>2.1702304687499993E-3</v>
      </c>
      <c r="I627">
        <v>-0.35008825325068454</v>
      </c>
      <c r="J627" s="93">
        <v>-7.5977219395610153E-4</v>
      </c>
      <c r="L627" s="97"/>
      <c r="M627" s="97">
        <v>30.130191857535941</v>
      </c>
      <c r="N627" s="93">
        <v>1.953125E-3</v>
      </c>
      <c r="O627" s="93">
        <f t="shared" si="9"/>
        <v>0.8818359375</v>
      </c>
    </row>
    <row r="628" spans="1:15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55.434915754221493</v>
      </c>
      <c r="H628">
        <v>1.3706718749999997E-3</v>
      </c>
      <c r="I628">
        <v>-0.15757865868851142</v>
      </c>
      <c r="J628" s="93">
        <v>-2.1598863556456695E-4</v>
      </c>
      <c r="L628" s="97"/>
      <c r="M628" s="97">
        <v>30.130191857535941</v>
      </c>
      <c r="N628" s="93">
        <v>9.765625E-4</v>
      </c>
      <c r="O628" s="93">
        <f t="shared" si="9"/>
        <v>0.8828125</v>
      </c>
    </row>
    <row r="629" spans="1:15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-13</v>
      </c>
      <c r="H629">
        <v>6.4926562499999999E-4</v>
      </c>
      <c r="I629">
        <v>-1.5423902651101746</v>
      </c>
      <c r="J629" s="93">
        <v>-1.0014209794706732E-3</v>
      </c>
      <c r="L629" s="97"/>
      <c r="M629" s="97">
        <v>30.23642194431563</v>
      </c>
      <c r="N629" s="93">
        <v>4.8828125E-4</v>
      </c>
      <c r="O629" s="93">
        <f t="shared" si="9"/>
        <v>0.88330078125</v>
      </c>
    </row>
    <row r="630" spans="1:15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23.462403007426246</v>
      </c>
      <c r="H630">
        <v>1.3706718749999997E-3</v>
      </c>
      <c r="I630">
        <v>-0.45745347187983554</v>
      </c>
      <c r="J630" s="93">
        <v>-6.2701860802679386E-4</v>
      </c>
      <c r="L630" s="97"/>
      <c r="M630" s="97">
        <v>30.23642194431563</v>
      </c>
      <c r="N630" s="93">
        <v>9.765625E-4</v>
      </c>
      <c r="O630" s="93">
        <f t="shared" si="9"/>
        <v>0.88427734375</v>
      </c>
    </row>
    <row r="631" spans="1:15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47.452310544203073</v>
      </c>
      <c r="H631">
        <v>8.6568749999999992E-4</v>
      </c>
      <c r="I631">
        <v>-0.20561625550077628</v>
      </c>
      <c r="J631" s="93">
        <v>-1.7799942218382824E-4</v>
      </c>
      <c r="L631" s="97"/>
      <c r="M631" s="97">
        <v>30.23642194431563</v>
      </c>
      <c r="N631" s="93">
        <v>4.8828125E-4</v>
      </c>
      <c r="O631" s="93">
        <f t="shared" si="9"/>
        <v>0.884765625</v>
      </c>
    </row>
    <row r="632" spans="1:15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6.1497717551027478</v>
      </c>
      <c r="H632">
        <v>1.0280039062499999E-3</v>
      </c>
      <c r="I632">
        <v>-0.81465351440475986</v>
      </c>
      <c r="J632" s="93">
        <v>-8.3746699504838379E-4</v>
      </c>
      <c r="L632" s="97"/>
      <c r="M632" s="97">
        <v>30.507873443782124</v>
      </c>
      <c r="N632" s="93">
        <v>3.90625E-3</v>
      </c>
      <c r="O632" s="93">
        <f t="shared" si="9"/>
        <v>0.888671875</v>
      </c>
    </row>
    <row r="633" spans="1:15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38.497483111962424</v>
      </c>
      <c r="H633">
        <v>2.1702304687499997E-3</v>
      </c>
      <c r="I633">
        <v>-0.27713530203075859</v>
      </c>
      <c r="J633" s="93">
        <v>-6.0144747643338598E-4</v>
      </c>
      <c r="L633" s="97"/>
      <c r="M633" s="97">
        <v>30.507873443782124</v>
      </c>
      <c r="N633" s="93">
        <v>7.8125E-3</v>
      </c>
      <c r="O633" s="93">
        <f t="shared" si="9"/>
        <v>0.896484375</v>
      </c>
    </row>
    <row r="634" spans="1:15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62.445298742017719</v>
      </c>
      <c r="H634">
        <v>1.3706718749999999E-3</v>
      </c>
      <c r="I634">
        <v>-0.12474171516395209</v>
      </c>
      <c r="J634" s="93">
        <v>-1.7097996061449014E-4</v>
      </c>
      <c r="L634" s="97"/>
      <c r="M634" s="97">
        <v>30.507873443782124</v>
      </c>
      <c r="N634" s="93">
        <v>3.90625E-3</v>
      </c>
      <c r="O634" s="93">
        <f t="shared" si="9"/>
        <v>0.900390625</v>
      </c>
    </row>
    <row r="635" spans="1:15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-2.4298072441115979</v>
      </c>
      <c r="H635">
        <v>2.1702304687499997E-3</v>
      </c>
      <c r="I635">
        <v>-1.0843639292932925</v>
      </c>
      <c r="J635" s="93">
        <v>-2.3533196385657736E-3</v>
      </c>
      <c r="L635" s="97"/>
      <c r="M635" s="97">
        <v>31.487100124166211</v>
      </c>
      <c r="N635" s="93">
        <v>1.953125E-3</v>
      </c>
      <c r="O635" s="93">
        <f t="shared" si="9"/>
        <v>0.90234375</v>
      </c>
    </row>
    <row r="636" spans="1:15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30.507873443782124</v>
      </c>
      <c r="H636">
        <v>4.5815976562499994E-3</v>
      </c>
      <c r="I636">
        <v>-0.36170398784816177</v>
      </c>
      <c r="J636" s="93">
        <v>-1.6571821429814163E-3</v>
      </c>
      <c r="L636" s="97"/>
      <c r="M636" s="97">
        <v>31.487100124166211</v>
      </c>
      <c r="N636" s="93">
        <v>3.90625E-3</v>
      </c>
      <c r="O636" s="93">
        <f t="shared" si="9"/>
        <v>0.90625</v>
      </c>
    </row>
    <row r="637" spans="1:15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54.462693531999271</v>
      </c>
      <c r="H637">
        <v>2.8936406249999995E-3</v>
      </c>
      <c r="I637">
        <v>-0.16276902335776919</v>
      </c>
      <c r="J637" s="93">
        <v>-4.7099505847961475E-4</v>
      </c>
      <c r="L637" s="97"/>
      <c r="M637" s="97">
        <v>31.487100124166211</v>
      </c>
      <c r="N637" s="93">
        <v>1.953125E-3</v>
      </c>
      <c r="O637" s="93">
        <f t="shared" si="9"/>
        <v>0.908203125</v>
      </c>
    </row>
    <row r="638" spans="1:15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-14.5</v>
      </c>
      <c r="H638">
        <v>1.3706718749999999E-3</v>
      </c>
      <c r="I638">
        <v>-1.6214703050420796</v>
      </c>
      <c r="J638" s="93">
        <v>-2.2225037432688491E-3</v>
      </c>
      <c r="L638" s="97"/>
      <c r="M638" s="97">
        <v>31.815719978249248</v>
      </c>
      <c r="N638" s="93">
        <v>1.953125E-3</v>
      </c>
      <c r="O638" s="93">
        <f t="shared" si="9"/>
        <v>0.91015625</v>
      </c>
    </row>
    <row r="639" spans="1:15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22.45108613499826</v>
      </c>
      <c r="H639">
        <v>2.8936406249999995E-3</v>
      </c>
      <c r="I639">
        <v>-0.47313735674671048</v>
      </c>
      <c r="J639" s="93">
        <v>-1.369089476687399E-3</v>
      </c>
      <c r="L639" s="97"/>
      <c r="M639" s="97">
        <v>31.815719978249248</v>
      </c>
      <c r="N639" s="93">
        <v>3.90625E-3</v>
      </c>
      <c r="O639" s="93">
        <f t="shared" si="9"/>
        <v>0.9140625</v>
      </c>
    </row>
    <row r="640" spans="1:15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46.480088321980844</v>
      </c>
      <c r="H640">
        <v>1.8275624999999998E-3</v>
      </c>
      <c r="I640">
        <v>-0.21238889436481131</v>
      </c>
      <c r="J640" s="93">
        <v>-3.8815397875759041E-4</v>
      </c>
      <c r="L640" s="97"/>
      <c r="M640" s="97">
        <v>31.815719978249248</v>
      </c>
      <c r="N640" s="93">
        <v>1.953125E-3</v>
      </c>
      <c r="O640" s="93">
        <f t="shared" si="9"/>
        <v>0.916015625</v>
      </c>
    </row>
    <row r="641" spans="1:15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4.3235231091175752</v>
      </c>
      <c r="H641">
        <v>6.4926562499999999E-4</v>
      </c>
      <c r="I641">
        <v>-0.86578606679589221</v>
      </c>
      <c r="J641" s="93">
        <v>-5.6212513177452674E-4</v>
      </c>
      <c r="L641" s="97"/>
      <c r="M641" s="97">
        <v>31.856792314686004</v>
      </c>
      <c r="N641" s="93">
        <v>9.765625E-4</v>
      </c>
      <c r="O641" s="93">
        <f t="shared" si="9"/>
        <v>0.9169921875</v>
      </c>
    </row>
    <row r="642" spans="1:15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36.87711274159205</v>
      </c>
      <c r="H642">
        <v>1.3706718749999997E-3</v>
      </c>
      <c r="I642">
        <v>-0.29251565528915763</v>
      </c>
      <c r="J642" s="93">
        <v>-4.0094298170204328E-4</v>
      </c>
      <c r="L642" s="97"/>
      <c r="M642" s="97">
        <v>31.856792314686004</v>
      </c>
      <c r="N642" s="93">
        <v>1.953125E-3</v>
      </c>
      <c r="O642" s="93">
        <f t="shared" si="9"/>
        <v>0.9189453125</v>
      </c>
    </row>
    <row r="643" spans="1:15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60.824928371647346</v>
      </c>
      <c r="H643">
        <v>8.6568749999999992E-4</v>
      </c>
      <c r="I643">
        <v>-0.13166458508063714</v>
      </c>
      <c r="J643" s="93">
        <v>-1.1398038549699406E-4</v>
      </c>
      <c r="L643" s="97"/>
      <c r="M643" s="97">
        <v>31.856792314686004</v>
      </c>
      <c r="N643" s="93">
        <v>9.765625E-4</v>
      </c>
      <c r="O643" s="93">
        <f t="shared" si="9"/>
        <v>0.919921875</v>
      </c>
    </row>
    <row r="644" spans="1:15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-4.4294892017680674</v>
      </c>
      <c r="H644">
        <v>1.3706718749999997E-3</v>
      </c>
      <c r="I644">
        <v>-1.1591067206509449</v>
      </c>
      <c r="J644" s="93">
        <v>-1.5887549821197314E-3</v>
      </c>
      <c r="L644" s="97"/>
      <c r="M644" s="97">
        <v>32.791362982364475</v>
      </c>
      <c r="N644" s="93">
        <v>9.765625E-4</v>
      </c>
      <c r="O644" s="93">
        <f t="shared" ref="O644:O707" si="10">N644+O643</f>
        <v>0.9208984375</v>
      </c>
    </row>
    <row r="645" spans="1:15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28.822345323068816</v>
      </c>
      <c r="H645">
        <v>2.8936406249999991E-3</v>
      </c>
      <c r="I645">
        <v>-0.38260779665391337</v>
      </c>
      <c r="J645" s="93">
        <v>-1.1071294638395025E-3</v>
      </c>
      <c r="L645" s="97"/>
      <c r="M645" s="97">
        <v>32.791362982364475</v>
      </c>
      <c r="N645" s="93">
        <v>1.953125E-3</v>
      </c>
      <c r="O645" s="93">
        <f t="shared" si="10"/>
        <v>0.9228515625</v>
      </c>
    </row>
    <row r="646" spans="1:15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52.842323161628904</v>
      </c>
      <c r="H646">
        <v>1.8275624999999993E-3</v>
      </c>
      <c r="I646">
        <v>-0.17180231886513558</v>
      </c>
      <c r="J646" s="93">
        <v>-3.1397947537096426E-4</v>
      </c>
      <c r="L646" s="97"/>
      <c r="M646" s="97">
        <v>32.791362982364475</v>
      </c>
      <c r="N646" s="93">
        <v>9.765625E-4</v>
      </c>
      <c r="O646" s="93">
        <f t="shared" si="10"/>
        <v>0.923828125</v>
      </c>
    </row>
    <row r="647" spans="1:15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-17</v>
      </c>
      <c r="H647">
        <v>8.6568749999999992E-4</v>
      </c>
      <c r="I647">
        <v>-1.7623826407286585</v>
      </c>
      <c r="J647" s="93">
        <v>-1.5256726222957905E-3</v>
      </c>
      <c r="L647" s="97"/>
      <c r="M647" s="97">
        <v>32.829014536908225</v>
      </c>
      <c r="N647" s="93">
        <v>4.8828125E-4</v>
      </c>
      <c r="O647" s="93">
        <f t="shared" si="10"/>
        <v>0.92431640625</v>
      </c>
    </row>
    <row r="648" spans="1:15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20.765558014284956</v>
      </c>
      <c r="H648">
        <v>1.8275624999999995E-3</v>
      </c>
      <c r="I648">
        <v>-0.50048118810209974</v>
      </c>
      <c r="J648" s="93">
        <v>-9.146606513308434E-4</v>
      </c>
      <c r="L648" s="97"/>
      <c r="M648" s="97">
        <v>32.829014536908225</v>
      </c>
      <c r="N648" s="93">
        <v>9.765625E-4</v>
      </c>
      <c r="O648" s="93">
        <f t="shared" si="10"/>
        <v>0.92529296875</v>
      </c>
    </row>
    <row r="649" spans="1:15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44.859717951610477</v>
      </c>
      <c r="H649">
        <v>1.1542499999999997E-3</v>
      </c>
      <c r="I649">
        <v>-0.22417597525834909</v>
      </c>
      <c r="J649" s="93">
        <v>-2.5875511944194939E-4</v>
      </c>
      <c r="L649" s="97"/>
      <c r="M649" s="97">
        <v>32.829014536908225</v>
      </c>
      <c r="N649" s="93">
        <v>4.8828125E-4</v>
      </c>
      <c r="O649" s="93">
        <f t="shared" si="10"/>
        <v>0.92578125</v>
      </c>
    </row>
    <row r="650" spans="1:15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7.7663216606651506</v>
      </c>
      <c r="H650">
        <v>2.3066015625000002E-4</v>
      </c>
      <c r="I650">
        <v>-0.77191766307839438</v>
      </c>
      <c r="J650" s="93">
        <v>-1.7805064877779732E-4</v>
      </c>
      <c r="L650" s="97"/>
      <c r="M650" s="97">
        <v>35.3932895021699</v>
      </c>
      <c r="N650" s="93">
        <v>2.44140625E-4</v>
      </c>
      <c r="O650" s="93">
        <f t="shared" si="10"/>
        <v>0.926025390625</v>
      </c>
    </row>
    <row r="651" spans="1:15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41.034820764022548</v>
      </c>
      <c r="H651">
        <v>4.8694921874999997E-4</v>
      </c>
      <c r="I651">
        <v>-0.25465964297612242</v>
      </c>
      <c r="J651" s="93">
        <v>-1.2400631419437672E-4</v>
      </c>
      <c r="L651" s="97"/>
      <c r="M651" s="97">
        <v>35.3932895021699</v>
      </c>
      <c r="N651" s="93">
        <v>4.8828125E-4</v>
      </c>
      <c r="O651" s="93">
        <f t="shared" si="10"/>
        <v>0.926513671875</v>
      </c>
    </row>
    <row r="652" spans="1:15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65.765194108996766</v>
      </c>
      <c r="H652">
        <v>3.0754687499999999E-4</v>
      </c>
      <c r="I652">
        <v>-0.11167380226718866</v>
      </c>
      <c r="J652" s="93">
        <v>-3.4344928906641787E-5</v>
      </c>
      <c r="L652" s="97"/>
      <c r="M652" s="97">
        <v>35.3932895021699</v>
      </c>
      <c r="N652" s="93">
        <v>2.44140625E-4</v>
      </c>
      <c r="O652" s="93">
        <f t="shared" si="10"/>
        <v>0.9267578125</v>
      </c>
    </row>
    <row r="653" spans="1:15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-0.96030536397420951</v>
      </c>
      <c r="H653">
        <v>4.8694921874999997E-4</v>
      </c>
      <c r="I653">
        <v>-1.0325280151469025</v>
      </c>
      <c r="J653" s="93">
        <v>-5.0278871031327228E-4</v>
      </c>
      <c r="L653" s="97"/>
      <c r="M653" s="97">
        <v>36.87711274159205</v>
      </c>
      <c r="N653" s="93">
        <v>9.765625E-4</v>
      </c>
      <c r="O653" s="93">
        <f t="shared" si="10"/>
        <v>0.927734375</v>
      </c>
    </row>
    <row r="654" spans="1:15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32.791362982364475</v>
      </c>
      <c r="H654">
        <v>1.0280039062499999E-3</v>
      </c>
      <c r="I654">
        <v>-0.33519412655260761</v>
      </c>
      <c r="J654" s="93">
        <v>-3.4458087144813743E-4</v>
      </c>
      <c r="L654" s="97"/>
      <c r="M654" s="97">
        <v>36.87711274159205</v>
      </c>
      <c r="N654" s="93">
        <v>1.953125E-3</v>
      </c>
      <c r="O654" s="93">
        <f t="shared" si="10"/>
        <v>0.9296875</v>
      </c>
    </row>
    <row r="655" spans="1:15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57.521736327338687</v>
      </c>
      <c r="H655">
        <v>6.4926562499999999E-4</v>
      </c>
      <c r="I655">
        <v>-0.14698992809500125</v>
      </c>
      <c r="J655" s="93">
        <v>-9.5435507533306042E-5</v>
      </c>
      <c r="L655" s="97"/>
      <c r="M655" s="97">
        <v>36.87711274159205</v>
      </c>
      <c r="N655" s="93">
        <v>9.765625E-4</v>
      </c>
      <c r="O655" s="93">
        <f t="shared" si="10"/>
        <v>0.9306640625</v>
      </c>
    </row>
    <row r="656" spans="1:15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-13</v>
      </c>
      <c r="H656">
        <v>3.0754687500000004E-4</v>
      </c>
      <c r="I656">
        <v>-1.5423902651101746</v>
      </c>
      <c r="J656" s="93">
        <v>-4.743573060650558E-4</v>
      </c>
      <c r="L656" s="97"/>
      <c r="M656" s="97">
        <v>37.013659872540273</v>
      </c>
      <c r="N656" s="93">
        <v>4.8828125E-4</v>
      </c>
      <c r="O656" s="93">
        <f t="shared" si="10"/>
        <v>0.93115234375</v>
      </c>
    </row>
    <row r="657" spans="1:15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24.508680234999947</v>
      </c>
      <c r="H657">
        <v>6.4926562499999999E-4</v>
      </c>
      <c r="I657">
        <v>-0.44177436757952165</v>
      </c>
      <c r="J657" s="93">
        <v>-2.8682891087549784E-4</v>
      </c>
      <c r="L657" s="97"/>
      <c r="M657" s="97">
        <v>37.013659872540273</v>
      </c>
      <c r="N657" s="93">
        <v>9.765625E-4</v>
      </c>
      <c r="O657" s="93">
        <f t="shared" si="10"/>
        <v>0.93212890625</v>
      </c>
    </row>
    <row r="658" spans="1:15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49.278278545680621</v>
      </c>
      <c r="H658">
        <v>4.100625E-4</v>
      </c>
      <c r="I658">
        <v>-0.19347455287390877</v>
      </c>
      <c r="J658" s="93">
        <v>-7.9336658837857209E-5</v>
      </c>
      <c r="L658" s="97"/>
      <c r="M658" s="97">
        <v>37.013659872540273</v>
      </c>
      <c r="N658" s="93">
        <v>4.8828125E-4</v>
      </c>
      <c r="O658" s="93">
        <f t="shared" si="10"/>
        <v>0.9326171875</v>
      </c>
    </row>
    <row r="659" spans="1:15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6.6852886767591286</v>
      </c>
      <c r="H659">
        <v>4.8694921875000008E-4</v>
      </c>
      <c r="I659">
        <v>-0.80024051248445593</v>
      </c>
      <c r="J659" s="93">
        <v>-3.896764923664055E-4</v>
      </c>
      <c r="L659" s="97"/>
      <c r="M659" s="97">
        <v>37.985882094762495</v>
      </c>
      <c r="N659" s="93">
        <v>2.44140625E-4</v>
      </c>
      <c r="O659" s="93">
        <f t="shared" si="10"/>
        <v>0.932861328125</v>
      </c>
    </row>
    <row r="660" spans="1:15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40.06259854180032</v>
      </c>
      <c r="H660">
        <v>1.0280039062500002E-3</v>
      </c>
      <c r="I660">
        <v>-0.26304768501550713</v>
      </c>
      <c r="J660" s="93">
        <v>-2.7041404772596095E-4</v>
      </c>
      <c r="L660" s="97"/>
      <c r="M660" s="97">
        <v>37.985882094762495</v>
      </c>
      <c r="N660" s="93">
        <v>4.8828125E-4</v>
      </c>
      <c r="O660" s="93">
        <f t="shared" si="10"/>
        <v>0.933349609375</v>
      </c>
    </row>
    <row r="661" spans="1:15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64.792971886774538</v>
      </c>
      <c r="H661">
        <v>6.492656250000001E-4</v>
      </c>
      <c r="I661">
        <v>-0.11535214146992968</v>
      </c>
      <c r="J661" s="93">
        <v>-7.489418022656233E-5</v>
      </c>
      <c r="L661" s="97"/>
      <c r="M661" s="97">
        <v>37.985882094762495</v>
      </c>
      <c r="N661" s="93">
        <v>2.44140625E-4</v>
      </c>
      <c r="O661" s="93">
        <f t="shared" si="10"/>
        <v>0.93359375</v>
      </c>
    </row>
    <row r="662" spans="1:15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-2.127715838674793</v>
      </c>
      <c r="H662">
        <v>1.0280039062499999E-3</v>
      </c>
      <c r="I662">
        <v>-1.0734994878895892</v>
      </c>
      <c r="J662" s="93">
        <v>-1.1035616669078721E-3</v>
      </c>
      <c r="L662" s="97"/>
      <c r="M662" s="97">
        <v>38.442228171429953</v>
      </c>
      <c r="N662" s="93">
        <v>4.8828125E-4</v>
      </c>
      <c r="O662" s="93">
        <f t="shared" si="10"/>
        <v>0.93408203125</v>
      </c>
    </row>
    <row r="663" spans="1:15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31.815719978249248</v>
      </c>
      <c r="H663">
        <v>2.1702304687499997E-3</v>
      </c>
      <c r="I663">
        <v>-0.34627431529242059</v>
      </c>
      <c r="J663" s="93">
        <v>-7.5149506959315516E-4</v>
      </c>
      <c r="L663" s="97"/>
      <c r="M663" s="97">
        <v>38.442228171429953</v>
      </c>
      <c r="N663" s="93">
        <v>9.765625E-4</v>
      </c>
      <c r="O663" s="93">
        <f t="shared" si="10"/>
        <v>0.93505859375</v>
      </c>
    </row>
    <row r="664" spans="1:15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56.549514105116465</v>
      </c>
      <c r="H664">
        <v>1.3706718749999999E-3</v>
      </c>
      <c r="I664">
        <v>-0.15183151854811672</v>
      </c>
      <c r="J664" s="93">
        <v>-2.0811119221244442E-4</v>
      </c>
      <c r="L664" s="97"/>
      <c r="M664" s="97">
        <v>38.442228171429953</v>
      </c>
      <c r="N664" s="93">
        <v>4.8828125E-4</v>
      </c>
      <c r="O664" s="93">
        <f t="shared" si="10"/>
        <v>0.935546875</v>
      </c>
    </row>
    <row r="665" spans="1:15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-14.5</v>
      </c>
      <c r="H665">
        <v>6.492656250000001E-4</v>
      </c>
      <c r="I665">
        <v>-1.6214703050420796</v>
      </c>
      <c r="J665" s="93">
        <v>-1.0527649310220866E-3</v>
      </c>
      <c r="L665" s="97"/>
      <c r="M665" s="97">
        <v>38.497483111962424</v>
      </c>
      <c r="N665" s="93">
        <v>1.953125E-3</v>
      </c>
      <c r="O665" s="93">
        <f t="shared" si="10"/>
        <v>0.9375</v>
      </c>
    </row>
    <row r="666" spans="1:15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23.497363362571964</v>
      </c>
      <c r="H666">
        <v>1.3706718749999999E-3</v>
      </c>
      <c r="I666">
        <v>-0.45692069118218459</v>
      </c>
      <c r="J666" s="93">
        <v>-6.2628834050898084E-4</v>
      </c>
      <c r="L666" s="97"/>
      <c r="M666" s="97">
        <v>38.497483111962424</v>
      </c>
      <c r="N666" s="93">
        <v>3.90625E-3</v>
      </c>
      <c r="O666" s="93">
        <f t="shared" si="10"/>
        <v>0.94140625</v>
      </c>
    </row>
    <row r="667" spans="1:15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48.306056323458392</v>
      </c>
      <c r="H667">
        <v>8.6568750000000003E-4</v>
      </c>
      <c r="I667">
        <v>-0.19984726534649189</v>
      </c>
      <c r="J667" s="93">
        <v>-1.7300527951964121E-4</v>
      </c>
      <c r="L667" s="97"/>
      <c r="M667" s="97">
        <v>38.497483111962424</v>
      </c>
      <c r="N667" s="93">
        <v>1.953125E-3</v>
      </c>
      <c r="O667" s="93">
        <f t="shared" si="10"/>
        <v>0.943359375</v>
      </c>
    </row>
    <row r="668" spans="1:15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4.8723522556397576</v>
      </c>
      <c r="H668">
        <v>3.0754687500000004E-4</v>
      </c>
      <c r="I668">
        <v>-0.8500911143797294</v>
      </c>
      <c r="J668" s="93">
        <v>-2.614428656927534E-4</v>
      </c>
      <c r="L668" s="97"/>
      <c r="M668" s="97">
        <v>39.469705334184646</v>
      </c>
      <c r="N668" s="93">
        <v>9.765625E-4</v>
      </c>
      <c r="O668" s="93">
        <f t="shared" si="10"/>
        <v>0.9443359375</v>
      </c>
    </row>
    <row r="669" spans="1:15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38.442228171429953</v>
      </c>
      <c r="H669">
        <v>6.4926562499999999E-4</v>
      </c>
      <c r="I669">
        <v>-0.27764620887622238</v>
      </c>
      <c r="J669" s="93">
        <v>-1.8026613933490106E-4</v>
      </c>
      <c r="L669" s="97"/>
      <c r="M669" s="97">
        <v>39.469705334184646</v>
      </c>
      <c r="N669" s="93">
        <v>1.953125E-3</v>
      </c>
      <c r="O669" s="93">
        <f t="shared" si="10"/>
        <v>0.9462890625</v>
      </c>
    </row>
    <row r="670" spans="1:15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63.172601516404178</v>
      </c>
      <c r="H670">
        <v>4.100625E-4</v>
      </c>
      <c r="I670">
        <v>-0.12175391227256607</v>
      </c>
      <c r="J670" s="93">
        <v>-4.9926713651269125E-5</v>
      </c>
      <c r="L670" s="97"/>
      <c r="M670" s="97">
        <v>39.469705334184646</v>
      </c>
      <c r="N670" s="93">
        <v>9.765625E-4</v>
      </c>
      <c r="O670" s="93">
        <f t="shared" si="10"/>
        <v>0.947265625</v>
      </c>
    </row>
    <row r="671" spans="1:15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-4.1171713473951597</v>
      </c>
      <c r="H671">
        <v>6.4926562499999999E-4</v>
      </c>
      <c r="I671">
        <v>-1.1471023247244923</v>
      </c>
      <c r="J671" s="93">
        <v>-7.4477410780120039E-4</v>
      </c>
      <c r="L671" s="97"/>
      <c r="M671" s="97">
        <v>40.06259854180032</v>
      </c>
      <c r="N671" s="93">
        <v>9.765625E-4</v>
      </c>
      <c r="O671" s="93">
        <f t="shared" si="10"/>
        <v>0.9482421875</v>
      </c>
    </row>
    <row r="672" spans="1:15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30.130191857535941</v>
      </c>
      <c r="H672">
        <v>1.3706718749999997E-3</v>
      </c>
      <c r="I672">
        <v>-0.36628640342083207</v>
      </c>
      <c r="J672" s="93">
        <v>-5.0205847136383826E-4</v>
      </c>
      <c r="L672" s="97"/>
      <c r="M672" s="97">
        <v>40.06259854180032</v>
      </c>
      <c r="N672" s="93">
        <v>1.953125E-3</v>
      </c>
      <c r="O672" s="93">
        <f t="shared" si="10"/>
        <v>0.9501953125</v>
      </c>
    </row>
    <row r="673" spans="1:15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54.929143734746091</v>
      </c>
      <c r="H673">
        <v>8.6568749999999992E-4</v>
      </c>
      <c r="I673">
        <v>-0.16025780842860987</v>
      </c>
      <c r="J673" s="93">
        <v>-1.3873318153404221E-4</v>
      </c>
      <c r="L673" s="97"/>
      <c r="M673" s="97">
        <v>40.06259854180032</v>
      </c>
      <c r="N673" s="93">
        <v>9.765625E-4</v>
      </c>
      <c r="O673" s="93">
        <f t="shared" si="10"/>
        <v>0.951171875</v>
      </c>
    </row>
    <row r="674" spans="1:15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-17</v>
      </c>
      <c r="H674">
        <v>4.100625E-4</v>
      </c>
      <c r="I674">
        <v>-1.7623826407286585</v>
      </c>
      <c r="J674" s="93">
        <v>-7.2268703161379553E-4</v>
      </c>
      <c r="L674" s="97"/>
      <c r="M674" s="97">
        <v>41.034820764022548</v>
      </c>
      <c r="N674" s="93">
        <v>4.8828125E-4</v>
      </c>
      <c r="O674" s="93">
        <f t="shared" si="10"/>
        <v>0.95166015625</v>
      </c>
    </row>
    <row r="675" spans="1:15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21.811835241858656</v>
      </c>
      <c r="H675">
        <v>8.6568749999999992E-4</v>
      </c>
      <c r="I675">
        <v>-0.4833273194991326</v>
      </c>
      <c r="J675" s="93">
        <v>-4.1841041889890534E-4</v>
      </c>
      <c r="L675" s="97"/>
      <c r="M675" s="97">
        <v>41.034820764022548</v>
      </c>
      <c r="N675" s="93">
        <v>9.765625E-4</v>
      </c>
      <c r="O675" s="93">
        <f t="shared" si="10"/>
        <v>0.95263671875</v>
      </c>
    </row>
    <row r="676" spans="1:15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46.685685953088026</v>
      </c>
      <c r="H676">
        <v>5.4674999999999993E-4</v>
      </c>
      <c r="I676">
        <v>-0.21093831551668235</v>
      </c>
      <c r="J676" s="93">
        <v>-1.1533052400874606E-4</v>
      </c>
      <c r="L676" s="97"/>
      <c r="M676" s="97">
        <v>41.034820764022548</v>
      </c>
      <c r="N676" s="93">
        <v>4.8828125E-4</v>
      </c>
      <c r="O676" s="93">
        <f t="shared" si="10"/>
        <v>0.953125</v>
      </c>
    </row>
    <row r="677" spans="1:15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7.7663216606651506</v>
      </c>
      <c r="H677">
        <v>4.8694921874999997E-4</v>
      </c>
      <c r="I677">
        <v>-0.77191766307839438</v>
      </c>
      <c r="J677" s="93">
        <v>-3.7588470297534985E-4</v>
      </c>
      <c r="L677" s="97"/>
      <c r="M677" s="97">
        <v>44.859717951610477</v>
      </c>
      <c r="N677" s="93">
        <v>4.8828125E-4</v>
      </c>
      <c r="O677" s="93">
        <f t="shared" si="10"/>
        <v>0.95361328125</v>
      </c>
    </row>
    <row r="678" spans="1:15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41.034820764022548</v>
      </c>
      <c r="H678">
        <v>1.0280039062499999E-3</v>
      </c>
      <c r="I678">
        <v>-0.25465964297612242</v>
      </c>
      <c r="J678" s="93">
        <v>-2.6179110774368419E-4</v>
      </c>
      <c r="L678" s="97"/>
      <c r="M678" s="97">
        <v>44.859717951610477</v>
      </c>
      <c r="N678" s="93">
        <v>9.765625E-4</v>
      </c>
      <c r="O678" s="93">
        <f t="shared" si="10"/>
        <v>0.95458984375</v>
      </c>
    </row>
    <row r="679" spans="1:15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65.765194108996766</v>
      </c>
      <c r="H679">
        <v>6.4926562499999999E-4</v>
      </c>
      <c r="I679">
        <v>-0.11167380226718866</v>
      </c>
      <c r="J679" s="93">
        <v>-7.2505961025132667E-5</v>
      </c>
      <c r="L679" s="97"/>
      <c r="M679" s="97">
        <v>44.859717951610477</v>
      </c>
      <c r="N679" s="93">
        <v>4.8828125E-4</v>
      </c>
      <c r="O679" s="93">
        <f t="shared" si="10"/>
        <v>0.955078125</v>
      </c>
    </row>
    <row r="680" spans="1:15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-0.96030536397420951</v>
      </c>
      <c r="H680">
        <v>1.0280039062499999E-3</v>
      </c>
      <c r="I680">
        <v>-1.0325280151469025</v>
      </c>
      <c r="J680" s="93">
        <v>-1.0614428328835749E-3</v>
      </c>
      <c r="L680" s="97"/>
      <c r="M680" s="97">
        <v>46.480088321980844</v>
      </c>
      <c r="N680" s="93">
        <v>9.765625E-4</v>
      </c>
      <c r="O680" s="93">
        <f t="shared" si="10"/>
        <v>0.9560546875</v>
      </c>
    </row>
    <row r="681" spans="1:15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32.791362982364475</v>
      </c>
      <c r="H681">
        <v>2.1702304687499993E-3</v>
      </c>
      <c r="I681">
        <v>-0.33519412655260761</v>
      </c>
      <c r="J681" s="93">
        <v>-7.2744850639051221E-4</v>
      </c>
      <c r="L681" s="97"/>
      <c r="M681" s="97">
        <v>46.480088321980844</v>
      </c>
      <c r="N681" s="93">
        <v>1.953125E-3</v>
      </c>
      <c r="O681" s="93">
        <f t="shared" si="10"/>
        <v>0.9580078125</v>
      </c>
    </row>
    <row r="682" spans="1:15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57.521736327338687</v>
      </c>
      <c r="H682">
        <v>1.3706718749999997E-3</v>
      </c>
      <c r="I682">
        <v>-0.14698992809500125</v>
      </c>
      <c r="J682" s="93">
        <v>-2.0147496034809051E-4</v>
      </c>
      <c r="L682" s="97"/>
      <c r="M682" s="97">
        <v>46.480088321980844</v>
      </c>
      <c r="N682" s="93">
        <v>9.765625E-4</v>
      </c>
      <c r="O682" s="93">
        <f t="shared" si="10"/>
        <v>0.958984375</v>
      </c>
    </row>
    <row r="683" spans="1:15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-13</v>
      </c>
      <c r="H683">
        <v>6.4926562499999999E-4</v>
      </c>
      <c r="I683">
        <v>-1.5423902651101746</v>
      </c>
      <c r="J683" s="93">
        <v>-1.0014209794706732E-3</v>
      </c>
      <c r="L683" s="97"/>
      <c r="M683" s="97">
        <v>46.685685953088026</v>
      </c>
      <c r="N683" s="93">
        <v>2.44140625E-4</v>
      </c>
      <c r="O683" s="93">
        <f t="shared" si="10"/>
        <v>0.959228515625</v>
      </c>
    </row>
    <row r="684" spans="1:15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24.508680234999947</v>
      </c>
      <c r="H684">
        <v>1.3706718749999997E-3</v>
      </c>
      <c r="I684">
        <v>-0.44177436757952165</v>
      </c>
      <c r="J684" s="93">
        <v>-6.05527700737162E-4</v>
      </c>
      <c r="L684" s="97"/>
      <c r="M684" s="97">
        <v>46.685685953088026</v>
      </c>
      <c r="N684" s="93">
        <v>4.8828125E-4</v>
      </c>
      <c r="O684" s="93">
        <f t="shared" si="10"/>
        <v>0.959716796875</v>
      </c>
    </row>
    <row r="685" spans="1:15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49.278278545680621</v>
      </c>
      <c r="H685">
        <v>8.6568749999999992E-4</v>
      </c>
      <c r="I685">
        <v>-0.19347455287390877</v>
      </c>
      <c r="J685" s="93">
        <v>-1.6748850199103189E-4</v>
      </c>
      <c r="L685" s="97"/>
      <c r="M685" s="97">
        <v>46.685685953088026</v>
      </c>
      <c r="N685" s="93">
        <v>2.44140625E-4</v>
      </c>
      <c r="O685" s="93">
        <f t="shared" si="10"/>
        <v>0.9599609375</v>
      </c>
    </row>
    <row r="686" spans="1:15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6.6852886767591286</v>
      </c>
      <c r="H686">
        <v>1.0280039062499999E-3</v>
      </c>
      <c r="I686">
        <v>-0.80024051248445593</v>
      </c>
      <c r="J686" s="93">
        <v>-8.2265037277352252E-4</v>
      </c>
      <c r="L686" s="97"/>
      <c r="M686" s="97">
        <v>47.452310544203073</v>
      </c>
      <c r="N686" s="93">
        <v>4.8828125E-4</v>
      </c>
      <c r="O686" s="93">
        <f t="shared" si="10"/>
        <v>0.96044921875</v>
      </c>
    </row>
    <row r="687" spans="1:15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40.06259854180032</v>
      </c>
      <c r="H687">
        <v>2.1702304687499997E-3</v>
      </c>
      <c r="I687">
        <v>-0.26304768501550713</v>
      </c>
      <c r="J687" s="93">
        <v>-5.7087410075480627E-4</v>
      </c>
      <c r="L687" s="97"/>
      <c r="M687" s="97">
        <v>47.452310544203073</v>
      </c>
      <c r="N687" s="93">
        <v>9.765625E-4</v>
      </c>
      <c r="O687" s="93">
        <f t="shared" si="10"/>
        <v>0.96142578125</v>
      </c>
    </row>
    <row r="688" spans="1:15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64.792971886774538</v>
      </c>
      <c r="H688">
        <v>1.3706718749999999E-3</v>
      </c>
      <c r="I688">
        <v>-0.11535214146992968</v>
      </c>
      <c r="J688" s="93">
        <v>-1.5810993603385378E-4</v>
      </c>
      <c r="L688" s="97"/>
      <c r="M688" s="97">
        <v>47.452310544203073</v>
      </c>
      <c r="N688" s="93">
        <v>4.8828125E-4</v>
      </c>
      <c r="O688" s="93">
        <f t="shared" si="10"/>
        <v>0.9619140625</v>
      </c>
    </row>
    <row r="689" spans="1:15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-2.127715838674793</v>
      </c>
      <c r="H689">
        <v>2.1702304687499997E-3</v>
      </c>
      <c r="I689">
        <v>-1.0734994878895892</v>
      </c>
      <c r="J689" s="93">
        <v>-2.3297412968055079E-3</v>
      </c>
      <c r="L689" s="97"/>
      <c r="M689" s="97">
        <v>48.306056323458392</v>
      </c>
      <c r="N689" s="93">
        <v>4.8828125E-4</v>
      </c>
      <c r="O689" s="93">
        <f t="shared" si="10"/>
        <v>0.96240234375</v>
      </c>
    </row>
    <row r="690" spans="1:15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31.815719978249248</v>
      </c>
      <c r="H690">
        <v>4.5815976562499994E-3</v>
      </c>
      <c r="I690">
        <v>-0.34627431529242059</v>
      </c>
      <c r="J690" s="93">
        <v>-1.5864895913633274E-3</v>
      </c>
      <c r="L690" s="97"/>
      <c r="M690" s="97">
        <v>48.306056323458392</v>
      </c>
      <c r="N690" s="93">
        <v>9.765625E-4</v>
      </c>
      <c r="O690" s="93">
        <f t="shared" si="10"/>
        <v>0.96337890625</v>
      </c>
    </row>
    <row r="691" spans="1:15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56.549514105116465</v>
      </c>
      <c r="H691">
        <v>2.8936406249999995E-3</v>
      </c>
      <c r="I691">
        <v>-0.15183151854811672</v>
      </c>
      <c r="J691" s="93">
        <v>-4.393458502262715E-4</v>
      </c>
      <c r="L691" s="97"/>
      <c r="M691" s="97">
        <v>48.306056323458392</v>
      </c>
      <c r="N691" s="93">
        <v>4.8828125E-4</v>
      </c>
      <c r="O691" s="93">
        <f t="shared" si="10"/>
        <v>0.9638671875</v>
      </c>
    </row>
    <row r="692" spans="1:15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-14.5</v>
      </c>
      <c r="H692">
        <v>1.3706718749999999E-3</v>
      </c>
      <c r="I692">
        <v>-1.6214703050420796</v>
      </c>
      <c r="J692" s="93">
        <v>-2.2225037432688491E-3</v>
      </c>
      <c r="L692" s="97"/>
      <c r="M692" s="97">
        <v>49.278278545680621</v>
      </c>
      <c r="N692" s="93">
        <v>2.44140625E-4</v>
      </c>
      <c r="O692" s="93">
        <f t="shared" si="10"/>
        <v>0.964111328125</v>
      </c>
    </row>
    <row r="693" spans="1:15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23.497363362571964</v>
      </c>
      <c r="H693">
        <v>2.8936406249999995E-3</v>
      </c>
      <c r="I693">
        <v>-0.45692069118218459</v>
      </c>
      <c r="J693" s="93">
        <v>-1.3221642744078485E-3</v>
      </c>
      <c r="L693" s="97"/>
      <c r="M693" s="97">
        <v>49.278278545680621</v>
      </c>
      <c r="N693" s="93">
        <v>4.8828125E-4</v>
      </c>
      <c r="O693" s="93">
        <f t="shared" si="10"/>
        <v>0.964599609375</v>
      </c>
    </row>
    <row r="694" spans="1:15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48.306056323458392</v>
      </c>
      <c r="H694">
        <v>1.8275624999999998E-3</v>
      </c>
      <c r="I694">
        <v>-0.19984726534649189</v>
      </c>
      <c r="J694" s="93">
        <v>-3.6523336787479802E-4</v>
      </c>
      <c r="L694" s="97"/>
      <c r="M694" s="97">
        <v>49.278278545680621</v>
      </c>
      <c r="N694" s="93">
        <v>2.44140625E-4</v>
      </c>
      <c r="O694" s="93">
        <f t="shared" si="10"/>
        <v>0.96484375</v>
      </c>
    </row>
    <row r="695" spans="1:15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4.8723522556397576</v>
      </c>
      <c r="H695">
        <v>6.4926562499999999E-4</v>
      </c>
      <c r="I695">
        <v>-0.8500911143797294</v>
      </c>
      <c r="J695" s="93">
        <v>-5.5193493868470149E-4</v>
      </c>
      <c r="L695" s="97"/>
      <c r="M695" s="97">
        <v>52.842323161628904</v>
      </c>
      <c r="N695" s="93">
        <v>9.765625E-4</v>
      </c>
      <c r="O695" s="93">
        <f t="shared" si="10"/>
        <v>0.9658203125</v>
      </c>
    </row>
    <row r="696" spans="1:15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38.442228171429953</v>
      </c>
      <c r="H696">
        <v>1.3706718749999997E-3</v>
      </c>
      <c r="I696">
        <v>-0.27764620887622238</v>
      </c>
      <c r="J696" s="93">
        <v>-3.8056184970701326E-4</v>
      </c>
      <c r="L696" s="97"/>
      <c r="M696" s="97">
        <v>52.842323161628904</v>
      </c>
      <c r="N696" s="93">
        <v>1.953125E-3</v>
      </c>
      <c r="O696" s="93">
        <f t="shared" si="10"/>
        <v>0.9677734375</v>
      </c>
    </row>
    <row r="697" spans="1:15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63.172601516404178</v>
      </c>
      <c r="H697">
        <v>8.6568749999999992E-4</v>
      </c>
      <c r="I697">
        <v>-0.12175391227256607</v>
      </c>
      <c r="J697" s="93">
        <v>-1.0540083993045703E-4</v>
      </c>
      <c r="L697" s="97"/>
      <c r="M697" s="97">
        <v>52.842323161628904</v>
      </c>
      <c r="N697" s="93">
        <v>9.765625E-4</v>
      </c>
      <c r="O697" s="93">
        <f t="shared" si="10"/>
        <v>0.96875</v>
      </c>
    </row>
    <row r="698" spans="1:15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-4.1171713473951597</v>
      </c>
      <c r="H698">
        <v>1.3706718749999997E-3</v>
      </c>
      <c r="I698">
        <v>-1.1471023247244923</v>
      </c>
      <c r="J698" s="93">
        <v>-1.5723008942469783E-3</v>
      </c>
      <c r="L698" s="97"/>
      <c r="M698" s="97">
        <v>54.462693531999271</v>
      </c>
      <c r="N698" s="93">
        <v>1.953125E-3</v>
      </c>
      <c r="O698" s="93">
        <f t="shared" si="10"/>
        <v>0.970703125</v>
      </c>
    </row>
    <row r="699" spans="1:15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30.130191857535941</v>
      </c>
      <c r="H699">
        <v>2.8936406249999991E-3</v>
      </c>
      <c r="I699">
        <v>-0.36628640342083207</v>
      </c>
      <c r="J699" s="93">
        <v>-1.0599012173236582E-3</v>
      </c>
      <c r="L699" s="97"/>
      <c r="M699" s="97">
        <v>54.462693531999271</v>
      </c>
      <c r="N699" s="93">
        <v>3.90625E-3</v>
      </c>
      <c r="O699" s="93">
        <f t="shared" si="10"/>
        <v>0.974609375</v>
      </c>
    </row>
    <row r="700" spans="1:15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54.929143734746091</v>
      </c>
      <c r="H700">
        <v>1.8275624999999993E-3</v>
      </c>
      <c r="I700">
        <v>-0.16025780842860987</v>
      </c>
      <c r="J700" s="93">
        <v>-2.9288116101631122E-4</v>
      </c>
      <c r="L700" s="97"/>
      <c r="M700" s="97">
        <v>54.462693531999271</v>
      </c>
      <c r="N700" s="93">
        <v>1.953125E-3</v>
      </c>
      <c r="O700" s="93">
        <f t="shared" si="10"/>
        <v>0.9765625</v>
      </c>
    </row>
    <row r="701" spans="1:15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-17</v>
      </c>
      <c r="H701">
        <v>8.6568749999999992E-4</v>
      </c>
      <c r="I701">
        <v>-1.7623826407286585</v>
      </c>
      <c r="J701" s="93">
        <v>-1.5256726222957905E-3</v>
      </c>
      <c r="L701" s="97"/>
      <c r="M701" s="97">
        <v>54.929143734746091</v>
      </c>
      <c r="N701" s="93">
        <v>4.8828125E-4</v>
      </c>
      <c r="O701" s="93">
        <f t="shared" si="10"/>
        <v>0.97705078125</v>
      </c>
    </row>
    <row r="702" spans="1:15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21.811835241858656</v>
      </c>
      <c r="H702">
        <v>1.8275624999999995E-3</v>
      </c>
      <c r="I702">
        <v>-0.4833273194991326</v>
      </c>
      <c r="J702" s="93">
        <v>-8.8331088434213327E-4</v>
      </c>
      <c r="L702" s="97"/>
      <c r="M702" s="97">
        <v>54.929143734746091</v>
      </c>
      <c r="N702" s="93">
        <v>9.765625E-4</v>
      </c>
      <c r="O702" s="93">
        <f t="shared" si="10"/>
        <v>0.97802734375</v>
      </c>
    </row>
    <row r="703" spans="1:15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46.685685953088026</v>
      </c>
      <c r="H703">
        <v>1.1542499999999997E-3</v>
      </c>
      <c r="I703">
        <v>-0.21093831551668235</v>
      </c>
      <c r="J703" s="93">
        <v>-2.4347555068513055E-4</v>
      </c>
      <c r="L703" s="97"/>
      <c r="M703" s="97">
        <v>54.929143734746091</v>
      </c>
      <c r="N703" s="93">
        <v>4.8828125E-4</v>
      </c>
      <c r="O703" s="93">
        <f t="shared" si="10"/>
        <v>0.978515625</v>
      </c>
    </row>
    <row r="704" spans="1:15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7.7663216606651506</v>
      </c>
      <c r="H704">
        <v>3.0754687500000004E-4</v>
      </c>
      <c r="I704">
        <v>-0.77191766307839438</v>
      </c>
      <c r="J704" s="93">
        <v>-2.3740086503706311E-4</v>
      </c>
      <c r="L704" s="97"/>
      <c r="M704" s="97">
        <v>55.434915754221493</v>
      </c>
      <c r="N704" s="93">
        <v>9.765625E-4</v>
      </c>
      <c r="O704" s="93">
        <f t="shared" si="10"/>
        <v>0.9794921875</v>
      </c>
    </row>
    <row r="705" spans="1:15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41.034820764022548</v>
      </c>
      <c r="H705">
        <v>6.4926562499999999E-4</v>
      </c>
      <c r="I705">
        <v>-0.25465964297612242</v>
      </c>
      <c r="J705" s="93">
        <v>-1.6534175225916899E-4</v>
      </c>
      <c r="L705" s="97"/>
      <c r="M705" s="97">
        <v>55.434915754221493</v>
      </c>
      <c r="N705" s="93">
        <v>1.953125E-3</v>
      </c>
      <c r="O705" s="93">
        <f t="shared" si="10"/>
        <v>0.9814453125</v>
      </c>
    </row>
    <row r="706" spans="1:15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65.765194108996766</v>
      </c>
      <c r="H706">
        <v>4.100625E-4</v>
      </c>
      <c r="I706">
        <v>-0.11167380226718866</v>
      </c>
      <c r="J706" s="93">
        <v>-4.5793238542189054E-5</v>
      </c>
      <c r="L706" s="97"/>
      <c r="M706" s="97">
        <v>55.434915754221493</v>
      </c>
      <c r="N706" s="93">
        <v>9.765625E-4</v>
      </c>
      <c r="O706" s="93">
        <f t="shared" si="10"/>
        <v>0.982421875</v>
      </c>
    </row>
    <row r="707" spans="1:15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-0.96030536397420951</v>
      </c>
      <c r="H707">
        <v>6.4926562499999999E-4</v>
      </c>
      <c r="I707">
        <v>-1.0325280151469025</v>
      </c>
      <c r="J707" s="93">
        <v>-6.7038494708436308E-4</v>
      </c>
      <c r="L707" s="97"/>
      <c r="M707" s="97">
        <v>56.549514105116465</v>
      </c>
      <c r="N707" s="93">
        <v>9.765625E-4</v>
      </c>
      <c r="O707" s="93">
        <f t="shared" si="10"/>
        <v>0.9833984375</v>
      </c>
    </row>
    <row r="708" spans="1:15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32.791362982364475</v>
      </c>
      <c r="H708">
        <v>1.3706718749999997E-3</v>
      </c>
      <c r="I708">
        <v>-0.33519412655260761</v>
      </c>
      <c r="J708" s="93">
        <v>-4.5944116193084985E-4</v>
      </c>
      <c r="L708" s="97"/>
      <c r="M708" s="97">
        <v>56.549514105116465</v>
      </c>
      <c r="N708" s="93">
        <v>1.953125E-3</v>
      </c>
      <c r="O708" s="93">
        <f t="shared" ref="O708:O730" si="11">N708+O707</f>
        <v>0.9853515625</v>
      </c>
    </row>
    <row r="709" spans="1:15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57.521736327338687</v>
      </c>
      <c r="H709">
        <v>8.6568749999999992E-4</v>
      </c>
      <c r="I709">
        <v>-0.14698992809500125</v>
      </c>
      <c r="J709" s="93">
        <v>-1.2724734337774137E-4</v>
      </c>
      <c r="L709" s="97"/>
      <c r="M709" s="97">
        <v>56.549514105116465</v>
      </c>
      <c r="N709" s="93">
        <v>9.765625E-4</v>
      </c>
      <c r="O709" s="93">
        <f t="shared" si="11"/>
        <v>0.986328125</v>
      </c>
    </row>
    <row r="710" spans="1:15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-13</v>
      </c>
      <c r="H710">
        <v>4.100625E-4</v>
      </c>
      <c r="I710">
        <v>-1.5423902651101746</v>
      </c>
      <c r="J710" s="93">
        <v>-6.3247640808674103E-4</v>
      </c>
      <c r="L710" s="97"/>
      <c r="M710" s="97">
        <v>57.521736327338687</v>
      </c>
      <c r="N710" s="93">
        <v>4.8828125E-4</v>
      </c>
      <c r="O710" s="93">
        <f t="shared" si="11"/>
        <v>0.98681640625</v>
      </c>
    </row>
    <row r="711" spans="1:15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24.508680234999947</v>
      </c>
      <c r="H711">
        <v>8.6568749999999992E-4</v>
      </c>
      <c r="I711">
        <v>-0.44177436757952165</v>
      </c>
      <c r="J711" s="93">
        <v>-3.8243854783399711E-4</v>
      </c>
      <c r="L711" s="97"/>
      <c r="M711" s="97">
        <v>57.521736327338687</v>
      </c>
      <c r="N711" s="93">
        <v>9.765625E-4</v>
      </c>
      <c r="O711" s="93">
        <f t="shared" si="11"/>
        <v>0.98779296875</v>
      </c>
    </row>
    <row r="712" spans="1:15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49.278278545680621</v>
      </c>
      <c r="H712">
        <v>5.4674999999999993E-4</v>
      </c>
      <c r="I712">
        <v>-0.19347455287390877</v>
      </c>
      <c r="J712" s="93">
        <v>-1.057822117838096E-4</v>
      </c>
      <c r="L712" s="97"/>
      <c r="M712" s="97">
        <v>57.521736327338687</v>
      </c>
      <c r="N712" s="93">
        <v>4.8828125E-4</v>
      </c>
      <c r="O712" s="93">
        <f t="shared" si="11"/>
        <v>0.98828125</v>
      </c>
    </row>
    <row r="713" spans="1:15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6.6852886767591286</v>
      </c>
      <c r="H713">
        <v>6.492656250000001E-4</v>
      </c>
      <c r="I713">
        <v>-0.80024051248445593</v>
      </c>
      <c r="J713" s="93">
        <v>-5.195686564885407E-4</v>
      </c>
      <c r="L713" s="97"/>
      <c r="M713" s="97">
        <v>60.824928371647346</v>
      </c>
      <c r="N713" s="93">
        <v>4.8828125E-4</v>
      </c>
      <c r="O713" s="93">
        <f t="shared" si="11"/>
        <v>0.98876953125</v>
      </c>
    </row>
    <row r="714" spans="1:15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40.06259854180032</v>
      </c>
      <c r="H714">
        <v>1.3706718749999999E-3</v>
      </c>
      <c r="I714">
        <v>-0.26304768501550713</v>
      </c>
      <c r="J714" s="93">
        <v>-3.6055206363461455E-4</v>
      </c>
      <c r="L714" s="97"/>
      <c r="M714" s="97">
        <v>60.824928371647346</v>
      </c>
      <c r="N714" s="93">
        <v>9.765625E-4</v>
      </c>
      <c r="O714" s="93">
        <f t="shared" si="11"/>
        <v>0.98974609375</v>
      </c>
    </row>
    <row r="715" spans="1:15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64.792971886774538</v>
      </c>
      <c r="H715">
        <v>8.6568750000000003E-4</v>
      </c>
      <c r="I715">
        <v>-0.11535214146992968</v>
      </c>
      <c r="J715" s="93">
        <v>-9.9858906968749756E-5</v>
      </c>
      <c r="L715" s="97"/>
      <c r="M715" s="97">
        <v>60.824928371647346</v>
      </c>
      <c r="N715" s="93">
        <v>4.8828125E-4</v>
      </c>
      <c r="O715" s="93">
        <f t="shared" si="11"/>
        <v>0.990234375</v>
      </c>
    </row>
    <row r="716" spans="1:15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-2.127715838674793</v>
      </c>
      <c r="H716">
        <v>1.3706718749999999E-3</v>
      </c>
      <c r="I716">
        <v>-1.0734994878895892</v>
      </c>
      <c r="J716" s="93">
        <v>-1.4714155558771629E-3</v>
      </c>
      <c r="L716" s="97"/>
      <c r="M716" s="97">
        <v>62.445298742017719</v>
      </c>
      <c r="N716" s="93">
        <v>9.765625E-4</v>
      </c>
      <c r="O716" s="93">
        <f t="shared" si="11"/>
        <v>0.9912109375</v>
      </c>
    </row>
    <row r="717" spans="1:15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31.815719978249248</v>
      </c>
      <c r="H717">
        <v>2.8936406249999995E-3</v>
      </c>
      <c r="I717">
        <v>-0.34627431529242059</v>
      </c>
      <c r="J717" s="93">
        <v>-1.0019934261242067E-3</v>
      </c>
      <c r="L717" s="97"/>
      <c r="M717" s="97">
        <v>62.445298742017719</v>
      </c>
      <c r="N717" s="93">
        <v>1.953125E-3</v>
      </c>
      <c r="O717" s="93">
        <f t="shared" si="11"/>
        <v>0.9931640625</v>
      </c>
    </row>
    <row r="718" spans="1:15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56.549514105116465</v>
      </c>
      <c r="H718">
        <v>1.8275624999999998E-3</v>
      </c>
      <c r="I718">
        <v>-0.15183151854811672</v>
      </c>
      <c r="J718" s="93">
        <v>-2.7748158961659252E-4</v>
      </c>
      <c r="L718" s="97"/>
      <c r="M718" s="97">
        <v>62.445298742017719</v>
      </c>
      <c r="N718" s="93">
        <v>9.765625E-4</v>
      </c>
      <c r="O718" s="93">
        <f t="shared" si="11"/>
        <v>0.994140625</v>
      </c>
    </row>
    <row r="719" spans="1:15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-14.5</v>
      </c>
      <c r="H719">
        <v>8.6568749999999992E-4</v>
      </c>
      <c r="I719">
        <v>-1.6214703050420796</v>
      </c>
      <c r="J719" s="93">
        <v>-1.403686574696115E-3</v>
      </c>
      <c r="L719" s="97"/>
      <c r="M719" s="97">
        <v>63.172601516404178</v>
      </c>
      <c r="N719" s="93">
        <v>2.44140625E-4</v>
      </c>
      <c r="O719" s="93">
        <f t="shared" si="11"/>
        <v>0.994384765625</v>
      </c>
    </row>
    <row r="720" spans="1:15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23.497363362571964</v>
      </c>
      <c r="H720">
        <v>1.8275624999999998E-3</v>
      </c>
      <c r="I720">
        <v>-0.45692069118218459</v>
      </c>
      <c r="J720" s="93">
        <v>-8.3505112067864108E-4</v>
      </c>
      <c r="L720" s="97"/>
      <c r="M720" s="97">
        <v>63.172601516404178</v>
      </c>
      <c r="N720" s="93">
        <v>4.8828125E-4</v>
      </c>
      <c r="O720" s="93">
        <f t="shared" si="11"/>
        <v>0.994873046875</v>
      </c>
    </row>
    <row r="721" spans="1:15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48.306056323458392</v>
      </c>
      <c r="H721">
        <v>1.1542499999999999E-3</v>
      </c>
      <c r="I721">
        <v>-0.19984726534649189</v>
      </c>
      <c r="J721" s="93">
        <v>-2.3067370602618823E-4</v>
      </c>
      <c r="L721" s="97"/>
      <c r="M721" s="97">
        <v>63.172601516404178</v>
      </c>
      <c r="N721" s="93">
        <v>2.44140625E-4</v>
      </c>
      <c r="O721" s="93">
        <f t="shared" si="11"/>
        <v>0.9951171875</v>
      </c>
    </row>
    <row r="722" spans="1:15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4.8723522556397576</v>
      </c>
      <c r="H722">
        <v>4.100625E-4</v>
      </c>
      <c r="I722">
        <v>-0.8500911143797294</v>
      </c>
      <c r="J722" s="93">
        <v>-3.4859048759033781E-4</v>
      </c>
      <c r="L722" s="97"/>
      <c r="M722" s="97">
        <v>63.417520964239941</v>
      </c>
      <c r="N722" s="93">
        <v>4.8828125E-4</v>
      </c>
      <c r="O722" s="93">
        <f t="shared" si="11"/>
        <v>0.99560546875</v>
      </c>
    </row>
    <row r="723" spans="1:15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38.442228171429953</v>
      </c>
      <c r="H723">
        <v>8.6568749999999992E-4</v>
      </c>
      <c r="I723">
        <v>-0.27764620887622238</v>
      </c>
      <c r="J723" s="93">
        <v>-2.4035485244653474E-4</v>
      </c>
      <c r="L723" s="97"/>
      <c r="M723" s="97">
        <v>63.417520964239941</v>
      </c>
      <c r="N723" s="93">
        <v>9.765625E-4</v>
      </c>
      <c r="O723" s="93">
        <f t="shared" si="11"/>
        <v>0.99658203125</v>
      </c>
    </row>
    <row r="724" spans="1:15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63.172601516404178</v>
      </c>
      <c r="H724">
        <v>5.4674999999999993E-4</v>
      </c>
      <c r="I724">
        <v>-0.12175391227256607</v>
      </c>
      <c r="J724" s="93">
        <v>-6.6568951535025486E-5</v>
      </c>
      <c r="L724" s="97"/>
      <c r="M724" s="97">
        <v>63.417520964239941</v>
      </c>
      <c r="N724" s="93">
        <v>4.8828125E-4</v>
      </c>
      <c r="O724" s="93">
        <f t="shared" si="11"/>
        <v>0.9970703125</v>
      </c>
    </row>
    <row r="725" spans="1:15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-4.1171713473951597</v>
      </c>
      <c r="H725">
        <v>8.6568749999999992E-4</v>
      </c>
      <c r="I725">
        <v>-1.1471023247244923</v>
      </c>
      <c r="J725" s="93">
        <v>-9.9303214373493371E-4</v>
      </c>
      <c r="L725" s="97"/>
      <c r="M725" s="97">
        <v>64.792971886774538</v>
      </c>
      <c r="N725" s="93">
        <v>4.8828125E-4</v>
      </c>
      <c r="O725" s="93">
        <f t="shared" si="11"/>
        <v>0.99755859375</v>
      </c>
    </row>
    <row r="726" spans="1:15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30.130191857535941</v>
      </c>
      <c r="H726">
        <v>1.8275624999999998E-3</v>
      </c>
      <c r="I726">
        <v>-0.36628640342083207</v>
      </c>
      <c r="J726" s="93">
        <v>-6.6941129515178438E-4</v>
      </c>
      <c r="L726" s="97"/>
      <c r="M726" s="97">
        <v>64.792971886774538</v>
      </c>
      <c r="N726" s="93">
        <v>9.765625E-4</v>
      </c>
      <c r="O726" s="93">
        <f t="shared" si="11"/>
        <v>0.99853515625</v>
      </c>
    </row>
    <row r="727" spans="1:15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54.929143734746091</v>
      </c>
      <c r="H727">
        <v>1.1542499999999999E-3</v>
      </c>
      <c r="I727">
        <v>-0.16025780842860987</v>
      </c>
      <c r="J727" s="93">
        <v>-1.8497757537872293E-4</v>
      </c>
      <c r="L727" s="97"/>
      <c r="M727" s="97">
        <v>64.792971886774538</v>
      </c>
      <c r="N727" s="93">
        <v>4.8828125E-4</v>
      </c>
      <c r="O727" s="93">
        <f t="shared" si="11"/>
        <v>0.9990234375</v>
      </c>
    </row>
    <row r="728" spans="1:15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-17</v>
      </c>
      <c r="H728">
        <v>5.4675000000000004E-4</v>
      </c>
      <c r="I728">
        <v>-1.7623826407286585</v>
      </c>
      <c r="J728" s="93">
        <v>-9.6358270881839411E-4</v>
      </c>
      <c r="L728" s="97"/>
      <c r="M728" s="97">
        <v>65.765194108996766</v>
      </c>
      <c r="N728" s="93">
        <v>2.44140625E-4</v>
      </c>
      <c r="O728" s="93">
        <f t="shared" si="11"/>
        <v>0.999267578125</v>
      </c>
    </row>
    <row r="729" spans="1:15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21.811835241858656</v>
      </c>
      <c r="H729">
        <v>1.1542499999999999E-3</v>
      </c>
      <c r="I729">
        <v>-0.4833273194991326</v>
      </c>
      <c r="J729" s="93">
        <v>-5.5788055853187371E-4</v>
      </c>
      <c r="L729" s="97"/>
      <c r="M729" s="97">
        <v>65.765194108996766</v>
      </c>
      <c r="N729" s="93">
        <v>4.8828125E-4</v>
      </c>
      <c r="O729" s="93">
        <f t="shared" si="11"/>
        <v>0.999755859375</v>
      </c>
    </row>
    <row r="730" spans="1:15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46.685685953088026</v>
      </c>
      <c r="H730">
        <v>7.2899999999999994E-4</v>
      </c>
      <c r="I730">
        <v>-0.21093831551668235</v>
      </c>
      <c r="J730" s="93">
        <v>-1.5377403201166141E-4</v>
      </c>
      <c r="L730" s="97"/>
      <c r="M730" s="97">
        <v>65.765194108996766</v>
      </c>
      <c r="N730" s="93">
        <v>2.44140625E-4</v>
      </c>
      <c r="O730" s="93">
        <f t="shared" si="11"/>
        <v>1</v>
      </c>
    </row>
  </sheetData>
  <sortState ref="M2:N731">
    <sortCondition ref="M2:M7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30"/>
  <sheetViews>
    <sheetView tabSelected="1" topLeftCell="E1" workbookViewId="0">
      <selection activeCell="L2" sqref="L2"/>
    </sheetView>
  </sheetViews>
  <sheetFormatPr defaultRowHeight="14.25" x14ac:dyDescent="0.45"/>
  <cols>
    <col min="11" max="11" width="9.06640625" style="93"/>
    <col min="12" max="12" width="9.19921875" style="93" bestFit="1" customWidth="1"/>
    <col min="13" max="13" width="9.1328125" style="93" bestFit="1" customWidth="1"/>
    <col min="14" max="16" width="9.06640625" style="93"/>
  </cols>
  <sheetData>
    <row r="1" spans="1:15" x14ac:dyDescent="0.45">
      <c r="G1" t="s">
        <v>84</v>
      </c>
      <c r="H1" t="s">
        <v>75</v>
      </c>
      <c r="M1" s="93" t="s">
        <v>84</v>
      </c>
      <c r="N1" s="93" t="s">
        <v>75</v>
      </c>
      <c r="O1" s="93" t="s">
        <v>76</v>
      </c>
    </row>
    <row r="2" spans="1:15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0.96779825605756109</v>
      </c>
      <c r="H2">
        <v>1.2974633789062504E-4</v>
      </c>
      <c r="I2">
        <v>-0.96825485938656564</v>
      </c>
      <c r="J2">
        <v>-1.2562752215020898E-4</v>
      </c>
      <c r="K2" s="94" t="s">
        <v>86</v>
      </c>
      <c r="L2" s="96">
        <f>SUM(J:J)</f>
        <v>-0.70588083089065545</v>
      </c>
      <c r="M2" s="98">
        <v>0</v>
      </c>
      <c r="N2" s="93">
        <v>2.44140625E-4</v>
      </c>
      <c r="O2" s="93">
        <f>N2</f>
        <v>2.44140625E-4</v>
      </c>
    </row>
    <row r="3" spans="1:15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2.9033947681726828</v>
      </c>
      <c r="H3">
        <v>2.7390893554687506E-4</v>
      </c>
      <c r="I3">
        <v>-0.90775584872646908</v>
      </c>
      <c r="J3">
        <v>-2.4864243826111727E-4</v>
      </c>
      <c r="K3" s="94"/>
      <c r="L3" s="96"/>
      <c r="M3" s="98">
        <v>0</v>
      </c>
      <c r="N3" s="93">
        <v>4.8828125E-4</v>
      </c>
      <c r="O3" s="93">
        <f>N3+O2</f>
        <v>7.32421875E-4</v>
      </c>
    </row>
    <row r="4" spans="1:15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4.3550921522590267</v>
      </c>
      <c r="H4">
        <v>1.7299511718750005E-4</v>
      </c>
      <c r="I4">
        <v>-0.86487547806370424</v>
      </c>
      <c r="J4">
        <v>-1.4961923468022564E-4</v>
      </c>
      <c r="K4" s="94" t="s">
        <v>93</v>
      </c>
      <c r="L4" s="96">
        <f>-LN(-1*L2)/(1/risk_tol)</f>
        <v>10.449265515263358</v>
      </c>
      <c r="M4" s="98">
        <v>0</v>
      </c>
      <c r="N4" s="93">
        <v>2.44140625E-4</v>
      </c>
      <c r="O4" s="93">
        <f t="shared" ref="O4:O67" si="0">N4+O3</f>
        <v>9.765625E-4</v>
      </c>
    </row>
    <row r="5" spans="1:15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0.48389912802878188</v>
      </c>
      <c r="H5">
        <v>2.73908935546875E-4</v>
      </c>
      <c r="I5">
        <v>-0.98399942041983213</v>
      </c>
      <c r="J5">
        <v>-2.6952623382593818E-4</v>
      </c>
      <c r="K5" s="94"/>
      <c r="L5" s="96"/>
      <c r="M5" s="98">
        <v>0</v>
      </c>
      <c r="N5" s="93">
        <v>4.8828125E-4</v>
      </c>
      <c r="O5" s="93">
        <f t="shared" si="0"/>
        <v>1.46484375E-3</v>
      </c>
    </row>
    <row r="6" spans="1:15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2.4194956401439036</v>
      </c>
      <c r="H6">
        <v>5.7825219726562497E-4</v>
      </c>
      <c r="I6">
        <v>-0.92251664979555259</v>
      </c>
      <c r="J6">
        <v>-5.3344727975840138E-4</v>
      </c>
      <c r="K6" s="94" t="s">
        <v>83</v>
      </c>
      <c r="L6" s="96">
        <f>SUMPRODUCT(G2:G730,H2:H730)</f>
        <v>11.594696759797737</v>
      </c>
      <c r="M6" s="98">
        <v>0</v>
      </c>
      <c r="N6" s="93">
        <v>9.765625E-4</v>
      </c>
      <c r="O6" s="93">
        <f t="shared" si="0"/>
        <v>2.44140625E-3</v>
      </c>
    </row>
    <row r="7" spans="1:15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3.8711930242302457</v>
      </c>
      <c r="H7">
        <v>3.652119140625E-4</v>
      </c>
      <c r="I7">
        <v>-0.87893901166597987</v>
      </c>
      <c r="J7">
        <v>-3.2099899879473455E-4</v>
      </c>
      <c r="L7" s="98"/>
      <c r="M7" s="98">
        <v>0</v>
      </c>
      <c r="N7" s="93">
        <v>4.8828125E-4</v>
      </c>
      <c r="O7" s="93">
        <f t="shared" si="0"/>
        <v>2.9296875E-3</v>
      </c>
    </row>
    <row r="8" spans="1:15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1.7299511718750003E-4</v>
      </c>
      <c r="I8">
        <v>-1</v>
      </c>
      <c r="J8">
        <v>-1.7299511718750003E-4</v>
      </c>
      <c r="L8" s="98"/>
      <c r="M8" s="98">
        <v>0</v>
      </c>
      <c r="N8" s="93">
        <v>2.44140625E-4</v>
      </c>
      <c r="O8" s="93">
        <f t="shared" si="0"/>
        <v>3.173828125E-3</v>
      </c>
    </row>
    <row r="9" spans="1:15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1.9355965121151222</v>
      </c>
      <c r="H9">
        <v>3.6521191406250006E-4</v>
      </c>
      <c r="I9">
        <v>-0.93751747272569796</v>
      </c>
      <c r="J9">
        <v>-3.4239255068118984E-4</v>
      </c>
      <c r="L9" s="98"/>
      <c r="M9" s="98">
        <v>0</v>
      </c>
      <c r="N9" s="93">
        <v>4.8828125E-4</v>
      </c>
      <c r="O9" s="93">
        <f t="shared" si="0"/>
        <v>3.662109375E-3</v>
      </c>
    </row>
    <row r="10" spans="1:15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3.3872938962014643</v>
      </c>
      <c r="H10">
        <v>2.3066015625000002E-4</v>
      </c>
      <c r="I10">
        <v>-0.89323122902955843</v>
      </c>
      <c r="J10">
        <v>-2.0603285485533749E-4</v>
      </c>
      <c r="L10" s="98"/>
      <c r="M10" s="98">
        <v>0</v>
      </c>
      <c r="N10" s="93">
        <v>2.44140625E-4</v>
      </c>
      <c r="O10" s="93">
        <f t="shared" si="0"/>
        <v>3.90625E-3</v>
      </c>
    </row>
    <row r="11" spans="1:15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0.96779825605756109</v>
      </c>
      <c r="H11">
        <v>2.7390893554687506E-4</v>
      </c>
      <c r="I11">
        <v>-0.96825485938656564</v>
      </c>
      <c r="J11">
        <v>-2.6521365787266339E-4</v>
      </c>
      <c r="L11" s="98"/>
      <c r="M11" s="98">
        <v>0</v>
      </c>
      <c r="N11" s="93">
        <v>4.8828125E-4</v>
      </c>
      <c r="O11" s="93">
        <f t="shared" si="0"/>
        <v>4.39453125E-3</v>
      </c>
    </row>
    <row r="12" spans="1:15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2.9033947681726828</v>
      </c>
      <c r="H12">
        <v>5.7825219726562508E-4</v>
      </c>
      <c r="I12">
        <v>-0.90775584872646908</v>
      </c>
      <c r="J12">
        <v>-5.2491181410680311E-4</v>
      </c>
      <c r="L12" s="98"/>
      <c r="M12" s="98">
        <v>0</v>
      </c>
      <c r="N12" s="93">
        <v>9.765625E-4</v>
      </c>
      <c r="O12" s="93">
        <f t="shared" si="0"/>
        <v>5.37109375E-3</v>
      </c>
    </row>
    <row r="13" spans="1:15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4.3550921522590267</v>
      </c>
      <c r="H13">
        <v>3.6521191406250006E-4</v>
      </c>
      <c r="I13">
        <v>-0.86487547806370424</v>
      </c>
      <c r="J13">
        <v>-3.1586282876936518E-4</v>
      </c>
      <c r="L13" s="98"/>
      <c r="M13" s="98">
        <v>0</v>
      </c>
      <c r="N13" s="93">
        <v>4.8828125E-4</v>
      </c>
      <c r="O13" s="93">
        <f t="shared" si="0"/>
        <v>5.859375E-3</v>
      </c>
    </row>
    <row r="14" spans="1:15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0.48389912802878188</v>
      </c>
      <c r="H14">
        <v>5.7825219726562508E-4</v>
      </c>
      <c r="I14">
        <v>-0.98399942041983213</v>
      </c>
      <c r="J14">
        <v>-5.6899982696586953E-4</v>
      </c>
      <c r="L14" s="98"/>
      <c r="M14" s="98">
        <v>0</v>
      </c>
      <c r="N14" s="93">
        <v>9.765625E-4</v>
      </c>
      <c r="O14" s="93">
        <f t="shared" si="0"/>
        <v>6.8359375E-3</v>
      </c>
    </row>
    <row r="15" spans="1:15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2.4194956401439036</v>
      </c>
      <c r="H15">
        <v>1.220754638671875E-3</v>
      </c>
      <c r="I15">
        <v>-0.92251664979555259</v>
      </c>
      <c r="J15">
        <v>-1.1261664794899584E-3</v>
      </c>
      <c r="L15" s="98"/>
      <c r="M15" s="98">
        <v>0</v>
      </c>
      <c r="N15" s="93">
        <v>1.953125E-3</v>
      </c>
      <c r="O15" s="93">
        <f t="shared" si="0"/>
        <v>8.7890625E-3</v>
      </c>
    </row>
    <row r="16" spans="1:15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3.8711930242302457</v>
      </c>
      <c r="H16">
        <v>7.7100292968750007E-4</v>
      </c>
      <c r="I16">
        <v>-0.87893901166597987</v>
      </c>
      <c r="J16">
        <v>-6.7766455301110633E-4</v>
      </c>
      <c r="L16" s="98"/>
      <c r="M16" s="98">
        <v>0</v>
      </c>
      <c r="N16" s="93">
        <v>9.765625E-4</v>
      </c>
      <c r="O16" s="93">
        <f t="shared" si="0"/>
        <v>9.765625E-3</v>
      </c>
    </row>
    <row r="17" spans="1:15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3.6521191406250006E-4</v>
      </c>
      <c r="I17">
        <v>-1</v>
      </c>
      <c r="J17">
        <v>-3.6521191406250006E-4</v>
      </c>
      <c r="L17" s="98"/>
      <c r="M17" s="98">
        <v>0</v>
      </c>
      <c r="N17" s="93">
        <v>4.8828125E-4</v>
      </c>
      <c r="O17" s="93">
        <f t="shared" si="0"/>
        <v>1.025390625E-2</v>
      </c>
    </row>
    <row r="18" spans="1:15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1.9355965121151222</v>
      </c>
      <c r="H18">
        <v>7.7100292968750007E-4</v>
      </c>
      <c r="I18">
        <v>-0.93751747272569796</v>
      </c>
      <c r="J18">
        <v>-7.2282871810473411E-4</v>
      </c>
      <c r="L18" s="98"/>
      <c r="M18" s="98">
        <v>0</v>
      </c>
      <c r="N18" s="93">
        <v>9.765625E-4</v>
      </c>
      <c r="O18" s="93">
        <f t="shared" si="0"/>
        <v>1.123046875E-2</v>
      </c>
    </row>
    <row r="19" spans="1:15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3.3872938962014643</v>
      </c>
      <c r="H19">
        <v>4.8694921875000008E-4</v>
      </c>
      <c r="I19">
        <v>-0.89323122902955843</v>
      </c>
      <c r="J19">
        <v>-4.3495824913904587E-4</v>
      </c>
      <c r="L19" s="98"/>
      <c r="M19" s="98">
        <v>0</v>
      </c>
      <c r="N19" s="93">
        <v>4.8828125E-4</v>
      </c>
      <c r="O19" s="93">
        <f t="shared" si="0"/>
        <v>1.171875E-2</v>
      </c>
    </row>
    <row r="20" spans="1:15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0.96779825605756109</v>
      </c>
      <c r="H20">
        <v>1.7299511718750003E-4</v>
      </c>
      <c r="I20">
        <v>-0.96825485938656564</v>
      </c>
      <c r="J20">
        <v>-1.6750336286694528E-4</v>
      </c>
      <c r="L20" s="98"/>
      <c r="M20" s="98">
        <v>0</v>
      </c>
      <c r="N20" s="93">
        <v>2.44140625E-4</v>
      </c>
      <c r="O20" s="93">
        <f t="shared" si="0"/>
        <v>1.1962890625E-2</v>
      </c>
    </row>
    <row r="21" spans="1:15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2.9033947681726828</v>
      </c>
      <c r="H21">
        <v>3.6521191406250006E-4</v>
      </c>
      <c r="I21">
        <v>-0.90775584872646908</v>
      </c>
      <c r="J21">
        <v>-3.3152325101482304E-4</v>
      </c>
      <c r="L21" s="98"/>
      <c r="M21" s="98">
        <v>0</v>
      </c>
      <c r="N21" s="93">
        <v>4.8828125E-4</v>
      </c>
      <c r="O21" s="93">
        <f t="shared" si="0"/>
        <v>1.2451171875E-2</v>
      </c>
    </row>
    <row r="22" spans="1:15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4.3550921522590267</v>
      </c>
      <c r="H22">
        <v>2.3066015625000002E-4</v>
      </c>
      <c r="I22">
        <v>-0.86487547806370424</v>
      </c>
      <c r="J22">
        <v>-1.9949231290696749E-4</v>
      </c>
      <c r="L22" s="98"/>
      <c r="M22" s="98">
        <v>0</v>
      </c>
      <c r="N22" s="93">
        <v>2.44140625E-4</v>
      </c>
      <c r="O22" s="93">
        <f t="shared" si="0"/>
        <v>1.26953125E-2</v>
      </c>
    </row>
    <row r="23" spans="1:15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0.48389912802878188</v>
      </c>
      <c r="H23">
        <v>3.6521191406250006E-4</v>
      </c>
      <c r="I23">
        <v>-0.98399942041983213</v>
      </c>
      <c r="J23">
        <v>-3.5936831176791757E-4</v>
      </c>
      <c r="L23" s="98"/>
      <c r="M23" s="98">
        <v>0</v>
      </c>
      <c r="N23" s="93">
        <v>4.8828125E-4</v>
      </c>
      <c r="O23" s="93">
        <f t="shared" si="0"/>
        <v>1.318359375E-2</v>
      </c>
    </row>
    <row r="24" spans="1:15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2.4194956401439036</v>
      </c>
      <c r="H24">
        <v>7.7100292968750007E-4</v>
      </c>
      <c r="I24">
        <v>-0.92251664979555259</v>
      </c>
      <c r="J24">
        <v>-7.1126303967786859E-4</v>
      </c>
      <c r="L24" s="98"/>
      <c r="M24" s="98">
        <v>0</v>
      </c>
      <c r="N24" s="93">
        <v>9.765625E-4</v>
      </c>
      <c r="O24" s="93">
        <f t="shared" si="0"/>
        <v>1.416015625E-2</v>
      </c>
    </row>
    <row r="25" spans="1:15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3.8711930242302457</v>
      </c>
      <c r="H25">
        <v>4.8694921875000008E-4</v>
      </c>
      <c r="I25">
        <v>-0.87893901166597987</v>
      </c>
      <c r="J25">
        <v>-4.279986650596461E-4</v>
      </c>
      <c r="L25" s="98"/>
      <c r="M25" s="98">
        <v>0</v>
      </c>
      <c r="N25" s="93">
        <v>4.8828125E-4</v>
      </c>
      <c r="O25" s="93">
        <f t="shared" si="0"/>
        <v>1.46484375E-2</v>
      </c>
    </row>
    <row r="26" spans="1:15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0</v>
      </c>
      <c r="H26">
        <v>2.3066015625000002E-4</v>
      </c>
      <c r="I26">
        <v>-1</v>
      </c>
      <c r="J26">
        <v>-2.3066015625000002E-4</v>
      </c>
      <c r="L26" s="98"/>
      <c r="M26" s="98">
        <v>0</v>
      </c>
      <c r="N26" s="93">
        <v>2.44140625E-4</v>
      </c>
      <c r="O26" s="93">
        <f t="shared" si="0"/>
        <v>1.4892578125E-2</v>
      </c>
    </row>
    <row r="27" spans="1:15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1.9355965121151222</v>
      </c>
      <c r="H27">
        <v>4.8694921874999997E-4</v>
      </c>
      <c r="I27">
        <v>-0.93751747272569796</v>
      </c>
      <c r="J27">
        <v>-4.5652340090825301E-4</v>
      </c>
      <c r="L27" s="98"/>
      <c r="M27" s="98">
        <v>0</v>
      </c>
      <c r="N27" s="93">
        <v>4.8828125E-4</v>
      </c>
      <c r="O27" s="93">
        <f t="shared" si="0"/>
        <v>1.5380859375E-2</v>
      </c>
    </row>
    <row r="28" spans="1:15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3.3872938962014643</v>
      </c>
      <c r="H28">
        <v>3.0754687499999999E-4</v>
      </c>
      <c r="I28">
        <v>-0.89323122902955843</v>
      </c>
      <c r="J28">
        <v>-2.7471047314044995E-4</v>
      </c>
      <c r="L28" s="98"/>
      <c r="M28" s="98">
        <v>0</v>
      </c>
      <c r="N28" s="93">
        <v>2.44140625E-4</v>
      </c>
      <c r="O28" s="93">
        <f t="shared" si="0"/>
        <v>1.5625E-2</v>
      </c>
    </row>
    <row r="29" spans="1:15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1.1911363151477687</v>
      </c>
      <c r="H29">
        <v>2.73908935546875E-4</v>
      </c>
      <c r="I29">
        <v>-0.96107335225212853</v>
      </c>
      <c r="J29">
        <v>-2.6324657889784738E-4</v>
      </c>
      <c r="L29" s="98"/>
      <c r="M29" s="98">
        <v>0</v>
      </c>
      <c r="N29" s="93">
        <v>4.8828125E-4</v>
      </c>
      <c r="O29" s="93">
        <f t="shared" si="0"/>
        <v>1.611328125E-2</v>
      </c>
    </row>
    <row r="30" spans="1:15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3.5734089454433042</v>
      </c>
      <c r="H30">
        <v>5.7825219726562497E-4</v>
      </c>
      <c r="I30">
        <v>-0.88770692354824265</v>
      </c>
      <c r="J30">
        <v>-5.1331847906967946E-4</v>
      </c>
      <c r="L30" s="98"/>
      <c r="M30" s="98">
        <v>0</v>
      </c>
      <c r="N30" s="93">
        <v>9.765625E-4</v>
      </c>
      <c r="O30" s="93">
        <f t="shared" si="0"/>
        <v>1.708984375E-2</v>
      </c>
    </row>
    <row r="31" spans="1:15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5.3601134181649543</v>
      </c>
      <c r="H31">
        <v>3.652119140625E-4</v>
      </c>
      <c r="I31">
        <v>-0.83638148578456939</v>
      </c>
      <c r="J31">
        <v>-3.0545648330982024E-4</v>
      </c>
      <c r="L31" s="98"/>
      <c r="M31" s="98">
        <v>0</v>
      </c>
      <c r="N31" s="93">
        <v>4.8828125E-4</v>
      </c>
      <c r="O31" s="93">
        <f t="shared" si="0"/>
        <v>1.7578125E-2</v>
      </c>
    </row>
    <row r="32" spans="1:15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0.59556815757388393</v>
      </c>
      <c r="H32">
        <v>5.7825219726562497E-4</v>
      </c>
      <c r="I32">
        <v>-0.98034348687188644</v>
      </c>
      <c r="J32">
        <v>-5.6688577535871272E-4</v>
      </c>
      <c r="L32" s="98"/>
      <c r="M32" s="98">
        <v>0</v>
      </c>
      <c r="N32" s="93">
        <v>9.765625E-4</v>
      </c>
      <c r="O32" s="93">
        <f t="shared" si="0"/>
        <v>1.85546875E-2</v>
      </c>
    </row>
    <row r="33" spans="1:15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2.9778407878694191</v>
      </c>
      <c r="H33">
        <v>1.2207546386718748E-3</v>
      </c>
      <c r="I33">
        <v>-0.90550601440804013</v>
      </c>
      <c r="J33">
        <v>-1.1054006674338964E-3</v>
      </c>
      <c r="L33" s="98"/>
      <c r="M33" s="98">
        <v>0</v>
      </c>
      <c r="N33" s="93">
        <v>1.953125E-3</v>
      </c>
      <c r="O33" s="93">
        <f t="shared" si="0"/>
        <v>2.05078125E-2</v>
      </c>
    </row>
    <row r="34" spans="1:15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4.7645452605910714</v>
      </c>
      <c r="H34">
        <v>7.7100292968749996E-4</v>
      </c>
      <c r="I34">
        <v>-0.8531514688319336</v>
      </c>
      <c r="J34">
        <v>-6.5778228193661466E-4</v>
      </c>
      <c r="L34" s="98"/>
      <c r="M34" s="98">
        <v>0</v>
      </c>
      <c r="N34" s="93">
        <v>9.765625E-4</v>
      </c>
      <c r="O34" s="93">
        <f t="shared" si="0"/>
        <v>2.1484375E-2</v>
      </c>
    </row>
    <row r="35" spans="1:15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3.652119140625E-4</v>
      </c>
      <c r="I35">
        <v>-1</v>
      </c>
      <c r="J35">
        <v>-3.652119140625E-4</v>
      </c>
      <c r="L35" s="98"/>
      <c r="M35" s="98">
        <v>0</v>
      </c>
      <c r="N35" s="93">
        <v>4.8828125E-4</v>
      </c>
      <c r="O35" s="93">
        <f t="shared" si="0"/>
        <v>2.197265625E-2</v>
      </c>
    </row>
    <row r="36" spans="1:15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2.3822726302955366</v>
      </c>
      <c r="H36">
        <v>7.7100292968749996E-4</v>
      </c>
      <c r="I36">
        <v>-0.92366198840914393</v>
      </c>
      <c r="J36">
        <v>-7.1214609910443157E-4</v>
      </c>
      <c r="L36" s="98"/>
      <c r="M36" s="98">
        <v>0</v>
      </c>
      <c r="N36" s="93">
        <v>9.765625E-4</v>
      </c>
      <c r="O36" s="93">
        <f t="shared" si="0"/>
        <v>2.294921875E-2</v>
      </c>
    </row>
    <row r="37" spans="1:15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4.1689771030171885</v>
      </c>
      <c r="H37">
        <v>4.8694921874999997E-4</v>
      </c>
      <c r="I37">
        <v>-0.87025770075159936</v>
      </c>
      <c r="J37">
        <v>-4.2377130749216257E-4</v>
      </c>
      <c r="L37" s="98"/>
      <c r="M37" s="98">
        <v>0</v>
      </c>
      <c r="N37" s="93">
        <v>4.8828125E-4</v>
      </c>
      <c r="O37" s="93">
        <f t="shared" si="0"/>
        <v>2.34375E-2</v>
      </c>
    </row>
    <row r="38" spans="1:15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1.1911363151477687</v>
      </c>
      <c r="H38">
        <v>5.7825219726562497E-4</v>
      </c>
      <c r="I38">
        <v>-0.96107335225212853</v>
      </c>
      <c r="J38">
        <v>-5.5574277767323334E-4</v>
      </c>
      <c r="L38" s="98"/>
      <c r="M38" s="98">
        <v>0</v>
      </c>
      <c r="N38" s="93">
        <v>9.765625E-4</v>
      </c>
      <c r="O38" s="93">
        <f t="shared" si="0"/>
        <v>2.44140625E-2</v>
      </c>
    </row>
    <row r="39" spans="1:15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3.5734089454433042</v>
      </c>
      <c r="H39">
        <v>1.2207546386718748E-3</v>
      </c>
      <c r="I39">
        <v>-0.88770692354824265</v>
      </c>
      <c r="J39">
        <v>-1.0836723447026565E-3</v>
      </c>
      <c r="L39" s="98"/>
      <c r="M39" s="98">
        <v>0</v>
      </c>
      <c r="N39" s="93">
        <v>1.953125E-3</v>
      </c>
      <c r="O39" s="93">
        <f t="shared" si="0"/>
        <v>2.63671875E-2</v>
      </c>
    </row>
    <row r="40" spans="1:15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5.3601134181649543</v>
      </c>
      <c r="H40">
        <v>7.7100292968749996E-4</v>
      </c>
      <c r="I40">
        <v>-0.83638148578456939</v>
      </c>
      <c r="J40">
        <v>-6.448525758762871E-4</v>
      </c>
      <c r="L40" s="98"/>
      <c r="M40" s="98">
        <v>0</v>
      </c>
      <c r="N40" s="93">
        <v>9.765625E-4</v>
      </c>
      <c r="O40" s="93">
        <f t="shared" si="0"/>
        <v>2.734375E-2</v>
      </c>
    </row>
    <row r="41" spans="1:15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0.59556815757388393</v>
      </c>
      <c r="H41">
        <v>1.2207546386718748E-3</v>
      </c>
      <c r="I41">
        <v>-0.98034348687188644</v>
      </c>
      <c r="J41">
        <v>-1.1967588590906155E-3</v>
      </c>
      <c r="L41" s="98"/>
      <c r="M41" s="98">
        <v>0</v>
      </c>
      <c r="N41" s="93">
        <v>1.953125E-3</v>
      </c>
      <c r="O41" s="93">
        <f t="shared" si="0"/>
        <v>2.9296875E-2</v>
      </c>
    </row>
    <row r="42" spans="1:15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2.9778407878694191</v>
      </c>
      <c r="H42">
        <v>2.5771486816406246E-3</v>
      </c>
      <c r="I42">
        <v>-0.90550601440804013</v>
      </c>
      <c r="J42">
        <v>-2.333623631249337E-3</v>
      </c>
      <c r="L42" s="98"/>
      <c r="M42" s="98">
        <v>0</v>
      </c>
      <c r="N42" s="93">
        <v>3.90625E-3</v>
      </c>
      <c r="O42" s="93">
        <f t="shared" si="0"/>
        <v>3.3203125E-2</v>
      </c>
    </row>
    <row r="43" spans="1:15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4.7645452605910714</v>
      </c>
      <c r="H43">
        <v>1.6276728515624997E-3</v>
      </c>
      <c r="I43">
        <v>-0.8531514688319336</v>
      </c>
      <c r="J43">
        <v>-1.3886514840884085E-3</v>
      </c>
      <c r="L43" s="98"/>
      <c r="M43" s="98">
        <v>0</v>
      </c>
      <c r="N43" s="93">
        <v>1.953125E-3</v>
      </c>
      <c r="O43" s="93">
        <f t="shared" si="0"/>
        <v>3.515625E-2</v>
      </c>
    </row>
    <row r="44" spans="1:15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7.7100292968749985E-4</v>
      </c>
      <c r="I44">
        <v>-1</v>
      </c>
      <c r="J44">
        <v>-7.7100292968749985E-4</v>
      </c>
      <c r="L44" s="98"/>
      <c r="M44" s="98">
        <v>0</v>
      </c>
      <c r="N44" s="93">
        <v>9.765625E-4</v>
      </c>
      <c r="O44" s="93">
        <f t="shared" si="0"/>
        <v>3.61328125E-2</v>
      </c>
    </row>
    <row r="45" spans="1:15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2.3822726302955366</v>
      </c>
      <c r="H45">
        <v>1.6276728515624997E-3</v>
      </c>
      <c r="I45">
        <v>-0.92366198840914393</v>
      </c>
      <c r="J45">
        <v>-1.5034195425537998E-3</v>
      </c>
      <c r="L45" s="98"/>
      <c r="M45" s="98">
        <v>0</v>
      </c>
      <c r="N45" s="93">
        <v>1.953125E-3</v>
      </c>
      <c r="O45" s="93">
        <f t="shared" si="0"/>
        <v>3.80859375E-2</v>
      </c>
    </row>
    <row r="46" spans="1:15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4.1689771030171885</v>
      </c>
      <c r="H46">
        <v>1.0280039062499997E-3</v>
      </c>
      <c r="I46">
        <v>-0.87025770075159936</v>
      </c>
      <c r="J46">
        <v>-8.946283158167875E-4</v>
      </c>
      <c r="L46" s="98"/>
      <c r="M46" s="98">
        <v>0</v>
      </c>
      <c r="N46" s="93">
        <v>9.765625E-4</v>
      </c>
      <c r="O46" s="93">
        <f t="shared" si="0"/>
        <v>3.90625E-2</v>
      </c>
    </row>
    <row r="47" spans="1:15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1.1911363151477687</v>
      </c>
      <c r="H47">
        <v>3.6521191406249995E-4</v>
      </c>
      <c r="I47">
        <v>-0.96107335225212853</v>
      </c>
      <c r="J47">
        <v>-3.5099543853046313E-4</v>
      </c>
      <c r="L47" s="98"/>
      <c r="M47" s="98">
        <v>0</v>
      </c>
      <c r="N47" s="93">
        <v>4.8828125E-4</v>
      </c>
      <c r="O47" s="93">
        <f t="shared" si="0"/>
        <v>3.955078125E-2</v>
      </c>
    </row>
    <row r="48" spans="1:15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3.5734089454433042</v>
      </c>
      <c r="H48">
        <v>7.7100292968749985E-4</v>
      </c>
      <c r="I48">
        <v>-0.88770692354824265</v>
      </c>
      <c r="J48">
        <v>-6.8442463875957257E-4</v>
      </c>
      <c r="L48" s="98"/>
      <c r="M48" s="98">
        <v>0</v>
      </c>
      <c r="N48" s="93">
        <v>9.765625E-4</v>
      </c>
      <c r="O48" s="93">
        <f t="shared" si="0"/>
        <v>4.052734375E-2</v>
      </c>
    </row>
    <row r="49" spans="1:15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5.3601134181649543</v>
      </c>
      <c r="H49">
        <v>4.8694921874999991E-4</v>
      </c>
      <c r="I49">
        <v>-0.83638148578456939</v>
      </c>
      <c r="J49">
        <v>-4.0727531107976022E-4</v>
      </c>
      <c r="L49" s="98"/>
      <c r="M49" s="98">
        <v>0</v>
      </c>
      <c r="N49" s="93">
        <v>4.8828125E-4</v>
      </c>
      <c r="O49" s="93">
        <f t="shared" si="0"/>
        <v>4.1015625E-2</v>
      </c>
    </row>
    <row r="50" spans="1:15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0.59556815757388393</v>
      </c>
      <c r="H50">
        <v>7.7100292968749985E-4</v>
      </c>
      <c r="I50">
        <v>-0.98034348687188644</v>
      </c>
      <c r="J50">
        <v>-7.5584770047828348E-4</v>
      </c>
      <c r="L50" s="98"/>
      <c r="M50" s="98">
        <v>0</v>
      </c>
      <c r="N50" s="93">
        <v>9.765625E-4</v>
      </c>
      <c r="O50" s="93">
        <f t="shared" si="0"/>
        <v>4.19921875E-2</v>
      </c>
    </row>
    <row r="51" spans="1:15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2.9778407878694191</v>
      </c>
      <c r="H51">
        <v>1.6276728515624997E-3</v>
      </c>
      <c r="I51">
        <v>-0.90550601440804013</v>
      </c>
      <c r="J51">
        <v>-1.4738675565785285E-3</v>
      </c>
      <c r="L51" s="98"/>
      <c r="M51" s="98">
        <v>0</v>
      </c>
      <c r="N51" s="93">
        <v>1.953125E-3</v>
      </c>
      <c r="O51" s="93">
        <f t="shared" si="0"/>
        <v>4.39453125E-2</v>
      </c>
    </row>
    <row r="52" spans="1:15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4.7645452605910714</v>
      </c>
      <c r="H52">
        <v>1.0280039062499997E-3</v>
      </c>
      <c r="I52">
        <v>-0.8531514688319336</v>
      </c>
      <c r="J52">
        <v>-8.7704304258215263E-4</v>
      </c>
      <c r="L52" s="98"/>
      <c r="M52" s="98">
        <v>0</v>
      </c>
      <c r="N52" s="93">
        <v>9.765625E-4</v>
      </c>
      <c r="O52" s="93">
        <f t="shared" si="0"/>
        <v>4.4921875E-2</v>
      </c>
    </row>
    <row r="53" spans="1:15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4.8694921874999991E-4</v>
      </c>
      <c r="I53">
        <v>-1</v>
      </c>
      <c r="J53">
        <v>-4.8694921874999991E-4</v>
      </c>
      <c r="L53" s="98"/>
      <c r="M53" s="98">
        <v>0</v>
      </c>
      <c r="N53" s="93">
        <v>4.8828125E-4</v>
      </c>
      <c r="O53" s="93">
        <f t="shared" si="0"/>
        <v>4.541015625E-2</v>
      </c>
    </row>
    <row r="54" spans="1:15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2.3822726302955366</v>
      </c>
      <c r="H54">
        <v>1.0280039062499997E-3</v>
      </c>
      <c r="I54">
        <v>-0.92366198840914393</v>
      </c>
      <c r="J54">
        <v>-9.4952813213924198E-4</v>
      </c>
      <c r="L54" s="98"/>
      <c r="M54" s="98">
        <v>0</v>
      </c>
      <c r="N54" s="93">
        <v>9.765625E-4</v>
      </c>
      <c r="O54" s="93">
        <f t="shared" si="0"/>
        <v>4.638671875E-2</v>
      </c>
    </row>
    <row r="55" spans="1:15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4.1689771030171885</v>
      </c>
      <c r="H55">
        <v>6.4926562499999978E-4</v>
      </c>
      <c r="I55">
        <v>-0.87025770075159936</v>
      </c>
      <c r="J55">
        <v>-5.6502840998954999E-4</v>
      </c>
      <c r="L55" s="98"/>
      <c r="M55" s="98">
        <v>0</v>
      </c>
      <c r="N55" s="93">
        <v>4.8828125E-4</v>
      </c>
      <c r="O55" s="93">
        <f t="shared" si="0"/>
        <v>4.6875E-2</v>
      </c>
    </row>
    <row r="56" spans="1:15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1.3400283545412375</v>
      </c>
      <c r="H56">
        <v>1.729951171875E-4</v>
      </c>
      <c r="I56">
        <v>-0.95631529691410599</v>
      </c>
      <c r="J56">
        <v>-1.6543787685785463E-4</v>
      </c>
      <c r="L56" s="98"/>
      <c r="M56" s="98">
        <v>0</v>
      </c>
      <c r="N56" s="93">
        <v>2.44140625E-4</v>
      </c>
      <c r="O56" s="93">
        <f t="shared" si="0"/>
        <v>4.7119140625E-2</v>
      </c>
    </row>
    <row r="57" spans="1:15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4.0200850636237142</v>
      </c>
      <c r="H57">
        <v>3.652119140625E-4</v>
      </c>
      <c r="I57">
        <v>-0.8745875847468445</v>
      </c>
      <c r="J57">
        <v>-3.1940980584069402E-4</v>
      </c>
      <c r="L57" s="98"/>
      <c r="M57" s="98">
        <v>0</v>
      </c>
      <c r="N57" s="93">
        <v>4.8828125E-4</v>
      </c>
      <c r="O57" s="93">
        <f t="shared" si="0"/>
        <v>4.7607421875E-2</v>
      </c>
    </row>
    <row r="58" spans="1:15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6.0301275954355766</v>
      </c>
      <c r="H58">
        <v>2.3066015624999999E-4</v>
      </c>
      <c r="I58">
        <v>-0.81790895283149168</v>
      </c>
      <c r="J58">
        <v>-1.8865900685838575E-4</v>
      </c>
      <c r="L58" s="98"/>
      <c r="M58" s="98">
        <v>0</v>
      </c>
      <c r="N58" s="93">
        <v>2.44140625E-4</v>
      </c>
      <c r="O58" s="93">
        <f t="shared" si="0"/>
        <v>4.78515625E-2</v>
      </c>
    </row>
    <row r="59" spans="1:15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0.67001417727061796</v>
      </c>
      <c r="H59">
        <v>3.652119140625E-4</v>
      </c>
      <c r="I59">
        <v>-0.97791374717513102</v>
      </c>
      <c r="J59">
        <v>-3.5714575139386131E-4</v>
      </c>
      <c r="L59" s="98"/>
      <c r="M59" s="98">
        <v>0</v>
      </c>
      <c r="N59" s="93">
        <v>4.8828125E-4</v>
      </c>
      <c r="O59" s="93">
        <f t="shared" si="0"/>
        <v>4.833984375E-2</v>
      </c>
    </row>
    <row r="60" spans="1:15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3.3500708863530968</v>
      </c>
      <c r="H60">
        <v>7.7100292968749996E-4</v>
      </c>
      <c r="I60">
        <v>-0.89434020870781128</v>
      </c>
      <c r="J60">
        <v>-6.8953892105105266E-4</v>
      </c>
      <c r="L60" s="98"/>
      <c r="M60" s="98">
        <v>0</v>
      </c>
      <c r="N60" s="93">
        <v>9.765625E-4</v>
      </c>
      <c r="O60" s="93">
        <f t="shared" si="0"/>
        <v>4.931640625E-2</v>
      </c>
    </row>
    <row r="61" spans="1:15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5.3601134181649543</v>
      </c>
      <c r="H61">
        <v>4.8694921874999997E-4</v>
      </c>
      <c r="I61">
        <v>-0.83638148578456939</v>
      </c>
      <c r="J61">
        <v>-4.0727531107976028E-4</v>
      </c>
      <c r="L61" s="98"/>
      <c r="M61" s="98">
        <v>0</v>
      </c>
      <c r="N61" s="93">
        <v>4.8828125E-4</v>
      </c>
      <c r="O61" s="93">
        <f t="shared" si="0"/>
        <v>4.98046875E-2</v>
      </c>
    </row>
    <row r="62" spans="1:15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2.3066015625000002E-4</v>
      </c>
      <c r="I62">
        <v>-1</v>
      </c>
      <c r="J62">
        <v>-2.3066015625000002E-4</v>
      </c>
      <c r="L62" s="98"/>
      <c r="M62" s="98">
        <v>0</v>
      </c>
      <c r="N62" s="93">
        <v>2.44140625E-4</v>
      </c>
      <c r="O62" s="93">
        <f t="shared" si="0"/>
        <v>5.0048828125E-2</v>
      </c>
    </row>
    <row r="63" spans="1:15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2.6800567090824772</v>
      </c>
      <c r="H63">
        <v>4.8694921874999997E-4</v>
      </c>
      <c r="I63">
        <v>-0.91453894711191464</v>
      </c>
      <c r="J63">
        <v>-4.4533402581259439E-4</v>
      </c>
      <c r="L63" s="98"/>
      <c r="M63" s="98">
        <v>0</v>
      </c>
      <c r="N63" s="93">
        <v>4.8828125E-4</v>
      </c>
      <c r="O63" s="93">
        <f t="shared" si="0"/>
        <v>5.0537109375E-2</v>
      </c>
    </row>
    <row r="64" spans="1:15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4.6900992408943338</v>
      </c>
      <c r="H64">
        <v>3.0754687499999999E-4</v>
      </c>
      <c r="I64">
        <v>-0.85527122223263408</v>
      </c>
      <c r="J64">
        <v>-2.6303599167507713E-4</v>
      </c>
      <c r="L64" s="98"/>
      <c r="M64" s="98">
        <v>0</v>
      </c>
      <c r="N64" s="93">
        <v>2.44140625E-4</v>
      </c>
      <c r="O64" s="93">
        <f t="shared" si="0"/>
        <v>5.078125E-2</v>
      </c>
    </row>
    <row r="65" spans="1:15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1.3400283545412375</v>
      </c>
      <c r="H65">
        <v>3.6521191406249995E-4</v>
      </c>
      <c r="I65">
        <v>-0.95631529691410599</v>
      </c>
      <c r="J65">
        <v>-3.4925774003324861E-4</v>
      </c>
      <c r="L65" s="98"/>
      <c r="M65" s="98">
        <v>0</v>
      </c>
      <c r="N65" s="93">
        <v>4.8828125E-4</v>
      </c>
      <c r="O65" s="93">
        <f t="shared" si="0"/>
        <v>5.126953125E-2</v>
      </c>
    </row>
    <row r="66" spans="1:15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4.0200850636237142</v>
      </c>
      <c r="H66">
        <v>7.7100292968749985E-4</v>
      </c>
      <c r="I66">
        <v>-0.8745875847468445</v>
      </c>
      <c r="J66">
        <v>-6.7430959010813163E-4</v>
      </c>
      <c r="L66" s="98"/>
      <c r="M66" s="98">
        <v>0</v>
      </c>
      <c r="N66" s="93">
        <v>9.765625E-4</v>
      </c>
      <c r="O66" s="93">
        <f t="shared" si="0"/>
        <v>5.224609375E-2</v>
      </c>
    </row>
    <row r="67" spans="1:15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6.0301275954355766</v>
      </c>
      <c r="H67">
        <v>4.8694921874999991E-4</v>
      </c>
      <c r="I67">
        <v>-0.81790895283149168</v>
      </c>
      <c r="J67">
        <v>-3.9828012558992538E-4</v>
      </c>
      <c r="L67" s="98"/>
      <c r="M67" s="98">
        <v>0</v>
      </c>
      <c r="N67" s="93">
        <v>4.8828125E-4</v>
      </c>
      <c r="O67" s="93">
        <f t="shared" si="0"/>
        <v>5.2734375E-2</v>
      </c>
    </row>
    <row r="68" spans="1:15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0.67001417727061796</v>
      </c>
      <c r="H68">
        <v>7.7100292968749985E-4</v>
      </c>
      <c r="I68">
        <v>-0.97791374717513102</v>
      </c>
      <c r="J68">
        <v>-7.5397436405370702E-4</v>
      </c>
      <c r="L68" s="98"/>
      <c r="M68" s="98">
        <v>0</v>
      </c>
      <c r="N68" s="93">
        <v>9.765625E-4</v>
      </c>
      <c r="O68" s="93">
        <f t="shared" ref="O68:O131" si="1">N68+O67</f>
        <v>5.37109375E-2</v>
      </c>
    </row>
    <row r="69" spans="1:15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3.3500708863530968</v>
      </c>
      <c r="H69">
        <v>1.6276728515624997E-3</v>
      </c>
      <c r="I69">
        <v>-0.89434020870781128</v>
      </c>
      <c r="J69">
        <v>-1.4556932777744444E-3</v>
      </c>
      <c r="L69" s="98"/>
      <c r="M69" s="98">
        <v>0</v>
      </c>
      <c r="N69" s="93">
        <v>1.953125E-3</v>
      </c>
      <c r="O69" s="93">
        <f t="shared" si="1"/>
        <v>5.56640625E-2</v>
      </c>
    </row>
    <row r="70" spans="1:15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5.3601134181649543</v>
      </c>
      <c r="H70">
        <v>1.0280039062499997E-3</v>
      </c>
      <c r="I70">
        <v>-0.83638148578456939</v>
      </c>
      <c r="J70">
        <v>-8.5980343450171599E-4</v>
      </c>
      <c r="L70" s="98"/>
      <c r="M70" s="98">
        <v>0</v>
      </c>
      <c r="N70" s="93">
        <v>9.765625E-4</v>
      </c>
      <c r="O70" s="93">
        <f t="shared" si="1"/>
        <v>5.6640625E-2</v>
      </c>
    </row>
    <row r="71" spans="1:15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4.8694921874999991E-4</v>
      </c>
      <c r="I71">
        <v>-1</v>
      </c>
      <c r="J71">
        <v>-4.8694921874999991E-4</v>
      </c>
      <c r="L71" s="98"/>
      <c r="M71" s="98">
        <v>0</v>
      </c>
      <c r="N71" s="93">
        <v>4.8828125E-4</v>
      </c>
      <c r="O71" s="93">
        <f t="shared" si="1"/>
        <v>5.712890625E-2</v>
      </c>
    </row>
    <row r="72" spans="1:15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2.6800567090824772</v>
      </c>
      <c r="H72">
        <v>1.0280039062499997E-3</v>
      </c>
      <c r="I72">
        <v>-0.91453894711191464</v>
      </c>
      <c r="J72">
        <v>-9.4014961004881012E-4</v>
      </c>
      <c r="L72" s="98"/>
      <c r="M72" s="98">
        <v>0</v>
      </c>
      <c r="N72" s="93">
        <v>9.765625E-4</v>
      </c>
      <c r="O72" s="93">
        <f t="shared" si="1"/>
        <v>5.810546875E-2</v>
      </c>
    </row>
    <row r="73" spans="1:15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4.6900992408943338</v>
      </c>
      <c r="H73">
        <v>6.4926562499999978E-4</v>
      </c>
      <c r="I73">
        <v>-0.85527122223263408</v>
      </c>
      <c r="J73">
        <v>-5.5529820464738484E-4</v>
      </c>
      <c r="L73" s="98"/>
      <c r="M73" s="98">
        <v>0</v>
      </c>
      <c r="N73" s="93">
        <v>4.8828125E-4</v>
      </c>
      <c r="O73" s="93">
        <f t="shared" si="1"/>
        <v>5.859375E-2</v>
      </c>
    </row>
    <row r="74" spans="1:15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1.3400283545412375</v>
      </c>
      <c r="H74">
        <v>2.3066015625000002E-4</v>
      </c>
      <c r="I74">
        <v>-0.95631529691410599</v>
      </c>
      <c r="J74">
        <v>-2.2058383581047286E-4</v>
      </c>
      <c r="L74" s="98"/>
      <c r="M74" s="98">
        <v>0</v>
      </c>
      <c r="N74" s="93">
        <v>2.44140625E-4</v>
      </c>
      <c r="O74" s="93">
        <f t="shared" si="1"/>
        <v>5.8837890625E-2</v>
      </c>
    </row>
    <row r="75" spans="1:15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4.0200850636237142</v>
      </c>
      <c r="H75">
        <v>4.8694921874999997E-4</v>
      </c>
      <c r="I75">
        <v>-0.8745875847468445</v>
      </c>
      <c r="J75">
        <v>-4.2587974112092531E-4</v>
      </c>
      <c r="L75" s="98"/>
      <c r="M75" s="98">
        <v>0</v>
      </c>
      <c r="N75" s="93">
        <v>4.8828125E-4</v>
      </c>
      <c r="O75" s="93">
        <f t="shared" si="1"/>
        <v>5.9326171875E-2</v>
      </c>
    </row>
    <row r="76" spans="1:15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6.0301275954355766</v>
      </c>
      <c r="H76">
        <v>3.0754687499999999E-4</v>
      </c>
      <c r="I76">
        <v>-0.81790895283149168</v>
      </c>
      <c r="J76">
        <v>-2.5154534247784767E-4</v>
      </c>
      <c r="L76" s="98"/>
      <c r="M76" s="98">
        <v>0</v>
      </c>
      <c r="N76" s="93">
        <v>2.44140625E-4</v>
      </c>
      <c r="O76" s="93">
        <f t="shared" si="1"/>
        <v>5.95703125E-2</v>
      </c>
    </row>
    <row r="77" spans="1:15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0.67001417727061796</v>
      </c>
      <c r="H77">
        <v>4.8694921874999991E-4</v>
      </c>
      <c r="I77">
        <v>-0.97791374717513102</v>
      </c>
      <c r="J77">
        <v>-4.7619433519181499E-4</v>
      </c>
      <c r="L77" s="98"/>
      <c r="M77" s="98">
        <v>0</v>
      </c>
      <c r="N77" s="93">
        <v>4.8828125E-4</v>
      </c>
      <c r="O77" s="93">
        <f t="shared" si="1"/>
        <v>6.005859375E-2</v>
      </c>
    </row>
    <row r="78" spans="1:15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3.3500708863530968</v>
      </c>
      <c r="H78">
        <v>1.0280039062499997E-3</v>
      </c>
      <c r="I78">
        <v>-0.89434020870781128</v>
      </c>
      <c r="J78">
        <v>-9.1938522806807007E-4</v>
      </c>
      <c r="L78" s="98"/>
      <c r="M78" s="98">
        <v>0</v>
      </c>
      <c r="N78" s="93">
        <v>9.765625E-4</v>
      </c>
      <c r="O78" s="93">
        <f t="shared" si="1"/>
        <v>6.103515625E-2</v>
      </c>
    </row>
    <row r="79" spans="1:15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5.3601134181649543</v>
      </c>
      <c r="H79">
        <v>6.4926562499999978E-4</v>
      </c>
      <c r="I79">
        <v>-0.83638148578456939</v>
      </c>
      <c r="J79">
        <v>-5.4303374810634689E-4</v>
      </c>
      <c r="L79" s="98"/>
      <c r="M79" s="98">
        <v>0</v>
      </c>
      <c r="N79" s="93">
        <v>4.8828125E-4</v>
      </c>
      <c r="O79" s="93">
        <f t="shared" si="1"/>
        <v>6.15234375E-2</v>
      </c>
    </row>
    <row r="80" spans="1:15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3.0754687499999999E-4</v>
      </c>
      <c r="I80">
        <v>-1</v>
      </c>
      <c r="J80">
        <v>-3.0754687499999999E-4</v>
      </c>
      <c r="L80" s="98"/>
      <c r="M80" s="98">
        <v>0</v>
      </c>
      <c r="N80" s="93">
        <v>2.44140625E-4</v>
      </c>
      <c r="O80" s="93">
        <f t="shared" si="1"/>
        <v>6.1767578125E-2</v>
      </c>
    </row>
    <row r="81" spans="1:15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2.6800567090824772</v>
      </c>
      <c r="H81">
        <v>6.4926562499999989E-4</v>
      </c>
      <c r="I81">
        <v>-0.91453894711191464</v>
      </c>
      <c r="J81">
        <v>-5.9377870108345907E-4</v>
      </c>
      <c r="L81" s="98"/>
      <c r="M81" s="98">
        <v>0</v>
      </c>
      <c r="N81" s="93">
        <v>4.8828125E-4</v>
      </c>
      <c r="O81" s="93">
        <f t="shared" si="1"/>
        <v>6.2255859375E-2</v>
      </c>
    </row>
    <row r="82" spans="1:15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4.6900992408943338</v>
      </c>
      <c r="H82">
        <v>4.1006249999999995E-4</v>
      </c>
      <c r="I82">
        <v>-0.85527122223263408</v>
      </c>
      <c r="J82">
        <v>-3.5071465556676945E-4</v>
      </c>
      <c r="L82" s="98"/>
      <c r="M82" s="98">
        <v>0</v>
      </c>
      <c r="N82" s="93">
        <v>2.44140625E-4</v>
      </c>
      <c r="O82" s="93">
        <f t="shared" si="1"/>
        <v>6.25E-2</v>
      </c>
    </row>
    <row r="83" spans="1:15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1.5464651930333067</v>
      </c>
      <c r="H83">
        <v>2.73908935546875E-4</v>
      </c>
      <c r="I83">
        <v>-0.94975726290527751</v>
      </c>
      <c r="J83">
        <v>-2.6014700091029806E-4</v>
      </c>
      <c r="L83" s="98"/>
      <c r="M83" s="98">
        <v>0.48389912802878188</v>
      </c>
      <c r="N83" s="93">
        <v>4.8828125E-4</v>
      </c>
      <c r="O83" s="93">
        <f t="shared" si="1"/>
        <v>6.298828125E-2</v>
      </c>
    </row>
    <row r="84" spans="1:15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4.6393955790999195</v>
      </c>
      <c r="H84">
        <v>5.7825219726562497E-4</v>
      </c>
      <c r="I84">
        <v>-0.85671795722743338</v>
      </c>
      <c r="J84">
        <v>-4.9539904120368108E-4</v>
      </c>
      <c r="L84" s="98"/>
      <c r="M84" s="98">
        <v>0.48389912802878188</v>
      </c>
      <c r="N84" s="93">
        <v>9.765625E-4</v>
      </c>
      <c r="O84" s="93">
        <f t="shared" si="1"/>
        <v>6.396484375E-2</v>
      </c>
    </row>
    <row r="85" spans="1:15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6.9590933686498788</v>
      </c>
      <c r="H85">
        <v>3.652119140625E-4</v>
      </c>
      <c r="I85">
        <v>-0.79297008732926899</v>
      </c>
      <c r="J85">
        <v>-2.8960212338783009E-4</v>
      </c>
      <c r="L85" s="98"/>
      <c r="M85" s="98">
        <v>0.48389912802878188</v>
      </c>
      <c r="N85" s="93">
        <v>4.8828125E-4</v>
      </c>
      <c r="O85" s="93">
        <f t="shared" si="1"/>
        <v>6.4453125E-2</v>
      </c>
    </row>
    <row r="86" spans="1:15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0.77323259651665233</v>
      </c>
      <c r="H86">
        <v>5.7825219726562497E-4</v>
      </c>
      <c r="I86">
        <v>-0.9745549050234561</v>
      </c>
      <c r="J86">
        <v>-5.6353851518580595E-4</v>
      </c>
      <c r="L86" s="98"/>
      <c r="M86" s="98">
        <v>0.59556815757388393</v>
      </c>
      <c r="N86" s="93">
        <v>9.765625E-4</v>
      </c>
      <c r="O86" s="93">
        <f t="shared" si="1"/>
        <v>6.54296875E-2</v>
      </c>
    </row>
    <row r="87" spans="1:15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3.8661629825832633</v>
      </c>
      <c r="H87">
        <v>1.2207546386718748E-3</v>
      </c>
      <c r="I87">
        <v>-0.87908639401575173</v>
      </c>
      <c r="J87">
        <v>-1.0731487932880604E-3</v>
      </c>
      <c r="L87" s="98"/>
      <c r="M87" s="98">
        <v>0.59556815757388393</v>
      </c>
      <c r="N87" s="93">
        <v>1.953125E-3</v>
      </c>
      <c r="O87" s="93">
        <f t="shared" si="1"/>
        <v>6.73828125E-2</v>
      </c>
    </row>
    <row r="88" spans="1:15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6.1858607721332275</v>
      </c>
      <c r="H88">
        <v>7.7100292968749996E-4</v>
      </c>
      <c r="I88">
        <v>-0.81367410213812774</v>
      </c>
      <c r="J88">
        <v>-6.2734511655934255E-4</v>
      </c>
      <c r="L88" s="98"/>
      <c r="M88" s="98">
        <v>0.59556815757388393</v>
      </c>
      <c r="N88" s="93">
        <v>9.765625E-4</v>
      </c>
      <c r="O88" s="93">
        <f t="shared" si="1"/>
        <v>6.8359375E-2</v>
      </c>
    </row>
    <row r="89" spans="1:15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3.652119140625E-4</v>
      </c>
      <c r="I89">
        <v>-1</v>
      </c>
      <c r="J89">
        <v>-3.652119140625E-4</v>
      </c>
      <c r="L89" s="98"/>
      <c r="M89" s="98">
        <v>0.67001417727061796</v>
      </c>
      <c r="N89" s="93">
        <v>4.8828125E-4</v>
      </c>
      <c r="O89" s="93">
        <f t="shared" si="1"/>
        <v>6.884765625E-2</v>
      </c>
    </row>
    <row r="90" spans="1:15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3.0929303860666124</v>
      </c>
      <c r="H90">
        <v>7.7100292968749996E-4</v>
      </c>
      <c r="I90">
        <v>-0.90203885844132448</v>
      </c>
      <c r="J90">
        <v>-6.9547460255022918E-4</v>
      </c>
      <c r="L90" s="98"/>
      <c r="M90" s="98">
        <v>0.67001417727061796</v>
      </c>
      <c r="N90" s="93">
        <v>9.765625E-4</v>
      </c>
      <c r="O90" s="93">
        <f t="shared" si="1"/>
        <v>6.982421875E-2</v>
      </c>
    </row>
    <row r="91" spans="1:15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5.4126281756165744</v>
      </c>
      <c r="H91">
        <v>4.8694921874999997E-4</v>
      </c>
      <c r="I91">
        <v>-0.83491868743767061</v>
      </c>
      <c r="J91">
        <v>-4.0656300256754912E-4</v>
      </c>
      <c r="L91" s="98"/>
      <c r="M91" s="98">
        <v>0.67001417727061796</v>
      </c>
      <c r="N91" s="93">
        <v>4.8828125E-4</v>
      </c>
      <c r="O91" s="93">
        <f t="shared" si="1"/>
        <v>7.03125E-2</v>
      </c>
    </row>
    <row r="92" spans="1:15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1.5464651930333067</v>
      </c>
      <c r="H92">
        <v>5.7825219726562497E-4</v>
      </c>
      <c r="I92">
        <v>-0.94975726290527751</v>
      </c>
      <c r="J92">
        <v>-5.4919922414396261E-4</v>
      </c>
      <c r="L92" s="98"/>
      <c r="M92" s="98">
        <v>0.77323259651665233</v>
      </c>
      <c r="N92" s="93">
        <v>9.765625E-4</v>
      </c>
      <c r="O92" s="93">
        <f t="shared" si="1"/>
        <v>7.12890625E-2</v>
      </c>
    </row>
    <row r="93" spans="1:15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4.6393955790999195</v>
      </c>
      <c r="H93">
        <v>1.2207546386718748E-3</v>
      </c>
      <c r="I93">
        <v>-0.85671795722743338</v>
      </c>
      <c r="J93">
        <v>-1.0458424203188821E-3</v>
      </c>
      <c r="L93" s="98"/>
      <c r="M93" s="98">
        <v>0.77323259651665233</v>
      </c>
      <c r="N93" s="93">
        <v>1.953125E-3</v>
      </c>
      <c r="O93" s="93">
        <f t="shared" si="1"/>
        <v>7.32421875E-2</v>
      </c>
    </row>
    <row r="94" spans="1:15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6.9590933686498788</v>
      </c>
      <c r="H94">
        <v>7.7100292968749996E-4</v>
      </c>
      <c r="I94">
        <v>-0.79297008732926899</v>
      </c>
      <c r="J94">
        <v>-6.1138226048541909E-4</v>
      </c>
      <c r="L94" s="98"/>
      <c r="M94" s="98">
        <v>0.77323259651665233</v>
      </c>
      <c r="N94" s="93">
        <v>9.765625E-4</v>
      </c>
      <c r="O94" s="93">
        <f t="shared" si="1"/>
        <v>7.421875E-2</v>
      </c>
    </row>
    <row r="95" spans="1:15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0.77323259651665233</v>
      </c>
      <c r="H95">
        <v>1.2207546386718748E-3</v>
      </c>
      <c r="I95">
        <v>-0.9745549050234561</v>
      </c>
      <c r="J95">
        <v>-1.1896924209478124E-3</v>
      </c>
      <c r="L95" s="98"/>
      <c r="M95" s="98">
        <v>0.84042613829629575</v>
      </c>
      <c r="N95" s="93">
        <v>4.8828125E-4</v>
      </c>
      <c r="O95" s="93">
        <f t="shared" si="1"/>
        <v>7.470703125E-2</v>
      </c>
    </row>
    <row r="96" spans="1:15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3.8661629825832633</v>
      </c>
      <c r="H96">
        <v>2.5771486816406246E-3</v>
      </c>
      <c r="I96">
        <v>-0.87908639401575173</v>
      </c>
      <c r="J96">
        <v>-2.2655363413859051E-3</v>
      </c>
      <c r="L96" s="98"/>
      <c r="M96" s="98">
        <v>0.84042613829629575</v>
      </c>
      <c r="N96" s="93">
        <v>9.765625E-4</v>
      </c>
      <c r="O96" s="93">
        <f t="shared" si="1"/>
        <v>7.568359375E-2</v>
      </c>
    </row>
    <row r="97" spans="1:15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6.1858607721332275</v>
      </c>
      <c r="H97">
        <v>1.6276728515624997E-3</v>
      </c>
      <c r="I97">
        <v>-0.81367410213812774</v>
      </c>
      <c r="J97">
        <v>-1.3243952460697231E-3</v>
      </c>
      <c r="L97" s="98"/>
      <c r="M97" s="98">
        <v>0.84042613829629575</v>
      </c>
      <c r="N97" s="93">
        <v>4.8828125E-4</v>
      </c>
      <c r="O97" s="93">
        <f t="shared" si="1"/>
        <v>7.6171875E-2</v>
      </c>
    </row>
    <row r="98" spans="1:15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7.7100292968749985E-4</v>
      </c>
      <c r="I98">
        <v>-1</v>
      </c>
      <c r="J98">
        <v>-7.7100292968749985E-4</v>
      </c>
      <c r="L98" s="98"/>
      <c r="M98" s="98">
        <v>0.9516708880204956</v>
      </c>
      <c r="N98" s="93">
        <v>1.953125E-3</v>
      </c>
      <c r="O98" s="93">
        <f t="shared" si="1"/>
        <v>7.8125E-2</v>
      </c>
    </row>
    <row r="99" spans="1:15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3.0929303860666124</v>
      </c>
      <c r="H99">
        <v>1.6276728515624997E-3</v>
      </c>
      <c r="I99">
        <v>-0.90203885844132448</v>
      </c>
      <c r="J99">
        <v>-1.4682241609393727E-3</v>
      </c>
      <c r="L99" s="98"/>
      <c r="M99" s="98">
        <v>0.9516708880204956</v>
      </c>
      <c r="N99" s="93">
        <v>3.90625E-3</v>
      </c>
      <c r="O99" s="93">
        <f t="shared" si="1"/>
        <v>8.203125E-2</v>
      </c>
    </row>
    <row r="100" spans="1:15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5.4126281756165744</v>
      </c>
      <c r="H100">
        <v>1.0280039062499997E-3</v>
      </c>
      <c r="I100">
        <v>-0.83491868743767061</v>
      </c>
      <c r="J100">
        <v>-8.5829967208704799E-4</v>
      </c>
      <c r="L100" s="98"/>
      <c r="M100" s="98">
        <v>0.9516708880204956</v>
      </c>
      <c r="N100" s="93">
        <v>1.953125E-3</v>
      </c>
      <c r="O100" s="93">
        <f t="shared" si="1"/>
        <v>8.3984375E-2</v>
      </c>
    </row>
    <row r="101" spans="1:15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1.5464651930333067</v>
      </c>
      <c r="H101">
        <v>3.6521191406249995E-4</v>
      </c>
      <c r="I101">
        <v>-0.94975726290527751</v>
      </c>
      <c r="J101">
        <v>-3.4686266788039739E-4</v>
      </c>
      <c r="L101" s="98"/>
      <c r="M101" s="98">
        <v>0.96779825605756109</v>
      </c>
      <c r="N101" s="93">
        <v>2.44140625E-4</v>
      </c>
      <c r="O101" s="93">
        <f t="shared" si="1"/>
        <v>8.4228515625E-2</v>
      </c>
    </row>
    <row r="102" spans="1:15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4.6393955790999195</v>
      </c>
      <c r="H102">
        <v>7.7100292968749985E-4</v>
      </c>
      <c r="I102">
        <v>-0.85671795722743338</v>
      </c>
      <c r="J102">
        <v>-6.6053205493824137E-4</v>
      </c>
      <c r="L102" s="98"/>
      <c r="M102" s="98">
        <v>0.96779825605756109</v>
      </c>
      <c r="N102" s="93">
        <v>4.8828125E-4</v>
      </c>
      <c r="O102" s="93">
        <f t="shared" si="1"/>
        <v>8.4716796875E-2</v>
      </c>
    </row>
    <row r="103" spans="1:15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6.9590933686498788</v>
      </c>
      <c r="H103">
        <v>4.8694921874999991E-4</v>
      </c>
      <c r="I103">
        <v>-0.79297008732926899</v>
      </c>
      <c r="J103">
        <v>-3.8613616451710673E-4</v>
      </c>
      <c r="L103" s="98"/>
      <c r="M103" s="98">
        <v>0.96779825605756109</v>
      </c>
      <c r="N103" s="93">
        <v>2.44140625E-4</v>
      </c>
      <c r="O103" s="93">
        <f t="shared" si="1"/>
        <v>8.49609375E-2</v>
      </c>
    </row>
    <row r="104" spans="1:15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0.77323259651665233</v>
      </c>
      <c r="H104">
        <v>7.7100292968749985E-4</v>
      </c>
      <c r="I104">
        <v>-0.9745549050234561</v>
      </c>
      <c r="J104">
        <v>-7.5138468691440786E-4</v>
      </c>
      <c r="L104" s="98"/>
      <c r="M104" s="98">
        <v>1.0343706317492853</v>
      </c>
      <c r="N104" s="93">
        <v>9.765625E-4</v>
      </c>
      <c r="O104" s="93">
        <f t="shared" si="1"/>
        <v>8.59375E-2</v>
      </c>
    </row>
    <row r="105" spans="1:15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3.8661629825832633</v>
      </c>
      <c r="H105">
        <v>1.6276728515624997E-3</v>
      </c>
      <c r="I105">
        <v>-0.87908639401575173</v>
      </c>
      <c r="J105">
        <v>-1.4308650577174139E-3</v>
      </c>
      <c r="L105" s="98"/>
      <c r="M105" s="98">
        <v>1.0343706317492853</v>
      </c>
      <c r="N105" s="93">
        <v>1.953125E-3</v>
      </c>
      <c r="O105" s="93">
        <f t="shared" si="1"/>
        <v>8.7890625E-2</v>
      </c>
    </row>
    <row r="106" spans="1:15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6.1858607721332275</v>
      </c>
      <c r="H106">
        <v>1.0280039062499997E-3</v>
      </c>
      <c r="I106">
        <v>-0.81367410213812774</v>
      </c>
      <c r="J106">
        <v>-8.3646015541245658E-4</v>
      </c>
      <c r="L106" s="98"/>
      <c r="M106" s="98">
        <v>1.0343706317492853</v>
      </c>
      <c r="N106" s="93">
        <v>9.765625E-4</v>
      </c>
      <c r="O106" s="93">
        <f t="shared" si="1"/>
        <v>8.88671875E-2</v>
      </c>
    </row>
    <row r="107" spans="1:15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4.8694921874999991E-4</v>
      </c>
      <c r="I107">
        <v>-1</v>
      </c>
      <c r="J107">
        <v>-4.8694921874999991E-4</v>
      </c>
      <c r="L107" s="98"/>
      <c r="M107" s="98">
        <v>1.0706297490230596</v>
      </c>
      <c r="N107" s="93">
        <v>9.765625E-4</v>
      </c>
      <c r="O107" s="93">
        <f t="shared" si="1"/>
        <v>8.984375E-2</v>
      </c>
    </row>
    <row r="108" spans="1:15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3.0929303860666124</v>
      </c>
      <c r="H108">
        <v>1.0280039062499997E-3</v>
      </c>
      <c r="I108">
        <v>-0.90203885844132448</v>
      </c>
      <c r="J108">
        <v>-9.2729947006697214E-4</v>
      </c>
      <c r="L108" s="98"/>
      <c r="M108" s="98">
        <v>1.0706297490230596</v>
      </c>
      <c r="N108" s="93">
        <v>1.953125E-3</v>
      </c>
      <c r="O108" s="93">
        <f t="shared" si="1"/>
        <v>9.1796875E-2</v>
      </c>
    </row>
    <row r="109" spans="1:15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5.4126281756165744</v>
      </c>
      <c r="H109">
        <v>6.4926562499999978E-4</v>
      </c>
      <c r="I109">
        <v>-0.83491868743767061</v>
      </c>
      <c r="J109">
        <v>-5.4208400342339869E-4</v>
      </c>
      <c r="L109" s="98"/>
      <c r="M109" s="98">
        <v>1.0706297490230596</v>
      </c>
      <c r="N109" s="93">
        <v>9.765625E-4</v>
      </c>
      <c r="O109" s="93">
        <f t="shared" si="1"/>
        <v>9.27734375E-2</v>
      </c>
    </row>
    <row r="110" spans="1:15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1.9033417760409903</v>
      </c>
      <c r="H110">
        <v>5.7825219726562497E-4</v>
      </c>
      <c r="I110">
        <v>-0.93852599407663528</v>
      </c>
      <c r="J110">
        <v>-5.4270471826571923E-4</v>
      </c>
      <c r="L110" s="98"/>
      <c r="M110" s="98">
        <v>1.1636669607179451</v>
      </c>
      <c r="N110" s="93">
        <v>4.8828125E-4</v>
      </c>
      <c r="O110" s="93">
        <f t="shared" si="1"/>
        <v>9.326171875E-2</v>
      </c>
    </row>
    <row r="111" spans="1:15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5.7100253281229776</v>
      </c>
      <c r="H111">
        <v>1.2207546386718748E-3</v>
      </c>
      <c r="I111">
        <v>-0.82668282889134459</v>
      </c>
      <c r="J111">
        <v>-1.0091768980794967E-3</v>
      </c>
      <c r="L111" s="98"/>
      <c r="M111" s="98">
        <v>1.1636669607179451</v>
      </c>
      <c r="N111" s="93">
        <v>9.765625E-4</v>
      </c>
      <c r="O111" s="93">
        <f t="shared" si="1"/>
        <v>9.423828125E-2</v>
      </c>
    </row>
    <row r="112" spans="1:15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8.5650379921844646</v>
      </c>
      <c r="H112">
        <v>7.7100292968749996E-4</v>
      </c>
      <c r="I112">
        <v>-0.7516373892995255</v>
      </c>
      <c r="J112">
        <v>-5.7951462921259809E-4</v>
      </c>
      <c r="L112" s="98"/>
      <c r="M112" s="98">
        <v>1.1636669607179451</v>
      </c>
      <c r="N112" s="93">
        <v>4.8828125E-4</v>
      </c>
      <c r="O112" s="93">
        <f t="shared" si="1"/>
        <v>9.47265625E-2</v>
      </c>
    </row>
    <row r="113" spans="1:15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0.9516708880204956</v>
      </c>
      <c r="H113">
        <v>1.2207546386718748E-3</v>
      </c>
      <c r="I113">
        <v>-0.96877551273586349</v>
      </c>
      <c r="J113">
        <v>-1.1826372010040292E-3</v>
      </c>
      <c r="L113" s="98"/>
      <c r="M113" s="98">
        <v>1.1911363151477687</v>
      </c>
      <c r="N113" s="93">
        <v>4.8828125E-4</v>
      </c>
      <c r="O113" s="93">
        <f t="shared" si="1"/>
        <v>9.521484375E-2</v>
      </c>
    </row>
    <row r="114" spans="1:15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4.7583544401024831</v>
      </c>
      <c r="H114">
        <v>2.5771486816406246E-3</v>
      </c>
      <c r="I114">
        <v>-0.8533275439185668</v>
      </c>
      <c r="J114">
        <v>-2.1991519548173665E-3</v>
      </c>
      <c r="L114" s="98"/>
      <c r="M114" s="98">
        <v>1.1911363151477687</v>
      </c>
      <c r="N114" s="93">
        <v>9.765625E-4</v>
      </c>
      <c r="O114" s="93">
        <f t="shared" si="1"/>
        <v>9.619140625E-2</v>
      </c>
    </row>
    <row r="115" spans="1:15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7.6133671041639683</v>
      </c>
      <c r="H115">
        <v>1.6276728515624997E-3</v>
      </c>
      <c r="I115">
        <v>-0.77586332377133416</v>
      </c>
      <c r="J115">
        <v>-1.2628516686256463E-3</v>
      </c>
      <c r="L115" s="98"/>
      <c r="M115" s="98">
        <v>1.1911363151477687</v>
      </c>
      <c r="N115" s="93">
        <v>4.8828125E-4</v>
      </c>
      <c r="O115" s="93">
        <f t="shared" si="1"/>
        <v>9.66796875E-2</v>
      </c>
    </row>
    <row r="116" spans="1:15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7.7100292968749985E-4</v>
      </c>
      <c r="I116">
        <v>-1</v>
      </c>
      <c r="J116">
        <v>-7.7100292968749985E-4</v>
      </c>
      <c r="L116" s="98"/>
      <c r="M116" s="98">
        <v>1.2097478200719514</v>
      </c>
      <c r="N116" s="93">
        <v>9.765625E-4</v>
      </c>
      <c r="O116" s="93">
        <f t="shared" si="1"/>
        <v>9.765625E-2</v>
      </c>
    </row>
    <row r="117" spans="1:15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3.8066835520819877</v>
      </c>
      <c r="H117">
        <v>1.6276728515624997E-3</v>
      </c>
      <c r="I117">
        <v>-0.88083104155753611</v>
      </c>
      <c r="J117">
        <v>-1.4337047731567214E-3</v>
      </c>
      <c r="L117" s="98"/>
      <c r="M117" s="98">
        <v>1.2097478200719514</v>
      </c>
      <c r="N117" s="93">
        <v>1.953125E-3</v>
      </c>
      <c r="O117" s="93">
        <f t="shared" si="1"/>
        <v>9.9609375E-2</v>
      </c>
    </row>
    <row r="118" spans="1:15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6.6616962161434747</v>
      </c>
      <c r="H118">
        <v>1.0280039062499997E-3</v>
      </c>
      <c r="I118">
        <v>-0.80087008142914651</v>
      </c>
      <c r="J118">
        <v>-8.2329757210791797E-4</v>
      </c>
      <c r="L118" s="98"/>
      <c r="M118" s="98">
        <v>1.2097478200719514</v>
      </c>
      <c r="N118" s="93">
        <v>9.765625E-4</v>
      </c>
      <c r="O118" s="93">
        <f t="shared" si="1"/>
        <v>0.1005859375</v>
      </c>
    </row>
    <row r="119" spans="1:15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1.9033417760409903</v>
      </c>
      <c r="H119">
        <v>1.2207546386718748E-3</v>
      </c>
      <c r="I119">
        <v>-0.93852599407663528</v>
      </c>
      <c r="J119">
        <v>-1.145709960783185E-3</v>
      </c>
      <c r="L119" s="98"/>
      <c r="M119" s="98">
        <v>1.3400283545412375</v>
      </c>
      <c r="N119" s="93">
        <v>2.44140625E-4</v>
      </c>
      <c r="O119" s="93">
        <f t="shared" si="1"/>
        <v>0.100830078125</v>
      </c>
    </row>
    <row r="120" spans="1:15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5.7100253281229776</v>
      </c>
      <c r="H120">
        <v>2.5771486816406246E-3</v>
      </c>
      <c r="I120">
        <v>-0.82668282889134459</v>
      </c>
      <c r="J120">
        <v>-2.1304845626122708E-3</v>
      </c>
      <c r="L120" s="98"/>
      <c r="M120" s="98">
        <v>1.3400283545412375</v>
      </c>
      <c r="N120" s="93">
        <v>4.8828125E-4</v>
      </c>
      <c r="O120" s="93">
        <f t="shared" si="1"/>
        <v>0.101318359375</v>
      </c>
    </row>
    <row r="121" spans="1:15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8.5650379921844646</v>
      </c>
      <c r="H121">
        <v>1.6276728515624997E-3</v>
      </c>
      <c r="I121">
        <v>-0.7516373892995255</v>
      </c>
      <c r="J121">
        <v>-1.2234197727821513E-3</v>
      </c>
      <c r="L121" s="98"/>
      <c r="M121" s="98">
        <v>1.3400283545412375</v>
      </c>
      <c r="N121" s="93">
        <v>2.44140625E-4</v>
      </c>
      <c r="O121" s="93">
        <f t="shared" si="1"/>
        <v>0.1015625</v>
      </c>
    </row>
    <row r="122" spans="1:15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0.9516708880204956</v>
      </c>
      <c r="H122">
        <v>2.5771486816406246E-3</v>
      </c>
      <c r="I122">
        <v>-0.96877551273586349</v>
      </c>
      <c r="J122">
        <v>-2.4966785354529506E-3</v>
      </c>
      <c r="L122" s="98"/>
      <c r="M122" s="98">
        <v>1.4889203939347078</v>
      </c>
      <c r="N122" s="93">
        <v>1.953125E-3</v>
      </c>
      <c r="O122" s="93">
        <f t="shared" si="1"/>
        <v>0.103515625</v>
      </c>
    </row>
    <row r="123" spans="1:15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4.7583544401024831</v>
      </c>
      <c r="H123">
        <v>5.4406472167968737E-3</v>
      </c>
      <c r="I123">
        <v>-0.8533275439185668</v>
      </c>
      <c r="J123">
        <v>-4.6426541268366622E-3</v>
      </c>
      <c r="L123" s="98"/>
      <c r="M123" s="98">
        <v>1.4889203939347078</v>
      </c>
      <c r="N123" s="93">
        <v>3.90625E-3</v>
      </c>
      <c r="O123" s="93">
        <f t="shared" si="1"/>
        <v>0.107421875</v>
      </c>
    </row>
    <row r="124" spans="1:15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7.6133671041639683</v>
      </c>
      <c r="H124">
        <v>3.4361982421874993E-3</v>
      </c>
      <c r="I124">
        <v>-0.77586332377133416</v>
      </c>
      <c r="J124">
        <v>-2.6660201893208093E-3</v>
      </c>
      <c r="L124" s="98"/>
      <c r="M124" s="98">
        <v>1.4889203939347078</v>
      </c>
      <c r="N124" s="93">
        <v>1.953125E-3</v>
      </c>
      <c r="O124" s="93">
        <f t="shared" si="1"/>
        <v>0.109375</v>
      </c>
    </row>
    <row r="125" spans="1:15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1.6276728515624997E-3</v>
      </c>
      <c r="I125">
        <v>-1</v>
      </c>
      <c r="J125">
        <v>-1.6276728515624997E-3</v>
      </c>
      <c r="L125" s="98"/>
      <c r="M125" s="98">
        <v>1.5464651930333067</v>
      </c>
      <c r="N125" s="93">
        <v>4.8828125E-4</v>
      </c>
      <c r="O125" s="93">
        <f t="shared" si="1"/>
        <v>0.10986328125</v>
      </c>
    </row>
    <row r="126" spans="1:15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3.8066835520819877</v>
      </c>
      <c r="H126">
        <v>3.4361982421874993E-3</v>
      </c>
      <c r="I126">
        <v>-0.88083104155753611</v>
      </c>
      <c r="J126">
        <v>-3.0267100766641899E-3</v>
      </c>
      <c r="L126" s="98"/>
      <c r="M126" s="98">
        <v>1.5464651930333067</v>
      </c>
      <c r="N126" s="93">
        <v>9.765625E-4</v>
      </c>
      <c r="O126" s="93">
        <f t="shared" si="1"/>
        <v>0.11083984375</v>
      </c>
    </row>
    <row r="127" spans="1:15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6.6616962161434747</v>
      </c>
      <c r="H127">
        <v>2.1702304687499993E-3</v>
      </c>
      <c r="I127">
        <v>-0.80087008142914651</v>
      </c>
      <c r="J127">
        <v>-1.7380726522278267E-3</v>
      </c>
      <c r="L127" s="98"/>
      <c r="M127" s="98">
        <v>1.5464651930333067</v>
      </c>
      <c r="N127" s="93">
        <v>4.8828125E-4</v>
      </c>
      <c r="O127" s="93">
        <f t="shared" si="1"/>
        <v>0.111328125</v>
      </c>
    </row>
    <row r="128" spans="1:15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1.9033417760409903</v>
      </c>
      <c r="H128">
        <v>7.7100292968749996E-4</v>
      </c>
      <c r="I128">
        <v>-0.93852599407663528</v>
      </c>
      <c r="J128">
        <v>-7.2360629102095908E-4</v>
      </c>
      <c r="L128" s="98"/>
      <c r="M128" s="98">
        <v>1.6750354431765495</v>
      </c>
      <c r="N128" s="93">
        <v>9.765625E-4</v>
      </c>
      <c r="O128" s="93">
        <f t="shared" si="1"/>
        <v>0.1123046875</v>
      </c>
    </row>
    <row r="129" spans="1:15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5.7100253281229776</v>
      </c>
      <c r="H129">
        <v>1.6276728515624999E-3</v>
      </c>
      <c r="I129">
        <v>-0.82668282889134459</v>
      </c>
      <c r="J129">
        <v>-1.345569197439329E-3</v>
      </c>
      <c r="L129" s="98"/>
      <c r="M129" s="98">
        <v>1.6750354431765495</v>
      </c>
      <c r="N129" s="93">
        <v>1.953125E-3</v>
      </c>
      <c r="O129" s="93">
        <f t="shared" si="1"/>
        <v>0.1142578125</v>
      </c>
    </row>
    <row r="130" spans="1:15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8.5650379921844646</v>
      </c>
      <c r="H130">
        <v>1.0280039062499999E-3</v>
      </c>
      <c r="I130">
        <v>-0.7516373892995255</v>
      </c>
      <c r="J130">
        <v>-7.7268617228346416E-4</v>
      </c>
      <c r="L130" s="98"/>
      <c r="M130" s="98">
        <v>1.6750354431765495</v>
      </c>
      <c r="N130" s="93">
        <v>9.765625E-4</v>
      </c>
      <c r="O130" s="93">
        <f t="shared" si="1"/>
        <v>0.115234375</v>
      </c>
    </row>
    <row r="131" spans="1:15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0.9516708880204956</v>
      </c>
      <c r="H131">
        <v>1.6276728515624997E-3</v>
      </c>
      <c r="I131">
        <v>-0.96877551273586349</v>
      </c>
      <c r="J131">
        <v>-1.5768496013387056E-3</v>
      </c>
      <c r="L131" s="98"/>
      <c r="M131" s="98">
        <v>1.6808522765925888</v>
      </c>
      <c r="N131" s="93">
        <v>2.44140625E-4</v>
      </c>
      <c r="O131" s="93">
        <f t="shared" si="1"/>
        <v>0.115478515625</v>
      </c>
    </row>
    <row r="132" spans="1:15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4.7583544401024831</v>
      </c>
      <c r="H132">
        <v>3.4361982421874993E-3</v>
      </c>
      <c r="I132">
        <v>-0.8533275439185668</v>
      </c>
      <c r="J132">
        <v>-2.9322026064231553E-3</v>
      </c>
      <c r="L132" s="98"/>
      <c r="M132" s="98">
        <v>1.6808522765925888</v>
      </c>
      <c r="N132" s="93">
        <v>4.8828125E-4</v>
      </c>
      <c r="O132" s="93">
        <f t="shared" ref="O132:O195" si="2">N132+O131</f>
        <v>0.115966796875</v>
      </c>
    </row>
    <row r="133" spans="1:15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7.6133671041639683</v>
      </c>
      <c r="H133">
        <v>2.1702304687499993E-3</v>
      </c>
      <c r="I133">
        <v>-0.77586332377133416</v>
      </c>
      <c r="J133">
        <v>-1.683802224834195E-3</v>
      </c>
      <c r="L133" s="98"/>
      <c r="M133" s="98">
        <v>1.6808522765925888</v>
      </c>
      <c r="N133" s="93">
        <v>2.44140625E-4</v>
      </c>
      <c r="O133" s="93">
        <f t="shared" si="2"/>
        <v>0.1162109375</v>
      </c>
    </row>
    <row r="134" spans="1:15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1.0280039062499999E-3</v>
      </c>
      <c r="I134">
        <v>-1</v>
      </c>
      <c r="J134">
        <v>-1.0280039062499999E-3</v>
      </c>
      <c r="L134" s="98"/>
      <c r="M134" s="98">
        <v>1.9033417760409903</v>
      </c>
      <c r="N134" s="93">
        <v>9.765625E-4</v>
      </c>
      <c r="O134" s="93">
        <f t="shared" si="2"/>
        <v>0.1171875</v>
      </c>
    </row>
    <row r="135" spans="1:15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3.8066835520819877</v>
      </c>
      <c r="H135">
        <v>2.1702304687499993E-3</v>
      </c>
      <c r="I135">
        <v>-0.88083104155753611</v>
      </c>
      <c r="J135">
        <v>-1.9116063642089618E-3</v>
      </c>
      <c r="L135" s="98"/>
      <c r="M135" s="98">
        <v>1.9033417760409903</v>
      </c>
      <c r="N135" s="93">
        <v>1.953125E-3</v>
      </c>
      <c r="O135" s="93">
        <f t="shared" si="2"/>
        <v>0.119140625</v>
      </c>
    </row>
    <row r="136" spans="1:15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6.6616962161434747</v>
      </c>
      <c r="H136">
        <v>1.3706718749999997E-3</v>
      </c>
      <c r="I136">
        <v>-0.80087008142914651</v>
      </c>
      <c r="J136">
        <v>-1.0977300961438907E-3</v>
      </c>
      <c r="L136" s="98"/>
      <c r="M136" s="98">
        <v>1.9033417760409903</v>
      </c>
      <c r="N136" s="93">
        <v>9.765625E-4</v>
      </c>
      <c r="O136" s="93">
        <f t="shared" si="2"/>
        <v>0.1201171875</v>
      </c>
    </row>
    <row r="137" spans="1:15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2.1412594980461193</v>
      </c>
      <c r="H137">
        <v>3.652119140625E-4</v>
      </c>
      <c r="I137">
        <v>-0.93111236461161995</v>
      </c>
      <c r="J137">
        <v>-3.4005332888707013E-4</v>
      </c>
      <c r="L137" s="98"/>
      <c r="M137" s="98">
        <v>1.933081491291633</v>
      </c>
      <c r="N137" s="93">
        <v>1.953125E-3</v>
      </c>
      <c r="O137" s="93">
        <f t="shared" si="2"/>
        <v>0.1220703125</v>
      </c>
    </row>
    <row r="138" spans="1:15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6.4237784941383476</v>
      </c>
      <c r="H138">
        <v>7.7100292968749996E-4</v>
      </c>
      <c r="I138">
        <v>-0.80724670605469184</v>
      </c>
      <c r="J138">
        <v>-6.2238957534875149E-4</v>
      </c>
      <c r="L138" s="98"/>
      <c r="M138" s="98">
        <v>1.933081491291633</v>
      </c>
      <c r="N138" s="93">
        <v>3.90625E-3</v>
      </c>
      <c r="O138" s="93">
        <f t="shared" si="2"/>
        <v>0.1259765625</v>
      </c>
    </row>
    <row r="139" spans="1:15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9.6356677412075218</v>
      </c>
      <c r="H139">
        <v>4.8694921874999997E-4</v>
      </c>
      <c r="I139">
        <v>-0.72528621356034251</v>
      </c>
      <c r="J139">
        <v>-3.5317755506335442E-4</v>
      </c>
      <c r="L139" s="98"/>
      <c r="M139" s="98">
        <v>1.933081491291633</v>
      </c>
      <c r="N139" s="93">
        <v>1.953125E-3</v>
      </c>
      <c r="O139" s="93">
        <f t="shared" si="2"/>
        <v>0.1279296875</v>
      </c>
    </row>
    <row r="140" spans="1:15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1.0706297490230596</v>
      </c>
      <c r="H140">
        <v>7.7100292968749996E-4</v>
      </c>
      <c r="I140">
        <v>-0.96494163793030507</v>
      </c>
      <c r="J140">
        <v>-7.439728298217201E-4</v>
      </c>
      <c r="L140" s="98"/>
      <c r="M140" s="98">
        <v>1.9355965121151222</v>
      </c>
      <c r="N140" s="93">
        <v>4.8828125E-4</v>
      </c>
      <c r="O140" s="93">
        <f t="shared" si="2"/>
        <v>0.12841796875</v>
      </c>
    </row>
    <row r="141" spans="1:15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5.3531487451152904</v>
      </c>
      <c r="H141">
        <v>1.6276728515624999E-3</v>
      </c>
      <c r="I141">
        <v>-0.8365756791116904</v>
      </c>
      <c r="J141">
        <v>-1.3616715211675599E-3</v>
      </c>
      <c r="L141" s="98"/>
      <c r="M141" s="98">
        <v>1.9355965121151222</v>
      </c>
      <c r="N141" s="93">
        <v>9.765625E-4</v>
      </c>
      <c r="O141" s="93">
        <f t="shared" si="2"/>
        <v>0.12939453125</v>
      </c>
    </row>
    <row r="142" spans="1:15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8.5650379921844664</v>
      </c>
      <c r="H142">
        <v>1.0280039062499999E-3</v>
      </c>
      <c r="I142">
        <v>-0.7516373892995255</v>
      </c>
      <c r="J142">
        <v>-7.7268617228346416E-4</v>
      </c>
      <c r="L142" s="98"/>
      <c r="M142" s="98">
        <v>1.9355965121151222</v>
      </c>
      <c r="N142" s="93">
        <v>4.8828125E-4</v>
      </c>
      <c r="O142" s="93">
        <f t="shared" si="2"/>
        <v>0.1298828125</v>
      </c>
    </row>
    <row r="143" spans="1:15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4.8694921874999997E-4</v>
      </c>
      <c r="I143">
        <v>-1</v>
      </c>
      <c r="J143">
        <v>-4.8694921874999997E-4</v>
      </c>
      <c r="L143" s="98"/>
      <c r="M143" s="98">
        <v>2.0687412634985751</v>
      </c>
      <c r="N143" s="93">
        <v>4.8828125E-4</v>
      </c>
      <c r="O143" s="93">
        <f t="shared" si="2"/>
        <v>0.13037109375</v>
      </c>
    </row>
    <row r="144" spans="1:15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4.2825189960922359</v>
      </c>
      <c r="H144">
        <v>1.0280039062499999E-3</v>
      </c>
      <c r="I144">
        <v>-0.8669702355326423</v>
      </c>
      <c r="J144">
        <v>-8.9124878873003883E-4</v>
      </c>
      <c r="L144" s="98"/>
      <c r="M144" s="98">
        <v>2.0687412634985751</v>
      </c>
      <c r="N144" s="93">
        <v>9.765625E-4</v>
      </c>
      <c r="O144" s="93">
        <f t="shared" si="2"/>
        <v>0.13134765625</v>
      </c>
    </row>
    <row r="145" spans="1:15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7.4944082431614056</v>
      </c>
      <c r="H145">
        <v>6.4926562499999999E-4</v>
      </c>
      <c r="I145">
        <v>-0.77894595875425787</v>
      </c>
      <c r="J145">
        <v>-5.057428347518075E-4</v>
      </c>
      <c r="L145" s="98"/>
      <c r="M145" s="98">
        <v>2.0687412634985751</v>
      </c>
      <c r="N145" s="93">
        <v>4.8828125E-4</v>
      </c>
      <c r="O145" s="93">
        <f t="shared" si="2"/>
        <v>0.1318359375</v>
      </c>
    </row>
    <row r="146" spans="1:15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2.1412594980461193</v>
      </c>
      <c r="H146">
        <v>7.7100292968750007E-4</v>
      </c>
      <c r="I146">
        <v>-0.93111236461161995</v>
      </c>
      <c r="J146">
        <v>-7.1789036098381478E-4</v>
      </c>
      <c r="L146" s="98"/>
      <c r="M146" s="98">
        <v>2.1010653457407376</v>
      </c>
      <c r="N146" s="93">
        <v>9.765625E-4</v>
      </c>
      <c r="O146" s="93">
        <f t="shared" si="2"/>
        <v>0.1328125</v>
      </c>
    </row>
    <row r="147" spans="1:15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6.4237784941383476</v>
      </c>
      <c r="H147">
        <v>1.6276728515625001E-3</v>
      </c>
      <c r="I147">
        <v>-0.80724670605469184</v>
      </c>
      <c r="J147">
        <v>-1.3139335479584757E-3</v>
      </c>
      <c r="L147" s="98"/>
      <c r="M147" s="98">
        <v>2.1010653457407376</v>
      </c>
      <c r="N147" s="93">
        <v>1.953125E-3</v>
      </c>
      <c r="O147" s="93">
        <f t="shared" si="2"/>
        <v>0.134765625</v>
      </c>
    </row>
    <row r="148" spans="1:15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9.6356677412075218</v>
      </c>
      <c r="H148">
        <v>1.0280039062499999E-3</v>
      </c>
      <c r="I148">
        <v>-0.72528621356034251</v>
      </c>
      <c r="J148">
        <v>-7.4559706068930381E-4</v>
      </c>
      <c r="L148" s="98"/>
      <c r="M148" s="98">
        <v>2.1010653457407376</v>
      </c>
      <c r="N148" s="93">
        <v>9.765625E-4</v>
      </c>
      <c r="O148" s="93">
        <f t="shared" si="2"/>
        <v>0.1357421875</v>
      </c>
    </row>
    <row r="149" spans="1:15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1.0706297490230596</v>
      </c>
      <c r="H149">
        <v>1.6276728515624999E-3</v>
      </c>
      <c r="I149">
        <v>-0.96494163793030507</v>
      </c>
      <c r="J149">
        <v>-1.570609307401409E-3</v>
      </c>
      <c r="L149" s="98"/>
      <c r="M149" s="98">
        <v>2.1412594980461193</v>
      </c>
      <c r="N149" s="93">
        <v>4.8828125E-4</v>
      </c>
      <c r="O149" s="93">
        <f t="shared" si="2"/>
        <v>0.13623046875</v>
      </c>
    </row>
    <row r="150" spans="1:15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5.3531487451152904</v>
      </c>
      <c r="H150">
        <v>3.4361982421874998E-3</v>
      </c>
      <c r="I150">
        <v>-0.8365756791116904</v>
      </c>
      <c r="J150">
        <v>-2.8746398780204042E-3</v>
      </c>
      <c r="L150" s="98"/>
      <c r="M150" s="98">
        <v>2.1412594980461193</v>
      </c>
      <c r="N150" s="93">
        <v>9.765625E-4</v>
      </c>
      <c r="O150" s="93">
        <f t="shared" si="2"/>
        <v>0.13720703125</v>
      </c>
    </row>
    <row r="151" spans="1:15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8.5650379921844664</v>
      </c>
      <c r="H151">
        <v>2.1702304687499997E-3</v>
      </c>
      <c r="I151">
        <v>-0.7516373892995255</v>
      </c>
      <c r="J151">
        <v>-1.6312263637095353E-3</v>
      </c>
      <c r="L151" s="98"/>
      <c r="M151" s="98">
        <v>2.1412594980461193</v>
      </c>
      <c r="N151" s="93">
        <v>4.8828125E-4</v>
      </c>
      <c r="O151" s="93">
        <f t="shared" si="2"/>
        <v>0.1376953125</v>
      </c>
    </row>
    <row r="152" spans="1:15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1.0280039062499999E-3</v>
      </c>
      <c r="I152">
        <v>-1</v>
      </c>
      <c r="J152">
        <v>-1.0280039062499999E-3</v>
      </c>
      <c r="L152" s="98"/>
      <c r="M152" s="98">
        <v>2.3273339214358928</v>
      </c>
      <c r="N152" s="93">
        <v>2.44140625E-4</v>
      </c>
      <c r="O152" s="93">
        <f t="shared" si="2"/>
        <v>0.137939453125</v>
      </c>
    </row>
    <row r="153" spans="1:15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4.2825189960922359</v>
      </c>
      <c r="H153">
        <v>2.1702304687499997E-3</v>
      </c>
      <c r="I153">
        <v>-0.8669702355326423</v>
      </c>
      <c r="J153">
        <v>-1.8815252206523039E-3</v>
      </c>
      <c r="L153" s="98"/>
      <c r="M153" s="98">
        <v>2.3273339214358928</v>
      </c>
      <c r="N153" s="93">
        <v>4.8828125E-4</v>
      </c>
      <c r="O153" s="93">
        <f t="shared" si="2"/>
        <v>0.138427734375</v>
      </c>
    </row>
    <row r="154" spans="1:15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7.4944082431614056</v>
      </c>
      <c r="H154">
        <v>1.3706718749999999E-3</v>
      </c>
      <c r="I154">
        <v>-0.77894595875425787</v>
      </c>
      <c r="J154">
        <v>-1.0676793178093712E-3</v>
      </c>
      <c r="L154" s="98"/>
      <c r="M154" s="98">
        <v>2.3273339214358928</v>
      </c>
      <c r="N154" s="93">
        <v>2.44140625E-4</v>
      </c>
      <c r="O154" s="93">
        <f t="shared" si="2"/>
        <v>0.138671875</v>
      </c>
    </row>
    <row r="155" spans="1:15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2.1412594980461193</v>
      </c>
      <c r="H155">
        <v>4.8694921875000008E-4</v>
      </c>
      <c r="I155">
        <v>-0.93111236461161995</v>
      </c>
      <c r="J155">
        <v>-4.5340443851609358E-4</v>
      </c>
      <c r="L155" s="98"/>
      <c r="M155" s="98">
        <v>2.3791772200512344</v>
      </c>
      <c r="N155" s="93">
        <v>3.90625E-3</v>
      </c>
      <c r="O155" s="93">
        <f t="shared" si="2"/>
        <v>0.142578125</v>
      </c>
    </row>
    <row r="156" spans="1:15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6.4237784941383476</v>
      </c>
      <c r="H156">
        <v>1.0280039062500002E-3</v>
      </c>
      <c r="I156">
        <v>-0.80724670605469184</v>
      </c>
      <c r="J156">
        <v>-8.2985276713166891E-4</v>
      </c>
      <c r="L156" s="98"/>
      <c r="M156" s="98">
        <v>2.3791772200512344</v>
      </c>
      <c r="N156" s="93">
        <v>7.8125E-3</v>
      </c>
      <c r="O156" s="93">
        <f t="shared" si="2"/>
        <v>0.150390625</v>
      </c>
    </row>
    <row r="157" spans="1:15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9.6356677412075218</v>
      </c>
      <c r="H157">
        <v>6.492656250000001E-4</v>
      </c>
      <c r="I157">
        <v>-0.72528621356034251</v>
      </c>
      <c r="J157">
        <v>-4.7090340675113934E-4</v>
      </c>
      <c r="L157" s="98"/>
      <c r="M157" s="98">
        <v>2.3791772200512344</v>
      </c>
      <c r="N157" s="93">
        <v>3.90625E-3</v>
      </c>
      <c r="O157" s="93">
        <f t="shared" si="2"/>
        <v>0.154296875</v>
      </c>
    </row>
    <row r="158" spans="1:15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1.0706297490230596</v>
      </c>
      <c r="H158">
        <v>1.0280039062499999E-3</v>
      </c>
      <c r="I158">
        <v>-0.96494163793030507</v>
      </c>
      <c r="J158">
        <v>-9.919637730956268E-4</v>
      </c>
      <c r="L158" s="98"/>
      <c r="M158" s="98">
        <v>2.3822726302955366</v>
      </c>
      <c r="N158" s="93">
        <v>9.765625E-4</v>
      </c>
      <c r="O158" s="93">
        <f t="shared" si="2"/>
        <v>0.1552734375</v>
      </c>
    </row>
    <row r="159" spans="1:15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5.3531487451152904</v>
      </c>
      <c r="H159">
        <v>2.1702304687499997E-3</v>
      </c>
      <c r="I159">
        <v>-0.8365756791116904</v>
      </c>
      <c r="J159">
        <v>-1.8155620282234131E-3</v>
      </c>
      <c r="L159" s="98"/>
      <c r="M159" s="98">
        <v>2.3822726302955366</v>
      </c>
      <c r="N159" s="93">
        <v>1.953125E-3</v>
      </c>
      <c r="O159" s="93">
        <f t="shared" si="2"/>
        <v>0.1572265625</v>
      </c>
    </row>
    <row r="160" spans="1:15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8.5650379921844664</v>
      </c>
      <c r="H160">
        <v>1.3706718749999999E-3</v>
      </c>
      <c r="I160">
        <v>-0.7516373892995255</v>
      </c>
      <c r="J160">
        <v>-1.0302482297112855E-3</v>
      </c>
      <c r="L160" s="98"/>
      <c r="M160" s="98">
        <v>2.3822726302955366</v>
      </c>
      <c r="N160" s="93">
        <v>9.765625E-4</v>
      </c>
      <c r="O160" s="93">
        <f t="shared" si="2"/>
        <v>0.158203125</v>
      </c>
    </row>
    <row r="161" spans="1:15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6.492656250000001E-4</v>
      </c>
      <c r="I161">
        <v>-1</v>
      </c>
      <c r="J161">
        <v>-6.492656250000001E-4</v>
      </c>
      <c r="L161" s="98"/>
      <c r="M161" s="98">
        <v>2.4194956401439001</v>
      </c>
      <c r="N161" s="93">
        <v>4.8828125E-4</v>
      </c>
      <c r="O161" s="93">
        <f t="shared" si="2"/>
        <v>0.15869140625</v>
      </c>
    </row>
    <row r="162" spans="1:15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4.2825189960922359</v>
      </c>
      <c r="H162">
        <v>1.3706718749999999E-3</v>
      </c>
      <c r="I162">
        <v>-0.8669702355326423</v>
      </c>
      <c r="J162">
        <v>-1.1883317183067183E-3</v>
      </c>
      <c r="L162" s="98"/>
      <c r="M162" s="98">
        <v>2.4194956401439001</v>
      </c>
      <c r="N162" s="93">
        <v>9.765625E-4</v>
      </c>
      <c r="O162" s="93">
        <f t="shared" si="2"/>
        <v>0.15966796875</v>
      </c>
    </row>
    <row r="163" spans="1:15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7.4944082431614056</v>
      </c>
      <c r="H163">
        <v>8.6568750000000003E-4</v>
      </c>
      <c r="I163">
        <v>-0.77894595875425787</v>
      </c>
      <c r="J163">
        <v>-6.7432377966907659E-4</v>
      </c>
      <c r="L163" s="98"/>
      <c r="M163" s="98">
        <v>2.4194956401439001</v>
      </c>
      <c r="N163" s="93">
        <v>4.8828125E-4</v>
      </c>
      <c r="O163" s="93">
        <f t="shared" si="2"/>
        <v>0.16015625</v>
      </c>
    </row>
    <row r="164" spans="1:15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1.6808522765925888</v>
      </c>
      <c r="H164">
        <v>1.7299511718750003E-4</v>
      </c>
      <c r="I164">
        <v>-0.94551227424286077</v>
      </c>
      <c r="J164">
        <v>-1.6356900668486338E-4</v>
      </c>
      <c r="L164" s="98"/>
      <c r="M164" s="98">
        <v>2.4194956401439036</v>
      </c>
      <c r="N164" s="93">
        <v>9.765625E-4</v>
      </c>
      <c r="O164" s="93">
        <f t="shared" si="2"/>
        <v>0.1611328125</v>
      </c>
    </row>
    <row r="165" spans="1:15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5.0425568297777739</v>
      </c>
      <c r="H165">
        <v>3.6521191406250006E-4</v>
      </c>
      <c r="I165">
        <v>-0.84528179022621674</v>
      </c>
      <c r="J165">
        <v>-3.0870698053069327E-4</v>
      </c>
      <c r="L165" s="98"/>
      <c r="M165" s="98">
        <v>2.4194956401439036</v>
      </c>
      <c r="N165" s="93">
        <v>1.953125E-3</v>
      </c>
      <c r="O165" s="93">
        <f t="shared" si="2"/>
        <v>0.1630859375</v>
      </c>
    </row>
    <row r="166" spans="1:15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7.5638352446666604</v>
      </c>
      <c r="H166">
        <v>2.3066015625000002E-4</v>
      </c>
      <c r="I166">
        <v>-0.77714538029555869</v>
      </c>
      <c r="J166">
        <v>-1.7925647484793924E-4</v>
      </c>
      <c r="L166" s="98"/>
      <c r="M166" s="98">
        <v>2.4194956401439036</v>
      </c>
      <c r="N166" s="93">
        <v>9.765625E-4</v>
      </c>
      <c r="O166" s="93">
        <f t="shared" si="2"/>
        <v>0.1640625</v>
      </c>
    </row>
    <row r="167" spans="1:15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0.84042613829629575</v>
      </c>
      <c r="H167">
        <v>3.6521191406250006E-4</v>
      </c>
      <c r="I167">
        <v>-0.97237455450194743</v>
      </c>
      <c r="J167">
        <v>-3.5512277223532699E-4</v>
      </c>
      <c r="L167" s="98"/>
      <c r="M167" s="98">
        <v>2.5801089173508185</v>
      </c>
      <c r="N167" s="93">
        <v>1.953125E-3</v>
      </c>
      <c r="O167" s="93">
        <f t="shared" si="2"/>
        <v>0.166015625</v>
      </c>
    </row>
    <row r="168" spans="1:15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4.2021306914814804</v>
      </c>
      <c r="H168">
        <v>7.7100292968750007E-4</v>
      </c>
      <c r="I168">
        <v>-0.86929649311851032</v>
      </c>
      <c r="J168">
        <v>-6.7023014296144115E-4</v>
      </c>
      <c r="L168" s="98"/>
      <c r="M168" s="98">
        <v>2.5801089173508185</v>
      </c>
      <c r="N168" s="93">
        <v>3.90625E-3</v>
      </c>
      <c r="O168" s="93">
        <f t="shared" si="2"/>
        <v>0.169921875</v>
      </c>
    </row>
    <row r="169" spans="1:15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6.7234091063703678</v>
      </c>
      <c r="H169">
        <v>4.8694921875000008E-4</v>
      </c>
      <c r="I169">
        <v>-0.7992243078528668</v>
      </c>
      <c r="J169">
        <v>-3.8918165231496306E-4</v>
      </c>
      <c r="L169" s="98"/>
      <c r="M169" s="98">
        <v>2.5801089173508185</v>
      </c>
      <c r="N169" s="93">
        <v>1.953125E-3</v>
      </c>
      <c r="O169" s="93">
        <f t="shared" si="2"/>
        <v>0.171875</v>
      </c>
    </row>
    <row r="170" spans="1:15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2.3066015625000002E-4</v>
      </c>
      <c r="I170">
        <v>-1</v>
      </c>
      <c r="J170">
        <v>-2.3066015625000002E-4</v>
      </c>
      <c r="L170" s="98"/>
      <c r="M170" s="98">
        <v>2.6614452041582859</v>
      </c>
      <c r="N170" s="93">
        <v>4.8828125E-4</v>
      </c>
      <c r="O170" s="93">
        <f t="shared" si="2"/>
        <v>0.17236328125</v>
      </c>
    </row>
    <row r="171" spans="1:15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3.3617045531851804</v>
      </c>
      <c r="H171">
        <v>4.8694921874999997E-4</v>
      </c>
      <c r="I171">
        <v>-0.89399346074390662</v>
      </c>
      <c r="J171">
        <v>-4.3532941727685411E-4</v>
      </c>
      <c r="L171" s="98"/>
      <c r="M171" s="98">
        <v>2.6614452041582859</v>
      </c>
      <c r="N171" s="93">
        <v>9.765625E-4</v>
      </c>
      <c r="O171" s="93">
        <f t="shared" si="2"/>
        <v>0.17333984375</v>
      </c>
    </row>
    <row r="172" spans="1:15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5.88298296807407</v>
      </c>
      <c r="H172">
        <v>3.0754687499999999E-4</v>
      </c>
      <c r="I172">
        <v>-0.82193050419982605</v>
      </c>
      <c r="J172">
        <v>-2.5278215803383087E-4</v>
      </c>
      <c r="L172" s="98"/>
      <c r="M172" s="98">
        <v>2.6614452041582859</v>
      </c>
      <c r="N172" s="93">
        <v>4.8828125E-4</v>
      </c>
      <c r="O172" s="93">
        <f t="shared" si="2"/>
        <v>0.173828125</v>
      </c>
    </row>
    <row r="173" spans="1:15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1.6808522765925888</v>
      </c>
      <c r="H173">
        <v>3.652119140625E-4</v>
      </c>
      <c r="I173">
        <v>-0.94551227424286077</v>
      </c>
      <c r="J173">
        <v>-3.4531234744582262E-4</v>
      </c>
      <c r="L173" s="98"/>
      <c r="M173" s="98">
        <v>2.6765743725576416</v>
      </c>
      <c r="N173" s="93">
        <v>1.953125E-3</v>
      </c>
      <c r="O173" s="93">
        <f t="shared" si="2"/>
        <v>0.17578125</v>
      </c>
    </row>
    <row r="174" spans="1:15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5.0425568297777739</v>
      </c>
      <c r="H174">
        <v>7.7100292968749996E-4</v>
      </c>
      <c r="I174">
        <v>-0.84528179022621674</v>
      </c>
      <c r="J174">
        <v>-6.5171473667590784E-4</v>
      </c>
      <c r="L174" s="98"/>
      <c r="M174" s="98">
        <v>2.6765743725576416</v>
      </c>
      <c r="N174" s="93">
        <v>3.90625E-3</v>
      </c>
      <c r="O174" s="93">
        <f t="shared" si="2"/>
        <v>0.1796875</v>
      </c>
    </row>
    <row r="175" spans="1:15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7.5638352446666604</v>
      </c>
      <c r="H175">
        <v>4.8694921874999997E-4</v>
      </c>
      <c r="I175">
        <v>-0.77714538029555869</v>
      </c>
      <c r="J175">
        <v>-3.7843033579009394E-4</v>
      </c>
      <c r="L175" s="98"/>
      <c r="M175" s="98">
        <v>2.6765743725576416</v>
      </c>
      <c r="N175" s="93">
        <v>1.953125E-3</v>
      </c>
      <c r="O175" s="93">
        <f t="shared" si="2"/>
        <v>0.181640625</v>
      </c>
    </row>
    <row r="176" spans="1:15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0.84042613829629575</v>
      </c>
      <c r="H176">
        <v>7.7100292968749996E-4</v>
      </c>
      <c r="I176">
        <v>-0.97237455450194743</v>
      </c>
      <c r="J176">
        <v>-7.4970363027457906E-4</v>
      </c>
      <c r="L176" s="98"/>
      <c r="M176" s="98">
        <v>2.6800567090824772</v>
      </c>
      <c r="N176" s="93">
        <v>4.8828125E-4</v>
      </c>
      <c r="O176" s="93">
        <f t="shared" si="2"/>
        <v>0.18212890625</v>
      </c>
    </row>
    <row r="177" spans="1:15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4.2021306914814804</v>
      </c>
      <c r="H177">
        <v>1.6276728515624999E-3</v>
      </c>
      <c r="I177">
        <v>-0.86929649311851032</v>
      </c>
      <c r="J177">
        <v>-1.4149303018074868E-3</v>
      </c>
      <c r="L177" s="98"/>
      <c r="M177" s="98">
        <v>2.6800567090824772</v>
      </c>
      <c r="N177" s="93">
        <v>9.765625E-4</v>
      </c>
      <c r="O177" s="93">
        <f t="shared" si="2"/>
        <v>0.18310546875</v>
      </c>
    </row>
    <row r="178" spans="1:15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6.7234091063703678</v>
      </c>
      <c r="H178">
        <v>1.0280039062499999E-3</v>
      </c>
      <c r="I178">
        <v>-0.7992243078528668</v>
      </c>
      <c r="J178">
        <v>-8.2160571044269956E-4</v>
      </c>
      <c r="L178" s="98"/>
      <c r="M178" s="98">
        <v>2.6800567090824772</v>
      </c>
      <c r="N178" s="93">
        <v>4.8828125E-4</v>
      </c>
      <c r="O178" s="93">
        <f t="shared" si="2"/>
        <v>0.18359375</v>
      </c>
    </row>
    <row r="179" spans="1:15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4.8694921874999997E-4</v>
      </c>
      <c r="I179">
        <v>-1</v>
      </c>
      <c r="J179">
        <v>-4.8694921874999997E-4</v>
      </c>
      <c r="L179" s="98"/>
      <c r="M179" s="98">
        <v>2.8540413662347963</v>
      </c>
      <c r="N179" s="93">
        <v>9.765625E-4</v>
      </c>
      <c r="O179" s="93">
        <f t="shared" si="2"/>
        <v>0.1845703125</v>
      </c>
    </row>
    <row r="180" spans="1:15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3.3617045531851804</v>
      </c>
      <c r="H180">
        <v>1.0280039062499999E-3</v>
      </c>
      <c r="I180">
        <v>-0.89399346074390662</v>
      </c>
      <c r="J180">
        <v>-9.1902876980669203E-4</v>
      </c>
      <c r="L180" s="98"/>
      <c r="M180" s="98">
        <v>2.8540413662347963</v>
      </c>
      <c r="N180" s="93">
        <v>1.953125E-3</v>
      </c>
      <c r="O180" s="93">
        <f t="shared" si="2"/>
        <v>0.1865234375</v>
      </c>
    </row>
    <row r="181" spans="1:15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5.88298296807407</v>
      </c>
      <c r="H181">
        <v>6.4926562499999999E-4</v>
      </c>
      <c r="I181">
        <v>-0.82193050419982605</v>
      </c>
      <c r="J181">
        <v>-5.3365122251586522E-4</v>
      </c>
      <c r="L181" s="98"/>
      <c r="M181" s="98">
        <v>2.8540413662347963</v>
      </c>
      <c r="N181" s="93">
        <v>9.765625E-4</v>
      </c>
      <c r="O181" s="93">
        <f t="shared" si="2"/>
        <v>0.1875</v>
      </c>
    </row>
    <row r="182" spans="1:15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1.6808522765925888</v>
      </c>
      <c r="H182">
        <v>2.3066015625000002E-4</v>
      </c>
      <c r="I182">
        <v>-0.94551227424286077</v>
      </c>
      <c r="J182">
        <v>-2.1809200891315114E-4</v>
      </c>
      <c r="L182" s="98"/>
      <c r="M182" s="98">
        <v>2.9033947681726828</v>
      </c>
      <c r="N182" s="93">
        <v>4.8828125E-4</v>
      </c>
      <c r="O182" s="93">
        <f t="shared" si="2"/>
        <v>0.18798828125</v>
      </c>
    </row>
    <row r="183" spans="1:15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5.0425568297777739</v>
      </c>
      <c r="H183">
        <v>4.8694921874999997E-4</v>
      </c>
      <c r="I183">
        <v>-0.84528179022621674</v>
      </c>
      <c r="J183">
        <v>-4.1160930737425762E-4</v>
      </c>
      <c r="L183" s="98"/>
      <c r="M183" s="98">
        <v>2.9033947681726828</v>
      </c>
      <c r="N183" s="93">
        <v>9.765625E-4</v>
      </c>
      <c r="O183" s="93">
        <f t="shared" si="2"/>
        <v>0.18896484375</v>
      </c>
    </row>
    <row r="184" spans="1:15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7.5638352446666604</v>
      </c>
      <c r="H184">
        <v>3.0754687499999999E-4</v>
      </c>
      <c r="I184">
        <v>-0.77714538029555869</v>
      </c>
      <c r="J184">
        <v>-2.3900863313058564E-4</v>
      </c>
      <c r="L184" s="98"/>
      <c r="M184" s="98">
        <v>2.9033947681726828</v>
      </c>
      <c r="N184" s="93">
        <v>4.8828125E-4</v>
      </c>
      <c r="O184" s="93">
        <f t="shared" si="2"/>
        <v>0.189453125</v>
      </c>
    </row>
    <row r="185" spans="1:15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0.84042613829629575</v>
      </c>
      <c r="H185">
        <v>4.8694921874999997E-4</v>
      </c>
      <c r="I185">
        <v>-0.97237455450194743</v>
      </c>
      <c r="J185">
        <v>-4.7349702964710256E-4</v>
      </c>
      <c r="L185" s="98"/>
      <c r="M185" s="98">
        <v>2.9778407878694191</v>
      </c>
      <c r="N185" s="93">
        <v>1.953125E-3</v>
      </c>
      <c r="O185" s="93">
        <f t="shared" si="2"/>
        <v>0.19140625</v>
      </c>
    </row>
    <row r="186" spans="1:15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4.2021306914814804</v>
      </c>
      <c r="H186">
        <v>1.0280039062499999E-3</v>
      </c>
      <c r="I186">
        <v>-0.86929649311851032</v>
      </c>
      <c r="J186">
        <v>-8.9364019061525482E-4</v>
      </c>
      <c r="L186" s="98"/>
      <c r="M186" s="98">
        <v>2.9778407878694191</v>
      </c>
      <c r="N186" s="93">
        <v>3.90625E-3</v>
      </c>
      <c r="O186" s="93">
        <f t="shared" si="2"/>
        <v>0.1953125</v>
      </c>
    </row>
    <row r="187" spans="1:15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6.7234091063703678</v>
      </c>
      <c r="H187">
        <v>6.4926562499999999E-4</v>
      </c>
      <c r="I187">
        <v>-0.7992243078528668</v>
      </c>
      <c r="J187">
        <v>-5.1890886975328393E-4</v>
      </c>
      <c r="L187" s="98"/>
      <c r="M187" s="98">
        <v>2.9778407878694191</v>
      </c>
      <c r="N187" s="93">
        <v>1.953125E-3</v>
      </c>
      <c r="O187" s="93">
        <f t="shared" si="2"/>
        <v>0.197265625</v>
      </c>
    </row>
    <row r="188" spans="1:15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3.0754687500000004E-4</v>
      </c>
      <c r="I188">
        <v>-1</v>
      </c>
      <c r="J188">
        <v>-3.0754687500000004E-4</v>
      </c>
      <c r="L188" s="98"/>
      <c r="M188" s="98">
        <v>2.9778407878694204</v>
      </c>
      <c r="N188" s="93">
        <v>9.765625E-4</v>
      </c>
      <c r="O188" s="93">
        <f t="shared" si="2"/>
        <v>0.1982421875</v>
      </c>
    </row>
    <row r="189" spans="1:15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3.3617045531851804</v>
      </c>
      <c r="H189">
        <v>6.4926562499999999E-4</v>
      </c>
      <c r="I189">
        <v>-0.89399346074390662</v>
      </c>
      <c r="J189">
        <v>-5.8043922303580551E-4</v>
      </c>
      <c r="L189" s="98"/>
      <c r="M189" s="98">
        <v>2.9778407878694204</v>
      </c>
      <c r="N189" s="93">
        <v>1.953125E-3</v>
      </c>
      <c r="O189" s="93">
        <f t="shared" si="2"/>
        <v>0.2001953125</v>
      </c>
    </row>
    <row r="190" spans="1:15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5.88298296807407</v>
      </c>
      <c r="H190">
        <v>4.100625E-4</v>
      </c>
      <c r="I190">
        <v>-0.82193050419982605</v>
      </c>
      <c r="J190">
        <v>-3.3704287737844118E-4</v>
      </c>
      <c r="L190" s="98"/>
      <c r="M190" s="98">
        <v>2.9778407878694204</v>
      </c>
      <c r="N190" s="93">
        <v>9.765625E-4</v>
      </c>
      <c r="O190" s="93">
        <f t="shared" si="2"/>
        <v>0.201171875</v>
      </c>
    </row>
    <row r="191" spans="1:15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2.0687412634985751</v>
      </c>
      <c r="H191">
        <v>3.652119140625E-4</v>
      </c>
      <c r="I191">
        <v>-0.93336584131175637</v>
      </c>
      <c r="J191">
        <v>-3.4087632542602217E-4</v>
      </c>
      <c r="L191" s="98"/>
      <c r="M191" s="98">
        <v>3.0929303860666124</v>
      </c>
      <c r="N191" s="93">
        <v>9.765625E-4</v>
      </c>
      <c r="O191" s="93">
        <f t="shared" si="2"/>
        <v>0.2021484375</v>
      </c>
    </row>
    <row r="192" spans="1:15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6.2062237904957227</v>
      </c>
      <c r="H192">
        <v>7.7100292968749996E-4</v>
      </c>
      <c r="I192">
        <v>-0.81312199417963593</v>
      </c>
      <c r="J192">
        <v>-6.2691943970584159E-4</v>
      </c>
      <c r="L192" s="98"/>
      <c r="M192" s="98">
        <v>3.0929303860666124</v>
      </c>
      <c r="N192" s="93">
        <v>1.953125E-3</v>
      </c>
      <c r="O192" s="93">
        <f t="shared" si="2"/>
        <v>0.2041015625</v>
      </c>
    </row>
    <row r="193" spans="1:15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9.3093356857435818</v>
      </c>
      <c r="H193">
        <v>4.8694921874999997E-4</v>
      </c>
      <c r="I193">
        <v>-0.73321875072394826</v>
      </c>
      <c r="J193">
        <v>-3.5704029783787761E-4</v>
      </c>
      <c r="L193" s="98"/>
      <c r="M193" s="98">
        <v>3.0929303860666124</v>
      </c>
      <c r="N193" s="93">
        <v>9.765625E-4</v>
      </c>
      <c r="O193" s="93">
        <f t="shared" si="2"/>
        <v>0.205078125</v>
      </c>
    </row>
    <row r="194" spans="1:15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1.0343706317492853</v>
      </c>
      <c r="H194">
        <v>7.7100292968749996E-4</v>
      </c>
      <c r="I194">
        <v>-0.96610860741003468</v>
      </c>
      <c r="J194">
        <v>-7.4487256670944743E-4</v>
      </c>
      <c r="L194" s="98"/>
      <c r="M194" s="98">
        <v>3.2570248666563648</v>
      </c>
      <c r="N194" s="93">
        <v>9.765625E-4</v>
      </c>
      <c r="O194" s="93">
        <f t="shared" si="2"/>
        <v>0.2060546875</v>
      </c>
    </row>
    <row r="195" spans="1:15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5.1718531587464351</v>
      </c>
      <c r="H195">
        <v>1.6276728515624999E-3</v>
      </c>
      <c r="I195">
        <v>-0.84164656845307639</v>
      </c>
      <c r="J195">
        <v>-1.3699252700818117E-3</v>
      </c>
      <c r="L195" s="98"/>
      <c r="M195" s="98">
        <v>3.2570248666563648</v>
      </c>
      <c r="N195" s="93">
        <v>1.953125E-3</v>
      </c>
      <c r="O195" s="93">
        <f t="shared" si="2"/>
        <v>0.2080078125</v>
      </c>
    </row>
    <row r="196" spans="1:15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8.2749650539942952</v>
      </c>
      <c r="H196">
        <v>1.0280039062499999E-3</v>
      </c>
      <c r="I196">
        <v>-0.75894029418656905</v>
      </c>
      <c r="J196">
        <v>-7.8019358703431709E-4</v>
      </c>
      <c r="L196" s="98"/>
      <c r="M196" s="98">
        <v>3.2570248666563648</v>
      </c>
      <c r="N196" s="93">
        <v>9.765625E-4</v>
      </c>
      <c r="O196" s="93">
        <f t="shared" ref="O196:O259" si="3">N196+O195</f>
        <v>0.208984375</v>
      </c>
    </row>
    <row r="197" spans="1:15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4.8694921874999997E-4</v>
      </c>
      <c r="I197">
        <v>-1</v>
      </c>
      <c r="J197">
        <v>-4.8694921874999997E-4</v>
      </c>
      <c r="L197" s="98"/>
      <c r="M197" s="98">
        <v>3.3500708863530946</v>
      </c>
      <c r="N197" s="93">
        <v>4.8828125E-4</v>
      </c>
      <c r="O197" s="93">
        <f t="shared" si="3"/>
        <v>0.20947265625</v>
      </c>
    </row>
    <row r="198" spans="1:15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4.1374825269971502</v>
      </c>
      <c r="H198">
        <v>1.0280039062499999E-3</v>
      </c>
      <c r="I198">
        <v>-0.87117179372760278</v>
      </c>
      <c r="J198">
        <v>-8.9556800696679489E-4</v>
      </c>
      <c r="L198" s="98"/>
      <c r="M198" s="98">
        <v>3.3500708863530946</v>
      </c>
      <c r="N198" s="93">
        <v>9.765625E-4</v>
      </c>
      <c r="O198" s="93">
        <f t="shared" si="3"/>
        <v>0.21044921875</v>
      </c>
    </row>
    <row r="199" spans="1:15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7.2405944222450067</v>
      </c>
      <c r="H199">
        <v>6.4926562499999999E-4</v>
      </c>
      <c r="I199">
        <v>-0.78556415745135844</v>
      </c>
      <c r="J199">
        <v>-5.1003980366525468E-4</v>
      </c>
      <c r="L199" s="98"/>
      <c r="M199" s="98">
        <v>3.3500708863530946</v>
      </c>
      <c r="N199" s="93">
        <v>4.8828125E-4</v>
      </c>
      <c r="O199" s="93">
        <f t="shared" si="3"/>
        <v>0.2109375</v>
      </c>
    </row>
    <row r="200" spans="1:15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2.0687412634985751</v>
      </c>
      <c r="H200">
        <v>7.7100292968750007E-4</v>
      </c>
      <c r="I200">
        <v>-0.93336584131175637</v>
      </c>
      <c r="J200">
        <v>-7.1962779812160247E-4</v>
      </c>
      <c r="L200" s="98"/>
      <c r="M200" s="98">
        <v>3.3500708863530968</v>
      </c>
      <c r="N200" s="93">
        <v>9.765625E-4</v>
      </c>
      <c r="O200" s="93">
        <f t="shared" si="3"/>
        <v>0.2119140625</v>
      </c>
    </row>
    <row r="201" spans="1:15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6.2062237904957227</v>
      </c>
      <c r="H201">
        <v>1.6276728515625001E-3</v>
      </c>
      <c r="I201">
        <v>-0.81312199417963593</v>
      </c>
      <c r="J201">
        <v>-1.3234965949345547E-3</v>
      </c>
      <c r="L201" s="98"/>
      <c r="M201" s="98">
        <v>3.3500708863530968</v>
      </c>
      <c r="N201" s="93">
        <v>1.953125E-3</v>
      </c>
      <c r="O201" s="93">
        <f t="shared" si="3"/>
        <v>0.2138671875</v>
      </c>
    </row>
    <row r="202" spans="1:15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9.3093356857435818</v>
      </c>
      <c r="H202">
        <v>1.0280039062499999E-3</v>
      </c>
      <c r="I202">
        <v>-0.73321875072394826</v>
      </c>
      <c r="J202">
        <v>-7.5375173987996381E-4</v>
      </c>
      <c r="L202" s="98"/>
      <c r="M202" s="98">
        <v>3.3500708863530968</v>
      </c>
      <c r="N202" s="93">
        <v>9.765625E-4</v>
      </c>
      <c r="O202" s="93">
        <f t="shared" si="3"/>
        <v>0.21484375</v>
      </c>
    </row>
    <row r="203" spans="1:15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1.0343706317492853</v>
      </c>
      <c r="H203">
        <v>1.6276728515624999E-3</v>
      </c>
      <c r="I203">
        <v>-0.96610860741003468</v>
      </c>
      <c r="J203">
        <v>-1.572508751942167E-3</v>
      </c>
      <c r="L203" s="98"/>
      <c r="M203" s="98">
        <v>3.3617045531851804</v>
      </c>
      <c r="N203" s="93">
        <v>4.8828125E-4</v>
      </c>
      <c r="O203" s="93">
        <f t="shared" si="3"/>
        <v>0.21533203125</v>
      </c>
    </row>
    <row r="204" spans="1:15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5.1718531587464351</v>
      </c>
      <c r="H204">
        <v>3.4361982421874998E-3</v>
      </c>
      <c r="I204">
        <v>-0.84164656845307639</v>
      </c>
      <c r="J204">
        <v>-2.8920644590616023E-3</v>
      </c>
      <c r="L204" s="98"/>
      <c r="M204" s="98">
        <v>3.3617045531851804</v>
      </c>
      <c r="N204" s="93">
        <v>9.765625E-4</v>
      </c>
      <c r="O204" s="93">
        <f t="shared" si="3"/>
        <v>0.21630859375</v>
      </c>
    </row>
    <row r="205" spans="1:15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8.2749650539942952</v>
      </c>
      <c r="H205">
        <v>2.1702304687499997E-3</v>
      </c>
      <c r="I205">
        <v>-0.75894029418656905</v>
      </c>
      <c r="J205">
        <v>-1.6470753504057804E-3</v>
      </c>
      <c r="L205" s="98"/>
      <c r="M205" s="98">
        <v>3.3617045531851804</v>
      </c>
      <c r="N205" s="93">
        <v>4.8828125E-4</v>
      </c>
      <c r="O205" s="93">
        <f t="shared" si="3"/>
        <v>0.216796875</v>
      </c>
    </row>
    <row r="206" spans="1:15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1.0280039062499999E-3</v>
      </c>
      <c r="I206">
        <v>-1</v>
      </c>
      <c r="J206">
        <v>-1.0280039062499999E-3</v>
      </c>
      <c r="L206" s="98"/>
      <c r="M206" s="98">
        <v>3.3872938962014643</v>
      </c>
      <c r="N206" s="93">
        <v>2.44140625E-4</v>
      </c>
      <c r="O206" s="93">
        <f t="shared" si="3"/>
        <v>0.217041015625</v>
      </c>
    </row>
    <row r="207" spans="1:15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4.1374825269971502</v>
      </c>
      <c r="H207">
        <v>2.1702304687499997E-3</v>
      </c>
      <c r="I207">
        <v>-0.87117179372760278</v>
      </c>
      <c r="J207">
        <v>-1.8906435702632336E-3</v>
      </c>
      <c r="L207" s="98"/>
      <c r="M207" s="98">
        <v>3.3872938962014643</v>
      </c>
      <c r="N207" s="93">
        <v>4.8828125E-4</v>
      </c>
      <c r="O207" s="93">
        <f t="shared" si="3"/>
        <v>0.217529296875</v>
      </c>
    </row>
    <row r="208" spans="1:15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7.2405944222450067</v>
      </c>
      <c r="H208">
        <v>1.3706718749999999E-3</v>
      </c>
      <c r="I208">
        <v>-0.78556415745135844</v>
      </c>
      <c r="J208">
        <v>-1.0767506966266485E-3</v>
      </c>
      <c r="L208" s="98"/>
      <c r="M208" s="98">
        <v>3.3872938962014643</v>
      </c>
      <c r="N208" s="93">
        <v>2.44140625E-4</v>
      </c>
      <c r="O208" s="93">
        <f t="shared" si="3"/>
        <v>0.2177734375</v>
      </c>
    </row>
    <row r="209" spans="1:15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2.0687412634985751</v>
      </c>
      <c r="H209">
        <v>4.8694921875000008E-4</v>
      </c>
      <c r="I209">
        <v>-0.93336584131175637</v>
      </c>
      <c r="J209">
        <v>-4.545017672346963E-4</v>
      </c>
      <c r="L209" s="98"/>
      <c r="M209" s="98">
        <v>3.5232151320528735</v>
      </c>
      <c r="N209" s="93">
        <v>4.8828125E-4</v>
      </c>
      <c r="O209" s="93">
        <f t="shared" si="3"/>
        <v>0.21826171875</v>
      </c>
    </row>
    <row r="210" spans="1:15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6.2062237904957227</v>
      </c>
      <c r="H210">
        <v>1.0280039062500002E-3</v>
      </c>
      <c r="I210">
        <v>-0.81312199417963593</v>
      </c>
      <c r="J210">
        <v>-8.358925862744556E-4</v>
      </c>
      <c r="L210" s="98"/>
      <c r="M210" s="98">
        <v>3.5232151320528735</v>
      </c>
      <c r="N210" s="93">
        <v>9.765625E-4</v>
      </c>
      <c r="O210" s="93">
        <f t="shared" si="3"/>
        <v>0.21923828125</v>
      </c>
    </row>
    <row r="211" spans="1:15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9.3093356857435818</v>
      </c>
      <c r="H211">
        <v>6.492656250000001E-4</v>
      </c>
      <c r="I211">
        <v>-0.73321875072394826</v>
      </c>
      <c r="J211">
        <v>-4.7605373045050357E-4</v>
      </c>
      <c r="L211" s="98"/>
      <c r="M211" s="98">
        <v>3.5232151320528735</v>
      </c>
      <c r="N211" s="93">
        <v>4.8828125E-4</v>
      </c>
      <c r="O211" s="93">
        <f t="shared" si="3"/>
        <v>0.2197265625</v>
      </c>
    </row>
    <row r="212" spans="1:15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1.0343706317492853</v>
      </c>
      <c r="H212">
        <v>1.0280039062499999E-3</v>
      </c>
      <c r="I212">
        <v>-0.96610860741003468</v>
      </c>
      <c r="J212">
        <v>-9.9316342227926324E-4</v>
      </c>
      <c r="L212" s="98"/>
      <c r="M212" s="98">
        <v>3.5734089454433042</v>
      </c>
      <c r="N212" s="93">
        <v>9.765625E-4</v>
      </c>
      <c r="O212" s="93">
        <f t="shared" si="3"/>
        <v>0.220703125</v>
      </c>
    </row>
    <row r="213" spans="1:15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5.1718531587464351</v>
      </c>
      <c r="H213">
        <v>2.1702304687499997E-3</v>
      </c>
      <c r="I213">
        <v>-0.84164656845307639</v>
      </c>
      <c r="J213">
        <v>-1.8265670267757488E-3</v>
      </c>
      <c r="L213" s="98"/>
      <c r="M213" s="98">
        <v>3.5734089454433042</v>
      </c>
      <c r="N213" s="93">
        <v>1.953125E-3</v>
      </c>
      <c r="O213" s="93">
        <f t="shared" si="3"/>
        <v>0.22265625</v>
      </c>
    </row>
    <row r="214" spans="1:15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8.2749650539942952</v>
      </c>
      <c r="H214">
        <v>1.3706718749999999E-3</v>
      </c>
      <c r="I214">
        <v>-0.75894029418656905</v>
      </c>
      <c r="J214">
        <v>-1.0402581160457562E-3</v>
      </c>
      <c r="L214" s="98"/>
      <c r="M214" s="98">
        <v>3.5734089454433042</v>
      </c>
      <c r="N214" s="93">
        <v>9.765625E-4</v>
      </c>
      <c r="O214" s="93">
        <f t="shared" si="3"/>
        <v>0.2236328125</v>
      </c>
    </row>
    <row r="215" spans="1:15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6.492656250000001E-4</v>
      </c>
      <c r="I215">
        <v>-1</v>
      </c>
      <c r="J215">
        <v>-6.492656250000001E-4</v>
      </c>
      <c r="L215" s="98"/>
      <c r="M215" s="98">
        <v>3.6699535247005088</v>
      </c>
      <c r="N215" s="93">
        <v>9.765625E-4</v>
      </c>
      <c r="O215" s="93">
        <f t="shared" si="3"/>
        <v>0.224609375</v>
      </c>
    </row>
    <row r="216" spans="1:15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4.1374825269971502</v>
      </c>
      <c r="H216">
        <v>1.3706718749999999E-3</v>
      </c>
      <c r="I216">
        <v>-0.87117179372760278</v>
      </c>
      <c r="J216">
        <v>-1.1940906759557266E-3</v>
      </c>
      <c r="L216" s="98"/>
      <c r="M216" s="98">
        <v>3.6699535247005088</v>
      </c>
      <c r="N216" s="93">
        <v>1.953125E-3</v>
      </c>
      <c r="O216" s="93">
        <f t="shared" si="3"/>
        <v>0.2265625</v>
      </c>
    </row>
    <row r="217" spans="1:15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7.2405944222450067</v>
      </c>
      <c r="H217">
        <v>8.6568750000000003E-4</v>
      </c>
      <c r="I217">
        <v>-0.78556415745135844</v>
      </c>
      <c r="J217">
        <v>-6.8005307155367283E-4</v>
      </c>
      <c r="L217" s="98"/>
      <c r="M217" s="98">
        <v>3.6699535247005088</v>
      </c>
      <c r="N217" s="93">
        <v>9.765625E-4</v>
      </c>
      <c r="O217" s="93">
        <f t="shared" si="3"/>
        <v>0.2275390625</v>
      </c>
    </row>
    <row r="218" spans="1:15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2.3273339214358928</v>
      </c>
      <c r="H218">
        <v>2.3066015625000002E-4</v>
      </c>
      <c r="I218">
        <v>-0.92535503139812014</v>
      </c>
      <c r="J218">
        <v>-2.1344253612901406E-4</v>
      </c>
      <c r="L218" s="98"/>
      <c r="M218" s="98">
        <v>3.6945813024782841</v>
      </c>
      <c r="N218" s="93">
        <v>4.8828125E-4</v>
      </c>
      <c r="O218" s="93">
        <f t="shared" si="3"/>
        <v>0.22802734375</v>
      </c>
    </row>
    <row r="219" spans="1:15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6.9820017643076868</v>
      </c>
      <c r="H219">
        <v>4.8694921874999997E-4</v>
      </c>
      <c r="I219">
        <v>-0.79236479604603993</v>
      </c>
      <c r="J219">
        <v>-3.8584141839962223E-4</v>
      </c>
      <c r="L219" s="98"/>
      <c r="M219" s="98">
        <v>3.6945813024782841</v>
      </c>
      <c r="N219" s="93">
        <v>9.765625E-4</v>
      </c>
      <c r="O219" s="93">
        <f t="shared" si="3"/>
        <v>0.22900390625</v>
      </c>
    </row>
    <row r="220" spans="1:15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10.473002646461527</v>
      </c>
      <c r="H220">
        <v>3.0754687499999999E-4</v>
      </c>
      <c r="I220">
        <v>-0.70532253226347452</v>
      </c>
      <c r="J220">
        <v>-2.1691974066471827E-4</v>
      </c>
      <c r="L220" s="98"/>
      <c r="M220" s="98">
        <v>3.6945813024782841</v>
      </c>
      <c r="N220" s="93">
        <v>4.8828125E-4</v>
      </c>
      <c r="O220" s="93">
        <f t="shared" si="3"/>
        <v>0.2294921875</v>
      </c>
    </row>
    <row r="221" spans="1:15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1.1636669607179451</v>
      </c>
      <c r="H221">
        <v>4.8694921874999997E-4</v>
      </c>
      <c r="I221">
        <v>-0.9619537574115089</v>
      </c>
      <c r="J221">
        <v>-4.6842263064516128E-4</v>
      </c>
      <c r="L221" s="98"/>
      <c r="M221" s="98">
        <v>3.8066835520819877</v>
      </c>
      <c r="N221" s="93">
        <v>1.953125E-3</v>
      </c>
      <c r="O221" s="93">
        <f t="shared" si="3"/>
        <v>0.2314453125</v>
      </c>
    </row>
    <row r="222" spans="1:15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5.8183348035897424</v>
      </c>
      <c r="H222">
        <v>1.0280039062499999E-3</v>
      </c>
      <c r="I222">
        <v>-0.82370362394361807</v>
      </c>
      <c r="J222">
        <v>-8.4677054300632041E-4</v>
      </c>
      <c r="L222" s="98"/>
      <c r="M222" s="98">
        <v>3.8066835520819877</v>
      </c>
      <c r="N222" s="93">
        <v>3.90625E-3</v>
      </c>
      <c r="O222" s="93">
        <f t="shared" si="3"/>
        <v>0.2353515625</v>
      </c>
    </row>
    <row r="223" spans="1:15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9.3093356857435818</v>
      </c>
      <c r="H223">
        <v>6.4926562499999999E-4</v>
      </c>
      <c r="I223">
        <v>-0.73321875072394826</v>
      </c>
      <c r="J223">
        <v>-4.7605373045050346E-4</v>
      </c>
      <c r="L223" s="98"/>
      <c r="M223" s="98">
        <v>3.8066835520819877</v>
      </c>
      <c r="N223" s="93">
        <v>1.953125E-3</v>
      </c>
      <c r="O223" s="93">
        <f t="shared" si="3"/>
        <v>0.2373046875</v>
      </c>
    </row>
    <row r="224" spans="1:15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3.0754687500000004E-4</v>
      </c>
      <c r="I224">
        <v>-1</v>
      </c>
      <c r="J224">
        <v>-3.0754687500000004E-4</v>
      </c>
      <c r="L224" s="98"/>
      <c r="M224" s="98">
        <v>3.819109929021486</v>
      </c>
      <c r="N224" s="93">
        <v>1.953125E-3</v>
      </c>
      <c r="O224" s="93">
        <f t="shared" si="3"/>
        <v>0.2392578125</v>
      </c>
    </row>
    <row r="225" spans="1:15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4.65466784287179</v>
      </c>
      <c r="H225">
        <v>6.4926562499999999E-4</v>
      </c>
      <c r="I225">
        <v>-0.8562819341338157</v>
      </c>
      <c r="J225">
        <v>-5.5595442514160063E-4</v>
      </c>
      <c r="L225" s="98"/>
      <c r="M225" s="98">
        <v>3.819109929021486</v>
      </c>
      <c r="N225" s="93">
        <v>3.90625E-3</v>
      </c>
      <c r="O225" s="93">
        <f t="shared" si="3"/>
        <v>0.2431640625</v>
      </c>
    </row>
    <row r="226" spans="1:15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8.1456687250256294</v>
      </c>
      <c r="H226">
        <v>4.100625E-4</v>
      </c>
      <c r="I226">
        <v>-0.76221829279709208</v>
      </c>
      <c r="J226">
        <v>-3.1255713869010756E-4</v>
      </c>
      <c r="L226" s="98"/>
      <c r="M226" s="98">
        <v>3.819109929021486</v>
      </c>
      <c r="N226" s="93">
        <v>1.953125E-3</v>
      </c>
      <c r="O226" s="93">
        <f t="shared" si="3"/>
        <v>0.2451171875</v>
      </c>
    </row>
    <row r="227" spans="1:15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2.3273339214358928</v>
      </c>
      <c r="H227">
        <v>4.8694921875000008E-4</v>
      </c>
      <c r="I227">
        <v>-0.92535503139812014</v>
      </c>
      <c r="J227">
        <v>-4.5060090960569638E-4</v>
      </c>
      <c r="L227" s="98"/>
      <c r="M227" s="98">
        <v>3.819109929021486</v>
      </c>
      <c r="N227" s="93">
        <v>9.765625E-4</v>
      </c>
      <c r="O227" s="93">
        <f t="shared" si="3"/>
        <v>0.24609375</v>
      </c>
    </row>
    <row r="228" spans="1:15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6.9820017643076868</v>
      </c>
      <c r="H228">
        <v>1.0280039062500002E-3</v>
      </c>
      <c r="I228">
        <v>-0.79236479604603993</v>
      </c>
      <c r="J228">
        <v>-8.145541055103137E-4</v>
      </c>
      <c r="L228" s="98"/>
      <c r="M228" s="98">
        <v>3.819109929021486</v>
      </c>
      <c r="N228" s="93">
        <v>1.953125E-3</v>
      </c>
      <c r="O228" s="93">
        <f t="shared" si="3"/>
        <v>0.248046875</v>
      </c>
    </row>
    <row r="229" spans="1:15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10.473002646461527</v>
      </c>
      <c r="H229">
        <v>6.492656250000001E-4</v>
      </c>
      <c r="I229">
        <v>-0.70532253226347452</v>
      </c>
      <c r="J229">
        <v>-4.5794167473662753E-4</v>
      </c>
      <c r="L229" s="98"/>
      <c r="M229" s="98">
        <v>3.819109929021486</v>
      </c>
      <c r="N229" s="93">
        <v>9.765625E-4</v>
      </c>
      <c r="O229" s="93">
        <f t="shared" si="3"/>
        <v>0.2490234375</v>
      </c>
    </row>
    <row r="230" spans="1:15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1.1636669607179451</v>
      </c>
      <c r="H230">
        <v>1.0280039062499999E-3</v>
      </c>
      <c r="I230">
        <v>-0.9619537574115089</v>
      </c>
      <c r="J230">
        <v>-9.8889222025089598E-4</v>
      </c>
      <c r="L230" s="98"/>
      <c r="M230" s="98">
        <v>3.819109929021486</v>
      </c>
      <c r="N230" s="93">
        <v>9.765625E-4</v>
      </c>
      <c r="O230" s="93">
        <f t="shared" si="3"/>
        <v>0.25</v>
      </c>
    </row>
    <row r="231" spans="1:15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5.8183348035897424</v>
      </c>
      <c r="H231">
        <v>2.1702304687499997E-3</v>
      </c>
      <c r="I231">
        <v>-0.82370362394361807</v>
      </c>
      <c r="J231">
        <v>-1.7876267019022317E-3</v>
      </c>
      <c r="L231" s="98"/>
      <c r="M231" s="98">
        <v>3.819109929021486</v>
      </c>
      <c r="N231" s="93">
        <v>1.953125E-3</v>
      </c>
      <c r="O231" s="93">
        <f t="shared" si="3"/>
        <v>0.251953125</v>
      </c>
    </row>
    <row r="232" spans="1:15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9.3093356857435818</v>
      </c>
      <c r="H232">
        <v>1.3706718749999999E-3</v>
      </c>
      <c r="I232">
        <v>-0.73321875072394826</v>
      </c>
      <c r="J232">
        <v>-1.0050023198399517E-3</v>
      </c>
      <c r="L232" s="98"/>
      <c r="M232" s="98">
        <v>3.819109929021486</v>
      </c>
      <c r="N232" s="93">
        <v>9.765625E-4</v>
      </c>
      <c r="O232" s="93">
        <f t="shared" si="3"/>
        <v>0.2529296875</v>
      </c>
    </row>
    <row r="233" spans="1:15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6.492656250000001E-4</v>
      </c>
      <c r="I233">
        <v>-1</v>
      </c>
      <c r="J233">
        <v>-6.492656250000001E-4</v>
      </c>
      <c r="L233" s="98"/>
      <c r="M233" s="98">
        <v>3.819109929021486</v>
      </c>
      <c r="N233" s="93">
        <v>4.8828125E-4</v>
      </c>
      <c r="O233" s="93">
        <f t="shared" si="3"/>
        <v>0.25341796875</v>
      </c>
    </row>
    <row r="234" spans="1:15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4.65466784287179</v>
      </c>
      <c r="H234">
        <v>1.3706718749999999E-3</v>
      </c>
      <c r="I234">
        <v>-0.8562819341338157</v>
      </c>
      <c r="J234">
        <v>-1.1736815641878236E-3</v>
      </c>
      <c r="L234" s="98"/>
      <c r="M234" s="98">
        <v>3.819109929021486</v>
      </c>
      <c r="N234" s="93">
        <v>9.765625E-4</v>
      </c>
      <c r="O234" s="93">
        <f t="shared" si="3"/>
        <v>0.25439453125</v>
      </c>
    </row>
    <row r="235" spans="1:15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8.1456687250256294</v>
      </c>
      <c r="H235">
        <v>8.6568750000000003E-4</v>
      </c>
      <c r="I235">
        <v>-0.76221829279709208</v>
      </c>
      <c r="J235">
        <v>-6.5984284834578262E-4</v>
      </c>
      <c r="L235" s="98"/>
      <c r="M235" s="98">
        <v>3.819109929021486</v>
      </c>
      <c r="N235" s="93">
        <v>4.8828125E-4</v>
      </c>
      <c r="O235" s="93">
        <f t="shared" si="3"/>
        <v>0.2548828125</v>
      </c>
    </row>
    <row r="236" spans="1:15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2.3273339214358928</v>
      </c>
      <c r="H236">
        <v>3.0754687500000004E-4</v>
      </c>
      <c r="I236">
        <v>-0.92535503139812014</v>
      </c>
      <c r="J236">
        <v>-2.8459004817201877E-4</v>
      </c>
      <c r="L236" s="98"/>
      <c r="M236" s="98">
        <v>3.8661629825832633</v>
      </c>
      <c r="N236" s="93">
        <v>1.953125E-3</v>
      </c>
      <c r="O236" s="93">
        <f t="shared" si="3"/>
        <v>0.2568359375</v>
      </c>
    </row>
    <row r="237" spans="1:15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6.9820017643076868</v>
      </c>
      <c r="H237">
        <v>6.4926562499999999E-4</v>
      </c>
      <c r="I237">
        <v>-0.79236479604603993</v>
      </c>
      <c r="J237">
        <v>-5.1445522453282965E-4</v>
      </c>
      <c r="L237" s="98"/>
      <c r="M237" s="98">
        <v>3.8661629825832633</v>
      </c>
      <c r="N237" s="93">
        <v>3.90625E-3</v>
      </c>
      <c r="O237" s="93">
        <f t="shared" si="3"/>
        <v>0.2607421875</v>
      </c>
    </row>
    <row r="238" spans="1:15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10.473002646461527</v>
      </c>
      <c r="H238">
        <v>4.100625E-4</v>
      </c>
      <c r="I238">
        <v>-0.70532253226347452</v>
      </c>
      <c r="J238">
        <v>-2.8922632088629102E-4</v>
      </c>
      <c r="L238" s="98"/>
      <c r="M238" s="98">
        <v>3.8661629825832633</v>
      </c>
      <c r="N238" s="93">
        <v>1.953125E-3</v>
      </c>
      <c r="O238" s="93">
        <f t="shared" si="3"/>
        <v>0.2626953125</v>
      </c>
    </row>
    <row r="239" spans="1:15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1.1636669607179451</v>
      </c>
      <c r="H239">
        <v>6.4926562499999999E-4</v>
      </c>
      <c r="I239">
        <v>-0.9619537574115089</v>
      </c>
      <c r="J239">
        <v>-6.245635075268817E-4</v>
      </c>
      <c r="L239" s="98"/>
      <c r="M239" s="98">
        <v>3.8661629825832646</v>
      </c>
      <c r="N239" s="93">
        <v>9.765625E-4</v>
      </c>
      <c r="O239" s="93">
        <f t="shared" si="3"/>
        <v>0.263671875</v>
      </c>
    </row>
    <row r="240" spans="1:15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5.8183348035897424</v>
      </c>
      <c r="H240">
        <v>1.3706718749999997E-3</v>
      </c>
      <c r="I240">
        <v>-0.82370362394361807</v>
      </c>
      <c r="J240">
        <v>-1.1290273906750937E-3</v>
      </c>
      <c r="L240" s="98"/>
      <c r="M240" s="98">
        <v>3.8661629825832646</v>
      </c>
      <c r="N240" s="93">
        <v>1.953125E-3</v>
      </c>
      <c r="O240" s="93">
        <f t="shared" si="3"/>
        <v>0.265625</v>
      </c>
    </row>
    <row r="241" spans="1:15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9.3093356857435818</v>
      </c>
      <c r="H241">
        <v>8.6568749999999992E-4</v>
      </c>
      <c r="I241">
        <v>-0.73321875072394826</v>
      </c>
      <c r="J241">
        <v>-6.3473830726733791E-4</v>
      </c>
      <c r="L241" s="98"/>
      <c r="M241" s="98">
        <v>3.8661629825832646</v>
      </c>
      <c r="N241" s="93">
        <v>9.765625E-4</v>
      </c>
      <c r="O241" s="93">
        <f t="shared" si="3"/>
        <v>0.2666015625</v>
      </c>
    </row>
    <row r="242" spans="1:15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4.100625E-4</v>
      </c>
      <c r="I242">
        <v>-1</v>
      </c>
      <c r="J242">
        <v>-4.100625E-4</v>
      </c>
      <c r="L242" s="98"/>
      <c r="M242" s="98">
        <v>3.8711930242302457</v>
      </c>
      <c r="N242" s="93">
        <v>4.8828125E-4</v>
      </c>
      <c r="O242" s="93">
        <f t="shared" si="3"/>
        <v>0.26708984375</v>
      </c>
    </row>
    <row r="243" spans="1:15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4.65466784287179</v>
      </c>
      <c r="H243">
        <v>8.6568749999999992E-4</v>
      </c>
      <c r="I243">
        <v>-0.8562819341338157</v>
      </c>
      <c r="J243">
        <v>-7.4127256685546747E-4</v>
      </c>
      <c r="L243" s="98"/>
      <c r="M243" s="98">
        <v>3.8711930242302457</v>
      </c>
      <c r="N243" s="93">
        <v>9.765625E-4</v>
      </c>
      <c r="O243" s="93">
        <f t="shared" si="3"/>
        <v>0.26806640625</v>
      </c>
    </row>
    <row r="244" spans="1:15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8.1456687250256294</v>
      </c>
      <c r="H244">
        <v>5.4674999999999993E-4</v>
      </c>
      <c r="I244">
        <v>-0.76221829279709208</v>
      </c>
      <c r="J244">
        <v>-4.1674285158681002E-4</v>
      </c>
      <c r="L244" s="98"/>
      <c r="M244" s="98">
        <v>3.8711930242302457</v>
      </c>
      <c r="N244" s="93">
        <v>4.8828125E-4</v>
      </c>
      <c r="O244" s="93">
        <f t="shared" si="3"/>
        <v>0.2685546875</v>
      </c>
    </row>
    <row r="245" spans="1:15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2.4194956401439001</v>
      </c>
      <c r="H245">
        <v>2.73908935546875E-4</v>
      </c>
      <c r="I245">
        <v>-0.9225166497955527</v>
      </c>
      <c r="J245">
        <v>-2.5268555356976912E-4</v>
      </c>
      <c r="L245" s="98"/>
      <c r="M245" s="98">
        <v>4.0200850636237142</v>
      </c>
      <c r="N245" s="93">
        <v>4.8828125E-4</v>
      </c>
      <c r="O245" s="93">
        <f t="shared" si="3"/>
        <v>0.26904296875</v>
      </c>
    </row>
    <row r="246" spans="1:15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7.2584869204317108</v>
      </c>
      <c r="H246">
        <v>5.7825219726562497E-4</v>
      </c>
      <c r="I246">
        <v>-0.78509577363242855</v>
      </c>
      <c r="J246">
        <v>-4.5398335616690752E-4</v>
      </c>
      <c r="L246" s="98"/>
      <c r="M246" s="98">
        <v>4.0200850636237142</v>
      </c>
      <c r="N246" s="93">
        <v>9.765625E-4</v>
      </c>
      <c r="O246" s="93">
        <f t="shared" si="3"/>
        <v>0.27001953125</v>
      </c>
    </row>
    <row r="247" spans="1:15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10.887730380647568</v>
      </c>
      <c r="H247">
        <v>3.652119140625E-4</v>
      </c>
      <c r="I247">
        <v>-0.69563905937077353</v>
      </c>
      <c r="J247">
        <v>-2.540556723694373E-4</v>
      </c>
      <c r="L247" s="98"/>
      <c r="M247" s="98">
        <v>4.0200850636237142</v>
      </c>
      <c r="N247" s="93">
        <v>4.8828125E-4</v>
      </c>
      <c r="O247" s="93">
        <f t="shared" si="3"/>
        <v>0.2705078125</v>
      </c>
    </row>
    <row r="248" spans="1:15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1.2097478200719514</v>
      </c>
      <c r="H248">
        <v>5.7825219726562497E-4</v>
      </c>
      <c r="I248">
        <v>-0.96047730311317225</v>
      </c>
      <c r="J248">
        <v>-5.553981109489535E-4</v>
      </c>
      <c r="L248" s="98"/>
      <c r="M248" s="98">
        <v>4.1374825269971502</v>
      </c>
      <c r="N248" s="93">
        <v>9.765625E-4</v>
      </c>
      <c r="O248" s="93">
        <f t="shared" si="3"/>
        <v>0.271484375</v>
      </c>
    </row>
    <row r="249" spans="1:15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6.0487391003597581</v>
      </c>
      <c r="H249">
        <v>1.2207546386718748E-3</v>
      </c>
      <c r="I249">
        <v>-0.81740169297880994</v>
      </c>
      <c r="J249">
        <v>-9.978469083621259E-4</v>
      </c>
      <c r="L249" s="98"/>
      <c r="M249" s="98">
        <v>4.1374825269971502</v>
      </c>
      <c r="N249" s="93">
        <v>1.953125E-3</v>
      </c>
      <c r="O249" s="93">
        <f t="shared" si="3"/>
        <v>0.2734375</v>
      </c>
    </row>
    <row r="250" spans="1:15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9.6779825605756198</v>
      </c>
      <c r="H250">
        <v>7.7100292968749996E-4</v>
      </c>
      <c r="I250">
        <v>-0.72426392286003538</v>
      </c>
      <c r="J250">
        <v>-5.5840960639204872E-4</v>
      </c>
      <c r="L250" s="98"/>
      <c r="M250" s="98">
        <v>4.1374825269971502</v>
      </c>
      <c r="N250" s="93">
        <v>9.765625E-4</v>
      </c>
      <c r="O250" s="93">
        <f t="shared" si="3"/>
        <v>0.2744140625</v>
      </c>
    </row>
    <row r="251" spans="1:15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3.652119140625E-4</v>
      </c>
      <c r="I251">
        <v>-1</v>
      </c>
      <c r="J251">
        <v>-3.652119140625E-4</v>
      </c>
      <c r="L251" s="98"/>
      <c r="M251" s="98">
        <v>4.1689771030171885</v>
      </c>
      <c r="N251" s="93">
        <v>4.8828125E-4</v>
      </c>
      <c r="O251" s="93">
        <f t="shared" si="3"/>
        <v>0.27490234375</v>
      </c>
    </row>
    <row r="252" spans="1:15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4.8389912802878055</v>
      </c>
      <c r="H252">
        <v>7.7100292968749996E-4</v>
      </c>
      <c r="I252">
        <v>-0.85103696915001037</v>
      </c>
      <c r="J252">
        <v>-6.5615199648702853E-4</v>
      </c>
      <c r="L252" s="98"/>
      <c r="M252" s="98">
        <v>4.1689771030171885</v>
      </c>
      <c r="N252" s="93">
        <v>9.765625E-4</v>
      </c>
      <c r="O252" s="93">
        <f t="shared" si="3"/>
        <v>0.27587890625</v>
      </c>
    </row>
    <row r="253" spans="1:15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8.4682347405036644</v>
      </c>
      <c r="H253">
        <v>4.8694921874999997E-4</v>
      </c>
      <c r="I253">
        <v>-0.7540666713440245</v>
      </c>
      <c r="J253">
        <v>-3.6719217649638572E-4</v>
      </c>
      <c r="L253" s="98"/>
      <c r="M253" s="98">
        <v>4.1689771030171885</v>
      </c>
      <c r="N253" s="93">
        <v>4.8828125E-4</v>
      </c>
      <c r="O253" s="93">
        <f t="shared" si="3"/>
        <v>0.2763671875</v>
      </c>
    </row>
    <row r="254" spans="1:15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2.4194956401439001</v>
      </c>
      <c r="H254">
        <v>5.7825219726562497E-4</v>
      </c>
      <c r="I254">
        <v>-0.9225166497955527</v>
      </c>
      <c r="J254">
        <v>-5.3344727975840138E-4</v>
      </c>
      <c r="L254" s="98"/>
      <c r="M254" s="98">
        <v>4.2021306914814778</v>
      </c>
      <c r="N254" s="93">
        <v>4.8828125E-4</v>
      </c>
      <c r="O254" s="93">
        <f t="shared" si="3"/>
        <v>0.27685546875</v>
      </c>
    </row>
    <row r="255" spans="1:15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7.2584869204317108</v>
      </c>
      <c r="H255">
        <v>1.2207546386718748E-3</v>
      </c>
      <c r="I255">
        <v>-0.78509577363242855</v>
      </c>
      <c r="J255">
        <v>-9.5840930746347137E-4</v>
      </c>
      <c r="L255" s="98"/>
      <c r="M255" s="98">
        <v>4.2021306914814778</v>
      </c>
      <c r="N255" s="93">
        <v>9.765625E-4</v>
      </c>
      <c r="O255" s="93">
        <f t="shared" si="3"/>
        <v>0.27783203125</v>
      </c>
    </row>
    <row r="256" spans="1:15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10.887730380647568</v>
      </c>
      <c r="H256">
        <v>7.7100292968749996E-4</v>
      </c>
      <c r="I256">
        <v>-0.69563905937077353</v>
      </c>
      <c r="J256">
        <v>-5.3633975277992308E-4</v>
      </c>
      <c r="L256" s="98"/>
      <c r="M256" s="98">
        <v>4.2021306914814778</v>
      </c>
      <c r="N256" s="93">
        <v>4.8828125E-4</v>
      </c>
      <c r="O256" s="93">
        <f t="shared" si="3"/>
        <v>0.2783203125</v>
      </c>
    </row>
    <row r="257" spans="1:15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1.2097478200719514</v>
      </c>
      <c r="H257">
        <v>1.2207546386718748E-3</v>
      </c>
      <c r="I257">
        <v>-0.96047730311317225</v>
      </c>
      <c r="J257">
        <v>-1.1725071231144574E-3</v>
      </c>
      <c r="L257" s="98"/>
      <c r="M257" s="98">
        <v>4.2021306914814804</v>
      </c>
      <c r="N257" s="93">
        <v>9.765625E-4</v>
      </c>
      <c r="O257" s="93">
        <f t="shared" si="3"/>
        <v>0.279296875</v>
      </c>
    </row>
    <row r="258" spans="1:15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6.0487391003597581</v>
      </c>
      <c r="H258">
        <v>2.5771486816406246E-3</v>
      </c>
      <c r="I258">
        <v>-0.81740169297880994</v>
      </c>
      <c r="J258">
        <v>-2.1065656954311544E-3</v>
      </c>
      <c r="L258" s="98"/>
      <c r="M258" s="98">
        <v>4.2021306914814804</v>
      </c>
      <c r="N258" s="93">
        <v>1.953125E-3</v>
      </c>
      <c r="O258" s="93">
        <f t="shared" si="3"/>
        <v>0.28125</v>
      </c>
    </row>
    <row r="259" spans="1:15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9.6779825605756198</v>
      </c>
      <c r="H259">
        <v>1.6276728515624997E-3</v>
      </c>
      <c r="I259">
        <v>-0.72426392286003538</v>
      </c>
      <c r="J259">
        <v>-1.1788647246054362E-3</v>
      </c>
      <c r="L259" s="98"/>
      <c r="M259" s="98">
        <v>4.2021306914814804</v>
      </c>
      <c r="N259" s="93">
        <v>9.765625E-4</v>
      </c>
      <c r="O259" s="93">
        <f t="shared" si="3"/>
        <v>0.2822265625</v>
      </c>
    </row>
    <row r="260" spans="1:15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7.7100292968749985E-4</v>
      </c>
      <c r="I260">
        <v>-1</v>
      </c>
      <c r="J260">
        <v>-7.7100292968749985E-4</v>
      </c>
      <c r="L260" s="98"/>
      <c r="M260" s="98">
        <v>4.2825189960922359</v>
      </c>
      <c r="N260" s="93">
        <v>9.765625E-4</v>
      </c>
      <c r="O260" s="93">
        <f t="shared" ref="O260:O323" si="4">N260+O259</f>
        <v>0.283203125</v>
      </c>
    </row>
    <row r="261" spans="1:15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4.8389912802878055</v>
      </c>
      <c r="H261">
        <v>1.6276728515624997E-3</v>
      </c>
      <c r="I261">
        <v>-0.85103696915001037</v>
      </c>
      <c r="J261">
        <v>-1.3852097703615045E-3</v>
      </c>
      <c r="L261" s="98"/>
      <c r="M261" s="98">
        <v>4.2825189960922359</v>
      </c>
      <c r="N261" s="93">
        <v>1.953125E-3</v>
      </c>
      <c r="O261" s="93">
        <f t="shared" si="4"/>
        <v>0.28515625</v>
      </c>
    </row>
    <row r="262" spans="1:15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8.4682347405036644</v>
      </c>
      <c r="H262">
        <v>1.0280039062499997E-3</v>
      </c>
      <c r="I262">
        <v>-0.7540666713440245</v>
      </c>
      <c r="J262">
        <v>-7.7518348371459196E-4</v>
      </c>
      <c r="L262" s="98"/>
      <c r="M262" s="98">
        <v>4.2825189960922359</v>
      </c>
      <c r="N262" s="93">
        <v>9.765625E-4</v>
      </c>
      <c r="O262" s="93">
        <f t="shared" si="4"/>
        <v>0.2861328125</v>
      </c>
    </row>
    <row r="263" spans="1:15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2.4194956401439001</v>
      </c>
      <c r="H263">
        <v>3.6521191406249995E-4</v>
      </c>
      <c r="I263">
        <v>-0.9225166497955527</v>
      </c>
      <c r="J263">
        <v>-3.3691407142635876E-4</v>
      </c>
      <c r="L263" s="98"/>
      <c r="M263" s="98">
        <v>4.3550921522590267</v>
      </c>
      <c r="N263" s="93">
        <v>2.44140625E-4</v>
      </c>
      <c r="O263" s="93">
        <f t="shared" si="4"/>
        <v>0.286376953125</v>
      </c>
    </row>
    <row r="264" spans="1:15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7.2584869204317108</v>
      </c>
      <c r="H264">
        <v>7.7100292968749985E-4</v>
      </c>
      <c r="I264">
        <v>-0.78509577363242855</v>
      </c>
      <c r="J264">
        <v>-6.0531114155587659E-4</v>
      </c>
      <c r="L264" s="98"/>
      <c r="M264" s="98">
        <v>4.3550921522590267</v>
      </c>
      <c r="N264" s="93">
        <v>4.8828125E-4</v>
      </c>
      <c r="O264" s="93">
        <f t="shared" si="4"/>
        <v>0.286865234375</v>
      </c>
    </row>
    <row r="265" spans="1:15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10.887730380647568</v>
      </c>
      <c r="H265">
        <v>4.8694921874999991E-4</v>
      </c>
      <c r="I265">
        <v>-0.69563905937077353</v>
      </c>
      <c r="J265">
        <v>-3.3874089649258299E-4</v>
      </c>
      <c r="L265" s="98"/>
      <c r="M265" s="98">
        <v>4.3550921522590267</v>
      </c>
      <c r="N265" s="93">
        <v>2.44140625E-4</v>
      </c>
      <c r="O265" s="93">
        <f t="shared" si="4"/>
        <v>0.287109375</v>
      </c>
    </row>
    <row r="266" spans="1:15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1.2097478200719514</v>
      </c>
      <c r="H266">
        <v>7.7100292968749985E-4</v>
      </c>
      <c r="I266">
        <v>-0.96047730311317225</v>
      </c>
      <c r="J266">
        <v>-7.4053081459860459E-4</v>
      </c>
      <c r="L266" s="98"/>
      <c r="M266" s="98">
        <v>4.6393955790999195</v>
      </c>
      <c r="N266" s="93">
        <v>9.765625E-4</v>
      </c>
      <c r="O266" s="93">
        <f t="shared" si="4"/>
        <v>0.2880859375</v>
      </c>
    </row>
    <row r="267" spans="1:15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6.0487391003597581</v>
      </c>
      <c r="H267">
        <v>1.6276728515624997E-3</v>
      </c>
      <c r="I267">
        <v>-0.81740169297880994</v>
      </c>
      <c r="J267">
        <v>-1.3304625444828344E-3</v>
      </c>
      <c r="L267" s="98"/>
      <c r="M267" s="98">
        <v>4.6393955790999195</v>
      </c>
      <c r="N267" s="93">
        <v>1.953125E-3</v>
      </c>
      <c r="O267" s="93">
        <f t="shared" si="4"/>
        <v>0.2900390625</v>
      </c>
    </row>
    <row r="268" spans="1:15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9.6779825605756198</v>
      </c>
      <c r="H268">
        <v>1.0280039062499997E-3</v>
      </c>
      <c r="I268">
        <v>-0.72426392286003538</v>
      </c>
      <c r="J268">
        <v>-7.4454614185606488E-4</v>
      </c>
      <c r="L268" s="98"/>
      <c r="M268" s="98">
        <v>4.6393955790999195</v>
      </c>
      <c r="N268" s="93">
        <v>9.765625E-4</v>
      </c>
      <c r="O268" s="93">
        <f t="shared" si="4"/>
        <v>0.291015625</v>
      </c>
    </row>
    <row r="269" spans="1:15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4.8694921874999991E-4</v>
      </c>
      <c r="I269">
        <v>-1</v>
      </c>
      <c r="J269">
        <v>-4.8694921874999991E-4</v>
      </c>
      <c r="L269" s="98"/>
      <c r="M269" s="98">
        <v>4.65466784287179</v>
      </c>
      <c r="N269" s="93">
        <v>4.8828125E-4</v>
      </c>
      <c r="O269" s="93">
        <f t="shared" si="4"/>
        <v>0.29150390625</v>
      </c>
    </row>
    <row r="270" spans="1:15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4.8389912802878055</v>
      </c>
      <c r="H270">
        <v>1.0280039062499997E-3</v>
      </c>
      <c r="I270">
        <v>-0.85103696915001037</v>
      </c>
      <c r="J270">
        <v>-8.7486932864937119E-4</v>
      </c>
      <c r="L270" s="98"/>
      <c r="M270" s="98">
        <v>4.65466784287179</v>
      </c>
      <c r="N270" s="93">
        <v>9.765625E-4</v>
      </c>
      <c r="O270" s="93">
        <f t="shared" si="4"/>
        <v>0.29248046875</v>
      </c>
    </row>
    <row r="271" spans="1:15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8.4682347405036644</v>
      </c>
      <c r="H271">
        <v>6.4926562499999978E-4</v>
      </c>
      <c r="I271">
        <v>-0.7540666713440245</v>
      </c>
      <c r="J271">
        <v>-4.8958956866184745E-4</v>
      </c>
      <c r="L271" s="98"/>
      <c r="M271" s="98">
        <v>4.65466784287179</v>
      </c>
      <c r="N271" s="93">
        <v>4.8828125E-4</v>
      </c>
      <c r="O271" s="93">
        <f t="shared" si="4"/>
        <v>0.29296875</v>
      </c>
    </row>
    <row r="272" spans="1:15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2.9778407878694204</v>
      </c>
      <c r="H272">
        <v>5.7825219726562497E-4</v>
      </c>
      <c r="I272">
        <v>-0.90550601440804013</v>
      </c>
      <c r="J272">
        <v>-5.2361084246868789E-4</v>
      </c>
      <c r="L272" s="98"/>
      <c r="M272" s="98">
        <v>4.6900992408943338</v>
      </c>
      <c r="N272" s="93">
        <v>2.44140625E-4</v>
      </c>
      <c r="O272" s="93">
        <f t="shared" si="4"/>
        <v>0.293212890625</v>
      </c>
    </row>
    <row r="273" spans="1:15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8.9335223636082564</v>
      </c>
      <c r="H273">
        <v>1.2207546386718748E-3</v>
      </c>
      <c r="I273">
        <v>-0.74246163565852841</v>
      </c>
      <c r="J273">
        <v>-9.0636348576605605E-4</v>
      </c>
      <c r="L273" s="98"/>
      <c r="M273" s="98">
        <v>4.6900992408943338</v>
      </c>
      <c r="N273" s="93">
        <v>4.8828125E-4</v>
      </c>
      <c r="O273" s="93">
        <f t="shared" si="4"/>
        <v>0.293701171875</v>
      </c>
    </row>
    <row r="274" spans="1:15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13.400283545412396</v>
      </c>
      <c r="H274">
        <v>7.7100292968749996E-4</v>
      </c>
      <c r="I274">
        <v>-0.63975107846703694</v>
      </c>
      <c r="J274">
        <v>-4.932499557688231E-4</v>
      </c>
      <c r="L274" s="98"/>
      <c r="M274" s="98">
        <v>4.6900992408943338</v>
      </c>
      <c r="N274" s="93">
        <v>2.44140625E-4</v>
      </c>
      <c r="O274" s="93">
        <f t="shared" si="4"/>
        <v>0.2939453125</v>
      </c>
    </row>
    <row r="275" spans="1:15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1.4889203939347078</v>
      </c>
      <c r="H275">
        <v>1.2207546386718748E-3</v>
      </c>
      <c r="I275">
        <v>-0.9515807976246895</v>
      </c>
      <c r="J275">
        <v>-1.1616466727714222E-3</v>
      </c>
      <c r="L275" s="98"/>
      <c r="M275" s="98">
        <v>4.7583544401024813</v>
      </c>
      <c r="N275" s="93">
        <v>1.953125E-3</v>
      </c>
      <c r="O275" s="93">
        <f t="shared" si="4"/>
        <v>0.2958984375</v>
      </c>
    </row>
    <row r="276" spans="1:15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7.444601969673549</v>
      </c>
      <c r="H276">
        <v>2.5771486816406246E-3</v>
      </c>
      <c r="I276">
        <v>-0.78024024603253994</v>
      </c>
      <c r="J276">
        <v>-2.0107951214257168E-3</v>
      </c>
      <c r="L276" s="98"/>
      <c r="M276" s="98">
        <v>4.7583544401024813</v>
      </c>
      <c r="N276" s="93">
        <v>3.90625E-3</v>
      </c>
      <c r="O276" s="93">
        <f t="shared" si="4"/>
        <v>0.2998046875</v>
      </c>
    </row>
    <row r="277" spans="1:15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11.91136315147768</v>
      </c>
      <c r="H277">
        <v>1.6276728515624997E-3</v>
      </c>
      <c r="I277">
        <v>-0.67230347655602829</v>
      </c>
      <c r="J277">
        <v>-1.0942901168013326E-3</v>
      </c>
      <c r="L277" s="98"/>
      <c r="M277" s="98">
        <v>4.7583544401024813</v>
      </c>
      <c r="N277" s="93">
        <v>1.953125E-3</v>
      </c>
      <c r="O277" s="93">
        <f t="shared" si="4"/>
        <v>0.3017578125</v>
      </c>
    </row>
    <row r="278" spans="1:15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7.7100292968749985E-4</v>
      </c>
      <c r="I278">
        <v>-1</v>
      </c>
      <c r="J278">
        <v>-7.7100292968749985E-4</v>
      </c>
      <c r="L278" s="98"/>
      <c r="M278" s="98">
        <v>4.7583544401024831</v>
      </c>
      <c r="N278" s="93">
        <v>3.90625E-3</v>
      </c>
      <c r="O278" s="93">
        <f t="shared" si="4"/>
        <v>0.3056640625</v>
      </c>
    </row>
    <row r="279" spans="1:15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5.9556815757388426</v>
      </c>
      <c r="H279">
        <v>1.6276728515624997E-3</v>
      </c>
      <c r="I279">
        <v>-0.81994114212913372</v>
      </c>
      <c r="J279">
        <v>-1.33459593692274E-3</v>
      </c>
      <c r="L279" s="98"/>
      <c r="M279" s="98">
        <v>4.7583544401024831</v>
      </c>
      <c r="N279" s="93">
        <v>7.8125E-3</v>
      </c>
      <c r="O279" s="93">
        <f t="shared" si="4"/>
        <v>0.3134765625</v>
      </c>
    </row>
    <row r="280" spans="1:15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10.422442757542964</v>
      </c>
      <c r="H280">
        <v>1.0280039062499997E-3</v>
      </c>
      <c r="I280">
        <v>-0.70651223546567399</v>
      </c>
      <c r="J280">
        <v>-7.262973378721325E-4</v>
      </c>
      <c r="L280" s="98"/>
      <c r="M280" s="98">
        <v>4.7583544401024831</v>
      </c>
      <c r="N280" s="93">
        <v>3.90625E-3</v>
      </c>
      <c r="O280" s="93">
        <f t="shared" si="4"/>
        <v>0.3173828125</v>
      </c>
    </row>
    <row r="281" spans="1:15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2.9778407878694204</v>
      </c>
      <c r="H281">
        <v>1.2207546386718748E-3</v>
      </c>
      <c r="I281">
        <v>-0.90550601440804013</v>
      </c>
      <c r="J281">
        <v>-1.1054006674338964E-3</v>
      </c>
      <c r="L281" s="98"/>
      <c r="M281" s="98">
        <v>4.7645452605910714</v>
      </c>
      <c r="N281" s="93">
        <v>9.765625E-4</v>
      </c>
      <c r="O281" s="93">
        <f t="shared" si="4"/>
        <v>0.318359375</v>
      </c>
    </row>
    <row r="282" spans="1:15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8.9335223636082564</v>
      </c>
      <c r="H282">
        <v>2.5771486816406246E-3</v>
      </c>
      <c r="I282">
        <v>-0.74246163565852841</v>
      </c>
      <c r="J282">
        <v>-1.9134340255061181E-3</v>
      </c>
      <c r="L282" s="98"/>
      <c r="M282" s="98">
        <v>4.7645452605910714</v>
      </c>
      <c r="N282" s="93">
        <v>1.953125E-3</v>
      </c>
      <c r="O282" s="93">
        <f t="shared" si="4"/>
        <v>0.3203125</v>
      </c>
    </row>
    <row r="283" spans="1:15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13.400283545412396</v>
      </c>
      <c r="H283">
        <v>1.6276728515624997E-3</v>
      </c>
      <c r="I283">
        <v>-0.63975107846703694</v>
      </c>
      <c r="J283">
        <v>-1.0413054621786265E-3</v>
      </c>
      <c r="L283" s="98"/>
      <c r="M283" s="98">
        <v>4.7645452605910714</v>
      </c>
      <c r="N283" s="93">
        <v>9.765625E-4</v>
      </c>
      <c r="O283" s="93">
        <f t="shared" si="4"/>
        <v>0.3212890625</v>
      </c>
    </row>
    <row r="284" spans="1:15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1.4889203939347078</v>
      </c>
      <c r="H284">
        <v>2.5771486816406246E-3</v>
      </c>
      <c r="I284">
        <v>-0.9515807976246895</v>
      </c>
      <c r="J284">
        <v>-2.4523651980730026E-3</v>
      </c>
      <c r="L284" s="98"/>
      <c r="M284" s="98">
        <v>4.8389912802878055</v>
      </c>
      <c r="N284" s="93">
        <v>9.765625E-4</v>
      </c>
      <c r="O284" s="93">
        <f t="shared" si="4"/>
        <v>0.322265625</v>
      </c>
    </row>
    <row r="285" spans="1:15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7.444601969673549</v>
      </c>
      <c r="H285">
        <v>5.4406472167968737E-3</v>
      </c>
      <c r="I285">
        <v>-0.78024024603253994</v>
      </c>
      <c r="J285">
        <v>-4.2450119230098464E-3</v>
      </c>
      <c r="L285" s="98"/>
      <c r="M285" s="98">
        <v>4.8389912802878055</v>
      </c>
      <c r="N285" s="93">
        <v>1.953125E-3</v>
      </c>
      <c r="O285" s="93">
        <f t="shared" si="4"/>
        <v>0.32421875</v>
      </c>
    </row>
    <row r="286" spans="1:15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11.91136315147768</v>
      </c>
      <c r="H286">
        <v>3.4361982421874993E-3</v>
      </c>
      <c r="I286">
        <v>-0.67230347655602829</v>
      </c>
      <c r="J286">
        <v>-2.3101680243583691E-3</v>
      </c>
      <c r="L286" s="98"/>
      <c r="M286" s="98">
        <v>4.8389912802878055</v>
      </c>
      <c r="N286" s="93">
        <v>9.765625E-4</v>
      </c>
      <c r="O286" s="93">
        <f t="shared" si="4"/>
        <v>0.3251953125</v>
      </c>
    </row>
    <row r="287" spans="1:15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1.6276728515624997E-3</v>
      </c>
      <c r="I287">
        <v>-1</v>
      </c>
      <c r="J287">
        <v>-1.6276728515624997E-3</v>
      </c>
      <c r="L287" s="98"/>
      <c r="M287" s="98">
        <v>5.0425568297777739</v>
      </c>
      <c r="N287" s="93">
        <v>4.8828125E-4</v>
      </c>
      <c r="O287" s="93">
        <f t="shared" si="4"/>
        <v>0.32568359375</v>
      </c>
    </row>
    <row r="288" spans="1:15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5.9556815757388426</v>
      </c>
      <c r="H288">
        <v>3.4361982421874993E-3</v>
      </c>
      <c r="I288">
        <v>-0.81994114212913372</v>
      </c>
      <c r="J288">
        <v>-2.8174803112813399E-3</v>
      </c>
      <c r="L288" s="98"/>
      <c r="M288" s="98">
        <v>5.0425568297777739</v>
      </c>
      <c r="N288" s="93">
        <v>9.765625E-4</v>
      </c>
      <c r="O288" s="93">
        <f t="shared" si="4"/>
        <v>0.32666015625</v>
      </c>
    </row>
    <row r="289" spans="1:15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10.422442757542964</v>
      </c>
      <c r="H289">
        <v>2.1702304687499993E-3</v>
      </c>
      <c r="I289">
        <v>-0.70651223546567399</v>
      </c>
      <c r="J289">
        <v>-1.5332943799522796E-3</v>
      </c>
      <c r="L289" s="98"/>
      <c r="M289" s="98">
        <v>5.0425568297777739</v>
      </c>
      <c r="N289" s="93">
        <v>4.8828125E-4</v>
      </c>
      <c r="O289" s="93">
        <f t="shared" si="4"/>
        <v>0.3271484375</v>
      </c>
    </row>
    <row r="290" spans="1:15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2.9778407878694204</v>
      </c>
      <c r="H290">
        <v>7.7100292968749996E-4</v>
      </c>
      <c r="I290">
        <v>-0.90550601440804013</v>
      </c>
      <c r="J290">
        <v>-6.9814778995825049E-4</v>
      </c>
      <c r="L290" s="98"/>
      <c r="M290" s="98">
        <v>5.1602178347016467</v>
      </c>
      <c r="N290" s="93">
        <v>9.765625E-4</v>
      </c>
      <c r="O290" s="93">
        <f t="shared" si="4"/>
        <v>0.328125</v>
      </c>
    </row>
    <row r="291" spans="1:15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8.9335223636082564</v>
      </c>
      <c r="H291">
        <v>1.6276728515624999E-3</v>
      </c>
      <c r="I291">
        <v>-0.74246163565852841</v>
      </c>
      <c r="J291">
        <v>-1.2084846476880747E-3</v>
      </c>
      <c r="L291" s="98"/>
      <c r="M291" s="98">
        <v>5.1602178347016467</v>
      </c>
      <c r="N291" s="93">
        <v>1.953125E-3</v>
      </c>
      <c r="O291" s="93">
        <f t="shared" si="4"/>
        <v>0.330078125</v>
      </c>
    </row>
    <row r="292" spans="1:15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13.400283545412396</v>
      </c>
      <c r="H292">
        <v>1.0280039062499999E-3</v>
      </c>
      <c r="I292">
        <v>-0.63975107846703694</v>
      </c>
      <c r="J292">
        <v>-6.5766660769176421E-4</v>
      </c>
      <c r="L292" s="98"/>
      <c r="M292" s="98">
        <v>5.1602178347016467</v>
      </c>
      <c r="N292" s="93">
        <v>9.765625E-4</v>
      </c>
      <c r="O292" s="93">
        <f t="shared" si="4"/>
        <v>0.3310546875</v>
      </c>
    </row>
    <row r="293" spans="1:15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1.4889203939347078</v>
      </c>
      <c r="H293">
        <v>1.6276728515624997E-3</v>
      </c>
      <c r="I293">
        <v>-0.9515807976246895</v>
      </c>
      <c r="J293">
        <v>-1.5488622303618963E-3</v>
      </c>
      <c r="L293" s="98"/>
      <c r="M293" s="98">
        <v>5.1718531587464351</v>
      </c>
      <c r="N293" s="93">
        <v>1.953125E-3</v>
      </c>
      <c r="O293" s="93">
        <f t="shared" si="4"/>
        <v>0.3330078125</v>
      </c>
    </row>
    <row r="294" spans="1:15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7.444601969673549</v>
      </c>
      <c r="H294">
        <v>3.4361982421874993E-3</v>
      </c>
      <c r="I294">
        <v>-0.78024024603253994</v>
      </c>
      <c r="J294">
        <v>-2.6810601619009556E-3</v>
      </c>
      <c r="L294" s="98"/>
      <c r="M294" s="98">
        <v>5.1718531587464351</v>
      </c>
      <c r="N294" s="93">
        <v>3.90625E-3</v>
      </c>
      <c r="O294" s="93">
        <f t="shared" si="4"/>
        <v>0.3369140625</v>
      </c>
    </row>
    <row r="295" spans="1:15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11.91136315147768</v>
      </c>
      <c r="H295">
        <v>2.1702304687499993E-3</v>
      </c>
      <c r="I295">
        <v>-0.67230347655602829</v>
      </c>
      <c r="J295">
        <v>-1.4590534890684434E-3</v>
      </c>
      <c r="L295" s="98"/>
      <c r="M295" s="98">
        <v>5.1718531587464351</v>
      </c>
      <c r="N295" s="93">
        <v>1.953125E-3</v>
      </c>
      <c r="O295" s="93">
        <f t="shared" si="4"/>
        <v>0.3388671875</v>
      </c>
    </row>
    <row r="296" spans="1:15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1.0280039062499999E-3</v>
      </c>
      <c r="I296">
        <v>-1</v>
      </c>
      <c r="J296">
        <v>-1.0280039062499999E-3</v>
      </c>
      <c r="L296" s="98"/>
      <c r="M296" s="98">
        <v>5.3228904083165913</v>
      </c>
      <c r="N296" s="93">
        <v>2.44140625E-4</v>
      </c>
      <c r="O296" s="93">
        <f t="shared" si="4"/>
        <v>0.339111328125</v>
      </c>
    </row>
    <row r="297" spans="1:15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5.9556815757388426</v>
      </c>
      <c r="H297">
        <v>2.1702304687499993E-3</v>
      </c>
      <c r="I297">
        <v>-0.81994114212913372</v>
      </c>
      <c r="J297">
        <v>-1.7794612492303197E-3</v>
      </c>
      <c r="L297" s="98"/>
      <c r="M297" s="98">
        <v>5.3228904083165913</v>
      </c>
      <c r="N297" s="93">
        <v>4.8828125E-4</v>
      </c>
      <c r="O297" s="93">
        <f t="shared" si="4"/>
        <v>0.339599609375</v>
      </c>
    </row>
    <row r="298" spans="1:15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10.422442757542964</v>
      </c>
      <c r="H298">
        <v>1.3706718749999997E-3</v>
      </c>
      <c r="I298">
        <v>-0.70651223546567399</v>
      </c>
      <c r="J298">
        <v>-9.6839645049617666E-4</v>
      </c>
      <c r="L298" s="98"/>
      <c r="M298" s="98">
        <v>5.3228904083165913</v>
      </c>
      <c r="N298" s="93">
        <v>2.44140625E-4</v>
      </c>
      <c r="O298" s="93">
        <f t="shared" si="4"/>
        <v>0.33984375</v>
      </c>
    </row>
    <row r="299" spans="1:15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3.3500708863530946</v>
      </c>
      <c r="H299">
        <v>3.652119140625E-4</v>
      </c>
      <c r="I299">
        <v>-0.89434020870781139</v>
      </c>
      <c r="J299">
        <v>-3.2662369944523552E-4</v>
      </c>
      <c r="L299" s="98"/>
      <c r="M299" s="98">
        <v>5.353148745115285</v>
      </c>
      <c r="N299" s="93">
        <v>9.765625E-4</v>
      </c>
      <c r="O299" s="93">
        <f t="shared" si="4"/>
        <v>0.3408203125</v>
      </c>
    </row>
    <row r="300" spans="1:15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10.0502126590593</v>
      </c>
      <c r="H300">
        <v>7.7100292968749996E-4</v>
      </c>
      <c r="I300">
        <v>-0.71533301559971485</v>
      </c>
      <c r="J300">
        <v>-5.515238507295743E-4</v>
      </c>
      <c r="L300" s="98"/>
      <c r="M300" s="98">
        <v>5.353148745115285</v>
      </c>
      <c r="N300" s="93">
        <v>1.953125E-3</v>
      </c>
      <c r="O300" s="93">
        <f t="shared" si="4"/>
        <v>0.3427734375</v>
      </c>
    </row>
    <row r="301" spans="1:15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15.075318988588934</v>
      </c>
      <c r="H301">
        <v>4.8694921874999997E-4</v>
      </c>
      <c r="I301">
        <v>-0.60500979381826125</v>
      </c>
      <c r="J301">
        <v>-2.946090464359009E-4</v>
      </c>
      <c r="L301" s="98"/>
      <c r="M301" s="98">
        <v>5.353148745115285</v>
      </c>
      <c r="N301" s="93">
        <v>9.765625E-4</v>
      </c>
      <c r="O301" s="93">
        <f t="shared" si="4"/>
        <v>0.34375</v>
      </c>
    </row>
    <row r="302" spans="1:15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1.6750354431765495</v>
      </c>
      <c r="H302">
        <v>7.7100292968749996E-4</v>
      </c>
      <c r="I302">
        <v>-0.94569562159703968</v>
      </c>
      <c r="J302">
        <v>-7.2913409484395896E-4</v>
      </c>
      <c r="L302" s="98"/>
      <c r="M302" s="98">
        <v>5.3531487451152904</v>
      </c>
      <c r="N302" s="93">
        <v>1.953125E-3</v>
      </c>
      <c r="O302" s="93">
        <f t="shared" si="4"/>
        <v>0.345703125</v>
      </c>
    </row>
    <row r="303" spans="1:15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8.3751772158827436</v>
      </c>
      <c r="H303">
        <v>1.6276728515624999E-3</v>
      </c>
      <c r="I303">
        <v>-0.75640935546650756</v>
      </c>
      <c r="J303">
        <v>-1.2311869725607229E-3</v>
      </c>
      <c r="L303" s="98"/>
      <c r="M303" s="98">
        <v>5.3531487451152904</v>
      </c>
      <c r="N303" s="93">
        <v>3.90625E-3</v>
      </c>
      <c r="O303" s="93">
        <f t="shared" si="4"/>
        <v>0.349609375</v>
      </c>
    </row>
    <row r="304" spans="1:15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13.400283545412396</v>
      </c>
      <c r="H304">
        <v>1.0280039062499999E-3</v>
      </c>
      <c r="I304">
        <v>-0.63975107846703694</v>
      </c>
      <c r="J304">
        <v>-6.5766660769176421E-4</v>
      </c>
      <c r="L304" s="98"/>
      <c r="M304" s="98">
        <v>5.3531487451152904</v>
      </c>
      <c r="N304" s="93">
        <v>1.953125E-3</v>
      </c>
      <c r="O304" s="93">
        <f t="shared" si="4"/>
        <v>0.3515625</v>
      </c>
    </row>
    <row r="305" spans="1:15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4.8694921874999997E-4</v>
      </c>
      <c r="I305">
        <v>-1</v>
      </c>
      <c r="J305">
        <v>-4.8694921874999997E-4</v>
      </c>
      <c r="L305" s="98"/>
      <c r="M305" s="98">
        <v>5.3601134181649543</v>
      </c>
      <c r="N305" s="93">
        <v>4.8828125E-4</v>
      </c>
      <c r="O305" s="93">
        <f t="shared" si="4"/>
        <v>0.35205078125</v>
      </c>
    </row>
    <row r="306" spans="1:15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6.7001417727061927</v>
      </c>
      <c r="H306">
        <v>1.0280039062499999E-3</v>
      </c>
      <c r="I306">
        <v>-0.79984440891153152</v>
      </c>
      <c r="J306">
        <v>-8.2224317675327668E-4</v>
      </c>
      <c r="L306" s="98"/>
      <c r="M306" s="98">
        <v>5.3601134181649543</v>
      </c>
      <c r="N306" s="93">
        <v>9.765625E-4</v>
      </c>
      <c r="O306" s="93">
        <f t="shared" si="4"/>
        <v>0.35302734375</v>
      </c>
    </row>
    <row r="307" spans="1:15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11.725248102235838</v>
      </c>
      <c r="H307">
        <v>6.4926562499999999E-4</v>
      </c>
      <c r="I307">
        <v>-0.67648730083645736</v>
      </c>
      <c r="J307">
        <v>-4.392199501821455E-4</v>
      </c>
      <c r="L307" s="98"/>
      <c r="M307" s="98">
        <v>5.3601134181649543</v>
      </c>
      <c r="N307" s="93">
        <v>4.8828125E-4</v>
      </c>
      <c r="O307" s="93">
        <f t="shared" si="4"/>
        <v>0.353515625</v>
      </c>
    </row>
    <row r="308" spans="1:15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3.3500708863530946</v>
      </c>
      <c r="H308">
        <v>7.7100292968750007E-4</v>
      </c>
      <c r="I308">
        <v>-0.89434020870781139</v>
      </c>
      <c r="J308">
        <v>-6.8953892105105287E-4</v>
      </c>
      <c r="L308" s="98"/>
      <c r="M308" s="98">
        <v>5.3601134181649543</v>
      </c>
      <c r="N308" s="93">
        <v>4.8828125E-4</v>
      </c>
      <c r="O308" s="93">
        <f t="shared" si="4"/>
        <v>0.35400390625</v>
      </c>
    </row>
    <row r="309" spans="1:15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10.0502126590593</v>
      </c>
      <c r="H309">
        <v>1.6276728515625001E-3</v>
      </c>
      <c r="I309">
        <v>-0.71533301559971485</v>
      </c>
      <c r="J309">
        <v>-1.1643281293179902E-3</v>
      </c>
      <c r="L309" s="98"/>
      <c r="M309" s="98">
        <v>5.3601134181649543</v>
      </c>
      <c r="N309" s="93">
        <v>9.765625E-4</v>
      </c>
      <c r="O309" s="93">
        <f t="shared" si="4"/>
        <v>0.35498046875</v>
      </c>
    </row>
    <row r="310" spans="1:15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15.075318988588934</v>
      </c>
      <c r="H310">
        <v>1.0280039062499999E-3</v>
      </c>
      <c r="I310">
        <v>-0.60500979381826125</v>
      </c>
      <c r="J310">
        <v>-6.219524313646796E-4</v>
      </c>
      <c r="L310" s="98"/>
      <c r="M310" s="98">
        <v>5.3601134181649543</v>
      </c>
      <c r="N310" s="93">
        <v>4.8828125E-4</v>
      </c>
      <c r="O310" s="93">
        <f t="shared" si="4"/>
        <v>0.35546875</v>
      </c>
    </row>
    <row r="311" spans="1:15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1.6750354431765495</v>
      </c>
      <c r="H311">
        <v>1.6276728515624999E-3</v>
      </c>
      <c r="I311">
        <v>-0.94569562159703968</v>
      </c>
      <c r="J311">
        <v>-1.5392830891150244E-3</v>
      </c>
      <c r="L311" s="98"/>
      <c r="M311" s="98">
        <v>5.4126281756165744</v>
      </c>
      <c r="N311" s="93">
        <v>4.8828125E-4</v>
      </c>
      <c r="O311" s="93">
        <f t="shared" si="4"/>
        <v>0.35595703125</v>
      </c>
    </row>
    <row r="312" spans="1:15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8.3751772158827436</v>
      </c>
      <c r="H312">
        <v>3.4361982421874998E-3</v>
      </c>
      <c r="I312">
        <v>-0.75640935546650756</v>
      </c>
      <c r="J312">
        <v>-2.5991724976281928E-3</v>
      </c>
      <c r="L312" s="98"/>
      <c r="M312" s="98">
        <v>5.4126281756165744</v>
      </c>
      <c r="N312" s="93">
        <v>9.765625E-4</v>
      </c>
      <c r="O312" s="93">
        <f t="shared" si="4"/>
        <v>0.35693359375</v>
      </c>
    </row>
    <row r="313" spans="1:15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13.400283545412396</v>
      </c>
      <c r="H313">
        <v>2.1702304687499997E-3</v>
      </c>
      <c r="I313">
        <v>-0.63975107846703694</v>
      </c>
      <c r="J313">
        <v>-1.3884072829048355E-3</v>
      </c>
      <c r="L313" s="98"/>
      <c r="M313" s="98">
        <v>5.4126281756165744</v>
      </c>
      <c r="N313" s="93">
        <v>4.8828125E-4</v>
      </c>
      <c r="O313" s="93">
        <f t="shared" si="4"/>
        <v>0.357421875</v>
      </c>
    </row>
    <row r="314" spans="1:15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1.0280039062499999E-3</v>
      </c>
      <c r="I314">
        <v>-1</v>
      </c>
      <c r="J314">
        <v>-1.0280039062499999E-3</v>
      </c>
      <c r="L314" s="98"/>
      <c r="M314" s="98">
        <v>5.7080827324696122</v>
      </c>
      <c r="N314" s="93">
        <v>4.8828125E-4</v>
      </c>
      <c r="O314" s="93">
        <f t="shared" si="4"/>
        <v>0.35791015625</v>
      </c>
    </row>
    <row r="315" spans="1:15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6.7001417727061927</v>
      </c>
      <c r="H315">
        <v>2.1702304687499997E-3</v>
      </c>
      <c r="I315">
        <v>-0.79984440891153152</v>
      </c>
      <c r="J315">
        <v>-1.7358467064791396E-3</v>
      </c>
      <c r="L315" s="98"/>
      <c r="M315" s="98">
        <v>5.7080827324696122</v>
      </c>
      <c r="N315" s="93">
        <v>9.765625E-4</v>
      </c>
      <c r="O315" s="93">
        <f t="shared" si="4"/>
        <v>0.35888671875</v>
      </c>
    </row>
    <row r="316" spans="1:15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11.725248102235838</v>
      </c>
      <c r="H316">
        <v>1.3706718749999999E-3</v>
      </c>
      <c r="I316">
        <v>-0.67648730083645736</v>
      </c>
      <c r="J316">
        <v>-9.2724211705119599E-4</v>
      </c>
      <c r="L316" s="98"/>
      <c r="M316" s="98">
        <v>5.7080827324696122</v>
      </c>
      <c r="N316" s="93">
        <v>4.8828125E-4</v>
      </c>
      <c r="O316" s="93">
        <f t="shared" si="4"/>
        <v>0.359375</v>
      </c>
    </row>
    <row r="317" spans="1:15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3.3500708863530946</v>
      </c>
      <c r="H317">
        <v>4.8694921875000008E-4</v>
      </c>
      <c r="I317">
        <v>-0.89434020870781139</v>
      </c>
      <c r="J317">
        <v>-4.3549826592698078E-4</v>
      </c>
      <c r="L317" s="98"/>
      <c r="M317" s="98">
        <v>5.7100253281229776</v>
      </c>
      <c r="N317" s="93">
        <v>1.953125E-3</v>
      </c>
      <c r="O317" s="93">
        <f t="shared" si="4"/>
        <v>0.361328125</v>
      </c>
    </row>
    <row r="318" spans="1:15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10.0502126590593</v>
      </c>
      <c r="H318">
        <v>1.0280039062500002E-3</v>
      </c>
      <c r="I318">
        <v>-0.71533301559971485</v>
      </c>
      <c r="J318">
        <v>-7.3536513430609921E-4</v>
      </c>
      <c r="L318" s="98"/>
      <c r="M318" s="98">
        <v>5.7100253281229776</v>
      </c>
      <c r="N318" s="93">
        <v>3.90625E-3</v>
      </c>
      <c r="O318" s="93">
        <f t="shared" si="4"/>
        <v>0.365234375</v>
      </c>
    </row>
    <row r="319" spans="1:15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15.075318988588934</v>
      </c>
      <c r="H319">
        <v>6.492656250000001E-4</v>
      </c>
      <c r="I319">
        <v>-0.60500979381826125</v>
      </c>
      <c r="J319">
        <v>-3.9281206191453457E-4</v>
      </c>
      <c r="L319" s="98"/>
      <c r="M319" s="98">
        <v>5.7100253281229776</v>
      </c>
      <c r="N319" s="93">
        <v>1.953125E-3</v>
      </c>
      <c r="O319" s="93">
        <f t="shared" si="4"/>
        <v>0.3671875</v>
      </c>
    </row>
    <row r="320" spans="1:15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1.6750354431765495</v>
      </c>
      <c r="H320">
        <v>1.0280039062499999E-3</v>
      </c>
      <c r="I320">
        <v>-0.94569562159703968</v>
      </c>
      <c r="J320">
        <v>-9.7217879312527864E-4</v>
      </c>
      <c r="L320" s="98"/>
      <c r="M320" s="98">
        <v>5.8183348035897424</v>
      </c>
      <c r="N320" s="93">
        <v>9.765625E-4</v>
      </c>
      <c r="O320" s="93">
        <f t="shared" si="4"/>
        <v>0.3681640625</v>
      </c>
    </row>
    <row r="321" spans="1:15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8.3751772158827436</v>
      </c>
      <c r="H321">
        <v>2.1702304687499997E-3</v>
      </c>
      <c r="I321">
        <v>-0.75640935546650756</v>
      </c>
      <c r="J321">
        <v>-1.6415826300809639E-3</v>
      </c>
      <c r="L321" s="98"/>
      <c r="M321" s="98">
        <v>5.8183348035897424</v>
      </c>
      <c r="N321" s="93">
        <v>1.953125E-3</v>
      </c>
      <c r="O321" s="93">
        <f t="shared" si="4"/>
        <v>0.3701171875</v>
      </c>
    </row>
    <row r="322" spans="1:15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13.400283545412396</v>
      </c>
      <c r="H322">
        <v>1.3706718749999999E-3</v>
      </c>
      <c r="I322">
        <v>-0.63975107846703694</v>
      </c>
      <c r="J322">
        <v>-8.7688881025568561E-4</v>
      </c>
      <c r="L322" s="98"/>
      <c r="M322" s="98">
        <v>5.8183348035897424</v>
      </c>
      <c r="N322" s="93">
        <v>9.765625E-4</v>
      </c>
      <c r="O322" s="93">
        <f t="shared" si="4"/>
        <v>0.37109375</v>
      </c>
    </row>
    <row r="323" spans="1:15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6.492656250000001E-4</v>
      </c>
      <c r="I323">
        <v>-1</v>
      </c>
      <c r="J323">
        <v>-6.492656250000001E-4</v>
      </c>
      <c r="L323" s="98"/>
      <c r="M323" s="98">
        <v>5.88298296807407</v>
      </c>
      <c r="N323" s="93">
        <v>2.44140625E-4</v>
      </c>
      <c r="O323" s="93">
        <f t="shared" si="4"/>
        <v>0.371337890625</v>
      </c>
    </row>
    <row r="324" spans="1:15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6.7001417727061927</v>
      </c>
      <c r="H324">
        <v>1.3706718749999999E-3</v>
      </c>
      <c r="I324">
        <v>-0.79984440891153152</v>
      </c>
      <c r="J324">
        <v>-1.0963242356710355E-3</v>
      </c>
      <c r="L324" s="98"/>
      <c r="M324" s="98">
        <v>5.88298296807407</v>
      </c>
      <c r="N324" s="93">
        <v>4.8828125E-4</v>
      </c>
      <c r="O324" s="93">
        <f t="shared" ref="O324:O387" si="5">N324+O323</f>
        <v>0.371826171875</v>
      </c>
    </row>
    <row r="325" spans="1:15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11.725248102235838</v>
      </c>
      <c r="H325">
        <v>8.6568750000000003E-4</v>
      </c>
      <c r="I325">
        <v>-0.67648730083645736</v>
      </c>
      <c r="J325">
        <v>-5.8562660024286074E-4</v>
      </c>
      <c r="L325" s="98"/>
      <c r="M325" s="98">
        <v>5.88298296807407</v>
      </c>
      <c r="N325" s="93">
        <v>2.44140625E-4</v>
      </c>
      <c r="O325" s="93">
        <f t="shared" si="5"/>
        <v>0.3720703125</v>
      </c>
    </row>
    <row r="326" spans="1:15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3.8661629825832646</v>
      </c>
      <c r="H326">
        <v>5.7825219726562508E-4</v>
      </c>
      <c r="I326">
        <v>-0.87908639401575173</v>
      </c>
      <c r="J326">
        <v>-5.0833363892592348E-4</v>
      </c>
      <c r="L326" s="98"/>
      <c r="M326" s="98">
        <v>5.9556815757388426</v>
      </c>
      <c r="N326" s="93">
        <v>1.953125E-3</v>
      </c>
      <c r="O326" s="93">
        <f t="shared" si="5"/>
        <v>0.3740234375</v>
      </c>
    </row>
    <row r="327" spans="1:15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11.5984889477498</v>
      </c>
      <c r="H327">
        <v>1.220754638671875E-3</v>
      </c>
      <c r="I327">
        <v>-0.67935171335919076</v>
      </c>
      <c r="J327">
        <v>-8.2932175537291813E-4</v>
      </c>
      <c r="L327" s="98"/>
      <c r="M327" s="98">
        <v>5.9556815757388426</v>
      </c>
      <c r="N327" s="93">
        <v>3.90625E-3</v>
      </c>
      <c r="O327" s="93">
        <f t="shared" si="5"/>
        <v>0.3779296875</v>
      </c>
    </row>
    <row r="328" spans="1:15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17.397733421624689</v>
      </c>
      <c r="H328">
        <v>7.7100292968750007E-4</v>
      </c>
      <c r="I328">
        <v>-0.5599406699477818</v>
      </c>
      <c r="J328">
        <v>-4.3171589698092128E-4</v>
      </c>
      <c r="L328" s="98"/>
      <c r="M328" s="98">
        <v>5.9556815757388426</v>
      </c>
      <c r="N328" s="93">
        <v>1.953125E-3</v>
      </c>
      <c r="O328" s="93">
        <f t="shared" si="5"/>
        <v>0.3798828125</v>
      </c>
    </row>
    <row r="329" spans="1:15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1.933081491291633</v>
      </c>
      <c r="H329">
        <v>1.220754638671875E-3</v>
      </c>
      <c r="I329">
        <v>-0.93759607188583705</v>
      </c>
      <c r="J329">
        <v>-1.1445747539551643E-3</v>
      </c>
      <c r="L329" s="98"/>
      <c r="M329" s="98">
        <v>6.0301275954355766</v>
      </c>
      <c r="N329" s="93">
        <v>2.44140625E-4</v>
      </c>
      <c r="O329" s="93">
        <f t="shared" si="5"/>
        <v>0.380126953125</v>
      </c>
    </row>
    <row r="330" spans="1:15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9.6654074564581656</v>
      </c>
      <c r="H330">
        <v>2.577148681640625E-3</v>
      </c>
      <c r="I330">
        <v>-0.72456757630476676</v>
      </c>
      <c r="J330">
        <v>-1.8673183740333726E-3</v>
      </c>
      <c r="L330" s="98"/>
      <c r="M330" s="98">
        <v>6.0301275954355766</v>
      </c>
      <c r="N330" s="93">
        <v>4.8828125E-4</v>
      </c>
      <c r="O330" s="93">
        <f t="shared" si="5"/>
        <v>0.380615234375</v>
      </c>
    </row>
    <row r="331" spans="1:15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15.464651930333066</v>
      </c>
      <c r="H331">
        <v>1.6276728515624999E-3</v>
      </c>
      <c r="I331">
        <v>-0.59720884796535356</v>
      </c>
      <c r="J331">
        <v>-9.7206062854612255E-4</v>
      </c>
      <c r="L331" s="98"/>
      <c r="M331" s="98">
        <v>6.0301275954355766</v>
      </c>
      <c r="N331" s="93">
        <v>2.44140625E-4</v>
      </c>
      <c r="O331" s="93">
        <f t="shared" si="5"/>
        <v>0.380859375</v>
      </c>
    </row>
    <row r="332" spans="1:15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7.7100292968750007E-4</v>
      </c>
      <c r="I332">
        <v>-1</v>
      </c>
      <c r="J332">
        <v>-7.7100292968750007E-4</v>
      </c>
      <c r="L332" s="98"/>
      <c r="M332" s="98">
        <v>6.0487391003597581</v>
      </c>
      <c r="N332" s="93">
        <v>1.953125E-3</v>
      </c>
      <c r="O332" s="93">
        <f t="shared" si="5"/>
        <v>0.3828125</v>
      </c>
    </row>
    <row r="333" spans="1:15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7.7323259651665301</v>
      </c>
      <c r="H333">
        <v>1.6276728515625001E-3</v>
      </c>
      <c r="I333">
        <v>-0.77279288814361746</v>
      </c>
      <c r="J333">
        <v>-1.257854003911942E-3</v>
      </c>
      <c r="L333" s="98"/>
      <c r="M333" s="98">
        <v>6.0487391003597581</v>
      </c>
      <c r="N333" s="93">
        <v>3.90625E-3</v>
      </c>
      <c r="O333" s="93">
        <f t="shared" si="5"/>
        <v>0.38671875</v>
      </c>
    </row>
    <row r="334" spans="1:15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13.531570439041428</v>
      </c>
      <c r="H334">
        <v>1.0280039062499999E-3</v>
      </c>
      <c r="I334">
        <v>-0.63695749787449052</v>
      </c>
      <c r="J334">
        <v>-6.5479479593020227E-4</v>
      </c>
      <c r="L334" s="98"/>
      <c r="M334" s="98">
        <v>6.0487391003597581</v>
      </c>
      <c r="N334" s="93">
        <v>1.953125E-3</v>
      </c>
      <c r="O334" s="93">
        <f t="shared" si="5"/>
        <v>0.388671875</v>
      </c>
    </row>
    <row r="335" spans="1:15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3.8661629825832646</v>
      </c>
      <c r="H335">
        <v>1.220754638671875E-3</v>
      </c>
      <c r="I335">
        <v>-0.87908639401575173</v>
      </c>
      <c r="J335">
        <v>-1.0731487932880606E-3</v>
      </c>
      <c r="L335" s="98"/>
      <c r="M335" s="98">
        <v>6.1858607721332275</v>
      </c>
      <c r="N335" s="93">
        <v>9.765625E-4</v>
      </c>
      <c r="O335" s="93">
        <f t="shared" si="5"/>
        <v>0.3896484375</v>
      </c>
    </row>
    <row r="336" spans="1:15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11.5984889477498</v>
      </c>
      <c r="H336">
        <v>2.577148681640625E-3</v>
      </c>
      <c r="I336">
        <v>-0.67935171335919076</v>
      </c>
      <c r="J336">
        <v>-1.7507903724539382E-3</v>
      </c>
      <c r="L336" s="98"/>
      <c r="M336" s="98">
        <v>6.1858607721332275</v>
      </c>
      <c r="N336" s="93">
        <v>1.953125E-3</v>
      </c>
      <c r="O336" s="93">
        <f t="shared" si="5"/>
        <v>0.3916015625</v>
      </c>
    </row>
    <row r="337" spans="1:15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17.397733421624689</v>
      </c>
      <c r="H337">
        <v>1.6276728515624999E-3</v>
      </c>
      <c r="I337">
        <v>-0.5599406699477818</v>
      </c>
      <c r="J337">
        <v>-9.1140022695972264E-4</v>
      </c>
      <c r="L337" s="98"/>
      <c r="M337" s="98">
        <v>6.1858607721332275</v>
      </c>
      <c r="N337" s="93">
        <v>9.765625E-4</v>
      </c>
      <c r="O337" s="93">
        <f t="shared" si="5"/>
        <v>0.392578125</v>
      </c>
    </row>
    <row r="338" spans="1:15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1.933081491291633</v>
      </c>
      <c r="H338">
        <v>2.577148681640625E-3</v>
      </c>
      <c r="I338">
        <v>-0.93759607188583705</v>
      </c>
      <c r="J338">
        <v>-2.4163244805720137E-3</v>
      </c>
      <c r="L338" s="98"/>
      <c r="M338" s="98">
        <v>6.2062237904957227</v>
      </c>
      <c r="N338" s="93">
        <v>9.765625E-4</v>
      </c>
      <c r="O338" s="93">
        <f t="shared" si="5"/>
        <v>0.3935546875</v>
      </c>
    </row>
    <row r="339" spans="1:15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9.6654074564581656</v>
      </c>
      <c r="H339">
        <v>5.4406472167968746E-3</v>
      </c>
      <c r="I339">
        <v>-0.72456757630476676</v>
      </c>
      <c r="J339">
        <v>-3.9421165674037861E-3</v>
      </c>
      <c r="L339" s="98"/>
      <c r="M339" s="98">
        <v>6.2062237904957227</v>
      </c>
      <c r="N339" s="93">
        <v>1.953125E-3</v>
      </c>
      <c r="O339" s="93">
        <f t="shared" si="5"/>
        <v>0.3955078125</v>
      </c>
    </row>
    <row r="340" spans="1:15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15.464651930333066</v>
      </c>
      <c r="H340">
        <v>3.4361982421874998E-3</v>
      </c>
      <c r="I340">
        <v>-0.59720884796535356</v>
      </c>
      <c r="J340">
        <v>-2.0521279935973697E-3</v>
      </c>
      <c r="L340" s="98"/>
      <c r="M340" s="98">
        <v>6.2062237904957227</v>
      </c>
      <c r="N340" s="93">
        <v>9.765625E-4</v>
      </c>
      <c r="O340" s="93">
        <f t="shared" si="5"/>
        <v>0.396484375</v>
      </c>
    </row>
    <row r="341" spans="1:15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1.6276728515624999E-3</v>
      </c>
      <c r="I341">
        <v>-1</v>
      </c>
      <c r="J341">
        <v>-1.6276728515624999E-3</v>
      </c>
      <c r="L341" s="98"/>
      <c r="M341" s="98">
        <v>6.4237784941383476</v>
      </c>
      <c r="N341" s="93">
        <v>9.765625E-4</v>
      </c>
      <c r="O341" s="93">
        <f t="shared" si="5"/>
        <v>0.3974609375</v>
      </c>
    </row>
    <row r="342" spans="1:15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7.7323259651665301</v>
      </c>
      <c r="H342">
        <v>3.4361982421874998E-3</v>
      </c>
      <c r="I342">
        <v>-0.77279288814361746</v>
      </c>
      <c r="J342">
        <v>-2.6554695638140993E-3</v>
      </c>
      <c r="L342" s="98"/>
      <c r="M342" s="98">
        <v>6.4237784941383476</v>
      </c>
      <c r="N342" s="93">
        <v>1.953125E-3</v>
      </c>
      <c r="O342" s="93">
        <f t="shared" si="5"/>
        <v>0.3994140625</v>
      </c>
    </row>
    <row r="343" spans="1:15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13.531570439041428</v>
      </c>
      <c r="H343">
        <v>2.1702304687499997E-3</v>
      </c>
      <c r="I343">
        <v>-0.63695749787449052</v>
      </c>
      <c r="J343">
        <v>-1.3823445691859826E-3</v>
      </c>
      <c r="L343" s="98"/>
      <c r="M343" s="98">
        <v>6.4237784941383476</v>
      </c>
      <c r="N343" s="93">
        <v>9.765625E-4</v>
      </c>
      <c r="O343" s="93">
        <f t="shared" si="5"/>
        <v>0.400390625</v>
      </c>
    </row>
    <row r="344" spans="1:15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3.8661629825832646</v>
      </c>
      <c r="H344">
        <v>7.7100292968750007E-4</v>
      </c>
      <c r="I344">
        <v>-0.87908639401575173</v>
      </c>
      <c r="J344">
        <v>-6.7777818523456464E-4</v>
      </c>
      <c r="L344" s="98"/>
      <c r="M344" s="98">
        <v>6.5140497333127207</v>
      </c>
      <c r="N344" s="93">
        <v>4.8828125E-4</v>
      </c>
      <c r="O344" s="93">
        <f t="shared" si="5"/>
        <v>0.40087890625</v>
      </c>
    </row>
    <row r="345" spans="1:15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11.5984889477498</v>
      </c>
      <c r="H345">
        <v>1.6276728515625001E-3</v>
      </c>
      <c r="I345">
        <v>-0.67935171335919076</v>
      </c>
      <c r="J345">
        <v>-1.1057623404972243E-3</v>
      </c>
      <c r="L345" s="98"/>
      <c r="M345" s="98">
        <v>6.5140497333127207</v>
      </c>
      <c r="N345" s="93">
        <v>9.765625E-4</v>
      </c>
      <c r="O345" s="93">
        <f t="shared" si="5"/>
        <v>0.40185546875</v>
      </c>
    </row>
    <row r="346" spans="1:15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17.397733421624689</v>
      </c>
      <c r="H346">
        <v>1.0280039062499999E-3</v>
      </c>
      <c r="I346">
        <v>-0.5599406699477818</v>
      </c>
      <c r="J346">
        <v>-5.7562119597456168E-4</v>
      </c>
      <c r="L346" s="98"/>
      <c r="M346" s="98">
        <v>6.5140497333127207</v>
      </c>
      <c r="N346" s="93">
        <v>4.8828125E-4</v>
      </c>
      <c r="O346" s="93">
        <f t="shared" si="5"/>
        <v>0.40234375</v>
      </c>
    </row>
    <row r="347" spans="1:15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1.933081491291633</v>
      </c>
      <c r="H347">
        <v>1.6276728515624999E-3</v>
      </c>
      <c r="I347">
        <v>-0.93759607188583705</v>
      </c>
      <c r="J347">
        <v>-1.5260996719402191E-3</v>
      </c>
      <c r="L347" s="98"/>
      <c r="M347" s="98">
        <v>6.6616962161434747</v>
      </c>
      <c r="N347" s="93">
        <v>9.765625E-4</v>
      </c>
      <c r="O347" s="93">
        <f t="shared" si="5"/>
        <v>0.4033203125</v>
      </c>
    </row>
    <row r="348" spans="1:15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9.6654074564581656</v>
      </c>
      <c r="H348">
        <v>3.4361982421874998E-3</v>
      </c>
      <c r="I348">
        <v>-0.72456757630476676</v>
      </c>
      <c r="J348">
        <v>-2.4897578320444967E-3</v>
      </c>
      <c r="L348" s="98"/>
      <c r="M348" s="98">
        <v>6.6616962161434747</v>
      </c>
      <c r="N348" s="93">
        <v>1.953125E-3</v>
      </c>
      <c r="O348" s="93">
        <f t="shared" si="5"/>
        <v>0.4052734375</v>
      </c>
    </row>
    <row r="349" spans="1:15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15.464651930333066</v>
      </c>
      <c r="H349">
        <v>2.1702304687499997E-3</v>
      </c>
      <c r="I349">
        <v>-0.59720884796535356</v>
      </c>
      <c r="J349">
        <v>-1.2960808380614965E-3</v>
      </c>
      <c r="L349" s="98"/>
      <c r="M349" s="98">
        <v>6.6616962161434747</v>
      </c>
      <c r="N349" s="93">
        <v>9.765625E-4</v>
      </c>
      <c r="O349" s="93">
        <f t="shared" si="5"/>
        <v>0.40625</v>
      </c>
    </row>
    <row r="350" spans="1:15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1.0280039062499999E-3</v>
      </c>
      <c r="I350">
        <v>-1</v>
      </c>
      <c r="J350">
        <v>-1.0280039062499999E-3</v>
      </c>
      <c r="L350" s="98"/>
      <c r="M350" s="98">
        <v>6.7001417727061927</v>
      </c>
      <c r="N350" s="93">
        <v>9.765625E-4</v>
      </c>
      <c r="O350" s="93">
        <f t="shared" si="5"/>
        <v>0.4072265625</v>
      </c>
    </row>
    <row r="351" spans="1:15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7.7323259651665301</v>
      </c>
      <c r="H351">
        <v>2.1702304687499997E-3</v>
      </c>
      <c r="I351">
        <v>-0.77279288814361746</v>
      </c>
      <c r="J351">
        <v>-1.677138671882589E-3</v>
      </c>
      <c r="L351" s="98"/>
      <c r="M351" s="98">
        <v>6.7001417727061927</v>
      </c>
      <c r="N351" s="93">
        <v>1.953125E-3</v>
      </c>
      <c r="O351" s="93">
        <f t="shared" si="5"/>
        <v>0.4091796875</v>
      </c>
    </row>
    <row r="352" spans="1:15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13.531570439041428</v>
      </c>
      <c r="H352">
        <v>1.3706718749999999E-3</v>
      </c>
      <c r="I352">
        <v>-0.63695749787449052</v>
      </c>
      <c r="J352">
        <v>-8.7305972790693636E-4</v>
      </c>
      <c r="L352" s="98"/>
      <c r="M352" s="98">
        <v>6.7001417727061927</v>
      </c>
      <c r="N352" s="93">
        <v>9.765625E-4</v>
      </c>
      <c r="O352" s="93">
        <f t="shared" si="5"/>
        <v>0.41015625</v>
      </c>
    </row>
    <row r="353" spans="1:15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4.7583544401024813</v>
      </c>
      <c r="H353">
        <v>1.2207546386718748E-3</v>
      </c>
      <c r="I353">
        <v>-0.8533275439185668</v>
      </c>
      <c r="J353">
        <v>-1.0417035575450684E-3</v>
      </c>
      <c r="L353" s="98"/>
      <c r="M353" s="98">
        <v>6.7234091063703678</v>
      </c>
      <c r="N353" s="93">
        <v>4.8828125E-4</v>
      </c>
      <c r="O353" s="93">
        <f t="shared" si="5"/>
        <v>0.41064453125</v>
      </c>
    </row>
    <row r="354" spans="1:15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14.275063320307433</v>
      </c>
      <c r="H354">
        <v>2.5771486816406246E-3</v>
      </c>
      <c r="I354">
        <v>-0.62136572328663675</v>
      </c>
      <c r="J354">
        <v>-1.6013518545848291E-3</v>
      </c>
      <c r="L354" s="98"/>
      <c r="M354" s="98">
        <v>6.7234091063703678</v>
      </c>
      <c r="N354" s="93">
        <v>9.765625E-4</v>
      </c>
      <c r="O354" s="93">
        <f t="shared" si="5"/>
        <v>0.41162109375</v>
      </c>
    </row>
    <row r="355" spans="1:15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21.412594980461172</v>
      </c>
      <c r="H355">
        <v>1.6276728515624997E-3</v>
      </c>
      <c r="I355">
        <v>-0.48980243355221742</v>
      </c>
      <c r="J355">
        <v>-7.9723812372218953E-4</v>
      </c>
      <c r="L355" s="98"/>
      <c r="M355" s="98">
        <v>6.7234091063703678</v>
      </c>
      <c r="N355" s="93">
        <v>4.8828125E-4</v>
      </c>
      <c r="O355" s="93">
        <f t="shared" si="5"/>
        <v>0.412109375</v>
      </c>
    </row>
    <row r="356" spans="1:15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2.3791772200512344</v>
      </c>
      <c r="H356">
        <v>2.5771486816406246E-3</v>
      </c>
      <c r="I356">
        <v>-0.92375729708542342</v>
      </c>
      <c r="J356">
        <v>-2.3806599003396056E-3</v>
      </c>
      <c r="L356" s="98"/>
      <c r="M356" s="98">
        <v>6.9590933686498788</v>
      </c>
      <c r="N356" s="93">
        <v>4.8828125E-4</v>
      </c>
      <c r="O356" s="93">
        <f t="shared" si="5"/>
        <v>0.41259765625</v>
      </c>
    </row>
    <row r="357" spans="1:15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11.895886100256199</v>
      </c>
      <c r="H357">
        <v>5.4406472167968737E-3</v>
      </c>
      <c r="I357">
        <v>-0.67265040855117242</v>
      </c>
      <c r="J357">
        <v>-3.6596535731612161E-3</v>
      </c>
      <c r="L357" s="98"/>
      <c r="M357" s="98">
        <v>6.9590933686498788</v>
      </c>
      <c r="N357" s="93">
        <v>9.765625E-4</v>
      </c>
      <c r="O357" s="93">
        <f t="shared" si="5"/>
        <v>0.41357421875</v>
      </c>
    </row>
    <row r="358" spans="1:15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19.033417760409929</v>
      </c>
      <c r="H358">
        <v>3.4361982421874993E-3</v>
      </c>
      <c r="I358">
        <v>-0.53022848652736942</v>
      </c>
      <c r="J358">
        <v>-1.8219701933630849E-3</v>
      </c>
      <c r="L358" s="98"/>
      <c r="M358" s="98">
        <v>6.9590933686498788</v>
      </c>
      <c r="N358" s="93">
        <v>4.8828125E-4</v>
      </c>
      <c r="O358" s="93">
        <f t="shared" si="5"/>
        <v>0.4140625</v>
      </c>
    </row>
    <row r="359" spans="1:15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1.6276728515624997E-3</v>
      </c>
      <c r="I359">
        <v>-1</v>
      </c>
      <c r="J359">
        <v>-1.6276728515624997E-3</v>
      </c>
      <c r="L359" s="98"/>
      <c r="M359" s="98">
        <v>6.9820017643076868</v>
      </c>
      <c r="N359" s="93">
        <v>4.8828125E-4</v>
      </c>
      <c r="O359" s="93">
        <f t="shared" si="5"/>
        <v>0.41455078125</v>
      </c>
    </row>
    <row r="360" spans="1:15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9.5167088802049662</v>
      </c>
      <c r="H360">
        <v>3.4361982421874993E-3</v>
      </c>
      <c r="I360">
        <v>-0.72816789721009356</v>
      </c>
      <c r="J360">
        <v>-2.5021292484106914E-3</v>
      </c>
      <c r="L360" s="98"/>
      <c r="M360" s="98">
        <v>6.9820017643076868</v>
      </c>
      <c r="N360" s="93">
        <v>9.765625E-4</v>
      </c>
      <c r="O360" s="93">
        <f t="shared" si="5"/>
        <v>0.41552734375</v>
      </c>
    </row>
    <row r="361" spans="1:15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16.654240540358682</v>
      </c>
      <c r="H361">
        <v>2.1702304687499993E-3</v>
      </c>
      <c r="I361">
        <v>-0.57399112104479244</v>
      </c>
      <c r="J361">
        <v>-1.2456930196833775E-3</v>
      </c>
      <c r="L361" s="98"/>
      <c r="M361" s="98">
        <v>6.9820017643076868</v>
      </c>
      <c r="N361" s="93">
        <v>4.8828125E-4</v>
      </c>
      <c r="O361" s="93">
        <f t="shared" si="5"/>
        <v>0.416015625</v>
      </c>
    </row>
    <row r="362" spans="1:15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4.7583544401024813</v>
      </c>
      <c r="H362">
        <v>2.5771486816406246E-3</v>
      </c>
      <c r="I362">
        <v>-0.8533275439185668</v>
      </c>
      <c r="J362">
        <v>-2.1991519548173665E-3</v>
      </c>
      <c r="L362" s="98"/>
      <c r="M362" s="98">
        <v>7.0464302641057577</v>
      </c>
      <c r="N362" s="93">
        <v>2.44140625E-4</v>
      </c>
      <c r="O362" s="93">
        <f t="shared" si="5"/>
        <v>0.416259765625</v>
      </c>
    </row>
    <row r="363" spans="1:15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14.275063320307433</v>
      </c>
      <c r="H363">
        <v>5.4406472167968737E-3</v>
      </c>
      <c r="I363">
        <v>-0.62136572328663675</v>
      </c>
      <c r="J363">
        <v>-3.3806316930124168E-3</v>
      </c>
      <c r="L363" s="98"/>
      <c r="M363" s="98">
        <v>7.0464302641057577</v>
      </c>
      <c r="N363" s="93">
        <v>4.8828125E-4</v>
      </c>
      <c r="O363" s="93">
        <f t="shared" si="5"/>
        <v>0.416748046875</v>
      </c>
    </row>
    <row r="364" spans="1:15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21.412594980461172</v>
      </c>
      <c r="H364">
        <v>3.4361982421874993E-3</v>
      </c>
      <c r="I364">
        <v>-0.48980243355221742</v>
      </c>
      <c r="J364">
        <v>-1.6830582611912889E-3</v>
      </c>
      <c r="L364" s="98"/>
      <c r="M364" s="98">
        <v>7.0464302641057577</v>
      </c>
      <c r="N364" s="93">
        <v>2.44140625E-4</v>
      </c>
      <c r="O364" s="93">
        <f t="shared" si="5"/>
        <v>0.4169921875</v>
      </c>
    </row>
    <row r="365" spans="1:15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2.3791772200512344</v>
      </c>
      <c r="H365">
        <v>5.4406472167968746E-3</v>
      </c>
      <c r="I365">
        <v>-0.92375729708542342</v>
      </c>
      <c r="J365">
        <v>-5.0258375673836123E-3</v>
      </c>
      <c r="L365" s="98"/>
      <c r="M365" s="98">
        <v>7.2405944222450067</v>
      </c>
      <c r="N365" s="93">
        <v>4.8828125E-4</v>
      </c>
      <c r="O365" s="93">
        <f t="shared" si="5"/>
        <v>0.41748046875</v>
      </c>
    </row>
    <row r="366" spans="1:15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11.895886100256199</v>
      </c>
      <c r="H366">
        <v>1.1485810791015622E-2</v>
      </c>
      <c r="I366">
        <v>-0.67265040855117242</v>
      </c>
      <c r="J366">
        <v>-7.7259353211181232E-3</v>
      </c>
      <c r="L366" s="98"/>
      <c r="M366" s="98">
        <v>7.2405944222450067</v>
      </c>
      <c r="N366" s="93">
        <v>9.765625E-4</v>
      </c>
      <c r="O366" s="93">
        <f t="shared" si="5"/>
        <v>0.41845703125</v>
      </c>
    </row>
    <row r="367" spans="1:15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19.033417760409929</v>
      </c>
      <c r="H367">
        <v>7.2541962890624988E-3</v>
      </c>
      <c r="I367">
        <v>-0.53022848652736942</v>
      </c>
      <c r="J367">
        <v>-3.8463815193220683E-3</v>
      </c>
      <c r="L367" s="98"/>
      <c r="M367" s="98">
        <v>7.2405944222450067</v>
      </c>
      <c r="N367" s="93">
        <v>4.8828125E-4</v>
      </c>
      <c r="O367" s="93">
        <f t="shared" si="5"/>
        <v>0.4189453125</v>
      </c>
    </row>
    <row r="368" spans="1:15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3.4361982421874993E-3</v>
      </c>
      <c r="I368">
        <v>-1</v>
      </c>
      <c r="J368">
        <v>-3.4361982421874993E-3</v>
      </c>
      <c r="L368" s="98"/>
      <c r="M368" s="98">
        <v>7.2584869204317108</v>
      </c>
      <c r="N368" s="93">
        <v>9.765625E-4</v>
      </c>
      <c r="O368" s="93">
        <f t="shared" si="5"/>
        <v>0.419921875</v>
      </c>
    </row>
    <row r="369" spans="1:15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9.5167088802049662</v>
      </c>
      <c r="H369">
        <v>7.254196289062498E-3</v>
      </c>
      <c r="I369">
        <v>-0.72816789721009356</v>
      </c>
      <c r="J369">
        <v>-5.2822728577559029E-3</v>
      </c>
      <c r="L369" s="98"/>
      <c r="M369" s="98">
        <v>7.2584869204317108</v>
      </c>
      <c r="N369" s="93">
        <v>1.953125E-3</v>
      </c>
      <c r="O369" s="93">
        <f t="shared" si="5"/>
        <v>0.421875</v>
      </c>
    </row>
    <row r="370" spans="1:15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16.654240540358682</v>
      </c>
      <c r="H370">
        <v>4.5815976562499985E-3</v>
      </c>
      <c r="I370">
        <v>-0.57399112104479244</v>
      </c>
      <c r="J370">
        <v>-2.6297963748871302E-3</v>
      </c>
      <c r="L370" s="98"/>
      <c r="M370" s="98">
        <v>7.2584869204317108</v>
      </c>
      <c r="N370" s="93">
        <v>9.765625E-4</v>
      </c>
      <c r="O370" s="93">
        <f t="shared" si="5"/>
        <v>0.4228515625</v>
      </c>
    </row>
    <row r="371" spans="1:15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4.7583544401024813</v>
      </c>
      <c r="H371">
        <v>1.6276728515624997E-3</v>
      </c>
      <c r="I371">
        <v>-0.8533275439185668</v>
      </c>
      <c r="J371">
        <v>-1.3889380767267579E-3</v>
      </c>
      <c r="L371" s="98"/>
      <c r="M371" s="98">
        <v>7.3399070494010648</v>
      </c>
      <c r="N371" s="93">
        <v>4.8828125E-4</v>
      </c>
      <c r="O371" s="93">
        <f t="shared" si="5"/>
        <v>0.42333984375</v>
      </c>
    </row>
    <row r="372" spans="1:15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14.275063320307433</v>
      </c>
      <c r="H372">
        <v>3.4361982421874993E-3</v>
      </c>
      <c r="I372">
        <v>-0.62136572328663675</v>
      </c>
      <c r="J372">
        <v>-2.1351358061131053E-3</v>
      </c>
      <c r="L372" s="98"/>
      <c r="M372" s="98">
        <v>7.3399070494010648</v>
      </c>
      <c r="N372" s="93">
        <v>9.765625E-4</v>
      </c>
      <c r="O372" s="93">
        <f t="shared" si="5"/>
        <v>0.42431640625</v>
      </c>
    </row>
    <row r="373" spans="1:15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21.412594980461172</v>
      </c>
      <c r="H373">
        <v>2.1702304687499993E-3</v>
      </c>
      <c r="I373">
        <v>-0.48980243355221742</v>
      </c>
      <c r="J373">
        <v>-1.0629841649629193E-3</v>
      </c>
      <c r="L373" s="98"/>
      <c r="M373" s="98">
        <v>7.3399070494010648</v>
      </c>
      <c r="N373" s="93">
        <v>4.8828125E-4</v>
      </c>
      <c r="O373" s="93">
        <f t="shared" si="5"/>
        <v>0.4248046875</v>
      </c>
    </row>
    <row r="374" spans="1:15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2.3791772200512344</v>
      </c>
      <c r="H374">
        <v>3.4361982421874993E-3</v>
      </c>
      <c r="I374">
        <v>-0.92375729708542342</v>
      </c>
      <c r="J374">
        <v>-3.1742132004528075E-3</v>
      </c>
      <c r="L374" s="98"/>
      <c r="M374" s="98">
        <v>7.3891626049566161</v>
      </c>
      <c r="N374" s="93">
        <v>2.44140625E-4</v>
      </c>
      <c r="O374" s="93">
        <f t="shared" si="5"/>
        <v>0.425048828125</v>
      </c>
    </row>
    <row r="375" spans="1:15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11.895886100256199</v>
      </c>
      <c r="H375">
        <v>7.254196289062498E-3</v>
      </c>
      <c r="I375">
        <v>-0.67265040855117242</v>
      </c>
      <c r="J375">
        <v>-4.8795380975482881E-3</v>
      </c>
      <c r="L375" s="98"/>
      <c r="M375" s="98">
        <v>7.3891626049566161</v>
      </c>
      <c r="N375" s="93">
        <v>4.8828125E-4</v>
      </c>
      <c r="O375" s="93">
        <f t="shared" si="5"/>
        <v>0.425537109375</v>
      </c>
    </row>
    <row r="376" spans="1:15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19.033417760409929</v>
      </c>
      <c r="H376">
        <v>4.5815976562499985E-3</v>
      </c>
      <c r="I376">
        <v>-0.53022848652736942</v>
      </c>
      <c r="J376">
        <v>-2.4292935911507797E-3</v>
      </c>
      <c r="L376" s="98"/>
      <c r="M376" s="98">
        <v>7.3891626049566161</v>
      </c>
      <c r="N376" s="93">
        <v>2.44140625E-4</v>
      </c>
      <c r="O376" s="93">
        <f t="shared" si="5"/>
        <v>0.42578125</v>
      </c>
    </row>
    <row r="377" spans="1:15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2.1702304687499997E-3</v>
      </c>
      <c r="I377">
        <v>-1</v>
      </c>
      <c r="J377">
        <v>-2.1702304687499997E-3</v>
      </c>
      <c r="L377" s="98"/>
      <c r="M377" s="98">
        <v>7.444601969673549</v>
      </c>
      <c r="N377" s="93">
        <v>3.90625E-3</v>
      </c>
      <c r="O377" s="93">
        <f t="shared" si="5"/>
        <v>0.4296875</v>
      </c>
    </row>
    <row r="378" spans="1:15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9.5167088802049662</v>
      </c>
      <c r="H378">
        <v>4.5815976562499994E-3</v>
      </c>
      <c r="I378">
        <v>-0.72816789721009356</v>
      </c>
      <c r="J378">
        <v>-3.3361723312142553E-3</v>
      </c>
      <c r="L378" s="98"/>
      <c r="M378" s="98">
        <v>7.444601969673549</v>
      </c>
      <c r="N378" s="93">
        <v>7.8125E-3</v>
      </c>
      <c r="O378" s="93">
        <f t="shared" si="5"/>
        <v>0.4375</v>
      </c>
    </row>
    <row r="379" spans="1:15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16.654240540358682</v>
      </c>
      <c r="H379">
        <v>2.8936406249999995E-3</v>
      </c>
      <c r="I379">
        <v>-0.57399112104479244</v>
      </c>
      <c r="J379">
        <v>-1.6609240262445036E-3</v>
      </c>
      <c r="L379" s="98"/>
      <c r="M379" s="98">
        <v>7.444601969673549</v>
      </c>
      <c r="N379" s="93">
        <v>3.90625E-3</v>
      </c>
      <c r="O379" s="93">
        <f t="shared" si="5"/>
        <v>0.44140625</v>
      </c>
    </row>
    <row r="380" spans="1:15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5.353148745115285</v>
      </c>
      <c r="H380">
        <v>7.7100292968750007E-4</v>
      </c>
      <c r="I380">
        <v>-0.83657567911169051</v>
      </c>
      <c r="J380">
        <v>-6.4500229950042337E-4</v>
      </c>
      <c r="L380" s="98"/>
      <c r="M380" s="98">
        <v>7.4944082431614056</v>
      </c>
      <c r="N380" s="93">
        <v>4.8828125E-4</v>
      </c>
      <c r="O380" s="93">
        <f t="shared" si="5"/>
        <v>0.44189453125</v>
      </c>
    </row>
    <row r="381" spans="1:15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16.059446235345884</v>
      </c>
      <c r="H381">
        <v>1.6276728515625001E-3</v>
      </c>
      <c r="I381">
        <v>-0.58548490684346599</v>
      </c>
      <c r="J381">
        <v>-9.5297788786870904E-4</v>
      </c>
      <c r="L381" s="98"/>
      <c r="M381" s="98">
        <v>7.4944082431614056</v>
      </c>
      <c r="N381" s="93">
        <v>9.765625E-4</v>
      </c>
      <c r="O381" s="93">
        <f t="shared" si="5"/>
        <v>0.44287109375</v>
      </c>
    </row>
    <row r="382" spans="1:15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24.089169353018811</v>
      </c>
      <c r="H382">
        <v>1.0280039062499999E-3</v>
      </c>
      <c r="I382">
        <v>-0.44799540121394027</v>
      </c>
      <c r="J382">
        <v>-4.6054102242996654E-4</v>
      </c>
      <c r="L382" s="98"/>
      <c r="M382" s="98">
        <v>7.4944082431614056</v>
      </c>
      <c r="N382" s="93">
        <v>4.8828125E-4</v>
      </c>
      <c r="O382" s="93">
        <f t="shared" si="5"/>
        <v>0.443359375</v>
      </c>
    </row>
    <row r="383" spans="1:15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2.6765743725576416</v>
      </c>
      <c r="H383">
        <v>1.6276728515624999E-3</v>
      </c>
      <c r="I383">
        <v>-0.91464511101940005</v>
      </c>
      <c r="J383">
        <v>-1.4887430160206462E-3</v>
      </c>
      <c r="L383" s="98"/>
      <c r="M383" s="98">
        <v>7.5638352446666604</v>
      </c>
      <c r="N383" s="93">
        <v>2.44140625E-4</v>
      </c>
      <c r="O383" s="93">
        <f t="shared" si="5"/>
        <v>0.443603515625</v>
      </c>
    </row>
    <row r="384" spans="1:15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13.382871862788226</v>
      </c>
      <c r="H384">
        <v>3.4361982421874998E-3</v>
      </c>
      <c r="I384">
        <v>-0.6401224909964538</v>
      </c>
      <c r="J384">
        <v>-2.1995877783466981E-3</v>
      </c>
      <c r="L384" s="98"/>
      <c r="M384" s="98">
        <v>7.5638352446666604</v>
      </c>
      <c r="N384" s="93">
        <v>4.8828125E-4</v>
      </c>
      <c r="O384" s="93">
        <f t="shared" si="5"/>
        <v>0.444091796875</v>
      </c>
    </row>
    <row r="385" spans="1:15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21.412594980461172</v>
      </c>
      <c r="H385">
        <v>2.1702304687499997E-3</v>
      </c>
      <c r="I385">
        <v>-0.48980243355221742</v>
      </c>
      <c r="J385">
        <v>-1.0629841649629195E-3</v>
      </c>
      <c r="L385" s="98"/>
      <c r="M385" s="98">
        <v>7.5638352446666604</v>
      </c>
      <c r="N385" s="93">
        <v>2.44140625E-4</v>
      </c>
      <c r="O385" s="93">
        <f t="shared" si="5"/>
        <v>0.4443359375</v>
      </c>
    </row>
    <row r="386" spans="1:15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1.0280039062499999E-3</v>
      </c>
      <c r="I386">
        <v>-1</v>
      </c>
      <c r="J386">
        <v>-1.0280039062499999E-3</v>
      </c>
      <c r="L386" s="98"/>
      <c r="M386" s="98">
        <v>7.6133671041639683</v>
      </c>
      <c r="N386" s="93">
        <v>1.953125E-3</v>
      </c>
      <c r="O386" s="93">
        <f t="shared" si="5"/>
        <v>0.4462890625</v>
      </c>
    </row>
    <row r="387" spans="1:15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10.706297490230577</v>
      </c>
      <c r="H387">
        <v>2.1702304687499997E-3</v>
      </c>
      <c r="I387">
        <v>-0.69985886688118604</v>
      </c>
      <c r="J387">
        <v>-1.5188550367304001E-3</v>
      </c>
      <c r="L387" s="98"/>
      <c r="M387" s="98">
        <v>7.6133671041639683</v>
      </c>
      <c r="N387" s="93">
        <v>3.90625E-3</v>
      </c>
      <c r="O387" s="93">
        <f t="shared" si="5"/>
        <v>0.4501953125</v>
      </c>
    </row>
    <row r="388" spans="1:15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18.736020607903523</v>
      </c>
      <c r="H388">
        <v>1.3706718749999999E-3</v>
      </c>
      <c r="I388">
        <v>-0.53551090762002518</v>
      </c>
      <c r="J388">
        <v>-7.3400973983049167E-4</v>
      </c>
      <c r="L388" s="98"/>
      <c r="M388" s="98">
        <v>7.6133671041639683</v>
      </c>
      <c r="N388" s="93">
        <v>1.953125E-3</v>
      </c>
      <c r="O388" s="93">
        <f t="shared" ref="O388:O451" si="6">N388+O387</f>
        <v>0.4521484375</v>
      </c>
    </row>
    <row r="389" spans="1:15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5.353148745115285</v>
      </c>
      <c r="H389">
        <v>1.6276728515624997E-3</v>
      </c>
      <c r="I389">
        <v>-0.83657567911169051</v>
      </c>
      <c r="J389">
        <v>-1.3616715211675599E-3</v>
      </c>
      <c r="L389" s="98"/>
      <c r="M389" s="98">
        <v>7.6382198580430352</v>
      </c>
      <c r="N389" s="93">
        <v>9.765625E-4</v>
      </c>
      <c r="O389" s="93">
        <f t="shared" si="6"/>
        <v>0.453125</v>
      </c>
    </row>
    <row r="390" spans="1:15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16.059446235345884</v>
      </c>
      <c r="H390">
        <v>3.4361982421874993E-3</v>
      </c>
      <c r="I390">
        <v>-0.58548490684346599</v>
      </c>
      <c r="J390">
        <v>-2.0118422077228296E-3</v>
      </c>
      <c r="L390" s="98"/>
      <c r="M390" s="98">
        <v>7.6382198580430352</v>
      </c>
      <c r="N390" s="93">
        <v>1.953125E-3</v>
      </c>
      <c r="O390" s="93">
        <f t="shared" si="6"/>
        <v>0.455078125</v>
      </c>
    </row>
    <row r="391" spans="1:15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24.089169353018811</v>
      </c>
      <c r="H391">
        <v>2.1702304687499993E-3</v>
      </c>
      <c r="I391">
        <v>-0.44799540121394027</v>
      </c>
      <c r="J391">
        <v>-9.7225326957437364E-4</v>
      </c>
      <c r="L391" s="98"/>
      <c r="M391" s="98">
        <v>7.6382198580430352</v>
      </c>
      <c r="N391" s="93">
        <v>9.765625E-4</v>
      </c>
      <c r="O391" s="93">
        <f t="shared" si="6"/>
        <v>0.4560546875</v>
      </c>
    </row>
    <row r="392" spans="1:15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2.6765743725576416</v>
      </c>
      <c r="H392">
        <v>3.4361982421874993E-3</v>
      </c>
      <c r="I392">
        <v>-0.91464511101940005</v>
      </c>
      <c r="J392">
        <v>-3.1429019227102524E-3</v>
      </c>
      <c r="L392" s="98"/>
      <c r="M392" s="98">
        <v>7.6382198580430352</v>
      </c>
      <c r="N392" s="93">
        <v>4.8828125E-4</v>
      </c>
      <c r="O392" s="93">
        <f t="shared" si="6"/>
        <v>0.45654296875</v>
      </c>
    </row>
    <row r="393" spans="1:15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13.382871862788226</v>
      </c>
      <c r="H393">
        <v>7.254196289062498E-3</v>
      </c>
      <c r="I393">
        <v>-0.6401224909964538</v>
      </c>
      <c r="J393">
        <v>-4.6435741987319173E-3</v>
      </c>
      <c r="L393" s="98"/>
      <c r="M393" s="98">
        <v>7.6382198580430352</v>
      </c>
      <c r="N393" s="93">
        <v>9.765625E-4</v>
      </c>
      <c r="O393" s="93">
        <f t="shared" si="6"/>
        <v>0.45751953125</v>
      </c>
    </row>
    <row r="394" spans="1:15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21.412594980461172</v>
      </c>
      <c r="H394">
        <v>4.5815976562499985E-3</v>
      </c>
      <c r="I394">
        <v>-0.48980243355221742</v>
      </c>
      <c r="J394">
        <v>-2.2440776815883848E-3</v>
      </c>
      <c r="L394" s="98"/>
      <c r="M394" s="98">
        <v>7.6382198580430352</v>
      </c>
      <c r="N394" s="93">
        <v>4.8828125E-4</v>
      </c>
      <c r="O394" s="93">
        <f t="shared" si="6"/>
        <v>0.4580078125</v>
      </c>
    </row>
    <row r="395" spans="1:15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2.1702304687499997E-3</v>
      </c>
      <c r="I395">
        <v>-1</v>
      </c>
      <c r="J395">
        <v>-2.1702304687499997E-3</v>
      </c>
      <c r="L395" s="98"/>
      <c r="M395" s="98">
        <v>7.6382198580430352</v>
      </c>
      <c r="N395" s="93">
        <v>4.8828125E-4</v>
      </c>
      <c r="O395" s="93">
        <f t="shared" si="6"/>
        <v>0.45849609375</v>
      </c>
    </row>
    <row r="396" spans="1:15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10.706297490230577</v>
      </c>
      <c r="H396">
        <v>4.5815976562499994E-3</v>
      </c>
      <c r="I396">
        <v>-0.69985886688118604</v>
      </c>
      <c r="J396">
        <v>-3.2064717442086225E-3</v>
      </c>
      <c r="L396" s="98"/>
      <c r="M396" s="98">
        <v>7.6382198580430352</v>
      </c>
      <c r="N396" s="93">
        <v>9.765625E-4</v>
      </c>
      <c r="O396" s="93">
        <f t="shared" si="6"/>
        <v>0.45947265625</v>
      </c>
    </row>
    <row r="397" spans="1:15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18.736020607903523</v>
      </c>
      <c r="H397">
        <v>2.8936406249999995E-3</v>
      </c>
      <c r="I397">
        <v>-0.53551090762002518</v>
      </c>
      <c r="J397">
        <v>-1.5495761174199266E-3</v>
      </c>
      <c r="L397" s="98"/>
      <c r="M397" s="98">
        <v>7.6382198580430352</v>
      </c>
      <c r="N397" s="93">
        <v>4.8828125E-4</v>
      </c>
      <c r="O397" s="93">
        <f t="shared" si="6"/>
        <v>0.4599609375</v>
      </c>
    </row>
    <row r="398" spans="1:15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5.353148745115285</v>
      </c>
      <c r="H398">
        <v>1.0280039062499999E-3</v>
      </c>
      <c r="I398">
        <v>-0.83657567911169051</v>
      </c>
      <c r="J398">
        <v>-8.6000306600056431E-4</v>
      </c>
      <c r="L398" s="98"/>
      <c r="M398" s="98">
        <v>7.6382198580430352</v>
      </c>
      <c r="N398" s="93">
        <v>2.44140625E-4</v>
      </c>
      <c r="O398" s="93">
        <f t="shared" si="6"/>
        <v>0.460205078125</v>
      </c>
    </row>
    <row r="399" spans="1:15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16.059446235345884</v>
      </c>
      <c r="H399">
        <v>2.1702304687499997E-3</v>
      </c>
      <c r="I399">
        <v>-0.58548490684346599</v>
      </c>
      <c r="J399">
        <v>-1.2706371838249451E-3</v>
      </c>
      <c r="L399" s="98"/>
      <c r="M399" s="98">
        <v>7.6382198580430352</v>
      </c>
      <c r="N399" s="93">
        <v>4.8828125E-4</v>
      </c>
      <c r="O399" s="93">
        <f t="shared" si="6"/>
        <v>0.460693359375</v>
      </c>
    </row>
    <row r="400" spans="1:15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24.089169353018811</v>
      </c>
      <c r="H400">
        <v>1.3706718749999999E-3</v>
      </c>
      <c r="I400">
        <v>-0.44799540121394027</v>
      </c>
      <c r="J400">
        <v>-6.140546965732888E-4</v>
      </c>
      <c r="L400" s="98"/>
      <c r="M400" s="98">
        <v>7.6382198580430352</v>
      </c>
      <c r="N400" s="93">
        <v>2.44140625E-4</v>
      </c>
      <c r="O400" s="93">
        <f t="shared" si="6"/>
        <v>0.4609375</v>
      </c>
    </row>
    <row r="401" spans="1:15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2.6765743725576416</v>
      </c>
      <c r="H401">
        <v>2.1702304687499997E-3</v>
      </c>
      <c r="I401">
        <v>-0.91464511101940005</v>
      </c>
      <c r="J401">
        <v>-1.984990688027528E-3</v>
      </c>
      <c r="L401" s="98"/>
      <c r="M401" s="98">
        <v>7.7323259651665301</v>
      </c>
      <c r="N401" s="93">
        <v>1.953125E-3</v>
      </c>
      <c r="O401" s="93">
        <f t="shared" si="6"/>
        <v>0.462890625</v>
      </c>
    </row>
    <row r="402" spans="1:15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13.382871862788226</v>
      </c>
      <c r="H402">
        <v>4.5815976562499994E-3</v>
      </c>
      <c r="I402">
        <v>-0.6401224909964538</v>
      </c>
      <c r="J402">
        <v>-2.9327837044622641E-3</v>
      </c>
      <c r="L402" s="98"/>
      <c r="M402" s="98">
        <v>7.7323259651665301</v>
      </c>
      <c r="N402" s="93">
        <v>3.90625E-3</v>
      </c>
      <c r="O402" s="93">
        <f t="shared" si="6"/>
        <v>0.466796875</v>
      </c>
    </row>
    <row r="403" spans="1:15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21.412594980461172</v>
      </c>
      <c r="H403">
        <v>2.8936406249999995E-3</v>
      </c>
      <c r="I403">
        <v>-0.48980243355221742</v>
      </c>
      <c r="J403">
        <v>-1.4173122199505591E-3</v>
      </c>
      <c r="L403" s="98"/>
      <c r="M403" s="98">
        <v>7.7323259651665301</v>
      </c>
      <c r="N403" s="93">
        <v>1.953125E-3</v>
      </c>
      <c r="O403" s="93">
        <f t="shared" si="6"/>
        <v>0.46875</v>
      </c>
    </row>
    <row r="404" spans="1:15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1.3706718749999999E-3</v>
      </c>
      <c r="I404">
        <v>-1</v>
      </c>
      <c r="J404">
        <v>-1.3706718749999999E-3</v>
      </c>
      <c r="L404" s="98"/>
      <c r="M404" s="98">
        <v>8.1456687250256294</v>
      </c>
      <c r="N404" s="93">
        <v>2.44140625E-4</v>
      </c>
      <c r="O404" s="93">
        <f t="shared" si="6"/>
        <v>0.468994140625</v>
      </c>
    </row>
    <row r="405" spans="1:15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10.706297490230577</v>
      </c>
      <c r="H405">
        <v>2.8936406249999995E-3</v>
      </c>
      <c r="I405">
        <v>-0.69985886688118604</v>
      </c>
      <c r="J405">
        <v>-2.0251400489738666E-3</v>
      </c>
      <c r="L405" s="98"/>
      <c r="M405" s="98">
        <v>8.1456687250256294</v>
      </c>
      <c r="N405" s="93">
        <v>4.8828125E-4</v>
      </c>
      <c r="O405" s="93">
        <f t="shared" si="6"/>
        <v>0.469482421875</v>
      </c>
    </row>
    <row r="406" spans="1:15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18.736020607903523</v>
      </c>
      <c r="H406">
        <v>1.8275624999999998E-3</v>
      </c>
      <c r="I406">
        <v>-0.53551090762002518</v>
      </c>
      <c r="J406">
        <v>-9.7867965310732222E-4</v>
      </c>
      <c r="L406" s="98"/>
      <c r="M406" s="98">
        <v>8.1456687250256294</v>
      </c>
      <c r="N406" s="93">
        <v>2.44140625E-4</v>
      </c>
      <c r="O406" s="93">
        <f t="shared" si="6"/>
        <v>0.4697265625</v>
      </c>
    </row>
    <row r="407" spans="1:15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4.2021306914814778</v>
      </c>
      <c r="H407">
        <v>3.652119140625E-4</v>
      </c>
      <c r="I407">
        <v>-0.86929649311851043</v>
      </c>
      <c r="J407">
        <v>-3.1747743613963004E-4</v>
      </c>
      <c r="L407" s="98"/>
      <c r="M407" s="98">
        <v>8.2749650539942952</v>
      </c>
      <c r="N407" s="93">
        <v>9.765625E-4</v>
      </c>
      <c r="O407" s="93">
        <f t="shared" si="6"/>
        <v>0.470703125</v>
      </c>
    </row>
    <row r="408" spans="1:15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12.606392074444438</v>
      </c>
      <c r="H408">
        <v>7.7100292968749996E-4</v>
      </c>
      <c r="I408">
        <v>-0.65690683832226382</v>
      </c>
      <c r="J408">
        <v>-5.0647709687821831E-4</v>
      </c>
      <c r="L408" s="98"/>
      <c r="M408" s="98">
        <v>8.2749650539942952</v>
      </c>
      <c r="N408" s="93">
        <v>1.953125E-3</v>
      </c>
      <c r="O408" s="93">
        <f t="shared" si="6"/>
        <v>0.47265625</v>
      </c>
    </row>
    <row r="409" spans="1:15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18.909588111666647</v>
      </c>
      <c r="H409">
        <v>4.8694921874999997E-4</v>
      </c>
      <c r="I409">
        <v>-0.53242160988317777</v>
      </c>
      <c r="J409">
        <v>-2.5926228697823069E-4</v>
      </c>
      <c r="L409" s="98"/>
      <c r="M409" s="98">
        <v>8.2749650539942952</v>
      </c>
      <c r="N409" s="93">
        <v>9.765625E-4</v>
      </c>
      <c r="O409" s="93">
        <f t="shared" si="6"/>
        <v>0.4736328125</v>
      </c>
    </row>
    <row r="410" spans="1:15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2.1010653457407376</v>
      </c>
      <c r="H410">
        <v>7.7100292968749996E-4</v>
      </c>
      <c r="I410">
        <v>-0.93236070976768992</v>
      </c>
      <c r="J410">
        <v>-7.1885283875640577E-4</v>
      </c>
      <c r="L410" s="98"/>
      <c r="M410" s="98">
        <v>8.3751772158827436</v>
      </c>
      <c r="N410" s="93">
        <v>1.953125E-3</v>
      </c>
      <c r="O410" s="93">
        <f t="shared" si="6"/>
        <v>0.4755859375</v>
      </c>
    </row>
    <row r="411" spans="1:15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10.50532672870369</v>
      </c>
      <c r="H411">
        <v>1.6276728515624999E-3</v>
      </c>
      <c r="I411">
        <v>-0.70456297808381596</v>
      </c>
      <c r="J411">
        <v>-1.1467980316430518E-3</v>
      </c>
      <c r="L411" s="98"/>
      <c r="M411" s="98">
        <v>8.3751772158827436</v>
      </c>
      <c r="N411" s="93">
        <v>3.90625E-3</v>
      </c>
      <c r="O411" s="93">
        <f t="shared" si="6"/>
        <v>0.4794921875</v>
      </c>
    </row>
    <row r="412" spans="1:15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16.808522765925922</v>
      </c>
      <c r="H412">
        <v>1.0280039062499999E-3</v>
      </c>
      <c r="I412">
        <v>-0.57104681085911202</v>
      </c>
      <c r="J412">
        <v>-5.8703835221477201E-4</v>
      </c>
      <c r="L412" s="98"/>
      <c r="M412" s="98">
        <v>8.3751772158827436</v>
      </c>
      <c r="N412" s="93">
        <v>1.953125E-3</v>
      </c>
      <c r="O412" s="93">
        <f t="shared" si="6"/>
        <v>0.4814453125</v>
      </c>
    </row>
    <row r="413" spans="1:15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4.8694921874999997E-4</v>
      </c>
      <c r="I413">
        <v>-1</v>
      </c>
      <c r="J413">
        <v>-4.8694921874999997E-4</v>
      </c>
      <c r="L413" s="98"/>
      <c r="M413" s="98">
        <v>8.4042613829629573</v>
      </c>
      <c r="N413" s="93">
        <v>9.765625E-4</v>
      </c>
      <c r="O413" s="93">
        <f t="shared" si="6"/>
        <v>0.482421875</v>
      </c>
    </row>
    <row r="414" spans="1:15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8.4042613829629573</v>
      </c>
      <c r="H414">
        <v>1.0280039062499999E-3</v>
      </c>
      <c r="I414">
        <v>-0.75567639294814037</v>
      </c>
      <c r="J414">
        <v>-7.7683828381159821E-4</v>
      </c>
      <c r="L414" s="98"/>
      <c r="M414" s="98">
        <v>8.4042613829629573</v>
      </c>
      <c r="N414" s="93">
        <v>1.953125E-3</v>
      </c>
      <c r="O414" s="93">
        <f t="shared" si="6"/>
        <v>0.484375</v>
      </c>
    </row>
    <row r="415" spans="1:15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14.707457420185172</v>
      </c>
      <c r="H415">
        <v>6.4926562499999999E-4</v>
      </c>
      <c r="I415">
        <v>-0.61247412602939499</v>
      </c>
      <c r="J415">
        <v>-3.976583962328039E-4</v>
      </c>
      <c r="L415" s="98"/>
      <c r="M415" s="98">
        <v>8.4042613829629573</v>
      </c>
      <c r="N415" s="93">
        <v>9.765625E-4</v>
      </c>
      <c r="O415" s="93">
        <f t="shared" si="6"/>
        <v>0.4853515625</v>
      </c>
    </row>
    <row r="416" spans="1:15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4.2021306914814778</v>
      </c>
      <c r="H416">
        <v>7.7100292968750007E-4</v>
      </c>
      <c r="I416">
        <v>-0.86929649311851043</v>
      </c>
      <c r="J416">
        <v>-6.7023014296144125E-4</v>
      </c>
      <c r="L416" s="98"/>
      <c r="M416" s="98">
        <v>8.4682347405036644</v>
      </c>
      <c r="N416" s="93">
        <v>4.8828125E-4</v>
      </c>
      <c r="O416" s="93">
        <f t="shared" si="6"/>
        <v>0.48583984375</v>
      </c>
    </row>
    <row r="417" spans="1:15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12.606392074444438</v>
      </c>
      <c r="H417">
        <v>1.6276728515625001E-3</v>
      </c>
      <c r="I417">
        <v>-0.65690683832226382</v>
      </c>
      <c r="J417">
        <v>-1.0692294267429054E-3</v>
      </c>
      <c r="L417" s="98"/>
      <c r="M417" s="98">
        <v>8.4682347405036644</v>
      </c>
      <c r="N417" s="93">
        <v>9.765625E-4</v>
      </c>
      <c r="O417" s="93">
        <f t="shared" si="6"/>
        <v>0.48681640625</v>
      </c>
    </row>
    <row r="418" spans="1:15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18.909588111666647</v>
      </c>
      <c r="H418">
        <v>1.0280039062499999E-3</v>
      </c>
      <c r="I418">
        <v>-0.53242160988317777</v>
      </c>
      <c r="J418">
        <v>-5.4733149473182037E-4</v>
      </c>
      <c r="L418" s="98"/>
      <c r="M418" s="98">
        <v>8.4682347405036644</v>
      </c>
      <c r="N418" s="93">
        <v>4.8828125E-4</v>
      </c>
      <c r="O418" s="93">
        <f t="shared" si="6"/>
        <v>0.4873046875</v>
      </c>
    </row>
    <row r="419" spans="1:15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2.1010653457407376</v>
      </c>
      <c r="H419">
        <v>1.6276728515624999E-3</v>
      </c>
      <c r="I419">
        <v>-0.93236070976768992</v>
      </c>
      <c r="J419">
        <v>-1.5175782151524123E-3</v>
      </c>
      <c r="L419" s="98"/>
      <c r="M419" s="98">
        <v>8.5650379921844646</v>
      </c>
      <c r="N419" s="93">
        <v>9.765625E-4</v>
      </c>
      <c r="O419" s="93">
        <f t="shared" si="6"/>
        <v>0.48828125</v>
      </c>
    </row>
    <row r="420" spans="1:15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10.50532672870369</v>
      </c>
      <c r="H420">
        <v>3.4361982421874998E-3</v>
      </c>
      <c r="I420">
        <v>-0.70456297808381596</v>
      </c>
      <c r="J420">
        <v>-2.4210180668019984E-3</v>
      </c>
      <c r="L420" s="98"/>
      <c r="M420" s="98">
        <v>8.5650379921844646</v>
      </c>
      <c r="N420" s="93">
        <v>1.953125E-3</v>
      </c>
      <c r="O420" s="93">
        <f t="shared" si="6"/>
        <v>0.490234375</v>
      </c>
    </row>
    <row r="421" spans="1:15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16.808522765925922</v>
      </c>
      <c r="H421">
        <v>2.1702304687499997E-3</v>
      </c>
      <c r="I421">
        <v>-0.57104681085911202</v>
      </c>
      <c r="J421">
        <v>-1.2393031880089632E-3</v>
      </c>
      <c r="L421" s="98"/>
      <c r="M421" s="98">
        <v>8.5650379921844646</v>
      </c>
      <c r="N421" s="93">
        <v>9.765625E-4</v>
      </c>
      <c r="O421" s="93">
        <f t="shared" si="6"/>
        <v>0.4912109375</v>
      </c>
    </row>
    <row r="422" spans="1:15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1.0280039062499999E-3</v>
      </c>
      <c r="I422">
        <v>-1</v>
      </c>
      <c r="J422">
        <v>-1.0280039062499999E-3</v>
      </c>
      <c r="L422" s="98"/>
      <c r="M422" s="98">
        <v>8.5650379921844664</v>
      </c>
      <c r="N422" s="93">
        <v>9.765625E-4</v>
      </c>
      <c r="O422" s="93">
        <f t="shared" si="6"/>
        <v>0.4921875</v>
      </c>
    </row>
    <row r="423" spans="1:15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8.4042613829629573</v>
      </c>
      <c r="H423">
        <v>2.1702304687499997E-3</v>
      </c>
      <c r="I423">
        <v>-0.75567639294814037</v>
      </c>
      <c r="J423">
        <v>-1.6399919324911517E-3</v>
      </c>
      <c r="L423" s="98"/>
      <c r="M423" s="98">
        <v>8.5650379921844664</v>
      </c>
      <c r="N423" s="93">
        <v>1.953125E-3</v>
      </c>
      <c r="O423" s="93">
        <f t="shared" si="6"/>
        <v>0.494140625</v>
      </c>
    </row>
    <row r="424" spans="1:15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14.707457420185172</v>
      </c>
      <c r="H424">
        <v>1.3706718749999999E-3</v>
      </c>
      <c r="I424">
        <v>-0.61247412602939499</v>
      </c>
      <c r="J424">
        <v>-8.3950105871369708E-4</v>
      </c>
      <c r="L424" s="98"/>
      <c r="M424" s="98">
        <v>8.5650379921844664</v>
      </c>
      <c r="N424" s="93">
        <v>9.765625E-4</v>
      </c>
      <c r="O424" s="93">
        <f t="shared" si="6"/>
        <v>0.4951171875</v>
      </c>
    </row>
    <row r="425" spans="1:15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4.2021306914814778</v>
      </c>
      <c r="H425">
        <v>4.8694921875000008E-4</v>
      </c>
      <c r="I425">
        <v>-0.86929649311851043</v>
      </c>
      <c r="J425">
        <v>-4.2330324818617347E-4</v>
      </c>
      <c r="L425" s="98"/>
      <c r="M425" s="98">
        <v>8.9335223636082564</v>
      </c>
      <c r="N425" s="93">
        <v>1.953125E-3</v>
      </c>
      <c r="O425" s="93">
        <f t="shared" si="6"/>
        <v>0.4970703125</v>
      </c>
    </row>
    <row r="426" spans="1:15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12.606392074444438</v>
      </c>
      <c r="H426">
        <v>1.0280039062500002E-3</v>
      </c>
      <c r="I426">
        <v>-0.65690683832226382</v>
      </c>
      <c r="J426">
        <v>-6.7530279583762455E-4</v>
      </c>
      <c r="L426" s="98"/>
      <c r="M426" s="98">
        <v>8.9335223636082564</v>
      </c>
      <c r="N426" s="93">
        <v>3.90625E-3</v>
      </c>
      <c r="O426" s="93">
        <f t="shared" si="6"/>
        <v>0.5009765625</v>
      </c>
    </row>
    <row r="427" spans="1:15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18.909588111666647</v>
      </c>
      <c r="H427">
        <v>6.492656250000001E-4</v>
      </c>
      <c r="I427">
        <v>-0.53242160988317777</v>
      </c>
      <c r="J427">
        <v>-3.4568304930430766E-4</v>
      </c>
      <c r="L427" s="98"/>
      <c r="M427" s="98">
        <v>8.9335223636082564</v>
      </c>
      <c r="N427" s="93">
        <v>1.953125E-3</v>
      </c>
      <c r="O427" s="93">
        <f t="shared" si="6"/>
        <v>0.5029296875</v>
      </c>
    </row>
    <row r="428" spans="1:15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2.1010653457407376</v>
      </c>
      <c r="H428">
        <v>1.0280039062499999E-3</v>
      </c>
      <c r="I428">
        <v>-0.93236070976768992</v>
      </c>
      <c r="J428">
        <v>-9.5847045167520776E-4</v>
      </c>
      <c r="L428" s="98"/>
      <c r="M428" s="98">
        <v>9.3093356857435818</v>
      </c>
      <c r="N428" s="93">
        <v>4.8828125E-4</v>
      </c>
      <c r="O428" s="93">
        <f t="shared" si="6"/>
        <v>0.50341796875</v>
      </c>
    </row>
    <row r="429" spans="1:15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10.50532672870369</v>
      </c>
      <c r="H429">
        <v>2.1702304687499997E-3</v>
      </c>
      <c r="I429">
        <v>-0.70456297808381596</v>
      </c>
      <c r="J429">
        <v>-1.5290640421907356E-3</v>
      </c>
      <c r="L429" s="98"/>
      <c r="M429" s="98">
        <v>9.3093356857435818</v>
      </c>
      <c r="N429" s="93">
        <v>9.765625E-4</v>
      </c>
      <c r="O429" s="93">
        <f t="shared" si="6"/>
        <v>0.50439453125</v>
      </c>
    </row>
    <row r="430" spans="1:15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16.808522765925922</v>
      </c>
      <c r="H430">
        <v>1.3706718749999999E-3</v>
      </c>
      <c r="I430">
        <v>-0.57104681085911202</v>
      </c>
      <c r="J430">
        <v>-7.8271780295302942E-4</v>
      </c>
      <c r="L430" s="98"/>
      <c r="M430" s="98">
        <v>9.3093356857435818</v>
      </c>
      <c r="N430" s="93">
        <v>4.8828125E-4</v>
      </c>
      <c r="O430" s="93">
        <f t="shared" si="6"/>
        <v>0.5048828125</v>
      </c>
    </row>
    <row r="431" spans="1:15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6.492656250000001E-4</v>
      </c>
      <c r="I431">
        <v>-1</v>
      </c>
      <c r="J431">
        <v>-6.492656250000001E-4</v>
      </c>
      <c r="L431" s="98"/>
      <c r="M431" s="98">
        <v>9.3093356857435818</v>
      </c>
      <c r="N431" s="93">
        <v>4.8828125E-4</v>
      </c>
      <c r="O431" s="93">
        <f t="shared" si="6"/>
        <v>0.50537109375</v>
      </c>
    </row>
    <row r="432" spans="1:15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8.4042613829629573</v>
      </c>
      <c r="H432">
        <v>1.3706718749999999E-3</v>
      </c>
      <c r="I432">
        <v>-0.75567639294814037</v>
      </c>
      <c r="J432">
        <v>-1.0357843784154642E-3</v>
      </c>
      <c r="L432" s="98"/>
      <c r="M432" s="98">
        <v>9.3093356857435818</v>
      </c>
      <c r="N432" s="93">
        <v>9.765625E-4</v>
      </c>
      <c r="O432" s="93">
        <f t="shared" si="6"/>
        <v>0.50634765625</v>
      </c>
    </row>
    <row r="433" spans="1:15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14.707457420185172</v>
      </c>
      <c r="H433">
        <v>8.6568750000000003E-4</v>
      </c>
      <c r="I433">
        <v>-0.61247412602939499</v>
      </c>
      <c r="J433">
        <v>-5.3021119497707186E-4</v>
      </c>
      <c r="L433" s="98"/>
      <c r="M433" s="98">
        <v>9.3093356857435818</v>
      </c>
      <c r="N433" s="93">
        <v>4.8828125E-4</v>
      </c>
      <c r="O433" s="93">
        <f t="shared" si="6"/>
        <v>0.5068359375</v>
      </c>
    </row>
    <row r="434" spans="1:15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5.1602178347016467</v>
      </c>
      <c r="H434">
        <v>7.7100292968750007E-4</v>
      </c>
      <c r="I434">
        <v>-0.84197305944796363</v>
      </c>
      <c r="J434">
        <v>-6.4916369555232767E-4</v>
      </c>
      <c r="L434" s="98"/>
      <c r="M434" s="98">
        <v>9.5167088802049662</v>
      </c>
      <c r="N434" s="93">
        <v>3.90625E-3</v>
      </c>
      <c r="O434" s="93">
        <f t="shared" si="6"/>
        <v>0.5107421875</v>
      </c>
    </row>
    <row r="435" spans="1:15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15.480653504104936</v>
      </c>
      <c r="H435">
        <v>1.6276728515625001E-3</v>
      </c>
      <c r="I435">
        <v>-0.5968903901887328</v>
      </c>
      <c r="J435">
        <v>-9.7154228346874808E-4</v>
      </c>
      <c r="L435" s="98"/>
      <c r="M435" s="98">
        <v>9.5167088802049662</v>
      </c>
      <c r="N435" s="93">
        <v>7.8125E-3</v>
      </c>
      <c r="O435" s="93">
        <f t="shared" si="6"/>
        <v>0.5185546875</v>
      </c>
    </row>
    <row r="436" spans="1:15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23.220980256157414</v>
      </c>
      <c r="H436">
        <v>1.0280039062499999E-3</v>
      </c>
      <c r="I436">
        <v>-0.46114964680311926</v>
      </c>
      <c r="J436">
        <v>-4.7406363827941439E-4</v>
      </c>
      <c r="L436" s="98"/>
      <c r="M436" s="98">
        <v>9.5167088802049662</v>
      </c>
      <c r="N436" s="93">
        <v>3.90625E-3</v>
      </c>
      <c r="O436" s="93">
        <f t="shared" si="6"/>
        <v>0.5224609375</v>
      </c>
    </row>
    <row r="437" spans="1:15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2.5801089173508185</v>
      </c>
      <c r="H437">
        <v>1.6276728515624999E-3</v>
      </c>
      <c r="I437">
        <v>-0.91759089982843878</v>
      </c>
      <c r="J437">
        <v>-1.4935377964915551E-3</v>
      </c>
      <c r="L437" s="98"/>
      <c r="M437" s="98">
        <v>9.6356677412075218</v>
      </c>
      <c r="N437" s="93">
        <v>4.8828125E-4</v>
      </c>
      <c r="O437" s="93">
        <f t="shared" si="6"/>
        <v>0.52294921875</v>
      </c>
    </row>
    <row r="438" spans="1:15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12.900544586754114</v>
      </c>
      <c r="H438">
        <v>3.4361982421874998E-3</v>
      </c>
      <c r="I438">
        <v>-0.65049728620928227</v>
      </c>
      <c r="J438">
        <v>-2.2352376314200748E-3</v>
      </c>
      <c r="L438" s="98"/>
      <c r="M438" s="98">
        <v>9.6356677412075218</v>
      </c>
      <c r="N438" s="93">
        <v>9.765625E-4</v>
      </c>
      <c r="O438" s="93">
        <f t="shared" si="6"/>
        <v>0.52392578125</v>
      </c>
    </row>
    <row r="439" spans="1:15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20.640871338806591</v>
      </c>
      <c r="H439">
        <v>2.1702304687499997E-3</v>
      </c>
      <c r="I439">
        <v>-0.50256562798229598</v>
      </c>
      <c r="J439">
        <v>-1.0906832383936562E-3</v>
      </c>
      <c r="L439" s="98"/>
      <c r="M439" s="98">
        <v>9.6356677412075218</v>
      </c>
      <c r="N439" s="93">
        <v>4.8828125E-4</v>
      </c>
      <c r="O439" s="93">
        <f t="shared" si="6"/>
        <v>0.5244140625</v>
      </c>
    </row>
    <row r="440" spans="1:15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1.0280039062499999E-3</v>
      </c>
      <c r="I440">
        <v>-1</v>
      </c>
      <c r="J440">
        <v>-1.0280039062499999E-3</v>
      </c>
      <c r="L440" s="98"/>
      <c r="M440" s="98">
        <v>9.6654074564581656</v>
      </c>
      <c r="N440" s="93">
        <v>3.90625E-3</v>
      </c>
      <c r="O440" s="93">
        <f t="shared" si="6"/>
        <v>0.5283203125</v>
      </c>
    </row>
    <row r="441" spans="1:15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10.320435669403297</v>
      </c>
      <c r="H441">
        <v>2.1702304687499997E-3</v>
      </c>
      <c r="I441">
        <v>-0.70891863283616396</v>
      </c>
      <c r="J441">
        <v>-1.5385168168456371E-3</v>
      </c>
      <c r="L441" s="98"/>
      <c r="M441" s="98">
        <v>9.6654074564581656</v>
      </c>
      <c r="N441" s="93">
        <v>7.8125E-3</v>
      </c>
      <c r="O441" s="93">
        <f t="shared" si="6"/>
        <v>0.5361328125</v>
      </c>
    </row>
    <row r="442" spans="1:15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18.060762421455756</v>
      </c>
      <c r="H442">
        <v>1.3706718749999999E-3</v>
      </c>
      <c r="I442">
        <v>-0.54770119023222719</v>
      </c>
      <c r="J442">
        <v>-7.5071861735533844E-4</v>
      </c>
      <c r="L442" s="98"/>
      <c r="M442" s="98">
        <v>9.6654074564581656</v>
      </c>
      <c r="N442" s="93">
        <v>3.90625E-3</v>
      </c>
      <c r="O442" s="93">
        <f t="shared" si="6"/>
        <v>0.5400390625</v>
      </c>
    </row>
    <row r="443" spans="1:15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5.1602178347016467</v>
      </c>
      <c r="H443">
        <v>1.6276728515624997E-3</v>
      </c>
      <c r="I443">
        <v>-0.84197305944796363</v>
      </c>
      <c r="J443">
        <v>-1.3704566906104691E-3</v>
      </c>
      <c r="L443" s="98"/>
      <c r="M443" s="98">
        <v>9.6779825605756198</v>
      </c>
      <c r="N443" s="93">
        <v>9.765625E-4</v>
      </c>
      <c r="O443" s="93">
        <f t="shared" si="6"/>
        <v>0.541015625</v>
      </c>
    </row>
    <row r="444" spans="1:15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15.480653504104936</v>
      </c>
      <c r="H444">
        <v>3.4361982421874993E-3</v>
      </c>
      <c r="I444">
        <v>-0.5968903901887328</v>
      </c>
      <c r="J444">
        <v>-2.0510337095451343E-3</v>
      </c>
      <c r="L444" s="98"/>
      <c r="M444" s="98">
        <v>9.6779825605756198</v>
      </c>
      <c r="N444" s="93">
        <v>1.953125E-3</v>
      </c>
      <c r="O444" s="93">
        <f t="shared" si="6"/>
        <v>0.54296875</v>
      </c>
    </row>
    <row r="445" spans="1:15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23.220980256157414</v>
      </c>
      <c r="H445">
        <v>2.1702304687499993E-3</v>
      </c>
      <c r="I445">
        <v>-0.46114964680311926</v>
      </c>
      <c r="J445">
        <v>-1.0008010141454302E-3</v>
      </c>
      <c r="L445" s="98"/>
      <c r="M445" s="98">
        <v>9.6779825605756198</v>
      </c>
      <c r="N445" s="93">
        <v>9.765625E-4</v>
      </c>
      <c r="O445" s="93">
        <f t="shared" si="6"/>
        <v>0.5439453125</v>
      </c>
    </row>
    <row r="446" spans="1:15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2.5801089173508185</v>
      </c>
      <c r="H446">
        <v>3.4361982421874993E-3</v>
      </c>
      <c r="I446">
        <v>-0.91759089982843878</v>
      </c>
      <c r="J446">
        <v>-3.1530242370377271E-3</v>
      </c>
      <c r="L446" s="98"/>
      <c r="M446" s="98">
        <v>10.0502126590593</v>
      </c>
      <c r="N446" s="93">
        <v>9.765625E-4</v>
      </c>
      <c r="O446" s="93">
        <f t="shared" si="6"/>
        <v>0.544921875</v>
      </c>
    </row>
    <row r="447" spans="1:15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12.900544586754114</v>
      </c>
      <c r="H447">
        <v>7.254196289062498E-3</v>
      </c>
      <c r="I447">
        <v>-0.65049728620928227</v>
      </c>
      <c r="J447">
        <v>-4.718834999664601E-3</v>
      </c>
      <c r="L447" s="98"/>
      <c r="M447" s="98">
        <v>10.0502126590593</v>
      </c>
      <c r="N447" s="93">
        <v>1.953125E-3</v>
      </c>
      <c r="O447" s="93">
        <f t="shared" si="6"/>
        <v>0.546875</v>
      </c>
    </row>
    <row r="448" spans="1:15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20.640871338806591</v>
      </c>
      <c r="H448">
        <v>4.5815976562499985E-3</v>
      </c>
      <c r="I448">
        <v>-0.50256562798229598</v>
      </c>
      <c r="J448">
        <v>-2.3025535032754961E-3</v>
      </c>
      <c r="L448" s="98"/>
      <c r="M448" s="98">
        <v>10.0502126590593</v>
      </c>
      <c r="N448" s="93">
        <v>9.765625E-4</v>
      </c>
      <c r="O448" s="93">
        <f t="shared" si="6"/>
        <v>0.5478515625</v>
      </c>
    </row>
    <row r="449" spans="1:15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2.1702304687499997E-3</v>
      </c>
      <c r="I449">
        <v>-1</v>
      </c>
      <c r="J449">
        <v>-2.1702304687499997E-3</v>
      </c>
      <c r="L449" s="98"/>
      <c r="M449" s="98">
        <v>10.320435669403297</v>
      </c>
      <c r="N449" s="93">
        <v>1.953125E-3</v>
      </c>
      <c r="O449" s="93">
        <f t="shared" si="6"/>
        <v>0.5498046875</v>
      </c>
    </row>
    <row r="450" spans="1:15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10.320435669403297</v>
      </c>
      <c r="H450">
        <v>4.5815976562499994E-3</v>
      </c>
      <c r="I450">
        <v>-0.70891863283616396</v>
      </c>
      <c r="J450">
        <v>-3.2479799466741226E-3</v>
      </c>
      <c r="L450" s="98"/>
      <c r="M450" s="98">
        <v>10.320435669403297</v>
      </c>
      <c r="N450" s="93">
        <v>3.90625E-3</v>
      </c>
      <c r="O450" s="93">
        <f t="shared" si="6"/>
        <v>0.5537109375</v>
      </c>
    </row>
    <row r="451" spans="1:15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18.060762421455756</v>
      </c>
      <c r="H451">
        <v>2.8936406249999995E-3</v>
      </c>
      <c r="I451">
        <v>-0.54770119023222719</v>
      </c>
      <c r="J451">
        <v>-1.5848504144168256E-3</v>
      </c>
      <c r="L451" s="98"/>
      <c r="M451" s="98">
        <v>10.320435669403297</v>
      </c>
      <c r="N451" s="93">
        <v>1.953125E-3</v>
      </c>
      <c r="O451" s="93">
        <f t="shared" si="6"/>
        <v>0.5556640625</v>
      </c>
    </row>
    <row r="452" spans="1:15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5.1602178347016467</v>
      </c>
      <c r="H452">
        <v>1.0280039062499999E-3</v>
      </c>
      <c r="I452">
        <v>-0.84197305944796363</v>
      </c>
      <c r="J452">
        <v>-8.6555159406977004E-4</v>
      </c>
      <c r="L452" s="98"/>
      <c r="M452" s="98">
        <v>10.422442757542964</v>
      </c>
      <c r="N452" s="93">
        <v>9.765625E-4</v>
      </c>
      <c r="O452" s="93">
        <f t="shared" ref="O452:O515" si="7">N452+O451</f>
        <v>0.556640625</v>
      </c>
    </row>
    <row r="453" spans="1:15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15.480653504104936</v>
      </c>
      <c r="H453">
        <v>2.1702304687499997E-3</v>
      </c>
      <c r="I453">
        <v>-0.5968903901887328</v>
      </c>
      <c r="J453">
        <v>-1.2953897112916639E-3</v>
      </c>
      <c r="L453" s="98"/>
      <c r="M453" s="98">
        <v>10.422442757542964</v>
      </c>
      <c r="N453" s="93">
        <v>1.953125E-3</v>
      </c>
      <c r="O453" s="93">
        <f t="shared" si="7"/>
        <v>0.55859375</v>
      </c>
    </row>
    <row r="454" spans="1:15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23.220980256157414</v>
      </c>
      <c r="H454">
        <v>1.3706718749999999E-3</v>
      </c>
      <c r="I454">
        <v>-0.46114964680311926</v>
      </c>
      <c r="J454">
        <v>-6.3208485103921923E-4</v>
      </c>
      <c r="L454" s="98"/>
      <c r="M454" s="98">
        <v>10.422442757542964</v>
      </c>
      <c r="N454" s="93">
        <v>9.765625E-4</v>
      </c>
      <c r="O454" s="93">
        <f t="shared" si="7"/>
        <v>0.5595703125</v>
      </c>
    </row>
    <row r="455" spans="1:15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2.5801089173508185</v>
      </c>
      <c r="H455">
        <v>2.1702304687499997E-3</v>
      </c>
      <c r="I455">
        <v>-0.91759089982843878</v>
      </c>
      <c r="J455">
        <v>-1.9913837286554066E-3</v>
      </c>
      <c r="L455" s="98"/>
      <c r="M455" s="98">
        <v>10.473002646461527</v>
      </c>
      <c r="N455" s="93">
        <v>2.44140625E-4</v>
      </c>
      <c r="O455" s="93">
        <f t="shared" si="7"/>
        <v>0.559814453125</v>
      </c>
    </row>
    <row r="456" spans="1:15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12.900544586754114</v>
      </c>
      <c r="H456">
        <v>4.5815976562499994E-3</v>
      </c>
      <c r="I456">
        <v>-0.65049728620928227</v>
      </c>
      <c r="J456">
        <v>-2.9803168418934328E-3</v>
      </c>
      <c r="L456" s="98"/>
      <c r="M456" s="98">
        <v>10.473002646461527</v>
      </c>
      <c r="N456" s="93">
        <v>4.8828125E-4</v>
      </c>
      <c r="O456" s="93">
        <f t="shared" si="7"/>
        <v>0.560302734375</v>
      </c>
    </row>
    <row r="457" spans="1:15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20.640871338806591</v>
      </c>
      <c r="H457">
        <v>2.8936406249999995E-3</v>
      </c>
      <c r="I457">
        <v>-0.50256562798229598</v>
      </c>
      <c r="J457">
        <v>-1.4542443178582082E-3</v>
      </c>
      <c r="L457" s="98"/>
      <c r="M457" s="98">
        <v>10.473002646461527</v>
      </c>
      <c r="N457" s="93">
        <v>2.44140625E-4</v>
      </c>
      <c r="O457" s="93">
        <f t="shared" si="7"/>
        <v>0.560546875</v>
      </c>
    </row>
    <row r="458" spans="1:15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1.3706718749999999E-3</v>
      </c>
      <c r="I458">
        <v>-1</v>
      </c>
      <c r="J458">
        <v>-1.3706718749999999E-3</v>
      </c>
      <c r="L458" s="98"/>
      <c r="M458" s="98">
        <v>10.50532672870369</v>
      </c>
      <c r="N458" s="93">
        <v>1.953125E-3</v>
      </c>
      <c r="O458" s="93">
        <f t="shared" si="7"/>
        <v>0.5625</v>
      </c>
    </row>
    <row r="459" spans="1:15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10.320435669403297</v>
      </c>
      <c r="H459">
        <v>2.8936406249999995E-3</v>
      </c>
      <c r="I459">
        <v>-0.70891863283616396</v>
      </c>
      <c r="J459">
        <v>-2.0513557557941828E-3</v>
      </c>
      <c r="L459" s="98"/>
      <c r="M459" s="98">
        <v>10.50532672870369</v>
      </c>
      <c r="N459" s="93">
        <v>3.90625E-3</v>
      </c>
      <c r="O459" s="93">
        <f t="shared" si="7"/>
        <v>0.56640625</v>
      </c>
    </row>
    <row r="460" spans="1:15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18.060762421455756</v>
      </c>
      <c r="H460">
        <v>1.8275624999999998E-3</v>
      </c>
      <c r="I460">
        <v>-0.54770119023222719</v>
      </c>
      <c r="J460">
        <v>-1.0009581564737846E-3</v>
      </c>
      <c r="L460" s="98"/>
      <c r="M460" s="98">
        <v>10.50532672870369</v>
      </c>
      <c r="N460" s="93">
        <v>1.953125E-3</v>
      </c>
      <c r="O460" s="93">
        <f t="shared" si="7"/>
        <v>0.568359375</v>
      </c>
    </row>
    <row r="461" spans="1:15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5.7080827324696122</v>
      </c>
      <c r="H461">
        <v>4.8694921874999997E-4</v>
      </c>
      <c r="I461">
        <v>-0.82673636097351633</v>
      </c>
      <c r="J461">
        <v>-4.0257862508827173E-4</v>
      </c>
      <c r="L461" s="98"/>
      <c r="M461" s="98">
        <v>10.645780816633172</v>
      </c>
      <c r="N461" s="93">
        <v>4.8828125E-4</v>
      </c>
      <c r="O461" s="93">
        <f t="shared" si="7"/>
        <v>0.56884765625</v>
      </c>
    </row>
    <row r="462" spans="1:15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17.124248197408818</v>
      </c>
      <c r="H462">
        <v>1.0280039062499999E-3</v>
      </c>
      <c r="I462">
        <v>-0.56506852429767962</v>
      </c>
      <c r="J462">
        <v>-5.8089265027693761E-4</v>
      </c>
      <c r="L462" s="98"/>
      <c r="M462" s="98">
        <v>10.645780816633172</v>
      </c>
      <c r="N462" s="93">
        <v>9.765625E-4</v>
      </c>
      <c r="O462" s="93">
        <f t="shared" si="7"/>
        <v>0.56982421875</v>
      </c>
    </row>
    <row r="463" spans="1:15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25.686372296113241</v>
      </c>
      <c r="H463">
        <v>6.4926562499999999E-4</v>
      </c>
      <c r="I463">
        <v>-0.4247678859872871</v>
      </c>
      <c r="J463">
        <v>-2.7578718697546467E-4</v>
      </c>
      <c r="L463" s="98"/>
      <c r="M463" s="98">
        <v>10.645780816633172</v>
      </c>
      <c r="N463" s="93">
        <v>4.8828125E-4</v>
      </c>
      <c r="O463" s="93">
        <f t="shared" si="7"/>
        <v>0.5703125</v>
      </c>
    </row>
    <row r="464" spans="1:15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2.8540413662347963</v>
      </c>
      <c r="H464">
        <v>1.0280039062499999E-3</v>
      </c>
      <c r="I464">
        <v>-0.90925043908348857</v>
      </c>
      <c r="J464">
        <v>-9.3471300313735387E-4</v>
      </c>
      <c r="L464" s="98"/>
      <c r="M464" s="98">
        <v>10.706297490230577</v>
      </c>
      <c r="N464" s="93">
        <v>1.953125E-3</v>
      </c>
      <c r="O464" s="93">
        <f t="shared" si="7"/>
        <v>0.572265625</v>
      </c>
    </row>
    <row r="465" spans="1:15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14.27020683117402</v>
      </c>
      <c r="H465">
        <v>2.1702304687499993E-3</v>
      </c>
      <c r="I465">
        <v>-0.62146631995829504</v>
      </c>
      <c r="J465">
        <v>-1.3487251428754277E-3</v>
      </c>
      <c r="L465" s="98"/>
      <c r="M465" s="98">
        <v>10.706297490230577</v>
      </c>
      <c r="N465" s="93">
        <v>3.90625E-3</v>
      </c>
      <c r="O465" s="93">
        <f t="shared" si="7"/>
        <v>0.576171875</v>
      </c>
    </row>
    <row r="466" spans="1:15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22.832330929878431</v>
      </c>
      <c r="H466">
        <v>1.3706718749999997E-3</v>
      </c>
      <c r="I466">
        <v>-0.46716269547853861</v>
      </c>
      <c r="J466">
        <v>-6.4032676774162243E-4</v>
      </c>
      <c r="L466" s="98"/>
      <c r="M466" s="98">
        <v>10.706297490230577</v>
      </c>
      <c r="N466" s="93">
        <v>1.953125E-3</v>
      </c>
      <c r="O466" s="93">
        <f t="shared" si="7"/>
        <v>0.578125</v>
      </c>
    </row>
    <row r="467" spans="1:15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6.4926562499999999E-4</v>
      </c>
      <c r="I467">
        <v>-1</v>
      </c>
      <c r="J467">
        <v>-6.4926562499999999E-4</v>
      </c>
      <c r="L467" s="98"/>
      <c r="M467" s="98">
        <v>10.887730380647568</v>
      </c>
      <c r="N467" s="93">
        <v>4.8828125E-4</v>
      </c>
      <c r="O467" s="93">
        <f t="shared" si="7"/>
        <v>0.57861328125</v>
      </c>
    </row>
    <row r="468" spans="1:15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11.416165464939224</v>
      </c>
      <c r="H468">
        <v>1.3706718749999997E-3</v>
      </c>
      <c r="I468">
        <v>-0.68349301055573231</v>
      </c>
      <c r="J468">
        <v>-9.3684464632782019E-4</v>
      </c>
      <c r="L468" s="98"/>
      <c r="M468" s="98">
        <v>10.887730380647568</v>
      </c>
      <c r="N468" s="93">
        <v>9.765625E-4</v>
      </c>
      <c r="O468" s="93">
        <f t="shared" si="7"/>
        <v>0.57958984375</v>
      </c>
    </row>
    <row r="469" spans="1:15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19.978289563643632</v>
      </c>
      <c r="H469">
        <v>8.6568749999999992E-4</v>
      </c>
      <c r="I469">
        <v>-0.51378880382992387</v>
      </c>
      <c r="J469">
        <v>-4.4478054511551716E-4</v>
      </c>
      <c r="L469" s="98"/>
      <c r="M469" s="98">
        <v>10.887730380647568</v>
      </c>
      <c r="N469" s="93">
        <v>4.8828125E-4</v>
      </c>
      <c r="O469" s="93">
        <f t="shared" si="7"/>
        <v>0.580078125</v>
      </c>
    </row>
    <row r="470" spans="1:15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5.7080827324696122</v>
      </c>
      <c r="H470">
        <v>1.0280039062499999E-3</v>
      </c>
      <c r="I470">
        <v>-0.82673636097351633</v>
      </c>
      <c r="J470">
        <v>-8.4988820851968484E-4</v>
      </c>
      <c r="L470" s="98"/>
      <c r="M470" s="98">
        <v>11.416165464939224</v>
      </c>
      <c r="N470" s="93">
        <v>9.765625E-4</v>
      </c>
      <c r="O470" s="93">
        <f t="shared" si="7"/>
        <v>0.5810546875</v>
      </c>
    </row>
    <row r="471" spans="1:15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17.124248197408818</v>
      </c>
      <c r="H471">
        <v>2.1702304687499997E-3</v>
      </c>
      <c r="I471">
        <v>-0.56506852429767962</v>
      </c>
      <c r="J471">
        <v>-1.2263289283624239E-3</v>
      </c>
      <c r="L471" s="98"/>
      <c r="M471" s="98">
        <v>11.416165464939224</v>
      </c>
      <c r="N471" s="93">
        <v>1.953125E-3</v>
      </c>
      <c r="O471" s="93">
        <f t="shared" si="7"/>
        <v>0.5830078125</v>
      </c>
    </row>
    <row r="472" spans="1:15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25.686372296113241</v>
      </c>
      <c r="H472">
        <v>1.3706718749999999E-3</v>
      </c>
      <c r="I472">
        <v>-0.4247678859872871</v>
      </c>
      <c r="J472">
        <v>-5.8221739472598096E-4</v>
      </c>
      <c r="L472" s="98"/>
      <c r="M472" s="98">
        <v>11.416165464939224</v>
      </c>
      <c r="N472" s="93">
        <v>9.765625E-4</v>
      </c>
      <c r="O472" s="93">
        <f t="shared" si="7"/>
        <v>0.583984375</v>
      </c>
    </row>
    <row r="473" spans="1:15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2.8540413662347963</v>
      </c>
      <c r="H473">
        <v>2.1702304687499997E-3</v>
      </c>
      <c r="I473">
        <v>-0.90925043908348857</v>
      </c>
      <c r="J473">
        <v>-1.9732830066233023E-3</v>
      </c>
      <c r="L473" s="98"/>
      <c r="M473" s="98">
        <v>11.5984889477498</v>
      </c>
      <c r="N473" s="93">
        <v>1.953125E-3</v>
      </c>
      <c r="O473" s="93">
        <f t="shared" si="7"/>
        <v>0.5859375</v>
      </c>
    </row>
    <row r="474" spans="1:15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14.27020683117402</v>
      </c>
      <c r="H474">
        <v>4.5815976562499994E-3</v>
      </c>
      <c r="I474">
        <v>-0.62146631995829504</v>
      </c>
      <c r="J474">
        <v>-2.8473086349592369E-3</v>
      </c>
      <c r="L474" s="98"/>
      <c r="M474" s="98">
        <v>11.5984889477498</v>
      </c>
      <c r="N474" s="93">
        <v>3.90625E-3</v>
      </c>
      <c r="O474" s="93">
        <f t="shared" si="7"/>
        <v>0.58984375</v>
      </c>
    </row>
    <row r="475" spans="1:15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22.832330929878431</v>
      </c>
      <c r="H475">
        <v>2.8936406249999995E-3</v>
      </c>
      <c r="I475">
        <v>-0.46716269547853861</v>
      </c>
      <c r="J475">
        <v>-1.3518009541212028E-3</v>
      </c>
      <c r="L475" s="98"/>
      <c r="M475" s="98">
        <v>11.5984889477498</v>
      </c>
      <c r="N475" s="93">
        <v>1.953125E-3</v>
      </c>
      <c r="O475" s="93">
        <f t="shared" si="7"/>
        <v>0.591796875</v>
      </c>
    </row>
    <row r="476" spans="1:15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1.3706718749999999E-3</v>
      </c>
      <c r="I476">
        <v>-1</v>
      </c>
      <c r="J476">
        <v>-1.3706718749999999E-3</v>
      </c>
      <c r="L476" s="98"/>
      <c r="M476" s="98">
        <v>11.725248102235838</v>
      </c>
      <c r="N476" s="93">
        <v>4.8828125E-4</v>
      </c>
      <c r="O476" s="93">
        <f t="shared" si="7"/>
        <v>0.59228515625</v>
      </c>
    </row>
    <row r="477" spans="1:15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11.416165464939224</v>
      </c>
      <c r="H477">
        <v>2.8936406249999995E-3</v>
      </c>
      <c r="I477">
        <v>-0.68349301055573231</v>
      </c>
      <c r="J477">
        <v>-1.9777831422476207E-3</v>
      </c>
      <c r="L477" s="98"/>
      <c r="M477" s="98">
        <v>11.725248102235838</v>
      </c>
      <c r="N477" s="93">
        <v>9.765625E-4</v>
      </c>
      <c r="O477" s="93">
        <f t="shared" si="7"/>
        <v>0.59326171875</v>
      </c>
    </row>
    <row r="478" spans="1:15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19.978289563643632</v>
      </c>
      <c r="H478">
        <v>1.8275624999999998E-3</v>
      </c>
      <c r="I478">
        <v>-0.51378880382992387</v>
      </c>
      <c r="J478">
        <v>-9.3898115079942511E-4</v>
      </c>
      <c r="L478" s="98"/>
      <c r="M478" s="98">
        <v>11.725248102235838</v>
      </c>
      <c r="N478" s="93">
        <v>4.8828125E-4</v>
      </c>
      <c r="O478" s="93">
        <f t="shared" si="7"/>
        <v>0.59375</v>
      </c>
    </row>
    <row r="479" spans="1:15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5.7080827324696122</v>
      </c>
      <c r="H479">
        <v>6.4926562499999999E-4</v>
      </c>
      <c r="I479">
        <v>-0.82673636097351633</v>
      </c>
      <c r="J479">
        <v>-5.3677150011769564E-4</v>
      </c>
      <c r="L479" s="98"/>
      <c r="M479" s="98">
        <v>11.895886100256199</v>
      </c>
      <c r="N479" s="93">
        <v>7.8125E-3</v>
      </c>
      <c r="O479" s="93">
        <f t="shared" si="7"/>
        <v>0.6015625</v>
      </c>
    </row>
    <row r="480" spans="1:15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17.124248197408818</v>
      </c>
      <c r="H480">
        <v>1.3706718749999997E-3</v>
      </c>
      <c r="I480">
        <v>-0.56506852429767962</v>
      </c>
      <c r="J480">
        <v>-7.7452353370258337E-4</v>
      </c>
      <c r="L480" s="98"/>
      <c r="M480" s="98">
        <v>11.895886100256199</v>
      </c>
      <c r="N480" s="93">
        <v>1.5625E-2</v>
      </c>
      <c r="O480" s="93">
        <f t="shared" si="7"/>
        <v>0.6171875</v>
      </c>
    </row>
    <row r="481" spans="1:15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25.686372296113241</v>
      </c>
      <c r="H481">
        <v>8.6568749999999992E-4</v>
      </c>
      <c r="I481">
        <v>-0.4247678859872871</v>
      </c>
      <c r="J481">
        <v>-3.6771624930061956E-4</v>
      </c>
      <c r="L481" s="98"/>
      <c r="M481" s="98">
        <v>11.895886100256199</v>
      </c>
      <c r="N481" s="93">
        <v>7.8125E-3</v>
      </c>
      <c r="O481" s="93">
        <f t="shared" si="7"/>
        <v>0.625</v>
      </c>
    </row>
    <row r="482" spans="1:15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2.8540413662347963</v>
      </c>
      <c r="H482">
        <v>1.3706718749999997E-3</v>
      </c>
      <c r="I482">
        <v>-0.90925043908348857</v>
      </c>
      <c r="J482">
        <v>-1.2462840041831383E-3</v>
      </c>
      <c r="L482" s="98"/>
      <c r="M482" s="98">
        <v>11.91136315147768</v>
      </c>
      <c r="N482" s="93">
        <v>1.953125E-3</v>
      </c>
      <c r="O482" s="93">
        <f t="shared" si="7"/>
        <v>0.626953125</v>
      </c>
    </row>
    <row r="483" spans="1:15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14.27020683117402</v>
      </c>
      <c r="H483">
        <v>2.8936406249999991E-3</v>
      </c>
      <c r="I483">
        <v>-0.62146631995829504</v>
      </c>
      <c r="J483">
        <v>-1.7983001905005703E-3</v>
      </c>
      <c r="L483" s="98"/>
      <c r="M483" s="98">
        <v>11.91136315147768</v>
      </c>
      <c r="N483" s="93">
        <v>3.90625E-3</v>
      </c>
      <c r="O483" s="93">
        <f t="shared" si="7"/>
        <v>0.630859375</v>
      </c>
    </row>
    <row r="484" spans="1:15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22.832330929878431</v>
      </c>
      <c r="H484">
        <v>1.8275624999999993E-3</v>
      </c>
      <c r="I484">
        <v>-0.46716269547853861</v>
      </c>
      <c r="J484">
        <v>-8.5376902365549639E-4</v>
      </c>
      <c r="L484" s="98"/>
      <c r="M484" s="98">
        <v>11.91136315147768</v>
      </c>
      <c r="N484" s="93">
        <v>1.953125E-3</v>
      </c>
      <c r="O484" s="93">
        <f t="shared" si="7"/>
        <v>0.6328125</v>
      </c>
    </row>
    <row r="485" spans="1:15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8.6568749999999992E-4</v>
      </c>
      <c r="I485">
        <v>-1</v>
      </c>
      <c r="J485">
        <v>-8.6568749999999992E-4</v>
      </c>
      <c r="L485" s="98"/>
      <c r="M485" s="98">
        <v>12.606392074444438</v>
      </c>
      <c r="N485" s="93">
        <v>9.765625E-4</v>
      </c>
      <c r="O485" s="93">
        <f t="shared" si="7"/>
        <v>0.6337890625</v>
      </c>
    </row>
    <row r="486" spans="1:15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11.416165464939224</v>
      </c>
      <c r="H486">
        <v>1.8275624999999995E-3</v>
      </c>
      <c r="I486">
        <v>-0.68349301055573231</v>
      </c>
      <c r="J486">
        <v>-1.2491261951037601E-3</v>
      </c>
      <c r="L486" s="98"/>
      <c r="M486" s="98">
        <v>12.606392074444438</v>
      </c>
      <c r="N486" s="93">
        <v>1.953125E-3</v>
      </c>
      <c r="O486" s="93">
        <f t="shared" si="7"/>
        <v>0.6357421875</v>
      </c>
    </row>
    <row r="487" spans="1:15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19.978289563643632</v>
      </c>
      <c r="H487">
        <v>1.1542499999999997E-3</v>
      </c>
      <c r="I487">
        <v>-0.51378880382992387</v>
      </c>
      <c r="J487">
        <v>-5.9304072682068944E-4</v>
      </c>
      <c r="L487" s="98"/>
      <c r="M487" s="98">
        <v>12.606392074444438</v>
      </c>
      <c r="N487" s="93">
        <v>9.765625E-4</v>
      </c>
      <c r="O487" s="93">
        <f t="shared" si="7"/>
        <v>0.63671875</v>
      </c>
    </row>
    <row r="488" spans="1:15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5.3228904083165913</v>
      </c>
      <c r="H488">
        <v>1.7299511718750003E-4</v>
      </c>
      <c r="I488">
        <v>-0.83741988439946058</v>
      </c>
      <c r="J488">
        <v>-1.4486955103682741E-4</v>
      </c>
      <c r="L488" s="98"/>
      <c r="M488" s="98">
        <v>12.900544586754114</v>
      </c>
      <c r="N488" s="93">
        <v>3.90625E-3</v>
      </c>
      <c r="O488" s="93">
        <f t="shared" si="7"/>
        <v>0.640625</v>
      </c>
    </row>
    <row r="489" spans="1:15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15.968671224949766</v>
      </c>
      <c r="H489">
        <v>3.6521191406250006E-4</v>
      </c>
      <c r="I489">
        <v>-0.58725916975216841</v>
      </c>
      <c r="J489">
        <v>-2.1447404543594405E-4</v>
      </c>
      <c r="L489" s="98"/>
      <c r="M489" s="98">
        <v>12.900544586754114</v>
      </c>
      <c r="N489" s="93">
        <v>7.8125E-3</v>
      </c>
      <c r="O489" s="93">
        <f t="shared" si="7"/>
        <v>0.6484375</v>
      </c>
    </row>
    <row r="490" spans="1:15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23.953006837424645</v>
      </c>
      <c r="H490">
        <v>2.3066015625000002E-4</v>
      </c>
      <c r="I490">
        <v>-0.45003336197325672</v>
      </c>
      <c r="J490">
        <v>-1.038047655904642E-4</v>
      </c>
      <c r="L490" s="98"/>
      <c r="M490" s="98">
        <v>12.900544586754114</v>
      </c>
      <c r="N490" s="93">
        <v>3.90625E-3</v>
      </c>
      <c r="O490" s="93">
        <f t="shared" si="7"/>
        <v>0.65234375</v>
      </c>
    </row>
    <row r="491" spans="1:15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2.6614452041582859</v>
      </c>
      <c r="H491">
        <v>3.6521191406250006E-4</v>
      </c>
      <c r="I491">
        <v>-0.91510648801080041</v>
      </c>
      <c r="J491">
        <v>-3.3420779205743667E-4</v>
      </c>
      <c r="L491" s="98"/>
      <c r="M491" s="98">
        <v>13.028099466625456</v>
      </c>
      <c r="N491" s="93">
        <v>9.765625E-4</v>
      </c>
      <c r="O491" s="93">
        <f t="shared" si="7"/>
        <v>0.6533203125</v>
      </c>
    </row>
    <row r="492" spans="1:15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13.307226020791473</v>
      </c>
      <c r="H492">
        <v>7.7100292968750007E-4</v>
      </c>
      <c r="I492">
        <v>-0.64173861451765546</v>
      </c>
      <c r="J492">
        <v>-4.9478235188670958E-4</v>
      </c>
      <c r="L492" s="98"/>
      <c r="M492" s="98">
        <v>13.028099466625456</v>
      </c>
      <c r="N492" s="93">
        <v>1.953125E-3</v>
      </c>
      <c r="O492" s="93">
        <f t="shared" si="7"/>
        <v>0.6552734375</v>
      </c>
    </row>
    <row r="493" spans="1:15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21.291561633266344</v>
      </c>
      <c r="H493">
        <v>4.8694921875000008E-4</v>
      </c>
      <c r="I493">
        <v>-0.49178250604638429</v>
      </c>
      <c r="J493">
        <v>-2.3947310711420401E-4</v>
      </c>
      <c r="L493" s="98"/>
      <c r="M493" s="98">
        <v>13.028099466625456</v>
      </c>
      <c r="N493" s="93">
        <v>9.765625E-4</v>
      </c>
      <c r="O493" s="93">
        <f t="shared" si="7"/>
        <v>0.65625</v>
      </c>
    </row>
    <row r="494" spans="1:15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2.3066015625000002E-4</v>
      </c>
      <c r="I494">
        <v>-1</v>
      </c>
      <c r="J494">
        <v>-2.3066015625000002E-4</v>
      </c>
      <c r="L494" s="98"/>
      <c r="M494" s="98">
        <v>13.307226020791473</v>
      </c>
      <c r="N494" s="93">
        <v>9.765625E-4</v>
      </c>
      <c r="O494" s="93">
        <f t="shared" si="7"/>
        <v>0.6572265625</v>
      </c>
    </row>
    <row r="495" spans="1:15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10.645780816633172</v>
      </c>
      <c r="H495">
        <v>4.8694921874999997E-4</v>
      </c>
      <c r="I495">
        <v>-0.70127206278760623</v>
      </c>
      <c r="J495">
        <v>-3.414838831056258E-4</v>
      </c>
      <c r="L495" s="98"/>
      <c r="M495" s="98">
        <v>13.307226020791473</v>
      </c>
      <c r="N495" s="93">
        <v>1.953125E-3</v>
      </c>
      <c r="O495" s="93">
        <f t="shared" si="7"/>
        <v>0.6591796875</v>
      </c>
    </row>
    <row r="496" spans="1:15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18.63011642910806</v>
      </c>
      <c r="H496">
        <v>3.0754687499999999E-4</v>
      </c>
      <c r="I496">
        <v>-0.5374046763840451</v>
      </c>
      <c r="J496">
        <v>-1.6527712883229937E-4</v>
      </c>
      <c r="L496" s="98"/>
      <c r="M496" s="98">
        <v>13.307226020791473</v>
      </c>
      <c r="N496" s="93">
        <v>9.765625E-4</v>
      </c>
      <c r="O496" s="93">
        <f t="shared" si="7"/>
        <v>0.66015625</v>
      </c>
    </row>
    <row r="497" spans="1:15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5.3228904083165913</v>
      </c>
      <c r="H497">
        <v>3.652119140625E-4</v>
      </c>
      <c r="I497">
        <v>-0.83741988439946058</v>
      </c>
      <c r="J497">
        <v>-3.0583571885552449E-4</v>
      </c>
      <c r="L497" s="98"/>
      <c r="M497" s="98">
        <v>13.382871862788226</v>
      </c>
      <c r="N497" s="93">
        <v>3.90625E-3</v>
      </c>
      <c r="O497" s="93">
        <f t="shared" si="7"/>
        <v>0.6640625</v>
      </c>
    </row>
    <row r="498" spans="1:15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15.968671224949766</v>
      </c>
      <c r="H498">
        <v>7.7100292968749996E-4</v>
      </c>
      <c r="I498">
        <v>-0.58725916975216841</v>
      </c>
      <c r="J498">
        <v>-4.527785403647707E-4</v>
      </c>
      <c r="L498" s="98"/>
      <c r="M498" s="98">
        <v>13.382871862788226</v>
      </c>
      <c r="N498" s="93">
        <v>7.8125E-3</v>
      </c>
      <c r="O498" s="93">
        <f t="shared" si="7"/>
        <v>0.671875</v>
      </c>
    </row>
    <row r="499" spans="1:15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23.953006837424645</v>
      </c>
      <c r="H499">
        <v>4.8694921874999997E-4</v>
      </c>
      <c r="I499">
        <v>-0.45003336197325672</v>
      </c>
      <c r="J499">
        <v>-2.191433940243133E-4</v>
      </c>
      <c r="L499" s="98"/>
      <c r="M499" s="98">
        <v>13.382871862788226</v>
      </c>
      <c r="N499" s="93">
        <v>3.90625E-3</v>
      </c>
      <c r="O499" s="93">
        <f t="shared" si="7"/>
        <v>0.67578125</v>
      </c>
    </row>
    <row r="500" spans="1:15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2.6614452041582859</v>
      </c>
      <c r="H500">
        <v>7.7100292968749996E-4</v>
      </c>
      <c r="I500">
        <v>-0.91510648801080041</v>
      </c>
      <c r="J500">
        <v>-7.055497832323662E-4</v>
      </c>
      <c r="L500" s="98"/>
      <c r="M500" s="98">
        <v>13.400283545412396</v>
      </c>
      <c r="N500" s="93">
        <v>9.765625E-4</v>
      </c>
      <c r="O500" s="93">
        <f t="shared" si="7"/>
        <v>0.6767578125</v>
      </c>
    </row>
    <row r="501" spans="1:15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13.307226020791473</v>
      </c>
      <c r="H501">
        <v>1.6276728515624999E-3</v>
      </c>
      <c r="I501">
        <v>-0.64173861451765546</v>
      </c>
      <c r="J501">
        <v>-1.0445405206497202E-3</v>
      </c>
      <c r="L501" s="98"/>
      <c r="M501" s="98">
        <v>13.400283545412396</v>
      </c>
      <c r="N501" s="93">
        <v>1.953125E-3</v>
      </c>
      <c r="O501" s="93">
        <f t="shared" si="7"/>
        <v>0.6787109375</v>
      </c>
    </row>
    <row r="502" spans="1:15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21.291561633266344</v>
      </c>
      <c r="H502">
        <v>1.0280039062499999E-3</v>
      </c>
      <c r="I502">
        <v>-0.49178250604638429</v>
      </c>
      <c r="J502">
        <v>-5.0555433724109732E-4</v>
      </c>
      <c r="L502" s="98"/>
      <c r="M502" s="98">
        <v>13.400283545412396</v>
      </c>
      <c r="N502" s="93">
        <v>9.765625E-4</v>
      </c>
      <c r="O502" s="93">
        <f t="shared" si="7"/>
        <v>0.6796875</v>
      </c>
    </row>
    <row r="503" spans="1:15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4.8694921874999997E-4</v>
      </c>
      <c r="I503">
        <v>-1</v>
      </c>
      <c r="J503">
        <v>-4.8694921874999997E-4</v>
      </c>
      <c r="L503" s="98"/>
      <c r="M503" s="98">
        <v>13.400283545412396</v>
      </c>
      <c r="N503" s="93">
        <v>9.765625E-4</v>
      </c>
      <c r="O503" s="93">
        <f t="shared" si="7"/>
        <v>0.6806640625</v>
      </c>
    </row>
    <row r="504" spans="1:15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10.645780816633172</v>
      </c>
      <c r="H504">
        <v>1.0280039062499999E-3</v>
      </c>
      <c r="I504">
        <v>-0.70127206278760623</v>
      </c>
      <c r="J504">
        <v>-7.2091041988965447E-4</v>
      </c>
      <c r="L504" s="98"/>
      <c r="M504" s="98">
        <v>13.400283545412396</v>
      </c>
      <c r="N504" s="93">
        <v>1.953125E-3</v>
      </c>
      <c r="O504" s="93">
        <f t="shared" si="7"/>
        <v>0.6826171875</v>
      </c>
    </row>
    <row r="505" spans="1:15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18.63011642910806</v>
      </c>
      <c r="H505">
        <v>6.4926562499999999E-4</v>
      </c>
      <c r="I505">
        <v>-0.5374046763840451</v>
      </c>
      <c r="J505">
        <v>-3.489183830904098E-4</v>
      </c>
      <c r="L505" s="98"/>
      <c r="M505" s="98">
        <v>13.400283545412396</v>
      </c>
      <c r="N505" s="93">
        <v>9.765625E-4</v>
      </c>
      <c r="O505" s="93">
        <f t="shared" si="7"/>
        <v>0.68359375</v>
      </c>
    </row>
    <row r="506" spans="1:15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5.3228904083165913</v>
      </c>
      <c r="H506">
        <v>2.3066015625000002E-4</v>
      </c>
      <c r="I506">
        <v>-0.83741988439946058</v>
      </c>
      <c r="J506">
        <v>-1.9315940138243652E-4</v>
      </c>
      <c r="L506" s="98"/>
      <c r="M506" s="98">
        <v>13.531570439041428</v>
      </c>
      <c r="N506" s="93">
        <v>9.765625E-4</v>
      </c>
      <c r="O506" s="93">
        <f t="shared" si="7"/>
        <v>0.6845703125</v>
      </c>
    </row>
    <row r="507" spans="1:15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15.968671224949766</v>
      </c>
      <c r="H507">
        <v>4.8694921874999997E-4</v>
      </c>
      <c r="I507">
        <v>-0.58725916975216841</v>
      </c>
      <c r="J507">
        <v>-2.8596539391459203E-4</v>
      </c>
      <c r="L507" s="98"/>
      <c r="M507" s="98">
        <v>13.531570439041428</v>
      </c>
      <c r="N507" s="93">
        <v>1.953125E-3</v>
      </c>
      <c r="O507" s="93">
        <f t="shared" si="7"/>
        <v>0.6865234375</v>
      </c>
    </row>
    <row r="508" spans="1:15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23.953006837424645</v>
      </c>
      <c r="H508">
        <v>3.0754687499999999E-4</v>
      </c>
      <c r="I508">
        <v>-0.45003336197325672</v>
      </c>
      <c r="J508">
        <v>-1.3840635412061894E-4</v>
      </c>
      <c r="L508" s="98"/>
      <c r="M508" s="98">
        <v>13.531570439041428</v>
      </c>
      <c r="N508" s="93">
        <v>9.765625E-4</v>
      </c>
      <c r="O508" s="93">
        <f t="shared" si="7"/>
        <v>0.6875</v>
      </c>
    </row>
    <row r="509" spans="1:15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2.6614452041582859</v>
      </c>
      <c r="H509">
        <v>4.8694921874999997E-4</v>
      </c>
      <c r="I509">
        <v>-0.91510648801080041</v>
      </c>
      <c r="J509">
        <v>-4.4561038940991548E-4</v>
      </c>
      <c r="L509" s="98"/>
      <c r="M509" s="98">
        <v>14.092860528211519</v>
      </c>
      <c r="N509" s="93">
        <v>4.8828125E-4</v>
      </c>
      <c r="O509" s="93">
        <f t="shared" si="7"/>
        <v>0.68798828125</v>
      </c>
    </row>
    <row r="510" spans="1:15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13.307226020791473</v>
      </c>
      <c r="H510">
        <v>1.0280039062499999E-3</v>
      </c>
      <c r="I510">
        <v>-0.64173861451765546</v>
      </c>
      <c r="J510">
        <v>-6.5970980251561274E-4</v>
      </c>
      <c r="L510" s="98"/>
      <c r="M510" s="98">
        <v>14.092860528211519</v>
      </c>
      <c r="N510" s="93">
        <v>9.765625E-4</v>
      </c>
      <c r="O510" s="93">
        <f t="shared" si="7"/>
        <v>0.68896484375</v>
      </c>
    </row>
    <row r="511" spans="1:15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21.291561633266344</v>
      </c>
      <c r="H511">
        <v>6.4926562499999999E-4</v>
      </c>
      <c r="I511">
        <v>-0.49178250604638429</v>
      </c>
      <c r="J511">
        <v>-3.1929747615227198E-4</v>
      </c>
      <c r="L511" s="98"/>
      <c r="M511" s="98">
        <v>14.092860528211519</v>
      </c>
      <c r="N511" s="93">
        <v>4.8828125E-4</v>
      </c>
      <c r="O511" s="93">
        <f t="shared" si="7"/>
        <v>0.689453125</v>
      </c>
    </row>
    <row r="512" spans="1:15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3.0754687500000004E-4</v>
      </c>
      <c r="I512">
        <v>-1</v>
      </c>
      <c r="J512">
        <v>-3.0754687500000004E-4</v>
      </c>
      <c r="L512" s="98"/>
      <c r="M512" s="98">
        <v>14.27020683117402</v>
      </c>
      <c r="N512" s="93">
        <v>1.953125E-3</v>
      </c>
      <c r="O512" s="93">
        <f t="shared" si="7"/>
        <v>0.69140625</v>
      </c>
    </row>
    <row r="513" spans="1:15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10.645780816633172</v>
      </c>
      <c r="H513">
        <v>6.4926562499999999E-4</v>
      </c>
      <c r="I513">
        <v>-0.70127206278760623</v>
      </c>
      <c r="J513">
        <v>-4.553118441408344E-4</v>
      </c>
      <c r="L513" s="98"/>
      <c r="M513" s="98">
        <v>14.27020683117402</v>
      </c>
      <c r="N513" s="93">
        <v>3.90625E-3</v>
      </c>
      <c r="O513" s="93">
        <f t="shared" si="7"/>
        <v>0.6953125</v>
      </c>
    </row>
    <row r="514" spans="1:15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18.63011642910806</v>
      </c>
      <c r="H514">
        <v>4.100625E-4</v>
      </c>
      <c r="I514">
        <v>-0.5374046763840451</v>
      </c>
      <c r="J514">
        <v>-2.2036950510973249E-4</v>
      </c>
      <c r="L514" s="98"/>
      <c r="M514" s="98">
        <v>14.27020683117402</v>
      </c>
      <c r="N514" s="93">
        <v>1.953125E-3</v>
      </c>
      <c r="O514" s="93">
        <f t="shared" si="7"/>
        <v>0.697265625</v>
      </c>
    </row>
    <row r="515" spans="1:15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6.5140497333127207</v>
      </c>
      <c r="H515">
        <v>3.652119140625E-4</v>
      </c>
      <c r="I515">
        <v>-0.80482131824825975</v>
      </c>
      <c r="J515">
        <v>-2.9393033411575142E-4</v>
      </c>
      <c r="L515" s="98"/>
      <c r="M515" s="98">
        <v>14.275063320307433</v>
      </c>
      <c r="N515" s="93">
        <v>3.90625E-3</v>
      </c>
      <c r="O515" s="93">
        <f t="shared" si="7"/>
        <v>0.701171875</v>
      </c>
    </row>
    <row r="516" spans="1:15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19.542149199938162</v>
      </c>
      <c r="H516">
        <v>7.7100292968749996E-4</v>
      </c>
      <c r="I516">
        <v>-0.52131283137189255</v>
      </c>
      <c r="J516">
        <v>-4.0193372027141482E-4</v>
      </c>
      <c r="L516" s="98"/>
      <c r="M516" s="98">
        <v>14.275063320307433</v>
      </c>
      <c r="N516" s="93">
        <v>7.8125E-3</v>
      </c>
      <c r="O516" s="93">
        <f t="shared" ref="O516:O579" si="8">N516+O515</f>
        <v>0.708984375</v>
      </c>
    </row>
    <row r="517" spans="1:15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29.313223799907266</v>
      </c>
      <c r="H517">
        <v>4.8694921874999997E-4</v>
      </c>
      <c r="I517">
        <v>-0.37639827280749777</v>
      </c>
      <c r="J517">
        <v>-1.8328684488246039E-4</v>
      </c>
      <c r="L517" s="98"/>
      <c r="M517" s="98">
        <v>14.275063320307433</v>
      </c>
      <c r="N517" s="93">
        <v>3.90625E-3</v>
      </c>
      <c r="O517" s="93">
        <f t="shared" si="8"/>
        <v>0.712890625</v>
      </c>
    </row>
    <row r="518" spans="1:15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3.2570248666563648</v>
      </c>
      <c r="H518">
        <v>7.7100292968749996E-4</v>
      </c>
      <c r="I518">
        <v>-0.89711834127291123</v>
      </c>
      <c r="J518">
        <v>-6.9168086939780501E-4</v>
      </c>
      <c r="L518" s="98"/>
      <c r="M518" s="98">
        <v>14.679814098802112</v>
      </c>
      <c r="N518" s="93">
        <v>9.765625E-4</v>
      </c>
      <c r="O518" s="93">
        <f t="shared" si="8"/>
        <v>0.7138671875</v>
      </c>
    </row>
    <row r="519" spans="1:15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16.285124333281807</v>
      </c>
      <c r="H519">
        <v>1.6276728515624999E-3</v>
      </c>
      <c r="I519">
        <v>-0.58109706087628021</v>
      </c>
      <c r="J519">
        <v>-9.4583591011108265E-4</v>
      </c>
      <c r="L519" s="98"/>
      <c r="M519" s="98">
        <v>14.679814098802112</v>
      </c>
      <c r="N519" s="93">
        <v>1.953125E-3</v>
      </c>
      <c r="O519" s="93">
        <f t="shared" si="8"/>
        <v>0.7158203125</v>
      </c>
    </row>
    <row r="520" spans="1:15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26.056198933250901</v>
      </c>
      <c r="H520">
        <v>1.0280039062499999E-3</v>
      </c>
      <c r="I520">
        <v>-0.41956368016445911</v>
      </c>
      <c r="J520">
        <v>-4.3131310212968959E-4</v>
      </c>
      <c r="L520" s="98"/>
      <c r="M520" s="98">
        <v>14.679814098802112</v>
      </c>
      <c r="N520" s="93">
        <v>9.765625E-4</v>
      </c>
      <c r="O520" s="93">
        <f t="shared" si="8"/>
        <v>0.716796875</v>
      </c>
    </row>
    <row r="521" spans="1:15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4.8694921874999997E-4</v>
      </c>
      <c r="I521">
        <v>-1</v>
      </c>
      <c r="J521">
        <v>-4.8694921874999997E-4</v>
      </c>
      <c r="L521" s="98"/>
      <c r="M521" s="98">
        <v>14.707457420185172</v>
      </c>
      <c r="N521" s="93">
        <v>4.8828125E-4</v>
      </c>
      <c r="O521" s="93">
        <f t="shared" si="8"/>
        <v>0.71728515625</v>
      </c>
    </row>
    <row r="522" spans="1:15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13.028099466625456</v>
      </c>
      <c r="H522">
        <v>1.0280039062499999E-3</v>
      </c>
      <c r="I522">
        <v>-0.64773735430686641</v>
      </c>
      <c r="J522">
        <v>-6.6587653045149895E-4</v>
      </c>
      <c r="L522" s="98"/>
      <c r="M522" s="98">
        <v>14.707457420185172</v>
      </c>
      <c r="N522" s="93">
        <v>9.765625E-4</v>
      </c>
      <c r="O522" s="93">
        <f t="shared" si="8"/>
        <v>0.71826171875</v>
      </c>
    </row>
    <row r="523" spans="1:15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22.799174066594546</v>
      </c>
      <c r="H523">
        <v>6.4926562499999999E-4</v>
      </c>
      <c r="I523">
        <v>-0.46767930256463686</v>
      </c>
      <c r="J523">
        <v>-3.0364809467919304E-4</v>
      </c>
      <c r="L523" s="98"/>
      <c r="M523" s="98">
        <v>14.707457420185172</v>
      </c>
      <c r="N523" s="93">
        <v>4.8828125E-4</v>
      </c>
      <c r="O523" s="93">
        <f t="shared" si="8"/>
        <v>0.71875</v>
      </c>
    </row>
    <row r="524" spans="1:15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6.5140497333127207</v>
      </c>
      <c r="H524">
        <v>7.7100292968750007E-4</v>
      </c>
      <c r="I524">
        <v>-0.80482131824825975</v>
      </c>
      <c r="J524">
        <v>-6.2051959424436415E-4</v>
      </c>
      <c r="L524" s="98"/>
      <c r="M524" s="98">
        <v>14.778325209913223</v>
      </c>
      <c r="N524" s="93">
        <v>4.8828125E-4</v>
      </c>
      <c r="O524" s="93">
        <f t="shared" si="8"/>
        <v>0.71923828125</v>
      </c>
    </row>
    <row r="525" spans="1:15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19.542149199938162</v>
      </c>
      <c r="H525">
        <v>1.6276728515625001E-3</v>
      </c>
      <c r="I525">
        <v>-0.52131283137189255</v>
      </c>
      <c r="J525">
        <v>-8.4852674279520908E-4</v>
      </c>
      <c r="L525" s="98"/>
      <c r="M525" s="98">
        <v>14.778325209913223</v>
      </c>
      <c r="N525" s="93">
        <v>9.765625E-4</v>
      </c>
      <c r="O525" s="93">
        <f t="shared" si="8"/>
        <v>0.72021484375</v>
      </c>
    </row>
    <row r="526" spans="1:15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29.313223799907266</v>
      </c>
      <c r="H526">
        <v>1.0280039062499999E-3</v>
      </c>
      <c r="I526">
        <v>-0.37639827280749777</v>
      </c>
      <c r="J526">
        <v>-3.8693889475186085E-4</v>
      </c>
      <c r="L526" s="98"/>
      <c r="M526" s="98">
        <v>14.778325209913223</v>
      </c>
      <c r="N526" s="93">
        <v>4.8828125E-4</v>
      </c>
      <c r="O526" s="93">
        <f t="shared" si="8"/>
        <v>0.720703125</v>
      </c>
    </row>
    <row r="527" spans="1:15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3.2570248666563648</v>
      </c>
      <c r="H527">
        <v>1.6276728515624999E-3</v>
      </c>
      <c r="I527">
        <v>-0.89711834127291123</v>
      </c>
      <c r="J527">
        <v>-1.4602151687286994E-3</v>
      </c>
      <c r="L527" s="98"/>
      <c r="M527" s="98">
        <v>15.075318988588934</v>
      </c>
      <c r="N527" s="93">
        <v>4.8828125E-4</v>
      </c>
      <c r="O527" s="93">
        <f t="shared" si="8"/>
        <v>0.72119140625</v>
      </c>
    </row>
    <row r="528" spans="1:15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16.285124333281807</v>
      </c>
      <c r="H528">
        <v>3.4361982421874998E-3</v>
      </c>
      <c r="I528">
        <v>-0.58109706087628021</v>
      </c>
      <c r="J528">
        <v>-1.9967646991233966E-3</v>
      </c>
      <c r="L528" s="98"/>
      <c r="M528" s="98">
        <v>15.075318988588934</v>
      </c>
      <c r="N528" s="93">
        <v>9.765625E-4</v>
      </c>
      <c r="O528" s="93">
        <f t="shared" si="8"/>
        <v>0.72216796875</v>
      </c>
    </row>
    <row r="529" spans="1:15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26.056198933250901</v>
      </c>
      <c r="H529">
        <v>2.1702304687499997E-3</v>
      </c>
      <c r="I529">
        <v>-0.41956368016445911</v>
      </c>
      <c r="J529">
        <v>-9.1054988227378905E-4</v>
      </c>
      <c r="L529" s="98"/>
      <c r="M529" s="98">
        <v>15.075318988588934</v>
      </c>
      <c r="N529" s="93">
        <v>4.8828125E-4</v>
      </c>
      <c r="O529" s="93">
        <f t="shared" si="8"/>
        <v>0.72265625</v>
      </c>
    </row>
    <row r="530" spans="1:15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1.0280039062499999E-3</v>
      </c>
      <c r="I530">
        <v>-1</v>
      </c>
      <c r="J530">
        <v>-1.0280039062499999E-3</v>
      </c>
      <c r="L530" s="98"/>
      <c r="M530" s="98">
        <v>15.27643971608607</v>
      </c>
      <c r="N530" s="93">
        <v>1.953125E-3</v>
      </c>
      <c r="O530" s="93">
        <f t="shared" si="8"/>
        <v>0.724609375</v>
      </c>
    </row>
    <row r="531" spans="1:15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13.028099466625456</v>
      </c>
      <c r="H531">
        <v>2.1702304687499997E-3</v>
      </c>
      <c r="I531">
        <v>-0.64773735430686641</v>
      </c>
      <c r="J531">
        <v>-1.4057393420642754E-3</v>
      </c>
      <c r="L531" s="98"/>
      <c r="M531" s="98">
        <v>15.27643971608607</v>
      </c>
      <c r="N531" s="93">
        <v>3.90625E-3</v>
      </c>
      <c r="O531" s="93">
        <f t="shared" si="8"/>
        <v>0.728515625</v>
      </c>
    </row>
    <row r="532" spans="1:15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22.799174066594546</v>
      </c>
      <c r="H532">
        <v>1.3706718749999999E-3</v>
      </c>
      <c r="I532">
        <v>-0.46767930256463686</v>
      </c>
      <c r="J532">
        <v>-6.4103486654496303E-4</v>
      </c>
      <c r="L532" s="98"/>
      <c r="M532" s="98">
        <v>15.27643971608607</v>
      </c>
      <c r="N532" s="93">
        <v>1.953125E-3</v>
      </c>
      <c r="O532" s="93">
        <f t="shared" si="8"/>
        <v>0.73046875</v>
      </c>
    </row>
    <row r="533" spans="1:15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6.5140497333127207</v>
      </c>
      <c r="H533">
        <v>4.8694921875000008E-4</v>
      </c>
      <c r="I533">
        <v>-0.80482131824825975</v>
      </c>
      <c r="J533">
        <v>-3.9190711215433528E-4</v>
      </c>
      <c r="L533" s="98"/>
      <c r="M533" s="98">
        <v>15.27643971608607</v>
      </c>
      <c r="N533" s="93">
        <v>9.765625E-4</v>
      </c>
      <c r="O533" s="93">
        <f t="shared" si="8"/>
        <v>0.7314453125</v>
      </c>
    </row>
    <row r="534" spans="1:15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19.542149199938162</v>
      </c>
      <c r="H534">
        <v>1.0280039062500002E-3</v>
      </c>
      <c r="I534">
        <v>-0.52131283137189255</v>
      </c>
      <c r="J534">
        <v>-5.3591162702855313E-4</v>
      </c>
      <c r="L534" s="98"/>
      <c r="M534" s="98">
        <v>15.27643971608607</v>
      </c>
      <c r="N534" s="93">
        <v>1.953125E-3</v>
      </c>
      <c r="O534" s="93">
        <f t="shared" si="8"/>
        <v>0.7333984375</v>
      </c>
    </row>
    <row r="535" spans="1:15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29.313223799907266</v>
      </c>
      <c r="H535">
        <v>6.492656250000001E-4</v>
      </c>
      <c r="I535">
        <v>-0.37639827280749777</v>
      </c>
      <c r="J535">
        <v>-2.4438245984328061E-4</v>
      </c>
      <c r="L535" s="98"/>
      <c r="M535" s="98">
        <v>15.27643971608607</v>
      </c>
      <c r="N535" s="93">
        <v>9.765625E-4</v>
      </c>
      <c r="O535" s="93">
        <f t="shared" si="8"/>
        <v>0.734375</v>
      </c>
    </row>
    <row r="536" spans="1:15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3.2570248666563648</v>
      </c>
      <c r="H536">
        <v>1.0280039062499999E-3</v>
      </c>
      <c r="I536">
        <v>-0.89711834127291123</v>
      </c>
      <c r="J536">
        <v>-9.2224115919707335E-4</v>
      </c>
      <c r="L536" s="98"/>
      <c r="M536" s="98">
        <v>15.27643971608607</v>
      </c>
      <c r="N536" s="93">
        <v>9.765625E-4</v>
      </c>
      <c r="O536" s="93">
        <f t="shared" si="8"/>
        <v>0.7353515625</v>
      </c>
    </row>
    <row r="537" spans="1:15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16.285124333281807</v>
      </c>
      <c r="H537">
        <v>2.1702304687499997E-3</v>
      </c>
      <c r="I537">
        <v>-0.58109706087628021</v>
      </c>
      <c r="J537">
        <v>-1.2611145468147766E-3</v>
      </c>
      <c r="L537" s="98"/>
      <c r="M537" s="98">
        <v>15.27643971608607</v>
      </c>
      <c r="N537" s="93">
        <v>1.953125E-3</v>
      </c>
      <c r="O537" s="93">
        <f t="shared" si="8"/>
        <v>0.7373046875</v>
      </c>
    </row>
    <row r="538" spans="1:15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26.056198933250901</v>
      </c>
      <c r="H538">
        <v>1.3706718749999999E-3</v>
      </c>
      <c r="I538">
        <v>-0.41956368016445911</v>
      </c>
      <c r="J538">
        <v>-5.7508413617291942E-4</v>
      </c>
      <c r="L538" s="98"/>
      <c r="M538" s="98">
        <v>15.27643971608607</v>
      </c>
      <c r="N538" s="93">
        <v>9.765625E-4</v>
      </c>
      <c r="O538" s="93">
        <f t="shared" si="8"/>
        <v>0.73828125</v>
      </c>
    </row>
    <row r="539" spans="1:15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6.492656250000001E-4</v>
      </c>
      <c r="I539">
        <v>-1</v>
      </c>
      <c r="J539">
        <v>-6.492656250000001E-4</v>
      </c>
      <c r="L539" s="98"/>
      <c r="M539" s="98">
        <v>15.27643971608607</v>
      </c>
      <c r="N539" s="93">
        <v>4.8828125E-4</v>
      </c>
      <c r="O539" s="93">
        <f t="shared" si="8"/>
        <v>0.73876953125</v>
      </c>
    </row>
    <row r="540" spans="1:15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13.028099466625456</v>
      </c>
      <c r="H540">
        <v>1.3706718749999999E-3</v>
      </c>
      <c r="I540">
        <v>-0.64773735430686641</v>
      </c>
      <c r="J540">
        <v>-8.8783537393533182E-4</v>
      </c>
      <c r="L540" s="98"/>
      <c r="M540" s="98">
        <v>15.27643971608607</v>
      </c>
      <c r="N540" s="93">
        <v>9.765625E-4</v>
      </c>
      <c r="O540" s="93">
        <f t="shared" si="8"/>
        <v>0.73974609375</v>
      </c>
    </row>
    <row r="541" spans="1:15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22.799174066594546</v>
      </c>
      <c r="H541">
        <v>8.6568750000000003E-4</v>
      </c>
      <c r="I541">
        <v>-0.46767930256463686</v>
      </c>
      <c r="J541">
        <v>-4.048641262389241E-4</v>
      </c>
      <c r="L541" s="98"/>
      <c r="M541" s="98">
        <v>15.27643971608607</v>
      </c>
      <c r="N541" s="93">
        <v>4.8828125E-4</v>
      </c>
      <c r="O541" s="93">
        <f t="shared" si="8"/>
        <v>0.740234375</v>
      </c>
    </row>
    <row r="542" spans="1:15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7.0464302641057577</v>
      </c>
      <c r="H542">
        <v>2.3066015625000002E-4</v>
      </c>
      <c r="I542">
        <v>-0.79066492619706163</v>
      </c>
      <c r="J542">
        <v>-1.8237489541800896E-4</v>
      </c>
      <c r="L542" s="98"/>
      <c r="M542" s="98">
        <v>15.464651930333066</v>
      </c>
      <c r="N542" s="93">
        <v>1.953125E-3</v>
      </c>
      <c r="O542" s="93">
        <f t="shared" si="8"/>
        <v>0.7421875</v>
      </c>
    </row>
    <row r="543" spans="1:15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21.139290792317265</v>
      </c>
      <c r="H543">
        <v>4.8694921874999997E-4</v>
      </c>
      <c r="I543">
        <v>-0.49428498945336902</v>
      </c>
      <c r="J543">
        <v>-2.4069168945417001E-4</v>
      </c>
      <c r="L543" s="98"/>
      <c r="M543" s="98">
        <v>15.464651930333066</v>
      </c>
      <c r="N543" s="93">
        <v>3.90625E-3</v>
      </c>
      <c r="O543" s="93">
        <f t="shared" si="8"/>
        <v>0.74609375</v>
      </c>
    </row>
    <row r="544" spans="1:15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31.708936188475928</v>
      </c>
      <c r="H544">
        <v>3.0754687499999999E-4</v>
      </c>
      <c r="I544">
        <v>-0.34750906095872436</v>
      </c>
      <c r="J544">
        <v>-1.0687532573204017E-4</v>
      </c>
      <c r="L544" s="98"/>
      <c r="M544" s="98">
        <v>15.464651930333066</v>
      </c>
      <c r="N544" s="93">
        <v>1.953125E-3</v>
      </c>
      <c r="O544" s="93">
        <f t="shared" si="8"/>
        <v>0.748046875</v>
      </c>
    </row>
    <row r="545" spans="1:15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3.5232151320528735</v>
      </c>
      <c r="H545">
        <v>4.8694921874999997E-4</v>
      </c>
      <c r="I545">
        <v>-0.8891934132667999</v>
      </c>
      <c r="J545">
        <v>-4.3299203790791405E-4</v>
      </c>
      <c r="L545" s="98"/>
      <c r="M545" s="98">
        <v>15.480653504104936</v>
      </c>
      <c r="N545" s="93">
        <v>1.953125E-3</v>
      </c>
      <c r="O545" s="93">
        <f t="shared" si="8"/>
        <v>0.75</v>
      </c>
    </row>
    <row r="546" spans="1:15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17.616075660264386</v>
      </c>
      <c r="H546">
        <v>1.0280039062499999E-3</v>
      </c>
      <c r="I546">
        <v>-0.55588017418777302</v>
      </c>
      <c r="J546">
        <v>-5.7144699047196104E-4</v>
      </c>
      <c r="L546" s="98"/>
      <c r="M546" s="98">
        <v>15.480653504104936</v>
      </c>
      <c r="N546" s="93">
        <v>3.90625E-3</v>
      </c>
      <c r="O546" s="93">
        <f t="shared" si="8"/>
        <v>0.75390625</v>
      </c>
    </row>
    <row r="547" spans="1:15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28.185721056423024</v>
      </c>
      <c r="H547">
        <v>6.4926562499999999E-4</v>
      </c>
      <c r="I547">
        <v>-0.39081380470646343</v>
      </c>
      <c r="J547">
        <v>-2.5374196917136993E-4</v>
      </c>
      <c r="L547" s="98"/>
      <c r="M547" s="98">
        <v>15.480653504104936</v>
      </c>
      <c r="N547" s="93">
        <v>1.953125E-3</v>
      </c>
      <c r="O547" s="93">
        <f t="shared" si="8"/>
        <v>0.755859375</v>
      </c>
    </row>
    <row r="548" spans="1:15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3.0754687500000004E-4</v>
      </c>
      <c r="I548">
        <v>-1</v>
      </c>
      <c r="J548">
        <v>-3.0754687500000004E-4</v>
      </c>
      <c r="L548" s="98"/>
      <c r="M548" s="98">
        <v>15.968671224949766</v>
      </c>
      <c r="N548" s="93">
        <v>4.8828125E-4</v>
      </c>
      <c r="O548" s="93">
        <f t="shared" si="8"/>
        <v>0.75634765625</v>
      </c>
    </row>
    <row r="549" spans="1:15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14.092860528211519</v>
      </c>
      <c r="H549">
        <v>6.4926562499999999E-4</v>
      </c>
      <c r="I549">
        <v>-0.62515102551820489</v>
      </c>
      <c r="J549">
        <v>-4.0588907130246826E-4</v>
      </c>
      <c r="L549" s="98"/>
      <c r="M549" s="98">
        <v>15.968671224949766</v>
      </c>
      <c r="N549" s="93">
        <v>9.765625E-4</v>
      </c>
      <c r="O549" s="93">
        <f t="shared" si="8"/>
        <v>0.75732421875</v>
      </c>
    </row>
    <row r="550" spans="1:15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24.662505924370151</v>
      </c>
      <c r="H550">
        <v>4.100625E-4</v>
      </c>
      <c r="I550">
        <v>-0.43951495689858516</v>
      </c>
      <c r="J550">
        <v>-1.8022860201322608E-4</v>
      </c>
      <c r="L550" s="98"/>
      <c r="M550" s="98">
        <v>15.968671224949766</v>
      </c>
      <c r="N550" s="93">
        <v>4.8828125E-4</v>
      </c>
      <c r="O550" s="93">
        <f t="shared" si="8"/>
        <v>0.7578125</v>
      </c>
    </row>
    <row r="551" spans="1:15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7.0464302641057577</v>
      </c>
      <c r="H551">
        <v>4.8694921875000008E-4</v>
      </c>
      <c r="I551">
        <v>-0.79066492619706163</v>
      </c>
      <c r="J551">
        <v>-3.8501366810468564E-4</v>
      </c>
      <c r="L551" s="98"/>
      <c r="M551" s="98">
        <v>16.059446235345884</v>
      </c>
      <c r="N551" s="93">
        <v>1.953125E-3</v>
      </c>
      <c r="O551" s="93">
        <f t="shared" si="8"/>
        <v>0.759765625</v>
      </c>
    </row>
    <row r="552" spans="1:15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21.139290792317265</v>
      </c>
      <c r="H552">
        <v>1.0280039062500002E-3</v>
      </c>
      <c r="I552">
        <v>-0.49428498945336902</v>
      </c>
      <c r="J552">
        <v>-5.0812689995880346E-4</v>
      </c>
      <c r="L552" s="98"/>
      <c r="M552" s="98">
        <v>16.059446235345884</v>
      </c>
      <c r="N552" s="93">
        <v>3.90625E-3</v>
      </c>
      <c r="O552" s="93">
        <f t="shared" si="8"/>
        <v>0.763671875</v>
      </c>
    </row>
    <row r="553" spans="1:15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31.708936188475928</v>
      </c>
      <c r="H553">
        <v>6.492656250000001E-4</v>
      </c>
      <c r="I553">
        <v>-0.34750906095872436</v>
      </c>
      <c r="J553">
        <v>-2.2562568765652932E-4</v>
      </c>
      <c r="L553" s="98"/>
      <c r="M553" s="98">
        <v>16.059446235345884</v>
      </c>
      <c r="N553" s="93">
        <v>1.953125E-3</v>
      </c>
      <c r="O553" s="93">
        <f t="shared" si="8"/>
        <v>0.765625</v>
      </c>
    </row>
    <row r="554" spans="1:15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3.5232151320528735</v>
      </c>
      <c r="H554">
        <v>1.0280039062499999E-3</v>
      </c>
      <c r="I554">
        <v>-0.8891934132667999</v>
      </c>
      <c r="J554">
        <v>-9.1409430225004081E-4</v>
      </c>
      <c r="L554" s="98"/>
      <c r="M554" s="98">
        <v>16.285124333281807</v>
      </c>
      <c r="N554" s="93">
        <v>1.953125E-3</v>
      </c>
      <c r="O554" s="93">
        <f t="shared" si="8"/>
        <v>0.767578125</v>
      </c>
    </row>
    <row r="555" spans="1:15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17.616075660264386</v>
      </c>
      <c r="H555">
        <v>2.1702304687499997E-3</v>
      </c>
      <c r="I555">
        <v>-0.55588017418777302</v>
      </c>
      <c r="J555">
        <v>-1.2063880909963622E-3</v>
      </c>
      <c r="L555" s="98"/>
      <c r="M555" s="98">
        <v>16.285124333281807</v>
      </c>
      <c r="N555" s="93">
        <v>3.90625E-3</v>
      </c>
      <c r="O555" s="93">
        <f t="shared" si="8"/>
        <v>0.771484375</v>
      </c>
    </row>
    <row r="556" spans="1:15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28.185721056423024</v>
      </c>
      <c r="H556">
        <v>1.3706718749999999E-3</v>
      </c>
      <c r="I556">
        <v>-0.39081380470646343</v>
      </c>
      <c r="J556">
        <v>-5.3567749047289204E-4</v>
      </c>
      <c r="L556" s="98"/>
      <c r="M556" s="98">
        <v>16.285124333281807</v>
      </c>
      <c r="N556" s="93">
        <v>1.953125E-3</v>
      </c>
      <c r="O556" s="93">
        <f t="shared" si="8"/>
        <v>0.7734375</v>
      </c>
    </row>
    <row r="557" spans="1:15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6.492656250000001E-4</v>
      </c>
      <c r="I557">
        <v>-1</v>
      </c>
      <c r="J557">
        <v>-6.492656250000001E-4</v>
      </c>
      <c r="L557" s="98"/>
      <c r="M557" s="98">
        <v>16.654240540358682</v>
      </c>
      <c r="N557" s="93">
        <v>1.953125E-3</v>
      </c>
      <c r="O557" s="93">
        <f t="shared" si="8"/>
        <v>0.775390625</v>
      </c>
    </row>
    <row r="558" spans="1:15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14.092860528211519</v>
      </c>
      <c r="H558">
        <v>1.3706718749999999E-3</v>
      </c>
      <c r="I558">
        <v>-0.62515102551820489</v>
      </c>
      <c r="J558">
        <v>-8.5687692830521071E-4</v>
      </c>
      <c r="L558" s="98"/>
      <c r="M558" s="98">
        <v>16.654240540358682</v>
      </c>
      <c r="N558" s="93">
        <v>3.90625E-3</v>
      </c>
      <c r="O558" s="93">
        <f t="shared" si="8"/>
        <v>0.779296875</v>
      </c>
    </row>
    <row r="559" spans="1:15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24.662505924370151</v>
      </c>
      <c r="H559">
        <v>8.6568750000000003E-4</v>
      </c>
      <c r="I559">
        <v>-0.43951495689858516</v>
      </c>
      <c r="J559">
        <v>-3.8048260425014397E-4</v>
      </c>
      <c r="L559" s="98"/>
      <c r="M559" s="98">
        <v>16.654240540358682</v>
      </c>
      <c r="N559" s="93">
        <v>1.953125E-3</v>
      </c>
      <c r="O559" s="93">
        <f t="shared" si="8"/>
        <v>0.78125</v>
      </c>
    </row>
    <row r="560" spans="1:15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7.0464302641057577</v>
      </c>
      <c r="H560">
        <v>3.0754687500000004E-4</v>
      </c>
      <c r="I560">
        <v>-0.79066492619706163</v>
      </c>
      <c r="J560">
        <v>-2.4316652722401196E-4</v>
      </c>
      <c r="L560" s="98"/>
      <c r="M560" s="98">
        <v>16.808522765925922</v>
      </c>
      <c r="N560" s="93">
        <v>9.765625E-4</v>
      </c>
      <c r="O560" s="93">
        <f t="shared" si="8"/>
        <v>0.7822265625</v>
      </c>
    </row>
    <row r="561" spans="1:15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21.139290792317265</v>
      </c>
      <c r="H561">
        <v>6.4926562499999999E-4</v>
      </c>
      <c r="I561">
        <v>-0.49428498945336902</v>
      </c>
      <c r="J561">
        <v>-3.2092225260556002E-4</v>
      </c>
      <c r="L561" s="98"/>
      <c r="M561" s="98">
        <v>16.808522765925922</v>
      </c>
      <c r="N561" s="93">
        <v>1.953125E-3</v>
      </c>
      <c r="O561" s="93">
        <f t="shared" si="8"/>
        <v>0.7841796875</v>
      </c>
    </row>
    <row r="562" spans="1:15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31.708936188475928</v>
      </c>
      <c r="H562">
        <v>4.100625E-4</v>
      </c>
      <c r="I562">
        <v>-0.34750906095872436</v>
      </c>
      <c r="J562">
        <v>-1.425004343093869E-4</v>
      </c>
      <c r="L562" s="98"/>
      <c r="M562" s="98">
        <v>16.808522765925922</v>
      </c>
      <c r="N562" s="93">
        <v>9.765625E-4</v>
      </c>
      <c r="O562" s="93">
        <f t="shared" si="8"/>
        <v>0.78515625</v>
      </c>
    </row>
    <row r="563" spans="1:15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3.5232151320528735</v>
      </c>
      <c r="H563">
        <v>6.4926562499999999E-4</v>
      </c>
      <c r="I563">
        <v>-0.8891934132667999</v>
      </c>
      <c r="J563">
        <v>-5.7732271721055214E-4</v>
      </c>
      <c r="L563" s="98"/>
      <c r="M563" s="98">
        <v>17.124248197408818</v>
      </c>
      <c r="N563" s="93">
        <v>9.765625E-4</v>
      </c>
      <c r="O563" s="93">
        <f t="shared" si="8"/>
        <v>0.7861328125</v>
      </c>
    </row>
    <row r="564" spans="1:15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17.616075660264386</v>
      </c>
      <c r="H564">
        <v>1.3706718749999997E-3</v>
      </c>
      <c r="I564">
        <v>-0.55588017418777302</v>
      </c>
      <c r="J564">
        <v>-7.6192932062928132E-4</v>
      </c>
      <c r="L564" s="98"/>
      <c r="M564" s="98">
        <v>17.124248197408818</v>
      </c>
      <c r="N564" s="93">
        <v>1.953125E-3</v>
      </c>
      <c r="O564" s="93">
        <f t="shared" si="8"/>
        <v>0.7880859375</v>
      </c>
    </row>
    <row r="565" spans="1:15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28.185721056423024</v>
      </c>
      <c r="H565">
        <v>8.6568749999999992E-4</v>
      </c>
      <c r="I565">
        <v>-0.39081380470646343</v>
      </c>
      <c r="J565">
        <v>-3.3832262556182652E-4</v>
      </c>
      <c r="L565" s="98"/>
      <c r="M565" s="98">
        <v>17.124248197408818</v>
      </c>
      <c r="N565" s="93">
        <v>9.765625E-4</v>
      </c>
      <c r="O565" s="93">
        <f t="shared" si="8"/>
        <v>0.7890625</v>
      </c>
    </row>
    <row r="566" spans="1:15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4.100625E-4</v>
      </c>
      <c r="I566">
        <v>-1</v>
      </c>
      <c r="J566">
        <v>-4.100625E-4</v>
      </c>
      <c r="L566" s="98"/>
      <c r="M566" s="98">
        <v>17.397733421624689</v>
      </c>
      <c r="N566" s="93">
        <v>9.765625E-4</v>
      </c>
      <c r="O566" s="93">
        <f t="shared" si="8"/>
        <v>0.7900390625</v>
      </c>
    </row>
    <row r="567" spans="1:15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14.092860528211519</v>
      </c>
      <c r="H567">
        <v>8.6568749999999992E-4</v>
      </c>
      <c r="I567">
        <v>-0.62515102551820489</v>
      </c>
      <c r="J567">
        <v>-5.4118542840329094E-4</v>
      </c>
      <c r="L567" s="98"/>
      <c r="M567" s="98">
        <v>17.397733421624689</v>
      </c>
      <c r="N567" s="93">
        <v>1.953125E-3</v>
      </c>
      <c r="O567" s="93">
        <f t="shared" si="8"/>
        <v>0.7919921875</v>
      </c>
    </row>
    <row r="568" spans="1:15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24.662505924370151</v>
      </c>
      <c r="H568">
        <v>5.4674999999999993E-4</v>
      </c>
      <c r="I568">
        <v>-0.43951495689858516</v>
      </c>
      <c r="J568">
        <v>-2.403048026843014E-4</v>
      </c>
      <c r="L568" s="98"/>
      <c r="M568" s="98">
        <v>17.397733421624689</v>
      </c>
      <c r="N568" s="93">
        <v>9.765625E-4</v>
      </c>
      <c r="O568" s="93">
        <f t="shared" si="8"/>
        <v>0.79296875</v>
      </c>
    </row>
    <row r="569" spans="1:15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7.3399070494010648</v>
      </c>
      <c r="H569">
        <v>3.652119140625E-4</v>
      </c>
      <c r="I569">
        <v>-0.78296790915047809</v>
      </c>
      <c r="J569">
        <v>-2.8594920875035974E-4</v>
      </c>
      <c r="L569" s="98"/>
      <c r="M569" s="98">
        <v>17.616075660264386</v>
      </c>
      <c r="N569" s="93">
        <v>9.765625E-4</v>
      </c>
      <c r="O569" s="93">
        <f t="shared" si="8"/>
        <v>0.7939453125</v>
      </c>
    </row>
    <row r="570" spans="1:15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22.019721148203125</v>
      </c>
      <c r="H570">
        <v>7.7100292968749996E-4</v>
      </c>
      <c r="I570">
        <v>-0.47998966577849378</v>
      </c>
      <c r="J570">
        <v>-3.7007343853494263E-4</v>
      </c>
      <c r="L570" s="98"/>
      <c r="M570" s="98">
        <v>17.616075660264386</v>
      </c>
      <c r="N570" s="93">
        <v>1.953125E-3</v>
      </c>
      <c r="O570" s="93">
        <f t="shared" si="8"/>
        <v>0.7958984375</v>
      </c>
    </row>
    <row r="571" spans="1:15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33.029581722304734</v>
      </c>
      <c r="H571">
        <v>4.8694921874999997E-4</v>
      </c>
      <c r="I571">
        <v>-0.33254301547300597</v>
      </c>
      <c r="J571">
        <v>-1.6193156158534941E-4</v>
      </c>
      <c r="L571" s="98"/>
      <c r="M571" s="98">
        <v>17.616075660264386</v>
      </c>
      <c r="N571" s="93">
        <v>9.765625E-4</v>
      </c>
      <c r="O571" s="93">
        <f t="shared" si="8"/>
        <v>0.796875</v>
      </c>
    </row>
    <row r="572" spans="1:15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3.6699535247005088</v>
      </c>
      <c r="H572">
        <v>7.7100292968749996E-4</v>
      </c>
      <c r="I572">
        <v>-0.88485473901114375</v>
      </c>
      <c r="J572">
        <v>-6.8222559612546004E-4</v>
      </c>
      <c r="L572" s="98"/>
      <c r="M572" s="98">
        <v>18.060762421455756</v>
      </c>
      <c r="N572" s="93">
        <v>9.765625E-4</v>
      </c>
      <c r="O572" s="93">
        <f t="shared" si="8"/>
        <v>0.7978515625</v>
      </c>
    </row>
    <row r="573" spans="1:15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18.349767623502622</v>
      </c>
      <c r="H573">
        <v>1.6276728515624999E-3</v>
      </c>
      <c r="I573">
        <v>-0.54245024026757094</v>
      </c>
      <c r="J573">
        <v>-8.8293152940708045E-4</v>
      </c>
      <c r="L573" s="98"/>
      <c r="M573" s="98">
        <v>18.060762421455756</v>
      </c>
      <c r="N573" s="93">
        <v>1.953125E-3</v>
      </c>
      <c r="O573" s="93">
        <f t="shared" si="8"/>
        <v>0.7998046875</v>
      </c>
    </row>
    <row r="574" spans="1:15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29.359628197604181</v>
      </c>
      <c r="H574">
        <v>1.0280039062499999E-3</v>
      </c>
      <c r="I574">
        <v>-0.37581650502842417</v>
      </c>
      <c r="J574">
        <v>-3.8634083520244279E-4</v>
      </c>
      <c r="L574" s="98"/>
      <c r="M574" s="98">
        <v>18.060762421455756</v>
      </c>
      <c r="N574" s="93">
        <v>9.765625E-4</v>
      </c>
      <c r="O574" s="93">
        <f t="shared" si="8"/>
        <v>0.80078125</v>
      </c>
    </row>
    <row r="575" spans="1:15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4.8694921874999997E-4</v>
      </c>
      <c r="I575">
        <v>-1</v>
      </c>
      <c r="J575">
        <v>-4.8694921874999997E-4</v>
      </c>
      <c r="L575" s="98"/>
      <c r="M575" s="98">
        <v>18.349767623502622</v>
      </c>
      <c r="N575" s="93">
        <v>1.953125E-3</v>
      </c>
      <c r="O575" s="93">
        <f t="shared" si="8"/>
        <v>0.802734375</v>
      </c>
    </row>
    <row r="576" spans="1:15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14.679814098802112</v>
      </c>
      <c r="H576">
        <v>1.0280039062499999E-3</v>
      </c>
      <c r="I576">
        <v>-0.61303874675947168</v>
      </c>
      <c r="J576">
        <v>-6.3020622635134133E-4</v>
      </c>
      <c r="L576" s="98"/>
      <c r="M576" s="98">
        <v>18.349767623502622</v>
      </c>
      <c r="N576" s="93">
        <v>3.90625E-3</v>
      </c>
      <c r="O576" s="93">
        <f t="shared" si="8"/>
        <v>0.806640625</v>
      </c>
    </row>
    <row r="577" spans="1:15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25.689674672903667</v>
      </c>
      <c r="H577">
        <v>6.4926562499999999E-4</v>
      </c>
      <c r="I577">
        <v>-0.42472113044047477</v>
      </c>
      <c r="J577">
        <v>-2.7575683020614135E-4</v>
      </c>
      <c r="L577" s="98"/>
      <c r="M577" s="98">
        <v>18.349767623502622</v>
      </c>
      <c r="N577" s="93">
        <v>1.953125E-3</v>
      </c>
      <c r="O577" s="93">
        <f t="shared" si="8"/>
        <v>0.80859375</v>
      </c>
    </row>
    <row r="578" spans="1:15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7.3399070494010648</v>
      </c>
      <c r="H578">
        <v>7.7100292968750007E-4</v>
      </c>
      <c r="I578">
        <v>-0.78296790915047809</v>
      </c>
      <c r="J578">
        <v>-6.03670551806315E-4</v>
      </c>
      <c r="L578" s="98"/>
      <c r="M578" s="98">
        <v>18.472906512391507</v>
      </c>
      <c r="N578" s="93">
        <v>9.765625E-4</v>
      </c>
      <c r="O578" s="93">
        <f t="shared" si="8"/>
        <v>0.8095703125</v>
      </c>
    </row>
    <row r="579" spans="1:15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22.019721148203125</v>
      </c>
      <c r="H579">
        <v>1.6276728515625001E-3</v>
      </c>
      <c r="I579">
        <v>-0.47998966577849378</v>
      </c>
      <c r="J579">
        <v>-7.8126614801821235E-4</v>
      </c>
      <c r="L579" s="98"/>
      <c r="M579" s="98">
        <v>18.472906512391507</v>
      </c>
      <c r="N579" s="93">
        <v>1.953125E-3</v>
      </c>
      <c r="O579" s="93">
        <f t="shared" si="8"/>
        <v>0.8115234375</v>
      </c>
    </row>
    <row r="580" spans="1:15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33.029581722304734</v>
      </c>
      <c r="H580">
        <v>1.0280039062499999E-3</v>
      </c>
      <c r="I580">
        <v>-0.33254301547300597</v>
      </c>
      <c r="J580">
        <v>-3.4185551890240429E-4</v>
      </c>
      <c r="L580" s="98"/>
      <c r="M580" s="98">
        <v>18.472906512391507</v>
      </c>
      <c r="N580" s="93">
        <v>9.765625E-4</v>
      </c>
      <c r="O580" s="93">
        <f t="shared" ref="O580:O643" si="9">N580+O579</f>
        <v>0.8125</v>
      </c>
    </row>
    <row r="581" spans="1:15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3.6699535247005088</v>
      </c>
      <c r="H581">
        <v>1.6276728515624999E-3</v>
      </c>
      <c r="I581">
        <v>-0.88485473901114375</v>
      </c>
      <c r="J581">
        <v>-1.44025403626486E-3</v>
      </c>
      <c r="L581" s="98"/>
      <c r="M581" s="98">
        <v>18.63011642910806</v>
      </c>
      <c r="N581" s="93">
        <v>2.44140625E-4</v>
      </c>
      <c r="O581" s="93">
        <f t="shared" si="9"/>
        <v>0.812744140625</v>
      </c>
    </row>
    <row r="582" spans="1:15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18.349767623502622</v>
      </c>
      <c r="H582">
        <v>3.4361982421874998E-3</v>
      </c>
      <c r="I582">
        <v>-0.54245024026757094</v>
      </c>
      <c r="J582">
        <v>-1.8639665620816142E-3</v>
      </c>
      <c r="L582" s="98"/>
      <c r="M582" s="98">
        <v>18.63011642910806</v>
      </c>
      <c r="N582" s="93">
        <v>4.8828125E-4</v>
      </c>
      <c r="O582" s="93">
        <f t="shared" si="9"/>
        <v>0.813232421875</v>
      </c>
    </row>
    <row r="583" spans="1:15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29.359628197604181</v>
      </c>
      <c r="H583">
        <v>2.1702304687499997E-3</v>
      </c>
      <c r="I583">
        <v>-0.37581650502842417</v>
      </c>
      <c r="J583">
        <v>-8.1560842987182369E-4</v>
      </c>
      <c r="L583" s="98"/>
      <c r="M583" s="98">
        <v>18.63011642910806</v>
      </c>
      <c r="N583" s="93">
        <v>2.44140625E-4</v>
      </c>
      <c r="O583" s="93">
        <f t="shared" si="9"/>
        <v>0.8134765625</v>
      </c>
    </row>
    <row r="584" spans="1:15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1.0280039062499999E-3</v>
      </c>
      <c r="I584">
        <v>-1</v>
      </c>
      <c r="J584">
        <v>-1.0280039062499999E-3</v>
      </c>
      <c r="L584" s="98"/>
      <c r="M584" s="98">
        <v>18.736020607903523</v>
      </c>
      <c r="N584" s="93">
        <v>9.765625E-4</v>
      </c>
      <c r="O584" s="93">
        <f t="shared" si="9"/>
        <v>0.814453125</v>
      </c>
    </row>
    <row r="585" spans="1:15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14.679814098802112</v>
      </c>
      <c r="H585">
        <v>2.1702304687499997E-3</v>
      </c>
      <c r="I585">
        <v>-0.61303874675947168</v>
      </c>
      <c r="J585">
        <v>-1.3304353667417206E-3</v>
      </c>
      <c r="L585" s="98"/>
      <c r="M585" s="98">
        <v>18.736020607903523</v>
      </c>
      <c r="N585" s="93">
        <v>1.953125E-3</v>
      </c>
      <c r="O585" s="93">
        <f t="shared" si="9"/>
        <v>0.81640625</v>
      </c>
    </row>
    <row r="586" spans="1:15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25.689674672903667</v>
      </c>
      <c r="H586">
        <v>1.3706718749999999E-3</v>
      </c>
      <c r="I586">
        <v>-0.42472113044047477</v>
      </c>
      <c r="J586">
        <v>-5.821533082129651E-4</v>
      </c>
      <c r="L586" s="98"/>
      <c r="M586" s="98">
        <v>18.736020607903523</v>
      </c>
      <c r="N586" s="93">
        <v>9.765625E-4</v>
      </c>
      <c r="O586" s="93">
        <f t="shared" si="9"/>
        <v>0.8173828125</v>
      </c>
    </row>
    <row r="587" spans="1:15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7.3399070494010648</v>
      </c>
      <c r="H587">
        <v>4.8694921875000008E-4</v>
      </c>
      <c r="I587">
        <v>-0.78296790915047809</v>
      </c>
      <c r="J587">
        <v>-3.8126561166714634E-4</v>
      </c>
      <c r="L587" s="98"/>
      <c r="M587" s="98">
        <v>18.909588111666647</v>
      </c>
      <c r="N587" s="93">
        <v>4.8828125E-4</v>
      </c>
      <c r="O587" s="93">
        <f t="shared" si="9"/>
        <v>0.81787109375</v>
      </c>
    </row>
    <row r="588" spans="1:15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22.019721148203125</v>
      </c>
      <c r="H588">
        <v>1.0280039062500002E-3</v>
      </c>
      <c r="I588">
        <v>-0.47998966577849378</v>
      </c>
      <c r="J588">
        <v>-4.9343125137992362E-4</v>
      </c>
      <c r="L588" s="98"/>
      <c r="M588" s="98">
        <v>18.909588111666647</v>
      </c>
      <c r="N588" s="93">
        <v>9.765625E-4</v>
      </c>
      <c r="O588" s="93">
        <f t="shared" si="9"/>
        <v>0.81884765625</v>
      </c>
    </row>
    <row r="589" spans="1:15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33.029581722304734</v>
      </c>
      <c r="H589">
        <v>6.492656250000001E-4</v>
      </c>
      <c r="I589">
        <v>-0.33254301547300597</v>
      </c>
      <c r="J589">
        <v>-2.1590874878046592E-4</v>
      </c>
      <c r="L589" s="98"/>
      <c r="M589" s="98">
        <v>18.909588111666647</v>
      </c>
      <c r="N589" s="93">
        <v>4.8828125E-4</v>
      </c>
      <c r="O589" s="93">
        <f t="shared" si="9"/>
        <v>0.8193359375</v>
      </c>
    </row>
    <row r="590" spans="1:15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3.6699535247005088</v>
      </c>
      <c r="H590">
        <v>1.0280039062499999E-3</v>
      </c>
      <c r="I590">
        <v>-0.88485473901114375</v>
      </c>
      <c r="J590">
        <v>-9.0963412816727994E-4</v>
      </c>
      <c r="L590" s="98"/>
      <c r="M590" s="98">
        <v>19.033417760409929</v>
      </c>
      <c r="N590" s="93">
        <v>3.90625E-3</v>
      </c>
      <c r="O590" s="93">
        <f t="shared" si="9"/>
        <v>0.8232421875</v>
      </c>
    </row>
    <row r="591" spans="1:15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18.349767623502622</v>
      </c>
      <c r="H591">
        <v>2.1702304687499997E-3</v>
      </c>
      <c r="I591">
        <v>-0.54245024026757094</v>
      </c>
      <c r="J591">
        <v>-1.1772420392094404E-3</v>
      </c>
      <c r="L591" s="98"/>
      <c r="M591" s="98">
        <v>19.033417760409929</v>
      </c>
      <c r="N591" s="93">
        <v>7.8125E-3</v>
      </c>
      <c r="O591" s="93">
        <f t="shared" si="9"/>
        <v>0.8310546875</v>
      </c>
    </row>
    <row r="592" spans="1:15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29.359628197604181</v>
      </c>
      <c r="H592">
        <v>1.3706718749999999E-3</v>
      </c>
      <c r="I592">
        <v>-0.37581650502842417</v>
      </c>
      <c r="J592">
        <v>-5.1512111360325701E-4</v>
      </c>
      <c r="L592" s="98"/>
      <c r="M592" s="98">
        <v>19.033417760409929</v>
      </c>
      <c r="N592" s="93">
        <v>3.90625E-3</v>
      </c>
      <c r="O592" s="93">
        <f t="shared" si="9"/>
        <v>0.8349609375</v>
      </c>
    </row>
    <row r="593" spans="1:15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6.492656250000001E-4</v>
      </c>
      <c r="I593">
        <v>-1</v>
      </c>
      <c r="J593">
        <v>-6.492656250000001E-4</v>
      </c>
      <c r="L593" s="98"/>
      <c r="M593" s="98">
        <v>19.09554964510756</v>
      </c>
      <c r="N593" s="93">
        <v>3.90625E-3</v>
      </c>
      <c r="O593" s="93">
        <f t="shared" si="9"/>
        <v>0.8388671875</v>
      </c>
    </row>
    <row r="594" spans="1:15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14.679814098802112</v>
      </c>
      <c r="H594">
        <v>1.3706718749999999E-3</v>
      </c>
      <c r="I594">
        <v>-0.61303874675947168</v>
      </c>
      <c r="J594">
        <v>-8.4027496846845518E-4</v>
      </c>
      <c r="L594" s="98"/>
      <c r="M594" s="98">
        <v>19.09554964510756</v>
      </c>
      <c r="N594" s="93">
        <v>7.8125E-3</v>
      </c>
      <c r="O594" s="93">
        <f t="shared" si="9"/>
        <v>0.8466796875</v>
      </c>
    </row>
    <row r="595" spans="1:15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25.689674672903667</v>
      </c>
      <c r="H595">
        <v>8.6568750000000003E-4</v>
      </c>
      <c r="I595">
        <v>-0.42472113044047477</v>
      </c>
      <c r="J595">
        <v>-3.676757736081885E-4</v>
      </c>
      <c r="L595" s="98"/>
      <c r="M595" s="98">
        <v>19.09554964510756</v>
      </c>
      <c r="N595" s="93">
        <v>3.90625E-3</v>
      </c>
      <c r="O595" s="93">
        <f t="shared" si="9"/>
        <v>0.8505859375</v>
      </c>
    </row>
    <row r="596" spans="1:15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7.6382198580430352</v>
      </c>
      <c r="H596">
        <v>7.7100292968750007E-4</v>
      </c>
      <c r="I596">
        <v>-0.7752208452564352</v>
      </c>
      <c r="J596">
        <v>-5.9769754284753169E-4</v>
      </c>
      <c r="L596" s="98"/>
      <c r="M596" s="98">
        <v>19.09554964510756</v>
      </c>
      <c r="N596" s="93">
        <v>1.953125E-3</v>
      </c>
      <c r="O596" s="93">
        <f t="shared" si="9"/>
        <v>0.8525390625</v>
      </c>
    </row>
    <row r="597" spans="1:15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22.914659574129047</v>
      </c>
      <c r="H597">
        <v>1.6276728515625001E-3</v>
      </c>
      <c r="I597">
        <v>-0.46588242395356971</v>
      </c>
      <c r="J597">
        <v>-7.5830417348935646E-4</v>
      </c>
      <c r="L597" s="98"/>
      <c r="M597" s="98">
        <v>19.09554964510756</v>
      </c>
      <c r="N597" s="93">
        <v>3.90625E-3</v>
      </c>
      <c r="O597" s="93">
        <f t="shared" si="9"/>
        <v>0.8564453125</v>
      </c>
    </row>
    <row r="598" spans="1:15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34.371989361193634</v>
      </c>
      <c r="H598">
        <v>1.0280039062499999E-3</v>
      </c>
      <c r="I598">
        <v>-0.31799075189805043</v>
      </c>
      <c r="J598">
        <v>-3.268957351025704E-4</v>
      </c>
      <c r="L598" s="98"/>
      <c r="M598" s="98">
        <v>19.09554964510756</v>
      </c>
      <c r="N598" s="93">
        <v>1.953125E-3</v>
      </c>
      <c r="O598" s="93">
        <f t="shared" si="9"/>
        <v>0.8583984375</v>
      </c>
    </row>
    <row r="599" spans="1:15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3.819109929021486</v>
      </c>
      <c r="H599">
        <v>1.6276728515624999E-3</v>
      </c>
      <c r="I599">
        <v>-0.88046626582535048</v>
      </c>
      <c r="J599">
        <v>-1.4331110376005344E-3</v>
      </c>
      <c r="L599" s="98"/>
      <c r="M599" s="98">
        <v>19.09554964510756</v>
      </c>
      <c r="N599" s="93">
        <v>1.953125E-3</v>
      </c>
      <c r="O599" s="93">
        <f t="shared" si="9"/>
        <v>0.8603515625</v>
      </c>
    </row>
    <row r="600" spans="1:15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19.09554964510756</v>
      </c>
      <c r="H600">
        <v>3.4361982421874998E-3</v>
      </c>
      <c r="I600">
        <v>-0.52913148639130514</v>
      </c>
      <c r="J600">
        <v>-1.8182006834238616E-3</v>
      </c>
      <c r="L600" s="98"/>
      <c r="M600" s="98">
        <v>19.09554964510756</v>
      </c>
      <c r="N600" s="93">
        <v>3.90625E-3</v>
      </c>
      <c r="O600" s="93">
        <f t="shared" si="9"/>
        <v>0.8642578125</v>
      </c>
    </row>
    <row r="601" spans="1:15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30.552879432172077</v>
      </c>
      <c r="H601">
        <v>2.1702304687499997E-3</v>
      </c>
      <c r="I601">
        <v>-0.36116176648740328</v>
      </c>
      <c r="J601">
        <v>-7.8380426977853516E-4</v>
      </c>
      <c r="L601" s="98"/>
      <c r="M601" s="98">
        <v>19.09554964510756</v>
      </c>
      <c r="N601" s="93">
        <v>1.953125E-3</v>
      </c>
      <c r="O601" s="93">
        <f t="shared" si="9"/>
        <v>0.8662109375</v>
      </c>
    </row>
    <row r="602" spans="1:15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1.0280039062499999E-3</v>
      </c>
      <c r="I602">
        <v>-1</v>
      </c>
      <c r="J602">
        <v>-1.0280039062499999E-3</v>
      </c>
      <c r="L602" s="98"/>
      <c r="M602" s="98">
        <v>19.09554964510756</v>
      </c>
      <c r="N602" s="93">
        <v>9.765625E-4</v>
      </c>
      <c r="O602" s="93">
        <f t="shared" si="9"/>
        <v>0.8671875</v>
      </c>
    </row>
    <row r="603" spans="1:15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15.27643971608607</v>
      </c>
      <c r="H603">
        <v>2.1702304687499997E-3</v>
      </c>
      <c r="I603">
        <v>-0.60096735892010189</v>
      </c>
      <c r="J603">
        <v>-1.3042376730526221E-3</v>
      </c>
      <c r="L603" s="98"/>
      <c r="M603" s="98">
        <v>19.09554964510756</v>
      </c>
      <c r="N603" s="93">
        <v>1.953125E-3</v>
      </c>
      <c r="O603" s="93">
        <f t="shared" si="9"/>
        <v>0.869140625</v>
      </c>
    </row>
    <row r="604" spans="1:15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26.733769503150594</v>
      </c>
      <c r="H604">
        <v>1.3706718749999999E-3</v>
      </c>
      <c r="I604">
        <v>-0.4101937581320616</v>
      </c>
      <c r="J604">
        <v>-5.6224104757216929E-4</v>
      </c>
      <c r="L604" s="98"/>
      <c r="M604" s="98">
        <v>19.09554964510756</v>
      </c>
      <c r="N604" s="93">
        <v>9.765625E-4</v>
      </c>
      <c r="O604" s="93">
        <f t="shared" si="9"/>
        <v>0.8701171875</v>
      </c>
    </row>
    <row r="605" spans="1:15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7.6382198580430352</v>
      </c>
      <c r="H605">
        <v>1.6276728515624997E-3</v>
      </c>
      <c r="I605">
        <v>-0.7752208452564352</v>
      </c>
      <c r="J605">
        <v>-1.2618059237892332E-3</v>
      </c>
      <c r="L605" s="98"/>
      <c r="M605" s="98">
        <v>19.542149199938162</v>
      </c>
      <c r="N605" s="93">
        <v>9.765625E-4</v>
      </c>
      <c r="O605" s="93">
        <f t="shared" si="9"/>
        <v>0.87109375</v>
      </c>
    </row>
    <row r="606" spans="1:15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22.914659574129047</v>
      </c>
      <c r="H606">
        <v>3.4361982421874993E-3</v>
      </c>
      <c r="I606">
        <v>-0.46588242395356971</v>
      </c>
      <c r="J606">
        <v>-1.6008643662553076E-3</v>
      </c>
      <c r="L606" s="98"/>
      <c r="M606" s="98">
        <v>19.542149199938162</v>
      </c>
      <c r="N606" s="93">
        <v>1.953125E-3</v>
      </c>
      <c r="O606" s="93">
        <f t="shared" si="9"/>
        <v>0.873046875</v>
      </c>
    </row>
    <row r="607" spans="1:15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34.371989361193634</v>
      </c>
      <c r="H607">
        <v>2.1702304687499993E-3</v>
      </c>
      <c r="I607">
        <v>-0.31799075189805043</v>
      </c>
      <c r="J607">
        <v>-6.901132185498707E-4</v>
      </c>
      <c r="L607" s="98"/>
      <c r="M607" s="98">
        <v>19.542149199938162</v>
      </c>
      <c r="N607" s="93">
        <v>9.765625E-4</v>
      </c>
      <c r="O607" s="93">
        <f t="shared" si="9"/>
        <v>0.8740234375</v>
      </c>
    </row>
    <row r="608" spans="1:15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3.819109929021486</v>
      </c>
      <c r="H608">
        <v>3.4361982421874993E-3</v>
      </c>
      <c r="I608">
        <v>-0.88046626582535048</v>
      </c>
      <c r="J608">
        <v>-3.0254566349344606E-3</v>
      </c>
      <c r="L608" s="98"/>
      <c r="M608" s="98">
        <v>19.978289563643632</v>
      </c>
      <c r="N608" s="93">
        <v>4.8828125E-4</v>
      </c>
      <c r="O608" s="93">
        <f t="shared" si="9"/>
        <v>0.87451171875</v>
      </c>
    </row>
    <row r="609" spans="1:15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19.09554964510756</v>
      </c>
      <c r="H609">
        <v>7.254196289062498E-3</v>
      </c>
      <c r="I609">
        <v>-0.52913148639130514</v>
      </c>
      <c r="J609">
        <v>-3.8384236650059293E-3</v>
      </c>
      <c r="L609" s="98"/>
      <c r="M609" s="98">
        <v>19.978289563643632</v>
      </c>
      <c r="N609" s="93">
        <v>9.765625E-4</v>
      </c>
      <c r="O609" s="93">
        <f t="shared" si="9"/>
        <v>0.87548828125</v>
      </c>
    </row>
    <row r="610" spans="1:15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30.552879432172077</v>
      </c>
      <c r="H610">
        <v>4.5815976562499985E-3</v>
      </c>
      <c r="I610">
        <v>-0.36116176648740328</v>
      </c>
      <c r="J610">
        <v>-1.6546979028657961E-3</v>
      </c>
      <c r="L610" s="98"/>
      <c r="M610" s="98">
        <v>19.978289563643632</v>
      </c>
      <c r="N610" s="93">
        <v>4.8828125E-4</v>
      </c>
      <c r="O610" s="93">
        <f t="shared" si="9"/>
        <v>0.8759765625</v>
      </c>
    </row>
    <row r="611" spans="1:15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2.1702304687499997E-3</v>
      </c>
      <c r="I611">
        <v>-1</v>
      </c>
      <c r="J611">
        <v>-2.1702304687499997E-3</v>
      </c>
      <c r="L611" s="98"/>
      <c r="M611" s="98">
        <v>20.640871338806591</v>
      </c>
      <c r="N611" s="93">
        <v>1.953125E-3</v>
      </c>
      <c r="O611" s="93">
        <f t="shared" si="9"/>
        <v>0.8779296875</v>
      </c>
    </row>
    <row r="612" spans="1:15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15.27643971608607</v>
      </c>
      <c r="H612">
        <v>4.5815976562499994E-3</v>
      </c>
      <c r="I612">
        <v>-0.60096735892010189</v>
      </c>
      <c r="J612">
        <v>-2.7533906431110909E-3</v>
      </c>
      <c r="L612" s="98"/>
      <c r="M612" s="98">
        <v>20.640871338806591</v>
      </c>
      <c r="N612" s="93">
        <v>3.90625E-3</v>
      </c>
      <c r="O612" s="93">
        <f t="shared" si="9"/>
        <v>0.8818359375</v>
      </c>
    </row>
    <row r="613" spans="1:15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26.733769503150594</v>
      </c>
      <c r="H613">
        <v>2.8936406249999995E-3</v>
      </c>
      <c r="I613">
        <v>-0.4101937581320616</v>
      </c>
      <c r="J613">
        <v>-1.1869533226523574E-3</v>
      </c>
      <c r="L613" s="98"/>
      <c r="M613" s="98">
        <v>20.640871338806591</v>
      </c>
      <c r="N613" s="93">
        <v>1.953125E-3</v>
      </c>
      <c r="O613" s="93">
        <f t="shared" si="9"/>
        <v>0.8837890625</v>
      </c>
    </row>
    <row r="614" spans="1:15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7.6382198580430352</v>
      </c>
      <c r="H614">
        <v>1.0280039062499999E-3</v>
      </c>
      <c r="I614">
        <v>-0.7752208452564352</v>
      </c>
      <c r="J614">
        <v>-7.9693005713004207E-4</v>
      </c>
      <c r="L614" s="98"/>
      <c r="M614" s="98">
        <v>21.139290792317265</v>
      </c>
      <c r="N614" s="93">
        <v>4.8828125E-4</v>
      </c>
      <c r="O614" s="93">
        <f t="shared" si="9"/>
        <v>0.88427734375</v>
      </c>
    </row>
    <row r="615" spans="1:15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22.914659574129047</v>
      </c>
      <c r="H615">
        <v>2.1702304687499997E-3</v>
      </c>
      <c r="I615">
        <v>-0.46588242395356971</v>
      </c>
      <c r="J615">
        <v>-1.0110722313191418E-3</v>
      </c>
      <c r="L615" s="98"/>
      <c r="M615" s="98">
        <v>21.139290792317265</v>
      </c>
      <c r="N615" s="93">
        <v>9.765625E-4</v>
      </c>
      <c r="O615" s="93">
        <f t="shared" si="9"/>
        <v>0.88525390625</v>
      </c>
    </row>
    <row r="616" spans="1:15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34.371989361193634</v>
      </c>
      <c r="H616">
        <v>1.3706718749999999E-3</v>
      </c>
      <c r="I616">
        <v>-0.31799075189805043</v>
      </c>
      <c r="J616">
        <v>-4.3586098013676059E-4</v>
      </c>
      <c r="L616" s="98"/>
      <c r="M616" s="98">
        <v>21.139290792317265</v>
      </c>
      <c r="N616" s="93">
        <v>4.8828125E-4</v>
      </c>
      <c r="O616" s="93">
        <f t="shared" si="9"/>
        <v>0.8857421875</v>
      </c>
    </row>
    <row r="617" spans="1:15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3.819109929021486</v>
      </c>
      <c r="H617">
        <v>2.1702304687499997E-3</v>
      </c>
      <c r="I617">
        <v>-0.88046626582535048</v>
      </c>
      <c r="J617">
        <v>-1.9108147168007121E-3</v>
      </c>
      <c r="L617" s="98"/>
      <c r="M617" s="98">
        <v>21.291561633266344</v>
      </c>
      <c r="N617" s="93">
        <v>4.8828125E-4</v>
      </c>
      <c r="O617" s="93">
        <f t="shared" si="9"/>
        <v>0.88623046875</v>
      </c>
    </row>
    <row r="618" spans="1:15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19.09554964510756</v>
      </c>
      <c r="H618">
        <v>4.5815976562499994E-3</v>
      </c>
      <c r="I618">
        <v>-0.52913148639130514</v>
      </c>
      <c r="J618">
        <v>-2.424267577898482E-3</v>
      </c>
      <c r="L618" s="98"/>
      <c r="M618" s="98">
        <v>21.291561633266344</v>
      </c>
      <c r="N618" s="93">
        <v>9.765625E-4</v>
      </c>
      <c r="O618" s="93">
        <f t="shared" si="9"/>
        <v>0.88720703125</v>
      </c>
    </row>
    <row r="619" spans="1:15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30.552879432172077</v>
      </c>
      <c r="H619">
        <v>2.8936406249999995E-3</v>
      </c>
      <c r="I619">
        <v>-0.36116176648740328</v>
      </c>
      <c r="J619">
        <v>-1.0450723597047135E-3</v>
      </c>
      <c r="L619" s="98"/>
      <c r="M619" s="98">
        <v>21.291561633266344</v>
      </c>
      <c r="N619" s="93">
        <v>4.8828125E-4</v>
      </c>
      <c r="O619" s="93">
        <f t="shared" si="9"/>
        <v>0.8876953125</v>
      </c>
    </row>
    <row r="620" spans="1:15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1.3706718749999999E-3</v>
      </c>
      <c r="I620">
        <v>-1</v>
      </c>
      <c r="J620">
        <v>-1.3706718749999999E-3</v>
      </c>
      <c r="L620" s="98"/>
      <c r="M620" s="98">
        <v>21.412594980461172</v>
      </c>
      <c r="N620" s="93">
        <v>1.953125E-3</v>
      </c>
      <c r="O620" s="93">
        <f t="shared" si="9"/>
        <v>0.8896484375</v>
      </c>
    </row>
    <row r="621" spans="1:15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15.27643971608607</v>
      </c>
      <c r="H621">
        <v>2.8936406249999995E-3</v>
      </c>
      <c r="I621">
        <v>-0.60096735892010189</v>
      </c>
      <c r="J621">
        <v>-1.7389835640701627E-3</v>
      </c>
      <c r="L621" s="98"/>
      <c r="M621" s="98">
        <v>21.412594980461172</v>
      </c>
      <c r="N621" s="93">
        <v>3.90625E-3</v>
      </c>
      <c r="O621" s="93">
        <f t="shared" si="9"/>
        <v>0.8935546875</v>
      </c>
    </row>
    <row r="622" spans="1:15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26.733769503150594</v>
      </c>
      <c r="H622">
        <v>1.8275624999999998E-3</v>
      </c>
      <c r="I622">
        <v>-0.4101937581320616</v>
      </c>
      <c r="J622">
        <v>-7.4965473009622576E-4</v>
      </c>
      <c r="L622" s="98"/>
      <c r="M622" s="98">
        <v>21.412594980461172</v>
      </c>
      <c r="N622" s="93">
        <v>1.953125E-3</v>
      </c>
      <c r="O622" s="93">
        <f t="shared" si="9"/>
        <v>0.8955078125</v>
      </c>
    </row>
    <row r="623" spans="1:15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7.6382198580430352</v>
      </c>
      <c r="H623">
        <v>4.8694921874999997E-4</v>
      </c>
      <c r="I623">
        <v>-0.7752208452564352</v>
      </c>
      <c r="J623">
        <v>-3.7749318495633574E-4</v>
      </c>
      <c r="L623" s="98"/>
      <c r="M623" s="98">
        <v>21.412594980461172</v>
      </c>
      <c r="N623" s="93">
        <v>1.953125E-3</v>
      </c>
      <c r="O623" s="93">
        <f t="shared" si="9"/>
        <v>0.8974609375</v>
      </c>
    </row>
    <row r="624" spans="1:15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22.914659574129047</v>
      </c>
      <c r="H624">
        <v>1.0280039062499999E-3</v>
      </c>
      <c r="I624">
        <v>-0.46588242395356971</v>
      </c>
      <c r="J624">
        <v>-4.7892895167748822E-4</v>
      </c>
      <c r="L624" s="98"/>
      <c r="M624" s="98">
        <v>21.412594980461172</v>
      </c>
      <c r="N624" s="93">
        <v>3.90625E-3</v>
      </c>
      <c r="O624" s="93">
        <f t="shared" si="9"/>
        <v>0.9013671875</v>
      </c>
    </row>
    <row r="625" spans="1:15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34.371989361193634</v>
      </c>
      <c r="H625">
        <v>6.4926562499999999E-4</v>
      </c>
      <c r="I625">
        <v>-0.31799075189805043</v>
      </c>
      <c r="J625">
        <v>-2.0646046427530765E-4</v>
      </c>
      <c r="L625" s="98"/>
      <c r="M625" s="98">
        <v>21.412594980461172</v>
      </c>
      <c r="N625" s="93">
        <v>1.953125E-3</v>
      </c>
      <c r="O625" s="93">
        <f t="shared" si="9"/>
        <v>0.9033203125</v>
      </c>
    </row>
    <row r="626" spans="1:15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3.819109929021486</v>
      </c>
      <c r="H626">
        <v>1.0280039062499999E-3</v>
      </c>
      <c r="I626">
        <v>-0.88046626582535048</v>
      </c>
      <c r="J626">
        <v>-9.0512276058981114E-4</v>
      </c>
      <c r="L626" s="98"/>
      <c r="M626" s="98">
        <v>22.019721148203125</v>
      </c>
      <c r="N626" s="93">
        <v>9.765625E-4</v>
      </c>
      <c r="O626" s="93">
        <f t="shared" si="9"/>
        <v>0.904296875</v>
      </c>
    </row>
    <row r="627" spans="1:15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19.09554964510756</v>
      </c>
      <c r="H627">
        <v>2.1702304687499993E-3</v>
      </c>
      <c r="I627">
        <v>-0.52913148639130514</v>
      </c>
      <c r="J627">
        <v>-1.148337273741386E-3</v>
      </c>
      <c r="L627" s="98"/>
      <c r="M627" s="98">
        <v>22.019721148203125</v>
      </c>
      <c r="N627" s="93">
        <v>1.953125E-3</v>
      </c>
      <c r="O627" s="93">
        <f t="shared" si="9"/>
        <v>0.90625</v>
      </c>
    </row>
    <row r="628" spans="1:15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30.552879432172077</v>
      </c>
      <c r="H628">
        <v>1.3706718749999997E-3</v>
      </c>
      <c r="I628">
        <v>-0.36116176648740328</v>
      </c>
      <c r="J628">
        <v>-4.9503427564960112E-4</v>
      </c>
      <c r="L628" s="98"/>
      <c r="M628" s="98">
        <v>22.019721148203125</v>
      </c>
      <c r="N628" s="93">
        <v>9.765625E-4</v>
      </c>
      <c r="O628" s="93">
        <f t="shared" si="9"/>
        <v>0.9072265625</v>
      </c>
    </row>
    <row r="629" spans="1:15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6.4926562499999999E-4</v>
      </c>
      <c r="I629">
        <v>-1</v>
      </c>
      <c r="J629">
        <v>-6.4926562499999999E-4</v>
      </c>
      <c r="L629" s="98"/>
      <c r="M629" s="98">
        <v>22.167487814869794</v>
      </c>
      <c r="N629" s="93">
        <v>4.8828125E-4</v>
      </c>
      <c r="O629" s="93">
        <f t="shared" si="9"/>
        <v>0.90771484375</v>
      </c>
    </row>
    <row r="630" spans="1:15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15.27643971608607</v>
      </c>
      <c r="H630">
        <v>1.3706718749999997E-3</v>
      </c>
      <c r="I630">
        <v>-0.60096735892010189</v>
      </c>
      <c r="J630">
        <v>-8.2372905666481383E-4</v>
      </c>
      <c r="L630" s="98"/>
      <c r="M630" s="98">
        <v>22.167487814869794</v>
      </c>
      <c r="N630" s="93">
        <v>9.765625E-4</v>
      </c>
      <c r="O630" s="93">
        <f t="shared" si="9"/>
        <v>0.90869140625</v>
      </c>
    </row>
    <row r="631" spans="1:15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26.733769503150594</v>
      </c>
      <c r="H631">
        <v>8.6568749999999992E-4</v>
      </c>
      <c r="I631">
        <v>-0.4101937581320616</v>
      </c>
      <c r="J631">
        <v>-3.5509960899294906E-4</v>
      </c>
      <c r="L631" s="98"/>
      <c r="M631" s="98">
        <v>22.167487814869794</v>
      </c>
      <c r="N631" s="93">
        <v>4.8828125E-4</v>
      </c>
      <c r="O631" s="93">
        <f t="shared" si="9"/>
        <v>0.9091796875</v>
      </c>
    </row>
    <row r="632" spans="1:15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7.6382198580430352</v>
      </c>
      <c r="H632">
        <v>1.0280039062499999E-3</v>
      </c>
      <c r="I632">
        <v>-0.7752208452564352</v>
      </c>
      <c r="J632">
        <v>-7.9693005713004207E-4</v>
      </c>
      <c r="L632" s="98"/>
      <c r="M632" s="98">
        <v>22.799174066594546</v>
      </c>
      <c r="N632" s="93">
        <v>4.8828125E-4</v>
      </c>
      <c r="O632" s="93">
        <f t="shared" si="9"/>
        <v>0.90966796875</v>
      </c>
    </row>
    <row r="633" spans="1:15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22.914659574129047</v>
      </c>
      <c r="H633">
        <v>2.1702304687499997E-3</v>
      </c>
      <c r="I633">
        <v>-0.46588242395356971</v>
      </c>
      <c r="J633">
        <v>-1.0110722313191418E-3</v>
      </c>
      <c r="L633" s="98"/>
      <c r="M633" s="98">
        <v>22.799174066594546</v>
      </c>
      <c r="N633" s="93">
        <v>9.765625E-4</v>
      </c>
      <c r="O633" s="93">
        <f t="shared" si="9"/>
        <v>0.91064453125</v>
      </c>
    </row>
    <row r="634" spans="1:15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34.371989361193634</v>
      </c>
      <c r="H634">
        <v>1.3706718749999999E-3</v>
      </c>
      <c r="I634">
        <v>-0.31799075189805043</v>
      </c>
      <c r="J634">
        <v>-4.3586098013676059E-4</v>
      </c>
      <c r="L634" s="98"/>
      <c r="M634" s="98">
        <v>22.799174066594546</v>
      </c>
      <c r="N634" s="93">
        <v>4.8828125E-4</v>
      </c>
      <c r="O634" s="93">
        <f t="shared" si="9"/>
        <v>0.9111328125</v>
      </c>
    </row>
    <row r="635" spans="1:15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3.819109929021486</v>
      </c>
      <c r="H635">
        <v>2.1702304687499997E-3</v>
      </c>
      <c r="I635">
        <v>-0.88046626582535048</v>
      </c>
      <c r="J635">
        <v>-1.9108147168007121E-3</v>
      </c>
      <c r="L635" s="98"/>
      <c r="M635" s="98">
        <v>22.832330929878431</v>
      </c>
      <c r="N635" s="93">
        <v>9.765625E-4</v>
      </c>
      <c r="O635" s="93">
        <f t="shared" si="9"/>
        <v>0.912109375</v>
      </c>
    </row>
    <row r="636" spans="1:15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19.09554964510756</v>
      </c>
      <c r="H636">
        <v>4.5815976562499994E-3</v>
      </c>
      <c r="I636">
        <v>-0.52913148639130514</v>
      </c>
      <c r="J636">
        <v>-2.424267577898482E-3</v>
      </c>
      <c r="L636" s="98"/>
      <c r="M636" s="98">
        <v>22.832330929878431</v>
      </c>
      <c r="N636" s="93">
        <v>1.953125E-3</v>
      </c>
      <c r="O636" s="93">
        <f t="shared" si="9"/>
        <v>0.9140625</v>
      </c>
    </row>
    <row r="637" spans="1:15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30.552879432172077</v>
      </c>
      <c r="H637">
        <v>2.8936406249999995E-3</v>
      </c>
      <c r="I637">
        <v>-0.36116176648740328</v>
      </c>
      <c r="J637">
        <v>-1.0450723597047135E-3</v>
      </c>
      <c r="L637" s="98"/>
      <c r="M637" s="98">
        <v>22.832330929878431</v>
      </c>
      <c r="N637" s="93">
        <v>9.765625E-4</v>
      </c>
      <c r="O637" s="93">
        <f t="shared" si="9"/>
        <v>0.9150390625</v>
      </c>
    </row>
    <row r="638" spans="1:15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1.3706718749999999E-3</v>
      </c>
      <c r="I638">
        <v>-1</v>
      </c>
      <c r="J638">
        <v>-1.3706718749999999E-3</v>
      </c>
      <c r="L638" s="98"/>
      <c r="M638" s="98">
        <v>22.914659574129047</v>
      </c>
      <c r="N638" s="93">
        <v>1.953125E-3</v>
      </c>
      <c r="O638" s="93">
        <f t="shared" si="9"/>
        <v>0.9169921875</v>
      </c>
    </row>
    <row r="639" spans="1:15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15.27643971608607</v>
      </c>
      <c r="H639">
        <v>2.8936406249999995E-3</v>
      </c>
      <c r="I639">
        <v>-0.60096735892010189</v>
      </c>
      <c r="J639">
        <v>-1.7389835640701627E-3</v>
      </c>
      <c r="L639" s="98"/>
      <c r="M639" s="98">
        <v>22.914659574129047</v>
      </c>
      <c r="N639" s="93">
        <v>3.90625E-3</v>
      </c>
      <c r="O639" s="93">
        <f t="shared" si="9"/>
        <v>0.9208984375</v>
      </c>
    </row>
    <row r="640" spans="1:15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26.733769503150594</v>
      </c>
      <c r="H640">
        <v>1.8275624999999998E-3</v>
      </c>
      <c r="I640">
        <v>-0.4101937581320616</v>
      </c>
      <c r="J640">
        <v>-7.4965473009622576E-4</v>
      </c>
      <c r="L640" s="98"/>
      <c r="M640" s="98">
        <v>22.914659574129047</v>
      </c>
      <c r="N640" s="93">
        <v>1.953125E-3</v>
      </c>
      <c r="O640" s="93">
        <f t="shared" si="9"/>
        <v>0.9228515625</v>
      </c>
    </row>
    <row r="641" spans="1:15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7.6382198580430352</v>
      </c>
      <c r="H641">
        <v>6.4926562499999999E-4</v>
      </c>
      <c r="I641">
        <v>-0.7752208452564352</v>
      </c>
      <c r="J641">
        <v>-5.0332424660844773E-4</v>
      </c>
      <c r="L641" s="98"/>
      <c r="M641" s="98">
        <v>22.914659574129047</v>
      </c>
      <c r="N641" s="93">
        <v>9.765625E-4</v>
      </c>
      <c r="O641" s="93">
        <f t="shared" si="9"/>
        <v>0.923828125</v>
      </c>
    </row>
    <row r="642" spans="1:15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22.914659574129047</v>
      </c>
      <c r="H642">
        <v>1.3706718749999997E-3</v>
      </c>
      <c r="I642">
        <v>-0.46588242395356971</v>
      </c>
      <c r="J642">
        <v>-6.3857193556998422E-4</v>
      </c>
      <c r="L642" s="98"/>
      <c r="M642" s="98">
        <v>22.914659574129047</v>
      </c>
      <c r="N642" s="93">
        <v>1.953125E-3</v>
      </c>
      <c r="O642" s="93">
        <f t="shared" si="9"/>
        <v>0.92578125</v>
      </c>
    </row>
    <row r="643" spans="1:15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34.371989361193634</v>
      </c>
      <c r="H643">
        <v>8.6568749999999992E-4</v>
      </c>
      <c r="I643">
        <v>-0.31799075189805043</v>
      </c>
      <c r="J643">
        <v>-2.7528061903374352E-4</v>
      </c>
      <c r="L643" s="98"/>
      <c r="M643" s="98">
        <v>22.914659574129047</v>
      </c>
      <c r="N643" s="93">
        <v>9.765625E-4</v>
      </c>
      <c r="O643" s="93">
        <f t="shared" si="9"/>
        <v>0.9267578125</v>
      </c>
    </row>
    <row r="644" spans="1:15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3.819109929021486</v>
      </c>
      <c r="H644">
        <v>1.3706718749999997E-3</v>
      </c>
      <c r="I644">
        <v>-0.88046626582535048</v>
      </c>
      <c r="J644">
        <v>-1.2068303474530814E-3</v>
      </c>
      <c r="L644" s="98"/>
      <c r="M644" s="98">
        <v>22.914659574129047</v>
      </c>
      <c r="N644" s="93">
        <v>9.765625E-4</v>
      </c>
      <c r="O644" s="93">
        <f t="shared" ref="O644:O707" si="10">N644+O643</f>
        <v>0.927734375</v>
      </c>
    </row>
    <row r="645" spans="1:15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19.09554964510756</v>
      </c>
      <c r="H645">
        <v>2.8936406249999991E-3</v>
      </c>
      <c r="I645">
        <v>-0.52913148639130514</v>
      </c>
      <c r="J645">
        <v>-1.5311163649885148E-3</v>
      </c>
      <c r="L645" s="98"/>
      <c r="M645" s="98">
        <v>22.914659574129047</v>
      </c>
      <c r="N645" s="93">
        <v>1.953125E-3</v>
      </c>
      <c r="O645" s="93">
        <f t="shared" si="10"/>
        <v>0.9296875</v>
      </c>
    </row>
    <row r="646" spans="1:15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30.552879432172077</v>
      </c>
      <c r="H646">
        <v>1.8275624999999993E-3</v>
      </c>
      <c r="I646">
        <v>-0.36116176648740328</v>
      </c>
      <c r="J646">
        <v>-6.6004570086613471E-4</v>
      </c>
      <c r="L646" s="98"/>
      <c r="M646" s="98">
        <v>22.914659574129047</v>
      </c>
      <c r="N646" s="93">
        <v>9.765625E-4</v>
      </c>
      <c r="O646" s="93">
        <f t="shared" si="10"/>
        <v>0.9306640625</v>
      </c>
    </row>
    <row r="647" spans="1:15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8.6568749999999992E-4</v>
      </c>
      <c r="I647">
        <v>-1</v>
      </c>
      <c r="J647">
        <v>-8.6568749999999992E-4</v>
      </c>
      <c r="L647" s="98"/>
      <c r="M647" s="98">
        <v>22.914659574129047</v>
      </c>
      <c r="N647" s="93">
        <v>4.8828125E-4</v>
      </c>
      <c r="O647" s="93">
        <f t="shared" si="10"/>
        <v>0.93115234375</v>
      </c>
    </row>
    <row r="648" spans="1:15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15.27643971608607</v>
      </c>
      <c r="H648">
        <v>1.8275624999999995E-3</v>
      </c>
      <c r="I648">
        <v>-0.60096735892010189</v>
      </c>
      <c r="J648">
        <v>-1.0983054088864184E-3</v>
      </c>
      <c r="L648" s="98"/>
      <c r="M648" s="98">
        <v>22.914659574129047</v>
      </c>
      <c r="N648" s="93">
        <v>9.765625E-4</v>
      </c>
      <c r="O648" s="93">
        <f t="shared" si="10"/>
        <v>0.93212890625</v>
      </c>
    </row>
    <row r="649" spans="1:15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26.733769503150594</v>
      </c>
      <c r="H649">
        <v>1.1542499999999997E-3</v>
      </c>
      <c r="I649">
        <v>-0.4101937581320616</v>
      </c>
      <c r="J649">
        <v>-4.7346614532393195E-4</v>
      </c>
      <c r="L649" s="98"/>
      <c r="M649" s="98">
        <v>22.914659574129047</v>
      </c>
      <c r="N649" s="93">
        <v>4.8828125E-4</v>
      </c>
      <c r="O649" s="93">
        <f t="shared" si="10"/>
        <v>0.9326171875</v>
      </c>
    </row>
    <row r="650" spans="1:15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7.3891626049566161</v>
      </c>
      <c r="H650">
        <v>2.3066015625000002E-4</v>
      </c>
      <c r="I650">
        <v>-0.78168344657606847</v>
      </c>
      <c r="J650">
        <v>-1.8030322592527449E-4</v>
      </c>
      <c r="L650" s="98"/>
      <c r="M650" s="98">
        <v>23.220980256157414</v>
      </c>
      <c r="N650" s="93">
        <v>9.765625E-4</v>
      </c>
      <c r="O650" s="93">
        <f t="shared" si="10"/>
        <v>0.93359375</v>
      </c>
    </row>
    <row r="651" spans="1:15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22.167487814869794</v>
      </c>
      <c r="H651">
        <v>4.8694921874999997E-4</v>
      </c>
      <c r="I651">
        <v>-0.47763126300367215</v>
      </c>
      <c r="J651">
        <v>-2.3258217037021393E-4</v>
      </c>
      <c r="L651" s="98"/>
      <c r="M651" s="98">
        <v>23.220980256157414</v>
      </c>
      <c r="N651" s="93">
        <v>1.953125E-3</v>
      </c>
      <c r="O651" s="93">
        <f t="shared" si="10"/>
        <v>0.935546875</v>
      </c>
    </row>
    <row r="652" spans="1:15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33.25123172230473</v>
      </c>
      <c r="H652">
        <v>3.0754687499999999E-4</v>
      </c>
      <c r="I652">
        <v>-0.33009513085608405</v>
      </c>
      <c r="J652">
        <v>-1.0151972594750472E-4</v>
      </c>
      <c r="L652" s="98"/>
      <c r="M652" s="98">
        <v>23.220980256157414</v>
      </c>
      <c r="N652" s="93">
        <v>9.765625E-4</v>
      </c>
      <c r="O652" s="93">
        <f t="shared" si="10"/>
        <v>0.9365234375</v>
      </c>
    </row>
    <row r="653" spans="1:15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3.6945813024782841</v>
      </c>
      <c r="H653">
        <v>4.8694921874999997E-4</v>
      </c>
      <c r="I653">
        <v>-0.88412863689401544</v>
      </c>
      <c r="J653">
        <v>-4.3052574901004324E-4</v>
      </c>
      <c r="L653" s="98"/>
      <c r="M653" s="98">
        <v>23.953006837424645</v>
      </c>
      <c r="N653" s="93">
        <v>2.44140625E-4</v>
      </c>
      <c r="O653" s="93">
        <f t="shared" si="10"/>
        <v>0.936767578125</v>
      </c>
    </row>
    <row r="654" spans="1:15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18.472906512391507</v>
      </c>
      <c r="H654">
        <v>1.0280039062499999E-3</v>
      </c>
      <c r="I654">
        <v>-0.5402282462896042</v>
      </c>
      <c r="J654">
        <v>-5.5535674745230015E-4</v>
      </c>
      <c r="L654" s="98"/>
      <c r="M654" s="98">
        <v>23.953006837424645</v>
      </c>
      <c r="N654" s="93">
        <v>4.8828125E-4</v>
      </c>
      <c r="O654" s="93">
        <f t="shared" si="10"/>
        <v>0.937255859375</v>
      </c>
    </row>
    <row r="655" spans="1:15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29.556650419826404</v>
      </c>
      <c r="H655">
        <v>6.4926562499999999E-4</v>
      </c>
      <c r="I655">
        <v>-0.37335645185719118</v>
      </c>
      <c r="J655">
        <v>-2.4240751006284164E-4</v>
      </c>
      <c r="L655" s="98"/>
      <c r="M655" s="98">
        <v>23.953006837424645</v>
      </c>
      <c r="N655" s="93">
        <v>2.44140625E-4</v>
      </c>
      <c r="O655" s="93">
        <f t="shared" si="10"/>
        <v>0.9375</v>
      </c>
    </row>
    <row r="656" spans="1:15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3.0754687500000004E-4</v>
      </c>
      <c r="I656">
        <v>-1</v>
      </c>
      <c r="J656">
        <v>-3.0754687500000004E-4</v>
      </c>
      <c r="L656" s="98"/>
      <c r="M656" s="98">
        <v>24.089169353018811</v>
      </c>
      <c r="N656" s="93">
        <v>9.765625E-4</v>
      </c>
      <c r="O656" s="93">
        <f t="shared" si="10"/>
        <v>0.9384765625</v>
      </c>
    </row>
    <row r="657" spans="1:15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14.778325209913223</v>
      </c>
      <c r="H657">
        <v>6.4926562499999999E-4</v>
      </c>
      <c r="I657">
        <v>-0.61102901065104154</v>
      </c>
      <c r="J657">
        <v>-3.9672013249348015E-4</v>
      </c>
      <c r="L657" s="98"/>
      <c r="M657" s="98">
        <v>24.089169353018811</v>
      </c>
      <c r="N657" s="93">
        <v>1.953125E-3</v>
      </c>
      <c r="O657" s="93">
        <f t="shared" si="10"/>
        <v>0.9404296875</v>
      </c>
    </row>
    <row r="658" spans="1:15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25.862069117348113</v>
      </c>
      <c r="H658">
        <v>4.100625E-4</v>
      </c>
      <c r="I658">
        <v>-0.42228747749740314</v>
      </c>
      <c r="J658">
        <v>-1.7316425874127887E-4</v>
      </c>
      <c r="L658" s="98"/>
      <c r="M658" s="98">
        <v>24.089169353018811</v>
      </c>
      <c r="N658" s="93">
        <v>9.765625E-4</v>
      </c>
      <c r="O658" s="93">
        <f t="shared" si="10"/>
        <v>0.94140625</v>
      </c>
    </row>
    <row r="659" spans="1:15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7.3891626049566161</v>
      </c>
      <c r="H659">
        <v>4.8694921875000008E-4</v>
      </c>
      <c r="I659">
        <v>-0.78168344657606847</v>
      </c>
      <c r="J659">
        <v>-3.8064014362002398E-4</v>
      </c>
      <c r="L659" s="98"/>
      <c r="M659" s="98">
        <v>24.662505924370151</v>
      </c>
      <c r="N659" s="93">
        <v>2.44140625E-4</v>
      </c>
      <c r="O659" s="93">
        <f t="shared" si="10"/>
        <v>0.941650390625</v>
      </c>
    </row>
    <row r="660" spans="1:15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22.167487814869794</v>
      </c>
      <c r="H660">
        <v>1.0280039062500002E-3</v>
      </c>
      <c r="I660">
        <v>-0.47763126300367215</v>
      </c>
      <c r="J660">
        <v>-4.9100680411489619E-4</v>
      </c>
      <c r="L660" s="98"/>
      <c r="M660" s="98">
        <v>24.662505924370151</v>
      </c>
      <c r="N660" s="93">
        <v>4.8828125E-4</v>
      </c>
      <c r="O660" s="93">
        <f t="shared" si="10"/>
        <v>0.942138671875</v>
      </c>
    </row>
    <row r="661" spans="1:15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33.25123172230473</v>
      </c>
      <c r="H661">
        <v>6.492656250000001E-4</v>
      </c>
      <c r="I661">
        <v>-0.33009513085608405</v>
      </c>
      <c r="J661">
        <v>-2.1431942144473223E-4</v>
      </c>
      <c r="L661" s="98"/>
      <c r="M661" s="98">
        <v>24.662505924370151</v>
      </c>
      <c r="N661" s="93">
        <v>2.44140625E-4</v>
      </c>
      <c r="O661" s="93">
        <f t="shared" si="10"/>
        <v>0.9423828125</v>
      </c>
    </row>
    <row r="662" spans="1:15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3.6945813024782841</v>
      </c>
      <c r="H662">
        <v>1.0280039062499999E-3</v>
      </c>
      <c r="I662">
        <v>-0.88412863689401544</v>
      </c>
      <c r="J662">
        <v>-9.0888769235453572E-4</v>
      </c>
      <c r="L662" s="98"/>
      <c r="M662" s="98">
        <v>25.686372296113241</v>
      </c>
      <c r="N662" s="93">
        <v>4.8828125E-4</v>
      </c>
      <c r="O662" s="93">
        <f t="shared" si="10"/>
        <v>0.94287109375</v>
      </c>
    </row>
    <row r="663" spans="1:15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18.472906512391507</v>
      </c>
      <c r="H663">
        <v>2.1702304687499997E-3</v>
      </c>
      <c r="I663">
        <v>-0.5402282462896042</v>
      </c>
      <c r="J663">
        <v>-1.1724198001770781E-3</v>
      </c>
      <c r="L663" s="98"/>
      <c r="M663" s="98">
        <v>25.686372296113241</v>
      </c>
      <c r="N663" s="93">
        <v>9.765625E-4</v>
      </c>
      <c r="O663" s="93">
        <f t="shared" si="10"/>
        <v>0.94384765625</v>
      </c>
    </row>
    <row r="664" spans="1:15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29.556650419826404</v>
      </c>
      <c r="H664">
        <v>1.3706718749999999E-3</v>
      </c>
      <c r="I664">
        <v>-0.37335645185719118</v>
      </c>
      <c r="J664">
        <v>-5.1174918791044343E-4</v>
      </c>
      <c r="L664" s="98"/>
      <c r="M664" s="98">
        <v>25.686372296113241</v>
      </c>
      <c r="N664" s="93">
        <v>4.8828125E-4</v>
      </c>
      <c r="O664" s="93">
        <f t="shared" si="10"/>
        <v>0.9443359375</v>
      </c>
    </row>
    <row r="665" spans="1:15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6.492656250000001E-4</v>
      </c>
      <c r="I665">
        <v>-1</v>
      </c>
      <c r="J665">
        <v>-6.492656250000001E-4</v>
      </c>
      <c r="L665" s="98"/>
      <c r="M665" s="98">
        <v>25.689674672903667</v>
      </c>
      <c r="N665" s="93">
        <v>4.8828125E-4</v>
      </c>
      <c r="O665" s="93">
        <f t="shared" si="10"/>
        <v>0.94482421875</v>
      </c>
    </row>
    <row r="666" spans="1:15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14.778325209913223</v>
      </c>
      <c r="H666">
        <v>1.3706718749999999E-3</v>
      </c>
      <c r="I666">
        <v>-0.61102901065104154</v>
      </c>
      <c r="J666">
        <v>-8.3752027970845802E-4</v>
      </c>
      <c r="L666" s="98"/>
      <c r="M666" s="98">
        <v>25.689674672903667</v>
      </c>
      <c r="N666" s="93">
        <v>9.765625E-4</v>
      </c>
      <c r="O666" s="93">
        <f t="shared" si="10"/>
        <v>0.94580078125</v>
      </c>
    </row>
    <row r="667" spans="1:15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25.862069117348113</v>
      </c>
      <c r="H667">
        <v>8.6568750000000003E-4</v>
      </c>
      <c r="I667">
        <v>-0.42228747749740314</v>
      </c>
      <c r="J667">
        <v>-3.6556899067603321E-4</v>
      </c>
      <c r="L667" s="98"/>
      <c r="M667" s="98">
        <v>25.689674672903667</v>
      </c>
      <c r="N667" s="93">
        <v>4.8828125E-4</v>
      </c>
      <c r="O667" s="93">
        <f t="shared" si="10"/>
        <v>0.9462890625</v>
      </c>
    </row>
    <row r="668" spans="1:15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7.3891626049566161</v>
      </c>
      <c r="H668">
        <v>3.0754687500000004E-4</v>
      </c>
      <c r="I668">
        <v>-0.78168344657606847</v>
      </c>
      <c r="J668">
        <v>-2.4040430123369933E-4</v>
      </c>
      <c r="L668" s="98"/>
      <c r="M668" s="98">
        <v>25.862069117348113</v>
      </c>
      <c r="N668" s="93">
        <v>2.44140625E-4</v>
      </c>
      <c r="O668" s="93">
        <f t="shared" si="10"/>
        <v>0.946533203125</v>
      </c>
    </row>
    <row r="669" spans="1:15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22.167487814869794</v>
      </c>
      <c r="H669">
        <v>6.4926562499999999E-4</v>
      </c>
      <c r="I669">
        <v>-0.47763126300367215</v>
      </c>
      <c r="J669">
        <v>-3.1010956049361857E-4</v>
      </c>
      <c r="L669" s="98"/>
      <c r="M669" s="98">
        <v>25.862069117348113</v>
      </c>
      <c r="N669" s="93">
        <v>4.8828125E-4</v>
      </c>
      <c r="O669" s="93">
        <f t="shared" si="10"/>
        <v>0.947021484375</v>
      </c>
    </row>
    <row r="670" spans="1:15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33.25123172230473</v>
      </c>
      <c r="H670">
        <v>4.100625E-4</v>
      </c>
      <c r="I670">
        <v>-0.33009513085608405</v>
      </c>
      <c r="J670">
        <v>-1.3535963459667297E-4</v>
      </c>
      <c r="L670" s="98"/>
      <c r="M670" s="98">
        <v>25.862069117348113</v>
      </c>
      <c r="N670" s="93">
        <v>2.44140625E-4</v>
      </c>
      <c r="O670" s="93">
        <f t="shared" si="10"/>
        <v>0.947265625</v>
      </c>
    </row>
    <row r="671" spans="1:15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3.6945813024782841</v>
      </c>
      <c r="H671">
        <v>6.4926562499999999E-4</v>
      </c>
      <c r="I671">
        <v>-0.88412863689401544</v>
      </c>
      <c r="J671">
        <v>-5.7403433201339102E-4</v>
      </c>
      <c r="L671" s="98"/>
      <c r="M671" s="98">
        <v>26.056198933250901</v>
      </c>
      <c r="N671" s="93">
        <v>9.765625E-4</v>
      </c>
      <c r="O671" s="93">
        <f t="shared" si="10"/>
        <v>0.9482421875</v>
      </c>
    </row>
    <row r="672" spans="1:15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18.472906512391507</v>
      </c>
      <c r="H672">
        <v>1.3706718749999997E-3</v>
      </c>
      <c r="I672">
        <v>-0.5402282462896042</v>
      </c>
      <c r="J672">
        <v>-7.4047566326973339E-4</v>
      </c>
      <c r="L672" s="98"/>
      <c r="M672" s="98">
        <v>26.056198933250901</v>
      </c>
      <c r="N672" s="93">
        <v>1.953125E-3</v>
      </c>
      <c r="O672" s="93">
        <f t="shared" si="10"/>
        <v>0.9501953125</v>
      </c>
    </row>
    <row r="673" spans="1:15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29.556650419826404</v>
      </c>
      <c r="H673">
        <v>8.6568749999999992E-4</v>
      </c>
      <c r="I673">
        <v>-0.37335645185719118</v>
      </c>
      <c r="J673">
        <v>-3.2321001341712217E-4</v>
      </c>
      <c r="L673" s="98"/>
      <c r="M673" s="98">
        <v>26.056198933250901</v>
      </c>
      <c r="N673" s="93">
        <v>9.765625E-4</v>
      </c>
      <c r="O673" s="93">
        <f t="shared" si="10"/>
        <v>0.951171875</v>
      </c>
    </row>
    <row r="674" spans="1:15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4.100625E-4</v>
      </c>
      <c r="I674">
        <v>-1</v>
      </c>
      <c r="J674">
        <v>-4.100625E-4</v>
      </c>
      <c r="L674" s="98"/>
      <c r="M674" s="98">
        <v>26.733769503150594</v>
      </c>
      <c r="N674" s="93">
        <v>9.765625E-4</v>
      </c>
      <c r="O674" s="93">
        <f t="shared" si="10"/>
        <v>0.9521484375</v>
      </c>
    </row>
    <row r="675" spans="1:15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14.778325209913223</v>
      </c>
      <c r="H675">
        <v>8.6568749999999992E-4</v>
      </c>
      <c r="I675">
        <v>-0.61102901065104154</v>
      </c>
      <c r="J675">
        <v>-5.2896017665797349E-4</v>
      </c>
      <c r="L675" s="98"/>
      <c r="M675" s="98">
        <v>26.733769503150594</v>
      </c>
      <c r="N675" s="93">
        <v>1.953125E-3</v>
      </c>
      <c r="O675" s="93">
        <f t="shared" si="10"/>
        <v>0.9541015625</v>
      </c>
    </row>
    <row r="676" spans="1:15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25.862069117348113</v>
      </c>
      <c r="H676">
        <v>5.4674999999999993E-4</v>
      </c>
      <c r="I676">
        <v>-0.42228747749740314</v>
      </c>
      <c r="J676">
        <v>-2.3088567832170513E-4</v>
      </c>
      <c r="L676" s="98"/>
      <c r="M676" s="98">
        <v>26.733769503150594</v>
      </c>
      <c r="N676" s="93">
        <v>9.765625E-4</v>
      </c>
      <c r="O676" s="93">
        <f t="shared" si="10"/>
        <v>0.955078125</v>
      </c>
    </row>
    <row r="677" spans="1:15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7.6382198580430352</v>
      </c>
      <c r="H677">
        <v>4.8694921874999997E-4</v>
      </c>
      <c r="I677">
        <v>-0.7752208452564352</v>
      </c>
      <c r="J677">
        <v>-3.7749318495633574E-4</v>
      </c>
      <c r="L677" s="98"/>
      <c r="M677" s="98">
        <v>26.733769503150594</v>
      </c>
      <c r="N677" s="93">
        <v>4.8828125E-4</v>
      </c>
      <c r="O677" s="93">
        <f t="shared" si="10"/>
        <v>0.95556640625</v>
      </c>
    </row>
    <row r="678" spans="1:15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22.914659574129047</v>
      </c>
      <c r="H678">
        <v>1.0280039062499999E-3</v>
      </c>
      <c r="I678">
        <v>-0.46588242395356971</v>
      </c>
      <c r="J678">
        <v>-4.7892895167748822E-4</v>
      </c>
      <c r="L678" s="98"/>
      <c r="M678" s="98">
        <v>26.733769503150594</v>
      </c>
      <c r="N678" s="93">
        <v>9.765625E-4</v>
      </c>
      <c r="O678" s="93">
        <f t="shared" si="10"/>
        <v>0.95654296875</v>
      </c>
    </row>
    <row r="679" spans="1:15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34.371989361193634</v>
      </c>
      <c r="H679">
        <v>6.4926562499999999E-4</v>
      </c>
      <c r="I679">
        <v>-0.31799075189805043</v>
      </c>
      <c r="J679">
        <v>-2.0646046427530765E-4</v>
      </c>
      <c r="L679" s="98"/>
      <c r="M679" s="98">
        <v>26.733769503150594</v>
      </c>
      <c r="N679" s="93">
        <v>4.8828125E-4</v>
      </c>
      <c r="O679" s="93">
        <f t="shared" si="10"/>
        <v>0.95703125</v>
      </c>
    </row>
    <row r="680" spans="1:15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3.819109929021486</v>
      </c>
      <c r="H680">
        <v>1.0280039062499999E-3</v>
      </c>
      <c r="I680">
        <v>-0.88046626582535048</v>
      </c>
      <c r="J680">
        <v>-9.0512276058981114E-4</v>
      </c>
      <c r="L680" s="98"/>
      <c r="M680" s="98">
        <v>26.733769503150594</v>
      </c>
      <c r="N680" s="93">
        <v>4.8828125E-4</v>
      </c>
      <c r="O680" s="93">
        <f t="shared" si="10"/>
        <v>0.95751953125</v>
      </c>
    </row>
    <row r="681" spans="1:15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19.09554964510756</v>
      </c>
      <c r="H681">
        <v>2.1702304687499993E-3</v>
      </c>
      <c r="I681">
        <v>-0.52913148639130514</v>
      </c>
      <c r="J681">
        <v>-1.148337273741386E-3</v>
      </c>
      <c r="L681" s="98"/>
      <c r="M681" s="98">
        <v>26.733769503150594</v>
      </c>
      <c r="N681" s="93">
        <v>9.765625E-4</v>
      </c>
      <c r="O681" s="93">
        <f t="shared" si="10"/>
        <v>0.95849609375</v>
      </c>
    </row>
    <row r="682" spans="1:15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30.552879432172077</v>
      </c>
      <c r="H682">
        <v>1.3706718749999997E-3</v>
      </c>
      <c r="I682">
        <v>-0.36116176648740328</v>
      </c>
      <c r="J682">
        <v>-4.9503427564960112E-4</v>
      </c>
      <c r="L682" s="98"/>
      <c r="M682" s="98">
        <v>26.733769503150594</v>
      </c>
      <c r="N682" s="93">
        <v>4.8828125E-4</v>
      </c>
      <c r="O682" s="93">
        <f t="shared" si="10"/>
        <v>0.958984375</v>
      </c>
    </row>
    <row r="683" spans="1:15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6.4926562499999999E-4</v>
      </c>
      <c r="I683">
        <v>-1</v>
      </c>
      <c r="J683">
        <v>-6.4926562499999999E-4</v>
      </c>
      <c r="L683" s="98"/>
      <c r="M683" s="98">
        <v>26.733769503150594</v>
      </c>
      <c r="N683" s="93">
        <v>2.44140625E-4</v>
      </c>
      <c r="O683" s="93">
        <f t="shared" si="10"/>
        <v>0.959228515625</v>
      </c>
    </row>
    <row r="684" spans="1:15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15.27643971608607</v>
      </c>
      <c r="H684">
        <v>1.3706718749999997E-3</v>
      </c>
      <c r="I684">
        <v>-0.60096735892010189</v>
      </c>
      <c r="J684">
        <v>-8.2372905666481383E-4</v>
      </c>
      <c r="L684" s="98"/>
      <c r="M684" s="98">
        <v>26.733769503150594</v>
      </c>
      <c r="N684" s="93">
        <v>4.8828125E-4</v>
      </c>
      <c r="O684" s="93">
        <f t="shared" si="10"/>
        <v>0.959716796875</v>
      </c>
    </row>
    <row r="685" spans="1:15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26.733769503150594</v>
      </c>
      <c r="H685">
        <v>8.6568749999999992E-4</v>
      </c>
      <c r="I685">
        <v>-0.4101937581320616</v>
      </c>
      <c r="J685">
        <v>-3.5509960899294906E-4</v>
      </c>
      <c r="L685" s="98"/>
      <c r="M685" s="98">
        <v>26.733769503150594</v>
      </c>
      <c r="N685" s="93">
        <v>2.44140625E-4</v>
      </c>
      <c r="O685" s="93">
        <f t="shared" si="10"/>
        <v>0.9599609375</v>
      </c>
    </row>
    <row r="686" spans="1:15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7.6382198580430352</v>
      </c>
      <c r="H686">
        <v>1.0280039062499999E-3</v>
      </c>
      <c r="I686">
        <v>-0.7752208452564352</v>
      </c>
      <c r="J686">
        <v>-7.9693005713004207E-4</v>
      </c>
      <c r="L686" s="98"/>
      <c r="M686" s="98">
        <v>28.185721056423024</v>
      </c>
      <c r="N686" s="93">
        <v>4.8828125E-4</v>
      </c>
      <c r="O686" s="93">
        <f t="shared" si="10"/>
        <v>0.96044921875</v>
      </c>
    </row>
    <row r="687" spans="1:15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22.914659574129047</v>
      </c>
      <c r="H687">
        <v>2.1702304687499997E-3</v>
      </c>
      <c r="I687">
        <v>-0.46588242395356971</v>
      </c>
      <c r="J687">
        <v>-1.0110722313191418E-3</v>
      </c>
      <c r="L687" s="98"/>
      <c r="M687" s="98">
        <v>28.185721056423024</v>
      </c>
      <c r="N687" s="93">
        <v>9.765625E-4</v>
      </c>
      <c r="O687" s="93">
        <f t="shared" si="10"/>
        <v>0.96142578125</v>
      </c>
    </row>
    <row r="688" spans="1:15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34.371989361193634</v>
      </c>
      <c r="H688">
        <v>1.3706718749999999E-3</v>
      </c>
      <c r="I688">
        <v>-0.31799075189805043</v>
      </c>
      <c r="J688">
        <v>-4.3586098013676059E-4</v>
      </c>
      <c r="L688" s="98"/>
      <c r="M688" s="98">
        <v>28.185721056423024</v>
      </c>
      <c r="N688" s="93">
        <v>4.8828125E-4</v>
      </c>
      <c r="O688" s="93">
        <f t="shared" si="10"/>
        <v>0.9619140625</v>
      </c>
    </row>
    <row r="689" spans="1:15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3.819109929021486</v>
      </c>
      <c r="H689">
        <v>2.1702304687499997E-3</v>
      </c>
      <c r="I689">
        <v>-0.88046626582535048</v>
      </c>
      <c r="J689">
        <v>-1.9108147168007121E-3</v>
      </c>
      <c r="L689" s="98"/>
      <c r="M689" s="98">
        <v>29.313223799907266</v>
      </c>
      <c r="N689" s="93">
        <v>4.8828125E-4</v>
      </c>
      <c r="O689" s="93">
        <f t="shared" si="10"/>
        <v>0.96240234375</v>
      </c>
    </row>
    <row r="690" spans="1:15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19.09554964510756</v>
      </c>
      <c r="H690">
        <v>4.5815976562499994E-3</v>
      </c>
      <c r="I690">
        <v>-0.52913148639130514</v>
      </c>
      <c r="J690">
        <v>-2.424267577898482E-3</v>
      </c>
      <c r="L690" s="98"/>
      <c r="M690" s="98">
        <v>29.313223799907266</v>
      </c>
      <c r="N690" s="93">
        <v>9.765625E-4</v>
      </c>
      <c r="O690" s="93">
        <f t="shared" si="10"/>
        <v>0.96337890625</v>
      </c>
    </row>
    <row r="691" spans="1:15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30.552879432172077</v>
      </c>
      <c r="H691">
        <v>2.8936406249999995E-3</v>
      </c>
      <c r="I691">
        <v>-0.36116176648740328</v>
      </c>
      <c r="J691">
        <v>-1.0450723597047135E-3</v>
      </c>
      <c r="L691" s="98"/>
      <c r="M691" s="98">
        <v>29.313223799907266</v>
      </c>
      <c r="N691" s="93">
        <v>4.8828125E-4</v>
      </c>
      <c r="O691" s="93">
        <f t="shared" si="10"/>
        <v>0.9638671875</v>
      </c>
    </row>
    <row r="692" spans="1:15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1.3706718749999999E-3</v>
      </c>
      <c r="I692">
        <v>-1</v>
      </c>
      <c r="J692">
        <v>-1.3706718749999999E-3</v>
      </c>
      <c r="L692" s="98"/>
      <c r="M692" s="98">
        <v>29.359628197604181</v>
      </c>
      <c r="N692" s="93">
        <v>9.765625E-4</v>
      </c>
      <c r="O692" s="93">
        <f t="shared" si="10"/>
        <v>0.96484375</v>
      </c>
    </row>
    <row r="693" spans="1:15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15.27643971608607</v>
      </c>
      <c r="H693">
        <v>2.8936406249999995E-3</v>
      </c>
      <c r="I693">
        <v>-0.60096735892010189</v>
      </c>
      <c r="J693">
        <v>-1.7389835640701627E-3</v>
      </c>
      <c r="L693" s="98"/>
      <c r="M693" s="98">
        <v>29.359628197604181</v>
      </c>
      <c r="N693" s="93">
        <v>1.953125E-3</v>
      </c>
      <c r="O693" s="93">
        <f t="shared" si="10"/>
        <v>0.966796875</v>
      </c>
    </row>
    <row r="694" spans="1:15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26.733769503150594</v>
      </c>
      <c r="H694">
        <v>1.8275624999999998E-3</v>
      </c>
      <c r="I694">
        <v>-0.4101937581320616</v>
      </c>
      <c r="J694">
        <v>-7.4965473009622576E-4</v>
      </c>
      <c r="L694" s="98"/>
      <c r="M694" s="98">
        <v>29.359628197604181</v>
      </c>
      <c r="N694" s="93">
        <v>9.765625E-4</v>
      </c>
      <c r="O694" s="93">
        <f t="shared" si="10"/>
        <v>0.9677734375</v>
      </c>
    </row>
    <row r="695" spans="1:15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7.6382198580430352</v>
      </c>
      <c r="H695">
        <v>6.4926562499999999E-4</v>
      </c>
      <c r="I695">
        <v>-0.7752208452564352</v>
      </c>
      <c r="J695">
        <v>-5.0332424660844773E-4</v>
      </c>
      <c r="L695" s="98"/>
      <c r="M695" s="98">
        <v>29.556650419826404</v>
      </c>
      <c r="N695" s="93">
        <v>4.8828125E-4</v>
      </c>
      <c r="O695" s="93">
        <f t="shared" si="10"/>
        <v>0.96826171875</v>
      </c>
    </row>
    <row r="696" spans="1:15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22.914659574129047</v>
      </c>
      <c r="H696">
        <v>1.3706718749999997E-3</v>
      </c>
      <c r="I696">
        <v>-0.46588242395356971</v>
      </c>
      <c r="J696">
        <v>-6.3857193556998422E-4</v>
      </c>
      <c r="L696" s="98"/>
      <c r="M696" s="98">
        <v>29.556650419826404</v>
      </c>
      <c r="N696" s="93">
        <v>9.765625E-4</v>
      </c>
      <c r="O696" s="93">
        <f t="shared" si="10"/>
        <v>0.96923828125</v>
      </c>
    </row>
    <row r="697" spans="1:15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34.371989361193634</v>
      </c>
      <c r="H697">
        <v>8.6568749999999992E-4</v>
      </c>
      <c r="I697">
        <v>-0.31799075189805043</v>
      </c>
      <c r="J697">
        <v>-2.7528061903374352E-4</v>
      </c>
      <c r="L697" s="98"/>
      <c r="M697" s="98">
        <v>29.556650419826404</v>
      </c>
      <c r="N697" s="93">
        <v>4.8828125E-4</v>
      </c>
      <c r="O697" s="93">
        <f t="shared" si="10"/>
        <v>0.9697265625</v>
      </c>
    </row>
    <row r="698" spans="1:15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3.819109929021486</v>
      </c>
      <c r="H698">
        <v>1.3706718749999997E-3</v>
      </c>
      <c r="I698">
        <v>-0.88046626582535048</v>
      </c>
      <c r="J698">
        <v>-1.2068303474530814E-3</v>
      </c>
      <c r="L698" s="98"/>
      <c r="M698" s="98">
        <v>30.552879432172077</v>
      </c>
      <c r="N698" s="93">
        <v>1.953125E-3</v>
      </c>
      <c r="O698" s="93">
        <f t="shared" si="10"/>
        <v>0.9716796875</v>
      </c>
    </row>
    <row r="699" spans="1:15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19.09554964510756</v>
      </c>
      <c r="H699">
        <v>2.8936406249999991E-3</v>
      </c>
      <c r="I699">
        <v>-0.52913148639130514</v>
      </c>
      <c r="J699">
        <v>-1.5311163649885148E-3</v>
      </c>
      <c r="L699" s="98"/>
      <c r="M699" s="98">
        <v>30.552879432172077</v>
      </c>
      <c r="N699" s="93">
        <v>3.90625E-3</v>
      </c>
      <c r="O699" s="93">
        <f t="shared" si="10"/>
        <v>0.9755859375</v>
      </c>
    </row>
    <row r="700" spans="1:15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30.552879432172077</v>
      </c>
      <c r="H700">
        <v>1.8275624999999993E-3</v>
      </c>
      <c r="I700">
        <v>-0.36116176648740328</v>
      </c>
      <c r="J700">
        <v>-6.6004570086613471E-4</v>
      </c>
      <c r="L700" s="98"/>
      <c r="M700" s="98">
        <v>30.552879432172077</v>
      </c>
      <c r="N700" s="93">
        <v>1.953125E-3</v>
      </c>
      <c r="O700" s="93">
        <f t="shared" si="10"/>
        <v>0.9775390625</v>
      </c>
    </row>
    <row r="701" spans="1:15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8.6568749999999992E-4</v>
      </c>
      <c r="I701">
        <v>-1</v>
      </c>
      <c r="J701">
        <v>-8.6568749999999992E-4</v>
      </c>
      <c r="L701" s="98"/>
      <c r="M701" s="98">
        <v>30.552879432172077</v>
      </c>
      <c r="N701" s="93">
        <v>9.765625E-4</v>
      </c>
      <c r="O701" s="93">
        <f t="shared" si="10"/>
        <v>0.978515625</v>
      </c>
    </row>
    <row r="702" spans="1:15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15.27643971608607</v>
      </c>
      <c r="H702">
        <v>1.8275624999999995E-3</v>
      </c>
      <c r="I702">
        <v>-0.60096735892010189</v>
      </c>
      <c r="J702">
        <v>-1.0983054088864184E-3</v>
      </c>
      <c r="L702" s="98"/>
      <c r="M702" s="98">
        <v>30.552879432172077</v>
      </c>
      <c r="N702" s="93">
        <v>1.953125E-3</v>
      </c>
      <c r="O702" s="93">
        <f t="shared" si="10"/>
        <v>0.98046875</v>
      </c>
    </row>
    <row r="703" spans="1:15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26.733769503150594</v>
      </c>
      <c r="H703">
        <v>1.1542499999999997E-3</v>
      </c>
      <c r="I703">
        <v>-0.4101937581320616</v>
      </c>
      <c r="J703">
        <v>-4.7346614532393195E-4</v>
      </c>
      <c r="L703" s="98"/>
      <c r="M703" s="98">
        <v>30.552879432172077</v>
      </c>
      <c r="N703" s="93">
        <v>9.765625E-4</v>
      </c>
      <c r="O703" s="93">
        <f t="shared" si="10"/>
        <v>0.9814453125</v>
      </c>
    </row>
    <row r="704" spans="1:15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7.6382198580430352</v>
      </c>
      <c r="H704">
        <v>3.0754687500000004E-4</v>
      </c>
      <c r="I704">
        <v>-0.7752208452564352</v>
      </c>
      <c r="J704">
        <v>-2.3841674839347526E-4</v>
      </c>
      <c r="L704" s="98"/>
      <c r="M704" s="98">
        <v>30.552879432172077</v>
      </c>
      <c r="N704" s="93">
        <v>9.765625E-4</v>
      </c>
      <c r="O704" s="93">
        <f t="shared" si="10"/>
        <v>0.982421875</v>
      </c>
    </row>
    <row r="705" spans="1:15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22.914659574129047</v>
      </c>
      <c r="H705">
        <v>6.4926562499999999E-4</v>
      </c>
      <c r="I705">
        <v>-0.46588242395356971</v>
      </c>
      <c r="J705">
        <v>-3.0248144316472942E-4</v>
      </c>
      <c r="L705" s="98"/>
      <c r="M705" s="98">
        <v>30.552879432172077</v>
      </c>
      <c r="N705" s="93">
        <v>1.953125E-3</v>
      </c>
      <c r="O705" s="93">
        <f t="shared" si="10"/>
        <v>0.984375</v>
      </c>
    </row>
    <row r="706" spans="1:15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34.371989361193634</v>
      </c>
      <c r="H706">
        <v>4.100625E-4</v>
      </c>
      <c r="I706">
        <v>-0.31799075189805043</v>
      </c>
      <c r="J706">
        <v>-1.3039608270019431E-4</v>
      </c>
      <c r="L706" s="98"/>
      <c r="M706" s="98">
        <v>30.552879432172077</v>
      </c>
      <c r="N706" s="93">
        <v>9.765625E-4</v>
      </c>
      <c r="O706" s="93">
        <f t="shared" si="10"/>
        <v>0.9853515625</v>
      </c>
    </row>
    <row r="707" spans="1:15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3.819109929021486</v>
      </c>
      <c r="H707">
        <v>6.4926562499999999E-4</v>
      </c>
      <c r="I707">
        <v>-0.88046626582535048</v>
      </c>
      <c r="J707">
        <v>-5.7165648037251231E-4</v>
      </c>
      <c r="L707" s="98"/>
      <c r="M707" s="98">
        <v>30.552879432172077</v>
      </c>
      <c r="N707" s="93">
        <v>4.8828125E-4</v>
      </c>
      <c r="O707" s="93">
        <f t="shared" si="10"/>
        <v>0.98583984375</v>
      </c>
    </row>
    <row r="708" spans="1:15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19.09554964510756</v>
      </c>
      <c r="H708">
        <v>1.3706718749999997E-3</v>
      </c>
      <c r="I708">
        <v>-0.52913148639130514</v>
      </c>
      <c r="J708">
        <v>-7.2526564657350709E-4</v>
      </c>
      <c r="L708" s="98"/>
      <c r="M708" s="98">
        <v>30.552879432172077</v>
      </c>
      <c r="N708" s="93">
        <v>9.765625E-4</v>
      </c>
      <c r="O708" s="93">
        <f t="shared" ref="O708:O730" si="11">N708+O707</f>
        <v>0.98681640625</v>
      </c>
    </row>
    <row r="709" spans="1:15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30.552879432172077</v>
      </c>
      <c r="H709">
        <v>8.6568749999999992E-4</v>
      </c>
      <c r="I709">
        <v>-0.36116176648740328</v>
      </c>
      <c r="J709">
        <v>-3.126532267260639E-4</v>
      </c>
      <c r="L709" s="98"/>
      <c r="M709" s="98">
        <v>30.552879432172077</v>
      </c>
      <c r="N709" s="93">
        <v>4.8828125E-4</v>
      </c>
      <c r="O709" s="93">
        <f t="shared" si="11"/>
        <v>0.9873046875</v>
      </c>
    </row>
    <row r="710" spans="1:15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4.100625E-4</v>
      </c>
      <c r="I710">
        <v>-1</v>
      </c>
      <c r="J710">
        <v>-4.100625E-4</v>
      </c>
      <c r="L710" s="98"/>
      <c r="M710" s="98">
        <v>31.708936188475928</v>
      </c>
      <c r="N710" s="93">
        <v>2.44140625E-4</v>
      </c>
      <c r="O710" s="93">
        <f t="shared" si="11"/>
        <v>0.987548828125</v>
      </c>
    </row>
    <row r="711" spans="1:15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15.27643971608607</v>
      </c>
      <c r="H711">
        <v>8.6568749999999992E-4</v>
      </c>
      <c r="I711">
        <v>-0.60096735892010189</v>
      </c>
      <c r="J711">
        <v>-5.2024993052514562E-4</v>
      </c>
      <c r="L711" s="98"/>
      <c r="M711" s="98">
        <v>31.708936188475928</v>
      </c>
      <c r="N711" s="93">
        <v>4.8828125E-4</v>
      </c>
      <c r="O711" s="93">
        <f t="shared" si="11"/>
        <v>0.988037109375</v>
      </c>
    </row>
    <row r="712" spans="1:15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26.733769503150594</v>
      </c>
      <c r="H712">
        <v>5.4674999999999993E-4</v>
      </c>
      <c r="I712">
        <v>-0.4101937581320616</v>
      </c>
      <c r="J712">
        <v>-2.2427343725870465E-4</v>
      </c>
      <c r="L712" s="98"/>
      <c r="M712" s="98">
        <v>31.708936188475928</v>
      </c>
      <c r="N712" s="93">
        <v>2.44140625E-4</v>
      </c>
      <c r="O712" s="93">
        <f t="shared" si="11"/>
        <v>0.98828125</v>
      </c>
    </row>
    <row r="713" spans="1:15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7.6382198580430352</v>
      </c>
      <c r="H713">
        <v>6.492656250000001E-4</v>
      </c>
      <c r="I713">
        <v>-0.7752208452564352</v>
      </c>
      <c r="J713">
        <v>-5.0332424660844773E-4</v>
      </c>
      <c r="L713" s="98"/>
      <c r="M713" s="98">
        <v>33.029581722304734</v>
      </c>
      <c r="N713" s="93">
        <v>4.8828125E-4</v>
      </c>
      <c r="O713" s="93">
        <f t="shared" si="11"/>
        <v>0.98876953125</v>
      </c>
    </row>
    <row r="714" spans="1:15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22.914659574129047</v>
      </c>
      <c r="H714">
        <v>1.3706718749999999E-3</v>
      </c>
      <c r="I714">
        <v>-0.46588242395356971</v>
      </c>
      <c r="J714">
        <v>-6.3857193556998433E-4</v>
      </c>
      <c r="L714" s="98"/>
      <c r="M714" s="98">
        <v>33.029581722304734</v>
      </c>
      <c r="N714" s="93">
        <v>9.765625E-4</v>
      </c>
      <c r="O714" s="93">
        <f t="shared" si="11"/>
        <v>0.98974609375</v>
      </c>
    </row>
    <row r="715" spans="1:15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34.371989361193634</v>
      </c>
      <c r="H715">
        <v>8.6568750000000003E-4</v>
      </c>
      <c r="I715">
        <v>-0.31799075189805043</v>
      </c>
      <c r="J715">
        <v>-2.7528061903374352E-4</v>
      </c>
      <c r="L715" s="98"/>
      <c r="M715" s="98">
        <v>33.029581722304734</v>
      </c>
      <c r="N715" s="93">
        <v>4.8828125E-4</v>
      </c>
      <c r="O715" s="93">
        <f t="shared" si="11"/>
        <v>0.990234375</v>
      </c>
    </row>
    <row r="716" spans="1:15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3.819109929021486</v>
      </c>
      <c r="H716">
        <v>1.3706718749999999E-3</v>
      </c>
      <c r="I716">
        <v>-0.88046626582535048</v>
      </c>
      <c r="J716">
        <v>-1.2068303474530816E-3</v>
      </c>
      <c r="L716" s="98"/>
      <c r="M716" s="98">
        <v>33.25123172230473</v>
      </c>
      <c r="N716" s="93">
        <v>2.44140625E-4</v>
      </c>
      <c r="O716" s="93">
        <f t="shared" si="11"/>
        <v>0.990478515625</v>
      </c>
    </row>
    <row r="717" spans="1:15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19.09554964510756</v>
      </c>
      <c r="H717">
        <v>2.8936406249999995E-3</v>
      </c>
      <c r="I717">
        <v>-0.52913148639130514</v>
      </c>
      <c r="J717">
        <v>-1.531116364988515E-3</v>
      </c>
      <c r="L717" s="98"/>
      <c r="M717" s="98">
        <v>33.25123172230473</v>
      </c>
      <c r="N717" s="93">
        <v>4.8828125E-4</v>
      </c>
      <c r="O717" s="93">
        <f t="shared" si="11"/>
        <v>0.990966796875</v>
      </c>
    </row>
    <row r="718" spans="1:15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30.552879432172077</v>
      </c>
      <c r="H718">
        <v>1.8275624999999998E-3</v>
      </c>
      <c r="I718">
        <v>-0.36116176648740328</v>
      </c>
      <c r="J718">
        <v>-6.6004570086613482E-4</v>
      </c>
      <c r="L718" s="98"/>
      <c r="M718" s="98">
        <v>33.25123172230473</v>
      </c>
      <c r="N718" s="93">
        <v>2.44140625E-4</v>
      </c>
      <c r="O718" s="93">
        <f t="shared" si="11"/>
        <v>0.9912109375</v>
      </c>
    </row>
    <row r="719" spans="1:15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8.6568749999999992E-4</v>
      </c>
      <c r="I719">
        <v>-1</v>
      </c>
      <c r="J719">
        <v>-8.6568749999999992E-4</v>
      </c>
      <c r="L719" s="98"/>
      <c r="M719" s="98">
        <v>34.371989361193634</v>
      </c>
      <c r="N719" s="93">
        <v>9.765625E-4</v>
      </c>
      <c r="O719" s="93">
        <f t="shared" si="11"/>
        <v>0.9921875</v>
      </c>
    </row>
    <row r="720" spans="1:15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15.27643971608607</v>
      </c>
      <c r="H720">
        <v>1.8275624999999998E-3</v>
      </c>
      <c r="I720">
        <v>-0.60096735892010189</v>
      </c>
      <c r="J720">
        <v>-1.0983054088864186E-3</v>
      </c>
      <c r="L720" s="98"/>
      <c r="M720" s="98">
        <v>34.371989361193634</v>
      </c>
      <c r="N720" s="93">
        <v>1.953125E-3</v>
      </c>
      <c r="O720" s="93">
        <f t="shared" si="11"/>
        <v>0.994140625</v>
      </c>
    </row>
    <row r="721" spans="1:15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26.733769503150594</v>
      </c>
      <c r="H721">
        <v>1.1542499999999999E-3</v>
      </c>
      <c r="I721">
        <v>-0.4101937581320616</v>
      </c>
      <c r="J721">
        <v>-4.7346614532393206E-4</v>
      </c>
      <c r="L721" s="98"/>
      <c r="M721" s="98">
        <v>34.371989361193634</v>
      </c>
      <c r="N721" s="93">
        <v>9.765625E-4</v>
      </c>
      <c r="O721" s="93">
        <f t="shared" si="11"/>
        <v>0.9951171875</v>
      </c>
    </row>
    <row r="722" spans="1:15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7.6382198580430352</v>
      </c>
      <c r="H722">
        <v>4.100625E-4</v>
      </c>
      <c r="I722">
        <v>-0.7752208452564352</v>
      </c>
      <c r="J722">
        <v>-3.1788899785796694E-4</v>
      </c>
      <c r="L722" s="98"/>
      <c r="M722" s="98">
        <v>34.371989361193634</v>
      </c>
      <c r="N722" s="93">
        <v>4.8828125E-4</v>
      </c>
      <c r="O722" s="93">
        <f t="shared" si="11"/>
        <v>0.99560546875</v>
      </c>
    </row>
    <row r="723" spans="1:15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22.914659574129047</v>
      </c>
      <c r="H723">
        <v>8.6568749999999992E-4</v>
      </c>
      <c r="I723">
        <v>-0.46588242395356971</v>
      </c>
      <c r="J723">
        <v>-4.0330859088630582E-4</v>
      </c>
      <c r="L723" s="98"/>
      <c r="M723" s="98">
        <v>34.371989361193634</v>
      </c>
      <c r="N723" s="93">
        <v>9.765625E-4</v>
      </c>
      <c r="O723" s="93">
        <f t="shared" si="11"/>
        <v>0.99658203125</v>
      </c>
    </row>
    <row r="724" spans="1:15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34.371989361193634</v>
      </c>
      <c r="H724">
        <v>5.4674999999999993E-4</v>
      </c>
      <c r="I724">
        <v>-0.31799075189805043</v>
      </c>
      <c r="J724">
        <v>-1.7386144360025905E-4</v>
      </c>
      <c r="L724" s="98"/>
      <c r="M724" s="98">
        <v>34.371989361193634</v>
      </c>
      <c r="N724" s="93">
        <v>4.8828125E-4</v>
      </c>
      <c r="O724" s="93">
        <f t="shared" si="11"/>
        <v>0.9970703125</v>
      </c>
    </row>
    <row r="725" spans="1:15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3.819109929021486</v>
      </c>
      <c r="H725">
        <v>8.6568749999999992E-4</v>
      </c>
      <c r="I725">
        <v>-0.88046626582535048</v>
      </c>
      <c r="J725">
        <v>-7.6220864049668304E-4</v>
      </c>
      <c r="L725" s="98"/>
      <c r="M725" s="98">
        <v>34.371989361193634</v>
      </c>
      <c r="N725" s="93">
        <v>4.8828125E-4</v>
      </c>
      <c r="O725" s="93">
        <f t="shared" si="11"/>
        <v>0.99755859375</v>
      </c>
    </row>
    <row r="726" spans="1:15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19.09554964510756</v>
      </c>
      <c r="H726">
        <v>1.8275624999999998E-3</v>
      </c>
      <c r="I726">
        <v>-0.52913148639130514</v>
      </c>
      <c r="J726">
        <v>-9.6702086209800948E-4</v>
      </c>
      <c r="L726" s="98"/>
      <c r="M726" s="98">
        <v>34.371989361193634</v>
      </c>
      <c r="N726" s="93">
        <v>9.765625E-4</v>
      </c>
      <c r="O726" s="93">
        <f t="shared" si="11"/>
        <v>0.99853515625</v>
      </c>
    </row>
    <row r="727" spans="1:15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30.552879432172077</v>
      </c>
      <c r="H727">
        <v>1.1542499999999999E-3</v>
      </c>
      <c r="I727">
        <v>-0.36116176648740328</v>
      </c>
      <c r="J727">
        <v>-4.168709689680852E-4</v>
      </c>
      <c r="L727" s="98"/>
      <c r="M727" s="98">
        <v>34.371989361193634</v>
      </c>
      <c r="N727" s="93">
        <v>4.8828125E-4</v>
      </c>
      <c r="O727" s="93">
        <f t="shared" si="11"/>
        <v>0.9990234375</v>
      </c>
    </row>
    <row r="728" spans="1:15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5.4675000000000004E-4</v>
      </c>
      <c r="I728">
        <v>-1</v>
      </c>
      <c r="J728">
        <v>-5.4675000000000004E-4</v>
      </c>
      <c r="L728" s="98"/>
      <c r="M728" s="98">
        <v>34.371989361193634</v>
      </c>
      <c r="N728" s="93">
        <v>2.44140625E-4</v>
      </c>
      <c r="O728" s="93">
        <f t="shared" si="11"/>
        <v>0.999267578125</v>
      </c>
    </row>
    <row r="729" spans="1:15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15.27643971608607</v>
      </c>
      <c r="H729">
        <v>1.1542499999999999E-3</v>
      </c>
      <c r="I729">
        <v>-0.60096735892010189</v>
      </c>
      <c r="J729">
        <v>-6.9366657403352754E-4</v>
      </c>
      <c r="L729" s="98"/>
      <c r="M729" s="98">
        <v>34.371989361193634</v>
      </c>
      <c r="N729" s="93">
        <v>4.8828125E-4</v>
      </c>
      <c r="O729" s="93">
        <f t="shared" si="11"/>
        <v>0.999755859375</v>
      </c>
    </row>
    <row r="730" spans="1:15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26.733769503150594</v>
      </c>
      <c r="H730">
        <v>7.2899999999999994E-4</v>
      </c>
      <c r="I730">
        <v>-0.4101937581320616</v>
      </c>
      <c r="J730">
        <v>-2.9903124967827291E-4</v>
      </c>
      <c r="L730" s="98"/>
      <c r="M730" s="98">
        <v>34.371989361193634</v>
      </c>
      <c r="N730" s="93">
        <v>2.44140625E-4</v>
      </c>
      <c r="O730" s="93">
        <f t="shared" si="11"/>
        <v>1</v>
      </c>
    </row>
  </sheetData>
  <sortState ref="M2:N731">
    <sortCondition ref="M2:M7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30"/>
  <sheetViews>
    <sheetView topLeftCell="A2" workbookViewId="0">
      <selection activeCell="L2" sqref="L2"/>
    </sheetView>
  </sheetViews>
  <sheetFormatPr defaultRowHeight="14.25" x14ac:dyDescent="0.45"/>
  <sheetData>
    <row r="1" spans="1:15" x14ac:dyDescent="0.45">
      <c r="G1" t="s">
        <v>84</v>
      </c>
      <c r="H1" t="s">
        <v>75</v>
      </c>
      <c r="L1" s="93"/>
      <c r="M1" t="s">
        <v>84</v>
      </c>
      <c r="N1" t="s">
        <v>75</v>
      </c>
      <c r="O1" t="s">
        <v>83</v>
      </c>
    </row>
    <row r="2" spans="1:15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1.4154049494841852</v>
      </c>
      <c r="H2">
        <v>1.2974633789062504E-4</v>
      </c>
      <c r="I2">
        <v>-0.95391551993442103</v>
      </c>
      <c r="J2">
        <v>-1.2376704536852266E-4</v>
      </c>
      <c r="K2" s="94" t="s">
        <v>86</v>
      </c>
      <c r="L2" s="94">
        <f>SUM(J:J)</f>
        <v>-0.7588627868219141</v>
      </c>
      <c r="M2">
        <v>1.4154049494841852</v>
      </c>
      <c r="N2">
        <v>2.44140625E-4</v>
      </c>
      <c r="O2">
        <f>N2</f>
        <v>2.44140625E-4</v>
      </c>
    </row>
    <row r="3" spans="1:15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1.5605746878928177</v>
      </c>
      <c r="H3">
        <v>2.7390893554687506E-4</v>
      </c>
      <c r="I3">
        <v>-0.94931068142353658</v>
      </c>
      <c r="J3">
        <v>-2.6002467825199952E-4</v>
      </c>
      <c r="K3" s="94"/>
      <c r="L3" s="94"/>
      <c r="M3">
        <v>1.4154049494841852</v>
      </c>
      <c r="N3">
        <v>4.8828125E-4</v>
      </c>
      <c r="O3">
        <f>N3+O2</f>
        <v>7.32421875E-4</v>
      </c>
    </row>
    <row r="4" spans="1:15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1.6694519916992943</v>
      </c>
      <c r="H4">
        <v>1.7299511718750005E-4</v>
      </c>
      <c r="I4">
        <v>-0.94587164616412334</v>
      </c>
      <c r="J4">
        <v>-1.636311762724961E-4</v>
      </c>
      <c r="K4" s="94" t="s">
        <v>93</v>
      </c>
      <c r="L4" s="94">
        <f>-LN(-1*L2)/(1/risk_tol)</f>
        <v>8.2780289836578511</v>
      </c>
      <c r="M4">
        <v>1.4154049494841852</v>
      </c>
      <c r="N4">
        <v>2.44140625E-4</v>
      </c>
      <c r="O4">
        <f t="shared" ref="O4:O67" si="0">N4+O3</f>
        <v>9.765625E-4</v>
      </c>
    </row>
    <row r="5" spans="1:15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1.4154049494841852</v>
      </c>
      <c r="H5">
        <v>2.73908935546875E-4</v>
      </c>
      <c r="I5">
        <v>-0.95391551993442103</v>
      </c>
      <c r="J5">
        <v>-2.6128598466688106E-4</v>
      </c>
      <c r="K5" s="94"/>
      <c r="L5" s="94"/>
      <c r="M5">
        <v>1.4154049494841852</v>
      </c>
      <c r="N5">
        <v>4.8828125E-4</v>
      </c>
      <c r="O5">
        <f t="shared" si="0"/>
        <v>1.46484375E-3</v>
      </c>
    </row>
    <row r="6" spans="1:15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1.5605746878928177</v>
      </c>
      <c r="H6">
        <v>5.7825219726562497E-4</v>
      </c>
      <c r="I6">
        <v>-0.94931068142353658</v>
      </c>
      <c r="J6">
        <v>-5.4894098742088772E-4</v>
      </c>
      <c r="K6" s="94" t="s">
        <v>83</v>
      </c>
      <c r="L6" s="94">
        <f>SUMPRODUCT(G2:G730,H2:H730)</f>
        <v>8.8278149854828509</v>
      </c>
      <c r="M6">
        <v>1.4154049494841852</v>
      </c>
      <c r="N6">
        <v>9.765625E-4</v>
      </c>
      <c r="O6">
        <f t="shared" si="0"/>
        <v>2.44140625E-3</v>
      </c>
    </row>
    <row r="7" spans="1:15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1.6694519916992943</v>
      </c>
      <c r="H7">
        <v>3.652119140625E-4</v>
      </c>
      <c r="I7">
        <v>-0.94587164616412334</v>
      </c>
      <c r="J7">
        <v>-3.4544359435304721E-4</v>
      </c>
      <c r="M7">
        <v>1.4154049494841852</v>
      </c>
      <c r="N7">
        <v>4.8828125E-4</v>
      </c>
      <c r="O7">
        <f t="shared" si="0"/>
        <v>2.9296875E-3</v>
      </c>
    </row>
    <row r="8" spans="1:15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1.4154049494841852</v>
      </c>
      <c r="H8">
        <v>1.7299511718750003E-4</v>
      </c>
      <c r="I8">
        <v>-0.95391551993442103</v>
      </c>
      <c r="J8">
        <v>-1.6502272715803018E-4</v>
      </c>
      <c r="M8">
        <v>1.4154049494841852</v>
      </c>
      <c r="N8">
        <v>2.44140625E-4</v>
      </c>
      <c r="O8">
        <f t="shared" si="0"/>
        <v>3.173828125E-3</v>
      </c>
    </row>
    <row r="9" spans="1:15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1.5605746878928177</v>
      </c>
      <c r="H9">
        <v>3.6521191406250006E-4</v>
      </c>
      <c r="I9">
        <v>-0.94931068142353658</v>
      </c>
      <c r="J9">
        <v>-3.46699571002666E-4</v>
      </c>
      <c r="M9">
        <v>1.4154049494841852</v>
      </c>
      <c r="N9">
        <v>4.8828125E-4</v>
      </c>
      <c r="O9">
        <f t="shared" si="0"/>
        <v>3.662109375E-3</v>
      </c>
    </row>
    <row r="10" spans="1:15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1.6694519916992943</v>
      </c>
      <c r="H10">
        <v>2.3066015625000002E-4</v>
      </c>
      <c r="I10">
        <v>-0.94587164616412334</v>
      </c>
      <c r="J10">
        <v>-2.1817490169666142E-4</v>
      </c>
      <c r="M10">
        <v>1.4154049494841852</v>
      </c>
      <c r="N10">
        <v>2.44140625E-4</v>
      </c>
      <c r="O10">
        <f t="shared" si="0"/>
        <v>3.90625E-3</v>
      </c>
    </row>
    <row r="11" spans="1:15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1.4154049494841852</v>
      </c>
      <c r="H11">
        <v>2.7390893554687506E-4</v>
      </c>
      <c r="I11">
        <v>-0.95391551993442103</v>
      </c>
      <c r="J11">
        <v>-2.6128598466688112E-4</v>
      </c>
      <c r="M11">
        <v>1.5605746878928177</v>
      </c>
      <c r="N11">
        <v>4.8828125E-4</v>
      </c>
      <c r="O11">
        <f t="shared" si="0"/>
        <v>4.39453125E-3</v>
      </c>
    </row>
    <row r="12" spans="1:15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1.5605746878928177</v>
      </c>
      <c r="H12">
        <v>5.7825219726562508E-4</v>
      </c>
      <c r="I12">
        <v>-0.94931068142353658</v>
      </c>
      <c r="J12">
        <v>-5.4894098742088782E-4</v>
      </c>
      <c r="M12">
        <v>1.5605746878928177</v>
      </c>
      <c r="N12">
        <v>9.765625E-4</v>
      </c>
      <c r="O12">
        <f t="shared" si="0"/>
        <v>5.37109375E-3</v>
      </c>
    </row>
    <row r="13" spans="1:15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1.6694519916992943</v>
      </c>
      <c r="H13">
        <v>3.6521191406250006E-4</v>
      </c>
      <c r="I13">
        <v>-0.94587164616412334</v>
      </c>
      <c r="J13">
        <v>-3.4544359435304727E-4</v>
      </c>
      <c r="M13">
        <v>1.5605746878928177</v>
      </c>
      <c r="N13">
        <v>4.8828125E-4</v>
      </c>
      <c r="O13">
        <f t="shared" si="0"/>
        <v>5.859375E-3</v>
      </c>
    </row>
    <row r="14" spans="1:15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1.4154049494841852</v>
      </c>
      <c r="H14">
        <v>5.7825219726562508E-4</v>
      </c>
      <c r="I14">
        <v>-0.95391551993442103</v>
      </c>
      <c r="J14">
        <v>-5.5160374540786012E-4</v>
      </c>
      <c r="M14">
        <v>1.5605746878928177</v>
      </c>
      <c r="N14">
        <v>9.765625E-4</v>
      </c>
      <c r="O14">
        <f t="shared" si="0"/>
        <v>6.8359375E-3</v>
      </c>
    </row>
    <row r="15" spans="1:15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1.5605746878928177</v>
      </c>
      <c r="H15">
        <v>1.220754638671875E-3</v>
      </c>
      <c r="I15">
        <v>-0.94931068142353658</v>
      </c>
      <c r="J15">
        <v>-1.1588754178885408E-3</v>
      </c>
      <c r="M15">
        <v>1.5605746878928177</v>
      </c>
      <c r="N15">
        <v>1.953125E-3</v>
      </c>
      <c r="O15">
        <f t="shared" si="0"/>
        <v>8.7890625E-3</v>
      </c>
    </row>
    <row r="16" spans="1:15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1.6694519916992943</v>
      </c>
      <c r="H16">
        <v>7.7100292968750007E-4</v>
      </c>
      <c r="I16">
        <v>-0.94587164616412334</v>
      </c>
      <c r="J16">
        <v>-7.2926981030087756E-4</v>
      </c>
      <c r="M16">
        <v>1.5605746878928177</v>
      </c>
      <c r="N16">
        <v>9.765625E-4</v>
      </c>
      <c r="O16">
        <f t="shared" si="0"/>
        <v>9.765625E-3</v>
      </c>
    </row>
    <row r="17" spans="1:15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1.4154049494841852</v>
      </c>
      <c r="H17">
        <v>3.6521191406250006E-4</v>
      </c>
      <c r="I17">
        <v>-0.95391551993442103</v>
      </c>
      <c r="J17">
        <v>-3.4838131288917484E-4</v>
      </c>
      <c r="M17">
        <v>1.5605746878928177</v>
      </c>
      <c r="N17">
        <v>4.8828125E-4</v>
      </c>
      <c r="O17">
        <f t="shared" si="0"/>
        <v>1.025390625E-2</v>
      </c>
    </row>
    <row r="18" spans="1:15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1.5605746878928177</v>
      </c>
      <c r="H18">
        <v>7.7100292968750007E-4</v>
      </c>
      <c r="I18">
        <v>-0.94931068142353658</v>
      </c>
      <c r="J18">
        <v>-7.319213165611838E-4</v>
      </c>
      <c r="M18">
        <v>1.5605746878928177</v>
      </c>
      <c r="N18">
        <v>9.765625E-4</v>
      </c>
      <c r="O18">
        <f t="shared" si="0"/>
        <v>1.123046875E-2</v>
      </c>
    </row>
    <row r="19" spans="1:15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1.6694519916992943</v>
      </c>
      <c r="H19">
        <v>4.8694921875000008E-4</v>
      </c>
      <c r="I19">
        <v>-0.94587164616412334</v>
      </c>
      <c r="J19">
        <v>-4.6059145913739639E-4</v>
      </c>
      <c r="M19">
        <v>1.5605746878928177</v>
      </c>
      <c r="N19">
        <v>4.8828125E-4</v>
      </c>
      <c r="O19">
        <f t="shared" si="0"/>
        <v>1.171875E-2</v>
      </c>
    </row>
    <row r="20" spans="1:15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1.4154049494841852</v>
      </c>
      <c r="H20">
        <v>1.7299511718750003E-4</v>
      </c>
      <c r="I20">
        <v>-0.95391551993442103</v>
      </c>
      <c r="J20">
        <v>-1.6502272715803018E-4</v>
      </c>
      <c r="M20">
        <v>1.6694519916992943</v>
      </c>
      <c r="N20">
        <v>2.44140625E-4</v>
      </c>
      <c r="O20">
        <f t="shared" si="0"/>
        <v>1.1962890625E-2</v>
      </c>
    </row>
    <row r="21" spans="1:15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1.5605746878928177</v>
      </c>
      <c r="H21">
        <v>3.6521191406250006E-4</v>
      </c>
      <c r="I21">
        <v>-0.94931068142353658</v>
      </c>
      <c r="J21">
        <v>-3.46699571002666E-4</v>
      </c>
      <c r="M21">
        <v>1.6694519916992943</v>
      </c>
      <c r="N21">
        <v>4.8828125E-4</v>
      </c>
      <c r="O21">
        <f t="shared" si="0"/>
        <v>1.2451171875E-2</v>
      </c>
    </row>
    <row r="22" spans="1:15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1.6694519916992943</v>
      </c>
      <c r="H22">
        <v>2.3066015625000002E-4</v>
      </c>
      <c r="I22">
        <v>-0.94587164616412334</v>
      </c>
      <c r="J22">
        <v>-2.1817490169666142E-4</v>
      </c>
      <c r="M22">
        <v>1.6694519916992943</v>
      </c>
      <c r="N22">
        <v>2.44140625E-4</v>
      </c>
      <c r="O22">
        <f t="shared" si="0"/>
        <v>1.26953125E-2</v>
      </c>
    </row>
    <row r="23" spans="1:15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1.4154049494841852</v>
      </c>
      <c r="H23">
        <v>3.6521191406250006E-4</v>
      </c>
      <c r="I23">
        <v>-0.95391551993442103</v>
      </c>
      <c r="J23">
        <v>-3.4838131288917484E-4</v>
      </c>
      <c r="M23">
        <v>1.6694519916992943</v>
      </c>
      <c r="N23">
        <v>4.8828125E-4</v>
      </c>
      <c r="O23">
        <f t="shared" si="0"/>
        <v>1.318359375E-2</v>
      </c>
    </row>
    <row r="24" spans="1:15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1.5605746878928177</v>
      </c>
      <c r="H24">
        <v>7.7100292968750007E-4</v>
      </c>
      <c r="I24">
        <v>-0.94931068142353658</v>
      </c>
      <c r="J24">
        <v>-7.319213165611838E-4</v>
      </c>
      <c r="M24">
        <v>1.6694519916992943</v>
      </c>
      <c r="N24">
        <v>9.765625E-4</v>
      </c>
      <c r="O24">
        <f t="shared" si="0"/>
        <v>1.416015625E-2</v>
      </c>
    </row>
    <row r="25" spans="1:15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1.6694519916992943</v>
      </c>
      <c r="H25">
        <v>4.8694921875000008E-4</v>
      </c>
      <c r="I25">
        <v>-0.94587164616412334</v>
      </c>
      <c r="J25">
        <v>-4.6059145913739639E-4</v>
      </c>
      <c r="M25">
        <v>1.6694519916992943</v>
      </c>
      <c r="N25">
        <v>4.8828125E-4</v>
      </c>
      <c r="O25">
        <f t="shared" si="0"/>
        <v>1.46484375E-2</v>
      </c>
    </row>
    <row r="26" spans="1:15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1.4154049494841852</v>
      </c>
      <c r="H26">
        <v>2.3066015625000002E-4</v>
      </c>
      <c r="I26">
        <v>-0.95391551993442103</v>
      </c>
      <c r="J26">
        <v>-2.2003030287737356E-4</v>
      </c>
      <c r="M26">
        <v>1.6694519916992943</v>
      </c>
      <c r="N26">
        <v>2.44140625E-4</v>
      </c>
      <c r="O26">
        <f t="shared" si="0"/>
        <v>1.4892578125E-2</v>
      </c>
    </row>
    <row r="27" spans="1:15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1.5605746878928177</v>
      </c>
      <c r="H27">
        <v>4.8694921874999997E-4</v>
      </c>
      <c r="I27">
        <v>-0.94931068142353658</v>
      </c>
      <c r="J27">
        <v>-4.6226609467022123E-4</v>
      </c>
      <c r="M27">
        <v>1.6694519916992943</v>
      </c>
      <c r="N27">
        <v>4.8828125E-4</v>
      </c>
      <c r="O27">
        <f t="shared" si="0"/>
        <v>1.5380859375E-2</v>
      </c>
    </row>
    <row r="28" spans="1:15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1.6694519916992943</v>
      </c>
      <c r="H28">
        <v>3.0754687499999999E-4</v>
      </c>
      <c r="I28">
        <v>-0.94587164616412334</v>
      </c>
      <c r="J28">
        <v>-2.9089986892888187E-4</v>
      </c>
      <c r="M28">
        <v>1.6694519916992943</v>
      </c>
      <c r="N28">
        <v>2.44140625E-4</v>
      </c>
      <c r="O28">
        <f t="shared" si="0"/>
        <v>1.5625E-2</v>
      </c>
    </row>
    <row r="29" spans="1:15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1.7420368609036128</v>
      </c>
      <c r="H29">
        <v>2.73908935546875E-4</v>
      </c>
      <c r="I29">
        <v>-0.94358588015560441</v>
      </c>
      <c r="J29">
        <v>-2.5845660403048276E-4</v>
      </c>
      <c r="M29">
        <v>1.7420368609036128</v>
      </c>
      <c r="N29">
        <v>4.8828125E-4</v>
      </c>
      <c r="O29">
        <f t="shared" si="0"/>
        <v>1.611328125E-2</v>
      </c>
    </row>
    <row r="30" spans="1:15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1.9207073081757775</v>
      </c>
      <c r="H30">
        <v>5.7825219726562497E-4</v>
      </c>
      <c r="I30">
        <v>-0.93798288450459655</v>
      </c>
      <c r="J30">
        <v>-5.4239066396233185E-4</v>
      </c>
      <c r="M30">
        <v>1.7420368609036128</v>
      </c>
      <c r="N30">
        <v>9.765625E-4</v>
      </c>
      <c r="O30">
        <f t="shared" si="0"/>
        <v>1.708984375E-2</v>
      </c>
    </row>
    <row r="31" spans="1:15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2.0547101436299009</v>
      </c>
      <c r="H31">
        <v>3.652119140625E-4</v>
      </c>
      <c r="I31">
        <v>-0.93380248234653429</v>
      </c>
      <c r="J31">
        <v>-3.4103579193409166E-4</v>
      </c>
      <c r="M31">
        <v>1.7420368609036128</v>
      </c>
      <c r="N31">
        <v>4.8828125E-4</v>
      </c>
      <c r="O31">
        <f t="shared" si="0"/>
        <v>1.7578125E-2</v>
      </c>
    </row>
    <row r="32" spans="1:15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1.7420368609036128</v>
      </c>
      <c r="H32">
        <v>5.7825219726562497E-4</v>
      </c>
      <c r="I32">
        <v>-0.94358588015560441</v>
      </c>
      <c r="J32">
        <v>-5.4563060850879692E-4</v>
      </c>
      <c r="M32">
        <v>1.7420368609036128</v>
      </c>
      <c r="N32">
        <v>9.765625E-4</v>
      </c>
      <c r="O32">
        <f t="shared" si="0"/>
        <v>1.85546875E-2</v>
      </c>
    </row>
    <row r="33" spans="1:15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1.9207073081757775</v>
      </c>
      <c r="H33">
        <v>1.2207546386718748E-3</v>
      </c>
      <c r="I33">
        <v>-0.93798288450459655</v>
      </c>
      <c r="J33">
        <v>-1.1450469572538116E-3</v>
      </c>
      <c r="M33">
        <v>1.7420368609036128</v>
      </c>
      <c r="N33">
        <v>1.953125E-3</v>
      </c>
      <c r="O33">
        <f t="shared" si="0"/>
        <v>2.05078125E-2</v>
      </c>
    </row>
    <row r="34" spans="1:15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2.0547101436299009</v>
      </c>
      <c r="H34">
        <v>7.7100292968749996E-4</v>
      </c>
      <c r="I34">
        <v>-0.93380248234653429</v>
      </c>
      <c r="J34">
        <v>-7.1996444963863787E-4</v>
      </c>
      <c r="M34">
        <v>1.7420368609036128</v>
      </c>
      <c r="N34">
        <v>9.765625E-4</v>
      </c>
      <c r="O34">
        <f t="shared" si="0"/>
        <v>2.1484375E-2</v>
      </c>
    </row>
    <row r="35" spans="1:15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1.7420368609036128</v>
      </c>
      <c r="H35">
        <v>3.652119140625E-4</v>
      </c>
      <c r="I35">
        <v>-0.94358588015560441</v>
      </c>
      <c r="J35">
        <v>-3.4460880537397703E-4</v>
      </c>
      <c r="M35">
        <v>1.7420368609036128</v>
      </c>
      <c r="N35">
        <v>4.8828125E-4</v>
      </c>
      <c r="O35">
        <f t="shared" si="0"/>
        <v>2.197265625E-2</v>
      </c>
    </row>
    <row r="36" spans="1:15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1.9207073081757775</v>
      </c>
      <c r="H36">
        <v>7.7100292968749996E-4</v>
      </c>
      <c r="I36">
        <v>-0.93798288450459655</v>
      </c>
      <c r="J36">
        <v>-7.2318755194977584E-4</v>
      </c>
      <c r="M36">
        <v>1.7420368609036128</v>
      </c>
      <c r="N36">
        <v>9.765625E-4</v>
      </c>
      <c r="O36">
        <f t="shared" si="0"/>
        <v>2.294921875E-2</v>
      </c>
    </row>
    <row r="37" spans="1:15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2.0547101436299009</v>
      </c>
      <c r="H37">
        <v>4.8694921874999997E-4</v>
      </c>
      <c r="I37">
        <v>-0.93380248234653429</v>
      </c>
      <c r="J37">
        <v>-4.5471438924545553E-4</v>
      </c>
      <c r="M37">
        <v>1.7420368609036128</v>
      </c>
      <c r="N37">
        <v>4.8828125E-4</v>
      </c>
      <c r="O37">
        <f t="shared" si="0"/>
        <v>2.34375E-2</v>
      </c>
    </row>
    <row r="38" spans="1:15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1.7420368609036128</v>
      </c>
      <c r="H38">
        <v>5.7825219726562497E-4</v>
      </c>
      <c r="I38">
        <v>-0.94358588015560441</v>
      </c>
      <c r="J38">
        <v>-5.4563060850879692E-4</v>
      </c>
      <c r="M38">
        <v>1.9207073081757775</v>
      </c>
      <c r="N38">
        <v>9.765625E-4</v>
      </c>
      <c r="O38">
        <f t="shared" si="0"/>
        <v>2.44140625E-2</v>
      </c>
    </row>
    <row r="39" spans="1:15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1.9207073081757775</v>
      </c>
      <c r="H39">
        <v>1.2207546386718748E-3</v>
      </c>
      <c r="I39">
        <v>-0.93798288450459655</v>
      </c>
      <c r="J39">
        <v>-1.1450469572538116E-3</v>
      </c>
      <c r="M39">
        <v>1.9207073081757775</v>
      </c>
      <c r="N39">
        <v>1.953125E-3</v>
      </c>
      <c r="O39">
        <f t="shared" si="0"/>
        <v>2.63671875E-2</v>
      </c>
    </row>
    <row r="40" spans="1:15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2.0547101436299009</v>
      </c>
      <c r="H40">
        <v>7.7100292968749996E-4</v>
      </c>
      <c r="I40">
        <v>-0.93380248234653429</v>
      </c>
      <c r="J40">
        <v>-7.1996444963863787E-4</v>
      </c>
      <c r="M40">
        <v>1.9207073081757775</v>
      </c>
      <c r="N40">
        <v>9.765625E-4</v>
      </c>
      <c r="O40">
        <f t="shared" si="0"/>
        <v>2.734375E-2</v>
      </c>
    </row>
    <row r="41" spans="1:15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1.7420368609036128</v>
      </c>
      <c r="H41">
        <v>1.2207546386718748E-3</v>
      </c>
      <c r="I41">
        <v>-0.94358588015560441</v>
      </c>
      <c r="J41">
        <v>-1.1518868401852378E-3</v>
      </c>
      <c r="M41">
        <v>1.9207073081757775</v>
      </c>
      <c r="N41">
        <v>1.953125E-3</v>
      </c>
      <c r="O41">
        <f t="shared" si="0"/>
        <v>2.9296875E-2</v>
      </c>
    </row>
    <row r="42" spans="1:15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1.9207073081757775</v>
      </c>
      <c r="H42">
        <v>2.5771486816406246E-3</v>
      </c>
      <c r="I42">
        <v>-0.93798288450459655</v>
      </c>
      <c r="J42">
        <v>-2.4173213542024912E-3</v>
      </c>
      <c r="M42">
        <v>1.9207073081757775</v>
      </c>
      <c r="N42">
        <v>3.90625E-3</v>
      </c>
      <c r="O42">
        <f t="shared" si="0"/>
        <v>3.3203125E-2</v>
      </c>
    </row>
    <row r="43" spans="1:15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2.0547101436299009</v>
      </c>
      <c r="H43">
        <v>1.6276728515624997E-3</v>
      </c>
      <c r="I43">
        <v>-0.93380248234653429</v>
      </c>
      <c r="J43">
        <v>-1.5199249492371242E-3</v>
      </c>
      <c r="M43">
        <v>1.9207073081757775</v>
      </c>
      <c r="N43">
        <v>1.953125E-3</v>
      </c>
      <c r="O43">
        <f t="shared" si="0"/>
        <v>3.515625E-2</v>
      </c>
    </row>
    <row r="44" spans="1:15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1.7420368609036128</v>
      </c>
      <c r="H44">
        <v>7.7100292968749985E-4</v>
      </c>
      <c r="I44">
        <v>-0.94358588015560441</v>
      </c>
      <c r="J44">
        <v>-7.2750747801172912E-4</v>
      </c>
      <c r="M44">
        <v>1.9207073081757775</v>
      </c>
      <c r="N44">
        <v>9.765625E-4</v>
      </c>
      <c r="O44">
        <f t="shared" si="0"/>
        <v>3.61328125E-2</v>
      </c>
    </row>
    <row r="45" spans="1:15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1.9207073081757775</v>
      </c>
      <c r="H45">
        <v>1.6276728515624997E-3</v>
      </c>
      <c r="I45">
        <v>-0.93798288450459655</v>
      </c>
      <c r="J45">
        <v>-1.5267292763384156E-3</v>
      </c>
      <c r="M45">
        <v>1.9207073081757775</v>
      </c>
      <c r="N45">
        <v>1.953125E-3</v>
      </c>
      <c r="O45">
        <f t="shared" si="0"/>
        <v>3.80859375E-2</v>
      </c>
    </row>
    <row r="46" spans="1:15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2.0547101436299009</v>
      </c>
      <c r="H46">
        <v>1.0280039062499997E-3</v>
      </c>
      <c r="I46">
        <v>-0.93380248234653429</v>
      </c>
      <c r="J46">
        <v>-9.5995259951818371E-4</v>
      </c>
      <c r="M46">
        <v>1.9207073081757775</v>
      </c>
      <c r="N46">
        <v>9.765625E-4</v>
      </c>
      <c r="O46">
        <f t="shared" si="0"/>
        <v>3.90625E-2</v>
      </c>
    </row>
    <row r="47" spans="1:15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1.7420368609036128</v>
      </c>
      <c r="H47">
        <v>3.6521191406249995E-4</v>
      </c>
      <c r="I47">
        <v>-0.94358588015560441</v>
      </c>
      <c r="J47">
        <v>-3.4460880537397697E-4</v>
      </c>
      <c r="M47">
        <v>1.9597914685165641</v>
      </c>
      <c r="N47">
        <v>2.44140625E-4</v>
      </c>
      <c r="O47">
        <f t="shared" si="0"/>
        <v>3.9306640625E-2</v>
      </c>
    </row>
    <row r="48" spans="1:15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1.9207073081757775</v>
      </c>
      <c r="H48">
        <v>7.7100292968749985E-4</v>
      </c>
      <c r="I48">
        <v>-0.93798288450459655</v>
      </c>
      <c r="J48">
        <v>-7.2318755194977573E-4</v>
      </c>
      <c r="M48">
        <v>1.9597914685165641</v>
      </c>
      <c r="N48">
        <v>4.8828125E-4</v>
      </c>
      <c r="O48">
        <f t="shared" si="0"/>
        <v>3.9794921875E-2</v>
      </c>
    </row>
    <row r="49" spans="1:15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2.0547101436299009</v>
      </c>
      <c r="H49">
        <v>4.8694921874999991E-4</v>
      </c>
      <c r="I49">
        <v>-0.93380248234653429</v>
      </c>
      <c r="J49">
        <v>-4.5471438924545547E-4</v>
      </c>
      <c r="M49">
        <v>1.9597914685165641</v>
      </c>
      <c r="N49">
        <v>2.44140625E-4</v>
      </c>
      <c r="O49">
        <f t="shared" si="0"/>
        <v>4.00390625E-2</v>
      </c>
    </row>
    <row r="50" spans="1:15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1.7420368609036128</v>
      </c>
      <c r="H50">
        <v>7.7100292968749985E-4</v>
      </c>
      <c r="I50">
        <v>-0.94358588015560441</v>
      </c>
      <c r="J50">
        <v>-7.2750747801172912E-4</v>
      </c>
      <c r="M50">
        <v>1.9597914685165641</v>
      </c>
      <c r="N50">
        <v>4.8828125E-4</v>
      </c>
      <c r="O50">
        <f t="shared" si="0"/>
        <v>4.052734375E-2</v>
      </c>
    </row>
    <row r="51" spans="1:15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1.9207073081757775</v>
      </c>
      <c r="H51">
        <v>1.6276728515624997E-3</v>
      </c>
      <c r="I51">
        <v>-0.93798288450459655</v>
      </c>
      <c r="J51">
        <v>-1.5267292763384156E-3</v>
      </c>
      <c r="M51">
        <v>1.9597914685165641</v>
      </c>
      <c r="N51">
        <v>9.765625E-4</v>
      </c>
      <c r="O51">
        <f t="shared" si="0"/>
        <v>4.150390625E-2</v>
      </c>
    </row>
    <row r="52" spans="1:15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2.0547101436299009</v>
      </c>
      <c r="H52">
        <v>1.0280039062499997E-3</v>
      </c>
      <c r="I52">
        <v>-0.93380248234653429</v>
      </c>
      <c r="J52">
        <v>-9.5995259951818371E-4</v>
      </c>
      <c r="M52">
        <v>1.9597914685165641</v>
      </c>
      <c r="N52">
        <v>4.8828125E-4</v>
      </c>
      <c r="O52">
        <f t="shared" si="0"/>
        <v>4.19921875E-2</v>
      </c>
    </row>
    <row r="53" spans="1:15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1.7420368609036128</v>
      </c>
      <c r="H53">
        <v>4.8694921874999991E-4</v>
      </c>
      <c r="I53">
        <v>-0.94358588015560441</v>
      </c>
      <c r="J53">
        <v>-4.5947840716530259E-4</v>
      </c>
      <c r="M53">
        <v>1.9597914685165641</v>
      </c>
      <c r="N53">
        <v>2.44140625E-4</v>
      </c>
      <c r="O53">
        <f t="shared" si="0"/>
        <v>4.2236328125E-2</v>
      </c>
    </row>
    <row r="54" spans="1:15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1.9207073081757775</v>
      </c>
      <c r="H54">
        <v>1.0280039062499997E-3</v>
      </c>
      <c r="I54">
        <v>-0.93798288450459655</v>
      </c>
      <c r="J54">
        <v>-9.6425006926636764E-4</v>
      </c>
      <c r="M54">
        <v>1.9597914685165641</v>
      </c>
      <c r="N54">
        <v>4.8828125E-4</v>
      </c>
      <c r="O54">
        <f t="shared" si="0"/>
        <v>4.2724609375E-2</v>
      </c>
    </row>
    <row r="55" spans="1:15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2.0547101436299009</v>
      </c>
      <c r="H55">
        <v>6.4926562499999978E-4</v>
      </c>
      <c r="I55">
        <v>-0.93380248234653429</v>
      </c>
      <c r="J55">
        <v>-6.0628585232727389E-4</v>
      </c>
      <c r="M55">
        <v>1.9597914685165641</v>
      </c>
      <c r="N55">
        <v>2.44140625E-4</v>
      </c>
      <c r="O55">
        <f t="shared" si="0"/>
        <v>4.296875E-2</v>
      </c>
    </row>
    <row r="56" spans="1:15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1.9597914685165641</v>
      </c>
      <c r="H56">
        <v>1.729951171875E-4</v>
      </c>
      <c r="I56">
        <v>-0.93676167106386299</v>
      </c>
      <c r="J56">
        <v>-1.620551950624513E-4</v>
      </c>
      <c r="M56">
        <v>2.0547101436299009</v>
      </c>
      <c r="N56">
        <v>4.8828125E-4</v>
      </c>
      <c r="O56">
        <f t="shared" si="0"/>
        <v>4.345703125E-2</v>
      </c>
    </row>
    <row r="57" spans="1:15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2.1607957216977498</v>
      </c>
      <c r="H57">
        <v>3.652119140625E-4</v>
      </c>
      <c r="I57">
        <v>-0.93050621468438821</v>
      </c>
      <c r="J57">
        <v>-3.3983195571193696E-4</v>
      </c>
      <c r="M57">
        <v>2.0547101436299009</v>
      </c>
      <c r="N57">
        <v>9.765625E-4</v>
      </c>
      <c r="O57">
        <f t="shared" si="0"/>
        <v>4.443359375E-2</v>
      </c>
    </row>
    <row r="58" spans="1:15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2.3115489115836398</v>
      </c>
      <c r="H58">
        <v>2.3066015624999999E-4</v>
      </c>
      <c r="I58">
        <v>-0.92584205078989745</v>
      </c>
      <c r="J58">
        <v>-2.1355487209801817E-4</v>
      </c>
      <c r="M58">
        <v>2.0547101436299009</v>
      </c>
      <c r="N58">
        <v>4.8828125E-4</v>
      </c>
      <c r="O58">
        <f t="shared" si="0"/>
        <v>4.4921875E-2</v>
      </c>
    </row>
    <row r="59" spans="1:15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2.3115489115836398</v>
      </c>
      <c r="H59">
        <v>4.8694921874999997E-4</v>
      </c>
      <c r="I59">
        <v>-0.92584205078989745</v>
      </c>
      <c r="J59">
        <v>-4.5083806331803838E-4</v>
      </c>
      <c r="M59">
        <v>2.0547101436299009</v>
      </c>
      <c r="N59">
        <v>9.765625E-4</v>
      </c>
      <c r="O59">
        <f t="shared" si="0"/>
        <v>4.58984375E-2</v>
      </c>
    </row>
    <row r="60" spans="1:15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2.1607957216977498</v>
      </c>
      <c r="H60">
        <v>7.7100292968749996E-4</v>
      </c>
      <c r="I60">
        <v>-0.93050621468438821</v>
      </c>
      <c r="J60">
        <v>-7.1742301761408913E-4</v>
      </c>
      <c r="M60">
        <v>2.0547101436299009</v>
      </c>
      <c r="N60">
        <v>1.953125E-3</v>
      </c>
      <c r="O60">
        <f t="shared" si="0"/>
        <v>4.78515625E-2</v>
      </c>
    </row>
    <row r="61" spans="1:15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2.3115489115836398</v>
      </c>
      <c r="H61">
        <v>4.8694921874999997E-4</v>
      </c>
      <c r="I61">
        <v>-0.92584205078989745</v>
      </c>
      <c r="J61">
        <v>-4.5083806331803838E-4</v>
      </c>
      <c r="M61">
        <v>2.0547101436299009</v>
      </c>
      <c r="N61">
        <v>9.765625E-4</v>
      </c>
      <c r="O61">
        <f t="shared" si="0"/>
        <v>4.8828125E-2</v>
      </c>
    </row>
    <row r="62" spans="1:15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1.9597914685165641</v>
      </c>
      <c r="H62">
        <v>2.3066015625000002E-4</v>
      </c>
      <c r="I62">
        <v>-0.93676167106386299</v>
      </c>
      <c r="J62">
        <v>-2.1607359341660175E-4</v>
      </c>
      <c r="M62">
        <v>2.0547101436299009</v>
      </c>
      <c r="N62">
        <v>4.8828125E-4</v>
      </c>
      <c r="O62">
        <f t="shared" si="0"/>
        <v>4.931640625E-2</v>
      </c>
    </row>
    <row r="63" spans="1:15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2.1607957216977498</v>
      </c>
      <c r="H63">
        <v>4.8694921874999997E-4</v>
      </c>
      <c r="I63">
        <v>-0.93050621468438821</v>
      </c>
      <c r="J63">
        <v>-4.5310927428258258E-4</v>
      </c>
      <c r="M63">
        <v>2.0547101436299009</v>
      </c>
      <c r="N63">
        <v>9.765625E-4</v>
      </c>
      <c r="O63">
        <f t="shared" si="0"/>
        <v>5.029296875E-2</v>
      </c>
    </row>
    <row r="64" spans="1:15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2.3115489115836398</v>
      </c>
      <c r="H64">
        <v>3.0754687499999999E-4</v>
      </c>
      <c r="I64">
        <v>-0.92584205078989745</v>
      </c>
      <c r="J64">
        <v>-2.8473982946402421E-4</v>
      </c>
      <c r="M64">
        <v>2.0547101436299009</v>
      </c>
      <c r="N64">
        <v>4.8828125E-4</v>
      </c>
      <c r="O64">
        <f t="shared" si="0"/>
        <v>5.078125E-2</v>
      </c>
    </row>
    <row r="65" spans="1:15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1.9597914685165641</v>
      </c>
      <c r="H65">
        <v>3.6521191406249995E-4</v>
      </c>
      <c r="I65">
        <v>-0.93676167106386299</v>
      </c>
      <c r="J65">
        <v>-3.4211652290961936E-4</v>
      </c>
      <c r="M65">
        <v>2.1607957216977498</v>
      </c>
      <c r="N65">
        <v>4.8828125E-4</v>
      </c>
      <c r="O65">
        <f t="shared" si="0"/>
        <v>5.126953125E-2</v>
      </c>
    </row>
    <row r="66" spans="1:15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2.1607957216977498</v>
      </c>
      <c r="H66">
        <v>7.7100292968749985E-4</v>
      </c>
      <c r="I66">
        <v>-0.93050621468438821</v>
      </c>
      <c r="J66">
        <v>-7.1742301761408903E-4</v>
      </c>
      <c r="M66">
        <v>2.1607957216977498</v>
      </c>
      <c r="N66">
        <v>9.765625E-4</v>
      </c>
      <c r="O66">
        <f t="shared" si="0"/>
        <v>5.224609375E-2</v>
      </c>
    </row>
    <row r="67" spans="1:15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2.3115489115836398</v>
      </c>
      <c r="H67">
        <v>4.8694921874999991E-4</v>
      </c>
      <c r="I67">
        <v>-0.92584205078989745</v>
      </c>
      <c r="J67">
        <v>-4.5083806331803832E-4</v>
      </c>
      <c r="M67">
        <v>2.1607957216977498</v>
      </c>
      <c r="N67">
        <v>4.8828125E-4</v>
      </c>
      <c r="O67">
        <f t="shared" si="0"/>
        <v>5.2734375E-2</v>
      </c>
    </row>
    <row r="68" spans="1:15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1.9597914685165641</v>
      </c>
      <c r="H68">
        <v>7.7100292968749985E-4</v>
      </c>
      <c r="I68">
        <v>-0.93676167106386299</v>
      </c>
      <c r="J68">
        <v>-7.2224599280919645E-4</v>
      </c>
      <c r="M68">
        <v>2.1607957216977498</v>
      </c>
      <c r="N68">
        <v>9.765625E-4</v>
      </c>
      <c r="O68">
        <f t="shared" ref="O68:O131" si="1">N68+O67</f>
        <v>5.37109375E-2</v>
      </c>
    </row>
    <row r="69" spans="1:15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2.1607957216977498</v>
      </c>
      <c r="H69">
        <v>1.6276728515624997E-3</v>
      </c>
      <c r="I69">
        <v>-0.93050621468438821</v>
      </c>
      <c r="J69">
        <v>-1.5145597038519656E-3</v>
      </c>
      <c r="M69">
        <v>2.1607957216977498</v>
      </c>
      <c r="N69">
        <v>1.953125E-3</v>
      </c>
      <c r="O69">
        <f t="shared" si="1"/>
        <v>5.56640625E-2</v>
      </c>
    </row>
    <row r="70" spans="1:15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2.3115489115836398</v>
      </c>
      <c r="H70">
        <v>1.0280039062499997E-3</v>
      </c>
      <c r="I70">
        <v>-0.92584205078989745</v>
      </c>
      <c r="J70">
        <v>-9.5176924478252518E-4</v>
      </c>
      <c r="M70">
        <v>2.1607957216977498</v>
      </c>
      <c r="N70">
        <v>9.765625E-4</v>
      </c>
      <c r="O70">
        <f t="shared" si="1"/>
        <v>5.6640625E-2</v>
      </c>
    </row>
    <row r="71" spans="1:15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1.9597914685165641</v>
      </c>
      <c r="H71">
        <v>4.8694921874999991E-4</v>
      </c>
      <c r="I71">
        <v>-0.93676167106386299</v>
      </c>
      <c r="J71">
        <v>-4.5615536387949248E-4</v>
      </c>
      <c r="M71">
        <v>2.1607957216977498</v>
      </c>
      <c r="N71">
        <v>4.8828125E-4</v>
      </c>
      <c r="O71">
        <f t="shared" si="1"/>
        <v>5.712890625E-2</v>
      </c>
    </row>
    <row r="72" spans="1:15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2.1607957216977498</v>
      </c>
      <c r="H72">
        <v>1.0280039062499997E-3</v>
      </c>
      <c r="I72">
        <v>-0.93050621468438821</v>
      </c>
      <c r="J72">
        <v>-9.5656402348545189E-4</v>
      </c>
      <c r="M72">
        <v>2.1607957216977498</v>
      </c>
      <c r="N72">
        <v>9.765625E-4</v>
      </c>
      <c r="O72">
        <f t="shared" si="1"/>
        <v>5.810546875E-2</v>
      </c>
    </row>
    <row r="73" spans="1:15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2.3115489115836398</v>
      </c>
      <c r="H73">
        <v>6.4926562499999978E-4</v>
      </c>
      <c r="I73">
        <v>-0.92584205078989745</v>
      </c>
      <c r="J73">
        <v>-6.0111741775738432E-4</v>
      </c>
      <c r="M73">
        <v>2.1607957216977498</v>
      </c>
      <c r="N73">
        <v>4.8828125E-4</v>
      </c>
      <c r="O73">
        <f t="shared" si="1"/>
        <v>5.859375E-2</v>
      </c>
    </row>
    <row r="74" spans="1:15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1.9597914685165641</v>
      </c>
      <c r="H74">
        <v>2.3066015625000002E-4</v>
      </c>
      <c r="I74">
        <v>-0.93676167106386299</v>
      </c>
      <c r="J74">
        <v>-2.1607359341660175E-4</v>
      </c>
      <c r="M74">
        <v>2.2617053448112117</v>
      </c>
      <c r="N74">
        <v>4.8828125E-4</v>
      </c>
      <c r="O74">
        <f t="shared" si="1"/>
        <v>5.908203125E-2</v>
      </c>
    </row>
    <row r="75" spans="1:15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2.1607957216977498</v>
      </c>
      <c r="H75">
        <v>4.8694921874999997E-4</v>
      </c>
      <c r="I75">
        <v>-0.93050621468438821</v>
      </c>
      <c r="J75">
        <v>-4.5310927428258258E-4</v>
      </c>
      <c r="M75">
        <v>2.2617053448112117</v>
      </c>
      <c r="N75">
        <v>9.765625E-4</v>
      </c>
      <c r="O75">
        <f t="shared" si="1"/>
        <v>6.005859375E-2</v>
      </c>
    </row>
    <row r="76" spans="1:15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2.3115489115836398</v>
      </c>
      <c r="H76">
        <v>3.0754687499999999E-4</v>
      </c>
      <c r="I76">
        <v>-0.92584205078989745</v>
      </c>
      <c r="J76">
        <v>-2.8473982946402421E-4</v>
      </c>
      <c r="M76">
        <v>2.2617053448112117</v>
      </c>
      <c r="N76">
        <v>4.8828125E-4</v>
      </c>
      <c r="O76">
        <f t="shared" si="1"/>
        <v>6.0546875E-2</v>
      </c>
    </row>
    <row r="77" spans="1:15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1.9597914685165641</v>
      </c>
      <c r="H77">
        <v>4.8694921874999991E-4</v>
      </c>
      <c r="I77">
        <v>-0.93676167106386299</v>
      </c>
      <c r="J77">
        <v>-4.5615536387949248E-4</v>
      </c>
      <c r="M77">
        <v>2.2617053448112117</v>
      </c>
      <c r="N77">
        <v>9.765625E-4</v>
      </c>
      <c r="O77">
        <f t="shared" si="1"/>
        <v>6.15234375E-2</v>
      </c>
    </row>
    <row r="78" spans="1:15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2.1607957216977498</v>
      </c>
      <c r="H78">
        <v>1.0280039062499997E-3</v>
      </c>
      <c r="I78">
        <v>-0.93050621468438821</v>
      </c>
      <c r="J78">
        <v>-9.5656402348545189E-4</v>
      </c>
      <c r="M78">
        <v>2.2617053448112117</v>
      </c>
      <c r="N78">
        <v>1.953125E-3</v>
      </c>
      <c r="O78">
        <f t="shared" si="1"/>
        <v>6.34765625E-2</v>
      </c>
    </row>
    <row r="79" spans="1:15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2.3115489115836398</v>
      </c>
      <c r="H79">
        <v>6.4926562499999978E-4</v>
      </c>
      <c r="I79">
        <v>-0.92584205078989745</v>
      </c>
      <c r="J79">
        <v>-6.0111741775738432E-4</v>
      </c>
      <c r="M79">
        <v>2.2617053448112117</v>
      </c>
      <c r="N79">
        <v>9.765625E-4</v>
      </c>
      <c r="O79">
        <f t="shared" si="1"/>
        <v>6.4453125E-2</v>
      </c>
    </row>
    <row r="80" spans="1:15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1.9597914685165641</v>
      </c>
      <c r="H80">
        <v>3.0754687499999999E-4</v>
      </c>
      <c r="I80">
        <v>-0.93676167106386299</v>
      </c>
      <c r="J80">
        <v>-2.88098124555469E-4</v>
      </c>
      <c r="M80">
        <v>2.2617053448112117</v>
      </c>
      <c r="N80">
        <v>4.8828125E-4</v>
      </c>
      <c r="O80">
        <f t="shared" si="1"/>
        <v>6.494140625E-2</v>
      </c>
    </row>
    <row r="81" spans="1:15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2.1607957216977498</v>
      </c>
      <c r="H81">
        <v>6.4926562499999989E-4</v>
      </c>
      <c r="I81">
        <v>-0.93050621468438821</v>
      </c>
      <c r="J81">
        <v>-6.0414569904344341E-4</v>
      </c>
      <c r="M81">
        <v>2.2617053448112117</v>
      </c>
      <c r="N81">
        <v>9.765625E-4</v>
      </c>
      <c r="O81">
        <f t="shared" si="1"/>
        <v>6.591796875E-2</v>
      </c>
    </row>
    <row r="82" spans="1:15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2.3115489115836398</v>
      </c>
      <c r="H82">
        <v>4.1006249999999995E-4</v>
      </c>
      <c r="I82">
        <v>-0.92584205078989745</v>
      </c>
      <c r="J82">
        <v>-3.7965310595203228E-4</v>
      </c>
      <c r="M82">
        <v>2.2617053448112117</v>
      </c>
      <c r="N82">
        <v>4.8828125E-4</v>
      </c>
      <c r="O82">
        <f t="shared" si="1"/>
        <v>6.640625E-2</v>
      </c>
    </row>
    <row r="83" spans="1:15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2.2617053448112117</v>
      </c>
      <c r="H83">
        <v>2.73908935546875E-4</v>
      </c>
      <c r="I83">
        <v>-0.92738157169194357</v>
      </c>
      <c r="J83">
        <v>-2.5401809914792821E-4</v>
      </c>
      <c r="M83">
        <v>2.3115489115836398</v>
      </c>
      <c r="N83">
        <v>2.44140625E-4</v>
      </c>
      <c r="O83">
        <f t="shared" si="1"/>
        <v>6.6650390625E-2</v>
      </c>
    </row>
    <row r="84" spans="1:15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2.4936751237662054</v>
      </c>
      <c r="H84">
        <v>5.7825219726562497E-4</v>
      </c>
      <c r="I84">
        <v>-0.9202384073133375</v>
      </c>
      <c r="J84">
        <v>-5.3212988103715653E-4</v>
      </c>
      <c r="M84">
        <v>2.3115489115836398</v>
      </c>
      <c r="N84">
        <v>4.8828125E-4</v>
      </c>
      <c r="O84">
        <f t="shared" si="1"/>
        <v>6.7138671875E-2</v>
      </c>
    </row>
    <row r="85" spans="1:15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2.6676524579824568</v>
      </c>
      <c r="H85">
        <v>3.652119140625E-4</v>
      </c>
      <c r="I85">
        <v>-0.9149171643229046</v>
      </c>
      <c r="J85">
        <v>-3.3413864879100285E-4</v>
      </c>
      <c r="M85">
        <v>2.3115489115836398</v>
      </c>
      <c r="N85">
        <v>2.44140625E-4</v>
      </c>
      <c r="O85">
        <f t="shared" si="1"/>
        <v>6.73828125E-2</v>
      </c>
    </row>
    <row r="86" spans="1:15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2.2617053448112117</v>
      </c>
      <c r="H86">
        <v>5.7825219726562497E-4</v>
      </c>
      <c r="I86">
        <v>-0.92738157169194357</v>
      </c>
      <c r="J86">
        <v>-5.3626043153451504E-4</v>
      </c>
      <c r="M86">
        <v>2.3115489115836398</v>
      </c>
      <c r="N86">
        <v>4.8828125E-4</v>
      </c>
      <c r="O86">
        <f t="shared" si="1"/>
        <v>6.787109375E-2</v>
      </c>
    </row>
    <row r="87" spans="1:15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2.4936751237662054</v>
      </c>
      <c r="H87">
        <v>1.2207546386718748E-3</v>
      </c>
      <c r="I87">
        <v>-0.9202384073133375</v>
      </c>
      <c r="J87">
        <v>-1.1233853044117748E-3</v>
      </c>
      <c r="M87">
        <v>2.3115489115836398</v>
      </c>
      <c r="N87">
        <v>9.765625E-4</v>
      </c>
      <c r="O87">
        <f t="shared" si="1"/>
        <v>6.884765625E-2</v>
      </c>
    </row>
    <row r="88" spans="1:15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2.6676524579824568</v>
      </c>
      <c r="H88">
        <v>7.7100292968749996E-4</v>
      </c>
      <c r="I88">
        <v>-0.9149171643229046</v>
      </c>
      <c r="J88">
        <v>-7.0540381411433927E-4</v>
      </c>
      <c r="M88">
        <v>2.3115489115836398</v>
      </c>
      <c r="N88">
        <v>4.8828125E-4</v>
      </c>
      <c r="O88">
        <f t="shared" si="1"/>
        <v>6.93359375E-2</v>
      </c>
    </row>
    <row r="89" spans="1:15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2.2617053448112117</v>
      </c>
      <c r="H89">
        <v>3.652119140625E-4</v>
      </c>
      <c r="I89">
        <v>-0.92738157169194357</v>
      </c>
      <c r="J89">
        <v>-3.3869079886390428E-4</v>
      </c>
      <c r="M89">
        <v>2.3115489115836398</v>
      </c>
      <c r="N89">
        <v>2.44140625E-4</v>
      </c>
      <c r="O89">
        <f t="shared" si="1"/>
        <v>6.9580078125E-2</v>
      </c>
    </row>
    <row r="90" spans="1:15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2.4936751237662054</v>
      </c>
      <c r="H90">
        <v>7.7100292968749996E-4</v>
      </c>
      <c r="I90">
        <v>-0.9202384073133375</v>
      </c>
      <c r="J90">
        <v>-7.0950650804954215E-4</v>
      </c>
      <c r="M90">
        <v>2.3115489115836398</v>
      </c>
      <c r="N90">
        <v>4.8828125E-4</v>
      </c>
      <c r="O90">
        <f t="shared" si="1"/>
        <v>7.0068359375E-2</v>
      </c>
    </row>
    <row r="91" spans="1:15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2.6676524579824568</v>
      </c>
      <c r="H91">
        <v>4.8694921874999997E-4</v>
      </c>
      <c r="I91">
        <v>-0.9149171643229046</v>
      </c>
      <c r="J91">
        <v>-4.4551819838800372E-4</v>
      </c>
      <c r="M91">
        <v>2.3115489115836398</v>
      </c>
      <c r="N91">
        <v>2.44140625E-4</v>
      </c>
      <c r="O91">
        <f t="shared" si="1"/>
        <v>7.03125E-2</v>
      </c>
    </row>
    <row r="92" spans="1:15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2.2617053448112117</v>
      </c>
      <c r="H92">
        <v>5.7825219726562497E-4</v>
      </c>
      <c r="I92">
        <v>-0.92738157169194357</v>
      </c>
      <c r="J92">
        <v>-5.3626043153451504E-4</v>
      </c>
      <c r="M92">
        <v>2.4582464545166651</v>
      </c>
      <c r="N92">
        <v>2.44140625E-4</v>
      </c>
      <c r="O92">
        <f t="shared" si="1"/>
        <v>7.0556640625E-2</v>
      </c>
    </row>
    <row r="93" spans="1:15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2.4936751237662054</v>
      </c>
      <c r="H93">
        <v>1.2207546386718748E-3</v>
      </c>
      <c r="I93">
        <v>-0.9202384073133375</v>
      </c>
      <c r="J93">
        <v>-1.1233853044117748E-3</v>
      </c>
      <c r="M93">
        <v>2.4582464545166651</v>
      </c>
      <c r="N93">
        <v>4.8828125E-4</v>
      </c>
      <c r="O93">
        <f t="shared" si="1"/>
        <v>7.1044921875E-2</v>
      </c>
    </row>
    <row r="94" spans="1:15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2.6676524579824568</v>
      </c>
      <c r="H94">
        <v>7.7100292968749996E-4</v>
      </c>
      <c r="I94">
        <v>-0.9149171643229046</v>
      </c>
      <c r="J94">
        <v>-7.0540381411433927E-4</v>
      </c>
      <c r="M94">
        <v>2.4582464545166651</v>
      </c>
      <c r="N94">
        <v>2.44140625E-4</v>
      </c>
      <c r="O94">
        <f t="shared" si="1"/>
        <v>7.12890625E-2</v>
      </c>
    </row>
    <row r="95" spans="1:15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2.2617053448112117</v>
      </c>
      <c r="H95">
        <v>1.2207546386718748E-3</v>
      </c>
      <c r="I95">
        <v>-0.92738157169194357</v>
      </c>
      <c r="J95">
        <v>-1.132105355461754E-3</v>
      </c>
      <c r="M95">
        <v>2.4582464545166651</v>
      </c>
      <c r="N95">
        <v>4.8828125E-4</v>
      </c>
      <c r="O95">
        <f t="shared" si="1"/>
        <v>7.177734375E-2</v>
      </c>
    </row>
    <row r="96" spans="1:15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2.4936751237662054</v>
      </c>
      <c r="H96">
        <v>2.5771486816406246E-3</v>
      </c>
      <c r="I96">
        <v>-0.9202384073133375</v>
      </c>
      <c r="J96">
        <v>-2.3715911982026359E-3</v>
      </c>
      <c r="M96">
        <v>2.4582464545166651</v>
      </c>
      <c r="N96">
        <v>9.765625E-4</v>
      </c>
      <c r="O96">
        <f t="shared" si="1"/>
        <v>7.275390625E-2</v>
      </c>
    </row>
    <row r="97" spans="1:15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2.6676524579824568</v>
      </c>
      <c r="H97">
        <v>1.6276728515624997E-3</v>
      </c>
      <c r="I97">
        <v>-0.9149171643229046</v>
      </c>
      <c r="J97">
        <v>-1.4891858297969383E-3</v>
      </c>
      <c r="M97">
        <v>2.4582464545166651</v>
      </c>
      <c r="N97">
        <v>4.8828125E-4</v>
      </c>
      <c r="O97">
        <f t="shared" si="1"/>
        <v>7.32421875E-2</v>
      </c>
    </row>
    <row r="98" spans="1:15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2.2617053448112117</v>
      </c>
      <c r="H98">
        <v>7.7100292968749985E-4</v>
      </c>
      <c r="I98">
        <v>-0.92738157169194357</v>
      </c>
      <c r="J98">
        <v>-7.1501390871268672E-4</v>
      </c>
      <c r="M98">
        <v>2.4582464545166651</v>
      </c>
      <c r="N98">
        <v>2.44140625E-4</v>
      </c>
      <c r="O98">
        <f t="shared" si="1"/>
        <v>7.3486328125E-2</v>
      </c>
    </row>
    <row r="99" spans="1:15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2.4936751237662054</v>
      </c>
      <c r="H99">
        <v>1.6276728515624997E-3</v>
      </c>
      <c r="I99">
        <v>-0.9202384073133375</v>
      </c>
      <c r="J99">
        <v>-1.497847072549033E-3</v>
      </c>
      <c r="M99">
        <v>2.4582464545166651</v>
      </c>
      <c r="N99">
        <v>4.8828125E-4</v>
      </c>
      <c r="O99">
        <f t="shared" si="1"/>
        <v>7.3974609375E-2</v>
      </c>
    </row>
    <row r="100" spans="1:15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2.6676524579824568</v>
      </c>
      <c r="H100">
        <v>1.0280039062499997E-3</v>
      </c>
      <c r="I100">
        <v>-0.9149171643229046</v>
      </c>
      <c r="J100">
        <v>-9.405384188191188E-4</v>
      </c>
      <c r="M100">
        <v>2.4582464545166651</v>
      </c>
      <c r="N100">
        <v>2.44140625E-4</v>
      </c>
      <c r="O100">
        <f t="shared" si="1"/>
        <v>7.421875E-2</v>
      </c>
    </row>
    <row r="101" spans="1:15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2.2617053448112117</v>
      </c>
      <c r="H101">
        <v>3.6521191406249995E-4</v>
      </c>
      <c r="I101">
        <v>-0.92738157169194357</v>
      </c>
      <c r="J101">
        <v>-3.3869079886390423E-4</v>
      </c>
      <c r="M101">
        <v>2.4936751237662054</v>
      </c>
      <c r="N101">
        <v>9.765625E-4</v>
      </c>
      <c r="O101">
        <f t="shared" si="1"/>
        <v>7.51953125E-2</v>
      </c>
    </row>
    <row r="102" spans="1:15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2.4936751237662054</v>
      </c>
      <c r="H102">
        <v>7.7100292968749985E-4</v>
      </c>
      <c r="I102">
        <v>-0.9202384073133375</v>
      </c>
      <c r="J102">
        <v>-7.0950650804954205E-4</v>
      </c>
      <c r="M102">
        <v>2.4936751237662054</v>
      </c>
      <c r="N102">
        <v>1.953125E-3</v>
      </c>
      <c r="O102">
        <f t="shared" si="1"/>
        <v>7.71484375E-2</v>
      </c>
    </row>
    <row r="103" spans="1:15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2.6676524579824568</v>
      </c>
      <c r="H103">
        <v>4.8694921874999991E-4</v>
      </c>
      <c r="I103">
        <v>-0.9149171643229046</v>
      </c>
      <c r="J103">
        <v>-4.4551819838800367E-4</v>
      </c>
      <c r="M103">
        <v>2.4936751237662054</v>
      </c>
      <c r="N103">
        <v>9.765625E-4</v>
      </c>
      <c r="O103">
        <f t="shared" si="1"/>
        <v>7.8125E-2</v>
      </c>
    </row>
    <row r="104" spans="1:15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2.2617053448112117</v>
      </c>
      <c r="H104">
        <v>7.7100292968749985E-4</v>
      </c>
      <c r="I104">
        <v>-0.92738157169194357</v>
      </c>
      <c r="J104">
        <v>-7.1501390871268672E-4</v>
      </c>
      <c r="M104">
        <v>2.4936751237662054</v>
      </c>
      <c r="N104">
        <v>1.953125E-3</v>
      </c>
      <c r="O104">
        <f t="shared" si="1"/>
        <v>8.0078125E-2</v>
      </c>
    </row>
    <row r="105" spans="1:15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2.4936751237662054</v>
      </c>
      <c r="H105">
        <v>1.6276728515624997E-3</v>
      </c>
      <c r="I105">
        <v>-0.9202384073133375</v>
      </c>
      <c r="J105">
        <v>-1.497847072549033E-3</v>
      </c>
      <c r="M105">
        <v>2.4936751237662054</v>
      </c>
      <c r="N105">
        <v>3.90625E-3</v>
      </c>
      <c r="O105">
        <f t="shared" si="1"/>
        <v>8.3984375E-2</v>
      </c>
    </row>
    <row r="106" spans="1:15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2.6676524579824568</v>
      </c>
      <c r="H106">
        <v>1.0280039062499997E-3</v>
      </c>
      <c r="I106">
        <v>-0.9149171643229046</v>
      </c>
      <c r="J106">
        <v>-9.405384188191188E-4</v>
      </c>
      <c r="M106">
        <v>2.4936751237662054</v>
      </c>
      <c r="N106">
        <v>1.953125E-3</v>
      </c>
      <c r="O106">
        <f t="shared" si="1"/>
        <v>8.59375E-2</v>
      </c>
    </row>
    <row r="107" spans="1:15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2.2617053448112117</v>
      </c>
      <c r="H107">
        <v>4.8694921874999991E-4</v>
      </c>
      <c r="I107">
        <v>-0.92738157169194357</v>
      </c>
      <c r="J107">
        <v>-4.5158773181853897E-4</v>
      </c>
      <c r="M107">
        <v>2.4936751237662054</v>
      </c>
      <c r="N107">
        <v>9.765625E-4</v>
      </c>
      <c r="O107">
        <f t="shared" si="1"/>
        <v>8.69140625E-2</v>
      </c>
    </row>
    <row r="108" spans="1:15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2.4936751237662054</v>
      </c>
      <c r="H108">
        <v>1.0280039062499997E-3</v>
      </c>
      <c r="I108">
        <v>-0.9202384073133375</v>
      </c>
      <c r="J108">
        <v>-9.4600867739938932E-4</v>
      </c>
      <c r="M108">
        <v>2.4936751237662054</v>
      </c>
      <c r="N108">
        <v>1.953125E-3</v>
      </c>
      <c r="O108">
        <f t="shared" si="1"/>
        <v>8.88671875E-2</v>
      </c>
    </row>
    <row r="109" spans="1:15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2.6676524579824568</v>
      </c>
      <c r="H109">
        <v>6.4926562499999978E-4</v>
      </c>
      <c r="I109">
        <v>-0.9149171643229046</v>
      </c>
      <c r="J109">
        <v>-5.9402426451733812E-4</v>
      </c>
      <c r="M109">
        <v>2.4936751237662054</v>
      </c>
      <c r="N109">
        <v>9.765625E-4</v>
      </c>
      <c r="O109">
        <f t="shared" si="1"/>
        <v>8.984375E-2</v>
      </c>
    </row>
    <row r="110" spans="1:15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2.7836373474599538</v>
      </c>
      <c r="H110">
        <v>5.7825219726562497E-4</v>
      </c>
      <c r="I110">
        <v>-0.91138677437898441</v>
      </c>
      <c r="J110">
        <v>-5.2701140484347816E-4</v>
      </c>
      <c r="M110">
        <v>2.6676524579824568</v>
      </c>
      <c r="N110">
        <v>4.8828125E-4</v>
      </c>
      <c r="O110">
        <f t="shared" si="1"/>
        <v>9.033203125E-2</v>
      </c>
    </row>
    <row r="111" spans="1:15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3.0691386138661052</v>
      </c>
      <c r="H111">
        <v>1.2207546386718748E-3</v>
      </c>
      <c r="I111">
        <v>-0.90275451228290327</v>
      </c>
      <c r="J111">
        <v>-1.1020417584513202E-3</v>
      </c>
      <c r="M111">
        <v>2.6676524579824568</v>
      </c>
      <c r="N111">
        <v>9.765625E-4</v>
      </c>
      <c r="O111">
        <f t="shared" si="1"/>
        <v>9.130859375E-2</v>
      </c>
    </row>
    <row r="112" spans="1:15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3.2832645636707141</v>
      </c>
      <c r="H112">
        <v>7.7100292968749996E-4</v>
      </c>
      <c r="I112">
        <v>-0.89633401388276435</v>
      </c>
      <c r="J112">
        <v>-6.9107615068216758E-4</v>
      </c>
      <c r="M112">
        <v>2.6676524579824568</v>
      </c>
      <c r="N112">
        <v>4.8828125E-4</v>
      </c>
      <c r="O112">
        <f t="shared" si="1"/>
        <v>9.1796875E-2</v>
      </c>
    </row>
    <row r="113" spans="1:15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2.7836373474599538</v>
      </c>
      <c r="H113">
        <v>1.2207546386718748E-3</v>
      </c>
      <c r="I113">
        <v>-0.91138677437898441</v>
      </c>
      <c r="J113">
        <v>-1.1125796324473426E-3</v>
      </c>
      <c r="M113">
        <v>2.6676524579824568</v>
      </c>
      <c r="N113">
        <v>9.765625E-4</v>
      </c>
      <c r="O113">
        <f t="shared" si="1"/>
        <v>9.27734375E-2</v>
      </c>
    </row>
    <row r="114" spans="1:15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3.0691386138661052</v>
      </c>
      <c r="H114">
        <v>2.5771486816406246E-3</v>
      </c>
      <c r="I114">
        <v>-0.90275451228290327</v>
      </c>
      <c r="J114">
        <v>-2.3265326011750092E-3</v>
      </c>
      <c r="M114">
        <v>2.6676524579824568</v>
      </c>
      <c r="N114">
        <v>1.953125E-3</v>
      </c>
      <c r="O114">
        <f t="shared" si="1"/>
        <v>9.47265625E-2</v>
      </c>
    </row>
    <row r="115" spans="1:15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3.2832645636707141</v>
      </c>
      <c r="H115">
        <v>1.6276728515624997E-3</v>
      </c>
      <c r="I115">
        <v>-0.89633401388276435</v>
      </c>
      <c r="J115">
        <v>-1.4589385403290201E-3</v>
      </c>
      <c r="M115">
        <v>2.6676524579824568</v>
      </c>
      <c r="N115">
        <v>9.765625E-4</v>
      </c>
      <c r="O115">
        <f t="shared" si="1"/>
        <v>9.5703125E-2</v>
      </c>
    </row>
    <row r="116" spans="1:15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2.7836373474599538</v>
      </c>
      <c r="H116">
        <v>7.7100292968749985E-4</v>
      </c>
      <c r="I116">
        <v>-0.91138677437898441</v>
      </c>
      <c r="J116">
        <v>-7.026818731246374E-4</v>
      </c>
      <c r="M116">
        <v>2.6676524579824568</v>
      </c>
      <c r="N116">
        <v>4.8828125E-4</v>
      </c>
      <c r="O116">
        <f t="shared" si="1"/>
        <v>9.619140625E-2</v>
      </c>
    </row>
    <row r="117" spans="1:15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3.0691386138661052</v>
      </c>
      <c r="H117">
        <v>1.6276728515624997E-3</v>
      </c>
      <c r="I117">
        <v>-0.90275451228290327</v>
      </c>
      <c r="J117">
        <v>-1.4693890112684267E-3</v>
      </c>
      <c r="M117">
        <v>2.6676524579824568</v>
      </c>
      <c r="N117">
        <v>9.765625E-4</v>
      </c>
      <c r="O117">
        <f t="shared" si="1"/>
        <v>9.716796875E-2</v>
      </c>
    </row>
    <row r="118" spans="1:15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3.2832645636707141</v>
      </c>
      <c r="H118">
        <v>1.0280039062499997E-3</v>
      </c>
      <c r="I118">
        <v>-0.89633401388276435</v>
      </c>
      <c r="J118">
        <v>-9.2143486757622327E-4</v>
      </c>
      <c r="M118">
        <v>2.6676524579824568</v>
      </c>
      <c r="N118">
        <v>4.8828125E-4</v>
      </c>
      <c r="O118">
        <f t="shared" si="1"/>
        <v>9.765625E-2</v>
      </c>
    </row>
    <row r="119" spans="1:15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2.7836373474599538</v>
      </c>
      <c r="H119">
        <v>1.2207546386718748E-3</v>
      </c>
      <c r="I119">
        <v>-0.91138677437898441</v>
      </c>
      <c r="J119">
        <v>-1.1125796324473426E-3</v>
      </c>
      <c r="M119">
        <v>2.7103742960055541</v>
      </c>
      <c r="N119">
        <v>4.8828125E-4</v>
      </c>
      <c r="O119">
        <f t="shared" si="1"/>
        <v>9.814453125E-2</v>
      </c>
    </row>
    <row r="120" spans="1:15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3.0691386138661052</v>
      </c>
      <c r="H120">
        <v>2.5771486816406246E-3</v>
      </c>
      <c r="I120">
        <v>-0.90275451228290327</v>
      </c>
      <c r="J120">
        <v>-2.3265326011750092E-3</v>
      </c>
      <c r="M120">
        <v>2.7103742960055541</v>
      </c>
      <c r="N120">
        <v>9.765625E-4</v>
      </c>
      <c r="O120">
        <f t="shared" si="1"/>
        <v>9.912109375E-2</v>
      </c>
    </row>
    <row r="121" spans="1:15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3.2832645636707141</v>
      </c>
      <c r="H121">
        <v>1.6276728515624997E-3</v>
      </c>
      <c r="I121">
        <v>-0.89633401388276435</v>
      </c>
      <c r="J121">
        <v>-1.4589385403290201E-3</v>
      </c>
      <c r="M121">
        <v>2.7103742960055541</v>
      </c>
      <c r="N121">
        <v>4.8828125E-4</v>
      </c>
      <c r="O121">
        <f t="shared" si="1"/>
        <v>9.9609375E-2</v>
      </c>
    </row>
    <row r="122" spans="1:15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2.7836373474599538</v>
      </c>
      <c r="H122">
        <v>2.5771486816406246E-3</v>
      </c>
      <c r="I122">
        <v>-0.91138677437898441</v>
      </c>
      <c r="J122">
        <v>-2.3487792240555012E-3</v>
      </c>
      <c r="M122">
        <v>2.7103742960055541</v>
      </c>
      <c r="N122">
        <v>9.765625E-4</v>
      </c>
      <c r="O122">
        <f t="shared" si="1"/>
        <v>0.1005859375</v>
      </c>
    </row>
    <row r="123" spans="1:15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3.0691386138661052</v>
      </c>
      <c r="H123">
        <v>5.4406472167968737E-3</v>
      </c>
      <c r="I123">
        <v>-0.90275451228290327</v>
      </c>
      <c r="J123">
        <v>-4.9115688247027972E-3</v>
      </c>
      <c r="M123">
        <v>2.7103742960055541</v>
      </c>
      <c r="N123">
        <v>1.953125E-3</v>
      </c>
      <c r="O123">
        <f t="shared" si="1"/>
        <v>0.1025390625</v>
      </c>
    </row>
    <row r="124" spans="1:15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3.2832645636707141</v>
      </c>
      <c r="H124">
        <v>3.4361982421874993E-3</v>
      </c>
      <c r="I124">
        <v>-0.89633401388276435</v>
      </c>
      <c r="J124">
        <v>-3.0799813629168206E-3</v>
      </c>
      <c r="M124">
        <v>2.7103742960055541</v>
      </c>
      <c r="N124">
        <v>9.765625E-4</v>
      </c>
      <c r="O124">
        <f t="shared" si="1"/>
        <v>0.103515625</v>
      </c>
    </row>
    <row r="125" spans="1:15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2.7836373474599538</v>
      </c>
      <c r="H125">
        <v>1.6276728515624997E-3</v>
      </c>
      <c r="I125">
        <v>-0.91138677437898441</v>
      </c>
      <c r="J125">
        <v>-1.48343950992979E-3</v>
      </c>
      <c r="M125">
        <v>2.7103742960055541</v>
      </c>
      <c r="N125">
        <v>4.8828125E-4</v>
      </c>
      <c r="O125">
        <f t="shared" si="1"/>
        <v>0.10400390625</v>
      </c>
    </row>
    <row r="126" spans="1:15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3.0691386138661052</v>
      </c>
      <c r="H126">
        <v>3.4361982421874993E-3</v>
      </c>
      <c r="I126">
        <v>-0.90275451228290327</v>
      </c>
      <c r="J126">
        <v>-3.1020434682333454E-3</v>
      </c>
      <c r="M126">
        <v>2.7103742960055541</v>
      </c>
      <c r="N126">
        <v>9.765625E-4</v>
      </c>
      <c r="O126">
        <f t="shared" si="1"/>
        <v>0.10498046875</v>
      </c>
    </row>
    <row r="127" spans="1:15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3.2832645636707141</v>
      </c>
      <c r="H127">
        <v>2.1702304687499993E-3</v>
      </c>
      <c r="I127">
        <v>-0.89633401388276435</v>
      </c>
      <c r="J127">
        <v>-1.94525138710536E-3</v>
      </c>
      <c r="M127">
        <v>2.7103742960055541</v>
      </c>
      <c r="N127">
        <v>4.8828125E-4</v>
      </c>
      <c r="O127">
        <f t="shared" si="1"/>
        <v>0.10546875</v>
      </c>
    </row>
    <row r="128" spans="1:15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2.7836373474599538</v>
      </c>
      <c r="H128">
        <v>7.7100292968749996E-4</v>
      </c>
      <c r="I128">
        <v>-0.91138677437898441</v>
      </c>
      <c r="J128">
        <v>-7.0268187312463751E-4</v>
      </c>
      <c r="M128">
        <v>2.7836373474599538</v>
      </c>
      <c r="N128">
        <v>9.765625E-4</v>
      </c>
      <c r="O128">
        <f t="shared" si="1"/>
        <v>0.1064453125</v>
      </c>
    </row>
    <row r="129" spans="1:15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3.0691386138661052</v>
      </c>
      <c r="H129">
        <v>1.6276728515624999E-3</v>
      </c>
      <c r="I129">
        <v>-0.90275451228290327</v>
      </c>
      <c r="J129">
        <v>-1.4693890112684269E-3</v>
      </c>
      <c r="M129">
        <v>2.7836373474599538</v>
      </c>
      <c r="N129">
        <v>1.953125E-3</v>
      </c>
      <c r="O129">
        <f t="shared" si="1"/>
        <v>0.1083984375</v>
      </c>
    </row>
    <row r="130" spans="1:15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3.2832645636707141</v>
      </c>
      <c r="H130">
        <v>1.0280039062499999E-3</v>
      </c>
      <c r="I130">
        <v>-0.89633401388276435</v>
      </c>
      <c r="J130">
        <v>-9.2143486757622348E-4</v>
      </c>
      <c r="M130">
        <v>2.7836373474599538</v>
      </c>
      <c r="N130">
        <v>9.765625E-4</v>
      </c>
      <c r="O130">
        <f t="shared" si="1"/>
        <v>0.109375</v>
      </c>
    </row>
    <row r="131" spans="1:15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2.7836373474599538</v>
      </c>
      <c r="H131">
        <v>1.6276728515624997E-3</v>
      </c>
      <c r="I131">
        <v>-0.91138677437898441</v>
      </c>
      <c r="J131">
        <v>-1.48343950992979E-3</v>
      </c>
      <c r="M131">
        <v>2.7836373474599538</v>
      </c>
      <c r="N131">
        <v>1.953125E-3</v>
      </c>
      <c r="O131">
        <f t="shared" si="1"/>
        <v>0.111328125</v>
      </c>
    </row>
    <row r="132" spans="1:15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3.0691386138661052</v>
      </c>
      <c r="H132">
        <v>3.4361982421874993E-3</v>
      </c>
      <c r="I132">
        <v>-0.90275451228290327</v>
      </c>
      <c r="J132">
        <v>-3.1020434682333454E-3</v>
      </c>
      <c r="M132">
        <v>2.7836373474599538</v>
      </c>
      <c r="N132">
        <v>3.90625E-3</v>
      </c>
      <c r="O132">
        <f t="shared" ref="O132:O195" si="2">N132+O131</f>
        <v>0.115234375</v>
      </c>
    </row>
    <row r="133" spans="1:15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3.2832645636707141</v>
      </c>
      <c r="H133">
        <v>2.1702304687499993E-3</v>
      </c>
      <c r="I133">
        <v>-0.89633401388276435</v>
      </c>
      <c r="J133">
        <v>-1.94525138710536E-3</v>
      </c>
      <c r="M133">
        <v>2.7836373474599538</v>
      </c>
      <c r="N133">
        <v>1.953125E-3</v>
      </c>
      <c r="O133">
        <f t="shared" si="2"/>
        <v>0.1171875</v>
      </c>
    </row>
    <row r="134" spans="1:15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2.7836373474599538</v>
      </c>
      <c r="H134">
        <v>1.0280039062499999E-3</v>
      </c>
      <c r="I134">
        <v>-0.91138677437898441</v>
      </c>
      <c r="J134">
        <v>-9.3690916416618334E-4</v>
      </c>
      <c r="M134">
        <v>2.7836373474599538</v>
      </c>
      <c r="N134">
        <v>9.765625E-4</v>
      </c>
      <c r="O134">
        <f t="shared" si="2"/>
        <v>0.1181640625</v>
      </c>
    </row>
    <row r="135" spans="1:15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3.0691386138661052</v>
      </c>
      <c r="H135">
        <v>2.1702304687499993E-3</v>
      </c>
      <c r="I135">
        <v>-0.90275451228290327</v>
      </c>
      <c r="J135">
        <v>-1.959185348357902E-3</v>
      </c>
      <c r="M135">
        <v>2.7836373474599538</v>
      </c>
      <c r="N135">
        <v>1.953125E-3</v>
      </c>
      <c r="O135">
        <f t="shared" si="2"/>
        <v>0.1201171875</v>
      </c>
    </row>
    <row r="136" spans="1:15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3.2832645636707141</v>
      </c>
      <c r="H136">
        <v>1.3706718749999997E-3</v>
      </c>
      <c r="I136">
        <v>-0.89633401388276435</v>
      </c>
      <c r="J136">
        <v>-1.2285798234349644E-3</v>
      </c>
      <c r="M136">
        <v>2.7836373474599538</v>
      </c>
      <c r="N136">
        <v>9.765625E-4</v>
      </c>
      <c r="O136">
        <f t="shared" si="2"/>
        <v>0.12109375</v>
      </c>
    </row>
    <row r="137" spans="1:15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3.1315920158924504</v>
      </c>
      <c r="H137">
        <v>3.652119140625E-4</v>
      </c>
      <c r="I137">
        <v>-0.90087713075908193</v>
      </c>
      <c r="J137">
        <v>-3.2901106125965743E-4</v>
      </c>
      <c r="M137">
        <v>2.8994701771222213</v>
      </c>
      <c r="N137">
        <v>2.44140625E-4</v>
      </c>
      <c r="O137">
        <f t="shared" si="2"/>
        <v>0.121337890625</v>
      </c>
    </row>
    <row r="138" spans="1:15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3.1315920158924504</v>
      </c>
      <c r="H138">
        <v>7.7100292968749996E-4</v>
      </c>
      <c r="I138">
        <v>-0.90087713075908193</v>
      </c>
      <c r="J138">
        <v>-6.9457890710372119E-4</v>
      </c>
      <c r="M138">
        <v>2.8994701771222213</v>
      </c>
      <c r="N138">
        <v>4.8828125E-4</v>
      </c>
      <c r="O138">
        <f t="shared" si="2"/>
        <v>0.121826171875</v>
      </c>
    </row>
    <row r="139" spans="1:15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3.6936726341295558</v>
      </c>
      <c r="H139">
        <v>4.8694921874999997E-4</v>
      </c>
      <c r="I139">
        <v>-0.88415541662319652</v>
      </c>
      <c r="J139">
        <v>-4.3053878937824626E-4</v>
      </c>
      <c r="M139">
        <v>2.8994701771222213</v>
      </c>
      <c r="N139">
        <v>2.44140625E-4</v>
      </c>
      <c r="O139">
        <f t="shared" si="2"/>
        <v>0.1220703125</v>
      </c>
    </row>
    <row r="140" spans="1:15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3.1315920158924504</v>
      </c>
      <c r="H140">
        <v>7.7100292968749996E-4</v>
      </c>
      <c r="I140">
        <v>-0.90087713075908193</v>
      </c>
      <c r="J140">
        <v>-6.9457890710372119E-4</v>
      </c>
      <c r="M140">
        <v>2.8994701771222213</v>
      </c>
      <c r="N140">
        <v>4.8828125E-4</v>
      </c>
      <c r="O140">
        <f t="shared" si="2"/>
        <v>0.12255859375</v>
      </c>
    </row>
    <row r="141" spans="1:15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3.4527809405993679</v>
      </c>
      <c r="H141">
        <v>1.6276728515624999E-3</v>
      </c>
      <c r="I141">
        <v>-0.89128351985981691</v>
      </c>
      <c r="J141">
        <v>-1.4507179883208902E-3</v>
      </c>
      <c r="M141">
        <v>2.8994701771222213</v>
      </c>
      <c r="N141">
        <v>9.765625E-4</v>
      </c>
      <c r="O141">
        <f t="shared" si="2"/>
        <v>0.12353515625</v>
      </c>
    </row>
    <row r="142" spans="1:15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3.6936726341295558</v>
      </c>
      <c r="H142">
        <v>1.0280039062499999E-3</v>
      </c>
      <c r="I142">
        <v>-0.88415541662319652</v>
      </c>
      <c r="J142">
        <v>-9.0891522202074212E-4</v>
      </c>
      <c r="M142">
        <v>2.8994701771222213</v>
      </c>
      <c r="N142">
        <v>4.8828125E-4</v>
      </c>
      <c r="O142">
        <f t="shared" si="2"/>
        <v>0.1240234375</v>
      </c>
    </row>
    <row r="143" spans="1:15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3.1315920158924504</v>
      </c>
      <c r="H143">
        <v>4.8694921874999997E-4</v>
      </c>
      <c r="I143">
        <v>-0.90087713075908193</v>
      </c>
      <c r="J143">
        <v>-4.3868141501287651E-4</v>
      </c>
      <c r="M143">
        <v>2.8994701771222213</v>
      </c>
      <c r="N143">
        <v>2.44140625E-4</v>
      </c>
      <c r="O143">
        <f t="shared" si="2"/>
        <v>0.124267578125</v>
      </c>
    </row>
    <row r="144" spans="1:15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3.4527809405993679</v>
      </c>
      <c r="H144">
        <v>1.0280039062499999E-3</v>
      </c>
      <c r="I144">
        <v>-0.89128351985981691</v>
      </c>
      <c r="J144">
        <v>-9.1624293999214115E-4</v>
      </c>
      <c r="M144">
        <v>2.8994701771222213</v>
      </c>
      <c r="N144">
        <v>4.8828125E-4</v>
      </c>
      <c r="O144">
        <f t="shared" si="2"/>
        <v>0.124755859375</v>
      </c>
    </row>
    <row r="145" spans="1:15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3.6936726341295558</v>
      </c>
      <c r="H145">
        <v>6.4926562499999999E-4</v>
      </c>
      <c r="I145">
        <v>-0.88415541662319652</v>
      </c>
      <c r="J145">
        <v>-5.7405171917099512E-4</v>
      </c>
      <c r="M145">
        <v>2.8994701771222213</v>
      </c>
      <c r="N145">
        <v>2.44140625E-4</v>
      </c>
      <c r="O145">
        <f t="shared" si="2"/>
        <v>0.125</v>
      </c>
    </row>
    <row r="146" spans="1:15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3.1315920158924504</v>
      </c>
      <c r="H146">
        <v>7.7100292968750007E-4</v>
      </c>
      <c r="I146">
        <v>-0.90087713075908193</v>
      </c>
      <c r="J146">
        <v>-6.945789071037213E-4</v>
      </c>
      <c r="M146">
        <v>3.0255340978666676</v>
      </c>
      <c r="N146">
        <v>4.8828125E-4</v>
      </c>
      <c r="O146">
        <f t="shared" si="2"/>
        <v>0.12548828125</v>
      </c>
    </row>
    <row r="147" spans="1:15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3.4527809405993679</v>
      </c>
      <c r="H147">
        <v>1.6276728515625001E-3</v>
      </c>
      <c r="I147">
        <v>-0.89128351985981691</v>
      </c>
      <c r="J147">
        <v>-1.4507179883208904E-3</v>
      </c>
      <c r="M147">
        <v>3.0255340978666676</v>
      </c>
      <c r="N147">
        <v>9.765625E-4</v>
      </c>
      <c r="O147">
        <f t="shared" si="2"/>
        <v>0.12646484375</v>
      </c>
    </row>
    <row r="148" spans="1:15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3.6936726341295558</v>
      </c>
      <c r="H148">
        <v>1.0280039062499999E-3</v>
      </c>
      <c r="I148">
        <v>-0.88415541662319652</v>
      </c>
      <c r="J148">
        <v>-9.0891522202074212E-4</v>
      </c>
      <c r="M148">
        <v>3.0255340978666676</v>
      </c>
      <c r="N148">
        <v>4.8828125E-4</v>
      </c>
      <c r="O148">
        <f t="shared" si="2"/>
        <v>0.126953125</v>
      </c>
    </row>
    <row r="149" spans="1:15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3.1315920158924504</v>
      </c>
      <c r="H149">
        <v>1.6276728515624999E-3</v>
      </c>
      <c r="I149">
        <v>-0.90087713075908193</v>
      </c>
      <c r="J149">
        <v>-1.4663332483300781E-3</v>
      </c>
      <c r="M149">
        <v>3.0255340978666676</v>
      </c>
      <c r="N149">
        <v>9.765625E-4</v>
      </c>
      <c r="O149">
        <f t="shared" si="2"/>
        <v>0.1279296875</v>
      </c>
    </row>
    <row r="150" spans="1:15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3.4527809405993679</v>
      </c>
      <c r="H150">
        <v>3.4361982421874998E-3</v>
      </c>
      <c r="I150">
        <v>-0.89128351985981691</v>
      </c>
      <c r="J150">
        <v>-3.0626268642329904E-3</v>
      </c>
      <c r="M150">
        <v>3.0255340978666676</v>
      </c>
      <c r="N150">
        <v>1.953125E-3</v>
      </c>
      <c r="O150">
        <f t="shared" si="2"/>
        <v>0.1298828125</v>
      </c>
    </row>
    <row r="151" spans="1:15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3.6936726341295558</v>
      </c>
      <c r="H151">
        <v>2.1702304687499997E-3</v>
      </c>
      <c r="I151">
        <v>-0.88415541662319652</v>
      </c>
      <c r="J151">
        <v>-1.9188210242660111E-3</v>
      </c>
      <c r="M151">
        <v>3.0255340978666676</v>
      </c>
      <c r="N151">
        <v>9.765625E-4</v>
      </c>
      <c r="O151">
        <f t="shared" si="2"/>
        <v>0.130859375</v>
      </c>
    </row>
    <row r="152" spans="1:15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3.1315920158924504</v>
      </c>
      <c r="H152">
        <v>1.0280039062499999E-3</v>
      </c>
      <c r="I152">
        <v>-0.90087713075908193</v>
      </c>
      <c r="J152">
        <v>-9.2610520947162818E-4</v>
      </c>
      <c r="M152">
        <v>3.0255340978666676</v>
      </c>
      <c r="N152">
        <v>4.8828125E-4</v>
      </c>
      <c r="O152">
        <f t="shared" si="2"/>
        <v>0.13134765625</v>
      </c>
    </row>
    <row r="153" spans="1:15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3.4527809405993679</v>
      </c>
      <c r="H153">
        <v>2.1702304687499997E-3</v>
      </c>
      <c r="I153">
        <v>-0.89128351985981691</v>
      </c>
      <c r="J153">
        <v>-1.9342906510945201E-3</v>
      </c>
      <c r="M153">
        <v>3.0255340978666676</v>
      </c>
      <c r="N153">
        <v>9.765625E-4</v>
      </c>
      <c r="O153">
        <f t="shared" si="2"/>
        <v>0.13232421875</v>
      </c>
    </row>
    <row r="154" spans="1:15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3.6936726341295558</v>
      </c>
      <c r="H154">
        <v>1.3706718749999999E-3</v>
      </c>
      <c r="I154">
        <v>-0.88415541662319652</v>
      </c>
      <c r="J154">
        <v>-1.2118869626943228E-3</v>
      </c>
      <c r="M154">
        <v>3.0255340978666676</v>
      </c>
      <c r="N154">
        <v>4.8828125E-4</v>
      </c>
      <c r="O154">
        <f t="shared" si="2"/>
        <v>0.1328125</v>
      </c>
    </row>
    <row r="155" spans="1:15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3.1315920158924504</v>
      </c>
      <c r="H155">
        <v>4.8694921875000008E-4</v>
      </c>
      <c r="I155">
        <v>-0.90087713075908193</v>
      </c>
      <c r="J155">
        <v>-4.3868141501287661E-4</v>
      </c>
      <c r="M155">
        <v>3.0691386138661052</v>
      </c>
      <c r="N155">
        <v>1.953125E-3</v>
      </c>
      <c r="O155">
        <f t="shared" si="2"/>
        <v>0.134765625</v>
      </c>
    </row>
    <row r="156" spans="1:15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3.4527809405993679</v>
      </c>
      <c r="H156">
        <v>1.0280039062500002E-3</v>
      </c>
      <c r="I156">
        <v>-0.89128351985981691</v>
      </c>
      <c r="J156">
        <v>-9.1624293999214136E-4</v>
      </c>
      <c r="M156">
        <v>3.0691386138661052</v>
      </c>
      <c r="N156">
        <v>3.90625E-3</v>
      </c>
      <c r="O156">
        <f t="shared" si="2"/>
        <v>0.138671875</v>
      </c>
    </row>
    <row r="157" spans="1:15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3.6936726341295558</v>
      </c>
      <c r="H157">
        <v>6.492656250000001E-4</v>
      </c>
      <c r="I157">
        <v>-0.88415541662319652</v>
      </c>
      <c r="J157">
        <v>-5.7405171917099512E-4</v>
      </c>
      <c r="M157">
        <v>3.0691386138661052</v>
      </c>
      <c r="N157">
        <v>1.953125E-3</v>
      </c>
      <c r="O157">
        <f t="shared" si="2"/>
        <v>0.140625</v>
      </c>
    </row>
    <row r="158" spans="1:15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3.1315920158924504</v>
      </c>
      <c r="H158">
        <v>1.0280039062499999E-3</v>
      </c>
      <c r="I158">
        <v>-0.90087713075908193</v>
      </c>
      <c r="J158">
        <v>-9.2610520947162818E-4</v>
      </c>
      <c r="M158">
        <v>3.0691386138661052</v>
      </c>
      <c r="N158">
        <v>3.90625E-3</v>
      </c>
      <c r="O158">
        <f t="shared" si="2"/>
        <v>0.14453125</v>
      </c>
    </row>
    <row r="159" spans="1:15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3.4527809405993679</v>
      </c>
      <c r="H159">
        <v>2.1702304687499997E-3</v>
      </c>
      <c r="I159">
        <v>-0.89128351985981691</v>
      </c>
      <c r="J159">
        <v>-1.9342906510945201E-3</v>
      </c>
      <c r="M159">
        <v>3.0691386138661052</v>
      </c>
      <c r="N159">
        <v>7.8125E-3</v>
      </c>
      <c r="O159">
        <f t="shared" si="2"/>
        <v>0.15234375</v>
      </c>
    </row>
    <row r="160" spans="1:15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3.6936726341295558</v>
      </c>
      <c r="H160">
        <v>1.3706718749999999E-3</v>
      </c>
      <c r="I160">
        <v>-0.88415541662319652</v>
      </c>
      <c r="J160">
        <v>-1.2118869626943228E-3</v>
      </c>
      <c r="M160">
        <v>3.0691386138661052</v>
      </c>
      <c r="N160">
        <v>3.90625E-3</v>
      </c>
      <c r="O160">
        <f t="shared" si="2"/>
        <v>0.15625</v>
      </c>
    </row>
    <row r="161" spans="1:15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3.1315920158924504</v>
      </c>
      <c r="H161">
        <v>6.492656250000001E-4</v>
      </c>
      <c r="I161">
        <v>-0.90087713075908193</v>
      </c>
      <c r="J161">
        <v>-5.8490855335050212E-4</v>
      </c>
      <c r="M161">
        <v>3.0691386138661052</v>
      </c>
      <c r="N161">
        <v>1.953125E-3</v>
      </c>
      <c r="O161">
        <f t="shared" si="2"/>
        <v>0.158203125</v>
      </c>
    </row>
    <row r="162" spans="1:15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3.4527809405993679</v>
      </c>
      <c r="H162">
        <v>1.3706718749999999E-3</v>
      </c>
      <c r="I162">
        <v>-0.89128351985981691</v>
      </c>
      <c r="J162">
        <v>-1.221657253322855E-3</v>
      </c>
      <c r="M162">
        <v>3.0691386138661052</v>
      </c>
      <c r="N162">
        <v>3.90625E-3</v>
      </c>
      <c r="O162">
        <f t="shared" si="2"/>
        <v>0.162109375</v>
      </c>
    </row>
    <row r="163" spans="1:15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3.6936726341295558</v>
      </c>
      <c r="H163">
        <v>8.6568750000000003E-4</v>
      </c>
      <c r="I163">
        <v>-0.88415541662319652</v>
      </c>
      <c r="J163">
        <v>-7.6540229222799342E-4</v>
      </c>
      <c r="M163">
        <v>3.0691386138661052</v>
      </c>
      <c r="N163">
        <v>1.953125E-3</v>
      </c>
      <c r="O163">
        <f t="shared" si="2"/>
        <v>0.1640625</v>
      </c>
    </row>
    <row r="164" spans="1:15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2.4582464545166651</v>
      </c>
      <c r="H164">
        <v>1.7299511718750003E-4</v>
      </c>
      <c r="I164">
        <v>-0.92132581001291536</v>
      </c>
      <c r="J164">
        <v>-1.5938486647105267E-4</v>
      </c>
      <c r="M164">
        <v>3.1315920158924504</v>
      </c>
      <c r="N164">
        <v>4.8828125E-4</v>
      </c>
      <c r="O164">
        <f t="shared" si="2"/>
        <v>0.16455078125</v>
      </c>
    </row>
    <row r="165" spans="1:15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2.7103742960055541</v>
      </c>
      <c r="H165">
        <v>3.6521191406250006E-4</v>
      </c>
      <c r="I165">
        <v>-0.91361519348942477</v>
      </c>
      <c r="J165">
        <v>-3.3366315353085415E-4</v>
      </c>
      <c r="M165">
        <v>3.1315920158924504</v>
      </c>
      <c r="N165">
        <v>9.765625E-4</v>
      </c>
      <c r="O165">
        <f t="shared" si="2"/>
        <v>0.16552734375</v>
      </c>
    </row>
    <row r="166" spans="1:15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2.8994701771222213</v>
      </c>
      <c r="H166">
        <v>2.3066015625000002E-4</v>
      </c>
      <c r="I166">
        <v>-0.90787460884371185</v>
      </c>
      <c r="J166">
        <v>-2.0941049913129821E-4</v>
      </c>
      <c r="M166">
        <v>3.1315920158924504</v>
      </c>
      <c r="N166">
        <v>4.8828125E-4</v>
      </c>
      <c r="O166">
        <f t="shared" si="2"/>
        <v>0.166015625</v>
      </c>
    </row>
    <row r="167" spans="1:15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2.4582464545166651</v>
      </c>
      <c r="H167">
        <v>3.6521191406250006E-4</v>
      </c>
      <c r="I167">
        <v>-0.92132581001291536</v>
      </c>
      <c r="J167">
        <v>-3.3647916255000009E-4</v>
      </c>
      <c r="M167">
        <v>3.1315920158924504</v>
      </c>
      <c r="N167">
        <v>9.765625E-4</v>
      </c>
      <c r="O167">
        <f t="shared" si="2"/>
        <v>0.1669921875</v>
      </c>
    </row>
    <row r="168" spans="1:15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2.7103742960055541</v>
      </c>
      <c r="H168">
        <v>7.7100292968750007E-4</v>
      </c>
      <c r="I168">
        <v>-0.91361519348942477</v>
      </c>
      <c r="J168">
        <v>-7.0439999078735871E-4</v>
      </c>
      <c r="M168">
        <v>3.1315920158924504</v>
      </c>
      <c r="N168">
        <v>1.953125E-3</v>
      </c>
      <c r="O168">
        <f t="shared" si="2"/>
        <v>0.1689453125</v>
      </c>
    </row>
    <row r="169" spans="1:15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2.8994701771222213</v>
      </c>
      <c r="H169">
        <v>4.8694921875000008E-4</v>
      </c>
      <c r="I169">
        <v>-0.90787460884371185</v>
      </c>
      <c r="J169">
        <v>-4.420888314994074E-4</v>
      </c>
      <c r="M169">
        <v>3.1315920158924504</v>
      </c>
      <c r="N169">
        <v>9.765625E-4</v>
      </c>
      <c r="O169">
        <f t="shared" si="2"/>
        <v>0.169921875</v>
      </c>
    </row>
    <row r="170" spans="1:15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2.4582464545166651</v>
      </c>
      <c r="H170">
        <v>2.3066015625000002E-4</v>
      </c>
      <c r="I170">
        <v>-0.92132581001291536</v>
      </c>
      <c r="J170">
        <v>-2.125131552947369E-4</v>
      </c>
      <c r="M170">
        <v>3.1315920158924504</v>
      </c>
      <c r="N170">
        <v>4.8828125E-4</v>
      </c>
      <c r="O170">
        <f t="shared" si="2"/>
        <v>0.17041015625</v>
      </c>
    </row>
    <row r="171" spans="1:15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2.7103742960055541</v>
      </c>
      <c r="H171">
        <v>4.8694921874999997E-4</v>
      </c>
      <c r="I171">
        <v>-0.91361519348942477</v>
      </c>
      <c r="J171">
        <v>-4.4488420470780544E-4</v>
      </c>
      <c r="M171">
        <v>3.1315920158924504</v>
      </c>
      <c r="N171">
        <v>9.765625E-4</v>
      </c>
      <c r="O171">
        <f t="shared" si="2"/>
        <v>0.17138671875</v>
      </c>
    </row>
    <row r="172" spans="1:15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2.8994701771222213</v>
      </c>
      <c r="H172">
        <v>3.0754687499999999E-4</v>
      </c>
      <c r="I172">
        <v>-0.90787460884371185</v>
      </c>
      <c r="J172">
        <v>-2.7921399884173095E-4</v>
      </c>
      <c r="M172">
        <v>3.1315920158924504</v>
      </c>
      <c r="N172">
        <v>4.8828125E-4</v>
      </c>
      <c r="O172">
        <f t="shared" si="2"/>
        <v>0.171875</v>
      </c>
    </row>
    <row r="173" spans="1:15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2.4582464545166651</v>
      </c>
      <c r="H173">
        <v>3.652119140625E-4</v>
      </c>
      <c r="I173">
        <v>-0.92132581001291536</v>
      </c>
      <c r="J173">
        <v>-3.3647916255000003E-4</v>
      </c>
      <c r="M173">
        <v>3.2832645636707141</v>
      </c>
      <c r="N173">
        <v>9.765625E-4</v>
      </c>
      <c r="O173">
        <f t="shared" si="2"/>
        <v>0.1728515625</v>
      </c>
    </row>
    <row r="174" spans="1:15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2.7103742960055541</v>
      </c>
      <c r="H174">
        <v>7.7100292968749996E-4</v>
      </c>
      <c r="I174">
        <v>-0.91361519348942477</v>
      </c>
      <c r="J174">
        <v>-7.043999907873586E-4</v>
      </c>
      <c r="M174">
        <v>3.2832645636707141</v>
      </c>
      <c r="N174">
        <v>1.953125E-3</v>
      </c>
      <c r="O174">
        <f t="shared" si="2"/>
        <v>0.1748046875</v>
      </c>
    </row>
    <row r="175" spans="1:15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2.8994701771222213</v>
      </c>
      <c r="H175">
        <v>4.8694921874999997E-4</v>
      </c>
      <c r="I175">
        <v>-0.90787460884371185</v>
      </c>
      <c r="J175">
        <v>-4.4208883149940729E-4</v>
      </c>
      <c r="M175">
        <v>3.2832645636707141</v>
      </c>
      <c r="N175">
        <v>9.765625E-4</v>
      </c>
      <c r="O175">
        <f t="shared" si="2"/>
        <v>0.17578125</v>
      </c>
    </row>
    <row r="176" spans="1:15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2.4582464545166651</v>
      </c>
      <c r="H176">
        <v>7.7100292968749996E-4</v>
      </c>
      <c r="I176">
        <v>-0.92132581001291536</v>
      </c>
      <c r="J176">
        <v>-7.1034489871666675E-4</v>
      </c>
      <c r="M176">
        <v>3.2832645636707141</v>
      </c>
      <c r="N176">
        <v>1.953125E-3</v>
      </c>
      <c r="O176">
        <f t="shared" si="2"/>
        <v>0.177734375</v>
      </c>
    </row>
    <row r="177" spans="1:15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2.7103742960055541</v>
      </c>
      <c r="H177">
        <v>1.6276728515624999E-3</v>
      </c>
      <c r="I177">
        <v>-0.91361519348942477</v>
      </c>
      <c r="J177">
        <v>-1.487066647217757E-3</v>
      </c>
      <c r="M177">
        <v>3.2832645636707141</v>
      </c>
      <c r="N177">
        <v>3.90625E-3</v>
      </c>
      <c r="O177">
        <f t="shared" si="2"/>
        <v>0.181640625</v>
      </c>
    </row>
    <row r="178" spans="1:15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2.8994701771222213</v>
      </c>
      <c r="H178">
        <v>1.0280039062499999E-3</v>
      </c>
      <c r="I178">
        <v>-0.90787460884371185</v>
      </c>
      <c r="J178">
        <v>-9.3329864427652649E-4</v>
      </c>
      <c r="M178">
        <v>3.2832645636707141</v>
      </c>
      <c r="N178">
        <v>1.953125E-3</v>
      </c>
      <c r="O178">
        <f t="shared" si="2"/>
        <v>0.18359375</v>
      </c>
    </row>
    <row r="179" spans="1:15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2.4582464545166651</v>
      </c>
      <c r="H179">
        <v>4.8694921874999997E-4</v>
      </c>
      <c r="I179">
        <v>-0.92132581001291536</v>
      </c>
      <c r="J179">
        <v>-4.4863888340000003E-4</v>
      </c>
      <c r="M179">
        <v>3.2832645636707141</v>
      </c>
      <c r="N179">
        <v>9.765625E-4</v>
      </c>
      <c r="O179">
        <f t="shared" si="2"/>
        <v>0.1845703125</v>
      </c>
    </row>
    <row r="180" spans="1:15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2.7103742960055541</v>
      </c>
      <c r="H180">
        <v>1.0280039062499999E-3</v>
      </c>
      <c r="I180">
        <v>-0.91361519348942477</v>
      </c>
      <c r="J180">
        <v>-9.391999877164782E-4</v>
      </c>
      <c r="M180">
        <v>3.2832645636707141</v>
      </c>
      <c r="N180">
        <v>1.953125E-3</v>
      </c>
      <c r="O180">
        <f t="shared" si="2"/>
        <v>0.1865234375</v>
      </c>
    </row>
    <row r="181" spans="1:15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2.8994701771222213</v>
      </c>
      <c r="H181">
        <v>6.4926562499999999E-4</v>
      </c>
      <c r="I181">
        <v>-0.90787460884371185</v>
      </c>
      <c r="J181">
        <v>-5.8945177533254313E-4</v>
      </c>
      <c r="M181">
        <v>3.2832645636707141</v>
      </c>
      <c r="N181">
        <v>9.765625E-4</v>
      </c>
      <c r="O181">
        <f t="shared" si="2"/>
        <v>0.1875</v>
      </c>
    </row>
    <row r="182" spans="1:15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2.4582464545166651</v>
      </c>
      <c r="H182">
        <v>2.3066015625000002E-4</v>
      </c>
      <c r="I182">
        <v>-0.92132581001291536</v>
      </c>
      <c r="J182">
        <v>-2.125131552947369E-4</v>
      </c>
      <c r="M182">
        <v>3.3358452873914528</v>
      </c>
      <c r="N182">
        <v>9.765625E-4</v>
      </c>
      <c r="O182">
        <f t="shared" si="2"/>
        <v>0.1884765625</v>
      </c>
    </row>
    <row r="183" spans="1:15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2.7103742960055541</v>
      </c>
      <c r="H183">
        <v>4.8694921874999997E-4</v>
      </c>
      <c r="I183">
        <v>-0.91361519348942477</v>
      </c>
      <c r="J183">
        <v>-4.4488420470780544E-4</v>
      </c>
      <c r="M183">
        <v>3.3358452873914528</v>
      </c>
      <c r="N183">
        <v>1.953125E-3</v>
      </c>
      <c r="O183">
        <f t="shared" si="2"/>
        <v>0.1904296875</v>
      </c>
    </row>
    <row r="184" spans="1:15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2.8994701771222213</v>
      </c>
      <c r="H184">
        <v>3.0754687499999999E-4</v>
      </c>
      <c r="I184">
        <v>-0.90787460884371185</v>
      </c>
      <c r="J184">
        <v>-2.7921399884173095E-4</v>
      </c>
      <c r="M184">
        <v>3.3358452873914528</v>
      </c>
      <c r="N184">
        <v>9.765625E-4</v>
      </c>
      <c r="O184">
        <f t="shared" si="2"/>
        <v>0.19140625</v>
      </c>
    </row>
    <row r="185" spans="1:15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2.4582464545166651</v>
      </c>
      <c r="H185">
        <v>4.8694921874999997E-4</v>
      </c>
      <c r="I185">
        <v>-0.92132581001291536</v>
      </c>
      <c r="J185">
        <v>-4.4863888340000003E-4</v>
      </c>
      <c r="M185">
        <v>3.3358452873914528</v>
      </c>
      <c r="N185">
        <v>1.953125E-3</v>
      </c>
      <c r="O185">
        <f t="shared" si="2"/>
        <v>0.193359375</v>
      </c>
    </row>
    <row r="186" spans="1:15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2.7103742960055541</v>
      </c>
      <c r="H186">
        <v>1.0280039062499999E-3</v>
      </c>
      <c r="I186">
        <v>-0.91361519348942477</v>
      </c>
      <c r="J186">
        <v>-9.391999877164782E-4</v>
      </c>
      <c r="M186">
        <v>3.3358452873914528</v>
      </c>
      <c r="N186">
        <v>3.90625E-3</v>
      </c>
      <c r="O186">
        <f t="shared" si="2"/>
        <v>0.197265625</v>
      </c>
    </row>
    <row r="187" spans="1:15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2.8994701771222213</v>
      </c>
      <c r="H187">
        <v>6.4926562499999999E-4</v>
      </c>
      <c r="I187">
        <v>-0.90787460884371185</v>
      </c>
      <c r="J187">
        <v>-5.8945177533254313E-4</v>
      </c>
      <c r="M187">
        <v>3.3358452873914528</v>
      </c>
      <c r="N187">
        <v>1.953125E-3</v>
      </c>
      <c r="O187">
        <f t="shared" si="2"/>
        <v>0.19921875</v>
      </c>
    </row>
    <row r="188" spans="1:15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2.4582464545166651</v>
      </c>
      <c r="H188">
        <v>3.0754687500000004E-4</v>
      </c>
      <c r="I188">
        <v>-0.92132581001291536</v>
      </c>
      <c r="J188">
        <v>-2.8335087372631588E-4</v>
      </c>
      <c r="M188">
        <v>3.3358452873914528</v>
      </c>
      <c r="N188">
        <v>9.765625E-4</v>
      </c>
      <c r="O188">
        <f t="shared" si="2"/>
        <v>0.2001953125</v>
      </c>
    </row>
    <row r="189" spans="1:15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2.7103742960055541</v>
      </c>
      <c r="H189">
        <v>6.4926562499999999E-4</v>
      </c>
      <c r="I189">
        <v>-0.91361519348942477</v>
      </c>
      <c r="J189">
        <v>-5.9317893961040725E-4</v>
      </c>
      <c r="M189">
        <v>3.3358452873914528</v>
      </c>
      <c r="N189">
        <v>1.953125E-3</v>
      </c>
      <c r="O189">
        <f t="shared" si="2"/>
        <v>0.2021484375</v>
      </c>
    </row>
    <row r="190" spans="1:15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2.8994701771222213</v>
      </c>
      <c r="H190">
        <v>4.100625E-4</v>
      </c>
      <c r="I190">
        <v>-0.90787460884371185</v>
      </c>
      <c r="J190">
        <v>-3.7228533178897458E-4</v>
      </c>
      <c r="M190">
        <v>3.3358452873914528</v>
      </c>
      <c r="N190">
        <v>9.765625E-4</v>
      </c>
      <c r="O190">
        <f t="shared" si="2"/>
        <v>0.203125</v>
      </c>
    </row>
    <row r="191" spans="1:15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3.0255340978666676</v>
      </c>
      <c r="H191">
        <v>3.652119140625E-4</v>
      </c>
      <c r="I191">
        <v>-0.90406760545074583</v>
      </c>
      <c r="J191">
        <v>-3.3017626062856794E-4</v>
      </c>
      <c r="M191">
        <v>3.403725860100002</v>
      </c>
      <c r="N191">
        <v>2.44140625E-4</v>
      </c>
      <c r="O191">
        <f t="shared" si="2"/>
        <v>0.203369140625</v>
      </c>
    </row>
    <row r="192" spans="1:15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3.3358452873914528</v>
      </c>
      <c r="H192">
        <v>7.7100292968749996E-4</v>
      </c>
      <c r="I192">
        <v>-0.89476439344270675</v>
      </c>
      <c r="J192">
        <v>-6.8986596872438577E-4</v>
      </c>
      <c r="M192">
        <v>3.403725860100002</v>
      </c>
      <c r="N192">
        <v>4.8828125E-4</v>
      </c>
      <c r="O192">
        <f t="shared" si="2"/>
        <v>0.203857421875</v>
      </c>
    </row>
    <row r="193" spans="1:15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3.5685786795350425</v>
      </c>
      <c r="H193">
        <v>4.8694921874999997E-4</v>
      </c>
      <c r="I193">
        <v>-0.88784986373823072</v>
      </c>
      <c r="J193">
        <v>-4.3233779751462539E-4</v>
      </c>
      <c r="M193">
        <v>3.403725860100002</v>
      </c>
      <c r="N193">
        <v>2.44140625E-4</v>
      </c>
      <c r="O193">
        <f t="shared" si="2"/>
        <v>0.2041015625</v>
      </c>
    </row>
    <row r="194" spans="1:15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3.0255340978666676</v>
      </c>
      <c r="H194">
        <v>7.7100292968749996E-4</v>
      </c>
      <c r="I194">
        <v>-0.90406760545074583</v>
      </c>
      <c r="J194">
        <v>-6.9703877243808786E-4</v>
      </c>
      <c r="M194">
        <v>3.403725860100002</v>
      </c>
      <c r="N194">
        <v>4.8828125E-4</v>
      </c>
      <c r="O194">
        <f t="shared" si="2"/>
        <v>0.20458984375</v>
      </c>
    </row>
    <row r="195" spans="1:15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3.3358452873914528</v>
      </c>
      <c r="H195">
        <v>1.6276728515624999E-3</v>
      </c>
      <c r="I195">
        <v>-0.89476439344270675</v>
      </c>
      <c r="J195">
        <v>-1.456383711751481E-3</v>
      </c>
      <c r="M195">
        <v>3.403725860100002</v>
      </c>
      <c r="N195">
        <v>9.765625E-4</v>
      </c>
      <c r="O195">
        <f t="shared" si="2"/>
        <v>0.20556640625</v>
      </c>
    </row>
    <row r="196" spans="1:15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3.5685786795350425</v>
      </c>
      <c r="H196">
        <v>1.0280039062499999E-3</v>
      </c>
      <c r="I196">
        <v>-0.88784986373823072</v>
      </c>
      <c r="J196">
        <v>-9.1271312808643133E-4</v>
      </c>
      <c r="M196">
        <v>3.403725860100002</v>
      </c>
      <c r="N196">
        <v>4.8828125E-4</v>
      </c>
      <c r="O196">
        <f t="shared" ref="O196:O259" si="3">N196+O195</f>
        <v>0.2060546875</v>
      </c>
    </row>
    <row r="197" spans="1:15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3.0255340978666676</v>
      </c>
      <c r="H197">
        <v>4.8694921874999997E-4</v>
      </c>
      <c r="I197">
        <v>-0.90406760545074583</v>
      </c>
      <c r="J197">
        <v>-4.4023501417142388E-4</v>
      </c>
      <c r="M197">
        <v>3.403725860100002</v>
      </c>
      <c r="N197">
        <v>2.44140625E-4</v>
      </c>
      <c r="O197">
        <f t="shared" si="3"/>
        <v>0.206298828125</v>
      </c>
    </row>
    <row r="198" spans="1:15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3.3358452873914528</v>
      </c>
      <c r="H198">
        <v>1.0280039062499999E-3</v>
      </c>
      <c r="I198">
        <v>-0.89476439344270675</v>
      </c>
      <c r="J198">
        <v>-9.1982129163251439E-4</v>
      </c>
      <c r="M198">
        <v>3.403725860100002</v>
      </c>
      <c r="N198">
        <v>4.8828125E-4</v>
      </c>
      <c r="O198">
        <f t="shared" si="3"/>
        <v>0.206787109375</v>
      </c>
    </row>
    <row r="199" spans="1:15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3.5685786795350425</v>
      </c>
      <c r="H199">
        <v>6.4926562499999999E-4</v>
      </c>
      <c r="I199">
        <v>-0.88784986373823072</v>
      </c>
      <c r="J199">
        <v>-5.7645039668616715E-4</v>
      </c>
      <c r="M199">
        <v>3.403725860100002</v>
      </c>
      <c r="N199">
        <v>2.44140625E-4</v>
      </c>
      <c r="O199">
        <f t="shared" si="3"/>
        <v>0.20703125</v>
      </c>
    </row>
    <row r="200" spans="1:15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3.0255340978666676</v>
      </c>
      <c r="H200">
        <v>7.7100292968750007E-4</v>
      </c>
      <c r="I200">
        <v>-0.90406760545074583</v>
      </c>
      <c r="J200">
        <v>-6.9703877243808797E-4</v>
      </c>
      <c r="M200">
        <v>3.4527809405993679</v>
      </c>
      <c r="N200">
        <v>9.765625E-4</v>
      </c>
      <c r="O200">
        <f t="shared" si="3"/>
        <v>0.2080078125</v>
      </c>
    </row>
    <row r="201" spans="1:15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3.3358452873914528</v>
      </c>
      <c r="H201">
        <v>1.6276728515625001E-3</v>
      </c>
      <c r="I201">
        <v>-0.89476439344270675</v>
      </c>
      <c r="J201">
        <v>-1.4563837117514812E-3</v>
      </c>
      <c r="M201">
        <v>3.4527809405993679</v>
      </c>
      <c r="N201">
        <v>1.953125E-3</v>
      </c>
      <c r="O201">
        <f t="shared" si="3"/>
        <v>0.2099609375</v>
      </c>
    </row>
    <row r="202" spans="1:15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3.5685786795350425</v>
      </c>
      <c r="H202">
        <v>1.0280039062499999E-3</v>
      </c>
      <c r="I202">
        <v>-0.88784986373823072</v>
      </c>
      <c r="J202">
        <v>-9.1271312808643133E-4</v>
      </c>
      <c r="M202">
        <v>3.4527809405993679</v>
      </c>
      <c r="N202">
        <v>9.765625E-4</v>
      </c>
      <c r="O202">
        <f t="shared" si="3"/>
        <v>0.2109375</v>
      </c>
    </row>
    <row r="203" spans="1:15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3.0255340978666676</v>
      </c>
      <c r="H203">
        <v>1.6276728515624999E-3</v>
      </c>
      <c r="I203">
        <v>-0.90406760545074583</v>
      </c>
      <c r="J203">
        <v>-1.4715262973692966E-3</v>
      </c>
      <c r="M203">
        <v>3.4527809405993679</v>
      </c>
      <c r="N203">
        <v>1.953125E-3</v>
      </c>
      <c r="O203">
        <f t="shared" si="3"/>
        <v>0.212890625</v>
      </c>
    </row>
    <row r="204" spans="1:15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3.3358452873914528</v>
      </c>
      <c r="H204">
        <v>3.4361982421874998E-3</v>
      </c>
      <c r="I204">
        <v>-0.89476439344270675</v>
      </c>
      <c r="J204">
        <v>-3.0745878359197932E-3</v>
      </c>
      <c r="M204">
        <v>3.4527809405993679</v>
      </c>
      <c r="N204">
        <v>3.90625E-3</v>
      </c>
      <c r="O204">
        <f t="shared" si="3"/>
        <v>0.216796875</v>
      </c>
    </row>
    <row r="205" spans="1:15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3.5685786795350425</v>
      </c>
      <c r="H205">
        <v>2.1702304687499997E-3</v>
      </c>
      <c r="I205">
        <v>-0.88784986373823072</v>
      </c>
      <c r="J205">
        <v>-1.9268388259602439E-3</v>
      </c>
      <c r="M205">
        <v>3.4527809405993679</v>
      </c>
      <c r="N205">
        <v>1.953125E-3</v>
      </c>
      <c r="O205">
        <f t="shared" si="3"/>
        <v>0.21875</v>
      </c>
    </row>
    <row r="206" spans="1:15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3.0255340978666676</v>
      </c>
      <c r="H206">
        <v>1.0280039062499999E-3</v>
      </c>
      <c r="I206">
        <v>-0.90406760545074583</v>
      </c>
      <c r="J206">
        <v>-9.2938502991745048E-4</v>
      </c>
      <c r="M206">
        <v>3.4527809405993679</v>
      </c>
      <c r="N206">
        <v>9.765625E-4</v>
      </c>
      <c r="O206">
        <f t="shared" si="3"/>
        <v>0.2197265625</v>
      </c>
    </row>
    <row r="207" spans="1:15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3.3358452873914528</v>
      </c>
      <c r="H207">
        <v>2.1702304687499997E-3</v>
      </c>
      <c r="I207">
        <v>-0.89476439344270675</v>
      </c>
      <c r="J207">
        <v>-1.9418449490019747E-3</v>
      </c>
      <c r="M207">
        <v>3.4527809405993679</v>
      </c>
      <c r="N207">
        <v>1.953125E-3</v>
      </c>
      <c r="O207">
        <f t="shared" si="3"/>
        <v>0.2216796875</v>
      </c>
    </row>
    <row r="208" spans="1:15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3.5685786795350425</v>
      </c>
      <c r="H208">
        <v>1.3706718749999999E-3</v>
      </c>
      <c r="I208">
        <v>-0.88784986373823072</v>
      </c>
      <c r="J208">
        <v>-1.2169508374485752E-3</v>
      </c>
      <c r="M208">
        <v>3.4527809405993679</v>
      </c>
      <c r="N208">
        <v>9.765625E-4</v>
      </c>
      <c r="O208">
        <f t="shared" si="3"/>
        <v>0.22265625</v>
      </c>
    </row>
    <row r="209" spans="1:15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3.0255340978666676</v>
      </c>
      <c r="H209">
        <v>4.8694921875000008E-4</v>
      </c>
      <c r="I209">
        <v>-0.90406760545074583</v>
      </c>
      <c r="J209">
        <v>-4.4023501417142399E-4</v>
      </c>
      <c r="M209">
        <v>3.5385123737104625</v>
      </c>
      <c r="N209">
        <v>4.8828125E-4</v>
      </c>
      <c r="O209">
        <f t="shared" si="3"/>
        <v>0.22314453125</v>
      </c>
    </row>
    <row r="210" spans="1:15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3.3358452873914528</v>
      </c>
      <c r="H210">
        <v>1.0280039062500002E-3</v>
      </c>
      <c r="I210">
        <v>-0.89476439344270675</v>
      </c>
      <c r="J210">
        <v>-9.1982129163251461E-4</v>
      </c>
      <c r="M210">
        <v>3.5385123737104625</v>
      </c>
      <c r="N210">
        <v>9.765625E-4</v>
      </c>
      <c r="O210">
        <f t="shared" si="3"/>
        <v>0.22412109375</v>
      </c>
    </row>
    <row r="211" spans="1:15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3.5685786795350425</v>
      </c>
      <c r="H211">
        <v>6.492656250000001E-4</v>
      </c>
      <c r="I211">
        <v>-0.88784986373823072</v>
      </c>
      <c r="J211">
        <v>-5.7645039668616726E-4</v>
      </c>
      <c r="M211">
        <v>3.5385123737104625</v>
      </c>
      <c r="N211">
        <v>4.8828125E-4</v>
      </c>
      <c r="O211">
        <f t="shared" si="3"/>
        <v>0.224609375</v>
      </c>
    </row>
    <row r="212" spans="1:15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3.0255340978666676</v>
      </c>
      <c r="H212">
        <v>1.0280039062499999E-3</v>
      </c>
      <c r="I212">
        <v>-0.90406760545074583</v>
      </c>
      <c r="J212">
        <v>-9.2938502991745048E-4</v>
      </c>
      <c r="M212">
        <v>3.5385123737104625</v>
      </c>
      <c r="N212">
        <v>9.765625E-4</v>
      </c>
      <c r="O212">
        <f t="shared" si="3"/>
        <v>0.2255859375</v>
      </c>
    </row>
    <row r="213" spans="1:15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3.3358452873914528</v>
      </c>
      <c r="H213">
        <v>2.1702304687499997E-3</v>
      </c>
      <c r="I213">
        <v>-0.89476439344270675</v>
      </c>
      <c r="J213">
        <v>-1.9418449490019747E-3</v>
      </c>
      <c r="M213">
        <v>3.5385123737104625</v>
      </c>
      <c r="N213">
        <v>1.953125E-3</v>
      </c>
      <c r="O213">
        <f t="shared" si="3"/>
        <v>0.2275390625</v>
      </c>
    </row>
    <row r="214" spans="1:15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3.5685786795350425</v>
      </c>
      <c r="H214">
        <v>1.3706718749999999E-3</v>
      </c>
      <c r="I214">
        <v>-0.88784986373823072</v>
      </c>
      <c r="J214">
        <v>-1.2169508374485752E-3</v>
      </c>
      <c r="M214">
        <v>3.5385123737104625</v>
      </c>
      <c r="N214">
        <v>9.765625E-4</v>
      </c>
      <c r="O214">
        <f t="shared" si="3"/>
        <v>0.228515625</v>
      </c>
    </row>
    <row r="215" spans="1:15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3.0255340978666676</v>
      </c>
      <c r="H215">
        <v>6.492656250000001E-4</v>
      </c>
      <c r="I215">
        <v>-0.90406760545074583</v>
      </c>
      <c r="J215">
        <v>-5.8698001889523203E-4</v>
      </c>
      <c r="M215">
        <v>3.5385123737104625</v>
      </c>
      <c r="N215">
        <v>4.8828125E-4</v>
      </c>
      <c r="O215">
        <f t="shared" si="3"/>
        <v>0.22900390625</v>
      </c>
    </row>
    <row r="216" spans="1:15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3.3358452873914528</v>
      </c>
      <c r="H216">
        <v>1.3706718749999999E-3</v>
      </c>
      <c r="I216">
        <v>-0.89476439344270675</v>
      </c>
      <c r="J216">
        <v>-1.2264283888433526E-3</v>
      </c>
      <c r="M216">
        <v>3.5385123737104625</v>
      </c>
      <c r="N216">
        <v>9.765625E-4</v>
      </c>
      <c r="O216">
        <f t="shared" si="3"/>
        <v>0.22998046875</v>
      </c>
    </row>
    <row r="217" spans="1:15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3.5685786795350425</v>
      </c>
      <c r="H217">
        <v>8.6568750000000003E-4</v>
      </c>
      <c r="I217">
        <v>-0.88784986373823072</v>
      </c>
      <c r="J217">
        <v>-7.6860052891488968E-4</v>
      </c>
      <c r="M217">
        <v>3.5385123737104625</v>
      </c>
      <c r="N217">
        <v>4.8828125E-4</v>
      </c>
      <c r="O217">
        <f t="shared" si="3"/>
        <v>0.23046875</v>
      </c>
    </row>
    <row r="218" spans="1:15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3.403725860100002</v>
      </c>
      <c r="H218">
        <v>2.3066015625000002E-4</v>
      </c>
      <c r="I218">
        <v>-0.8927421115508507</v>
      </c>
      <c r="J218">
        <v>-2.0592003494127417E-4</v>
      </c>
      <c r="M218">
        <v>3.5685786795350425</v>
      </c>
      <c r="N218">
        <v>4.8828125E-4</v>
      </c>
      <c r="O218">
        <f t="shared" si="3"/>
        <v>0.23095703125</v>
      </c>
    </row>
    <row r="219" spans="1:15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3.7528259483153876</v>
      </c>
      <c r="H219">
        <v>4.8694921874999997E-4</v>
      </c>
      <c r="I219">
        <v>-0.88241377681196942</v>
      </c>
      <c r="J219">
        <v>-4.2969069923282533E-4</v>
      </c>
      <c r="M219">
        <v>3.5685786795350425</v>
      </c>
      <c r="N219">
        <v>9.765625E-4</v>
      </c>
      <c r="O219">
        <f t="shared" si="3"/>
        <v>0.23193359375</v>
      </c>
    </row>
    <row r="220" spans="1:15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4.0146510144769225</v>
      </c>
      <c r="H220">
        <v>3.0754687499999999E-4</v>
      </c>
      <c r="I220">
        <v>-0.87474601749255632</v>
      </c>
      <c r="J220">
        <v>-2.69025404098531E-4</v>
      </c>
      <c r="M220">
        <v>3.5685786795350425</v>
      </c>
      <c r="N220">
        <v>4.8828125E-4</v>
      </c>
      <c r="O220">
        <f t="shared" si="3"/>
        <v>0.232421875</v>
      </c>
    </row>
    <row r="221" spans="1:15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3.403725860100002</v>
      </c>
      <c r="H221">
        <v>4.8694921874999997E-4</v>
      </c>
      <c r="I221">
        <v>-0.8927421115508507</v>
      </c>
      <c r="J221">
        <v>-4.3472007376491208E-4</v>
      </c>
      <c r="M221">
        <v>3.5685786795350425</v>
      </c>
      <c r="N221">
        <v>9.765625E-4</v>
      </c>
      <c r="O221">
        <f t="shared" si="3"/>
        <v>0.2333984375</v>
      </c>
    </row>
    <row r="222" spans="1:15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3.7528259483153876</v>
      </c>
      <c r="H222">
        <v>1.0280039062499999E-3</v>
      </c>
      <c r="I222">
        <v>-0.88241377681196942</v>
      </c>
      <c r="J222">
        <v>-9.0712480949152019E-4</v>
      </c>
      <c r="M222">
        <v>3.5685786795350425</v>
      </c>
      <c r="N222">
        <v>1.953125E-3</v>
      </c>
      <c r="O222">
        <f t="shared" si="3"/>
        <v>0.2353515625</v>
      </c>
    </row>
    <row r="223" spans="1:15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4.0146510144769225</v>
      </c>
      <c r="H223">
        <v>6.4926562499999999E-4</v>
      </c>
      <c r="I223">
        <v>-0.87474601749255632</v>
      </c>
      <c r="J223">
        <v>-5.6794251976356551E-4</v>
      </c>
      <c r="M223">
        <v>3.5685786795350425</v>
      </c>
      <c r="N223">
        <v>9.765625E-4</v>
      </c>
      <c r="O223">
        <f t="shared" si="3"/>
        <v>0.236328125</v>
      </c>
    </row>
    <row r="224" spans="1:15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3.403725860100002</v>
      </c>
      <c r="H224">
        <v>3.0754687500000004E-4</v>
      </c>
      <c r="I224">
        <v>-0.8927421115508507</v>
      </c>
      <c r="J224">
        <v>-2.7456004658836557E-4</v>
      </c>
      <c r="M224">
        <v>3.5685786795350425</v>
      </c>
      <c r="N224">
        <v>4.8828125E-4</v>
      </c>
      <c r="O224">
        <f t="shared" si="3"/>
        <v>0.23681640625</v>
      </c>
    </row>
    <row r="225" spans="1:15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3.7528259483153876</v>
      </c>
      <c r="H225">
        <v>6.4926562499999999E-4</v>
      </c>
      <c r="I225">
        <v>-0.88241377681196942</v>
      </c>
      <c r="J225">
        <v>-5.7292093231043381E-4</v>
      </c>
      <c r="M225">
        <v>3.5685786795350425</v>
      </c>
      <c r="N225">
        <v>9.765625E-4</v>
      </c>
      <c r="O225">
        <f t="shared" si="3"/>
        <v>0.23779296875</v>
      </c>
    </row>
    <row r="226" spans="1:15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4.0146510144769225</v>
      </c>
      <c r="H226">
        <v>4.100625E-4</v>
      </c>
      <c r="I226">
        <v>-0.87474601749255632</v>
      </c>
      <c r="J226">
        <v>-3.5870053879804138E-4</v>
      </c>
      <c r="M226">
        <v>3.5685786795350425</v>
      </c>
      <c r="N226">
        <v>4.8828125E-4</v>
      </c>
      <c r="O226">
        <f t="shared" si="3"/>
        <v>0.23828125</v>
      </c>
    </row>
    <row r="227" spans="1:15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3.403725860100002</v>
      </c>
      <c r="H227">
        <v>4.8694921875000008E-4</v>
      </c>
      <c r="I227">
        <v>-0.8927421115508507</v>
      </c>
      <c r="J227">
        <v>-4.3472007376491219E-4</v>
      </c>
      <c r="M227">
        <v>3.6936726341295558</v>
      </c>
      <c r="N227">
        <v>4.8828125E-4</v>
      </c>
      <c r="O227">
        <f t="shared" si="3"/>
        <v>0.23876953125</v>
      </c>
    </row>
    <row r="228" spans="1:15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3.7528259483153876</v>
      </c>
      <c r="H228">
        <v>1.0280039062500002E-3</v>
      </c>
      <c r="I228">
        <v>-0.88241377681196942</v>
      </c>
      <c r="J228">
        <v>-9.071248094915204E-4</v>
      </c>
      <c r="M228">
        <v>3.6936726341295558</v>
      </c>
      <c r="N228">
        <v>9.765625E-4</v>
      </c>
      <c r="O228">
        <f t="shared" si="3"/>
        <v>0.23974609375</v>
      </c>
    </row>
    <row r="229" spans="1:15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3.7528259483153876</v>
      </c>
      <c r="H229">
        <v>6.492656250000001E-4</v>
      </c>
      <c r="I229">
        <v>-0.88241377681196942</v>
      </c>
      <c r="J229">
        <v>-5.7292093231043392E-4</v>
      </c>
      <c r="M229">
        <v>3.6936726341295558</v>
      </c>
      <c r="N229">
        <v>4.8828125E-4</v>
      </c>
      <c r="O229">
        <f t="shared" si="3"/>
        <v>0.240234375</v>
      </c>
    </row>
    <row r="230" spans="1:15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3.403725860100002</v>
      </c>
      <c r="H230">
        <v>1.0280039062499999E-3</v>
      </c>
      <c r="I230">
        <v>-0.8927421115508507</v>
      </c>
      <c r="J230">
        <v>-9.1774237794814775E-4</v>
      </c>
      <c r="M230">
        <v>3.6936726341295558</v>
      </c>
      <c r="N230">
        <v>9.765625E-4</v>
      </c>
      <c r="O230">
        <f t="shared" si="3"/>
        <v>0.2412109375</v>
      </c>
    </row>
    <row r="231" spans="1:15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3.7528259483153876</v>
      </c>
      <c r="H231">
        <v>2.1702304687499997E-3</v>
      </c>
      <c r="I231">
        <v>-0.88241377681196942</v>
      </c>
      <c r="J231">
        <v>-1.915041264482098E-3</v>
      </c>
      <c r="M231">
        <v>3.6936726341295558</v>
      </c>
      <c r="N231">
        <v>1.953125E-3</v>
      </c>
      <c r="O231">
        <f t="shared" si="3"/>
        <v>0.2431640625</v>
      </c>
    </row>
    <row r="232" spans="1:15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4.0146510144769225</v>
      </c>
      <c r="H232">
        <v>1.3706718749999999E-3</v>
      </c>
      <c r="I232">
        <v>-0.87474601749255632</v>
      </c>
      <c r="J232">
        <v>-1.1989897639453049E-3</v>
      </c>
      <c r="M232">
        <v>3.6936726341295558</v>
      </c>
      <c r="N232">
        <v>9.765625E-4</v>
      </c>
      <c r="O232">
        <f t="shared" si="3"/>
        <v>0.244140625</v>
      </c>
    </row>
    <row r="233" spans="1:15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3.403725860100002</v>
      </c>
      <c r="H233">
        <v>6.492656250000001E-4</v>
      </c>
      <c r="I233">
        <v>-0.8927421115508507</v>
      </c>
      <c r="J233">
        <v>-5.7962676501988292E-4</v>
      </c>
      <c r="M233">
        <v>3.6936726341295558</v>
      </c>
      <c r="N233">
        <v>4.8828125E-4</v>
      </c>
      <c r="O233">
        <f t="shared" si="3"/>
        <v>0.24462890625</v>
      </c>
    </row>
    <row r="234" spans="1:15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3.7528259483153876</v>
      </c>
      <c r="H234">
        <v>1.3706718749999999E-3</v>
      </c>
      <c r="I234">
        <v>-0.88241377681196942</v>
      </c>
      <c r="J234">
        <v>-1.2094997459886935E-3</v>
      </c>
      <c r="M234">
        <v>3.6936726341295558</v>
      </c>
      <c r="N234">
        <v>9.765625E-4</v>
      </c>
      <c r="O234">
        <f t="shared" si="3"/>
        <v>0.24560546875</v>
      </c>
    </row>
    <row r="235" spans="1:15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4.0146510144769225</v>
      </c>
      <c r="H235">
        <v>8.6568750000000003E-4</v>
      </c>
      <c r="I235">
        <v>-0.87474601749255632</v>
      </c>
      <c r="J235">
        <v>-7.5725669301808735E-4</v>
      </c>
      <c r="M235">
        <v>3.6936726341295558</v>
      </c>
      <c r="N235">
        <v>4.8828125E-4</v>
      </c>
      <c r="O235">
        <f t="shared" si="3"/>
        <v>0.24609375</v>
      </c>
    </row>
    <row r="236" spans="1:15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3.403725860100002</v>
      </c>
      <c r="H236">
        <v>3.0754687500000004E-4</v>
      </c>
      <c r="I236">
        <v>-0.8927421115508507</v>
      </c>
      <c r="J236">
        <v>-2.7456004658836557E-4</v>
      </c>
      <c r="M236">
        <v>3.7528259483153876</v>
      </c>
      <c r="N236">
        <v>4.8828125E-4</v>
      </c>
      <c r="O236">
        <f t="shared" si="3"/>
        <v>0.24658203125</v>
      </c>
    </row>
    <row r="237" spans="1:15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3.7528259483153876</v>
      </c>
      <c r="H237">
        <v>6.4926562499999999E-4</v>
      </c>
      <c r="I237">
        <v>-0.88241377681196942</v>
      </c>
      <c r="J237">
        <v>-5.7292093231043381E-4</v>
      </c>
      <c r="M237">
        <v>3.7528259483153876</v>
      </c>
      <c r="N237">
        <v>9.765625E-4</v>
      </c>
      <c r="O237">
        <f t="shared" si="3"/>
        <v>0.24755859375</v>
      </c>
    </row>
    <row r="238" spans="1:15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4.0146510144769225</v>
      </c>
      <c r="H238">
        <v>4.100625E-4</v>
      </c>
      <c r="I238">
        <v>-0.87474601749255632</v>
      </c>
      <c r="J238">
        <v>-3.5870053879804138E-4</v>
      </c>
      <c r="M238">
        <v>3.7528259483153876</v>
      </c>
      <c r="N238">
        <v>4.8828125E-4</v>
      </c>
      <c r="O238">
        <f t="shared" si="3"/>
        <v>0.248046875</v>
      </c>
    </row>
    <row r="239" spans="1:15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3.403725860100002</v>
      </c>
      <c r="H239">
        <v>6.4926562499999999E-4</v>
      </c>
      <c r="I239">
        <v>-0.8927421115508507</v>
      </c>
      <c r="J239">
        <v>-5.7962676501988281E-4</v>
      </c>
      <c r="M239">
        <v>3.7528259483153876</v>
      </c>
      <c r="N239">
        <v>9.765625E-4</v>
      </c>
      <c r="O239">
        <f t="shared" si="3"/>
        <v>0.2490234375</v>
      </c>
    </row>
    <row r="240" spans="1:15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3.7528259483153876</v>
      </c>
      <c r="H240">
        <v>1.3706718749999997E-3</v>
      </c>
      <c r="I240">
        <v>-0.88241377681196942</v>
      </c>
      <c r="J240">
        <v>-1.2094997459886933E-3</v>
      </c>
      <c r="M240">
        <v>3.7528259483153876</v>
      </c>
      <c r="N240">
        <v>1.953125E-3</v>
      </c>
      <c r="O240">
        <f t="shared" si="3"/>
        <v>0.2509765625</v>
      </c>
    </row>
    <row r="241" spans="1:15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4.0146510144769225</v>
      </c>
      <c r="H241">
        <v>8.6568749999999992E-4</v>
      </c>
      <c r="I241">
        <v>-0.87474601749255632</v>
      </c>
      <c r="J241">
        <v>-7.5725669301808724E-4</v>
      </c>
      <c r="M241">
        <v>3.7528259483153876</v>
      </c>
      <c r="N241">
        <v>9.765625E-4</v>
      </c>
      <c r="O241">
        <f t="shared" si="3"/>
        <v>0.251953125</v>
      </c>
    </row>
    <row r="242" spans="1:15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3.403725860100002</v>
      </c>
      <c r="H242">
        <v>4.100625E-4</v>
      </c>
      <c r="I242">
        <v>-0.8927421115508507</v>
      </c>
      <c r="J242">
        <v>-3.6608006211782073E-4</v>
      </c>
      <c r="M242">
        <v>3.7528259483153876</v>
      </c>
      <c r="N242">
        <v>4.8828125E-4</v>
      </c>
      <c r="O242">
        <f t="shared" si="3"/>
        <v>0.25244140625</v>
      </c>
    </row>
    <row r="243" spans="1:15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3.7528259483153876</v>
      </c>
      <c r="H243">
        <v>8.6568749999999992E-4</v>
      </c>
      <c r="I243">
        <v>-0.88241377681196942</v>
      </c>
      <c r="J243">
        <v>-7.6389457641391171E-4</v>
      </c>
      <c r="M243">
        <v>3.7528259483153876</v>
      </c>
      <c r="N243">
        <v>9.765625E-4</v>
      </c>
      <c r="O243">
        <f t="shared" si="3"/>
        <v>0.25341796875</v>
      </c>
    </row>
    <row r="244" spans="1:15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4.0146510144769225</v>
      </c>
      <c r="H244">
        <v>5.4674999999999993E-4</v>
      </c>
      <c r="I244">
        <v>-0.87474601749255632</v>
      </c>
      <c r="J244">
        <v>-4.7826738506405513E-4</v>
      </c>
      <c r="M244">
        <v>3.7528259483153876</v>
      </c>
      <c r="N244">
        <v>4.8828125E-4</v>
      </c>
      <c r="O244">
        <f t="shared" si="3"/>
        <v>0.25390625</v>
      </c>
    </row>
    <row r="245" spans="1:15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3.5385123737104625</v>
      </c>
      <c r="H245">
        <v>2.73908935546875E-4</v>
      </c>
      <c r="I245">
        <v>-0.88874012196096286</v>
      </c>
      <c r="J245">
        <v>-2.434338607841272E-4</v>
      </c>
      <c r="M245">
        <v>3.901436719732045</v>
      </c>
      <c r="N245">
        <v>9.765625E-4</v>
      </c>
      <c r="O245">
        <f t="shared" si="3"/>
        <v>0.2548828125</v>
      </c>
    </row>
    <row r="246" spans="1:15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3.901436719732045</v>
      </c>
      <c r="H246">
        <v>5.7825219726562497E-4</v>
      </c>
      <c r="I246">
        <v>-0.87805337935976702</v>
      </c>
      <c r="J246">
        <v>-5.0773629593129266E-4</v>
      </c>
      <c r="M246">
        <v>3.901436719732045</v>
      </c>
      <c r="N246">
        <v>1.953125E-3</v>
      </c>
      <c r="O246">
        <f t="shared" si="3"/>
        <v>0.2568359375</v>
      </c>
    </row>
    <row r="247" spans="1:15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4.173629979248239</v>
      </c>
      <c r="H247">
        <v>3.652119140625E-4</v>
      </c>
      <c r="I247">
        <v>-0.87012273783894145</v>
      </c>
      <c r="J247">
        <v>-3.1777919055546271E-4</v>
      </c>
      <c r="M247">
        <v>3.901436719732045</v>
      </c>
      <c r="N247">
        <v>9.765625E-4</v>
      </c>
      <c r="O247">
        <f t="shared" si="3"/>
        <v>0.2578125</v>
      </c>
    </row>
    <row r="248" spans="1:15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3.5385123737104625</v>
      </c>
      <c r="H248">
        <v>5.7825219726562497E-4</v>
      </c>
      <c r="I248">
        <v>-0.88874012196096286</v>
      </c>
      <c r="J248">
        <v>-5.1391592832204628E-4</v>
      </c>
      <c r="M248">
        <v>3.901436719732045</v>
      </c>
      <c r="N248">
        <v>1.953125E-3</v>
      </c>
      <c r="O248">
        <f t="shared" si="3"/>
        <v>0.259765625</v>
      </c>
    </row>
    <row r="249" spans="1:15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3.901436719732045</v>
      </c>
      <c r="H249">
        <v>1.2207546386718748E-3</v>
      </c>
      <c r="I249">
        <v>-0.87805337935976702</v>
      </c>
      <c r="J249">
        <v>-1.0718877358549511E-3</v>
      </c>
      <c r="M249">
        <v>3.901436719732045</v>
      </c>
      <c r="N249">
        <v>3.90625E-3</v>
      </c>
      <c r="O249">
        <f t="shared" si="3"/>
        <v>0.263671875</v>
      </c>
    </row>
    <row r="250" spans="1:15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4.173629979248239</v>
      </c>
      <c r="H250">
        <v>7.7100292968749996E-4</v>
      </c>
      <c r="I250">
        <v>-0.87012273783894145</v>
      </c>
      <c r="J250">
        <v>-6.7086718006153232E-4</v>
      </c>
      <c r="M250">
        <v>3.901436719732045</v>
      </c>
      <c r="N250">
        <v>1.953125E-3</v>
      </c>
      <c r="O250">
        <f t="shared" si="3"/>
        <v>0.265625</v>
      </c>
    </row>
    <row r="251" spans="1:15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3.5385123737104625</v>
      </c>
      <c r="H251">
        <v>3.652119140625E-4</v>
      </c>
      <c r="I251">
        <v>-0.88874012196096286</v>
      </c>
      <c r="J251">
        <v>-3.2457848104550292E-4</v>
      </c>
      <c r="M251">
        <v>3.901436719732045</v>
      </c>
      <c r="N251">
        <v>9.765625E-4</v>
      </c>
      <c r="O251">
        <f t="shared" si="3"/>
        <v>0.2666015625</v>
      </c>
    </row>
    <row r="252" spans="1:15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3.901436719732045</v>
      </c>
      <c r="H252">
        <v>7.7100292968749996E-4</v>
      </c>
      <c r="I252">
        <v>-0.87805337935976702</v>
      </c>
      <c r="J252">
        <v>-6.7698172790839014E-4</v>
      </c>
      <c r="M252">
        <v>3.901436719732045</v>
      </c>
      <c r="N252">
        <v>1.953125E-3</v>
      </c>
      <c r="O252">
        <f t="shared" si="3"/>
        <v>0.2685546875</v>
      </c>
    </row>
    <row r="253" spans="1:15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4.173629979248239</v>
      </c>
      <c r="H253">
        <v>4.8694921874999997E-4</v>
      </c>
      <c r="I253">
        <v>-0.87012273783894145</v>
      </c>
      <c r="J253">
        <v>-4.2370558740728359E-4</v>
      </c>
      <c r="M253">
        <v>3.901436719732045</v>
      </c>
      <c r="N253">
        <v>9.765625E-4</v>
      </c>
      <c r="O253">
        <f t="shared" si="3"/>
        <v>0.26953125</v>
      </c>
    </row>
    <row r="254" spans="1:15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3.5385123737104625</v>
      </c>
      <c r="H254">
        <v>5.7825219726562497E-4</v>
      </c>
      <c r="I254">
        <v>-0.88874012196096286</v>
      </c>
      <c r="J254">
        <v>-5.1391592832204628E-4</v>
      </c>
      <c r="M254">
        <v>4.0146510144769225</v>
      </c>
      <c r="N254">
        <v>2.44140625E-4</v>
      </c>
      <c r="O254">
        <f t="shared" si="3"/>
        <v>0.269775390625</v>
      </c>
    </row>
    <row r="255" spans="1:15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3.901436719732045</v>
      </c>
      <c r="H255">
        <v>1.2207546386718748E-3</v>
      </c>
      <c r="I255">
        <v>-0.87805337935976702</v>
      </c>
      <c r="J255">
        <v>-1.0718877358549511E-3</v>
      </c>
      <c r="M255">
        <v>4.0146510144769225</v>
      </c>
      <c r="N255">
        <v>4.8828125E-4</v>
      </c>
      <c r="O255">
        <f t="shared" si="3"/>
        <v>0.270263671875</v>
      </c>
    </row>
    <row r="256" spans="1:15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4.173629979248239</v>
      </c>
      <c r="H256">
        <v>7.7100292968749996E-4</v>
      </c>
      <c r="I256">
        <v>-0.87012273783894145</v>
      </c>
      <c r="J256">
        <v>-6.7086718006153232E-4</v>
      </c>
      <c r="M256">
        <v>4.0146510144769225</v>
      </c>
      <c r="N256">
        <v>2.44140625E-4</v>
      </c>
      <c r="O256">
        <f t="shared" si="3"/>
        <v>0.2705078125</v>
      </c>
    </row>
    <row r="257" spans="1:15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3.5385123737104625</v>
      </c>
      <c r="H257">
        <v>1.2207546386718748E-3</v>
      </c>
      <c r="I257">
        <v>-0.88874012196096286</v>
      </c>
      <c r="J257">
        <v>-1.0849336264576533E-3</v>
      </c>
      <c r="M257">
        <v>4.0146510144769225</v>
      </c>
      <c r="N257">
        <v>4.8828125E-4</v>
      </c>
      <c r="O257">
        <f t="shared" si="3"/>
        <v>0.27099609375</v>
      </c>
    </row>
    <row r="258" spans="1:15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3.901436719732045</v>
      </c>
      <c r="H258">
        <v>2.5771486816406246E-3</v>
      </c>
      <c r="I258">
        <v>-0.87805337935976702</v>
      </c>
      <c r="J258">
        <v>-2.2628741090271187E-3</v>
      </c>
      <c r="M258">
        <v>4.0146510144769225</v>
      </c>
      <c r="N258">
        <v>9.765625E-4</v>
      </c>
      <c r="O258">
        <f t="shared" si="3"/>
        <v>0.27197265625</v>
      </c>
    </row>
    <row r="259" spans="1:15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4.173629979248239</v>
      </c>
      <c r="H259">
        <v>1.6276728515624997E-3</v>
      </c>
      <c r="I259">
        <v>-0.87012273783894145</v>
      </c>
      <c r="J259">
        <v>-1.4162751579076792E-3</v>
      </c>
      <c r="M259">
        <v>4.0146510144769225</v>
      </c>
      <c r="N259">
        <v>4.8828125E-4</v>
      </c>
      <c r="O259">
        <f t="shared" si="3"/>
        <v>0.2724609375</v>
      </c>
    </row>
    <row r="260" spans="1:15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3.5385123737104625</v>
      </c>
      <c r="H260">
        <v>7.7100292968749985E-4</v>
      </c>
      <c r="I260">
        <v>-0.88874012196096286</v>
      </c>
      <c r="J260">
        <v>-6.8522123776272831E-4</v>
      </c>
      <c r="M260">
        <v>4.0146510144769225</v>
      </c>
      <c r="N260">
        <v>2.44140625E-4</v>
      </c>
      <c r="O260">
        <f t="shared" ref="O260:O323" si="4">N260+O259</f>
        <v>0.272705078125</v>
      </c>
    </row>
    <row r="261" spans="1:15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3.901436719732045</v>
      </c>
      <c r="H261">
        <v>1.6276728515624997E-3</v>
      </c>
      <c r="I261">
        <v>-0.87805337935976702</v>
      </c>
      <c r="J261">
        <v>-1.4291836478066012E-3</v>
      </c>
      <c r="M261">
        <v>4.0146510144769225</v>
      </c>
      <c r="N261">
        <v>4.8828125E-4</v>
      </c>
      <c r="O261">
        <f t="shared" si="4"/>
        <v>0.273193359375</v>
      </c>
    </row>
    <row r="262" spans="1:15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4.173629979248239</v>
      </c>
      <c r="H262">
        <v>1.0280039062499997E-3</v>
      </c>
      <c r="I262">
        <v>-0.87012273783894145</v>
      </c>
      <c r="J262">
        <v>-8.9448957341537621E-4</v>
      </c>
      <c r="M262">
        <v>4.0146510144769225</v>
      </c>
      <c r="N262">
        <v>2.44140625E-4</v>
      </c>
      <c r="O262">
        <f t="shared" si="4"/>
        <v>0.2734375</v>
      </c>
    </row>
    <row r="263" spans="1:15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3.5385123737104625</v>
      </c>
      <c r="H263">
        <v>3.6521191406249995E-4</v>
      </c>
      <c r="I263">
        <v>-0.88874012196096286</v>
      </c>
      <c r="J263">
        <v>-3.2457848104550286E-4</v>
      </c>
      <c r="M263">
        <v>4.173629979248239</v>
      </c>
      <c r="N263">
        <v>4.8828125E-4</v>
      </c>
      <c r="O263">
        <f t="shared" si="4"/>
        <v>0.27392578125</v>
      </c>
    </row>
    <row r="264" spans="1:15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3.901436719732045</v>
      </c>
      <c r="H264">
        <v>7.7100292968749985E-4</v>
      </c>
      <c r="I264">
        <v>-0.87805337935976702</v>
      </c>
      <c r="J264">
        <v>-6.7698172790839003E-4</v>
      </c>
      <c r="M264">
        <v>4.173629979248239</v>
      </c>
      <c r="N264">
        <v>9.765625E-4</v>
      </c>
      <c r="O264">
        <f t="shared" si="4"/>
        <v>0.27490234375</v>
      </c>
    </row>
    <row r="265" spans="1:15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4.173629979248239</v>
      </c>
      <c r="H265">
        <v>4.8694921874999991E-4</v>
      </c>
      <c r="I265">
        <v>-0.87012273783894145</v>
      </c>
      <c r="J265">
        <v>-4.2370558740728354E-4</v>
      </c>
      <c r="M265">
        <v>4.173629979248239</v>
      </c>
      <c r="N265">
        <v>4.8828125E-4</v>
      </c>
      <c r="O265">
        <f t="shared" si="4"/>
        <v>0.275390625</v>
      </c>
    </row>
    <row r="266" spans="1:15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3.5385123737104625</v>
      </c>
      <c r="H266">
        <v>7.7100292968749985E-4</v>
      </c>
      <c r="I266">
        <v>-0.88874012196096286</v>
      </c>
      <c r="J266">
        <v>-6.8522123776272831E-4</v>
      </c>
      <c r="M266">
        <v>4.173629979248239</v>
      </c>
      <c r="N266">
        <v>9.765625E-4</v>
      </c>
      <c r="O266">
        <f t="shared" si="4"/>
        <v>0.2763671875</v>
      </c>
    </row>
    <row r="267" spans="1:15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3.901436719732045</v>
      </c>
      <c r="H267">
        <v>1.6276728515624997E-3</v>
      </c>
      <c r="I267">
        <v>-0.87805337935976702</v>
      </c>
      <c r="J267">
        <v>-1.4291836478066012E-3</v>
      </c>
      <c r="M267">
        <v>4.173629979248239</v>
      </c>
      <c r="N267">
        <v>1.953125E-3</v>
      </c>
      <c r="O267">
        <f t="shared" si="4"/>
        <v>0.2783203125</v>
      </c>
    </row>
    <row r="268" spans="1:15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4.173629979248239</v>
      </c>
      <c r="H268">
        <v>1.0280039062499997E-3</v>
      </c>
      <c r="I268">
        <v>-0.87012273783894145</v>
      </c>
      <c r="J268">
        <v>-8.9448957341537621E-4</v>
      </c>
      <c r="M268">
        <v>4.173629979248239</v>
      </c>
      <c r="N268">
        <v>9.765625E-4</v>
      </c>
      <c r="O268">
        <f t="shared" si="4"/>
        <v>0.279296875</v>
      </c>
    </row>
    <row r="269" spans="1:15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3.5385123737104625</v>
      </c>
      <c r="H269">
        <v>4.8694921874999991E-4</v>
      </c>
      <c r="I269">
        <v>-0.88874012196096286</v>
      </c>
      <c r="J269">
        <v>-4.3277130806067049E-4</v>
      </c>
      <c r="M269">
        <v>4.173629979248239</v>
      </c>
      <c r="N269">
        <v>4.8828125E-4</v>
      </c>
      <c r="O269">
        <f t="shared" si="4"/>
        <v>0.27978515625</v>
      </c>
    </row>
    <row r="270" spans="1:15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3.901436719732045</v>
      </c>
      <c r="H270">
        <v>1.0280039062499997E-3</v>
      </c>
      <c r="I270">
        <v>-0.87805337935976702</v>
      </c>
      <c r="J270">
        <v>-9.0264230387785338E-4</v>
      </c>
      <c r="M270">
        <v>4.173629979248239</v>
      </c>
      <c r="N270">
        <v>9.765625E-4</v>
      </c>
      <c r="O270">
        <f t="shared" si="4"/>
        <v>0.28076171875</v>
      </c>
    </row>
    <row r="271" spans="1:15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4.173629979248239</v>
      </c>
      <c r="H271">
        <v>6.4926562499999978E-4</v>
      </c>
      <c r="I271">
        <v>-0.87012273783894145</v>
      </c>
      <c r="J271">
        <v>-5.6494078320971127E-4</v>
      </c>
      <c r="M271">
        <v>4.173629979248239</v>
      </c>
      <c r="N271">
        <v>4.8828125E-4</v>
      </c>
      <c r="O271">
        <f t="shared" si="4"/>
        <v>0.28125</v>
      </c>
    </row>
    <row r="272" spans="1:15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4.3550921522590311</v>
      </c>
      <c r="H272">
        <v>5.7825219726562497E-4</v>
      </c>
      <c r="I272">
        <v>-0.86487547806370413</v>
      </c>
      <c r="J272">
        <v>-5.0011614555149479E-4</v>
      </c>
      <c r="M272">
        <v>4.3550921522590311</v>
      </c>
      <c r="N272">
        <v>9.765625E-4</v>
      </c>
      <c r="O272">
        <f t="shared" si="4"/>
        <v>0.2822265625</v>
      </c>
    </row>
    <row r="273" spans="1:15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4.8017682704394451</v>
      </c>
      <c r="H273">
        <v>1.2207546386718748E-3</v>
      </c>
      <c r="I273">
        <v>-0.85209356309070183</v>
      </c>
      <c r="J273">
        <v>-1.04019716972542E-3</v>
      </c>
      <c r="M273">
        <v>4.3550921522590311</v>
      </c>
      <c r="N273">
        <v>1.953125E-3</v>
      </c>
      <c r="O273">
        <f t="shared" si="4"/>
        <v>0.2841796875</v>
      </c>
    </row>
    <row r="274" spans="1:15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5.1367753590747496</v>
      </c>
      <c r="H274">
        <v>7.7100292968749996E-4</v>
      </c>
      <c r="I274">
        <v>-0.8426312476713157</v>
      </c>
      <c r="J274">
        <v>-6.4967116060081779E-4</v>
      </c>
      <c r="M274">
        <v>4.3550921522590311</v>
      </c>
      <c r="N274">
        <v>9.765625E-4</v>
      </c>
      <c r="O274">
        <f t="shared" si="4"/>
        <v>0.28515625</v>
      </c>
    </row>
    <row r="275" spans="1:15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4.3550921522590311</v>
      </c>
      <c r="H275">
        <v>1.2207546386718748E-3</v>
      </c>
      <c r="I275">
        <v>-0.86487547806370413</v>
      </c>
      <c r="J275">
        <v>-1.0558007517198222E-3</v>
      </c>
      <c r="M275">
        <v>4.3550921522590311</v>
      </c>
      <c r="N275">
        <v>1.953125E-3</v>
      </c>
      <c r="O275">
        <f t="shared" si="4"/>
        <v>0.287109375</v>
      </c>
    </row>
    <row r="276" spans="1:15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4.8017682704394451</v>
      </c>
      <c r="H276">
        <v>2.5771486816406246E-3</v>
      </c>
      <c r="I276">
        <v>-0.85209356309070183</v>
      </c>
      <c r="J276">
        <v>-2.1959718027536644E-3</v>
      </c>
      <c r="M276">
        <v>4.3550921522590311</v>
      </c>
      <c r="N276">
        <v>3.90625E-3</v>
      </c>
      <c r="O276">
        <f t="shared" si="4"/>
        <v>0.291015625</v>
      </c>
    </row>
    <row r="277" spans="1:15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5.1367753590747496</v>
      </c>
      <c r="H277">
        <v>1.6276728515624997E-3</v>
      </c>
      <c r="I277">
        <v>-0.8426312476713157</v>
      </c>
      <c r="J277">
        <v>-1.3715280057128374E-3</v>
      </c>
      <c r="M277">
        <v>4.3550921522590311</v>
      </c>
      <c r="N277">
        <v>1.953125E-3</v>
      </c>
      <c r="O277">
        <f t="shared" si="4"/>
        <v>0.29296875</v>
      </c>
    </row>
    <row r="278" spans="1:15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4.3550921522590311</v>
      </c>
      <c r="H278">
        <v>7.7100292968749985E-4</v>
      </c>
      <c r="I278">
        <v>-0.86487547806370413</v>
      </c>
      <c r="J278">
        <v>-6.668215274019929E-4</v>
      </c>
      <c r="M278">
        <v>4.3550921522590311</v>
      </c>
      <c r="N278">
        <v>9.765625E-4</v>
      </c>
      <c r="O278">
        <f t="shared" si="4"/>
        <v>0.2939453125</v>
      </c>
    </row>
    <row r="279" spans="1:15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4.8017682704394451</v>
      </c>
      <c r="H279">
        <v>1.6276728515624997E-3</v>
      </c>
      <c r="I279">
        <v>-0.85209356309070183</v>
      </c>
      <c r="J279">
        <v>-1.3869295596338933E-3</v>
      </c>
      <c r="M279">
        <v>4.3550921522590311</v>
      </c>
      <c r="N279">
        <v>1.953125E-3</v>
      </c>
      <c r="O279">
        <f t="shared" si="4"/>
        <v>0.2958984375</v>
      </c>
    </row>
    <row r="280" spans="1:15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5.1367753590747496</v>
      </c>
      <c r="H280">
        <v>1.0280039062499997E-3</v>
      </c>
      <c r="I280">
        <v>-0.8426312476713157</v>
      </c>
      <c r="J280">
        <v>-8.6622821413442355E-4</v>
      </c>
      <c r="M280">
        <v>4.3550921522590311</v>
      </c>
      <c r="N280">
        <v>9.765625E-4</v>
      </c>
      <c r="O280">
        <f t="shared" si="4"/>
        <v>0.296875</v>
      </c>
    </row>
    <row r="281" spans="1:15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4.3550921522590311</v>
      </c>
      <c r="H281">
        <v>1.2207546386718748E-3</v>
      </c>
      <c r="I281">
        <v>-0.86487547806370413</v>
      </c>
      <c r="J281">
        <v>-1.0558007517198222E-3</v>
      </c>
      <c r="M281">
        <v>4.8017682704394451</v>
      </c>
      <c r="N281">
        <v>1.953125E-3</v>
      </c>
      <c r="O281">
        <f t="shared" si="4"/>
        <v>0.298828125</v>
      </c>
    </row>
    <row r="282" spans="1:15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4.8017682704394451</v>
      </c>
      <c r="H282">
        <v>2.5771486816406246E-3</v>
      </c>
      <c r="I282">
        <v>-0.85209356309070183</v>
      </c>
      <c r="J282">
        <v>-2.1959718027536644E-3</v>
      </c>
      <c r="M282">
        <v>4.8017682704394451</v>
      </c>
      <c r="N282">
        <v>3.90625E-3</v>
      </c>
      <c r="O282">
        <f t="shared" si="4"/>
        <v>0.302734375</v>
      </c>
    </row>
    <row r="283" spans="1:15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5.1367753590747496</v>
      </c>
      <c r="H283">
        <v>1.6276728515624997E-3</v>
      </c>
      <c r="I283">
        <v>-0.8426312476713157</v>
      </c>
      <c r="J283">
        <v>-1.3715280057128374E-3</v>
      </c>
      <c r="M283">
        <v>4.8017682704394451</v>
      </c>
      <c r="N283">
        <v>1.953125E-3</v>
      </c>
      <c r="O283">
        <f t="shared" si="4"/>
        <v>0.3046875</v>
      </c>
    </row>
    <row r="284" spans="1:15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4.3550921522590311</v>
      </c>
      <c r="H284">
        <v>2.5771486816406246E-3</v>
      </c>
      <c r="I284">
        <v>-0.86487547806370413</v>
      </c>
      <c r="J284">
        <v>-2.2289126980751801E-3</v>
      </c>
      <c r="M284">
        <v>4.8017682704394451</v>
      </c>
      <c r="N284">
        <v>3.90625E-3</v>
      </c>
      <c r="O284">
        <f t="shared" si="4"/>
        <v>0.30859375</v>
      </c>
    </row>
    <row r="285" spans="1:15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4.8017682704394451</v>
      </c>
      <c r="H285">
        <v>5.4406472167968737E-3</v>
      </c>
      <c r="I285">
        <v>-0.85209356309070183</v>
      </c>
      <c r="J285">
        <v>-4.6359404724799587E-3</v>
      </c>
      <c r="M285">
        <v>4.8017682704394451</v>
      </c>
      <c r="N285">
        <v>7.8125E-3</v>
      </c>
      <c r="O285">
        <f t="shared" si="4"/>
        <v>0.31640625</v>
      </c>
    </row>
    <row r="286" spans="1:15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5.1367753590747496</v>
      </c>
      <c r="H286">
        <v>3.4361982421874993E-3</v>
      </c>
      <c r="I286">
        <v>-0.8426312476713157</v>
      </c>
      <c r="J286">
        <v>-2.8954480120604344E-3</v>
      </c>
      <c r="M286">
        <v>4.8017682704394451</v>
      </c>
      <c r="N286">
        <v>3.90625E-3</v>
      </c>
      <c r="O286">
        <f t="shared" si="4"/>
        <v>0.3203125</v>
      </c>
    </row>
    <row r="287" spans="1:15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4.3550921522590311</v>
      </c>
      <c r="H287">
        <v>1.6276728515624997E-3</v>
      </c>
      <c r="I287">
        <v>-0.86487547806370413</v>
      </c>
      <c r="J287">
        <v>-1.4077343356264295E-3</v>
      </c>
      <c r="M287">
        <v>4.8017682704394451</v>
      </c>
      <c r="N287">
        <v>1.953125E-3</v>
      </c>
      <c r="O287">
        <f t="shared" si="4"/>
        <v>0.322265625</v>
      </c>
    </row>
    <row r="288" spans="1:15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4.8017682704394451</v>
      </c>
      <c r="H288">
        <v>3.4361982421874993E-3</v>
      </c>
      <c r="I288">
        <v>-0.85209356309070183</v>
      </c>
      <c r="J288">
        <v>-2.9279624036715529E-3</v>
      </c>
      <c r="M288">
        <v>4.8017682704394451</v>
      </c>
      <c r="N288">
        <v>3.90625E-3</v>
      </c>
      <c r="O288">
        <f t="shared" si="4"/>
        <v>0.326171875</v>
      </c>
    </row>
    <row r="289" spans="1:15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5.1367753590747496</v>
      </c>
      <c r="H289">
        <v>2.1702304687499993E-3</v>
      </c>
      <c r="I289">
        <v>-0.8426312476713157</v>
      </c>
      <c r="J289">
        <v>-1.8287040076171161E-3</v>
      </c>
      <c r="M289">
        <v>4.8017682704394451</v>
      </c>
      <c r="N289">
        <v>1.953125E-3</v>
      </c>
      <c r="O289">
        <f t="shared" si="4"/>
        <v>0.328125</v>
      </c>
    </row>
    <row r="290" spans="1:15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4.3550921522590311</v>
      </c>
      <c r="H290">
        <v>7.7100292968749996E-4</v>
      </c>
      <c r="I290">
        <v>-0.86487547806370413</v>
      </c>
      <c r="J290">
        <v>-6.6682152740199301E-4</v>
      </c>
      <c r="M290">
        <v>4.8994786712914102</v>
      </c>
      <c r="N290">
        <v>4.8828125E-4</v>
      </c>
      <c r="O290">
        <f t="shared" si="4"/>
        <v>0.32861328125</v>
      </c>
    </row>
    <row r="291" spans="1:15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4.8017682704394451</v>
      </c>
      <c r="H291">
        <v>1.6276728515624999E-3</v>
      </c>
      <c r="I291">
        <v>-0.85209356309070183</v>
      </c>
      <c r="J291">
        <v>-1.3869295596338935E-3</v>
      </c>
      <c r="M291">
        <v>4.8994786712914102</v>
      </c>
      <c r="N291">
        <v>9.765625E-4</v>
      </c>
      <c r="O291">
        <f t="shared" si="4"/>
        <v>0.32958984375</v>
      </c>
    </row>
    <row r="292" spans="1:15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5.1367753590747496</v>
      </c>
      <c r="H292">
        <v>1.0280039062499999E-3</v>
      </c>
      <c r="I292">
        <v>-0.8426312476713157</v>
      </c>
      <c r="J292">
        <v>-8.6622821413442365E-4</v>
      </c>
      <c r="M292">
        <v>4.8994786712914102</v>
      </c>
      <c r="N292">
        <v>4.8828125E-4</v>
      </c>
      <c r="O292">
        <f t="shared" si="4"/>
        <v>0.330078125</v>
      </c>
    </row>
    <row r="293" spans="1:15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4.3550921522590311</v>
      </c>
      <c r="H293">
        <v>1.6276728515624997E-3</v>
      </c>
      <c r="I293">
        <v>-0.86487547806370413</v>
      </c>
      <c r="J293">
        <v>-1.4077343356264295E-3</v>
      </c>
      <c r="M293">
        <v>4.8994786712914102</v>
      </c>
      <c r="N293">
        <v>9.765625E-4</v>
      </c>
      <c r="O293">
        <f t="shared" si="4"/>
        <v>0.3310546875</v>
      </c>
    </row>
    <row r="294" spans="1:15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4.8017682704394451</v>
      </c>
      <c r="H294">
        <v>3.4361982421874993E-3</v>
      </c>
      <c r="I294">
        <v>-0.85209356309070183</v>
      </c>
      <c r="J294">
        <v>-2.9279624036715529E-3</v>
      </c>
      <c r="M294">
        <v>4.8994786712914102</v>
      </c>
      <c r="N294">
        <v>1.953125E-3</v>
      </c>
      <c r="O294">
        <f t="shared" si="4"/>
        <v>0.3330078125</v>
      </c>
    </row>
    <row r="295" spans="1:15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5.1367753590747496</v>
      </c>
      <c r="H295">
        <v>2.1702304687499993E-3</v>
      </c>
      <c r="I295">
        <v>-0.8426312476713157</v>
      </c>
      <c r="J295">
        <v>-1.8287040076171161E-3</v>
      </c>
      <c r="M295">
        <v>4.8994786712914102</v>
      </c>
      <c r="N295">
        <v>9.765625E-4</v>
      </c>
      <c r="O295">
        <f t="shared" si="4"/>
        <v>0.333984375</v>
      </c>
    </row>
    <row r="296" spans="1:15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4.3550921522590311</v>
      </c>
      <c r="H296">
        <v>1.0280039062499999E-3</v>
      </c>
      <c r="I296">
        <v>-0.86487547806370413</v>
      </c>
      <c r="J296">
        <v>-8.8909536986932398E-4</v>
      </c>
      <c r="M296">
        <v>4.8994786712914102</v>
      </c>
      <c r="N296">
        <v>4.8828125E-4</v>
      </c>
      <c r="O296">
        <f t="shared" si="4"/>
        <v>0.33447265625</v>
      </c>
    </row>
    <row r="297" spans="1:15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4.8017682704394451</v>
      </c>
      <c r="H297">
        <v>2.1702304687499993E-3</v>
      </c>
      <c r="I297">
        <v>-0.85209356309070183</v>
      </c>
      <c r="J297">
        <v>-1.8492394128451909E-3</v>
      </c>
      <c r="M297">
        <v>4.8994786712914102</v>
      </c>
      <c r="N297">
        <v>9.765625E-4</v>
      </c>
      <c r="O297">
        <f t="shared" si="4"/>
        <v>0.33544921875</v>
      </c>
    </row>
    <row r="298" spans="1:15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5.1367753590747496</v>
      </c>
      <c r="H298">
        <v>1.3706718749999997E-3</v>
      </c>
      <c r="I298">
        <v>-0.8426312476713157</v>
      </c>
      <c r="J298">
        <v>-1.1549709521792315E-3</v>
      </c>
      <c r="M298">
        <v>4.8994786712914102</v>
      </c>
      <c r="N298">
        <v>4.8828125E-4</v>
      </c>
      <c r="O298">
        <f t="shared" si="4"/>
        <v>0.3359375</v>
      </c>
    </row>
    <row r="299" spans="1:15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4.8994786712914102</v>
      </c>
      <c r="H299">
        <v>3.652119140625E-4</v>
      </c>
      <c r="I299">
        <v>-0.8493227976297214</v>
      </c>
      <c r="J299">
        <v>-3.1018280457926789E-4</v>
      </c>
      <c r="M299">
        <v>5.1367753590747496</v>
      </c>
      <c r="N299">
        <v>9.765625E-4</v>
      </c>
      <c r="O299">
        <f t="shared" si="4"/>
        <v>0.3369140625</v>
      </c>
    </row>
    <row r="300" spans="1:15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5.4019893042443732</v>
      </c>
      <c r="H300">
        <v>7.7100292968749996E-4</v>
      </c>
      <c r="I300">
        <v>-0.83521482636169553</v>
      </c>
      <c r="J300">
        <v>-6.4395307804330387E-4</v>
      </c>
      <c r="M300">
        <v>5.1367753590747496</v>
      </c>
      <c r="N300">
        <v>1.953125E-3</v>
      </c>
      <c r="O300">
        <f t="shared" si="4"/>
        <v>0.3388671875</v>
      </c>
    </row>
    <row r="301" spans="1:15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5.7788722789590938</v>
      </c>
      <c r="H301">
        <v>4.8694921874999997E-4</v>
      </c>
      <c r="I301">
        <v>-0.82478785104453167</v>
      </c>
      <c r="J301">
        <v>-4.0162979970062606E-4</v>
      </c>
      <c r="M301">
        <v>5.1367753590747496</v>
      </c>
      <c r="N301">
        <v>9.765625E-4</v>
      </c>
      <c r="O301">
        <f t="shared" si="4"/>
        <v>0.33984375</v>
      </c>
    </row>
    <row r="302" spans="1:15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4.8994786712914102</v>
      </c>
      <c r="H302">
        <v>7.7100292968749996E-4</v>
      </c>
      <c r="I302">
        <v>-0.8493227976297214</v>
      </c>
      <c r="J302">
        <v>-6.5483036522289882E-4</v>
      </c>
      <c r="M302">
        <v>5.1367753590747496</v>
      </c>
      <c r="N302">
        <v>1.953125E-3</v>
      </c>
      <c r="O302">
        <f t="shared" si="4"/>
        <v>0.341796875</v>
      </c>
    </row>
    <row r="303" spans="1:15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5.4019893042443732</v>
      </c>
      <c r="H303">
        <v>1.6276728515624999E-3</v>
      </c>
      <c r="I303">
        <v>-0.83521482636169553</v>
      </c>
      <c r="J303">
        <v>-1.3594564980914192E-3</v>
      </c>
      <c r="M303">
        <v>5.1367753590747496</v>
      </c>
      <c r="N303">
        <v>3.90625E-3</v>
      </c>
      <c r="O303">
        <f t="shared" si="4"/>
        <v>0.345703125</v>
      </c>
    </row>
    <row r="304" spans="1:15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5.7788722789590938</v>
      </c>
      <c r="H304">
        <v>1.0280039062499999E-3</v>
      </c>
      <c r="I304">
        <v>-0.82478785104453167</v>
      </c>
      <c r="J304">
        <v>-8.4788513270132166E-4</v>
      </c>
      <c r="M304">
        <v>5.1367753590747496</v>
      </c>
      <c r="N304">
        <v>1.953125E-3</v>
      </c>
      <c r="O304">
        <f t="shared" si="4"/>
        <v>0.34765625</v>
      </c>
    </row>
    <row r="305" spans="1:15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4.8994786712914102</v>
      </c>
      <c r="H305">
        <v>4.8694921874999997E-4</v>
      </c>
      <c r="I305">
        <v>-0.8493227976297214</v>
      </c>
      <c r="J305">
        <v>-4.1357707277235714E-4</v>
      </c>
      <c r="M305">
        <v>5.1367753590747496</v>
      </c>
      <c r="N305">
        <v>9.765625E-4</v>
      </c>
      <c r="O305">
        <f t="shared" si="4"/>
        <v>0.3486328125</v>
      </c>
    </row>
    <row r="306" spans="1:15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5.4019893042443732</v>
      </c>
      <c r="H306">
        <v>1.0280039062499999E-3</v>
      </c>
      <c r="I306">
        <v>-0.83521482636169553</v>
      </c>
      <c r="J306">
        <v>-8.5860410405773845E-4</v>
      </c>
      <c r="M306">
        <v>5.1367753590747496</v>
      </c>
      <c r="N306">
        <v>1.953125E-3</v>
      </c>
      <c r="O306">
        <f t="shared" si="4"/>
        <v>0.3505859375</v>
      </c>
    </row>
    <row r="307" spans="1:15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5.7788722789590938</v>
      </c>
      <c r="H307">
        <v>6.4926562499999999E-4</v>
      </c>
      <c r="I307">
        <v>-0.82478785104453167</v>
      </c>
      <c r="J307">
        <v>-5.3550639960083478E-4</v>
      </c>
      <c r="M307">
        <v>5.1367753590747496</v>
      </c>
      <c r="N307">
        <v>9.765625E-4</v>
      </c>
      <c r="O307">
        <f t="shared" si="4"/>
        <v>0.3515625</v>
      </c>
    </row>
    <row r="308" spans="1:15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4.8994786712914102</v>
      </c>
      <c r="H308">
        <v>7.7100292968750007E-4</v>
      </c>
      <c r="I308">
        <v>-0.8493227976297214</v>
      </c>
      <c r="J308">
        <v>-6.5483036522289892E-4</v>
      </c>
      <c r="M308">
        <v>5.4019893042443732</v>
      </c>
      <c r="N308">
        <v>9.765625E-4</v>
      </c>
      <c r="O308">
        <f t="shared" si="4"/>
        <v>0.3525390625</v>
      </c>
    </row>
    <row r="309" spans="1:15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5.4019893042443732</v>
      </c>
      <c r="H309">
        <v>1.6276728515625001E-3</v>
      </c>
      <c r="I309">
        <v>-0.83521482636169553</v>
      </c>
      <c r="J309">
        <v>-1.3594564980914194E-3</v>
      </c>
      <c r="M309">
        <v>5.4019893042443732</v>
      </c>
      <c r="N309">
        <v>1.953125E-3</v>
      </c>
      <c r="O309">
        <f t="shared" si="4"/>
        <v>0.3544921875</v>
      </c>
    </row>
    <row r="310" spans="1:15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5.7788722789590938</v>
      </c>
      <c r="H310">
        <v>1.0280039062499999E-3</v>
      </c>
      <c r="I310">
        <v>-0.82478785104453167</v>
      </c>
      <c r="J310">
        <v>-8.4788513270132166E-4</v>
      </c>
      <c r="M310">
        <v>5.4019893042443732</v>
      </c>
      <c r="N310">
        <v>9.765625E-4</v>
      </c>
      <c r="O310">
        <f t="shared" si="4"/>
        <v>0.35546875</v>
      </c>
    </row>
    <row r="311" spans="1:15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4.8994786712914102</v>
      </c>
      <c r="H311">
        <v>1.6276728515624999E-3</v>
      </c>
      <c r="I311">
        <v>-0.8493227976297214</v>
      </c>
      <c r="J311">
        <v>-1.3824196599150087E-3</v>
      </c>
      <c r="M311">
        <v>5.4019893042443732</v>
      </c>
      <c r="N311">
        <v>1.953125E-3</v>
      </c>
      <c r="O311">
        <f t="shared" si="4"/>
        <v>0.357421875</v>
      </c>
    </row>
    <row r="312" spans="1:15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5.4019893042443732</v>
      </c>
      <c r="H312">
        <v>3.4361982421874998E-3</v>
      </c>
      <c r="I312">
        <v>-0.83521482636169553</v>
      </c>
      <c r="J312">
        <v>-2.8699637181929961E-3</v>
      </c>
      <c r="M312">
        <v>5.4019893042443732</v>
      </c>
      <c r="N312">
        <v>3.90625E-3</v>
      </c>
      <c r="O312">
        <f t="shared" si="4"/>
        <v>0.361328125</v>
      </c>
    </row>
    <row r="313" spans="1:15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5.7788722789590938</v>
      </c>
      <c r="H313">
        <v>2.1702304687499997E-3</v>
      </c>
      <c r="I313">
        <v>-0.82478785104453167</v>
      </c>
      <c r="J313">
        <v>-1.7899797245916789E-3</v>
      </c>
      <c r="M313">
        <v>5.4019893042443732</v>
      </c>
      <c r="N313">
        <v>1.953125E-3</v>
      </c>
      <c r="O313">
        <f t="shared" si="4"/>
        <v>0.36328125</v>
      </c>
    </row>
    <row r="314" spans="1:15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4.8994786712914102</v>
      </c>
      <c r="H314">
        <v>1.0280039062499999E-3</v>
      </c>
      <c r="I314">
        <v>-0.8493227976297214</v>
      </c>
      <c r="J314">
        <v>-8.7310715363053183E-4</v>
      </c>
      <c r="M314">
        <v>5.4019893042443732</v>
      </c>
      <c r="N314">
        <v>9.765625E-4</v>
      </c>
      <c r="O314">
        <f t="shared" si="4"/>
        <v>0.3642578125</v>
      </c>
    </row>
    <row r="315" spans="1:15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5.4019893042443732</v>
      </c>
      <c r="H315">
        <v>2.1702304687499997E-3</v>
      </c>
      <c r="I315">
        <v>-0.83521482636169553</v>
      </c>
      <c r="J315">
        <v>-1.8126086641218921E-3</v>
      </c>
      <c r="M315">
        <v>5.4019893042443732</v>
      </c>
      <c r="N315">
        <v>1.953125E-3</v>
      </c>
      <c r="O315">
        <f t="shared" si="4"/>
        <v>0.3662109375</v>
      </c>
    </row>
    <row r="316" spans="1:15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5.7788722789590938</v>
      </c>
      <c r="H316">
        <v>1.3706718749999999E-3</v>
      </c>
      <c r="I316">
        <v>-0.82478785104453167</v>
      </c>
      <c r="J316">
        <v>-1.1305135102684289E-3</v>
      </c>
      <c r="M316">
        <v>5.4019893042443732</v>
      </c>
      <c r="N316">
        <v>9.765625E-4</v>
      </c>
      <c r="O316">
        <f t="shared" si="4"/>
        <v>0.3671875</v>
      </c>
    </row>
    <row r="317" spans="1:15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4.8994786712914102</v>
      </c>
      <c r="H317">
        <v>4.8694921875000008E-4</v>
      </c>
      <c r="I317">
        <v>-0.8493227976297214</v>
      </c>
      <c r="J317">
        <v>-4.1357707277235725E-4</v>
      </c>
      <c r="M317">
        <v>5.6542633620280318</v>
      </c>
      <c r="N317">
        <v>9.765625E-4</v>
      </c>
      <c r="O317">
        <f t="shared" si="4"/>
        <v>0.3681640625</v>
      </c>
    </row>
    <row r="318" spans="1:15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5.4019893042443732</v>
      </c>
      <c r="H318">
        <v>1.0280039062500002E-3</v>
      </c>
      <c r="I318">
        <v>-0.83521482636169553</v>
      </c>
      <c r="J318">
        <v>-8.5860410405773856E-4</v>
      </c>
      <c r="M318">
        <v>5.6542633620280318</v>
      </c>
      <c r="N318">
        <v>1.953125E-3</v>
      </c>
      <c r="O318">
        <f t="shared" si="4"/>
        <v>0.3701171875</v>
      </c>
    </row>
    <row r="319" spans="1:15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5.7788722789590938</v>
      </c>
      <c r="H319">
        <v>6.492656250000001E-4</v>
      </c>
      <c r="I319">
        <v>-0.82478785104453167</v>
      </c>
      <c r="J319">
        <v>-5.3550639960083489E-4</v>
      </c>
      <c r="M319">
        <v>5.6542633620280318</v>
      </c>
      <c r="N319">
        <v>9.765625E-4</v>
      </c>
      <c r="O319">
        <f t="shared" si="4"/>
        <v>0.37109375</v>
      </c>
    </row>
    <row r="320" spans="1:15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4.8994786712914102</v>
      </c>
      <c r="H320">
        <v>1.0280039062499999E-3</v>
      </c>
      <c r="I320">
        <v>-0.8493227976297214</v>
      </c>
      <c r="J320">
        <v>-8.7310715363053183E-4</v>
      </c>
      <c r="M320">
        <v>5.6542633620280318</v>
      </c>
      <c r="N320">
        <v>1.953125E-3</v>
      </c>
      <c r="O320">
        <f t="shared" si="4"/>
        <v>0.373046875</v>
      </c>
    </row>
    <row r="321" spans="1:15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5.4019893042443732</v>
      </c>
      <c r="H321">
        <v>2.1702304687499997E-3</v>
      </c>
      <c r="I321">
        <v>-0.83521482636169553</v>
      </c>
      <c r="J321">
        <v>-1.8126086641218921E-3</v>
      </c>
      <c r="M321">
        <v>5.6542633620280318</v>
      </c>
      <c r="N321">
        <v>3.90625E-3</v>
      </c>
      <c r="O321">
        <f t="shared" si="4"/>
        <v>0.376953125</v>
      </c>
    </row>
    <row r="322" spans="1:15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5.7788722789590938</v>
      </c>
      <c r="H322">
        <v>1.3706718749999999E-3</v>
      </c>
      <c r="I322">
        <v>-0.82478785104453167</v>
      </c>
      <c r="J322">
        <v>-1.1305135102684289E-3</v>
      </c>
      <c r="M322">
        <v>5.6542633620280318</v>
      </c>
      <c r="N322">
        <v>1.953125E-3</v>
      </c>
      <c r="O322">
        <f t="shared" si="4"/>
        <v>0.37890625</v>
      </c>
    </row>
    <row r="323" spans="1:15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4.8994786712914102</v>
      </c>
      <c r="H323">
        <v>6.492656250000001E-4</v>
      </c>
      <c r="I323">
        <v>-0.8493227976297214</v>
      </c>
      <c r="J323">
        <v>-5.5143609702980963E-4</v>
      </c>
      <c r="M323">
        <v>5.6542633620280318</v>
      </c>
      <c r="N323">
        <v>9.765625E-4</v>
      </c>
      <c r="O323">
        <f t="shared" si="4"/>
        <v>0.3798828125</v>
      </c>
    </row>
    <row r="324" spans="1:15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5.4019893042443732</v>
      </c>
      <c r="H324">
        <v>1.3706718749999999E-3</v>
      </c>
      <c r="I324">
        <v>-0.83521482636169553</v>
      </c>
      <c r="J324">
        <v>-1.1448054720769845E-3</v>
      </c>
      <c r="M324">
        <v>5.6542633620280318</v>
      </c>
      <c r="N324">
        <v>1.953125E-3</v>
      </c>
      <c r="O324">
        <f t="shared" ref="O324:O387" si="5">N324+O323</f>
        <v>0.3818359375</v>
      </c>
    </row>
    <row r="325" spans="1:15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5.7788722789590938</v>
      </c>
      <c r="H325">
        <v>8.6568750000000003E-4</v>
      </c>
      <c r="I325">
        <v>-0.82478785104453167</v>
      </c>
      <c r="J325">
        <v>-7.1400853280111304E-4</v>
      </c>
      <c r="M325">
        <v>5.6542633620280318</v>
      </c>
      <c r="N325">
        <v>9.765625E-4</v>
      </c>
      <c r="O325">
        <f t="shared" si="5"/>
        <v>0.3828125</v>
      </c>
    </row>
    <row r="326" spans="1:15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5.6542633620280318</v>
      </c>
      <c r="H326">
        <v>5.7825219726562508E-4</v>
      </c>
      <c r="I326">
        <v>-0.82822083981962469</v>
      </c>
      <c r="J326">
        <v>-4.7892052044687931E-4</v>
      </c>
      <c r="M326">
        <v>5.7788722789590938</v>
      </c>
      <c r="N326">
        <v>4.8828125E-4</v>
      </c>
      <c r="O326">
        <f t="shared" si="5"/>
        <v>0.38330078125</v>
      </c>
    </row>
    <row r="327" spans="1:15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6.2341878094155181</v>
      </c>
      <c r="H327">
        <v>1.220754638671875E-3</v>
      </c>
      <c r="I327">
        <v>-0.81236440869242676</v>
      </c>
      <c r="J327">
        <v>-9.9169762020321489E-4</v>
      </c>
      <c r="M327">
        <v>5.7788722789590938</v>
      </c>
      <c r="N327">
        <v>9.765625E-4</v>
      </c>
      <c r="O327">
        <f t="shared" si="5"/>
        <v>0.38427734375</v>
      </c>
    </row>
    <row r="328" spans="1:15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6.6691311449561415</v>
      </c>
      <c r="H328">
        <v>7.7100292968750007E-4</v>
      </c>
      <c r="I328">
        <v>-0.80067162562045502</v>
      </c>
      <c r="J328">
        <v>-6.1732016907102409E-4</v>
      </c>
      <c r="M328">
        <v>5.7788722789590938</v>
      </c>
      <c r="N328">
        <v>4.8828125E-4</v>
      </c>
      <c r="O328">
        <f t="shared" si="5"/>
        <v>0.384765625</v>
      </c>
    </row>
    <row r="329" spans="1:15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5.6542633620280318</v>
      </c>
      <c r="H329">
        <v>1.220754638671875E-3</v>
      </c>
      <c r="I329">
        <v>-0.82822083981962469</v>
      </c>
      <c r="J329">
        <v>-1.0110544320545227E-3</v>
      </c>
      <c r="M329">
        <v>5.7788722789590938</v>
      </c>
      <c r="N329">
        <v>9.765625E-4</v>
      </c>
      <c r="O329">
        <f t="shared" si="5"/>
        <v>0.3857421875</v>
      </c>
    </row>
    <row r="330" spans="1:15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6.2341878094155181</v>
      </c>
      <c r="H330">
        <v>2.577148681640625E-3</v>
      </c>
      <c r="I330">
        <v>-0.81236440869242676</v>
      </c>
      <c r="J330">
        <v>-2.0935838648734537E-3</v>
      </c>
      <c r="M330">
        <v>5.7788722789590938</v>
      </c>
      <c r="N330">
        <v>1.953125E-3</v>
      </c>
      <c r="O330">
        <f t="shared" si="5"/>
        <v>0.3876953125</v>
      </c>
    </row>
    <row r="331" spans="1:15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6.6691311449561415</v>
      </c>
      <c r="H331">
        <v>1.6276728515624999E-3</v>
      </c>
      <c r="I331">
        <v>-0.80067162562045502</v>
      </c>
      <c r="J331">
        <v>-1.3032314680388284E-3</v>
      </c>
      <c r="M331">
        <v>5.7788722789590938</v>
      </c>
      <c r="N331">
        <v>9.765625E-4</v>
      </c>
      <c r="O331">
        <f t="shared" si="5"/>
        <v>0.388671875</v>
      </c>
    </row>
    <row r="332" spans="1:15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5.6542633620280318</v>
      </c>
      <c r="H332">
        <v>7.7100292968750007E-4</v>
      </c>
      <c r="I332">
        <v>-0.82822083981962469</v>
      </c>
      <c r="J332">
        <v>-6.385606939291723E-4</v>
      </c>
      <c r="M332">
        <v>5.7788722789590938</v>
      </c>
      <c r="N332">
        <v>4.8828125E-4</v>
      </c>
      <c r="O332">
        <f t="shared" si="5"/>
        <v>0.38916015625</v>
      </c>
    </row>
    <row r="333" spans="1:15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6.2341878094155181</v>
      </c>
      <c r="H333">
        <v>1.6276728515625001E-3</v>
      </c>
      <c r="I333">
        <v>-0.81236440869242676</v>
      </c>
      <c r="J333">
        <v>-1.3222634936042865E-3</v>
      </c>
      <c r="M333">
        <v>5.7788722789590938</v>
      </c>
      <c r="N333">
        <v>9.765625E-4</v>
      </c>
      <c r="O333">
        <f t="shared" si="5"/>
        <v>0.39013671875</v>
      </c>
    </row>
    <row r="334" spans="1:15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6.6691311449561415</v>
      </c>
      <c r="H334">
        <v>1.0280039062499999E-3</v>
      </c>
      <c r="I334">
        <v>-0.80067162562045502</v>
      </c>
      <c r="J334">
        <v>-8.230935587613653E-4</v>
      </c>
      <c r="M334">
        <v>5.7788722789590938</v>
      </c>
      <c r="N334">
        <v>4.8828125E-4</v>
      </c>
      <c r="O334">
        <f t="shared" si="5"/>
        <v>0.390625</v>
      </c>
    </row>
    <row r="335" spans="1:15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5.6542633620280318</v>
      </c>
      <c r="H335">
        <v>1.220754638671875E-3</v>
      </c>
      <c r="I335">
        <v>-0.82822083981962469</v>
      </c>
      <c r="J335">
        <v>-1.0110544320545227E-3</v>
      </c>
      <c r="M335">
        <v>6.1456161362916664</v>
      </c>
      <c r="N335">
        <v>4.8828125E-4</v>
      </c>
      <c r="O335">
        <f t="shared" si="5"/>
        <v>0.39111328125</v>
      </c>
    </row>
    <row r="336" spans="1:15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6.2341878094155181</v>
      </c>
      <c r="H336">
        <v>2.577148681640625E-3</v>
      </c>
      <c r="I336">
        <v>-0.81236440869242676</v>
      </c>
      <c r="J336">
        <v>-2.0935838648734537E-3</v>
      </c>
      <c r="M336">
        <v>6.1456161362916664</v>
      </c>
      <c r="N336">
        <v>9.765625E-4</v>
      </c>
      <c r="O336">
        <f t="shared" si="5"/>
        <v>0.39208984375</v>
      </c>
    </row>
    <row r="337" spans="1:15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6.6691311449561415</v>
      </c>
      <c r="H337">
        <v>1.6276728515624999E-3</v>
      </c>
      <c r="I337">
        <v>-0.80067162562045502</v>
      </c>
      <c r="J337">
        <v>-1.3032314680388284E-3</v>
      </c>
      <c r="M337">
        <v>6.1456161362916664</v>
      </c>
      <c r="N337">
        <v>4.8828125E-4</v>
      </c>
      <c r="O337">
        <f t="shared" si="5"/>
        <v>0.392578125</v>
      </c>
    </row>
    <row r="338" spans="1:15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5.6542633620280318</v>
      </c>
      <c r="H338">
        <v>2.577148681640625E-3</v>
      </c>
      <c r="I338">
        <v>-0.82822083981962469</v>
      </c>
      <c r="J338">
        <v>-2.1344482454484369E-3</v>
      </c>
      <c r="M338">
        <v>6.1456161362916664</v>
      </c>
      <c r="N338">
        <v>9.765625E-4</v>
      </c>
      <c r="O338">
        <f t="shared" si="5"/>
        <v>0.3935546875</v>
      </c>
    </row>
    <row r="339" spans="1:15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6.2341878094155181</v>
      </c>
      <c r="H339">
        <v>5.4406472167968746E-3</v>
      </c>
      <c r="I339">
        <v>-0.81236440869242676</v>
      </c>
      <c r="J339">
        <v>-4.4197881591772903E-3</v>
      </c>
      <c r="M339">
        <v>6.1456161362916664</v>
      </c>
      <c r="N339">
        <v>1.953125E-3</v>
      </c>
      <c r="O339">
        <f t="shared" si="5"/>
        <v>0.3955078125</v>
      </c>
    </row>
    <row r="340" spans="1:15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6.6691311449561415</v>
      </c>
      <c r="H340">
        <v>3.4361982421874998E-3</v>
      </c>
      <c r="I340">
        <v>-0.80067162562045502</v>
      </c>
      <c r="J340">
        <v>-2.7512664325264153E-3</v>
      </c>
      <c r="M340">
        <v>6.1456161362916664</v>
      </c>
      <c r="N340">
        <v>9.765625E-4</v>
      </c>
      <c r="O340">
        <f t="shared" si="5"/>
        <v>0.396484375</v>
      </c>
    </row>
    <row r="341" spans="1:15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5.6542633620280318</v>
      </c>
      <c r="H341">
        <v>1.6276728515624999E-3</v>
      </c>
      <c r="I341">
        <v>-0.82822083981962469</v>
      </c>
      <c r="J341">
        <v>-1.348072576072697E-3</v>
      </c>
      <c r="M341">
        <v>6.1456161362916664</v>
      </c>
      <c r="N341">
        <v>4.8828125E-4</v>
      </c>
      <c r="O341">
        <f t="shared" si="5"/>
        <v>0.39697265625</v>
      </c>
    </row>
    <row r="342" spans="1:15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6.2341878094155181</v>
      </c>
      <c r="H342">
        <v>3.4361982421874998E-3</v>
      </c>
      <c r="I342">
        <v>-0.81236440869242676</v>
      </c>
      <c r="J342">
        <v>-2.7914451531646043E-3</v>
      </c>
      <c r="M342">
        <v>6.1456161362916664</v>
      </c>
      <c r="N342">
        <v>9.765625E-4</v>
      </c>
      <c r="O342">
        <f t="shared" si="5"/>
        <v>0.39794921875</v>
      </c>
    </row>
    <row r="343" spans="1:15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6.6691311449561415</v>
      </c>
      <c r="H343">
        <v>2.1702304687499997E-3</v>
      </c>
      <c r="I343">
        <v>-0.80067162562045502</v>
      </c>
      <c r="J343">
        <v>-1.7376419573851044E-3</v>
      </c>
      <c r="M343">
        <v>6.1456161362916664</v>
      </c>
      <c r="N343">
        <v>4.8828125E-4</v>
      </c>
      <c r="O343">
        <f t="shared" si="5"/>
        <v>0.3984375</v>
      </c>
    </row>
    <row r="344" spans="1:15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5.6542633620280318</v>
      </c>
      <c r="H344">
        <v>7.7100292968750007E-4</v>
      </c>
      <c r="I344">
        <v>-0.82822083981962469</v>
      </c>
      <c r="J344">
        <v>-6.385606939291723E-4</v>
      </c>
      <c r="M344">
        <v>6.2341878094155181</v>
      </c>
      <c r="N344">
        <v>1.953125E-3</v>
      </c>
      <c r="O344">
        <f t="shared" si="5"/>
        <v>0.400390625</v>
      </c>
    </row>
    <row r="345" spans="1:15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6.2341878094155181</v>
      </c>
      <c r="H345">
        <v>1.6276728515625001E-3</v>
      </c>
      <c r="I345">
        <v>-0.81236440869242676</v>
      </c>
      <c r="J345">
        <v>-1.3222634936042865E-3</v>
      </c>
      <c r="M345">
        <v>6.2341878094155181</v>
      </c>
      <c r="N345">
        <v>3.90625E-3</v>
      </c>
      <c r="O345">
        <f t="shared" si="5"/>
        <v>0.404296875</v>
      </c>
    </row>
    <row r="346" spans="1:15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6.6691311449561415</v>
      </c>
      <c r="H346">
        <v>1.0280039062499999E-3</v>
      </c>
      <c r="I346">
        <v>-0.80067162562045502</v>
      </c>
      <c r="J346">
        <v>-8.230935587613653E-4</v>
      </c>
      <c r="M346">
        <v>6.2341878094155181</v>
      </c>
      <c r="N346">
        <v>1.953125E-3</v>
      </c>
      <c r="O346">
        <f t="shared" si="5"/>
        <v>0.40625</v>
      </c>
    </row>
    <row r="347" spans="1:15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5.6542633620280318</v>
      </c>
      <c r="H347">
        <v>1.6276728515624999E-3</v>
      </c>
      <c r="I347">
        <v>-0.82822083981962469</v>
      </c>
      <c r="J347">
        <v>-1.348072576072697E-3</v>
      </c>
      <c r="M347">
        <v>6.2341878094155181</v>
      </c>
      <c r="N347">
        <v>3.90625E-3</v>
      </c>
      <c r="O347">
        <f t="shared" si="5"/>
        <v>0.41015625</v>
      </c>
    </row>
    <row r="348" spans="1:15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6.2341878094155181</v>
      </c>
      <c r="H348">
        <v>3.4361982421874998E-3</v>
      </c>
      <c r="I348">
        <v>-0.81236440869242676</v>
      </c>
      <c r="J348">
        <v>-2.7914451531646043E-3</v>
      </c>
      <c r="M348">
        <v>6.2341878094155181</v>
      </c>
      <c r="N348">
        <v>7.8125E-3</v>
      </c>
      <c r="O348">
        <f t="shared" si="5"/>
        <v>0.41796875</v>
      </c>
    </row>
    <row r="349" spans="1:15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6.6691311449561415</v>
      </c>
      <c r="H349">
        <v>2.1702304687499997E-3</v>
      </c>
      <c r="I349">
        <v>-0.80067162562045502</v>
      </c>
      <c r="J349">
        <v>-1.7376419573851044E-3</v>
      </c>
      <c r="M349">
        <v>6.2341878094155181</v>
      </c>
      <c r="N349">
        <v>3.90625E-3</v>
      </c>
      <c r="O349">
        <f t="shared" si="5"/>
        <v>0.421875</v>
      </c>
    </row>
    <row r="350" spans="1:15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5.6542633620280318</v>
      </c>
      <c r="H350">
        <v>1.0280039062499999E-3</v>
      </c>
      <c r="I350">
        <v>-0.82822083981962469</v>
      </c>
      <c r="J350">
        <v>-8.514142585722297E-4</v>
      </c>
      <c r="M350">
        <v>6.2341878094155181</v>
      </c>
      <c r="N350">
        <v>1.953125E-3</v>
      </c>
      <c r="O350">
        <f t="shared" si="5"/>
        <v>0.423828125</v>
      </c>
    </row>
    <row r="351" spans="1:15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6.2341878094155181</v>
      </c>
      <c r="H351">
        <v>2.1702304687499997E-3</v>
      </c>
      <c r="I351">
        <v>-0.81236440869242676</v>
      </c>
      <c r="J351">
        <v>-1.7630179914723816E-3</v>
      </c>
      <c r="M351">
        <v>6.2341878094155181</v>
      </c>
      <c r="N351">
        <v>3.90625E-3</v>
      </c>
      <c r="O351">
        <f t="shared" si="5"/>
        <v>0.427734375</v>
      </c>
    </row>
    <row r="352" spans="1:15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6.6691311449561415</v>
      </c>
      <c r="H352">
        <v>1.3706718749999999E-3</v>
      </c>
      <c r="I352">
        <v>-0.80067162562045502</v>
      </c>
      <c r="J352">
        <v>-1.0974580783484871E-3</v>
      </c>
      <c r="M352">
        <v>6.2341878094155181</v>
      </c>
      <c r="N352">
        <v>1.953125E-3</v>
      </c>
      <c r="O352">
        <f t="shared" si="5"/>
        <v>0.4296875</v>
      </c>
    </row>
    <row r="353" spans="1:15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6.9590933686498833</v>
      </c>
      <c r="H353">
        <v>1.2207546386718748E-3</v>
      </c>
      <c r="I353">
        <v>-0.79297008732926888</v>
      </c>
      <c r="J353">
        <v>-9.6802191243524661E-4</v>
      </c>
      <c r="M353">
        <v>6.6691311449561415</v>
      </c>
      <c r="N353">
        <v>9.765625E-4</v>
      </c>
      <c r="O353">
        <f t="shared" si="5"/>
        <v>0.4306640625</v>
      </c>
    </row>
    <row r="354" spans="1:15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7.6728465346652532</v>
      </c>
      <c r="H354">
        <v>2.5771486816406246E-3</v>
      </c>
      <c r="I354">
        <v>-0.77432658405995325</v>
      </c>
      <c r="J354">
        <v>-1.9955547352693967E-3</v>
      </c>
      <c r="M354">
        <v>6.6691311449561415</v>
      </c>
      <c r="N354">
        <v>1.953125E-3</v>
      </c>
      <c r="O354">
        <f t="shared" si="5"/>
        <v>0.4326171875</v>
      </c>
    </row>
    <row r="355" spans="1:15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8.2081614091767889</v>
      </c>
      <c r="H355">
        <v>1.6276728515624997E-3</v>
      </c>
      <c r="I355">
        <v>-0.76063217648087267</v>
      </c>
      <c r="J355">
        <v>-1.2380603436828125E-3</v>
      </c>
      <c r="M355">
        <v>6.6691311449561415</v>
      </c>
      <c r="N355">
        <v>9.765625E-4</v>
      </c>
      <c r="O355">
        <f t="shared" si="5"/>
        <v>0.43359375</v>
      </c>
    </row>
    <row r="356" spans="1:15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6.9590933686498833</v>
      </c>
      <c r="H356">
        <v>2.5771486816406246E-3</v>
      </c>
      <c r="I356">
        <v>-0.79297008732926888</v>
      </c>
      <c r="J356">
        <v>-2.0436018151410761E-3</v>
      </c>
      <c r="M356">
        <v>6.6691311449561415</v>
      </c>
      <c r="N356">
        <v>1.953125E-3</v>
      </c>
      <c r="O356">
        <f t="shared" si="5"/>
        <v>0.435546875</v>
      </c>
    </row>
    <row r="357" spans="1:15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7.6728465346652532</v>
      </c>
      <c r="H357">
        <v>5.4406472167968737E-3</v>
      </c>
      <c r="I357">
        <v>-0.77432658405995325</v>
      </c>
      <c r="J357">
        <v>-4.2128377744576149E-3</v>
      </c>
      <c r="M357">
        <v>6.6691311449561415</v>
      </c>
      <c r="N357">
        <v>3.90625E-3</v>
      </c>
      <c r="O357">
        <f t="shared" si="5"/>
        <v>0.439453125</v>
      </c>
    </row>
    <row r="358" spans="1:15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7.6728465346652532</v>
      </c>
      <c r="H358">
        <v>5.4406472167968737E-3</v>
      </c>
      <c r="I358">
        <v>-0.77432658405995325</v>
      </c>
      <c r="J358">
        <v>-4.2128377744576149E-3</v>
      </c>
      <c r="M358">
        <v>6.6691311449561415</v>
      </c>
      <c r="N358">
        <v>1.953125E-3</v>
      </c>
      <c r="O358">
        <f t="shared" si="5"/>
        <v>0.44140625</v>
      </c>
    </row>
    <row r="359" spans="1:15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6.9590933686498833</v>
      </c>
      <c r="H359">
        <v>1.6276728515624997E-3</v>
      </c>
      <c r="I359">
        <v>-0.79297008732926888</v>
      </c>
      <c r="J359">
        <v>-1.2906958832469954E-3</v>
      </c>
      <c r="M359">
        <v>6.6691311449561415</v>
      </c>
      <c r="N359">
        <v>9.765625E-4</v>
      </c>
      <c r="O359">
        <f t="shared" si="5"/>
        <v>0.4423828125</v>
      </c>
    </row>
    <row r="360" spans="1:15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7.6728465346652532</v>
      </c>
      <c r="H360">
        <v>3.4361982421874993E-3</v>
      </c>
      <c r="I360">
        <v>-0.77432658405995325</v>
      </c>
      <c r="J360">
        <v>-2.6607396470258622E-3</v>
      </c>
      <c r="M360">
        <v>6.6691311449561415</v>
      </c>
      <c r="N360">
        <v>1.953125E-3</v>
      </c>
      <c r="O360">
        <f t="shared" si="5"/>
        <v>0.4443359375</v>
      </c>
    </row>
    <row r="361" spans="1:15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8.2081614091767889</v>
      </c>
      <c r="H361">
        <v>2.1702304687499993E-3</v>
      </c>
      <c r="I361">
        <v>-0.76063217648087267</v>
      </c>
      <c r="J361">
        <v>-1.6507471249104166E-3</v>
      </c>
      <c r="M361">
        <v>6.6691311449561415</v>
      </c>
      <c r="N361">
        <v>9.765625E-4</v>
      </c>
      <c r="O361">
        <f t="shared" si="5"/>
        <v>0.4453125</v>
      </c>
    </row>
    <row r="362" spans="1:15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6.9590933686498833</v>
      </c>
      <c r="H362">
        <v>2.5771486816406246E-3</v>
      </c>
      <c r="I362">
        <v>-0.79297008732926888</v>
      </c>
      <c r="J362">
        <v>-2.0436018151410761E-3</v>
      </c>
      <c r="M362">
        <v>6.7759357400138889</v>
      </c>
      <c r="N362">
        <v>9.765625E-4</v>
      </c>
      <c r="O362">
        <f t="shared" si="5"/>
        <v>0.4462890625</v>
      </c>
    </row>
    <row r="363" spans="1:15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7.6728465346652532</v>
      </c>
      <c r="H363">
        <v>5.4406472167968737E-3</v>
      </c>
      <c r="I363">
        <v>-0.77432658405995325</v>
      </c>
      <c r="J363">
        <v>-4.2128377744576149E-3</v>
      </c>
      <c r="M363">
        <v>6.7759357400138889</v>
      </c>
      <c r="N363">
        <v>1.953125E-3</v>
      </c>
      <c r="O363">
        <f t="shared" si="5"/>
        <v>0.4482421875</v>
      </c>
    </row>
    <row r="364" spans="1:15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8.2081614091767889</v>
      </c>
      <c r="H364">
        <v>3.4361982421874993E-3</v>
      </c>
      <c r="I364">
        <v>-0.76063217648087267</v>
      </c>
      <c r="J364">
        <v>-2.6136829477748265E-3</v>
      </c>
      <c r="M364">
        <v>6.7759357400138889</v>
      </c>
      <c r="N364">
        <v>9.765625E-4</v>
      </c>
      <c r="O364">
        <f t="shared" si="5"/>
        <v>0.44921875</v>
      </c>
    </row>
    <row r="365" spans="1:15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6.9590933686498833</v>
      </c>
      <c r="H365">
        <v>5.4406472167968746E-3</v>
      </c>
      <c r="I365">
        <v>-0.79297008732926888</v>
      </c>
      <c r="J365">
        <v>-4.3142704986311609E-3</v>
      </c>
      <c r="M365">
        <v>6.7759357400138889</v>
      </c>
      <c r="N365">
        <v>1.953125E-3</v>
      </c>
      <c r="O365">
        <f t="shared" si="5"/>
        <v>0.451171875</v>
      </c>
    </row>
    <row r="366" spans="1:15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7.6728465346652532</v>
      </c>
      <c r="H366">
        <v>1.1485810791015622E-2</v>
      </c>
      <c r="I366">
        <v>-0.77432658405995325</v>
      </c>
      <c r="J366">
        <v>-8.8937686349660761E-3</v>
      </c>
      <c r="M366">
        <v>6.7759357400138889</v>
      </c>
      <c r="N366">
        <v>3.90625E-3</v>
      </c>
      <c r="O366">
        <f t="shared" si="5"/>
        <v>0.455078125</v>
      </c>
    </row>
    <row r="367" spans="1:15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8.2081614091767889</v>
      </c>
      <c r="H367">
        <v>7.2541962890624988E-3</v>
      </c>
      <c r="I367">
        <v>-0.76063217648087267</v>
      </c>
      <c r="J367">
        <v>-5.517775111969078E-3</v>
      </c>
      <c r="M367">
        <v>6.7759357400138889</v>
      </c>
      <c r="N367">
        <v>1.953125E-3</v>
      </c>
      <c r="O367">
        <f t="shared" si="5"/>
        <v>0.45703125</v>
      </c>
    </row>
    <row r="368" spans="1:15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6.9590933686498833</v>
      </c>
      <c r="H368">
        <v>3.4361982421874993E-3</v>
      </c>
      <c r="I368">
        <v>-0.79297008732926888</v>
      </c>
      <c r="J368">
        <v>-2.7248024201881015E-3</v>
      </c>
      <c r="M368">
        <v>6.7759357400138889</v>
      </c>
      <c r="N368">
        <v>9.765625E-4</v>
      </c>
      <c r="O368">
        <f t="shared" si="5"/>
        <v>0.4580078125</v>
      </c>
    </row>
    <row r="369" spans="1:15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7.6728465346652532</v>
      </c>
      <c r="H369">
        <v>7.254196289062498E-3</v>
      </c>
      <c r="I369">
        <v>-0.77432658405995325</v>
      </c>
      <c r="J369">
        <v>-5.6171170326101529E-3</v>
      </c>
      <c r="M369">
        <v>6.7759357400138889</v>
      </c>
      <c r="N369">
        <v>1.953125E-3</v>
      </c>
      <c r="O369">
        <f t="shared" si="5"/>
        <v>0.4599609375</v>
      </c>
    </row>
    <row r="370" spans="1:15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8.2081614091767889</v>
      </c>
      <c r="H370">
        <v>4.5815976562499985E-3</v>
      </c>
      <c r="I370">
        <v>-0.76063217648087267</v>
      </c>
      <c r="J370">
        <v>-3.4849105970331017E-3</v>
      </c>
      <c r="M370">
        <v>6.7759357400138889</v>
      </c>
      <c r="N370">
        <v>9.765625E-4</v>
      </c>
      <c r="O370">
        <f t="shared" si="5"/>
        <v>0.4609375</v>
      </c>
    </row>
    <row r="371" spans="1:15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6.9590933686498833</v>
      </c>
      <c r="H371">
        <v>1.6276728515624997E-3</v>
      </c>
      <c r="I371">
        <v>-0.79297008732926888</v>
      </c>
      <c r="J371">
        <v>-1.2906958832469954E-3</v>
      </c>
      <c r="M371">
        <v>6.9590933686498833</v>
      </c>
      <c r="N371">
        <v>1.953125E-3</v>
      </c>
      <c r="O371">
        <f t="shared" si="5"/>
        <v>0.462890625</v>
      </c>
    </row>
    <row r="372" spans="1:15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7.6728465346652532</v>
      </c>
      <c r="H372">
        <v>3.4361982421874993E-3</v>
      </c>
      <c r="I372">
        <v>-0.77432658405995325</v>
      </c>
      <c r="J372">
        <v>-2.6607396470258622E-3</v>
      </c>
      <c r="M372">
        <v>6.9590933686498833</v>
      </c>
      <c r="N372">
        <v>3.90625E-3</v>
      </c>
      <c r="O372">
        <f t="shared" si="5"/>
        <v>0.466796875</v>
      </c>
    </row>
    <row r="373" spans="1:15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8.2081614091767889</v>
      </c>
      <c r="H373">
        <v>2.1702304687499993E-3</v>
      </c>
      <c r="I373">
        <v>-0.76063217648087267</v>
      </c>
      <c r="J373">
        <v>-1.6507471249104166E-3</v>
      </c>
      <c r="M373">
        <v>6.9590933686498833</v>
      </c>
      <c r="N373">
        <v>1.953125E-3</v>
      </c>
      <c r="O373">
        <f t="shared" si="5"/>
        <v>0.46875</v>
      </c>
    </row>
    <row r="374" spans="1:15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6.9590933686498833</v>
      </c>
      <c r="H374">
        <v>3.4361982421874993E-3</v>
      </c>
      <c r="I374">
        <v>-0.79297008732926888</v>
      </c>
      <c r="J374">
        <v>-2.7248024201881015E-3</v>
      </c>
      <c r="M374">
        <v>6.9590933686498833</v>
      </c>
      <c r="N374">
        <v>3.90625E-3</v>
      </c>
      <c r="O374">
        <f t="shared" si="5"/>
        <v>0.47265625</v>
      </c>
    </row>
    <row r="375" spans="1:15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7.6728465346652532</v>
      </c>
      <c r="H375">
        <v>7.254196289062498E-3</v>
      </c>
      <c r="I375">
        <v>-0.77432658405995325</v>
      </c>
      <c r="J375">
        <v>-5.6171170326101529E-3</v>
      </c>
      <c r="M375">
        <v>6.9590933686498833</v>
      </c>
      <c r="N375">
        <v>7.8125E-3</v>
      </c>
      <c r="O375">
        <f t="shared" si="5"/>
        <v>0.48046875</v>
      </c>
    </row>
    <row r="376" spans="1:15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8.2081614091767889</v>
      </c>
      <c r="H376">
        <v>4.5815976562499985E-3</v>
      </c>
      <c r="I376">
        <v>-0.76063217648087267</v>
      </c>
      <c r="J376">
        <v>-3.4849105970331017E-3</v>
      </c>
      <c r="M376">
        <v>6.9590933686498833</v>
      </c>
      <c r="N376">
        <v>3.90625E-3</v>
      </c>
      <c r="O376">
        <f t="shared" si="5"/>
        <v>0.484375</v>
      </c>
    </row>
    <row r="377" spans="1:15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6.9590933686498833</v>
      </c>
      <c r="H377">
        <v>2.1702304687499997E-3</v>
      </c>
      <c r="I377">
        <v>-0.79297008732926888</v>
      </c>
      <c r="J377">
        <v>-1.7209278443293275E-3</v>
      </c>
      <c r="M377">
        <v>6.9590933686498833</v>
      </c>
      <c r="N377">
        <v>1.953125E-3</v>
      </c>
      <c r="O377">
        <f t="shared" si="5"/>
        <v>0.486328125</v>
      </c>
    </row>
    <row r="378" spans="1:15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7.6728465346652532</v>
      </c>
      <c r="H378">
        <v>4.5815976562499994E-3</v>
      </c>
      <c r="I378">
        <v>-0.77432658405995325</v>
      </c>
      <c r="J378">
        <v>-3.5476528627011498E-3</v>
      </c>
      <c r="M378">
        <v>6.9590933686498833</v>
      </c>
      <c r="N378">
        <v>3.90625E-3</v>
      </c>
      <c r="O378">
        <f t="shared" si="5"/>
        <v>0.490234375</v>
      </c>
    </row>
    <row r="379" spans="1:15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8.2081614091767889</v>
      </c>
      <c r="H379">
        <v>2.8936406249999995E-3</v>
      </c>
      <c r="I379">
        <v>-0.76063217648087267</v>
      </c>
      <c r="J379">
        <v>-2.2009961665472224E-3</v>
      </c>
      <c r="M379">
        <v>6.9590933686498833</v>
      </c>
      <c r="N379">
        <v>1.953125E-3</v>
      </c>
      <c r="O379">
        <f t="shared" si="5"/>
        <v>0.4921875</v>
      </c>
    </row>
    <row r="380" spans="1:15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7.8289800397311256</v>
      </c>
      <c r="H380">
        <v>7.7100292968750007E-4</v>
      </c>
      <c r="I380">
        <v>-0.77030710859140117</v>
      </c>
      <c r="J380">
        <v>-5.9390903748307751E-4</v>
      </c>
      <c r="M380">
        <v>7.2486754428055598</v>
      </c>
      <c r="N380">
        <v>4.8828125E-4</v>
      </c>
      <c r="O380">
        <f t="shared" si="5"/>
        <v>0.49267578125</v>
      </c>
    </row>
    <row r="381" spans="1:15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8.631952351498418</v>
      </c>
      <c r="H381">
        <v>1.6276728515625001E-3</v>
      </c>
      <c r="I381">
        <v>-0.74996274647662253</v>
      </c>
      <c r="J381">
        <v>-1.2206940021232484E-3</v>
      </c>
      <c r="M381">
        <v>7.2486754428055598</v>
      </c>
      <c r="N381">
        <v>9.765625E-4</v>
      </c>
      <c r="O381">
        <f t="shared" si="5"/>
        <v>0.49365234375</v>
      </c>
    </row>
    <row r="382" spans="1:15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9.2341815853238813</v>
      </c>
      <c r="H382">
        <v>1.0280039062499999E-3</v>
      </c>
      <c r="I382">
        <v>-0.73505786656779926</v>
      </c>
      <c r="J382">
        <v>-7.5564235815148888E-4</v>
      </c>
      <c r="M382">
        <v>7.2486754428055598</v>
      </c>
      <c r="N382">
        <v>4.8828125E-4</v>
      </c>
      <c r="O382">
        <f t="shared" si="5"/>
        <v>0.494140625</v>
      </c>
    </row>
    <row r="383" spans="1:15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7.8289800397311256</v>
      </c>
      <c r="H383">
        <v>1.6276728515624999E-3</v>
      </c>
      <c r="I383">
        <v>-0.77030710859140117</v>
      </c>
      <c r="J383">
        <v>-1.2538079680198303E-3</v>
      </c>
      <c r="M383">
        <v>7.2486754428055598</v>
      </c>
      <c r="N383">
        <v>9.765625E-4</v>
      </c>
      <c r="O383">
        <f t="shared" si="5"/>
        <v>0.4951171875</v>
      </c>
    </row>
    <row r="384" spans="1:15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8.631952351498418</v>
      </c>
      <c r="H384">
        <v>3.4361982421874998E-3</v>
      </c>
      <c r="I384">
        <v>-0.74996274647662253</v>
      </c>
      <c r="J384">
        <v>-2.5770206711490801E-3</v>
      </c>
      <c r="M384">
        <v>7.2486754428055598</v>
      </c>
      <c r="N384">
        <v>1.953125E-3</v>
      </c>
      <c r="O384">
        <f t="shared" si="5"/>
        <v>0.4970703125</v>
      </c>
    </row>
    <row r="385" spans="1:15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9.2341815853238813</v>
      </c>
      <c r="H385">
        <v>2.1702304687499997E-3</v>
      </c>
      <c r="I385">
        <v>-0.73505786656779926</v>
      </c>
      <c r="J385">
        <v>-1.5952449783198097E-3</v>
      </c>
      <c r="M385">
        <v>7.2486754428055598</v>
      </c>
      <c r="N385">
        <v>9.765625E-4</v>
      </c>
      <c r="O385">
        <f t="shared" si="5"/>
        <v>0.498046875</v>
      </c>
    </row>
    <row r="386" spans="1:15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7.8289800397311256</v>
      </c>
      <c r="H386">
        <v>1.0280039062499999E-3</v>
      </c>
      <c r="I386">
        <v>-0.77030710859140117</v>
      </c>
      <c r="J386">
        <v>-7.9187871664410331E-4</v>
      </c>
      <c r="M386">
        <v>7.2486754428055598</v>
      </c>
      <c r="N386">
        <v>4.8828125E-4</v>
      </c>
      <c r="O386">
        <f t="shared" si="5"/>
        <v>0.49853515625</v>
      </c>
    </row>
    <row r="387" spans="1:15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8.631952351498418</v>
      </c>
      <c r="H387">
        <v>2.1702304687499997E-3</v>
      </c>
      <c r="I387">
        <v>-0.74996274647662253</v>
      </c>
      <c r="J387">
        <v>-1.6275920028309978E-3</v>
      </c>
      <c r="M387">
        <v>7.2486754428055598</v>
      </c>
      <c r="N387">
        <v>9.765625E-4</v>
      </c>
      <c r="O387">
        <f t="shared" si="5"/>
        <v>0.49951171875</v>
      </c>
    </row>
    <row r="388" spans="1:15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9.2341815853238813</v>
      </c>
      <c r="H388">
        <v>1.3706718749999999E-3</v>
      </c>
      <c r="I388">
        <v>-0.73505786656779926</v>
      </c>
      <c r="J388">
        <v>-1.0075231442019852E-3</v>
      </c>
      <c r="M388">
        <v>7.2486754428055598</v>
      </c>
      <c r="N388">
        <v>4.8828125E-4</v>
      </c>
      <c r="O388">
        <f t="shared" ref="O388:O451" si="6">N388+O387</f>
        <v>0.5</v>
      </c>
    </row>
    <row r="389" spans="1:15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7.8289800397311256</v>
      </c>
      <c r="H389">
        <v>1.6276728515624997E-3</v>
      </c>
      <c r="I389">
        <v>-0.77030710859140117</v>
      </c>
      <c r="J389">
        <v>-1.2538079680198301E-3</v>
      </c>
      <c r="M389">
        <v>7.5638352446666657</v>
      </c>
      <c r="N389">
        <v>9.765625E-4</v>
      </c>
      <c r="O389">
        <f t="shared" si="6"/>
        <v>0.5009765625</v>
      </c>
    </row>
    <row r="390" spans="1:15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8.631952351498418</v>
      </c>
      <c r="H390">
        <v>3.4361982421874993E-3</v>
      </c>
      <c r="I390">
        <v>-0.74996274647662253</v>
      </c>
      <c r="J390">
        <v>-2.5770206711490796E-3</v>
      </c>
      <c r="M390">
        <v>7.5638352446666657</v>
      </c>
      <c r="N390">
        <v>1.953125E-3</v>
      </c>
      <c r="O390">
        <f t="shared" si="6"/>
        <v>0.5029296875</v>
      </c>
    </row>
    <row r="391" spans="1:15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9.2341815853238813</v>
      </c>
      <c r="H391">
        <v>2.1702304687499993E-3</v>
      </c>
      <c r="I391">
        <v>-0.73505786656779926</v>
      </c>
      <c r="J391">
        <v>-1.5952449783198095E-3</v>
      </c>
      <c r="M391">
        <v>7.5638352446666657</v>
      </c>
      <c r="N391">
        <v>9.765625E-4</v>
      </c>
      <c r="O391">
        <f t="shared" si="6"/>
        <v>0.50390625</v>
      </c>
    </row>
    <row r="392" spans="1:15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7.8289800397311256</v>
      </c>
      <c r="H392">
        <v>3.4361982421874993E-3</v>
      </c>
      <c r="I392">
        <v>-0.77030710859140117</v>
      </c>
      <c r="J392">
        <v>-2.6469279324863077E-3</v>
      </c>
      <c r="M392">
        <v>7.5638352446666657</v>
      </c>
      <c r="N392">
        <v>1.953125E-3</v>
      </c>
      <c r="O392">
        <f t="shared" si="6"/>
        <v>0.505859375</v>
      </c>
    </row>
    <row r="393" spans="1:15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8.631952351498418</v>
      </c>
      <c r="H393">
        <v>7.254196289062498E-3</v>
      </c>
      <c r="I393">
        <v>-0.74996274647662253</v>
      </c>
      <c r="J393">
        <v>-5.4403769724258345E-3</v>
      </c>
      <c r="M393">
        <v>7.5638352446666657</v>
      </c>
      <c r="N393">
        <v>3.90625E-3</v>
      </c>
      <c r="O393">
        <f t="shared" si="6"/>
        <v>0.509765625</v>
      </c>
    </row>
    <row r="394" spans="1:15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9.2341815853238813</v>
      </c>
      <c r="H394">
        <v>4.5815976562499985E-3</v>
      </c>
      <c r="I394">
        <v>-0.73505786656779926</v>
      </c>
      <c r="J394">
        <v>-3.367739398675153E-3</v>
      </c>
      <c r="M394">
        <v>7.5638352446666657</v>
      </c>
      <c r="N394">
        <v>1.953125E-3</v>
      </c>
      <c r="O394">
        <f t="shared" si="6"/>
        <v>0.51171875</v>
      </c>
    </row>
    <row r="395" spans="1:15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7.8289800397311256</v>
      </c>
      <c r="H395">
        <v>2.1702304687499997E-3</v>
      </c>
      <c r="I395">
        <v>-0.77030710859140117</v>
      </c>
      <c r="J395">
        <v>-1.6717439573597735E-3</v>
      </c>
      <c r="M395">
        <v>7.5638352446666657</v>
      </c>
      <c r="N395">
        <v>9.765625E-4</v>
      </c>
      <c r="O395">
        <f t="shared" si="6"/>
        <v>0.5126953125</v>
      </c>
    </row>
    <row r="396" spans="1:15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8.631952351498418</v>
      </c>
      <c r="H396">
        <v>4.5815976562499994E-3</v>
      </c>
      <c r="I396">
        <v>-0.74996274647662253</v>
      </c>
      <c r="J396">
        <v>-3.4360275615321063E-3</v>
      </c>
      <c r="M396">
        <v>7.5638352446666657</v>
      </c>
      <c r="N396">
        <v>1.953125E-3</v>
      </c>
      <c r="O396">
        <f t="shared" si="6"/>
        <v>0.5146484375</v>
      </c>
    </row>
    <row r="397" spans="1:15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9.2341815853238813</v>
      </c>
      <c r="H397">
        <v>2.8936406249999995E-3</v>
      </c>
      <c r="I397">
        <v>-0.73505786656779926</v>
      </c>
      <c r="J397">
        <v>-2.1269933044264131E-3</v>
      </c>
      <c r="M397">
        <v>7.5638352446666657</v>
      </c>
      <c r="N397">
        <v>9.765625E-4</v>
      </c>
      <c r="O397">
        <f t="shared" si="6"/>
        <v>0.515625</v>
      </c>
    </row>
    <row r="398" spans="1:15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7.8289800397311256</v>
      </c>
      <c r="H398">
        <v>1.0280039062499999E-3</v>
      </c>
      <c r="I398">
        <v>-0.77030710859140117</v>
      </c>
      <c r="J398">
        <v>-7.9187871664410331E-4</v>
      </c>
      <c r="M398">
        <v>7.6728465346652532</v>
      </c>
      <c r="N398">
        <v>3.90625E-3</v>
      </c>
      <c r="O398">
        <f t="shared" si="6"/>
        <v>0.51953125</v>
      </c>
    </row>
    <row r="399" spans="1:15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8.631952351498418</v>
      </c>
      <c r="H399">
        <v>2.1702304687499997E-3</v>
      </c>
      <c r="I399">
        <v>-0.74996274647662253</v>
      </c>
      <c r="J399">
        <v>-1.6275920028309978E-3</v>
      </c>
      <c r="M399">
        <v>7.6728465346652532</v>
      </c>
      <c r="N399">
        <v>7.8125E-3</v>
      </c>
      <c r="O399">
        <f t="shared" si="6"/>
        <v>0.52734375</v>
      </c>
    </row>
    <row r="400" spans="1:15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9.2341815853238813</v>
      </c>
      <c r="H400">
        <v>1.3706718749999999E-3</v>
      </c>
      <c r="I400">
        <v>-0.73505786656779926</v>
      </c>
      <c r="J400">
        <v>-1.0075231442019852E-3</v>
      </c>
      <c r="M400">
        <v>7.6728465346652532</v>
      </c>
      <c r="N400">
        <v>3.90625E-3</v>
      </c>
      <c r="O400">
        <f t="shared" si="6"/>
        <v>0.53125</v>
      </c>
    </row>
    <row r="401" spans="1:15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7.8289800397311256</v>
      </c>
      <c r="H401">
        <v>2.1702304687499997E-3</v>
      </c>
      <c r="I401">
        <v>-0.77030710859140117</v>
      </c>
      <c r="J401">
        <v>-1.6717439573597735E-3</v>
      </c>
      <c r="M401">
        <v>7.6728465346652532</v>
      </c>
      <c r="N401">
        <v>7.8125E-3</v>
      </c>
      <c r="O401">
        <f t="shared" si="6"/>
        <v>0.5390625</v>
      </c>
    </row>
    <row r="402" spans="1:15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8.631952351498418</v>
      </c>
      <c r="H402">
        <v>4.5815976562499994E-3</v>
      </c>
      <c r="I402">
        <v>-0.74996274647662253</v>
      </c>
      <c r="J402">
        <v>-3.4360275615321063E-3</v>
      </c>
      <c r="M402">
        <v>7.6728465346652532</v>
      </c>
      <c r="N402">
        <v>1.5625E-2</v>
      </c>
      <c r="O402">
        <f t="shared" si="6"/>
        <v>0.5546875</v>
      </c>
    </row>
    <row r="403" spans="1:15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9.2341815853238813</v>
      </c>
      <c r="H403">
        <v>2.8936406249999995E-3</v>
      </c>
      <c r="I403">
        <v>-0.73505786656779926</v>
      </c>
      <c r="J403">
        <v>-2.1269933044264131E-3</v>
      </c>
      <c r="M403">
        <v>7.6728465346652532</v>
      </c>
      <c r="N403">
        <v>7.8125E-3</v>
      </c>
      <c r="O403">
        <f t="shared" si="6"/>
        <v>0.5625</v>
      </c>
    </row>
    <row r="404" spans="1:15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7.8289800397311256</v>
      </c>
      <c r="H404">
        <v>1.3706718749999999E-3</v>
      </c>
      <c r="I404">
        <v>-0.77030710859140117</v>
      </c>
      <c r="J404">
        <v>-1.0558382888588044E-3</v>
      </c>
      <c r="M404">
        <v>7.6728465346652532</v>
      </c>
      <c r="N404">
        <v>3.90625E-3</v>
      </c>
      <c r="O404">
        <f t="shared" si="6"/>
        <v>0.56640625</v>
      </c>
    </row>
    <row r="405" spans="1:15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8.631952351498418</v>
      </c>
      <c r="H405">
        <v>2.8936406249999995E-3</v>
      </c>
      <c r="I405">
        <v>-0.74996274647662253</v>
      </c>
      <c r="J405">
        <v>-2.1701226704413301E-3</v>
      </c>
      <c r="M405">
        <v>7.6728465346652532</v>
      </c>
      <c r="N405">
        <v>7.8125E-3</v>
      </c>
      <c r="O405">
        <f t="shared" si="6"/>
        <v>0.57421875</v>
      </c>
    </row>
    <row r="406" spans="1:15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9.2341815853238813</v>
      </c>
      <c r="H406">
        <v>1.8275624999999998E-3</v>
      </c>
      <c r="I406">
        <v>-0.73505786656779926</v>
      </c>
      <c r="J406">
        <v>-1.3433641922693134E-3</v>
      </c>
      <c r="M406">
        <v>7.6728465346652532</v>
      </c>
      <c r="N406">
        <v>3.90625E-3</v>
      </c>
      <c r="O406">
        <f t="shared" si="6"/>
        <v>0.578125</v>
      </c>
    </row>
    <row r="407" spans="1:15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6.1456161362916664</v>
      </c>
      <c r="H407">
        <v>3.652119140625E-4</v>
      </c>
      <c r="I407">
        <v>-0.81476636853652451</v>
      </c>
      <c r="J407">
        <v>-2.975623849669764E-4</v>
      </c>
      <c r="M407">
        <v>7.7847272221630144</v>
      </c>
      <c r="N407">
        <v>2.44140625E-4</v>
      </c>
      <c r="O407">
        <f t="shared" si="6"/>
        <v>0.578369140625</v>
      </c>
    </row>
    <row r="408" spans="1:15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6.7759357400138889</v>
      </c>
      <c r="H408">
        <v>7.7100292968749996E-4</v>
      </c>
      <c r="I408">
        <v>-0.79782618011185058</v>
      </c>
      <c r="J408">
        <v>-6.1512632224762379E-4</v>
      </c>
      <c r="M408">
        <v>7.7847272221630144</v>
      </c>
      <c r="N408">
        <v>4.8828125E-4</v>
      </c>
      <c r="O408">
        <f t="shared" si="6"/>
        <v>0.578857421875</v>
      </c>
    </row>
    <row r="409" spans="1:15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7.2486754428055598</v>
      </c>
      <c r="H409">
        <v>4.8694921874999997E-4</v>
      </c>
      <c r="I409">
        <v>-0.78535258061165103</v>
      </c>
      <c r="J409">
        <v>-3.8242682557213984E-4</v>
      </c>
      <c r="M409">
        <v>7.7847272221630144</v>
      </c>
      <c r="N409">
        <v>2.44140625E-4</v>
      </c>
      <c r="O409">
        <f t="shared" si="6"/>
        <v>0.5791015625</v>
      </c>
    </row>
    <row r="410" spans="1:15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6.1456161362916664</v>
      </c>
      <c r="H410">
        <v>7.7100292968749996E-4</v>
      </c>
      <c r="I410">
        <v>-0.81476636853652451</v>
      </c>
      <c r="J410">
        <v>-6.2818725715250566E-4</v>
      </c>
      <c r="M410">
        <v>7.7847272221630144</v>
      </c>
      <c r="N410">
        <v>4.8828125E-4</v>
      </c>
      <c r="O410">
        <f t="shared" si="6"/>
        <v>0.57958984375</v>
      </c>
    </row>
    <row r="411" spans="1:15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6.7759357400138889</v>
      </c>
      <c r="H411">
        <v>1.6276728515624999E-3</v>
      </c>
      <c r="I411">
        <v>-0.79782618011185058</v>
      </c>
      <c r="J411">
        <v>-1.2986000136338725E-3</v>
      </c>
      <c r="M411">
        <v>7.7847272221630144</v>
      </c>
      <c r="N411">
        <v>9.765625E-4</v>
      </c>
      <c r="O411">
        <f t="shared" si="6"/>
        <v>0.58056640625</v>
      </c>
    </row>
    <row r="412" spans="1:15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7.2486754428055598</v>
      </c>
      <c r="H412">
        <v>1.0280039062499999E-3</v>
      </c>
      <c r="I412">
        <v>-0.78535258061165103</v>
      </c>
      <c r="J412">
        <v>-8.0734552065229526E-4</v>
      </c>
      <c r="M412">
        <v>7.7847272221630144</v>
      </c>
      <c r="N412">
        <v>4.8828125E-4</v>
      </c>
      <c r="O412">
        <f t="shared" si="6"/>
        <v>0.5810546875</v>
      </c>
    </row>
    <row r="413" spans="1:15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6.1456161362916664</v>
      </c>
      <c r="H413">
        <v>4.8694921874999997E-4</v>
      </c>
      <c r="I413">
        <v>-0.81476636853652451</v>
      </c>
      <c r="J413">
        <v>-3.9674984662263518E-4</v>
      </c>
      <c r="M413">
        <v>7.7847272221630144</v>
      </c>
      <c r="N413">
        <v>2.44140625E-4</v>
      </c>
      <c r="O413">
        <f t="shared" si="6"/>
        <v>0.581298828125</v>
      </c>
    </row>
    <row r="414" spans="1:15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6.1456161362916664</v>
      </c>
      <c r="H414">
        <v>1.0280039062499999E-3</v>
      </c>
      <c r="I414">
        <v>-0.81476636853652451</v>
      </c>
      <c r="J414">
        <v>-8.3758300953667422E-4</v>
      </c>
      <c r="M414">
        <v>7.7847272221630144</v>
      </c>
      <c r="N414">
        <v>4.8828125E-4</v>
      </c>
      <c r="O414">
        <f t="shared" si="6"/>
        <v>0.581787109375</v>
      </c>
    </row>
    <row r="415" spans="1:15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7.2486754428055598</v>
      </c>
      <c r="H415">
        <v>6.4926562499999999E-4</v>
      </c>
      <c r="I415">
        <v>-0.78535258061165103</v>
      </c>
      <c r="J415">
        <v>-5.0990243409618653E-4</v>
      </c>
      <c r="M415">
        <v>7.7847272221630144</v>
      </c>
      <c r="N415">
        <v>2.44140625E-4</v>
      </c>
      <c r="O415">
        <f t="shared" si="6"/>
        <v>0.58203125</v>
      </c>
    </row>
    <row r="416" spans="1:15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6.1456161362916664</v>
      </c>
      <c r="H416">
        <v>7.7100292968750007E-4</v>
      </c>
      <c r="I416">
        <v>-0.81476636853652451</v>
      </c>
      <c r="J416">
        <v>-6.2818725715250577E-4</v>
      </c>
      <c r="M416">
        <v>7.8289800397311256</v>
      </c>
      <c r="N416">
        <v>9.765625E-4</v>
      </c>
      <c r="O416">
        <f t="shared" si="6"/>
        <v>0.5830078125</v>
      </c>
    </row>
    <row r="417" spans="1:15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6.7759357400138889</v>
      </c>
      <c r="H417">
        <v>1.6276728515625001E-3</v>
      </c>
      <c r="I417">
        <v>-0.79782618011185058</v>
      </c>
      <c r="J417">
        <v>-1.2986000136338727E-3</v>
      </c>
      <c r="M417">
        <v>7.8289800397311256</v>
      </c>
      <c r="N417">
        <v>1.953125E-3</v>
      </c>
      <c r="O417">
        <f t="shared" si="6"/>
        <v>0.5849609375</v>
      </c>
    </row>
    <row r="418" spans="1:15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7.2486754428055598</v>
      </c>
      <c r="H418">
        <v>1.0280039062499999E-3</v>
      </c>
      <c r="I418">
        <v>-0.78535258061165103</v>
      </c>
      <c r="J418">
        <v>-8.0734552065229526E-4</v>
      </c>
      <c r="M418">
        <v>7.8289800397311256</v>
      </c>
      <c r="N418">
        <v>9.765625E-4</v>
      </c>
      <c r="O418">
        <f t="shared" si="6"/>
        <v>0.5859375</v>
      </c>
    </row>
    <row r="419" spans="1:15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6.1456161362916664</v>
      </c>
      <c r="H419">
        <v>1.6276728515624999E-3</v>
      </c>
      <c r="I419">
        <v>-0.81476636853652451</v>
      </c>
      <c r="J419">
        <v>-1.3261730984330676E-3</v>
      </c>
      <c r="M419">
        <v>7.8289800397311256</v>
      </c>
      <c r="N419">
        <v>1.953125E-3</v>
      </c>
      <c r="O419">
        <f t="shared" si="6"/>
        <v>0.587890625</v>
      </c>
    </row>
    <row r="420" spans="1:15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6.7759357400138889</v>
      </c>
      <c r="H420">
        <v>3.4361982421874998E-3</v>
      </c>
      <c r="I420">
        <v>-0.79782618011185058</v>
      </c>
      <c r="J420">
        <v>-2.7414889176715085E-3</v>
      </c>
      <c r="M420">
        <v>7.8289800397311256</v>
      </c>
      <c r="N420">
        <v>3.90625E-3</v>
      </c>
      <c r="O420">
        <f t="shared" si="6"/>
        <v>0.591796875</v>
      </c>
    </row>
    <row r="421" spans="1:15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7.2486754428055598</v>
      </c>
      <c r="H421">
        <v>2.1702304687499997E-3</v>
      </c>
      <c r="I421">
        <v>-0.78535258061165103</v>
      </c>
      <c r="J421">
        <v>-1.7043960991548453E-3</v>
      </c>
      <c r="M421">
        <v>7.8289800397311256</v>
      </c>
      <c r="N421">
        <v>1.953125E-3</v>
      </c>
      <c r="O421">
        <f t="shared" si="6"/>
        <v>0.59375</v>
      </c>
    </row>
    <row r="422" spans="1:15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6.1456161362916664</v>
      </c>
      <c r="H422">
        <v>1.0280039062499999E-3</v>
      </c>
      <c r="I422">
        <v>-0.81476636853652451</v>
      </c>
      <c r="J422">
        <v>-8.3758300953667422E-4</v>
      </c>
      <c r="M422">
        <v>7.8289800397311256</v>
      </c>
      <c r="N422">
        <v>9.765625E-4</v>
      </c>
      <c r="O422">
        <f t="shared" si="6"/>
        <v>0.5947265625</v>
      </c>
    </row>
    <row r="423" spans="1:15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6.7759357400138889</v>
      </c>
      <c r="H423">
        <v>2.1702304687499997E-3</v>
      </c>
      <c r="I423">
        <v>-0.79782618011185058</v>
      </c>
      <c r="J423">
        <v>-1.7314666848451633E-3</v>
      </c>
      <c r="M423">
        <v>7.8289800397311256</v>
      </c>
      <c r="N423">
        <v>1.953125E-3</v>
      </c>
      <c r="O423">
        <f t="shared" si="6"/>
        <v>0.5966796875</v>
      </c>
    </row>
    <row r="424" spans="1:15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7.2486754428055598</v>
      </c>
      <c r="H424">
        <v>1.3706718749999999E-3</v>
      </c>
      <c r="I424">
        <v>-0.78535258061165103</v>
      </c>
      <c r="J424">
        <v>-1.0764606942030603E-3</v>
      </c>
      <c r="M424">
        <v>7.8289800397311256</v>
      </c>
      <c r="N424">
        <v>9.765625E-4</v>
      </c>
      <c r="O424">
        <f t="shared" si="6"/>
        <v>0.59765625</v>
      </c>
    </row>
    <row r="425" spans="1:15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6.1456161362916664</v>
      </c>
      <c r="H425">
        <v>4.8694921875000008E-4</v>
      </c>
      <c r="I425">
        <v>-0.81476636853652451</v>
      </c>
      <c r="J425">
        <v>-3.9674984662263523E-4</v>
      </c>
      <c r="M425">
        <v>8.2081614091767889</v>
      </c>
      <c r="N425">
        <v>1.953125E-3</v>
      </c>
      <c r="O425">
        <f t="shared" si="6"/>
        <v>0.599609375</v>
      </c>
    </row>
    <row r="426" spans="1:15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6.7759357400138889</v>
      </c>
      <c r="H426">
        <v>1.0280039062500002E-3</v>
      </c>
      <c r="I426">
        <v>-0.79782618011185058</v>
      </c>
      <c r="J426">
        <v>-8.201684296634986E-4</v>
      </c>
      <c r="M426">
        <v>8.2081614091767889</v>
      </c>
      <c r="N426">
        <v>3.90625E-3</v>
      </c>
      <c r="O426">
        <f t="shared" si="6"/>
        <v>0.603515625</v>
      </c>
    </row>
    <row r="427" spans="1:15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7.2486754428055598</v>
      </c>
      <c r="H427">
        <v>6.492656250000001E-4</v>
      </c>
      <c r="I427">
        <v>-0.78535258061165103</v>
      </c>
      <c r="J427">
        <v>-5.0990243409618653E-4</v>
      </c>
      <c r="M427">
        <v>8.2081614091767889</v>
      </c>
      <c r="N427">
        <v>1.953125E-3</v>
      </c>
      <c r="O427">
        <f t="shared" si="6"/>
        <v>0.60546875</v>
      </c>
    </row>
    <row r="428" spans="1:15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6.1456161362916664</v>
      </c>
      <c r="H428">
        <v>1.0280039062499999E-3</v>
      </c>
      <c r="I428">
        <v>-0.81476636853652451</v>
      </c>
      <c r="J428">
        <v>-8.3758300953667422E-4</v>
      </c>
      <c r="M428">
        <v>8.2081614091767889</v>
      </c>
      <c r="N428">
        <v>3.90625E-3</v>
      </c>
      <c r="O428">
        <f t="shared" si="6"/>
        <v>0.609375</v>
      </c>
    </row>
    <row r="429" spans="1:15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6.7759357400138889</v>
      </c>
      <c r="H429">
        <v>2.1702304687499997E-3</v>
      </c>
      <c r="I429">
        <v>-0.79782618011185058</v>
      </c>
      <c r="J429">
        <v>-1.7314666848451633E-3</v>
      </c>
      <c r="M429">
        <v>8.2081614091767889</v>
      </c>
      <c r="N429">
        <v>7.8125E-3</v>
      </c>
      <c r="O429">
        <f t="shared" si="6"/>
        <v>0.6171875</v>
      </c>
    </row>
    <row r="430" spans="1:15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7.2486754428055598</v>
      </c>
      <c r="H430">
        <v>1.3706718749999999E-3</v>
      </c>
      <c r="I430">
        <v>-0.78535258061165103</v>
      </c>
      <c r="J430">
        <v>-1.0764606942030603E-3</v>
      </c>
      <c r="M430">
        <v>8.2081614091767889</v>
      </c>
      <c r="N430">
        <v>3.90625E-3</v>
      </c>
      <c r="O430">
        <f t="shared" si="6"/>
        <v>0.62109375</v>
      </c>
    </row>
    <row r="431" spans="1:15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6.1456161362916664</v>
      </c>
      <c r="H431">
        <v>6.492656250000001E-4</v>
      </c>
      <c r="I431">
        <v>-0.81476636853652451</v>
      </c>
      <c r="J431">
        <v>-5.2899979549684705E-4</v>
      </c>
      <c r="M431">
        <v>8.2081614091767889</v>
      </c>
      <c r="N431">
        <v>1.953125E-3</v>
      </c>
      <c r="O431">
        <f t="shared" si="6"/>
        <v>0.623046875</v>
      </c>
    </row>
    <row r="432" spans="1:15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6.7759357400138889</v>
      </c>
      <c r="H432">
        <v>1.3706718749999999E-3</v>
      </c>
      <c r="I432">
        <v>-0.79782618011185058</v>
      </c>
      <c r="J432">
        <v>-1.093557906217998E-3</v>
      </c>
      <c r="M432">
        <v>8.2081614091767889</v>
      </c>
      <c r="N432">
        <v>3.90625E-3</v>
      </c>
      <c r="O432">
        <f t="shared" si="6"/>
        <v>0.626953125</v>
      </c>
    </row>
    <row r="433" spans="1:15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7.2486754428055598</v>
      </c>
      <c r="H433">
        <v>8.6568750000000003E-4</v>
      </c>
      <c r="I433">
        <v>-0.78535258061165103</v>
      </c>
      <c r="J433">
        <v>-6.7986991212824863E-4</v>
      </c>
      <c r="M433">
        <v>8.2081614091767889</v>
      </c>
      <c r="N433">
        <v>1.953125E-3</v>
      </c>
      <c r="O433">
        <f t="shared" si="6"/>
        <v>0.62890625</v>
      </c>
    </row>
    <row r="434" spans="1:15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7.5638352446666657</v>
      </c>
      <c r="H434">
        <v>7.7100292968750007E-4</v>
      </c>
      <c r="I434">
        <v>-0.77714538029555857</v>
      </c>
      <c r="J434">
        <v>-5.9918136500098208E-4</v>
      </c>
      <c r="M434">
        <v>8.3396132184786271</v>
      </c>
      <c r="N434">
        <v>1.953125E-3</v>
      </c>
      <c r="O434">
        <f t="shared" si="6"/>
        <v>0.630859375</v>
      </c>
    </row>
    <row r="435" spans="1:15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8.3396132184786271</v>
      </c>
      <c r="H435">
        <v>1.6276728515625001E-3</v>
      </c>
      <c r="I435">
        <v>-0.75730658519116745</v>
      </c>
      <c r="J435">
        <v>-1.2326473690251669E-3</v>
      </c>
      <c r="M435">
        <v>8.3396132184786271</v>
      </c>
      <c r="N435">
        <v>3.90625E-3</v>
      </c>
      <c r="O435">
        <f t="shared" si="6"/>
        <v>0.634765625</v>
      </c>
    </row>
    <row r="436" spans="1:15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8.9214466988376042</v>
      </c>
      <c r="H436">
        <v>1.0280039062499999E-3</v>
      </c>
      <c r="I436">
        <v>-0.74276055307551048</v>
      </c>
      <c r="J436">
        <v>-7.6356074997003523E-4</v>
      </c>
      <c r="M436">
        <v>8.3396132184786271</v>
      </c>
      <c r="N436">
        <v>1.953125E-3</v>
      </c>
      <c r="O436">
        <f t="shared" si="6"/>
        <v>0.63671875</v>
      </c>
    </row>
    <row r="437" spans="1:15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7.5638352446666657</v>
      </c>
      <c r="H437">
        <v>1.6276728515624999E-3</v>
      </c>
      <c r="I437">
        <v>-0.77714538029555857</v>
      </c>
      <c r="J437">
        <v>-1.2649384372242954E-3</v>
      </c>
      <c r="M437">
        <v>8.3396132184786271</v>
      </c>
      <c r="N437">
        <v>3.90625E-3</v>
      </c>
      <c r="O437">
        <f t="shared" si="6"/>
        <v>0.640625</v>
      </c>
    </row>
    <row r="438" spans="1:15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8.3396132184786271</v>
      </c>
      <c r="H438">
        <v>3.4361982421874998E-3</v>
      </c>
      <c r="I438">
        <v>-0.75730658519116745</v>
      </c>
      <c r="J438">
        <v>-2.6022555568309077E-3</v>
      </c>
      <c r="M438">
        <v>8.3396132184786271</v>
      </c>
      <c r="N438">
        <v>7.8125E-3</v>
      </c>
      <c r="O438">
        <f t="shared" si="6"/>
        <v>0.6484375</v>
      </c>
    </row>
    <row r="439" spans="1:15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8.9214466988376042</v>
      </c>
      <c r="H439">
        <v>2.1702304687499997E-3</v>
      </c>
      <c r="I439">
        <v>-0.74276055307551048</v>
      </c>
      <c r="J439">
        <v>-1.6119615832700742E-3</v>
      </c>
      <c r="M439">
        <v>8.3396132184786271</v>
      </c>
      <c r="N439">
        <v>3.90625E-3</v>
      </c>
      <c r="O439">
        <f t="shared" si="6"/>
        <v>0.65234375</v>
      </c>
    </row>
    <row r="440" spans="1:15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7.5638352446666657</v>
      </c>
      <c r="H440">
        <v>1.0280039062499999E-3</v>
      </c>
      <c r="I440">
        <v>-0.77714538029555857</v>
      </c>
      <c r="J440">
        <v>-7.9890848666797597E-4</v>
      </c>
      <c r="M440">
        <v>8.3396132184786271</v>
      </c>
      <c r="N440">
        <v>1.953125E-3</v>
      </c>
      <c r="O440">
        <f t="shared" si="6"/>
        <v>0.654296875</v>
      </c>
    </row>
    <row r="441" spans="1:15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8.3396132184786271</v>
      </c>
      <c r="H441">
        <v>2.1702304687499997E-3</v>
      </c>
      <c r="I441">
        <v>-0.75730658519116745</v>
      </c>
      <c r="J441">
        <v>-1.6435298253668889E-3</v>
      </c>
      <c r="M441">
        <v>8.3396132184786271</v>
      </c>
      <c r="N441">
        <v>3.90625E-3</v>
      </c>
      <c r="O441">
        <f t="shared" si="6"/>
        <v>0.658203125</v>
      </c>
    </row>
    <row r="442" spans="1:15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8.9214466988376042</v>
      </c>
      <c r="H442">
        <v>1.3706718749999999E-3</v>
      </c>
      <c r="I442">
        <v>-0.74276055307551048</v>
      </c>
      <c r="J442">
        <v>-1.0180809999600468E-3</v>
      </c>
      <c r="M442">
        <v>8.3396132184786271</v>
      </c>
      <c r="N442">
        <v>1.953125E-3</v>
      </c>
      <c r="O442">
        <f t="shared" si="6"/>
        <v>0.66015625</v>
      </c>
    </row>
    <row r="443" spans="1:15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7.5638352446666657</v>
      </c>
      <c r="H443">
        <v>1.6276728515624997E-3</v>
      </c>
      <c r="I443">
        <v>-0.77714538029555857</v>
      </c>
      <c r="J443">
        <v>-1.2649384372242951E-3</v>
      </c>
      <c r="M443">
        <v>8.5093146502500066</v>
      </c>
      <c r="N443">
        <v>4.8828125E-4</v>
      </c>
      <c r="O443">
        <f t="shared" si="6"/>
        <v>0.66064453125</v>
      </c>
    </row>
    <row r="444" spans="1:15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8.3396132184786271</v>
      </c>
      <c r="H444">
        <v>3.4361982421874993E-3</v>
      </c>
      <c r="I444">
        <v>-0.75730658519116745</v>
      </c>
      <c r="J444">
        <v>-2.6022555568309073E-3</v>
      </c>
      <c r="M444">
        <v>8.5093146502500066</v>
      </c>
      <c r="N444">
        <v>9.765625E-4</v>
      </c>
      <c r="O444">
        <f t="shared" si="6"/>
        <v>0.66162109375</v>
      </c>
    </row>
    <row r="445" spans="1:15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8.9214466988376042</v>
      </c>
      <c r="H445">
        <v>2.1702304687499993E-3</v>
      </c>
      <c r="I445">
        <v>-0.74276055307551048</v>
      </c>
      <c r="J445">
        <v>-1.6119615832700738E-3</v>
      </c>
      <c r="M445">
        <v>8.5093146502500066</v>
      </c>
      <c r="N445">
        <v>4.8828125E-4</v>
      </c>
      <c r="O445">
        <f t="shared" si="6"/>
        <v>0.662109375</v>
      </c>
    </row>
    <row r="446" spans="1:15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7.5638352446666657</v>
      </c>
      <c r="H446">
        <v>3.4361982421874993E-3</v>
      </c>
      <c r="I446">
        <v>-0.77714538029555857</v>
      </c>
      <c r="J446">
        <v>-2.6704255896957342E-3</v>
      </c>
      <c r="M446">
        <v>8.5093146502500066</v>
      </c>
      <c r="N446">
        <v>9.765625E-4</v>
      </c>
      <c r="O446">
        <f t="shared" si="6"/>
        <v>0.6630859375</v>
      </c>
    </row>
    <row r="447" spans="1:15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8.3396132184786271</v>
      </c>
      <c r="H447">
        <v>7.254196289062498E-3</v>
      </c>
      <c r="I447">
        <v>-0.75730658519116745</v>
      </c>
      <c r="J447">
        <v>-5.4936506199763594E-3</v>
      </c>
      <c r="M447">
        <v>8.5093146502500066</v>
      </c>
      <c r="N447">
        <v>1.953125E-3</v>
      </c>
      <c r="O447">
        <f t="shared" si="6"/>
        <v>0.6650390625</v>
      </c>
    </row>
    <row r="448" spans="1:15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8.9214466988376042</v>
      </c>
      <c r="H448">
        <v>4.5815976562499985E-3</v>
      </c>
      <c r="I448">
        <v>-0.74276055307551048</v>
      </c>
      <c r="J448">
        <v>-3.4030300091257115E-3</v>
      </c>
      <c r="M448">
        <v>8.5093146502500066</v>
      </c>
      <c r="N448">
        <v>9.765625E-4</v>
      </c>
      <c r="O448">
        <f t="shared" si="6"/>
        <v>0.666015625</v>
      </c>
    </row>
    <row r="449" spans="1:15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7.5638352446666657</v>
      </c>
      <c r="H449">
        <v>2.1702304687499997E-3</v>
      </c>
      <c r="I449">
        <v>-0.77714538029555857</v>
      </c>
      <c r="J449">
        <v>-1.686584582965727E-3</v>
      </c>
      <c r="M449">
        <v>8.5093146502500066</v>
      </c>
      <c r="N449">
        <v>4.8828125E-4</v>
      </c>
      <c r="O449">
        <f t="shared" si="6"/>
        <v>0.66650390625</v>
      </c>
    </row>
    <row r="450" spans="1:15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8.3396132184786271</v>
      </c>
      <c r="H450">
        <v>4.5815976562499994E-3</v>
      </c>
      <c r="I450">
        <v>-0.75730658519116745</v>
      </c>
      <c r="J450">
        <v>-3.4696740757745432E-3</v>
      </c>
      <c r="M450">
        <v>8.5093146502500066</v>
      </c>
      <c r="N450">
        <v>9.765625E-4</v>
      </c>
      <c r="O450">
        <f t="shared" si="6"/>
        <v>0.66748046875</v>
      </c>
    </row>
    <row r="451" spans="1:15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8.9214466988376042</v>
      </c>
      <c r="H451">
        <v>2.8936406249999995E-3</v>
      </c>
      <c r="I451">
        <v>-0.74276055307551048</v>
      </c>
      <c r="J451">
        <v>-2.1492821110267657E-3</v>
      </c>
      <c r="M451">
        <v>8.5093146502500066</v>
      </c>
      <c r="N451">
        <v>4.8828125E-4</v>
      </c>
      <c r="O451">
        <f t="shared" si="6"/>
        <v>0.66796875</v>
      </c>
    </row>
    <row r="452" spans="1:15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7.5638352446666657</v>
      </c>
      <c r="H452">
        <v>1.0280039062499999E-3</v>
      </c>
      <c r="I452">
        <v>-0.77714538029555857</v>
      </c>
      <c r="J452">
        <v>-7.9890848666797597E-4</v>
      </c>
      <c r="M452">
        <v>8.5831607834105093</v>
      </c>
      <c r="N452">
        <v>4.8828125E-4</v>
      </c>
      <c r="O452">
        <f t="shared" ref="O452:O515" si="7">N452+O451</f>
        <v>0.66845703125</v>
      </c>
    </row>
    <row r="453" spans="1:15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8.3396132184786271</v>
      </c>
      <c r="H453">
        <v>2.1702304687499997E-3</v>
      </c>
      <c r="I453">
        <v>-0.75730658519116745</v>
      </c>
      <c r="J453">
        <v>-1.6435298253668889E-3</v>
      </c>
      <c r="M453">
        <v>8.5831607834105093</v>
      </c>
      <c r="N453">
        <v>9.765625E-4</v>
      </c>
      <c r="O453">
        <f t="shared" si="7"/>
        <v>0.66943359375</v>
      </c>
    </row>
    <row r="454" spans="1:15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8.9214466988376042</v>
      </c>
      <c r="H454">
        <v>1.3706718749999999E-3</v>
      </c>
      <c r="I454">
        <v>-0.74276055307551048</v>
      </c>
      <c r="J454">
        <v>-1.0180809999600468E-3</v>
      </c>
      <c r="M454">
        <v>8.5831607834105093</v>
      </c>
      <c r="N454">
        <v>4.8828125E-4</v>
      </c>
      <c r="O454">
        <f t="shared" si="7"/>
        <v>0.669921875</v>
      </c>
    </row>
    <row r="455" spans="1:15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7.5638352446666657</v>
      </c>
      <c r="H455">
        <v>2.1702304687499997E-3</v>
      </c>
      <c r="I455">
        <v>-0.77714538029555857</v>
      </c>
      <c r="J455">
        <v>-1.686584582965727E-3</v>
      </c>
      <c r="M455">
        <v>8.5831607834105093</v>
      </c>
      <c r="N455">
        <v>9.765625E-4</v>
      </c>
      <c r="O455">
        <f t="shared" si="7"/>
        <v>0.6708984375</v>
      </c>
    </row>
    <row r="456" spans="1:15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8.3396132184786271</v>
      </c>
      <c r="H456">
        <v>4.5815976562499994E-3</v>
      </c>
      <c r="I456">
        <v>-0.75730658519116745</v>
      </c>
      <c r="J456">
        <v>-3.4696740757745432E-3</v>
      </c>
      <c r="M456">
        <v>8.5831607834105093</v>
      </c>
      <c r="N456">
        <v>1.953125E-3</v>
      </c>
      <c r="O456">
        <f t="shared" si="7"/>
        <v>0.6728515625</v>
      </c>
    </row>
    <row r="457" spans="1:15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8.9214466988376042</v>
      </c>
      <c r="H457">
        <v>2.8936406249999995E-3</v>
      </c>
      <c r="I457">
        <v>-0.74276055307551048</v>
      </c>
      <c r="J457">
        <v>-2.1492821110267657E-3</v>
      </c>
      <c r="M457">
        <v>8.5831607834105093</v>
      </c>
      <c r="N457">
        <v>9.765625E-4</v>
      </c>
      <c r="O457">
        <f t="shared" si="7"/>
        <v>0.673828125</v>
      </c>
    </row>
    <row r="458" spans="1:15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7.5638352446666657</v>
      </c>
      <c r="H458">
        <v>1.3706718749999999E-3</v>
      </c>
      <c r="I458">
        <v>-0.77714538029555857</v>
      </c>
      <c r="J458">
        <v>-1.0652113155573014E-3</v>
      </c>
      <c r="M458">
        <v>8.5831607834105093</v>
      </c>
      <c r="N458">
        <v>4.8828125E-4</v>
      </c>
      <c r="O458">
        <f t="shared" si="7"/>
        <v>0.67431640625</v>
      </c>
    </row>
    <row r="459" spans="1:15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8.3396132184786271</v>
      </c>
      <c r="H459">
        <v>2.8936406249999995E-3</v>
      </c>
      <c r="I459">
        <v>-0.75730658519116745</v>
      </c>
      <c r="J459">
        <v>-2.191373100489185E-3</v>
      </c>
      <c r="M459">
        <v>8.5831607834105093</v>
      </c>
      <c r="N459">
        <v>9.765625E-4</v>
      </c>
      <c r="O459">
        <f t="shared" si="7"/>
        <v>0.67529296875</v>
      </c>
    </row>
    <row r="460" spans="1:15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8.9214466988376042</v>
      </c>
      <c r="H460">
        <v>1.8275624999999998E-3</v>
      </c>
      <c r="I460">
        <v>-0.74276055307551048</v>
      </c>
      <c r="J460">
        <v>-1.3574413332800624E-3</v>
      </c>
      <c r="M460">
        <v>8.5831607834105093</v>
      </c>
      <c r="N460">
        <v>4.8828125E-4</v>
      </c>
      <c r="O460">
        <f t="shared" si="7"/>
        <v>0.67578125</v>
      </c>
    </row>
    <row r="461" spans="1:15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8.5093146502500066</v>
      </c>
      <c r="H461">
        <v>4.8694921874999997E-4</v>
      </c>
      <c r="I461">
        <v>-0.75303481162361008</v>
      </c>
      <c r="J461">
        <v>-3.6668971321167034E-4</v>
      </c>
      <c r="M461">
        <v>8.631952351498418</v>
      </c>
      <c r="N461">
        <v>1.953125E-3</v>
      </c>
      <c r="O461">
        <f t="shared" si="7"/>
        <v>0.677734375</v>
      </c>
    </row>
    <row r="462" spans="1:15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9.3820648707884615</v>
      </c>
      <c r="H462">
        <v>1.0280039062499999E-3</v>
      </c>
      <c r="I462">
        <v>-0.73144335690258921</v>
      </c>
      <c r="J462">
        <v>-7.5192662809647455E-4</v>
      </c>
      <c r="M462">
        <v>8.631952351498418</v>
      </c>
      <c r="N462">
        <v>3.90625E-3</v>
      </c>
      <c r="O462">
        <f t="shared" si="7"/>
        <v>0.681640625</v>
      </c>
    </row>
    <row r="463" spans="1:15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10.036627536192313</v>
      </c>
      <c r="H463">
        <v>6.4926562499999999E-4</v>
      </c>
      <c r="I463">
        <v>-0.71565701851809349</v>
      </c>
      <c r="J463">
        <v>-4.6465150141378653E-4</v>
      </c>
      <c r="M463">
        <v>8.631952351498418</v>
      </c>
      <c r="N463">
        <v>1.953125E-3</v>
      </c>
      <c r="O463">
        <f t="shared" si="7"/>
        <v>0.68359375</v>
      </c>
    </row>
    <row r="464" spans="1:15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8.5093146502500066</v>
      </c>
      <c r="H464">
        <v>1.0280039062499999E-3</v>
      </c>
      <c r="I464">
        <v>-0.75303481162361008</v>
      </c>
      <c r="J464">
        <v>-7.7412272789130401E-4</v>
      </c>
      <c r="M464">
        <v>8.631952351498418</v>
      </c>
      <c r="N464">
        <v>3.90625E-3</v>
      </c>
      <c r="O464">
        <f t="shared" si="7"/>
        <v>0.6875</v>
      </c>
    </row>
    <row r="465" spans="1:15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9.3820648707884615</v>
      </c>
      <c r="H465">
        <v>2.1702304687499993E-3</v>
      </c>
      <c r="I465">
        <v>-0.73144335690258921</v>
      </c>
      <c r="J465">
        <v>-1.5874006593147793E-3</v>
      </c>
      <c r="M465">
        <v>8.631952351498418</v>
      </c>
      <c r="N465">
        <v>7.8125E-3</v>
      </c>
      <c r="O465">
        <f t="shared" si="7"/>
        <v>0.6953125</v>
      </c>
    </row>
    <row r="466" spans="1:15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10.036627536192313</v>
      </c>
      <c r="H466">
        <v>1.3706718749999997E-3</v>
      </c>
      <c r="I466">
        <v>-0.71565701851809349</v>
      </c>
      <c r="J466">
        <v>-9.8093094742910465E-4</v>
      </c>
      <c r="M466">
        <v>8.631952351498418</v>
      </c>
      <c r="N466">
        <v>3.90625E-3</v>
      </c>
      <c r="O466">
        <f t="shared" si="7"/>
        <v>0.69921875</v>
      </c>
    </row>
    <row r="467" spans="1:15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8.5093146502500066</v>
      </c>
      <c r="H467">
        <v>6.4926562499999999E-4</v>
      </c>
      <c r="I467">
        <v>-0.75303481162361008</v>
      </c>
      <c r="J467">
        <v>-4.8891961761556046E-4</v>
      </c>
      <c r="M467">
        <v>8.631952351498418</v>
      </c>
      <c r="N467">
        <v>1.953125E-3</v>
      </c>
      <c r="O467">
        <f t="shared" si="7"/>
        <v>0.701171875</v>
      </c>
    </row>
    <row r="468" spans="1:15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9.3820648707884615</v>
      </c>
      <c r="H468">
        <v>1.3706718749999997E-3</v>
      </c>
      <c r="I468">
        <v>-0.73144335690258921</v>
      </c>
      <c r="J468">
        <v>-1.002568837461966E-3</v>
      </c>
      <c r="M468">
        <v>8.631952351498418</v>
      </c>
      <c r="N468">
        <v>3.90625E-3</v>
      </c>
      <c r="O468">
        <f t="shared" si="7"/>
        <v>0.705078125</v>
      </c>
    </row>
    <row r="469" spans="1:15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10.036627536192313</v>
      </c>
      <c r="H469">
        <v>8.6568749999999992E-4</v>
      </c>
      <c r="I469">
        <v>-0.71565701851809349</v>
      </c>
      <c r="J469">
        <v>-6.1953533521838197E-4</v>
      </c>
      <c r="M469">
        <v>8.631952351498418</v>
      </c>
      <c r="N469">
        <v>1.953125E-3</v>
      </c>
      <c r="O469">
        <f t="shared" si="7"/>
        <v>0.70703125</v>
      </c>
    </row>
    <row r="470" spans="1:15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8.5093146502500066</v>
      </c>
      <c r="H470">
        <v>1.0280039062499999E-3</v>
      </c>
      <c r="I470">
        <v>-0.75303481162361008</v>
      </c>
      <c r="J470">
        <v>-7.7412272789130401E-4</v>
      </c>
      <c r="M470">
        <v>8.9214466988376042</v>
      </c>
      <c r="N470">
        <v>9.765625E-4</v>
      </c>
      <c r="O470">
        <f t="shared" si="7"/>
        <v>0.7080078125</v>
      </c>
    </row>
    <row r="471" spans="1:15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9.3820648707884615</v>
      </c>
      <c r="H471">
        <v>2.1702304687499997E-3</v>
      </c>
      <c r="I471">
        <v>-0.73144335690258921</v>
      </c>
      <c r="J471">
        <v>-1.5874006593147795E-3</v>
      </c>
      <c r="M471">
        <v>8.9214466988376042</v>
      </c>
      <c r="N471">
        <v>1.953125E-3</v>
      </c>
      <c r="O471">
        <f t="shared" si="7"/>
        <v>0.7099609375</v>
      </c>
    </row>
    <row r="472" spans="1:15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10.036627536192313</v>
      </c>
      <c r="H472">
        <v>1.3706718749999999E-3</v>
      </c>
      <c r="I472">
        <v>-0.71565701851809349</v>
      </c>
      <c r="J472">
        <v>-9.8093094742910487E-4</v>
      </c>
      <c r="M472">
        <v>8.9214466988376042</v>
      </c>
      <c r="N472">
        <v>9.765625E-4</v>
      </c>
      <c r="O472">
        <f t="shared" si="7"/>
        <v>0.7109375</v>
      </c>
    </row>
    <row r="473" spans="1:15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8.5093146502500066</v>
      </c>
      <c r="H473">
        <v>2.1702304687499997E-3</v>
      </c>
      <c r="I473">
        <v>-0.75303481162361008</v>
      </c>
      <c r="J473">
        <v>-1.6342590922149751E-3</v>
      </c>
      <c r="M473">
        <v>8.9214466988376042</v>
      </c>
      <c r="N473">
        <v>1.953125E-3</v>
      </c>
      <c r="O473">
        <f t="shared" si="7"/>
        <v>0.712890625</v>
      </c>
    </row>
    <row r="474" spans="1:15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9.3820648707884615</v>
      </c>
      <c r="H474">
        <v>4.5815976562499994E-3</v>
      </c>
      <c r="I474">
        <v>-0.73144335690258921</v>
      </c>
      <c r="J474">
        <v>-3.3511791696645347E-3</v>
      </c>
      <c r="M474">
        <v>8.9214466988376042</v>
      </c>
      <c r="N474">
        <v>3.90625E-3</v>
      </c>
      <c r="O474">
        <f t="shared" si="7"/>
        <v>0.716796875</v>
      </c>
    </row>
    <row r="475" spans="1:15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10.036627536192313</v>
      </c>
      <c r="H475">
        <v>2.8936406249999995E-3</v>
      </c>
      <c r="I475">
        <v>-0.71565701851809349</v>
      </c>
      <c r="J475">
        <v>-2.0708542223503322E-3</v>
      </c>
      <c r="M475">
        <v>8.9214466988376042</v>
      </c>
      <c r="N475">
        <v>1.953125E-3</v>
      </c>
      <c r="O475">
        <f t="shared" si="7"/>
        <v>0.71875</v>
      </c>
    </row>
    <row r="476" spans="1:15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8.5093146502500066</v>
      </c>
      <c r="H476">
        <v>1.3706718749999999E-3</v>
      </c>
      <c r="I476">
        <v>-0.75303481162361008</v>
      </c>
      <c r="J476">
        <v>-1.0321636371884053E-3</v>
      </c>
      <c r="M476">
        <v>8.9214466988376042</v>
      </c>
      <c r="N476">
        <v>9.765625E-4</v>
      </c>
      <c r="O476">
        <f t="shared" si="7"/>
        <v>0.7197265625</v>
      </c>
    </row>
    <row r="477" spans="1:15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9.3820648707884615</v>
      </c>
      <c r="H477">
        <v>2.8936406249999995E-3</v>
      </c>
      <c r="I477">
        <v>-0.73144335690258921</v>
      </c>
      <c r="J477">
        <v>-2.1165342124197062E-3</v>
      </c>
      <c r="M477">
        <v>8.9214466988376042</v>
      </c>
      <c r="N477">
        <v>1.953125E-3</v>
      </c>
      <c r="O477">
        <f t="shared" si="7"/>
        <v>0.7216796875</v>
      </c>
    </row>
    <row r="478" spans="1:15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10.036627536192313</v>
      </c>
      <c r="H478">
        <v>1.8275624999999998E-3</v>
      </c>
      <c r="I478">
        <v>-0.71565701851809349</v>
      </c>
      <c r="J478">
        <v>-1.307907929905473E-3</v>
      </c>
      <c r="M478">
        <v>8.9214466988376042</v>
      </c>
      <c r="N478">
        <v>9.765625E-4</v>
      </c>
      <c r="O478">
        <f t="shared" si="7"/>
        <v>0.72265625</v>
      </c>
    </row>
    <row r="479" spans="1:15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8.5093146502500066</v>
      </c>
      <c r="H479">
        <v>6.4926562499999999E-4</v>
      </c>
      <c r="I479">
        <v>-0.75303481162361008</v>
      </c>
      <c r="J479">
        <v>-4.8891961761556046E-4</v>
      </c>
      <c r="M479">
        <v>9.1819859543461195</v>
      </c>
      <c r="N479">
        <v>2.44140625E-4</v>
      </c>
      <c r="O479">
        <f t="shared" si="7"/>
        <v>0.722900390625</v>
      </c>
    </row>
    <row r="480" spans="1:15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9.3820648707884615</v>
      </c>
      <c r="H480">
        <v>1.3706718749999997E-3</v>
      </c>
      <c r="I480">
        <v>-0.73144335690258921</v>
      </c>
      <c r="J480">
        <v>-1.002568837461966E-3</v>
      </c>
      <c r="M480">
        <v>9.1819859543461195</v>
      </c>
      <c r="N480">
        <v>4.8828125E-4</v>
      </c>
      <c r="O480">
        <f t="shared" si="7"/>
        <v>0.723388671875</v>
      </c>
    </row>
    <row r="481" spans="1:15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10.036627536192313</v>
      </c>
      <c r="H481">
        <v>8.6568749999999992E-4</v>
      </c>
      <c r="I481">
        <v>-0.71565701851809349</v>
      </c>
      <c r="J481">
        <v>-6.1953533521838197E-4</v>
      </c>
      <c r="M481">
        <v>9.1819859543461195</v>
      </c>
      <c r="N481">
        <v>2.44140625E-4</v>
      </c>
      <c r="O481">
        <f t="shared" si="7"/>
        <v>0.7236328125</v>
      </c>
    </row>
    <row r="482" spans="1:15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8.5093146502500066</v>
      </c>
      <c r="H482">
        <v>1.3706718749999997E-3</v>
      </c>
      <c r="I482">
        <v>-0.75303481162361008</v>
      </c>
      <c r="J482">
        <v>-1.0321636371884051E-3</v>
      </c>
      <c r="M482">
        <v>9.1819859543461195</v>
      </c>
      <c r="N482">
        <v>4.8828125E-4</v>
      </c>
      <c r="O482">
        <f t="shared" si="7"/>
        <v>0.72412109375</v>
      </c>
    </row>
    <row r="483" spans="1:15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9.3820648707884615</v>
      </c>
      <c r="H483">
        <v>2.8936406249999991E-3</v>
      </c>
      <c r="I483">
        <v>-0.73144335690258921</v>
      </c>
      <c r="J483">
        <v>-2.1165342124197057E-3</v>
      </c>
      <c r="M483">
        <v>9.1819859543461195</v>
      </c>
      <c r="N483">
        <v>9.765625E-4</v>
      </c>
      <c r="O483">
        <f t="shared" si="7"/>
        <v>0.72509765625</v>
      </c>
    </row>
    <row r="484" spans="1:15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10.036627536192313</v>
      </c>
      <c r="H484">
        <v>1.8275624999999993E-3</v>
      </c>
      <c r="I484">
        <v>-0.71565701851809349</v>
      </c>
      <c r="J484">
        <v>-1.3079079299054728E-3</v>
      </c>
      <c r="M484">
        <v>9.1819859543461195</v>
      </c>
      <c r="N484">
        <v>4.8828125E-4</v>
      </c>
      <c r="O484">
        <f t="shared" si="7"/>
        <v>0.7255859375</v>
      </c>
    </row>
    <row r="485" spans="1:15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8.5093146502500066</v>
      </c>
      <c r="H485">
        <v>8.6568749999999992E-4</v>
      </c>
      <c r="I485">
        <v>-0.75303481162361008</v>
      </c>
      <c r="J485">
        <v>-6.5189282348741384E-4</v>
      </c>
      <c r="M485">
        <v>9.1819859543461195</v>
      </c>
      <c r="N485">
        <v>2.44140625E-4</v>
      </c>
      <c r="O485">
        <f t="shared" si="7"/>
        <v>0.725830078125</v>
      </c>
    </row>
    <row r="486" spans="1:15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9.3820648707884615</v>
      </c>
      <c r="H486">
        <v>1.8275624999999995E-3</v>
      </c>
      <c r="I486">
        <v>-0.73144335690258921</v>
      </c>
      <c r="J486">
        <v>-1.3367584499492879E-3</v>
      </c>
      <c r="M486">
        <v>9.1819859543461195</v>
      </c>
      <c r="N486">
        <v>4.8828125E-4</v>
      </c>
      <c r="O486">
        <f t="shared" si="7"/>
        <v>0.726318359375</v>
      </c>
    </row>
    <row r="487" spans="1:15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10.036627536192313</v>
      </c>
      <c r="H487">
        <v>1.1542499999999997E-3</v>
      </c>
      <c r="I487">
        <v>-0.71565701851809349</v>
      </c>
      <c r="J487">
        <v>-8.2604711362450922E-4</v>
      </c>
      <c r="M487">
        <v>9.1819859543461195</v>
      </c>
      <c r="N487">
        <v>2.44140625E-4</v>
      </c>
      <c r="O487">
        <f t="shared" si="7"/>
        <v>0.7265625</v>
      </c>
    </row>
    <row r="488" spans="1:15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7.7847272221630144</v>
      </c>
      <c r="H488">
        <v>1.7299511718750003E-4</v>
      </c>
      <c r="I488">
        <v>-0.7714442223916369</v>
      </c>
      <c r="J488">
        <v>-1.3345608365626107E-4</v>
      </c>
      <c r="M488">
        <v>9.2341815853238813</v>
      </c>
      <c r="N488">
        <v>9.765625E-4</v>
      </c>
      <c r="O488">
        <f t="shared" si="7"/>
        <v>0.7275390625</v>
      </c>
    </row>
    <row r="489" spans="1:15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8.5831607834105093</v>
      </c>
      <c r="H489">
        <v>3.6521191406250006E-4</v>
      </c>
      <c r="I489">
        <v>-0.75118346750269671</v>
      </c>
      <c r="J489">
        <v>-2.7434115197876567E-4</v>
      </c>
      <c r="M489">
        <v>9.2341815853238813</v>
      </c>
      <c r="N489">
        <v>1.953125E-3</v>
      </c>
      <c r="O489">
        <f t="shared" si="7"/>
        <v>0.7294921875</v>
      </c>
    </row>
    <row r="490" spans="1:15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9.1819859543461195</v>
      </c>
      <c r="H490">
        <v>2.3066015625000002E-4</v>
      </c>
      <c r="I490">
        <v>-0.73633787339599766</v>
      </c>
      <c r="J490">
        <v>-1.6984380893031356E-4</v>
      </c>
      <c r="M490">
        <v>9.2341815853238813</v>
      </c>
      <c r="N490">
        <v>9.765625E-4</v>
      </c>
      <c r="O490">
        <f t="shared" si="7"/>
        <v>0.73046875</v>
      </c>
    </row>
    <row r="491" spans="1:15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7.7847272221630144</v>
      </c>
      <c r="H491">
        <v>3.6521191406250006E-4</v>
      </c>
      <c r="I491">
        <v>-0.7714442223916369</v>
      </c>
      <c r="J491">
        <v>-2.8174062105210666E-4</v>
      </c>
      <c r="M491">
        <v>9.2341815853238813</v>
      </c>
      <c r="N491">
        <v>1.953125E-3</v>
      </c>
      <c r="O491">
        <f t="shared" si="7"/>
        <v>0.732421875</v>
      </c>
    </row>
    <row r="492" spans="1:15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8.5831607834105093</v>
      </c>
      <c r="H492">
        <v>7.7100292968750007E-4</v>
      </c>
      <c r="I492">
        <v>-0.75118346750269671</v>
      </c>
      <c r="J492">
        <v>-5.7916465417739418E-4</v>
      </c>
      <c r="M492">
        <v>9.2341815853238813</v>
      </c>
      <c r="N492">
        <v>3.90625E-3</v>
      </c>
      <c r="O492">
        <f t="shared" si="7"/>
        <v>0.736328125</v>
      </c>
    </row>
    <row r="493" spans="1:15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9.1819859543461195</v>
      </c>
      <c r="H493">
        <v>4.8694921875000008E-4</v>
      </c>
      <c r="I493">
        <v>-0.73633787339599766</v>
      </c>
      <c r="J493">
        <v>-3.5855915218621751E-4</v>
      </c>
      <c r="M493">
        <v>9.2341815853238813</v>
      </c>
      <c r="N493">
        <v>1.953125E-3</v>
      </c>
      <c r="O493">
        <f t="shared" si="7"/>
        <v>0.73828125</v>
      </c>
    </row>
    <row r="494" spans="1:15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7.7847272221630144</v>
      </c>
      <c r="H494">
        <v>2.3066015625000002E-4</v>
      </c>
      <c r="I494">
        <v>-0.7714442223916369</v>
      </c>
      <c r="J494">
        <v>-1.7794144487501474E-4</v>
      </c>
      <c r="M494">
        <v>9.2341815853238813</v>
      </c>
      <c r="N494">
        <v>9.765625E-4</v>
      </c>
      <c r="O494">
        <f t="shared" si="7"/>
        <v>0.7392578125</v>
      </c>
    </row>
    <row r="495" spans="1:15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8.5831607834105093</v>
      </c>
      <c r="H495">
        <v>4.8694921874999997E-4</v>
      </c>
      <c r="I495">
        <v>-0.75118346750269671</v>
      </c>
      <c r="J495">
        <v>-3.6578820263835415E-4</v>
      </c>
      <c r="M495">
        <v>9.2341815853238813</v>
      </c>
      <c r="N495">
        <v>1.953125E-3</v>
      </c>
      <c r="O495">
        <f t="shared" si="7"/>
        <v>0.7412109375</v>
      </c>
    </row>
    <row r="496" spans="1:15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9.1819859543461195</v>
      </c>
      <c r="H496">
        <v>3.0754687499999999E-4</v>
      </c>
      <c r="I496">
        <v>-0.73633787339599766</v>
      </c>
      <c r="J496">
        <v>-2.2645841190708471E-4</v>
      </c>
      <c r="M496">
        <v>9.2341815853238813</v>
      </c>
      <c r="N496">
        <v>9.765625E-4</v>
      </c>
      <c r="O496">
        <f t="shared" si="7"/>
        <v>0.7421875</v>
      </c>
    </row>
    <row r="497" spans="1:15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7.7847272221630144</v>
      </c>
      <c r="H497">
        <v>3.652119140625E-4</v>
      </c>
      <c r="I497">
        <v>-0.7714442223916369</v>
      </c>
      <c r="J497">
        <v>-2.8174062105210666E-4</v>
      </c>
      <c r="M497">
        <v>9.3820648707884615</v>
      </c>
      <c r="N497">
        <v>9.765625E-4</v>
      </c>
      <c r="O497">
        <f t="shared" si="7"/>
        <v>0.7431640625</v>
      </c>
    </row>
    <row r="498" spans="1:15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8.5831607834105093</v>
      </c>
      <c r="H498">
        <v>7.7100292968749996E-4</v>
      </c>
      <c r="I498">
        <v>-0.75118346750269671</v>
      </c>
      <c r="J498">
        <v>-5.7916465417739407E-4</v>
      </c>
      <c r="M498">
        <v>9.3820648707884615</v>
      </c>
      <c r="N498">
        <v>1.953125E-3</v>
      </c>
      <c r="O498">
        <f t="shared" si="7"/>
        <v>0.7451171875</v>
      </c>
    </row>
    <row r="499" spans="1:15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9.1819859543461195</v>
      </c>
      <c r="H499">
        <v>4.8694921874999997E-4</v>
      </c>
      <c r="I499">
        <v>-0.73633787339599766</v>
      </c>
      <c r="J499">
        <v>-3.5855915218621745E-4</v>
      </c>
      <c r="M499">
        <v>9.3820648707884615</v>
      </c>
      <c r="N499">
        <v>9.765625E-4</v>
      </c>
      <c r="O499">
        <f t="shared" si="7"/>
        <v>0.74609375</v>
      </c>
    </row>
    <row r="500" spans="1:15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7.7847272221630144</v>
      </c>
      <c r="H500">
        <v>7.7100292968749996E-4</v>
      </c>
      <c r="I500">
        <v>-0.7714442223916369</v>
      </c>
      <c r="J500">
        <v>-5.9478575555444726E-4</v>
      </c>
      <c r="M500">
        <v>9.3820648707884615</v>
      </c>
      <c r="N500">
        <v>1.953125E-3</v>
      </c>
      <c r="O500">
        <f t="shared" si="7"/>
        <v>0.748046875</v>
      </c>
    </row>
    <row r="501" spans="1:15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8.5831607834105093</v>
      </c>
      <c r="H501">
        <v>1.6276728515624999E-3</v>
      </c>
      <c r="I501">
        <v>-0.75118346750269671</v>
      </c>
      <c r="J501">
        <v>-1.2226809365967208E-3</v>
      </c>
      <c r="M501">
        <v>9.3820648707884615</v>
      </c>
      <c r="N501">
        <v>3.90625E-3</v>
      </c>
      <c r="O501">
        <f t="shared" si="7"/>
        <v>0.751953125</v>
      </c>
    </row>
    <row r="502" spans="1:15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9.1819859543461195</v>
      </c>
      <c r="H502">
        <v>1.0280039062499999E-3</v>
      </c>
      <c r="I502">
        <v>-0.73633787339599766</v>
      </c>
      <c r="J502">
        <v>-7.5695821017090353E-4</v>
      </c>
      <c r="M502">
        <v>9.3820648707884615</v>
      </c>
      <c r="N502">
        <v>1.953125E-3</v>
      </c>
      <c r="O502">
        <f t="shared" si="7"/>
        <v>0.75390625</v>
      </c>
    </row>
    <row r="503" spans="1:15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7.7847272221630144</v>
      </c>
      <c r="H503">
        <v>4.8694921874999997E-4</v>
      </c>
      <c r="I503">
        <v>-0.7714442223916369</v>
      </c>
      <c r="J503">
        <v>-3.7565416140280882E-4</v>
      </c>
      <c r="M503">
        <v>9.3820648707884615</v>
      </c>
      <c r="N503">
        <v>9.765625E-4</v>
      </c>
      <c r="O503">
        <f t="shared" si="7"/>
        <v>0.7548828125</v>
      </c>
    </row>
    <row r="504" spans="1:15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8.5831607834105093</v>
      </c>
      <c r="H504">
        <v>1.0280039062499999E-3</v>
      </c>
      <c r="I504">
        <v>-0.75118346750269671</v>
      </c>
      <c r="J504">
        <v>-7.7221953890319213E-4</v>
      </c>
      <c r="M504">
        <v>9.3820648707884615</v>
      </c>
      <c r="N504">
        <v>1.953125E-3</v>
      </c>
      <c r="O504">
        <f t="shared" si="7"/>
        <v>0.7568359375</v>
      </c>
    </row>
    <row r="505" spans="1:15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9.1819859543461195</v>
      </c>
      <c r="H505">
        <v>6.4926562499999999E-4</v>
      </c>
      <c r="I505">
        <v>-0.73633787339599766</v>
      </c>
      <c r="J505">
        <v>-4.7807886958162329E-4</v>
      </c>
      <c r="M505">
        <v>9.3820648707884615</v>
      </c>
      <c r="N505">
        <v>9.765625E-4</v>
      </c>
      <c r="O505">
        <f t="shared" si="7"/>
        <v>0.7578125</v>
      </c>
    </row>
    <row r="506" spans="1:15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7.7847272221630144</v>
      </c>
      <c r="H506">
        <v>2.3066015625000002E-4</v>
      </c>
      <c r="I506">
        <v>-0.7714442223916369</v>
      </c>
      <c r="J506">
        <v>-1.7794144487501474E-4</v>
      </c>
      <c r="M506">
        <v>9.5812027349698674</v>
      </c>
      <c r="N506">
        <v>4.8828125E-4</v>
      </c>
      <c r="O506">
        <f t="shared" si="7"/>
        <v>0.75830078125</v>
      </c>
    </row>
    <row r="507" spans="1:15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8.5831607834105093</v>
      </c>
      <c r="H507">
        <v>4.8694921874999997E-4</v>
      </c>
      <c r="I507">
        <v>-0.75118346750269671</v>
      </c>
      <c r="J507">
        <v>-3.6578820263835415E-4</v>
      </c>
      <c r="M507">
        <v>9.5812027349698674</v>
      </c>
      <c r="N507">
        <v>9.765625E-4</v>
      </c>
      <c r="O507">
        <f t="shared" si="7"/>
        <v>0.75927734375</v>
      </c>
    </row>
    <row r="508" spans="1:15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9.1819859543461195</v>
      </c>
      <c r="H508">
        <v>3.0754687499999999E-4</v>
      </c>
      <c r="I508">
        <v>-0.73633787339599766</v>
      </c>
      <c r="J508">
        <v>-2.2645841190708471E-4</v>
      </c>
      <c r="M508">
        <v>9.5812027349698674</v>
      </c>
      <c r="N508">
        <v>4.8828125E-4</v>
      </c>
      <c r="O508">
        <f t="shared" si="7"/>
        <v>0.759765625</v>
      </c>
    </row>
    <row r="509" spans="1:15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7.7847272221630144</v>
      </c>
      <c r="H509">
        <v>4.8694921874999997E-4</v>
      </c>
      <c r="I509">
        <v>-0.7714442223916369</v>
      </c>
      <c r="J509">
        <v>-3.7565416140280882E-4</v>
      </c>
      <c r="M509">
        <v>9.5812027349698674</v>
      </c>
      <c r="N509">
        <v>9.765625E-4</v>
      </c>
      <c r="O509">
        <f t="shared" si="7"/>
        <v>0.7607421875</v>
      </c>
    </row>
    <row r="510" spans="1:15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8.5831607834105093</v>
      </c>
      <c r="H510">
        <v>1.0280039062499999E-3</v>
      </c>
      <c r="I510">
        <v>-0.75118346750269671</v>
      </c>
      <c r="J510">
        <v>-7.7221953890319213E-4</v>
      </c>
      <c r="M510">
        <v>9.5812027349698674</v>
      </c>
      <c r="N510">
        <v>1.953125E-3</v>
      </c>
      <c r="O510">
        <f t="shared" si="7"/>
        <v>0.7626953125</v>
      </c>
    </row>
    <row r="511" spans="1:15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9.1819859543461195</v>
      </c>
      <c r="H511">
        <v>6.4926562499999999E-4</v>
      </c>
      <c r="I511">
        <v>-0.73633787339599766</v>
      </c>
      <c r="J511">
        <v>-4.7807886958162329E-4</v>
      </c>
      <c r="M511">
        <v>9.5812027349698674</v>
      </c>
      <c r="N511">
        <v>9.765625E-4</v>
      </c>
      <c r="O511">
        <f t="shared" si="7"/>
        <v>0.763671875</v>
      </c>
    </row>
    <row r="512" spans="1:15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7.7847272221630144</v>
      </c>
      <c r="H512">
        <v>3.0754687500000004E-4</v>
      </c>
      <c r="I512">
        <v>-0.7714442223916369</v>
      </c>
      <c r="J512">
        <v>-2.3725525983335299E-4</v>
      </c>
      <c r="M512">
        <v>9.5812027349698674</v>
      </c>
      <c r="N512">
        <v>4.8828125E-4</v>
      </c>
      <c r="O512">
        <f t="shared" si="7"/>
        <v>0.76416015625</v>
      </c>
    </row>
    <row r="513" spans="1:15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8.5831607834105093</v>
      </c>
      <c r="H513">
        <v>6.4926562499999999E-4</v>
      </c>
      <c r="I513">
        <v>-0.75118346750269671</v>
      </c>
      <c r="J513">
        <v>-4.8771760351780559E-4</v>
      </c>
      <c r="M513">
        <v>9.5812027349698674</v>
      </c>
      <c r="N513">
        <v>9.765625E-4</v>
      </c>
      <c r="O513">
        <f t="shared" si="7"/>
        <v>0.76513671875</v>
      </c>
    </row>
    <row r="514" spans="1:15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9.1819859543461195</v>
      </c>
      <c r="H514">
        <v>4.100625E-4</v>
      </c>
      <c r="I514">
        <v>-0.73633787339599766</v>
      </c>
      <c r="J514">
        <v>-3.0194454920944627E-4</v>
      </c>
      <c r="M514">
        <v>9.5812027349698674</v>
      </c>
      <c r="N514">
        <v>4.8828125E-4</v>
      </c>
      <c r="O514">
        <f t="shared" si="7"/>
        <v>0.765625</v>
      </c>
    </row>
    <row r="515" spans="1:15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9.5812027349698674</v>
      </c>
      <c r="H515">
        <v>3.652119140625E-4</v>
      </c>
      <c r="I515">
        <v>-0.72660416684209039</v>
      </c>
      <c r="J515">
        <v>-2.6536449853818792E-4</v>
      </c>
      <c r="M515">
        <v>10.036627536192313</v>
      </c>
      <c r="N515">
        <v>4.8828125E-4</v>
      </c>
      <c r="O515">
        <f t="shared" si="7"/>
        <v>0.76611328125</v>
      </c>
    </row>
    <row r="516" spans="1:15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10.563890194966778</v>
      </c>
      <c r="H516">
        <v>7.7100292968749996E-4</v>
      </c>
      <c r="I516">
        <v>-0.70318893132926708</v>
      </c>
      <c r="J516">
        <v>-5.4216072617868714E-4</v>
      </c>
      <c r="M516">
        <v>10.036627536192313</v>
      </c>
      <c r="N516">
        <v>9.765625E-4</v>
      </c>
      <c r="O516">
        <f t="shared" ref="O516:O579" si="8">N516+O515</f>
        <v>0.76708984375</v>
      </c>
    </row>
    <row r="517" spans="1:15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11.300905789964462</v>
      </c>
      <c r="H517">
        <v>4.8694921874999997E-4</v>
      </c>
      <c r="I517">
        <v>-0.68612403424310431</v>
      </c>
      <c r="J517">
        <v>-3.3410756244027788E-4</v>
      </c>
      <c r="M517">
        <v>10.036627536192313</v>
      </c>
      <c r="N517">
        <v>4.8828125E-4</v>
      </c>
      <c r="O517">
        <f t="shared" si="8"/>
        <v>0.767578125</v>
      </c>
    </row>
    <row r="518" spans="1:15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9.5812027349698674</v>
      </c>
      <c r="H518">
        <v>7.7100292968749996E-4</v>
      </c>
      <c r="I518">
        <v>-0.72660416684209039</v>
      </c>
      <c r="J518">
        <v>-5.6021394135839667E-4</v>
      </c>
      <c r="M518">
        <v>10.036627536192313</v>
      </c>
      <c r="N518">
        <v>9.765625E-4</v>
      </c>
      <c r="O518">
        <f t="shared" si="8"/>
        <v>0.7685546875</v>
      </c>
    </row>
    <row r="519" spans="1:15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10.563890194966778</v>
      </c>
      <c r="H519">
        <v>1.6276728515624999E-3</v>
      </c>
      <c r="I519">
        <v>-0.70318893132926708</v>
      </c>
      <c r="J519">
        <v>-1.1445615330438952E-3</v>
      </c>
      <c r="M519">
        <v>10.036627536192313</v>
      </c>
      <c r="N519">
        <v>1.953125E-3</v>
      </c>
      <c r="O519">
        <f t="shared" si="8"/>
        <v>0.7705078125</v>
      </c>
    </row>
    <row r="520" spans="1:15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11.300905789964462</v>
      </c>
      <c r="H520">
        <v>1.0280039062499999E-3</v>
      </c>
      <c r="I520">
        <v>-0.68612403424310431</v>
      </c>
      <c r="J520">
        <v>-7.0533818737392E-4</v>
      </c>
      <c r="M520">
        <v>10.036627536192313</v>
      </c>
      <c r="N520">
        <v>9.765625E-4</v>
      </c>
      <c r="O520">
        <f t="shared" si="8"/>
        <v>0.771484375</v>
      </c>
    </row>
    <row r="521" spans="1:15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9.5812027349698674</v>
      </c>
      <c r="H521">
        <v>4.8694921874999997E-4</v>
      </c>
      <c r="I521">
        <v>-0.72660416684209039</v>
      </c>
      <c r="J521">
        <v>-3.5381933138425056E-4</v>
      </c>
      <c r="M521">
        <v>10.036627536192313</v>
      </c>
      <c r="N521">
        <v>4.8828125E-4</v>
      </c>
      <c r="O521">
        <f t="shared" si="8"/>
        <v>0.77197265625</v>
      </c>
    </row>
    <row r="522" spans="1:15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10.563890194966778</v>
      </c>
      <c r="H522">
        <v>1.0280039062499999E-3</v>
      </c>
      <c r="I522">
        <v>-0.70318893132926708</v>
      </c>
      <c r="J522">
        <v>-7.2288096823824952E-4</v>
      </c>
      <c r="M522">
        <v>10.036627536192313</v>
      </c>
      <c r="N522">
        <v>9.765625E-4</v>
      </c>
      <c r="O522">
        <f t="shared" si="8"/>
        <v>0.77294921875</v>
      </c>
    </row>
    <row r="523" spans="1:15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11.300905789964462</v>
      </c>
      <c r="H523">
        <v>6.4926562499999999E-4</v>
      </c>
      <c r="I523">
        <v>-0.68612403424310431</v>
      </c>
      <c r="J523">
        <v>-4.4547674992037053E-4</v>
      </c>
      <c r="M523">
        <v>10.036627536192313</v>
      </c>
      <c r="N523">
        <v>4.8828125E-4</v>
      </c>
      <c r="O523">
        <f t="shared" si="8"/>
        <v>0.7734375</v>
      </c>
    </row>
    <row r="524" spans="1:15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9.5812027349698674</v>
      </c>
      <c r="H524">
        <v>7.7100292968750007E-4</v>
      </c>
      <c r="I524">
        <v>-0.72660416684209039</v>
      </c>
      <c r="J524">
        <v>-5.6021394135839678E-4</v>
      </c>
      <c r="M524">
        <v>10.563890194966778</v>
      </c>
      <c r="N524">
        <v>9.765625E-4</v>
      </c>
      <c r="O524">
        <f t="shared" si="8"/>
        <v>0.7744140625</v>
      </c>
    </row>
    <row r="525" spans="1:15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10.563890194966778</v>
      </c>
      <c r="H525">
        <v>1.6276728515625001E-3</v>
      </c>
      <c r="I525">
        <v>-0.70318893132926708</v>
      </c>
      <c r="J525">
        <v>-1.1445615330438952E-3</v>
      </c>
      <c r="M525">
        <v>10.563890194966778</v>
      </c>
      <c r="N525">
        <v>1.953125E-3</v>
      </c>
      <c r="O525">
        <f t="shared" si="8"/>
        <v>0.7763671875</v>
      </c>
    </row>
    <row r="526" spans="1:15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11.300905789964462</v>
      </c>
      <c r="H526">
        <v>1.0280039062499999E-3</v>
      </c>
      <c r="I526">
        <v>-0.68612403424310431</v>
      </c>
      <c r="J526">
        <v>-7.0533818737392E-4</v>
      </c>
      <c r="M526">
        <v>10.563890194966778</v>
      </c>
      <c r="N526">
        <v>9.765625E-4</v>
      </c>
      <c r="O526">
        <f t="shared" si="8"/>
        <v>0.77734375</v>
      </c>
    </row>
    <row r="527" spans="1:15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9.5812027349698674</v>
      </c>
      <c r="H527">
        <v>1.6276728515624999E-3</v>
      </c>
      <c r="I527">
        <v>-0.72660416684209039</v>
      </c>
      <c r="J527">
        <v>-1.1826738762010598E-3</v>
      </c>
      <c r="M527">
        <v>10.563890194966778</v>
      </c>
      <c r="N527">
        <v>1.953125E-3</v>
      </c>
      <c r="O527">
        <f t="shared" si="8"/>
        <v>0.779296875</v>
      </c>
    </row>
    <row r="528" spans="1:15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10.563890194966778</v>
      </c>
      <c r="H528">
        <v>3.4361982421874998E-3</v>
      </c>
      <c r="I528">
        <v>-0.70318893132926708</v>
      </c>
      <c r="J528">
        <v>-2.416296569759334E-3</v>
      </c>
      <c r="M528">
        <v>10.563890194966778</v>
      </c>
      <c r="N528">
        <v>3.90625E-3</v>
      </c>
      <c r="O528">
        <f t="shared" si="8"/>
        <v>0.783203125</v>
      </c>
    </row>
    <row r="529" spans="1:15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11.300905789964462</v>
      </c>
      <c r="H529">
        <v>2.1702304687499997E-3</v>
      </c>
      <c r="I529">
        <v>-0.68612403424310431</v>
      </c>
      <c r="J529">
        <v>-1.4890472844560532E-3</v>
      </c>
      <c r="M529">
        <v>10.563890194966778</v>
      </c>
      <c r="N529">
        <v>1.953125E-3</v>
      </c>
      <c r="O529">
        <f t="shared" si="8"/>
        <v>0.78515625</v>
      </c>
    </row>
    <row r="530" spans="1:15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9.5812027349698674</v>
      </c>
      <c r="H530">
        <v>1.0280039062499999E-3</v>
      </c>
      <c r="I530">
        <v>-0.72660416684209039</v>
      </c>
      <c r="J530">
        <v>-7.4695192181119566E-4</v>
      </c>
      <c r="M530">
        <v>10.563890194966778</v>
      </c>
      <c r="N530">
        <v>9.765625E-4</v>
      </c>
      <c r="O530">
        <f t="shared" si="8"/>
        <v>0.7861328125</v>
      </c>
    </row>
    <row r="531" spans="1:15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10.563890194966778</v>
      </c>
      <c r="H531">
        <v>2.1702304687499997E-3</v>
      </c>
      <c r="I531">
        <v>-0.70318893132926708</v>
      </c>
      <c r="J531">
        <v>-1.5260820440585266E-3</v>
      </c>
      <c r="M531">
        <v>10.563890194966778</v>
      </c>
      <c r="N531">
        <v>1.953125E-3</v>
      </c>
      <c r="O531">
        <f t="shared" si="8"/>
        <v>0.7880859375</v>
      </c>
    </row>
    <row r="532" spans="1:15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11.300905789964462</v>
      </c>
      <c r="H532">
        <v>1.3706718749999999E-3</v>
      </c>
      <c r="I532">
        <v>-0.68612403424310431</v>
      </c>
      <c r="J532">
        <v>-9.4045091649855989E-4</v>
      </c>
      <c r="M532">
        <v>10.563890194966778</v>
      </c>
      <c r="N532">
        <v>9.765625E-4</v>
      </c>
      <c r="O532">
        <f t="shared" si="8"/>
        <v>0.7890625</v>
      </c>
    </row>
    <row r="533" spans="1:15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9.5812027349698674</v>
      </c>
      <c r="H533">
        <v>4.8694921875000008E-4</v>
      </c>
      <c r="I533">
        <v>-0.72660416684209039</v>
      </c>
      <c r="J533">
        <v>-3.5381933138425062E-4</v>
      </c>
      <c r="M533">
        <v>10.778853076841109</v>
      </c>
      <c r="N533">
        <v>2.44140625E-4</v>
      </c>
      <c r="O533">
        <f t="shared" si="8"/>
        <v>0.789306640625</v>
      </c>
    </row>
    <row r="534" spans="1:15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10.563890194966778</v>
      </c>
      <c r="H534">
        <v>1.0280039062500002E-3</v>
      </c>
      <c r="I534">
        <v>-0.70318893132926708</v>
      </c>
      <c r="J534">
        <v>-7.2288096823824963E-4</v>
      </c>
      <c r="M534">
        <v>10.778853076841109</v>
      </c>
      <c r="N534">
        <v>4.8828125E-4</v>
      </c>
      <c r="O534">
        <f t="shared" si="8"/>
        <v>0.789794921875</v>
      </c>
    </row>
    <row r="535" spans="1:15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11.300905789964462</v>
      </c>
      <c r="H535">
        <v>6.492656250000001E-4</v>
      </c>
      <c r="I535">
        <v>-0.68612403424310431</v>
      </c>
      <c r="J535">
        <v>-4.4547674992037058E-4</v>
      </c>
      <c r="M535">
        <v>10.778853076841109</v>
      </c>
      <c r="N535">
        <v>2.44140625E-4</v>
      </c>
      <c r="O535">
        <f t="shared" si="8"/>
        <v>0.7900390625</v>
      </c>
    </row>
    <row r="536" spans="1:15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9.5812027349698674</v>
      </c>
      <c r="H536">
        <v>1.0280039062499999E-3</v>
      </c>
      <c r="I536">
        <v>-0.72660416684209039</v>
      </c>
      <c r="J536">
        <v>-7.4695192181119566E-4</v>
      </c>
      <c r="M536">
        <v>10.778853076841109</v>
      </c>
      <c r="N536">
        <v>4.8828125E-4</v>
      </c>
      <c r="O536">
        <f t="shared" si="8"/>
        <v>0.79052734375</v>
      </c>
    </row>
    <row r="537" spans="1:15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10.563890194966778</v>
      </c>
      <c r="H537">
        <v>2.1702304687499997E-3</v>
      </c>
      <c r="I537">
        <v>-0.70318893132926708</v>
      </c>
      <c r="J537">
        <v>-1.5260820440585266E-3</v>
      </c>
      <c r="M537">
        <v>10.778853076841109</v>
      </c>
      <c r="N537">
        <v>9.765625E-4</v>
      </c>
      <c r="O537">
        <f t="shared" si="8"/>
        <v>0.79150390625</v>
      </c>
    </row>
    <row r="538" spans="1:15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11.300905789964462</v>
      </c>
      <c r="H538">
        <v>1.3706718749999999E-3</v>
      </c>
      <c r="I538">
        <v>-0.68612403424310431</v>
      </c>
      <c r="J538">
        <v>-9.4045091649855989E-4</v>
      </c>
      <c r="M538">
        <v>10.778853076841109</v>
      </c>
      <c r="N538">
        <v>4.8828125E-4</v>
      </c>
      <c r="O538">
        <f t="shared" si="8"/>
        <v>0.7919921875</v>
      </c>
    </row>
    <row r="539" spans="1:15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9.5812027349698674</v>
      </c>
      <c r="H539">
        <v>6.492656250000001E-4</v>
      </c>
      <c r="I539">
        <v>-0.72660416684209039</v>
      </c>
      <c r="J539">
        <v>-4.7175910851233419E-4</v>
      </c>
      <c r="M539">
        <v>10.778853076841109</v>
      </c>
      <c r="N539">
        <v>2.44140625E-4</v>
      </c>
      <c r="O539">
        <f t="shared" si="8"/>
        <v>0.792236328125</v>
      </c>
    </row>
    <row r="540" spans="1:15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10.563890194966778</v>
      </c>
      <c r="H540">
        <v>1.3706718749999999E-3</v>
      </c>
      <c r="I540">
        <v>-0.70318893132926708</v>
      </c>
      <c r="J540">
        <v>-9.6384129098433266E-4</v>
      </c>
      <c r="M540">
        <v>10.778853076841109</v>
      </c>
      <c r="N540">
        <v>4.8828125E-4</v>
      </c>
      <c r="O540">
        <f t="shared" si="8"/>
        <v>0.792724609375</v>
      </c>
    </row>
    <row r="541" spans="1:15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11.300905789964462</v>
      </c>
      <c r="H541">
        <v>8.6568750000000003E-4</v>
      </c>
      <c r="I541">
        <v>-0.68612403424310431</v>
      </c>
      <c r="J541">
        <v>-5.9396899989382741E-4</v>
      </c>
      <c r="M541">
        <v>10.778853076841109</v>
      </c>
      <c r="N541">
        <v>2.44140625E-4</v>
      </c>
      <c r="O541">
        <f t="shared" si="8"/>
        <v>0.79296875</v>
      </c>
    </row>
    <row r="542" spans="1:15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10.778853076841109</v>
      </c>
      <c r="H542">
        <v>2.3066015625000002E-4</v>
      </c>
      <c r="I542">
        <v>-0.69816828969785072</v>
      </c>
      <c r="J542">
        <v>-1.6103960679050153E-4</v>
      </c>
      <c r="M542">
        <v>11.300905789964462</v>
      </c>
      <c r="N542">
        <v>4.8828125E-4</v>
      </c>
      <c r="O542">
        <f t="shared" si="8"/>
        <v>0.79345703125</v>
      </c>
    </row>
    <row r="543" spans="1:15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11.884376469337615</v>
      </c>
      <c r="H543">
        <v>4.8694921874999997E-4</v>
      </c>
      <c r="I543">
        <v>-0.67290852332609163</v>
      </c>
      <c r="J543">
        <v>-3.2767227972385643E-4</v>
      </c>
      <c r="M543">
        <v>11.300905789964462</v>
      </c>
      <c r="N543">
        <v>9.765625E-4</v>
      </c>
      <c r="O543">
        <f t="shared" si="8"/>
        <v>0.79443359375</v>
      </c>
    </row>
    <row r="544" spans="1:15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12.713519013710021</v>
      </c>
      <c r="H544">
        <v>3.0754687499999999E-4</v>
      </c>
      <c r="I544">
        <v>-0.6545652742545558</v>
      </c>
      <c r="J544">
        <v>-2.0130950458050658E-4</v>
      </c>
      <c r="M544">
        <v>11.300905789964462</v>
      </c>
      <c r="N544">
        <v>4.8828125E-4</v>
      </c>
      <c r="O544">
        <f t="shared" si="8"/>
        <v>0.794921875</v>
      </c>
    </row>
    <row r="545" spans="1:15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10.778853076841109</v>
      </c>
      <c r="H545">
        <v>4.8694921874999997E-4</v>
      </c>
      <c r="I545">
        <v>-0.69816828969785072</v>
      </c>
      <c r="J545">
        <v>-3.3997250322439208E-4</v>
      </c>
      <c r="M545">
        <v>11.300905789964462</v>
      </c>
      <c r="N545">
        <v>9.765625E-4</v>
      </c>
      <c r="O545">
        <f t="shared" si="8"/>
        <v>0.7958984375</v>
      </c>
    </row>
    <row r="546" spans="1:15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11.884376469337615</v>
      </c>
      <c r="H546">
        <v>1.0280039062499999E-3</v>
      </c>
      <c r="I546">
        <v>-0.67290852332609163</v>
      </c>
      <c r="J546">
        <v>-6.9175259052814137E-4</v>
      </c>
      <c r="M546">
        <v>11.300905789964462</v>
      </c>
      <c r="N546">
        <v>1.953125E-3</v>
      </c>
      <c r="O546">
        <f t="shared" si="8"/>
        <v>0.7978515625</v>
      </c>
    </row>
    <row r="547" spans="1:15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12.713519013710021</v>
      </c>
      <c r="H547">
        <v>6.4926562499999999E-4</v>
      </c>
      <c r="I547">
        <v>-0.6545652742545558</v>
      </c>
      <c r="J547">
        <v>-4.2498673189218057E-4</v>
      </c>
      <c r="M547">
        <v>11.300905789964462</v>
      </c>
      <c r="N547">
        <v>9.765625E-4</v>
      </c>
      <c r="O547">
        <f t="shared" si="8"/>
        <v>0.798828125</v>
      </c>
    </row>
    <row r="548" spans="1:15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10.778853076841109</v>
      </c>
      <c r="H548">
        <v>3.0754687500000004E-4</v>
      </c>
      <c r="I548">
        <v>-0.69816828969785072</v>
      </c>
      <c r="J548">
        <v>-2.1471947572066871E-4</v>
      </c>
      <c r="M548">
        <v>11.300905789964462</v>
      </c>
      <c r="N548">
        <v>4.8828125E-4</v>
      </c>
      <c r="O548">
        <f t="shared" si="8"/>
        <v>0.79931640625</v>
      </c>
    </row>
    <row r="549" spans="1:15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11.884376469337615</v>
      </c>
      <c r="H549">
        <v>6.4926562499999999E-4</v>
      </c>
      <c r="I549">
        <v>-0.67290852332609163</v>
      </c>
      <c r="J549">
        <v>-4.3689637296514194E-4</v>
      </c>
      <c r="M549">
        <v>11.300905789964462</v>
      </c>
      <c r="N549">
        <v>9.765625E-4</v>
      </c>
      <c r="O549">
        <f t="shared" si="8"/>
        <v>0.80029296875</v>
      </c>
    </row>
    <row r="550" spans="1:15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12.713519013710021</v>
      </c>
      <c r="H550">
        <v>4.100625E-4</v>
      </c>
      <c r="I550">
        <v>-0.6545652742545558</v>
      </c>
      <c r="J550">
        <v>-2.684126727740088E-4</v>
      </c>
      <c r="M550">
        <v>11.300905789964462</v>
      </c>
      <c r="N550">
        <v>4.8828125E-4</v>
      </c>
      <c r="O550">
        <f t="shared" si="8"/>
        <v>0.80078125</v>
      </c>
    </row>
    <row r="551" spans="1:15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10.778853076841109</v>
      </c>
      <c r="H551">
        <v>4.8694921875000008E-4</v>
      </c>
      <c r="I551">
        <v>-0.69816828969785072</v>
      </c>
      <c r="J551">
        <v>-3.3997250322439213E-4</v>
      </c>
      <c r="M551">
        <v>11.884376469337615</v>
      </c>
      <c r="N551">
        <v>4.8828125E-4</v>
      </c>
      <c r="O551">
        <f t="shared" si="8"/>
        <v>0.80126953125</v>
      </c>
    </row>
    <row r="552" spans="1:15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11.884376469337615</v>
      </c>
      <c r="H552">
        <v>1.0280039062500002E-3</v>
      </c>
      <c r="I552">
        <v>-0.67290852332609163</v>
      </c>
      <c r="J552">
        <v>-6.9175259052814159E-4</v>
      </c>
      <c r="M552">
        <v>11.884376469337615</v>
      </c>
      <c r="N552">
        <v>9.765625E-4</v>
      </c>
      <c r="O552">
        <f t="shared" si="8"/>
        <v>0.80224609375</v>
      </c>
    </row>
    <row r="553" spans="1:15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12.713519013710021</v>
      </c>
      <c r="H553">
        <v>6.492656250000001E-4</v>
      </c>
      <c r="I553">
        <v>-0.6545652742545558</v>
      </c>
      <c r="J553">
        <v>-4.2498673189218062E-4</v>
      </c>
      <c r="M553">
        <v>11.884376469337615</v>
      </c>
      <c r="N553">
        <v>4.8828125E-4</v>
      </c>
      <c r="O553">
        <f t="shared" si="8"/>
        <v>0.802734375</v>
      </c>
    </row>
    <row r="554" spans="1:15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10.778853076841109</v>
      </c>
      <c r="H554">
        <v>1.0280039062499999E-3</v>
      </c>
      <c r="I554">
        <v>-0.69816828969785072</v>
      </c>
      <c r="J554">
        <v>-7.1771972902927208E-4</v>
      </c>
      <c r="M554">
        <v>11.884376469337615</v>
      </c>
      <c r="N554">
        <v>9.765625E-4</v>
      </c>
      <c r="O554">
        <f t="shared" si="8"/>
        <v>0.8037109375</v>
      </c>
    </row>
    <row r="555" spans="1:15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11.884376469337615</v>
      </c>
      <c r="H555">
        <v>2.1702304687499997E-3</v>
      </c>
      <c r="I555">
        <v>-0.67290852332609163</v>
      </c>
      <c r="J555">
        <v>-1.460366580003854E-3</v>
      </c>
      <c r="M555">
        <v>11.884376469337615</v>
      </c>
      <c r="N555">
        <v>1.953125E-3</v>
      </c>
      <c r="O555">
        <f t="shared" si="8"/>
        <v>0.8056640625</v>
      </c>
    </row>
    <row r="556" spans="1:15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12.713519013710021</v>
      </c>
      <c r="H556">
        <v>1.3706718749999999E-3</v>
      </c>
      <c r="I556">
        <v>-0.6545652742545558</v>
      </c>
      <c r="J556">
        <v>-8.9719421177238113E-4</v>
      </c>
      <c r="M556">
        <v>11.884376469337615</v>
      </c>
      <c r="N556">
        <v>9.765625E-4</v>
      </c>
      <c r="O556">
        <f t="shared" si="8"/>
        <v>0.806640625</v>
      </c>
    </row>
    <row r="557" spans="1:15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10.778853076841109</v>
      </c>
      <c r="H557">
        <v>6.492656250000001E-4</v>
      </c>
      <c r="I557">
        <v>-0.69816828969785072</v>
      </c>
      <c r="J557">
        <v>-4.5329667096585618E-4</v>
      </c>
      <c r="M557">
        <v>11.884376469337615</v>
      </c>
      <c r="N557">
        <v>4.8828125E-4</v>
      </c>
      <c r="O557">
        <f t="shared" si="8"/>
        <v>0.80712890625</v>
      </c>
    </row>
    <row r="558" spans="1:15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11.884376469337615</v>
      </c>
      <c r="H558">
        <v>1.3706718749999999E-3</v>
      </c>
      <c r="I558">
        <v>-0.67290852332609163</v>
      </c>
      <c r="J558">
        <v>-9.223367873708552E-4</v>
      </c>
      <c r="M558">
        <v>11.884376469337615</v>
      </c>
      <c r="N558">
        <v>9.765625E-4</v>
      </c>
      <c r="O558">
        <f t="shared" si="8"/>
        <v>0.80810546875</v>
      </c>
    </row>
    <row r="559" spans="1:15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12.713519013710021</v>
      </c>
      <c r="H559">
        <v>8.6568750000000003E-4</v>
      </c>
      <c r="I559">
        <v>-0.6545652742545558</v>
      </c>
      <c r="J559">
        <v>-5.6664897585624076E-4</v>
      </c>
      <c r="M559">
        <v>11.884376469337615</v>
      </c>
      <c r="N559">
        <v>4.8828125E-4</v>
      </c>
      <c r="O559">
        <f t="shared" si="8"/>
        <v>0.80859375</v>
      </c>
    </row>
    <row r="560" spans="1:15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10.778853076841109</v>
      </c>
      <c r="H560">
        <v>3.0754687500000004E-4</v>
      </c>
      <c r="I560">
        <v>-0.69816828969785072</v>
      </c>
      <c r="J560">
        <v>-2.1471947572066871E-4</v>
      </c>
      <c r="M560">
        <v>12.439379396461669</v>
      </c>
      <c r="N560">
        <v>4.8828125E-4</v>
      </c>
      <c r="O560">
        <f t="shared" si="8"/>
        <v>0.80908203125</v>
      </c>
    </row>
    <row r="561" spans="1:15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11.884376469337615</v>
      </c>
      <c r="H561">
        <v>6.4926562499999999E-4</v>
      </c>
      <c r="I561">
        <v>-0.67290852332609163</v>
      </c>
      <c r="J561">
        <v>-4.3689637296514194E-4</v>
      </c>
      <c r="M561">
        <v>12.439379396461669</v>
      </c>
      <c r="N561">
        <v>9.765625E-4</v>
      </c>
      <c r="O561">
        <f t="shared" si="8"/>
        <v>0.81005859375</v>
      </c>
    </row>
    <row r="562" spans="1:15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12.713519013710021</v>
      </c>
      <c r="H562">
        <v>4.100625E-4</v>
      </c>
      <c r="I562">
        <v>-0.6545652742545558</v>
      </c>
      <c r="J562">
        <v>-2.684126727740088E-4</v>
      </c>
      <c r="M562">
        <v>12.439379396461669</v>
      </c>
      <c r="N562">
        <v>4.8828125E-4</v>
      </c>
      <c r="O562">
        <f t="shared" si="8"/>
        <v>0.810546875</v>
      </c>
    </row>
    <row r="563" spans="1:15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10.778853076841109</v>
      </c>
      <c r="H563">
        <v>6.4926562499999999E-4</v>
      </c>
      <c r="I563">
        <v>-0.69816828969785072</v>
      </c>
      <c r="J563">
        <v>-4.5329667096585612E-4</v>
      </c>
      <c r="M563">
        <v>12.439379396461669</v>
      </c>
      <c r="N563">
        <v>9.765625E-4</v>
      </c>
      <c r="O563">
        <f t="shared" si="8"/>
        <v>0.8115234375</v>
      </c>
    </row>
    <row r="564" spans="1:15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11.884376469337615</v>
      </c>
      <c r="H564">
        <v>1.3706718749999997E-3</v>
      </c>
      <c r="I564">
        <v>-0.67290852332609163</v>
      </c>
      <c r="J564">
        <v>-9.2233678737085509E-4</v>
      </c>
      <c r="M564">
        <v>12.439379396461669</v>
      </c>
      <c r="N564">
        <v>1.953125E-3</v>
      </c>
      <c r="O564">
        <f t="shared" si="8"/>
        <v>0.8134765625</v>
      </c>
    </row>
    <row r="565" spans="1:15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12.713519013710021</v>
      </c>
      <c r="H565">
        <v>8.6568749999999992E-4</v>
      </c>
      <c r="I565">
        <v>-0.6545652742545558</v>
      </c>
      <c r="J565">
        <v>-5.6664897585624076E-4</v>
      </c>
      <c r="M565">
        <v>12.439379396461669</v>
      </c>
      <c r="N565">
        <v>9.765625E-4</v>
      </c>
      <c r="O565">
        <f t="shared" si="8"/>
        <v>0.814453125</v>
      </c>
    </row>
    <row r="566" spans="1:15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10.778853076841109</v>
      </c>
      <c r="H566">
        <v>4.100625E-4</v>
      </c>
      <c r="I566">
        <v>-0.69816828969785072</v>
      </c>
      <c r="J566">
        <v>-2.8629263429422489E-4</v>
      </c>
      <c r="M566">
        <v>12.439379396461669</v>
      </c>
      <c r="N566">
        <v>4.8828125E-4</v>
      </c>
      <c r="O566">
        <f t="shared" si="8"/>
        <v>0.81494140625</v>
      </c>
    </row>
    <row r="567" spans="1:15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11.884376469337615</v>
      </c>
      <c r="H567">
        <v>8.6568749999999992E-4</v>
      </c>
      <c r="I567">
        <v>-0.67290852332609163</v>
      </c>
      <c r="J567">
        <v>-5.8252849728685592E-4</v>
      </c>
      <c r="M567">
        <v>12.439379396461669</v>
      </c>
      <c r="N567">
        <v>9.765625E-4</v>
      </c>
      <c r="O567">
        <f t="shared" si="8"/>
        <v>0.81591796875</v>
      </c>
    </row>
    <row r="568" spans="1:15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12.713519013710021</v>
      </c>
      <c r="H568">
        <v>5.4674999999999993E-4</v>
      </c>
      <c r="I568">
        <v>-0.6545652742545558</v>
      </c>
      <c r="J568">
        <v>-3.5788356369867831E-4</v>
      </c>
      <c r="M568">
        <v>12.439379396461669</v>
      </c>
      <c r="N568">
        <v>4.8828125E-4</v>
      </c>
      <c r="O568">
        <f t="shared" si="8"/>
        <v>0.81640625</v>
      </c>
    </row>
    <row r="569" spans="1:15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12.439379396461669</v>
      </c>
      <c r="H569">
        <v>3.652119140625E-4</v>
      </c>
      <c r="I569">
        <v>-0.66057409583422932</v>
      </c>
      <c r="J569">
        <v>-2.412495299197242E-4</v>
      </c>
      <c r="M569">
        <v>12.713519013710021</v>
      </c>
      <c r="N569">
        <v>2.44140625E-4</v>
      </c>
      <c r="O569">
        <f t="shared" si="8"/>
        <v>0.816650390625</v>
      </c>
    </row>
    <row r="570" spans="1:15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13.715213180714144</v>
      </c>
      <c r="H570">
        <v>7.7100292968749996E-4</v>
      </c>
      <c r="I570">
        <v>-0.63307032017101661</v>
      </c>
      <c r="J570">
        <v>-4.8809907155005741E-4</v>
      </c>
      <c r="M570">
        <v>12.713519013710021</v>
      </c>
      <c r="N570">
        <v>4.8828125E-4</v>
      </c>
      <c r="O570">
        <f t="shared" si="8"/>
        <v>0.817138671875</v>
      </c>
    </row>
    <row r="571" spans="1:15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14.672088518903514</v>
      </c>
      <c r="H571">
        <v>4.8694921874999997E-4</v>
      </c>
      <c r="I571">
        <v>-0.6131966364157192</v>
      </c>
      <c r="J571">
        <v>-2.9859562304276226E-4</v>
      </c>
      <c r="M571">
        <v>12.713519013710021</v>
      </c>
      <c r="N571">
        <v>2.44140625E-4</v>
      </c>
      <c r="O571">
        <f t="shared" si="8"/>
        <v>0.8173828125</v>
      </c>
    </row>
    <row r="572" spans="1:15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12.439379396461669</v>
      </c>
      <c r="H572">
        <v>7.7100292968749996E-4</v>
      </c>
      <c r="I572">
        <v>-0.66057409583422932</v>
      </c>
      <c r="J572">
        <v>-5.0930456316386214E-4</v>
      </c>
      <c r="M572">
        <v>12.713519013710021</v>
      </c>
      <c r="N572">
        <v>4.8828125E-4</v>
      </c>
      <c r="O572">
        <f t="shared" si="8"/>
        <v>0.81787109375</v>
      </c>
    </row>
    <row r="573" spans="1:15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13.715213180714144</v>
      </c>
      <c r="H573">
        <v>1.6276728515624999E-3</v>
      </c>
      <c r="I573">
        <v>-0.63307032017101661</v>
      </c>
      <c r="J573">
        <v>-1.0304313732723434E-3</v>
      </c>
      <c r="M573">
        <v>12.713519013710021</v>
      </c>
      <c r="N573">
        <v>9.765625E-4</v>
      </c>
      <c r="O573">
        <f t="shared" si="8"/>
        <v>0.81884765625</v>
      </c>
    </row>
    <row r="574" spans="1:15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14.672088518903514</v>
      </c>
      <c r="H574">
        <v>1.0280039062499999E-3</v>
      </c>
      <c r="I574">
        <v>-0.6131966364157192</v>
      </c>
      <c r="J574">
        <v>-6.3036853753472026E-4</v>
      </c>
      <c r="M574">
        <v>12.713519013710021</v>
      </c>
      <c r="N574">
        <v>4.8828125E-4</v>
      </c>
      <c r="O574">
        <f t="shared" si="8"/>
        <v>0.8193359375</v>
      </c>
    </row>
    <row r="575" spans="1:15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12.439379396461669</v>
      </c>
      <c r="H575">
        <v>4.8694921874999997E-4</v>
      </c>
      <c r="I575">
        <v>-0.66057409583422932</v>
      </c>
      <c r="J575">
        <v>-3.2166603989296558E-4</v>
      </c>
      <c r="M575">
        <v>12.713519013710021</v>
      </c>
      <c r="N575">
        <v>2.44140625E-4</v>
      </c>
      <c r="O575">
        <f t="shared" si="8"/>
        <v>0.819580078125</v>
      </c>
    </row>
    <row r="576" spans="1:15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13.715213180714144</v>
      </c>
      <c r="H576">
        <v>1.0280039062499999E-3</v>
      </c>
      <c r="I576">
        <v>-0.63307032017101661</v>
      </c>
      <c r="J576">
        <v>-6.5079876206674322E-4</v>
      </c>
      <c r="M576">
        <v>12.713519013710021</v>
      </c>
      <c r="N576">
        <v>4.8828125E-4</v>
      </c>
      <c r="O576">
        <f t="shared" si="8"/>
        <v>0.820068359375</v>
      </c>
    </row>
    <row r="577" spans="1:15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14.672088518903514</v>
      </c>
      <c r="H577">
        <v>6.4926562499999999E-4</v>
      </c>
      <c r="I577">
        <v>-0.6131966364157192</v>
      </c>
      <c r="J577">
        <v>-3.9812749739034968E-4</v>
      </c>
      <c r="M577">
        <v>12.713519013710021</v>
      </c>
      <c r="N577">
        <v>2.44140625E-4</v>
      </c>
      <c r="O577">
        <f t="shared" si="8"/>
        <v>0.8203125</v>
      </c>
    </row>
    <row r="578" spans="1:15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12.439379396461669</v>
      </c>
      <c r="H578">
        <v>7.7100292968750007E-4</v>
      </c>
      <c r="I578">
        <v>-0.66057409583422932</v>
      </c>
      <c r="J578">
        <v>-5.0930456316386225E-4</v>
      </c>
      <c r="M578">
        <v>13.520355499841669</v>
      </c>
      <c r="N578">
        <v>2.44140625E-4</v>
      </c>
      <c r="O578">
        <f t="shared" si="8"/>
        <v>0.820556640625</v>
      </c>
    </row>
    <row r="579" spans="1:15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13.715213180714144</v>
      </c>
      <c r="H579">
        <v>1.6276728515625001E-3</v>
      </c>
      <c r="I579">
        <v>-0.63307032017101661</v>
      </c>
      <c r="J579">
        <v>-1.0304313732723436E-3</v>
      </c>
      <c r="M579">
        <v>13.520355499841669</v>
      </c>
      <c r="N579">
        <v>4.8828125E-4</v>
      </c>
      <c r="O579">
        <f t="shared" si="8"/>
        <v>0.821044921875</v>
      </c>
    </row>
    <row r="580" spans="1:15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14.672088518903514</v>
      </c>
      <c r="H580">
        <v>1.0280039062499999E-3</v>
      </c>
      <c r="I580">
        <v>-0.6131966364157192</v>
      </c>
      <c r="J580">
        <v>-6.3036853753472026E-4</v>
      </c>
      <c r="M580">
        <v>13.520355499841669</v>
      </c>
      <c r="N580">
        <v>2.44140625E-4</v>
      </c>
      <c r="O580">
        <f t="shared" ref="O580:O643" si="9">N580+O579</f>
        <v>0.8212890625</v>
      </c>
    </row>
    <row r="581" spans="1:15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12.439379396461669</v>
      </c>
      <c r="H581">
        <v>1.6276728515624999E-3</v>
      </c>
      <c r="I581">
        <v>-0.66057409583422932</v>
      </c>
      <c r="J581">
        <v>-1.0751985222348201E-3</v>
      </c>
      <c r="M581">
        <v>13.520355499841669</v>
      </c>
      <c r="N581">
        <v>4.8828125E-4</v>
      </c>
      <c r="O581">
        <f t="shared" si="9"/>
        <v>0.82177734375</v>
      </c>
    </row>
    <row r="582" spans="1:15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13.715213180714144</v>
      </c>
      <c r="H582">
        <v>3.4361982421874998E-3</v>
      </c>
      <c r="I582">
        <v>-0.63307032017101661</v>
      </c>
      <c r="J582">
        <v>-2.1753551213527251E-3</v>
      </c>
      <c r="M582">
        <v>13.520355499841669</v>
      </c>
      <c r="N582">
        <v>9.765625E-4</v>
      </c>
      <c r="O582">
        <f t="shared" si="9"/>
        <v>0.82275390625</v>
      </c>
    </row>
    <row r="583" spans="1:15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14.672088518903514</v>
      </c>
      <c r="H583">
        <v>2.1702304687499997E-3</v>
      </c>
      <c r="I583">
        <v>-0.6131966364157192</v>
      </c>
      <c r="J583">
        <v>-1.3307780236844094E-3</v>
      </c>
      <c r="M583">
        <v>13.520355499841669</v>
      </c>
      <c r="N583">
        <v>4.8828125E-4</v>
      </c>
      <c r="O583">
        <f t="shared" si="9"/>
        <v>0.8232421875</v>
      </c>
    </row>
    <row r="584" spans="1:15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12.439379396461669</v>
      </c>
      <c r="H584">
        <v>1.0280039062499999E-3</v>
      </c>
      <c r="I584">
        <v>-0.66057409583422932</v>
      </c>
      <c r="J584">
        <v>-6.790727508851496E-4</v>
      </c>
      <c r="M584">
        <v>13.520355499841669</v>
      </c>
      <c r="N584">
        <v>2.44140625E-4</v>
      </c>
      <c r="O584">
        <f t="shared" si="9"/>
        <v>0.823486328125</v>
      </c>
    </row>
    <row r="585" spans="1:15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13.715213180714144</v>
      </c>
      <c r="H585">
        <v>2.1702304687499997E-3</v>
      </c>
      <c r="I585">
        <v>-0.63307032017101661</v>
      </c>
      <c r="J585">
        <v>-1.3739084976964577E-3</v>
      </c>
      <c r="M585">
        <v>13.520355499841669</v>
      </c>
      <c r="N585">
        <v>4.8828125E-4</v>
      </c>
      <c r="O585">
        <f t="shared" si="9"/>
        <v>0.823974609375</v>
      </c>
    </row>
    <row r="586" spans="1:15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14.672088518903514</v>
      </c>
      <c r="H586">
        <v>1.3706718749999999E-3</v>
      </c>
      <c r="I586">
        <v>-0.6131966364157192</v>
      </c>
      <c r="J586">
        <v>-8.4049138337962705E-4</v>
      </c>
      <c r="M586">
        <v>13.520355499841669</v>
      </c>
      <c r="N586">
        <v>2.44140625E-4</v>
      </c>
      <c r="O586">
        <f t="shared" si="9"/>
        <v>0.82421875</v>
      </c>
    </row>
    <row r="587" spans="1:15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12.439379396461669</v>
      </c>
      <c r="H587">
        <v>4.8694921875000008E-4</v>
      </c>
      <c r="I587">
        <v>-0.66057409583422932</v>
      </c>
      <c r="J587">
        <v>-3.2166603989296563E-4</v>
      </c>
      <c r="M587">
        <v>13.715213180714144</v>
      </c>
      <c r="N587">
        <v>9.765625E-4</v>
      </c>
      <c r="O587">
        <f t="shared" si="9"/>
        <v>0.8251953125</v>
      </c>
    </row>
    <row r="588" spans="1:15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13.715213180714144</v>
      </c>
      <c r="H588">
        <v>1.0280039062500002E-3</v>
      </c>
      <c r="I588">
        <v>-0.63307032017101661</v>
      </c>
      <c r="J588">
        <v>-6.5079876206674333E-4</v>
      </c>
      <c r="M588">
        <v>13.715213180714144</v>
      </c>
      <c r="N588">
        <v>1.953125E-3</v>
      </c>
      <c r="O588">
        <f t="shared" si="9"/>
        <v>0.8271484375</v>
      </c>
    </row>
    <row r="589" spans="1:15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14.672088518903514</v>
      </c>
      <c r="H589">
        <v>6.492656250000001E-4</v>
      </c>
      <c r="I589">
        <v>-0.6131966364157192</v>
      </c>
      <c r="J589">
        <v>-3.9812749739034974E-4</v>
      </c>
      <c r="M589">
        <v>13.715213180714144</v>
      </c>
      <c r="N589">
        <v>9.765625E-4</v>
      </c>
      <c r="O589">
        <f t="shared" si="9"/>
        <v>0.828125</v>
      </c>
    </row>
    <row r="590" spans="1:15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12.439379396461669</v>
      </c>
      <c r="H590">
        <v>1.0280039062499999E-3</v>
      </c>
      <c r="I590">
        <v>-0.66057409583422932</v>
      </c>
      <c r="J590">
        <v>-6.790727508851496E-4</v>
      </c>
      <c r="M590">
        <v>13.715213180714144</v>
      </c>
      <c r="N590">
        <v>1.953125E-3</v>
      </c>
      <c r="O590">
        <f t="shared" si="9"/>
        <v>0.830078125</v>
      </c>
    </row>
    <row r="591" spans="1:15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13.715213180714144</v>
      </c>
      <c r="H591">
        <v>2.1702304687499997E-3</v>
      </c>
      <c r="I591">
        <v>-0.63307032017101661</v>
      </c>
      <c r="J591">
        <v>-1.3739084976964577E-3</v>
      </c>
      <c r="M591">
        <v>13.715213180714144</v>
      </c>
      <c r="N591">
        <v>3.90625E-3</v>
      </c>
      <c r="O591">
        <f t="shared" si="9"/>
        <v>0.833984375</v>
      </c>
    </row>
    <row r="592" spans="1:15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14.672088518903514</v>
      </c>
      <c r="H592">
        <v>1.3706718749999999E-3</v>
      </c>
      <c r="I592">
        <v>-0.6131966364157192</v>
      </c>
      <c r="J592">
        <v>-8.4049138337962705E-4</v>
      </c>
      <c r="M592">
        <v>13.715213180714144</v>
      </c>
      <c r="N592">
        <v>1.953125E-3</v>
      </c>
      <c r="O592">
        <f t="shared" si="9"/>
        <v>0.8359375</v>
      </c>
    </row>
    <row r="593" spans="1:15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12.439379396461669</v>
      </c>
      <c r="H593">
        <v>6.492656250000001E-4</v>
      </c>
      <c r="I593">
        <v>-0.66057409583422932</v>
      </c>
      <c r="J593">
        <v>-4.2888805319062084E-4</v>
      </c>
      <c r="M593">
        <v>13.715213180714144</v>
      </c>
      <c r="N593">
        <v>9.765625E-4</v>
      </c>
      <c r="O593">
        <f t="shared" si="9"/>
        <v>0.8369140625</v>
      </c>
    </row>
    <row r="594" spans="1:15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13.715213180714144</v>
      </c>
      <c r="H594">
        <v>1.3706718749999999E-3</v>
      </c>
      <c r="I594">
        <v>-0.63307032017101661</v>
      </c>
      <c r="J594">
        <v>-8.6773168275565762E-4</v>
      </c>
      <c r="M594">
        <v>13.715213180714144</v>
      </c>
      <c r="N594">
        <v>1.953125E-3</v>
      </c>
      <c r="O594">
        <f t="shared" si="9"/>
        <v>0.8388671875</v>
      </c>
    </row>
    <row r="595" spans="1:15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14.672088518903514</v>
      </c>
      <c r="H595">
        <v>8.6568750000000003E-4</v>
      </c>
      <c r="I595">
        <v>-0.6131966364157192</v>
      </c>
      <c r="J595">
        <v>-5.3083666318713295E-4</v>
      </c>
      <c r="M595">
        <v>13.715213180714144</v>
      </c>
      <c r="N595">
        <v>9.765625E-4</v>
      </c>
      <c r="O595">
        <f t="shared" si="9"/>
        <v>0.83984375</v>
      </c>
    </row>
    <row r="596" spans="1:15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15.310005411029751</v>
      </c>
      <c r="H596">
        <v>7.7100292968750007E-4</v>
      </c>
      <c r="I596">
        <v>-0.6002953387026132</v>
      </c>
      <c r="J596">
        <v>-4.6282946481746495E-4</v>
      </c>
      <c r="M596">
        <v>14.672088518903514</v>
      </c>
      <c r="N596">
        <v>4.8828125E-4</v>
      </c>
      <c r="O596">
        <f t="shared" si="9"/>
        <v>0.84033203125</v>
      </c>
    </row>
    <row r="597" spans="1:15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16.880262376263577</v>
      </c>
      <c r="H597">
        <v>1.6276728515625001E-3</v>
      </c>
      <c r="I597">
        <v>-0.56968288644265186</v>
      </c>
      <c r="J597">
        <v>-9.2725736826246709E-4</v>
      </c>
      <c r="M597">
        <v>14.672088518903514</v>
      </c>
      <c r="N597">
        <v>9.765625E-4</v>
      </c>
      <c r="O597">
        <f t="shared" si="9"/>
        <v>0.84130859375</v>
      </c>
    </row>
    <row r="598" spans="1:15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18.057955100188927</v>
      </c>
      <c r="H598">
        <v>1.0280039062499999E-3</v>
      </c>
      <c r="I598">
        <v>-0.54775244507030985</v>
      </c>
      <c r="J598">
        <v>-5.63091653190267E-4</v>
      </c>
      <c r="M598">
        <v>14.672088518903514</v>
      </c>
      <c r="N598">
        <v>4.8828125E-4</v>
      </c>
      <c r="O598">
        <f t="shared" si="9"/>
        <v>0.841796875</v>
      </c>
    </row>
    <row r="599" spans="1:15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15.310005411029751</v>
      </c>
      <c r="H599">
        <v>1.6276728515624999E-3</v>
      </c>
      <c r="I599">
        <v>-0.6002953387026132</v>
      </c>
      <c r="J599">
        <v>-9.7708442572575914E-4</v>
      </c>
      <c r="M599">
        <v>14.672088518903514</v>
      </c>
      <c r="N599">
        <v>9.765625E-4</v>
      </c>
      <c r="O599">
        <f t="shared" si="9"/>
        <v>0.8427734375</v>
      </c>
    </row>
    <row r="600" spans="1:15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16.880262376263577</v>
      </c>
      <c r="H600">
        <v>3.4361982421874998E-3</v>
      </c>
      <c r="I600">
        <v>-0.56968288644265186</v>
      </c>
      <c r="J600">
        <v>-1.9575433329985415E-3</v>
      </c>
      <c r="M600">
        <v>14.672088518903514</v>
      </c>
      <c r="N600">
        <v>1.953125E-3</v>
      </c>
      <c r="O600">
        <f t="shared" si="9"/>
        <v>0.8447265625</v>
      </c>
    </row>
    <row r="601" spans="1:15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18.057955100188927</v>
      </c>
      <c r="H601">
        <v>2.1702304687499997E-3</v>
      </c>
      <c r="I601">
        <v>-0.54775244507030985</v>
      </c>
      <c r="J601">
        <v>-1.188749045623897E-3</v>
      </c>
      <c r="M601">
        <v>14.672088518903514</v>
      </c>
      <c r="N601">
        <v>9.765625E-4</v>
      </c>
      <c r="O601">
        <f t="shared" si="9"/>
        <v>0.845703125</v>
      </c>
    </row>
    <row r="602" spans="1:15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15.310005411029751</v>
      </c>
      <c r="H602">
        <v>1.0280039062499999E-3</v>
      </c>
      <c r="I602">
        <v>-0.6002953387026132</v>
      </c>
      <c r="J602">
        <v>-6.1710595308995316E-4</v>
      </c>
      <c r="M602">
        <v>14.672088518903514</v>
      </c>
      <c r="N602">
        <v>4.8828125E-4</v>
      </c>
      <c r="O602">
        <f t="shared" si="9"/>
        <v>0.84619140625</v>
      </c>
    </row>
    <row r="603" spans="1:15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16.880262376263577</v>
      </c>
      <c r="H603">
        <v>2.1702304687499997E-3</v>
      </c>
      <c r="I603">
        <v>-0.56968288644265186</v>
      </c>
      <c r="J603">
        <v>-1.2363431576832892E-3</v>
      </c>
      <c r="M603">
        <v>14.672088518903514</v>
      </c>
      <c r="N603">
        <v>9.765625E-4</v>
      </c>
      <c r="O603">
        <f t="shared" si="9"/>
        <v>0.84716796875</v>
      </c>
    </row>
    <row r="604" spans="1:15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18.057955100188927</v>
      </c>
      <c r="H604">
        <v>1.3706718749999999E-3</v>
      </c>
      <c r="I604">
        <v>-0.54775244507030985</v>
      </c>
      <c r="J604">
        <v>-7.5078887092035608E-4</v>
      </c>
      <c r="M604">
        <v>14.672088518903514</v>
      </c>
      <c r="N604">
        <v>4.8828125E-4</v>
      </c>
      <c r="O604">
        <f t="shared" si="9"/>
        <v>0.84765625</v>
      </c>
    </row>
    <row r="605" spans="1:15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15.310005411029751</v>
      </c>
      <c r="H605">
        <v>1.6276728515624997E-3</v>
      </c>
      <c r="I605">
        <v>-0.6002953387026132</v>
      </c>
      <c r="J605">
        <v>-9.7708442572575892E-4</v>
      </c>
      <c r="M605">
        <v>14.907058628030558</v>
      </c>
      <c r="N605">
        <v>4.8828125E-4</v>
      </c>
      <c r="O605">
        <f t="shared" si="9"/>
        <v>0.84814453125</v>
      </c>
    </row>
    <row r="606" spans="1:15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16.880262376263577</v>
      </c>
      <c r="H606">
        <v>3.4361982421874993E-3</v>
      </c>
      <c r="I606">
        <v>-0.56968288644265186</v>
      </c>
      <c r="J606">
        <v>-1.957543332998541E-3</v>
      </c>
      <c r="M606">
        <v>14.907058628030558</v>
      </c>
      <c r="N606">
        <v>9.765625E-4</v>
      </c>
      <c r="O606">
        <f t="shared" si="9"/>
        <v>0.84912109375</v>
      </c>
    </row>
    <row r="607" spans="1:15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18.057955100188927</v>
      </c>
      <c r="H607">
        <v>2.1702304687499993E-3</v>
      </c>
      <c r="I607">
        <v>-0.54775244507030985</v>
      </c>
      <c r="J607">
        <v>-1.1887490456238968E-3</v>
      </c>
      <c r="M607">
        <v>14.907058628030558</v>
      </c>
      <c r="N607">
        <v>4.8828125E-4</v>
      </c>
      <c r="O607">
        <f t="shared" si="9"/>
        <v>0.849609375</v>
      </c>
    </row>
    <row r="608" spans="1:15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15.310005411029751</v>
      </c>
      <c r="H608">
        <v>3.4361982421874993E-3</v>
      </c>
      <c r="I608">
        <v>-0.6002953387026132</v>
      </c>
      <c r="J608">
        <v>-2.0627337876432689E-3</v>
      </c>
      <c r="M608">
        <v>14.907058628030558</v>
      </c>
      <c r="N608">
        <v>9.765625E-4</v>
      </c>
      <c r="O608">
        <f t="shared" si="9"/>
        <v>0.8505859375</v>
      </c>
    </row>
    <row r="609" spans="1:15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16.880262376263577</v>
      </c>
      <c r="H609">
        <v>7.254196289062498E-3</v>
      </c>
      <c r="I609">
        <v>-0.56968288644265186</v>
      </c>
      <c r="J609">
        <v>-4.1325914807746975E-3</v>
      </c>
      <c r="M609">
        <v>14.907058628030558</v>
      </c>
      <c r="N609">
        <v>1.953125E-3</v>
      </c>
      <c r="O609">
        <f t="shared" si="9"/>
        <v>0.8525390625</v>
      </c>
    </row>
    <row r="610" spans="1:15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18.057955100188927</v>
      </c>
      <c r="H610">
        <v>4.5815976562499985E-3</v>
      </c>
      <c r="I610">
        <v>-0.54775244507030985</v>
      </c>
      <c r="J610">
        <v>-2.5095813185393376E-3</v>
      </c>
      <c r="M610">
        <v>14.907058628030558</v>
      </c>
      <c r="N610">
        <v>9.765625E-4</v>
      </c>
      <c r="O610">
        <f t="shared" si="9"/>
        <v>0.853515625</v>
      </c>
    </row>
    <row r="611" spans="1:15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15.310005411029751</v>
      </c>
      <c r="H611">
        <v>2.1702304687499997E-3</v>
      </c>
      <c r="I611">
        <v>-0.6002953387026132</v>
      </c>
      <c r="J611">
        <v>-1.3027792343010122E-3</v>
      </c>
      <c r="M611">
        <v>14.907058628030558</v>
      </c>
      <c r="N611">
        <v>4.8828125E-4</v>
      </c>
      <c r="O611">
        <f t="shared" si="9"/>
        <v>0.85400390625</v>
      </c>
    </row>
    <row r="612" spans="1:15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16.880262376263577</v>
      </c>
      <c r="H612">
        <v>4.5815976562499994E-3</v>
      </c>
      <c r="I612">
        <v>-0.56968288644265186</v>
      </c>
      <c r="J612">
        <v>-2.6100577773313883E-3</v>
      </c>
      <c r="M612">
        <v>14.907058628030558</v>
      </c>
      <c r="N612">
        <v>9.765625E-4</v>
      </c>
      <c r="O612">
        <f t="shared" si="9"/>
        <v>0.85498046875</v>
      </c>
    </row>
    <row r="613" spans="1:15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18.057955100188927</v>
      </c>
      <c r="H613">
        <v>2.8936406249999995E-3</v>
      </c>
      <c r="I613">
        <v>-0.54775244507030985</v>
      </c>
      <c r="J613">
        <v>-1.5849987274985293E-3</v>
      </c>
      <c r="M613">
        <v>14.907058628030558</v>
      </c>
      <c r="N613">
        <v>4.8828125E-4</v>
      </c>
      <c r="O613">
        <f t="shared" si="9"/>
        <v>0.85546875</v>
      </c>
    </row>
    <row r="614" spans="1:15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15.310005411029751</v>
      </c>
      <c r="H614">
        <v>1.0280039062499999E-3</v>
      </c>
      <c r="I614">
        <v>-0.6002953387026132</v>
      </c>
      <c r="J614">
        <v>-6.1710595308995316E-4</v>
      </c>
      <c r="M614">
        <v>15.310005411029751</v>
      </c>
      <c r="N614">
        <v>9.765625E-4</v>
      </c>
      <c r="O614">
        <f t="shared" si="9"/>
        <v>0.8564453125</v>
      </c>
    </row>
    <row r="615" spans="1:15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16.880262376263577</v>
      </c>
      <c r="H615">
        <v>2.1702304687499997E-3</v>
      </c>
      <c r="I615">
        <v>-0.56968288644265186</v>
      </c>
      <c r="J615">
        <v>-1.2363431576832892E-3</v>
      </c>
      <c r="M615">
        <v>15.310005411029751</v>
      </c>
      <c r="N615">
        <v>1.953125E-3</v>
      </c>
      <c r="O615">
        <f t="shared" si="9"/>
        <v>0.8583984375</v>
      </c>
    </row>
    <row r="616" spans="1:15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18.057955100188927</v>
      </c>
      <c r="H616">
        <v>1.3706718749999999E-3</v>
      </c>
      <c r="I616">
        <v>-0.54775244507030985</v>
      </c>
      <c r="J616">
        <v>-7.5078887092035608E-4</v>
      </c>
      <c r="M616">
        <v>15.310005411029751</v>
      </c>
      <c r="N616">
        <v>9.765625E-4</v>
      </c>
      <c r="O616">
        <f t="shared" si="9"/>
        <v>0.859375</v>
      </c>
    </row>
    <row r="617" spans="1:15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15.310005411029751</v>
      </c>
      <c r="H617">
        <v>2.1702304687499997E-3</v>
      </c>
      <c r="I617">
        <v>-0.6002953387026132</v>
      </c>
      <c r="J617">
        <v>-1.3027792343010122E-3</v>
      </c>
      <c r="M617">
        <v>15.310005411029751</v>
      </c>
      <c r="N617">
        <v>1.953125E-3</v>
      </c>
      <c r="O617">
        <f t="shared" si="9"/>
        <v>0.861328125</v>
      </c>
    </row>
    <row r="618" spans="1:15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16.880262376263577</v>
      </c>
      <c r="H618">
        <v>4.5815976562499994E-3</v>
      </c>
      <c r="I618">
        <v>-0.56968288644265186</v>
      </c>
      <c r="J618">
        <v>-2.6100577773313883E-3</v>
      </c>
      <c r="M618">
        <v>15.310005411029751</v>
      </c>
      <c r="N618">
        <v>3.90625E-3</v>
      </c>
      <c r="O618">
        <f t="shared" si="9"/>
        <v>0.865234375</v>
      </c>
    </row>
    <row r="619" spans="1:15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18.057955100188927</v>
      </c>
      <c r="H619">
        <v>2.8936406249999995E-3</v>
      </c>
      <c r="I619">
        <v>-0.54775244507030985</v>
      </c>
      <c r="J619">
        <v>-1.5849987274985293E-3</v>
      </c>
      <c r="M619">
        <v>15.310005411029751</v>
      </c>
      <c r="N619">
        <v>1.953125E-3</v>
      </c>
      <c r="O619">
        <f t="shared" si="9"/>
        <v>0.8671875</v>
      </c>
    </row>
    <row r="620" spans="1:15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15.310005411029751</v>
      </c>
      <c r="H620">
        <v>1.3706718749999999E-3</v>
      </c>
      <c r="I620">
        <v>-0.6002953387026132</v>
      </c>
      <c r="J620">
        <v>-8.2280793745327088E-4</v>
      </c>
      <c r="M620">
        <v>15.310005411029751</v>
      </c>
      <c r="N620">
        <v>9.765625E-4</v>
      </c>
      <c r="O620">
        <f t="shared" si="9"/>
        <v>0.8681640625</v>
      </c>
    </row>
    <row r="621" spans="1:15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16.880262376263577</v>
      </c>
      <c r="H621">
        <v>2.8936406249999995E-3</v>
      </c>
      <c r="I621">
        <v>-0.56968288644265186</v>
      </c>
      <c r="J621">
        <v>-1.648457543577719E-3</v>
      </c>
      <c r="M621">
        <v>15.310005411029751</v>
      </c>
      <c r="N621">
        <v>1.953125E-3</v>
      </c>
      <c r="O621">
        <f t="shared" si="9"/>
        <v>0.8701171875</v>
      </c>
    </row>
    <row r="622" spans="1:15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18.057955100188927</v>
      </c>
      <c r="H622">
        <v>1.8275624999999998E-3</v>
      </c>
      <c r="I622">
        <v>-0.54775244507030985</v>
      </c>
      <c r="J622">
        <v>-1.001051827893808E-3</v>
      </c>
      <c r="M622">
        <v>15.310005411029751</v>
      </c>
      <c r="N622">
        <v>9.765625E-4</v>
      </c>
      <c r="O622">
        <f t="shared" si="9"/>
        <v>0.87109375</v>
      </c>
    </row>
    <row r="623" spans="1:15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17.223756087408475</v>
      </c>
      <c r="H623">
        <v>4.8694921874999997E-4</v>
      </c>
      <c r="I623">
        <v>-0.56319733676004158</v>
      </c>
      <c r="J623">
        <v>-2.7424850313738288E-4</v>
      </c>
      <c r="M623">
        <v>15.947085974172223</v>
      </c>
      <c r="N623">
        <v>2.44140625E-4</v>
      </c>
      <c r="O623">
        <f t="shared" si="9"/>
        <v>0.871337890625</v>
      </c>
    </row>
    <row r="624" spans="1:15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18.990295173296527</v>
      </c>
      <c r="H624">
        <v>1.0280039062499999E-3</v>
      </c>
      <c r="I624">
        <v>-0.53099119536569339</v>
      </c>
      <c r="J624">
        <v>-5.4586102302028969E-4</v>
      </c>
      <c r="M624">
        <v>15.947085974172223</v>
      </c>
      <c r="N624">
        <v>4.8828125E-4</v>
      </c>
      <c r="O624">
        <f t="shared" si="9"/>
        <v>0.871826171875</v>
      </c>
    </row>
    <row r="625" spans="1:15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20.315199487712544</v>
      </c>
      <c r="H625">
        <v>6.4926562499999999E-4</v>
      </c>
      <c r="I625">
        <v>-0.50805106426078062</v>
      </c>
      <c r="J625">
        <v>-3.298600917691909E-4</v>
      </c>
      <c r="M625">
        <v>15.947085974172223</v>
      </c>
      <c r="N625">
        <v>2.44140625E-4</v>
      </c>
      <c r="O625">
        <f t="shared" si="9"/>
        <v>0.8720703125</v>
      </c>
    </row>
    <row r="626" spans="1:15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17.223756087408475</v>
      </c>
      <c r="H626">
        <v>1.0280039062499999E-3</v>
      </c>
      <c r="I626">
        <v>-0.56319733676004158</v>
      </c>
      <c r="J626">
        <v>-5.7896906217891938E-4</v>
      </c>
      <c r="M626">
        <v>15.947085974172223</v>
      </c>
      <c r="N626">
        <v>4.8828125E-4</v>
      </c>
      <c r="O626">
        <f t="shared" si="9"/>
        <v>0.87255859375</v>
      </c>
    </row>
    <row r="627" spans="1:15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18.990295173296527</v>
      </c>
      <c r="H627">
        <v>2.1702304687499993E-3</v>
      </c>
      <c r="I627">
        <v>-0.53099119536569339</v>
      </c>
      <c r="J627">
        <v>-1.1523732708206113E-3</v>
      </c>
      <c r="M627">
        <v>15.947085974172223</v>
      </c>
      <c r="N627">
        <v>9.765625E-4</v>
      </c>
      <c r="O627">
        <f t="shared" si="9"/>
        <v>0.87353515625</v>
      </c>
    </row>
    <row r="628" spans="1:15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20.315199487712544</v>
      </c>
      <c r="H628">
        <v>1.3706718749999997E-3</v>
      </c>
      <c r="I628">
        <v>-0.50805106426078062</v>
      </c>
      <c r="J628">
        <v>-6.9637130484606949E-4</v>
      </c>
      <c r="M628">
        <v>15.947085974172223</v>
      </c>
      <c r="N628">
        <v>4.8828125E-4</v>
      </c>
      <c r="O628">
        <f t="shared" si="9"/>
        <v>0.8740234375</v>
      </c>
    </row>
    <row r="629" spans="1:15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17.223756087408475</v>
      </c>
      <c r="H629">
        <v>6.4926562499999999E-4</v>
      </c>
      <c r="I629">
        <v>-0.56319733676004158</v>
      </c>
      <c r="J629">
        <v>-3.6566467084984386E-4</v>
      </c>
      <c r="M629">
        <v>15.947085974172223</v>
      </c>
      <c r="N629">
        <v>2.44140625E-4</v>
      </c>
      <c r="O629">
        <f t="shared" si="9"/>
        <v>0.874267578125</v>
      </c>
    </row>
    <row r="630" spans="1:15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18.990295173296527</v>
      </c>
      <c r="H630">
        <v>1.3706718749999997E-3</v>
      </c>
      <c r="I630">
        <v>-0.53099119536569339</v>
      </c>
      <c r="J630">
        <v>-7.2781469736038615E-4</v>
      </c>
      <c r="M630">
        <v>15.947085974172223</v>
      </c>
      <c r="N630">
        <v>4.8828125E-4</v>
      </c>
      <c r="O630">
        <f t="shared" si="9"/>
        <v>0.874755859375</v>
      </c>
    </row>
    <row r="631" spans="1:15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20.315199487712544</v>
      </c>
      <c r="H631">
        <v>8.6568749999999992E-4</v>
      </c>
      <c r="I631">
        <v>-0.50805106426078062</v>
      </c>
      <c r="J631">
        <v>-4.3981345569225449E-4</v>
      </c>
      <c r="M631">
        <v>15.947085974172223</v>
      </c>
      <c r="N631">
        <v>2.44140625E-4</v>
      </c>
      <c r="O631">
        <f t="shared" si="9"/>
        <v>0.875</v>
      </c>
    </row>
    <row r="632" spans="1:15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17.223756087408475</v>
      </c>
      <c r="H632">
        <v>1.0280039062499999E-3</v>
      </c>
      <c r="I632">
        <v>-0.56319733676004158</v>
      </c>
      <c r="J632">
        <v>-5.7896906217891938E-4</v>
      </c>
      <c r="M632">
        <v>16.64043753826666</v>
      </c>
      <c r="N632">
        <v>4.8828125E-4</v>
      </c>
      <c r="O632">
        <f t="shared" si="9"/>
        <v>0.87548828125</v>
      </c>
    </row>
    <row r="633" spans="1:15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18.990295173296527</v>
      </c>
      <c r="H633">
        <v>2.1702304687499997E-3</v>
      </c>
      <c r="I633">
        <v>-0.53099119536569339</v>
      </c>
      <c r="J633">
        <v>-1.1523732708206115E-3</v>
      </c>
      <c r="M633">
        <v>16.64043753826666</v>
      </c>
      <c r="N633">
        <v>9.765625E-4</v>
      </c>
      <c r="O633">
        <f t="shared" si="9"/>
        <v>0.87646484375</v>
      </c>
    </row>
    <row r="634" spans="1:15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20.315199487712544</v>
      </c>
      <c r="H634">
        <v>1.3706718749999999E-3</v>
      </c>
      <c r="I634">
        <v>-0.50805106426078062</v>
      </c>
      <c r="J634">
        <v>-6.963713048460696E-4</v>
      </c>
      <c r="M634">
        <v>16.64043753826666</v>
      </c>
      <c r="N634">
        <v>4.8828125E-4</v>
      </c>
      <c r="O634">
        <f t="shared" si="9"/>
        <v>0.876953125</v>
      </c>
    </row>
    <row r="635" spans="1:15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17.223756087408475</v>
      </c>
      <c r="H635">
        <v>2.1702304687499997E-3</v>
      </c>
      <c r="I635">
        <v>-0.56319733676004158</v>
      </c>
      <c r="J635">
        <v>-1.2222680201554965E-3</v>
      </c>
      <c r="M635">
        <v>16.64043753826666</v>
      </c>
      <c r="N635">
        <v>9.765625E-4</v>
      </c>
      <c r="O635">
        <f t="shared" si="9"/>
        <v>0.8779296875</v>
      </c>
    </row>
    <row r="636" spans="1:15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18.990295173296527</v>
      </c>
      <c r="H636">
        <v>4.5815976562499994E-3</v>
      </c>
      <c r="I636">
        <v>-0.53099119536569339</v>
      </c>
      <c r="J636">
        <v>-2.4327880161768463E-3</v>
      </c>
      <c r="M636">
        <v>16.64043753826666</v>
      </c>
      <c r="N636">
        <v>1.953125E-3</v>
      </c>
      <c r="O636">
        <f t="shared" si="9"/>
        <v>0.8798828125</v>
      </c>
    </row>
    <row r="637" spans="1:15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20.315199487712544</v>
      </c>
      <c r="H637">
        <v>2.8936406249999995E-3</v>
      </c>
      <c r="I637">
        <v>-0.50805106426078062</v>
      </c>
      <c r="J637">
        <v>-1.4701171991194802E-3</v>
      </c>
      <c r="M637">
        <v>16.64043753826666</v>
      </c>
      <c r="N637">
        <v>9.765625E-4</v>
      </c>
      <c r="O637">
        <f t="shared" si="9"/>
        <v>0.880859375</v>
      </c>
    </row>
    <row r="638" spans="1:15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17.223756087408475</v>
      </c>
      <c r="H638">
        <v>1.3706718749999999E-3</v>
      </c>
      <c r="I638">
        <v>-0.56319733676004158</v>
      </c>
      <c r="J638">
        <v>-7.7195874957189262E-4</v>
      </c>
      <c r="M638">
        <v>16.64043753826666</v>
      </c>
      <c r="N638">
        <v>4.8828125E-4</v>
      </c>
      <c r="O638">
        <f t="shared" si="9"/>
        <v>0.88134765625</v>
      </c>
    </row>
    <row r="639" spans="1:15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18.990295173296527</v>
      </c>
      <c r="H639">
        <v>2.8936406249999995E-3</v>
      </c>
      <c r="I639">
        <v>-0.53099119536569339</v>
      </c>
      <c r="J639">
        <v>-1.5364976944274818E-3</v>
      </c>
      <c r="M639">
        <v>16.64043753826666</v>
      </c>
      <c r="N639">
        <v>9.765625E-4</v>
      </c>
      <c r="O639">
        <f t="shared" si="9"/>
        <v>0.88232421875</v>
      </c>
    </row>
    <row r="640" spans="1:15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20.315199487712544</v>
      </c>
      <c r="H640">
        <v>1.8275624999999998E-3</v>
      </c>
      <c r="I640">
        <v>-0.50805106426078062</v>
      </c>
      <c r="J640">
        <v>-9.2849507312809277E-4</v>
      </c>
      <c r="M640">
        <v>16.64043753826666</v>
      </c>
      <c r="N640">
        <v>4.8828125E-4</v>
      </c>
      <c r="O640">
        <f t="shared" si="9"/>
        <v>0.8828125</v>
      </c>
    </row>
    <row r="641" spans="1:15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17.223756087408475</v>
      </c>
      <c r="H641">
        <v>6.4926562499999999E-4</v>
      </c>
      <c r="I641">
        <v>-0.56319733676004158</v>
      </c>
      <c r="J641">
        <v>-3.6566467084984386E-4</v>
      </c>
      <c r="M641">
        <v>16.880262376263577</v>
      </c>
      <c r="N641">
        <v>1.953125E-3</v>
      </c>
      <c r="O641">
        <f t="shared" si="9"/>
        <v>0.884765625</v>
      </c>
    </row>
    <row r="642" spans="1:15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18.990295173296527</v>
      </c>
      <c r="H642">
        <v>1.3706718749999997E-3</v>
      </c>
      <c r="I642">
        <v>-0.53099119536569339</v>
      </c>
      <c r="J642">
        <v>-7.2781469736038615E-4</v>
      </c>
      <c r="M642">
        <v>16.880262376263577</v>
      </c>
      <c r="N642">
        <v>3.90625E-3</v>
      </c>
      <c r="O642">
        <f t="shared" si="9"/>
        <v>0.888671875</v>
      </c>
    </row>
    <row r="643" spans="1:15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20.315199487712544</v>
      </c>
      <c r="H643">
        <v>8.6568749999999992E-4</v>
      </c>
      <c r="I643">
        <v>-0.50805106426078062</v>
      </c>
      <c r="J643">
        <v>-4.3981345569225449E-4</v>
      </c>
      <c r="M643">
        <v>16.880262376263577</v>
      </c>
      <c r="N643">
        <v>1.953125E-3</v>
      </c>
      <c r="O643">
        <f t="shared" si="9"/>
        <v>0.890625</v>
      </c>
    </row>
    <row r="644" spans="1:15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17.223756087408475</v>
      </c>
      <c r="H644">
        <v>1.3706718749999997E-3</v>
      </c>
      <c r="I644">
        <v>-0.56319733676004158</v>
      </c>
      <c r="J644">
        <v>-7.719587495718924E-4</v>
      </c>
      <c r="M644">
        <v>16.880262376263577</v>
      </c>
      <c r="N644">
        <v>3.90625E-3</v>
      </c>
      <c r="O644">
        <f t="shared" ref="O644:O707" si="10">N644+O643</f>
        <v>0.89453125</v>
      </c>
    </row>
    <row r="645" spans="1:15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18.990295173296527</v>
      </c>
      <c r="H645">
        <v>2.8936406249999991E-3</v>
      </c>
      <c r="I645">
        <v>-0.53099119536569339</v>
      </c>
      <c r="J645">
        <v>-1.5364976944274816E-3</v>
      </c>
      <c r="M645">
        <v>16.880262376263577</v>
      </c>
      <c r="N645">
        <v>7.8125E-3</v>
      </c>
      <c r="O645">
        <f t="shared" si="10"/>
        <v>0.90234375</v>
      </c>
    </row>
    <row r="646" spans="1:15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20.315199487712544</v>
      </c>
      <c r="H646">
        <v>1.8275624999999993E-3</v>
      </c>
      <c r="I646">
        <v>-0.50805106426078062</v>
      </c>
      <c r="J646">
        <v>-9.2849507312809255E-4</v>
      </c>
      <c r="M646">
        <v>16.880262376263577</v>
      </c>
      <c r="N646">
        <v>3.90625E-3</v>
      </c>
      <c r="O646">
        <f t="shared" si="10"/>
        <v>0.90625</v>
      </c>
    </row>
    <row r="647" spans="1:15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17.223756087408475</v>
      </c>
      <c r="H647">
        <v>8.6568749999999992E-4</v>
      </c>
      <c r="I647">
        <v>-0.56319733676004158</v>
      </c>
      <c r="J647">
        <v>-4.8755289446645846E-4</v>
      </c>
      <c r="M647">
        <v>16.880262376263577</v>
      </c>
      <c r="N647">
        <v>1.953125E-3</v>
      </c>
      <c r="O647">
        <f t="shared" si="10"/>
        <v>0.908203125</v>
      </c>
    </row>
    <row r="648" spans="1:15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18.990295173296527</v>
      </c>
      <c r="H648">
        <v>1.8275624999999995E-3</v>
      </c>
      <c r="I648">
        <v>-0.53099119536569339</v>
      </c>
      <c r="J648">
        <v>-9.7041959648051475E-4</v>
      </c>
      <c r="M648">
        <v>16.880262376263577</v>
      </c>
      <c r="N648">
        <v>3.90625E-3</v>
      </c>
      <c r="O648">
        <f t="shared" si="10"/>
        <v>0.912109375</v>
      </c>
    </row>
    <row r="649" spans="1:15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20.315199487712544</v>
      </c>
      <c r="H649">
        <v>1.1542499999999997E-3</v>
      </c>
      <c r="I649">
        <v>-0.50805106426078062</v>
      </c>
      <c r="J649">
        <v>-5.8641794092300584E-4</v>
      </c>
      <c r="M649">
        <v>16.880262376263577</v>
      </c>
      <c r="N649">
        <v>1.953125E-3</v>
      </c>
      <c r="O649">
        <f t="shared" si="10"/>
        <v>0.9140625</v>
      </c>
    </row>
    <row r="650" spans="1:15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13.520355499841669</v>
      </c>
      <c r="H650">
        <v>2.3066015625000002E-4</v>
      </c>
      <c r="I650">
        <v>-0.63719565704110959</v>
      </c>
      <c r="J650">
        <v>-1.4697564981492375E-4</v>
      </c>
      <c r="M650">
        <v>17.223756087408475</v>
      </c>
      <c r="N650">
        <v>4.8828125E-4</v>
      </c>
      <c r="O650">
        <f t="shared" si="10"/>
        <v>0.91455078125</v>
      </c>
    </row>
    <row r="651" spans="1:15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14.907058628030558</v>
      </c>
      <c r="H651">
        <v>4.8694921874999997E-4</v>
      </c>
      <c r="I651">
        <v>-0.60841263314911365</v>
      </c>
      <c r="J651">
        <v>-2.9626605638959124E-4</v>
      </c>
      <c r="M651">
        <v>17.223756087408475</v>
      </c>
      <c r="N651">
        <v>9.765625E-4</v>
      </c>
      <c r="O651">
        <f t="shared" si="10"/>
        <v>0.91552734375</v>
      </c>
    </row>
    <row r="652" spans="1:15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15.947085974172223</v>
      </c>
      <c r="H652">
        <v>3.0754687499999999E-4</v>
      </c>
      <c r="I652">
        <v>-0.58768185968008513</v>
      </c>
      <c r="J652">
        <v>-1.8073971943879867E-4</v>
      </c>
      <c r="M652">
        <v>17.223756087408475</v>
      </c>
      <c r="N652">
        <v>4.8828125E-4</v>
      </c>
      <c r="O652">
        <f t="shared" si="10"/>
        <v>0.916015625</v>
      </c>
    </row>
    <row r="653" spans="1:15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13.520355499841669</v>
      </c>
      <c r="H653">
        <v>4.8694921874999997E-4</v>
      </c>
      <c r="I653">
        <v>-0.63719565704110959</v>
      </c>
      <c r="J653">
        <v>-3.1028192738706122E-4</v>
      </c>
      <c r="M653">
        <v>17.223756087408475</v>
      </c>
      <c r="N653">
        <v>9.765625E-4</v>
      </c>
      <c r="O653">
        <f t="shared" si="10"/>
        <v>0.9169921875</v>
      </c>
    </row>
    <row r="654" spans="1:15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14.907058628030558</v>
      </c>
      <c r="H654">
        <v>1.0280039062499999E-3</v>
      </c>
      <c r="I654">
        <v>-0.60841263314911365</v>
      </c>
      <c r="J654">
        <v>-6.2545056348913702E-4</v>
      </c>
      <c r="M654">
        <v>17.223756087408475</v>
      </c>
      <c r="N654">
        <v>1.953125E-3</v>
      </c>
      <c r="O654">
        <f t="shared" si="10"/>
        <v>0.9189453125</v>
      </c>
    </row>
    <row r="655" spans="1:15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15.947085974172223</v>
      </c>
      <c r="H655">
        <v>6.4926562499999999E-4</v>
      </c>
      <c r="I655">
        <v>-0.58768185968008513</v>
      </c>
      <c r="J655">
        <v>-3.8156162992635277E-4</v>
      </c>
      <c r="M655">
        <v>17.223756087408475</v>
      </c>
      <c r="N655">
        <v>9.765625E-4</v>
      </c>
      <c r="O655">
        <f t="shared" si="10"/>
        <v>0.919921875</v>
      </c>
    </row>
    <row r="656" spans="1:15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13.520355499841669</v>
      </c>
      <c r="H656">
        <v>3.0754687500000004E-4</v>
      </c>
      <c r="I656">
        <v>-0.63719565704110959</v>
      </c>
      <c r="J656">
        <v>-1.9596753308656503E-4</v>
      </c>
      <c r="M656">
        <v>17.223756087408475</v>
      </c>
      <c r="N656">
        <v>4.8828125E-4</v>
      </c>
      <c r="O656">
        <f t="shared" si="10"/>
        <v>0.92041015625</v>
      </c>
    </row>
    <row r="657" spans="1:15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14.907058628030558</v>
      </c>
      <c r="H657">
        <v>6.4926562499999999E-4</v>
      </c>
      <c r="I657">
        <v>-0.60841263314911365</v>
      </c>
      <c r="J657">
        <v>-3.9502140851945498E-4</v>
      </c>
      <c r="M657">
        <v>17.223756087408475</v>
      </c>
      <c r="N657">
        <v>9.765625E-4</v>
      </c>
      <c r="O657">
        <f t="shared" si="10"/>
        <v>0.92138671875</v>
      </c>
    </row>
    <row r="658" spans="1:15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15.947085974172223</v>
      </c>
      <c r="H658">
        <v>4.100625E-4</v>
      </c>
      <c r="I658">
        <v>-0.58768185968008513</v>
      </c>
      <c r="J658">
        <v>-2.409862925850649E-4</v>
      </c>
      <c r="M658">
        <v>17.223756087408475</v>
      </c>
      <c r="N658">
        <v>4.8828125E-4</v>
      </c>
      <c r="O658">
        <f t="shared" si="10"/>
        <v>0.921875</v>
      </c>
    </row>
    <row r="659" spans="1:15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13.520355499841669</v>
      </c>
      <c r="H659">
        <v>4.8694921875000008E-4</v>
      </c>
      <c r="I659">
        <v>-0.63719565704110959</v>
      </c>
      <c r="J659">
        <v>-3.1028192738706128E-4</v>
      </c>
      <c r="M659">
        <v>18.057955100188927</v>
      </c>
      <c r="N659">
        <v>9.765625E-4</v>
      </c>
      <c r="O659">
        <f t="shared" si="10"/>
        <v>0.9228515625</v>
      </c>
    </row>
    <row r="660" spans="1:15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14.907058628030558</v>
      </c>
      <c r="H660">
        <v>1.0280039062500002E-3</v>
      </c>
      <c r="I660">
        <v>-0.60841263314911365</v>
      </c>
      <c r="J660">
        <v>-6.2545056348913713E-4</v>
      </c>
      <c r="M660">
        <v>18.057955100188927</v>
      </c>
      <c r="N660">
        <v>1.953125E-3</v>
      </c>
      <c r="O660">
        <f t="shared" si="10"/>
        <v>0.9248046875</v>
      </c>
    </row>
    <row r="661" spans="1:15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15.947085974172223</v>
      </c>
      <c r="H661">
        <v>6.492656250000001E-4</v>
      </c>
      <c r="I661">
        <v>-0.58768185968008513</v>
      </c>
      <c r="J661">
        <v>-3.8156162992635282E-4</v>
      </c>
      <c r="M661">
        <v>18.057955100188927</v>
      </c>
      <c r="N661">
        <v>9.765625E-4</v>
      </c>
      <c r="O661">
        <f t="shared" si="10"/>
        <v>0.92578125</v>
      </c>
    </row>
    <row r="662" spans="1:15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13.520355499841669</v>
      </c>
      <c r="H662">
        <v>1.0280039062499999E-3</v>
      </c>
      <c r="I662">
        <v>-0.63719565704110959</v>
      </c>
      <c r="J662">
        <v>-6.5503962448379589E-4</v>
      </c>
      <c r="M662">
        <v>18.057955100188927</v>
      </c>
      <c r="N662">
        <v>1.953125E-3</v>
      </c>
      <c r="O662">
        <f t="shared" si="10"/>
        <v>0.927734375</v>
      </c>
    </row>
    <row r="663" spans="1:15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14.907058628030558</v>
      </c>
      <c r="H663">
        <v>2.1702304687499997E-3</v>
      </c>
      <c r="I663">
        <v>-0.60841263314911365</v>
      </c>
      <c r="J663">
        <v>-1.3203956340326224E-3</v>
      </c>
      <c r="M663">
        <v>18.057955100188927</v>
      </c>
      <c r="N663">
        <v>3.90625E-3</v>
      </c>
      <c r="O663">
        <f t="shared" si="10"/>
        <v>0.931640625</v>
      </c>
    </row>
    <row r="664" spans="1:15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15.947085974172223</v>
      </c>
      <c r="H664">
        <v>1.3706718749999999E-3</v>
      </c>
      <c r="I664">
        <v>-0.58768185968008513</v>
      </c>
      <c r="J664">
        <v>-8.0551899651118918E-4</v>
      </c>
      <c r="M664">
        <v>18.057955100188927</v>
      </c>
      <c r="N664">
        <v>1.953125E-3</v>
      </c>
      <c r="O664">
        <f t="shared" si="10"/>
        <v>0.93359375</v>
      </c>
    </row>
    <row r="665" spans="1:15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13.520355499841669</v>
      </c>
      <c r="H665">
        <v>6.492656250000001E-4</v>
      </c>
      <c r="I665">
        <v>-0.63719565704110959</v>
      </c>
      <c r="J665">
        <v>-4.1370923651608174E-4</v>
      </c>
      <c r="M665">
        <v>18.057955100188927</v>
      </c>
      <c r="N665">
        <v>9.765625E-4</v>
      </c>
      <c r="O665">
        <f t="shared" si="10"/>
        <v>0.9345703125</v>
      </c>
    </row>
    <row r="666" spans="1:15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14.907058628030558</v>
      </c>
      <c r="H666">
        <v>1.3706718749999999E-3</v>
      </c>
      <c r="I666">
        <v>-0.60841263314911365</v>
      </c>
      <c r="J666">
        <v>-8.3393408465218277E-4</v>
      </c>
      <c r="M666">
        <v>18.057955100188927</v>
      </c>
      <c r="N666">
        <v>1.953125E-3</v>
      </c>
      <c r="O666">
        <f t="shared" si="10"/>
        <v>0.9365234375</v>
      </c>
    </row>
    <row r="667" spans="1:15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15.947085974172223</v>
      </c>
      <c r="H667">
        <v>8.6568750000000003E-4</v>
      </c>
      <c r="I667">
        <v>-0.58768185968008513</v>
      </c>
      <c r="J667">
        <v>-5.0874883990180376E-4</v>
      </c>
      <c r="M667">
        <v>18.057955100188927</v>
      </c>
      <c r="N667">
        <v>9.765625E-4</v>
      </c>
      <c r="O667">
        <f t="shared" si="10"/>
        <v>0.9375</v>
      </c>
    </row>
    <row r="668" spans="1:15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13.520355499841669</v>
      </c>
      <c r="H668">
        <v>3.0754687500000004E-4</v>
      </c>
      <c r="I668">
        <v>-0.63719565704110959</v>
      </c>
      <c r="J668">
        <v>-1.9596753308656503E-4</v>
      </c>
      <c r="M668">
        <v>18.34714908065299</v>
      </c>
      <c r="N668">
        <v>9.765625E-4</v>
      </c>
      <c r="O668">
        <f t="shared" si="10"/>
        <v>0.9384765625</v>
      </c>
    </row>
    <row r="669" spans="1:15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13.520355499841669</v>
      </c>
      <c r="H669">
        <v>6.4926562499999999E-4</v>
      </c>
      <c r="I669">
        <v>-0.63719565704110959</v>
      </c>
      <c r="J669">
        <v>-4.1370923651608168E-4</v>
      </c>
      <c r="M669">
        <v>18.34714908065299</v>
      </c>
      <c r="N669">
        <v>1.953125E-3</v>
      </c>
      <c r="O669">
        <f t="shared" si="10"/>
        <v>0.9404296875</v>
      </c>
    </row>
    <row r="670" spans="1:15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15.947085974172223</v>
      </c>
      <c r="H670">
        <v>4.100625E-4</v>
      </c>
      <c r="I670">
        <v>-0.58768185968008513</v>
      </c>
      <c r="J670">
        <v>-2.409862925850649E-4</v>
      </c>
      <c r="M670">
        <v>18.34714908065299</v>
      </c>
      <c r="N670">
        <v>9.765625E-4</v>
      </c>
      <c r="O670">
        <f t="shared" si="10"/>
        <v>0.94140625</v>
      </c>
    </row>
    <row r="671" spans="1:15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13.520355499841669</v>
      </c>
      <c r="H671">
        <v>6.4926562499999999E-4</v>
      </c>
      <c r="I671">
        <v>-0.63719565704110959</v>
      </c>
      <c r="J671">
        <v>-4.1370923651608168E-4</v>
      </c>
      <c r="M671">
        <v>18.34714908065299</v>
      </c>
      <c r="N671">
        <v>1.953125E-3</v>
      </c>
      <c r="O671">
        <f t="shared" si="10"/>
        <v>0.943359375</v>
      </c>
    </row>
    <row r="672" spans="1:15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14.907058628030558</v>
      </c>
      <c r="H672">
        <v>1.3706718749999997E-3</v>
      </c>
      <c r="I672">
        <v>-0.60841263314911365</v>
      </c>
      <c r="J672">
        <v>-8.3393408465218255E-4</v>
      </c>
      <c r="M672">
        <v>18.34714908065299</v>
      </c>
      <c r="N672">
        <v>3.90625E-3</v>
      </c>
      <c r="O672">
        <f t="shared" si="10"/>
        <v>0.947265625</v>
      </c>
    </row>
    <row r="673" spans="1:15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15.947085974172223</v>
      </c>
      <c r="H673">
        <v>8.6568749999999992E-4</v>
      </c>
      <c r="I673">
        <v>-0.58768185968008513</v>
      </c>
      <c r="J673">
        <v>-5.0874883990180365E-4</v>
      </c>
      <c r="M673">
        <v>18.34714908065299</v>
      </c>
      <c r="N673">
        <v>1.953125E-3</v>
      </c>
      <c r="O673">
        <f t="shared" si="10"/>
        <v>0.94921875</v>
      </c>
    </row>
    <row r="674" spans="1:15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13.520355499841669</v>
      </c>
      <c r="H674">
        <v>4.100625E-4</v>
      </c>
      <c r="I674">
        <v>-0.63719565704110959</v>
      </c>
      <c r="J674">
        <v>-2.6129004411541999E-4</v>
      </c>
      <c r="M674">
        <v>18.34714908065299</v>
      </c>
      <c r="N674">
        <v>9.765625E-4</v>
      </c>
      <c r="O674">
        <f t="shared" si="10"/>
        <v>0.9501953125</v>
      </c>
    </row>
    <row r="675" spans="1:15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14.907058628030558</v>
      </c>
      <c r="H675">
        <v>8.6568749999999992E-4</v>
      </c>
      <c r="I675">
        <v>-0.60841263314911365</v>
      </c>
      <c r="J675">
        <v>-5.2669521135927328E-4</v>
      </c>
      <c r="M675">
        <v>18.34714908065299</v>
      </c>
      <c r="N675">
        <v>1.953125E-3</v>
      </c>
      <c r="O675">
        <f t="shared" si="10"/>
        <v>0.9521484375</v>
      </c>
    </row>
    <row r="676" spans="1:15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15.947085974172223</v>
      </c>
      <c r="H676">
        <v>5.4674999999999993E-4</v>
      </c>
      <c r="I676">
        <v>-0.58768185968008513</v>
      </c>
      <c r="J676">
        <v>-3.2131505678008651E-4</v>
      </c>
      <c r="M676">
        <v>18.34714908065299</v>
      </c>
      <c r="N676">
        <v>9.765625E-4</v>
      </c>
      <c r="O676">
        <f t="shared" si="10"/>
        <v>0.953125</v>
      </c>
    </row>
    <row r="677" spans="1:15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16.64043753826666</v>
      </c>
      <c r="H677">
        <v>4.8694921874999997E-4</v>
      </c>
      <c r="I677">
        <v>-0.57425527516361619</v>
      </c>
      <c r="J677">
        <v>-2.7963315760398916E-4</v>
      </c>
      <c r="M677">
        <v>18.720492230550001</v>
      </c>
      <c r="N677">
        <v>2.44140625E-4</v>
      </c>
      <c r="O677">
        <f t="shared" si="10"/>
        <v>0.953369140625</v>
      </c>
    </row>
    <row r="678" spans="1:15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18.34714908065299</v>
      </c>
      <c r="H678">
        <v>1.0280039062499999E-3</v>
      </c>
      <c r="I678">
        <v>-0.54249758997392594</v>
      </c>
      <c r="J678">
        <v>-5.576896416244067E-4</v>
      </c>
      <c r="M678">
        <v>18.720492230550001</v>
      </c>
      <c r="N678">
        <v>4.8828125E-4</v>
      </c>
      <c r="O678">
        <f t="shared" si="10"/>
        <v>0.953857421875</v>
      </c>
    </row>
    <row r="679" spans="1:15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19.627182737442741</v>
      </c>
      <c r="H679">
        <v>6.4926562499999999E-4</v>
      </c>
      <c r="I679">
        <v>-0.51983728773143845</v>
      </c>
      <c r="J679">
        <v>-3.3751248151725721E-4</v>
      </c>
      <c r="M679">
        <v>18.720492230550001</v>
      </c>
      <c r="N679">
        <v>2.44140625E-4</v>
      </c>
      <c r="O679">
        <f t="shared" si="10"/>
        <v>0.9541015625</v>
      </c>
    </row>
    <row r="680" spans="1:15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16.64043753826666</v>
      </c>
      <c r="H680">
        <v>1.0280039062499999E-3</v>
      </c>
      <c r="I680">
        <v>-0.57425527516361619</v>
      </c>
      <c r="J680">
        <v>-5.9033666605286597E-4</v>
      </c>
      <c r="M680">
        <v>18.720492230550001</v>
      </c>
      <c r="N680">
        <v>4.8828125E-4</v>
      </c>
      <c r="O680">
        <f t="shared" si="10"/>
        <v>0.95458984375</v>
      </c>
    </row>
    <row r="681" spans="1:15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18.34714908065299</v>
      </c>
      <c r="H681">
        <v>2.1702304687499993E-3</v>
      </c>
      <c r="I681">
        <v>-0.54249758997392594</v>
      </c>
      <c r="J681">
        <v>-1.1773447989848582E-3</v>
      </c>
      <c r="M681">
        <v>18.720492230550001</v>
      </c>
      <c r="N681">
        <v>9.765625E-4</v>
      </c>
      <c r="O681">
        <f t="shared" si="10"/>
        <v>0.95556640625</v>
      </c>
    </row>
    <row r="682" spans="1:15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19.627182737442741</v>
      </c>
      <c r="H682">
        <v>1.3706718749999997E-3</v>
      </c>
      <c r="I682">
        <v>-0.51983728773143845</v>
      </c>
      <c r="J682">
        <v>-7.1252634986976511E-4</v>
      </c>
      <c r="M682">
        <v>18.720492230550001</v>
      </c>
      <c r="N682">
        <v>4.8828125E-4</v>
      </c>
      <c r="O682">
        <f t="shared" si="10"/>
        <v>0.9560546875</v>
      </c>
    </row>
    <row r="683" spans="1:15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16.64043753826666</v>
      </c>
      <c r="H683">
        <v>6.4926562499999999E-4</v>
      </c>
      <c r="I683">
        <v>-0.57425527516361619</v>
      </c>
      <c r="J683">
        <v>-3.7284421013865224E-4</v>
      </c>
      <c r="M683">
        <v>18.720492230550001</v>
      </c>
      <c r="N683">
        <v>2.44140625E-4</v>
      </c>
      <c r="O683">
        <f t="shared" si="10"/>
        <v>0.956298828125</v>
      </c>
    </row>
    <row r="684" spans="1:15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18.34714908065299</v>
      </c>
      <c r="H684">
        <v>1.3706718749999997E-3</v>
      </c>
      <c r="I684">
        <v>-0.54249758997392594</v>
      </c>
      <c r="J684">
        <v>-7.4358618883254212E-4</v>
      </c>
      <c r="M684">
        <v>18.720492230550001</v>
      </c>
      <c r="N684">
        <v>4.8828125E-4</v>
      </c>
      <c r="O684">
        <f t="shared" si="10"/>
        <v>0.956787109375</v>
      </c>
    </row>
    <row r="685" spans="1:15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19.627182737442741</v>
      </c>
      <c r="H685">
        <v>8.6568749999999992E-4</v>
      </c>
      <c r="I685">
        <v>-0.51983728773143845</v>
      </c>
      <c r="J685">
        <v>-4.5001664202300959E-4</v>
      </c>
      <c r="M685">
        <v>18.720492230550001</v>
      </c>
      <c r="N685">
        <v>2.44140625E-4</v>
      </c>
      <c r="O685">
        <f t="shared" si="10"/>
        <v>0.95703125</v>
      </c>
    </row>
    <row r="686" spans="1:15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16.64043753826666</v>
      </c>
      <c r="H686">
        <v>1.0280039062499999E-3</v>
      </c>
      <c r="I686">
        <v>-0.57425527516361619</v>
      </c>
      <c r="J686">
        <v>-5.9033666605286597E-4</v>
      </c>
      <c r="M686">
        <v>18.990295173296527</v>
      </c>
      <c r="N686">
        <v>9.765625E-4</v>
      </c>
      <c r="O686">
        <f t="shared" si="10"/>
        <v>0.9580078125</v>
      </c>
    </row>
    <row r="687" spans="1:15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18.34714908065299</v>
      </c>
      <c r="H687">
        <v>2.1702304687499997E-3</v>
      </c>
      <c r="I687">
        <v>-0.54249758997392594</v>
      </c>
      <c r="J687">
        <v>-1.1773447989848584E-3</v>
      </c>
      <c r="M687">
        <v>18.990295173296527</v>
      </c>
      <c r="N687">
        <v>1.953125E-3</v>
      </c>
      <c r="O687">
        <f t="shared" si="10"/>
        <v>0.9599609375</v>
      </c>
    </row>
    <row r="688" spans="1:15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19.627182737442741</v>
      </c>
      <c r="H688">
        <v>1.3706718749999999E-3</v>
      </c>
      <c r="I688">
        <v>-0.51983728773143845</v>
      </c>
      <c r="J688">
        <v>-7.1252634986976521E-4</v>
      </c>
      <c r="M688">
        <v>18.990295173296527</v>
      </c>
      <c r="N688">
        <v>9.765625E-4</v>
      </c>
      <c r="O688">
        <f t="shared" si="10"/>
        <v>0.9609375</v>
      </c>
    </row>
    <row r="689" spans="1:15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16.64043753826666</v>
      </c>
      <c r="H689">
        <v>2.1702304687499997E-3</v>
      </c>
      <c r="I689">
        <v>-0.57425527516361619</v>
      </c>
      <c r="J689">
        <v>-1.2462662950004947E-3</v>
      </c>
      <c r="M689">
        <v>18.990295173296527</v>
      </c>
      <c r="N689">
        <v>1.953125E-3</v>
      </c>
      <c r="O689">
        <f t="shared" si="10"/>
        <v>0.962890625</v>
      </c>
    </row>
    <row r="690" spans="1:15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18.34714908065299</v>
      </c>
      <c r="H690">
        <v>4.5815976562499994E-3</v>
      </c>
      <c r="I690">
        <v>-0.54249758997392594</v>
      </c>
      <c r="J690">
        <v>-2.4855056867458124E-3</v>
      </c>
      <c r="M690">
        <v>18.990295173296527</v>
      </c>
      <c r="N690">
        <v>3.90625E-3</v>
      </c>
      <c r="O690">
        <f t="shared" si="10"/>
        <v>0.966796875</v>
      </c>
    </row>
    <row r="691" spans="1:15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19.627182737442741</v>
      </c>
      <c r="H691">
        <v>2.8936406249999995E-3</v>
      </c>
      <c r="I691">
        <v>-0.51983728773143845</v>
      </c>
      <c r="J691">
        <v>-1.5042222941695042E-3</v>
      </c>
      <c r="M691">
        <v>18.990295173296527</v>
      </c>
      <c r="N691">
        <v>1.953125E-3</v>
      </c>
      <c r="O691">
        <f t="shared" si="10"/>
        <v>0.96875</v>
      </c>
    </row>
    <row r="692" spans="1:15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16.64043753826666</v>
      </c>
      <c r="H692">
        <v>1.3706718749999999E-3</v>
      </c>
      <c r="I692">
        <v>-0.57425527516361619</v>
      </c>
      <c r="J692">
        <v>-7.8711555473715466E-4</v>
      </c>
      <c r="M692">
        <v>18.990295173296527</v>
      </c>
      <c r="N692">
        <v>9.765625E-4</v>
      </c>
      <c r="O692">
        <f t="shared" si="10"/>
        <v>0.9697265625</v>
      </c>
    </row>
    <row r="693" spans="1:15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18.34714908065299</v>
      </c>
      <c r="H693">
        <v>2.8936406249999995E-3</v>
      </c>
      <c r="I693">
        <v>-0.54249758997392594</v>
      </c>
      <c r="J693">
        <v>-1.5697930653131445E-3</v>
      </c>
      <c r="M693">
        <v>18.990295173296527</v>
      </c>
      <c r="N693">
        <v>1.953125E-3</v>
      </c>
      <c r="O693">
        <f t="shared" si="10"/>
        <v>0.9716796875</v>
      </c>
    </row>
    <row r="694" spans="1:15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19.627182737442741</v>
      </c>
      <c r="H694">
        <v>1.8275624999999998E-3</v>
      </c>
      <c r="I694">
        <v>-0.51983728773143845</v>
      </c>
      <c r="J694">
        <v>-9.5003513315968684E-4</v>
      </c>
      <c r="M694">
        <v>18.990295173296527</v>
      </c>
      <c r="N694">
        <v>9.765625E-4</v>
      </c>
      <c r="O694">
        <f t="shared" si="10"/>
        <v>0.97265625</v>
      </c>
    </row>
    <row r="695" spans="1:15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16.64043753826666</v>
      </c>
      <c r="H695">
        <v>6.4926562499999999E-4</v>
      </c>
      <c r="I695">
        <v>-0.57425527516361619</v>
      </c>
      <c r="J695">
        <v>-3.7284421013865224E-4</v>
      </c>
      <c r="M695">
        <v>19.627182737442741</v>
      </c>
      <c r="N695">
        <v>4.8828125E-4</v>
      </c>
      <c r="O695">
        <f t="shared" si="10"/>
        <v>0.97314453125</v>
      </c>
    </row>
    <row r="696" spans="1:15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18.34714908065299</v>
      </c>
      <c r="H696">
        <v>1.3706718749999997E-3</v>
      </c>
      <c r="I696">
        <v>-0.54249758997392594</v>
      </c>
      <c r="J696">
        <v>-7.4358618883254212E-4</v>
      </c>
      <c r="M696">
        <v>19.627182737442741</v>
      </c>
      <c r="N696">
        <v>9.765625E-4</v>
      </c>
      <c r="O696">
        <f t="shared" si="10"/>
        <v>0.97412109375</v>
      </c>
    </row>
    <row r="697" spans="1:15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19.627182737442741</v>
      </c>
      <c r="H697">
        <v>8.6568749999999992E-4</v>
      </c>
      <c r="I697">
        <v>-0.51983728773143845</v>
      </c>
      <c r="J697">
        <v>-4.5001664202300959E-4</v>
      </c>
      <c r="M697">
        <v>19.627182737442741</v>
      </c>
      <c r="N697">
        <v>4.8828125E-4</v>
      </c>
      <c r="O697">
        <f t="shared" si="10"/>
        <v>0.974609375</v>
      </c>
    </row>
    <row r="698" spans="1:15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16.64043753826666</v>
      </c>
      <c r="H698">
        <v>1.3706718749999997E-3</v>
      </c>
      <c r="I698">
        <v>-0.57425527516361619</v>
      </c>
      <c r="J698">
        <v>-7.8711555473715456E-4</v>
      </c>
      <c r="M698">
        <v>19.627182737442741</v>
      </c>
      <c r="N698">
        <v>9.765625E-4</v>
      </c>
      <c r="O698">
        <f t="shared" si="10"/>
        <v>0.9755859375</v>
      </c>
    </row>
    <row r="699" spans="1:15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18.34714908065299</v>
      </c>
      <c r="H699">
        <v>2.8936406249999991E-3</v>
      </c>
      <c r="I699">
        <v>-0.54249758997392594</v>
      </c>
      <c r="J699">
        <v>-1.5697930653131443E-3</v>
      </c>
      <c r="M699">
        <v>19.627182737442741</v>
      </c>
      <c r="N699">
        <v>1.953125E-3</v>
      </c>
      <c r="O699">
        <f t="shared" si="10"/>
        <v>0.9775390625</v>
      </c>
    </row>
    <row r="700" spans="1:15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19.627182737442741</v>
      </c>
      <c r="H700">
        <v>1.8275624999999993E-3</v>
      </c>
      <c r="I700">
        <v>-0.51983728773143845</v>
      </c>
      <c r="J700">
        <v>-9.5003513315968663E-4</v>
      </c>
      <c r="M700">
        <v>19.627182737442741</v>
      </c>
      <c r="N700">
        <v>9.765625E-4</v>
      </c>
      <c r="O700">
        <f t="shared" si="10"/>
        <v>0.978515625</v>
      </c>
    </row>
    <row r="701" spans="1:15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16.64043753826666</v>
      </c>
      <c r="H701">
        <v>8.6568749999999992E-4</v>
      </c>
      <c r="I701">
        <v>-0.57425527516361619</v>
      </c>
      <c r="J701">
        <v>-4.9712561351820299E-4</v>
      </c>
      <c r="M701">
        <v>19.627182737442741</v>
      </c>
      <c r="N701">
        <v>4.8828125E-4</v>
      </c>
      <c r="O701">
        <f t="shared" si="10"/>
        <v>0.97900390625</v>
      </c>
    </row>
    <row r="702" spans="1:15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18.34714908065299</v>
      </c>
      <c r="H702">
        <v>1.8275624999999995E-3</v>
      </c>
      <c r="I702">
        <v>-0.54249758997392594</v>
      </c>
      <c r="J702">
        <v>-9.9144825177672276E-4</v>
      </c>
      <c r="M702">
        <v>19.627182737442741</v>
      </c>
      <c r="N702">
        <v>9.765625E-4</v>
      </c>
      <c r="O702">
        <f t="shared" si="10"/>
        <v>0.97998046875</v>
      </c>
    </row>
    <row r="703" spans="1:15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19.627182737442741</v>
      </c>
      <c r="H703">
        <v>1.1542499999999997E-3</v>
      </c>
      <c r="I703">
        <v>-0.51983728773143845</v>
      </c>
      <c r="J703">
        <v>-6.0002218936401261E-4</v>
      </c>
      <c r="M703">
        <v>19.627182737442741</v>
      </c>
      <c r="N703">
        <v>4.8828125E-4</v>
      </c>
      <c r="O703">
        <f t="shared" si="10"/>
        <v>0.98046875</v>
      </c>
    </row>
    <row r="704" spans="1:15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18.720492230550001</v>
      </c>
      <c r="H704">
        <v>3.0754687500000004E-4</v>
      </c>
      <c r="I704">
        <v>-0.53578816655187178</v>
      </c>
      <c r="J704">
        <v>-1.6477997628500771E-4</v>
      </c>
      <c r="M704">
        <v>20.315199487712544</v>
      </c>
      <c r="N704">
        <v>4.8828125E-4</v>
      </c>
      <c r="O704">
        <f t="shared" si="10"/>
        <v>0.98095703125</v>
      </c>
    </row>
    <row r="705" spans="1:15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20.640542715734622</v>
      </c>
      <c r="H705">
        <v>6.4926562499999999E-4</v>
      </c>
      <c r="I705">
        <v>-0.50257113316779922</v>
      </c>
      <c r="J705">
        <v>-3.2630216088314941E-4</v>
      </c>
      <c r="M705">
        <v>20.315199487712544</v>
      </c>
      <c r="N705">
        <v>9.765625E-4</v>
      </c>
      <c r="O705">
        <f t="shared" si="10"/>
        <v>0.98193359375</v>
      </c>
    </row>
    <row r="706" spans="1:15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22.080580579623085</v>
      </c>
      <c r="H706">
        <v>4.100625E-4</v>
      </c>
      <c r="I706">
        <v>-0.47901692285023123</v>
      </c>
      <c r="J706">
        <v>-1.9642687692627295E-4</v>
      </c>
      <c r="M706">
        <v>20.315199487712544</v>
      </c>
      <c r="N706">
        <v>4.8828125E-4</v>
      </c>
      <c r="O706">
        <f t="shared" si="10"/>
        <v>0.982421875</v>
      </c>
    </row>
    <row r="707" spans="1:15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18.720492230550001</v>
      </c>
      <c r="H707">
        <v>6.4926562499999999E-4</v>
      </c>
      <c r="I707">
        <v>-0.53578816655187178</v>
      </c>
      <c r="J707">
        <v>-3.4786883882390512E-4</v>
      </c>
      <c r="M707">
        <v>20.315199487712544</v>
      </c>
      <c r="N707">
        <v>9.765625E-4</v>
      </c>
      <c r="O707">
        <f t="shared" si="10"/>
        <v>0.9833984375</v>
      </c>
    </row>
    <row r="708" spans="1:15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20.640542715734622</v>
      </c>
      <c r="H708">
        <v>1.3706718749999997E-3</v>
      </c>
      <c r="I708">
        <v>-0.50257113316779922</v>
      </c>
      <c r="J708">
        <v>-6.8886011741998196E-4</v>
      </c>
      <c r="M708">
        <v>20.315199487712544</v>
      </c>
      <c r="N708">
        <v>1.953125E-3</v>
      </c>
      <c r="O708">
        <f t="shared" ref="O708:O730" si="11">N708+O707</f>
        <v>0.9853515625</v>
      </c>
    </row>
    <row r="709" spans="1:15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22.080580579623085</v>
      </c>
      <c r="H709">
        <v>8.6568749999999992E-4</v>
      </c>
      <c r="I709">
        <v>-0.47901692285023123</v>
      </c>
      <c r="J709">
        <v>-4.1467896239990952E-4</v>
      </c>
      <c r="M709">
        <v>20.315199487712544</v>
      </c>
      <c r="N709">
        <v>9.765625E-4</v>
      </c>
      <c r="O709">
        <f t="shared" si="11"/>
        <v>0.986328125</v>
      </c>
    </row>
    <row r="710" spans="1:15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18.720492230550001</v>
      </c>
      <c r="H710">
        <v>4.100625E-4</v>
      </c>
      <c r="I710">
        <v>-0.53578816655187178</v>
      </c>
      <c r="J710">
        <v>-2.1970663504667693E-4</v>
      </c>
      <c r="M710">
        <v>20.315199487712544</v>
      </c>
      <c r="N710">
        <v>4.8828125E-4</v>
      </c>
      <c r="O710">
        <f t="shared" si="11"/>
        <v>0.98681640625</v>
      </c>
    </row>
    <row r="711" spans="1:15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20.640542715734622</v>
      </c>
      <c r="H711">
        <v>8.6568749999999992E-4</v>
      </c>
      <c r="I711">
        <v>-0.50257113316779922</v>
      </c>
      <c r="J711">
        <v>-4.3506954784419916E-4</v>
      </c>
      <c r="M711">
        <v>20.315199487712544</v>
      </c>
      <c r="N711">
        <v>9.765625E-4</v>
      </c>
      <c r="O711">
        <f t="shared" si="11"/>
        <v>0.98779296875</v>
      </c>
    </row>
    <row r="712" spans="1:15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22.080580579623085</v>
      </c>
      <c r="H712">
        <v>5.4674999999999993E-4</v>
      </c>
      <c r="I712">
        <v>-0.47901692285023123</v>
      </c>
      <c r="J712">
        <v>-2.6190250256836388E-4</v>
      </c>
      <c r="M712">
        <v>20.315199487712544</v>
      </c>
      <c r="N712">
        <v>4.8828125E-4</v>
      </c>
      <c r="O712">
        <f t="shared" si="11"/>
        <v>0.98828125</v>
      </c>
    </row>
    <row r="713" spans="1:15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18.720492230550001</v>
      </c>
      <c r="H713">
        <v>6.492656250000001E-4</v>
      </c>
      <c r="I713">
        <v>-0.53578816655187178</v>
      </c>
      <c r="J713">
        <v>-3.4786883882390518E-4</v>
      </c>
      <c r="M713">
        <v>20.640542715734622</v>
      </c>
      <c r="N713">
        <v>4.8828125E-4</v>
      </c>
      <c r="O713">
        <f t="shared" si="11"/>
        <v>0.98876953125</v>
      </c>
    </row>
    <row r="714" spans="1:15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20.640542715734622</v>
      </c>
      <c r="H714">
        <v>1.3706718749999999E-3</v>
      </c>
      <c r="I714">
        <v>-0.50257113316779922</v>
      </c>
      <c r="J714">
        <v>-6.8886011741998206E-4</v>
      </c>
      <c r="M714">
        <v>20.640542715734622</v>
      </c>
      <c r="N714">
        <v>9.765625E-4</v>
      </c>
      <c r="O714">
        <f t="shared" si="11"/>
        <v>0.98974609375</v>
      </c>
    </row>
    <row r="715" spans="1:15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22.080580579623085</v>
      </c>
      <c r="H715">
        <v>8.6568750000000003E-4</v>
      </c>
      <c r="I715">
        <v>-0.47901692285023123</v>
      </c>
      <c r="J715">
        <v>-4.1467896239990958E-4</v>
      </c>
      <c r="M715">
        <v>20.640542715734622</v>
      </c>
      <c r="N715">
        <v>4.8828125E-4</v>
      </c>
      <c r="O715">
        <f t="shared" si="11"/>
        <v>0.990234375</v>
      </c>
    </row>
    <row r="716" spans="1:15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18.720492230550001</v>
      </c>
      <c r="H716">
        <v>1.3706718749999999E-3</v>
      </c>
      <c r="I716">
        <v>-0.53578816655187178</v>
      </c>
      <c r="J716">
        <v>-7.3438977085046636E-4</v>
      </c>
      <c r="M716">
        <v>20.640542715734622</v>
      </c>
      <c r="N716">
        <v>9.765625E-4</v>
      </c>
      <c r="O716">
        <f t="shared" si="11"/>
        <v>0.9912109375</v>
      </c>
    </row>
    <row r="717" spans="1:15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20.640542715734622</v>
      </c>
      <c r="H717">
        <v>2.8936406249999995E-3</v>
      </c>
      <c r="I717">
        <v>-0.50257113316779922</v>
      </c>
      <c r="J717">
        <v>-1.4542602478866285E-3</v>
      </c>
      <c r="M717">
        <v>20.640542715734622</v>
      </c>
      <c r="N717">
        <v>1.953125E-3</v>
      </c>
      <c r="O717">
        <f t="shared" si="11"/>
        <v>0.9931640625</v>
      </c>
    </row>
    <row r="718" spans="1:15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22.080580579623085</v>
      </c>
      <c r="H718">
        <v>1.8275624999999998E-3</v>
      </c>
      <c r="I718">
        <v>-0.47901692285023123</v>
      </c>
      <c r="J718">
        <v>-8.7543336506647564E-4</v>
      </c>
      <c r="M718">
        <v>20.640542715734622</v>
      </c>
      <c r="N718">
        <v>9.765625E-4</v>
      </c>
      <c r="O718">
        <f t="shared" si="11"/>
        <v>0.994140625</v>
      </c>
    </row>
    <row r="719" spans="1:15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18.720492230550001</v>
      </c>
      <c r="H719">
        <v>8.6568749999999992E-4</v>
      </c>
      <c r="I719">
        <v>-0.53578816655187178</v>
      </c>
      <c r="J719">
        <v>-4.6382511843187348E-4</v>
      </c>
      <c r="M719">
        <v>20.640542715734622</v>
      </c>
      <c r="N719">
        <v>4.8828125E-4</v>
      </c>
      <c r="O719">
        <f t="shared" si="11"/>
        <v>0.99462890625</v>
      </c>
    </row>
    <row r="720" spans="1:15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20.640542715734622</v>
      </c>
      <c r="H720">
        <v>1.8275624999999998E-3</v>
      </c>
      <c r="I720">
        <v>-0.50257113316779922</v>
      </c>
      <c r="J720">
        <v>-9.1848015655997598E-4</v>
      </c>
      <c r="M720">
        <v>20.640542715734622</v>
      </c>
      <c r="N720">
        <v>9.765625E-4</v>
      </c>
      <c r="O720">
        <f t="shared" si="11"/>
        <v>0.99560546875</v>
      </c>
    </row>
    <row r="721" spans="1:15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22.080580579623085</v>
      </c>
      <c r="H721">
        <v>1.1542499999999999E-3</v>
      </c>
      <c r="I721">
        <v>-0.47901692285023123</v>
      </c>
      <c r="J721">
        <v>-5.5290528319987937E-4</v>
      </c>
      <c r="M721">
        <v>20.640542715734622</v>
      </c>
      <c r="N721">
        <v>4.8828125E-4</v>
      </c>
      <c r="O721">
        <f t="shared" si="11"/>
        <v>0.99609375</v>
      </c>
    </row>
    <row r="722" spans="1:15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22.080580579623085</v>
      </c>
      <c r="H722">
        <v>5.4674999999999993E-4</v>
      </c>
      <c r="I722">
        <v>-0.47901692285023123</v>
      </c>
      <c r="J722">
        <v>-2.6190250256836388E-4</v>
      </c>
      <c r="M722">
        <v>22.080580579623085</v>
      </c>
      <c r="N722">
        <v>2.44140625E-4</v>
      </c>
      <c r="O722">
        <f t="shared" si="11"/>
        <v>0.996337890625</v>
      </c>
    </row>
    <row r="723" spans="1:15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20.640542715734622</v>
      </c>
      <c r="H723">
        <v>8.6568749999999992E-4</v>
      </c>
      <c r="I723">
        <v>-0.50257113316779922</v>
      </c>
      <c r="J723">
        <v>-4.3506954784419916E-4</v>
      </c>
      <c r="M723">
        <v>22.080580579623085</v>
      </c>
      <c r="N723">
        <v>4.8828125E-4</v>
      </c>
      <c r="O723">
        <f t="shared" si="11"/>
        <v>0.996826171875</v>
      </c>
    </row>
    <row r="724" spans="1:15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22.080580579623085</v>
      </c>
      <c r="H724">
        <v>5.4674999999999993E-4</v>
      </c>
      <c r="I724">
        <v>-0.47901692285023123</v>
      </c>
      <c r="J724">
        <v>-2.6190250256836388E-4</v>
      </c>
      <c r="M724">
        <v>22.080580579623085</v>
      </c>
      <c r="N724">
        <v>2.44140625E-4</v>
      </c>
      <c r="O724">
        <f t="shared" si="11"/>
        <v>0.9970703125</v>
      </c>
    </row>
    <row r="725" spans="1:15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18.720492230550001</v>
      </c>
      <c r="H725">
        <v>8.6568749999999992E-4</v>
      </c>
      <c r="I725">
        <v>-0.53578816655187178</v>
      </c>
      <c r="J725">
        <v>-4.6382511843187348E-4</v>
      </c>
      <c r="M725">
        <v>22.080580579623085</v>
      </c>
      <c r="N725">
        <v>4.8828125E-4</v>
      </c>
      <c r="O725">
        <f t="shared" si="11"/>
        <v>0.99755859375</v>
      </c>
    </row>
    <row r="726" spans="1:15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20.640542715734622</v>
      </c>
      <c r="H726">
        <v>1.8275624999999998E-3</v>
      </c>
      <c r="I726">
        <v>-0.50257113316779922</v>
      </c>
      <c r="J726">
        <v>-9.1848015655997598E-4</v>
      </c>
      <c r="M726">
        <v>22.080580579623085</v>
      </c>
      <c r="N726">
        <v>9.765625E-4</v>
      </c>
      <c r="O726">
        <f t="shared" si="11"/>
        <v>0.99853515625</v>
      </c>
    </row>
    <row r="727" spans="1:15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22.080580579623085</v>
      </c>
      <c r="H727">
        <v>1.1542499999999999E-3</v>
      </c>
      <c r="I727">
        <v>-0.47901692285023123</v>
      </c>
      <c r="J727">
        <v>-5.5290528319987937E-4</v>
      </c>
      <c r="M727">
        <v>22.080580579623085</v>
      </c>
      <c r="N727">
        <v>4.8828125E-4</v>
      </c>
      <c r="O727">
        <f t="shared" si="11"/>
        <v>0.9990234375</v>
      </c>
    </row>
    <row r="728" spans="1:15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18.720492230550001</v>
      </c>
      <c r="H728">
        <v>5.4675000000000004E-4</v>
      </c>
      <c r="I728">
        <v>-0.53578816655187178</v>
      </c>
      <c r="J728">
        <v>-2.9294218006223593E-4</v>
      </c>
      <c r="M728">
        <v>22.080580579623085</v>
      </c>
      <c r="N728">
        <v>2.44140625E-4</v>
      </c>
      <c r="O728">
        <f t="shared" si="11"/>
        <v>0.999267578125</v>
      </c>
    </row>
    <row r="729" spans="1:15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20.640542715734622</v>
      </c>
      <c r="H729">
        <v>1.1542499999999999E-3</v>
      </c>
      <c r="I729">
        <v>-0.50257113316779922</v>
      </c>
      <c r="J729">
        <v>-5.8009273045893221E-4</v>
      </c>
      <c r="M729">
        <v>22.080580579623085</v>
      </c>
      <c r="N729">
        <v>4.8828125E-4</v>
      </c>
      <c r="O729">
        <f t="shared" si="11"/>
        <v>0.999755859375</v>
      </c>
    </row>
    <row r="730" spans="1:15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22.080580579623085</v>
      </c>
      <c r="H730">
        <v>7.2899999999999994E-4</v>
      </c>
      <c r="I730">
        <v>-0.47901692285023123</v>
      </c>
      <c r="J730">
        <v>-3.4920333675781854E-4</v>
      </c>
      <c r="M730">
        <v>22.080580579623085</v>
      </c>
      <c r="N730">
        <v>2.44140625E-4</v>
      </c>
      <c r="O730">
        <f t="shared" si="11"/>
        <v>1</v>
      </c>
    </row>
  </sheetData>
  <sortState ref="M2:N732">
    <sortCondition ref="M2:M73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9"/>
  <sheetViews>
    <sheetView workbookViewId="0">
      <selection activeCell="P1" sqref="P1:P1048576"/>
    </sheetView>
  </sheetViews>
  <sheetFormatPr defaultRowHeight="14.25" x14ac:dyDescent="0.45"/>
  <cols>
    <col min="1" max="1" width="10.73046875" bestFit="1" customWidth="1"/>
    <col min="2" max="2" width="10.73046875" customWidth="1"/>
  </cols>
  <sheetData>
    <row r="1" spans="1:17" ht="15" thickTop="1" thickBot="1" x14ac:dyDescent="0.5">
      <c r="A1" s="115" t="s">
        <v>83</v>
      </c>
      <c r="B1" s="115"/>
      <c r="C1" s="115"/>
      <c r="D1" s="115"/>
      <c r="E1" s="115"/>
      <c r="F1" s="103"/>
    </row>
    <row r="2" spans="1:17" ht="15" thickTop="1" thickBot="1" x14ac:dyDescent="0.5">
      <c r="A2" s="104"/>
      <c r="B2" s="104" t="s">
        <v>79</v>
      </c>
      <c r="C2" s="104" t="s">
        <v>80</v>
      </c>
      <c r="D2" s="104" t="s">
        <v>81</v>
      </c>
      <c r="E2" s="104" t="s">
        <v>82</v>
      </c>
    </row>
    <row r="3" spans="1:17" ht="15" thickTop="1" thickBot="1" x14ac:dyDescent="0.5">
      <c r="A3" s="100" t="s">
        <v>94</v>
      </c>
      <c r="B3" s="100">
        <v>11.357047462671101</v>
      </c>
      <c r="C3" s="100">
        <v>7.8869277911037461</v>
      </c>
      <c r="D3" s="100">
        <v>10.497902148367951</v>
      </c>
      <c r="E3" s="100">
        <v>8.0151921863284343</v>
      </c>
    </row>
    <row r="4" spans="1:17" ht="15" thickTop="1" thickBot="1" x14ac:dyDescent="0.5">
      <c r="A4" s="100" t="s">
        <v>93</v>
      </c>
      <c r="B4" s="100">
        <v>10.545158200350798</v>
      </c>
      <c r="C4" s="100">
        <v>3.8440140967086935</v>
      </c>
      <c r="D4" s="100">
        <v>9.4896107545675843</v>
      </c>
      <c r="E4" s="100">
        <v>7.615184434899497</v>
      </c>
      <c r="P4" t="s">
        <v>126</v>
      </c>
      <c r="Q4">
        <v>56.7</v>
      </c>
    </row>
    <row r="5" spans="1:17" ht="15" thickTop="1" thickBot="1" x14ac:dyDescent="0.5">
      <c r="A5" s="100" t="s">
        <v>86</v>
      </c>
      <c r="B5" s="100">
        <v>-0.70362813947826464</v>
      </c>
      <c r="C5" s="100">
        <v>-0.87973565980198798</v>
      </c>
      <c r="D5" s="100">
        <v>-0.72882592719379613</v>
      </c>
      <c r="E5" s="100">
        <v>-0.77581632518605281</v>
      </c>
    </row>
    <row r="6" spans="1:17" ht="14.65" thickTop="1" x14ac:dyDescent="0.45">
      <c r="A6" s="99"/>
      <c r="B6" s="99"/>
      <c r="C6" s="99"/>
      <c r="D6" s="99"/>
      <c r="E6" s="99"/>
      <c r="P6" t="s">
        <v>127</v>
      </c>
      <c r="Q6">
        <v>3.8</v>
      </c>
    </row>
    <row r="7" spans="1:17" x14ac:dyDescent="0.45">
      <c r="A7" s="99"/>
      <c r="B7" s="99"/>
      <c r="C7" s="99"/>
      <c r="D7" s="99"/>
      <c r="E7" s="99"/>
    </row>
    <row r="13" spans="1:17" ht="14.65" thickBot="1" x14ac:dyDescent="0.5"/>
    <row r="14" spans="1:17" ht="15" thickTop="1" thickBot="1" x14ac:dyDescent="0.5">
      <c r="A14" s="115" t="s">
        <v>92</v>
      </c>
      <c r="B14" s="115"/>
      <c r="C14" s="115"/>
      <c r="D14" s="115"/>
      <c r="E14" s="115"/>
      <c r="F14" s="115"/>
    </row>
    <row r="15" spans="1:17" ht="15" thickTop="1" thickBot="1" x14ac:dyDescent="0.5">
      <c r="A15" s="100"/>
      <c r="B15" s="100"/>
      <c r="C15" s="100" t="s">
        <v>79</v>
      </c>
      <c r="D15" s="100" t="s">
        <v>80</v>
      </c>
      <c r="E15" s="100" t="s">
        <v>81</v>
      </c>
      <c r="F15" s="100" t="s">
        <v>82</v>
      </c>
    </row>
    <row r="16" spans="1:17" ht="15" thickTop="1" thickBot="1" x14ac:dyDescent="0.5">
      <c r="A16" s="100" t="s">
        <v>99</v>
      </c>
      <c r="B16" s="100"/>
      <c r="C16" s="101">
        <f>SUMPRODUCT($B$17:$B$19,C17:C19)</f>
        <v>0</v>
      </c>
      <c r="D16" s="100">
        <f t="shared" ref="D16:F16" si="0">SUMPRODUCT($B$17:$B$19,D17:D19)</f>
        <v>0</v>
      </c>
      <c r="E16" s="100">
        <f t="shared" si="0"/>
        <v>0</v>
      </c>
      <c r="F16" s="100">
        <f t="shared" si="0"/>
        <v>40.236695613186626</v>
      </c>
    </row>
    <row r="17" spans="1:7" ht="15" thickTop="1" thickBot="1" x14ac:dyDescent="0.5">
      <c r="A17" s="100" t="s">
        <v>96</v>
      </c>
      <c r="B17" s="100">
        <v>0.3</v>
      </c>
      <c r="C17" s="100">
        <f>Sheet8!N4</f>
        <v>0</v>
      </c>
      <c r="D17" s="102">
        <f>Sheet6!N3</f>
        <v>0</v>
      </c>
      <c r="E17" s="100">
        <f>Sheet9!N4</f>
        <v>0</v>
      </c>
      <c r="F17" s="100">
        <v>51.727716089716253</v>
      </c>
      <c r="G17" s="93"/>
    </row>
    <row r="18" spans="1:7" ht="15" thickTop="1" thickBot="1" x14ac:dyDescent="0.5">
      <c r="A18" s="100" t="s">
        <v>98</v>
      </c>
      <c r="B18" s="100">
        <v>0.47499999999999998</v>
      </c>
      <c r="C18" s="102">
        <f>Sheet8!O4</f>
        <v>0</v>
      </c>
      <c r="D18" s="100">
        <f>Sheet6!O3</f>
        <v>0</v>
      </c>
      <c r="E18" s="100">
        <f>Sheet9!O4</f>
        <v>0</v>
      </c>
      <c r="F18" s="100">
        <v>29.481950212259438</v>
      </c>
      <c r="G18" s="93"/>
    </row>
    <row r="19" spans="1:7" ht="15" thickTop="1" thickBot="1" x14ac:dyDescent="0.5">
      <c r="A19" s="100" t="s">
        <v>97</v>
      </c>
      <c r="B19" s="100">
        <v>0.22500000000000001</v>
      </c>
      <c r="C19" s="102">
        <f>Sheet8!P4</f>
        <v>0</v>
      </c>
      <c r="D19" s="100">
        <f>Sheet6!P3</f>
        <v>0</v>
      </c>
      <c r="E19" s="100">
        <f>Sheet9!P4</f>
        <v>0</v>
      </c>
      <c r="F19" s="100">
        <v>47.619797490882327</v>
      </c>
      <c r="G19" s="93"/>
    </row>
    <row r="20" spans="1:7" ht="14.65" thickTop="1" x14ac:dyDescent="0.45"/>
    <row r="21" spans="1:7" ht="14.65" thickBot="1" x14ac:dyDescent="0.5"/>
    <row r="22" spans="1:7" ht="14.65" thickBot="1" x14ac:dyDescent="0.5">
      <c r="A22" s="116" t="s">
        <v>83</v>
      </c>
      <c r="B22" s="117"/>
      <c r="C22" s="117"/>
      <c r="D22" s="117"/>
      <c r="E22" s="118"/>
    </row>
    <row r="23" spans="1:7" ht="14.65" thickBot="1" x14ac:dyDescent="0.5">
      <c r="A23" s="114" t="s">
        <v>128</v>
      </c>
      <c r="B23" s="110" t="s">
        <v>79</v>
      </c>
      <c r="C23" s="110" t="s">
        <v>80</v>
      </c>
      <c r="D23" s="110" t="s">
        <v>81</v>
      </c>
      <c r="E23" s="110" t="s">
        <v>82</v>
      </c>
    </row>
    <row r="24" spans="1:7" x14ac:dyDescent="0.45">
      <c r="A24" s="108" t="s">
        <v>94</v>
      </c>
      <c r="B24" s="110">
        <f>B3</f>
        <v>11.357047462671101</v>
      </c>
      <c r="C24" s="110">
        <f t="shared" ref="C24:E24" si="1">C3</f>
        <v>7.8869277911037461</v>
      </c>
      <c r="D24" s="110">
        <f t="shared" si="1"/>
        <v>10.497902148367951</v>
      </c>
      <c r="E24" s="110">
        <f t="shared" si="1"/>
        <v>8.0151921863284343</v>
      </c>
    </row>
    <row r="25" spans="1:7" ht="14.65" thickBot="1" x14ac:dyDescent="0.5">
      <c r="A25" s="109" t="s">
        <v>93</v>
      </c>
      <c r="B25" s="111">
        <f>B4</f>
        <v>10.545158200350798</v>
      </c>
      <c r="C25" s="111">
        <f t="shared" ref="C25:E25" si="2">C4</f>
        <v>3.8440140967086935</v>
      </c>
      <c r="D25" s="111">
        <f t="shared" si="2"/>
        <v>9.4896107545675843</v>
      </c>
      <c r="E25" s="111">
        <f t="shared" si="2"/>
        <v>7.615184434899497</v>
      </c>
    </row>
    <row r="26" spans="1:7" x14ac:dyDescent="0.45">
      <c r="A26" s="113" t="s">
        <v>99</v>
      </c>
      <c r="B26" s="112">
        <f>Sheet8!S6</f>
        <v>12.016861032418722</v>
      </c>
      <c r="C26" s="112">
        <f>Sheet6!S6</f>
        <v>9.9473091574536223</v>
      </c>
      <c r="D26" s="112">
        <f>Sheet9!S6</f>
        <v>11.580203893779061</v>
      </c>
      <c r="E26" s="112">
        <f>Sheet10!S6</f>
        <v>8.8113086983825326</v>
      </c>
    </row>
    <row r="27" spans="1:7" x14ac:dyDescent="0.45">
      <c r="A27" s="113" t="s">
        <v>37</v>
      </c>
      <c r="B27" s="112">
        <f>Sheet8!N2</f>
        <v>4.1490697942127079</v>
      </c>
      <c r="C27" s="112">
        <f>Sheet6!N2</f>
        <v>7.8371151138454334</v>
      </c>
      <c r="D27" s="112">
        <f>Sheet9!N2</f>
        <v>5.4019034698408328</v>
      </c>
      <c r="E27" s="112">
        <f>Sheet10!N2</f>
        <v>4.7456364723917899</v>
      </c>
    </row>
    <row r="28" spans="1:7" x14ac:dyDescent="0.45">
      <c r="A28" s="113" t="s">
        <v>36</v>
      </c>
      <c r="B28" s="112">
        <f>Sheet8!O2</f>
        <v>6.3157969057780319</v>
      </c>
      <c r="C28" s="112">
        <f>Sheet6!O2</f>
        <v>3.1673125354751499</v>
      </c>
      <c r="D28" s="112">
        <f>Sheet9!O2</f>
        <v>5.1978591092784017</v>
      </c>
      <c r="E28" s="112">
        <f>Sheet10!O2</f>
        <v>3.4171684357036471</v>
      </c>
    </row>
    <row r="29" spans="1:7" ht="14.65" thickBot="1" x14ac:dyDescent="0.5">
      <c r="A29" s="109" t="s">
        <v>35</v>
      </c>
      <c r="B29" s="111">
        <f>Sheet8!P2</f>
        <v>1.5519943324279974</v>
      </c>
      <c r="C29" s="111">
        <f>Sheet6!P2</f>
        <v>-1.0571184918669532</v>
      </c>
      <c r="D29" s="111">
        <f>Sheet9!P2</f>
        <v>0.98044131465982964</v>
      </c>
      <c r="E29" s="111">
        <f>Sheet10!P2</f>
        <v>0.6485037902870957</v>
      </c>
    </row>
  </sheetData>
  <mergeCells count="3">
    <mergeCell ref="A14:F14"/>
    <mergeCell ref="A1:E1"/>
    <mergeCell ref="A22:E2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730"/>
  <sheetViews>
    <sheetView workbookViewId="0">
      <selection activeCell="T5" sqref="T5"/>
    </sheetView>
  </sheetViews>
  <sheetFormatPr defaultRowHeight="14.25" x14ac:dyDescent="0.45"/>
  <cols>
    <col min="11" max="12" width="9.06640625" style="93"/>
  </cols>
  <sheetData>
    <row r="1" spans="1:19" x14ac:dyDescent="0.45">
      <c r="G1" t="s">
        <v>84</v>
      </c>
      <c r="H1" t="s">
        <v>75</v>
      </c>
      <c r="I1" t="s">
        <v>87</v>
      </c>
      <c r="J1" t="s">
        <v>88</v>
      </c>
      <c r="K1" s="93" t="s">
        <v>89</v>
      </c>
      <c r="L1" s="93" t="s">
        <v>91</v>
      </c>
      <c r="M1" s="93" t="s">
        <v>90</v>
      </c>
      <c r="N1" s="93" t="s">
        <v>89</v>
      </c>
      <c r="O1" s="93" t="s">
        <v>91</v>
      </c>
      <c r="P1" s="93" t="s">
        <v>90</v>
      </c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1.8611504924183875</v>
      </c>
      <c r="H2">
        <v>1.2974633789062504E-4</v>
      </c>
      <c r="I2">
        <v>-0.93984684321104361</v>
      </c>
      <c r="J2">
        <v>-1.2194168608469736E-4</v>
      </c>
      <c r="K2" s="93">
        <f>IF(A2=3,1,0)</f>
        <v>0</v>
      </c>
      <c r="L2" s="93">
        <f>IF(A2=2,1,0)</f>
        <v>0</v>
      </c>
      <c r="M2" s="93">
        <f>IF(A2=1,1,0)</f>
        <v>1</v>
      </c>
      <c r="N2">
        <f>SUMPRODUCT($G$2:$G$730,$H$2:$H$730,K2:K730)</f>
        <v>4.1490697942127079</v>
      </c>
      <c r="O2">
        <f>SUMPRODUCT($G$2:$G$730,$H$2:$H$730,L2:L730)</f>
        <v>6.3157969057780319</v>
      </c>
      <c r="P2">
        <f>SUMPRODUCT($G$2:$G$730,$H$2:$H$730,M2:M730)</f>
        <v>1.5519943324279974</v>
      </c>
      <c r="R2" s="94" t="s">
        <v>86</v>
      </c>
      <c r="S2" s="94">
        <f>SUM(J2:J730)</f>
        <v>-0.68926222708566676</v>
      </c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5.5834514772551609</v>
      </c>
      <c r="H3">
        <v>2.7390893554687506E-4</v>
      </c>
      <c r="I3">
        <v>-0.83017807812898747</v>
      </c>
      <c r="J3">
        <v>-2.2739319369466143E-4</v>
      </c>
      <c r="K3" s="93">
        <f t="shared" ref="K3:K66" si="0">IF(A3=3,1,0)</f>
        <v>0</v>
      </c>
      <c r="L3" s="93">
        <f t="shared" ref="L3:L66" si="1">IF(A3=2,1,0)</f>
        <v>0</v>
      </c>
      <c r="M3" s="93">
        <f t="shared" ref="M3:M66" si="2">IF(A3=1,1,0)</f>
        <v>1</v>
      </c>
      <c r="R3" s="94"/>
      <c r="S3" s="94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8.3751772158827436</v>
      </c>
      <c r="H4">
        <v>1.7299511718750005E-4</v>
      </c>
      <c r="I4">
        <v>-0.75640935546650756</v>
      </c>
      <c r="J4">
        <v>-1.3085512509064987E-4</v>
      </c>
      <c r="K4" s="93">
        <f t="shared" si="0"/>
        <v>0</v>
      </c>
      <c r="L4" s="93">
        <f t="shared" si="1"/>
        <v>0</v>
      </c>
      <c r="M4" s="93">
        <f t="shared" si="2"/>
        <v>1</v>
      </c>
      <c r="R4" s="94" t="s">
        <v>93</v>
      </c>
      <c r="S4" s="94">
        <f>-LN(-1*S2)/(1/risk_tol)</f>
        <v>11.164004686178673</v>
      </c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0.93057524620919363</v>
      </c>
      <c r="H5">
        <v>2.73908935546875E-4</v>
      </c>
      <c r="I5">
        <v>-0.96945698368264055</v>
      </c>
      <c r="J5">
        <v>-2.6554293045899627E-4</v>
      </c>
      <c r="K5" s="93">
        <f t="shared" si="0"/>
        <v>0</v>
      </c>
      <c r="L5" s="93">
        <f t="shared" si="1"/>
        <v>0</v>
      </c>
      <c r="M5" s="93">
        <f t="shared" si="2"/>
        <v>1</v>
      </c>
      <c r="R5" s="94"/>
      <c r="S5" s="94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4.6528762310459681</v>
      </c>
      <c r="H6">
        <v>5.7825219726562497E-4</v>
      </c>
      <c r="I6">
        <v>-0.85633307315546947</v>
      </c>
      <c r="J6">
        <v>-4.9517648114337542E-4</v>
      </c>
      <c r="K6" s="93">
        <f t="shared" si="0"/>
        <v>0</v>
      </c>
      <c r="L6" s="93">
        <f t="shared" si="1"/>
        <v>0</v>
      </c>
      <c r="M6" s="93">
        <f t="shared" si="2"/>
        <v>1</v>
      </c>
      <c r="R6" s="94" t="s">
        <v>83</v>
      </c>
      <c r="S6" s="94">
        <f>SUMPRODUCT(G2:G730,H2:H730)</f>
        <v>12.016861032418722</v>
      </c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7.4446019696735473</v>
      </c>
      <c r="H7">
        <v>3.652119140625E-4</v>
      </c>
      <c r="I7">
        <v>-0.78024024603254005</v>
      </c>
      <c r="J7">
        <v>-2.8495303368213988E-4</v>
      </c>
      <c r="K7" s="93">
        <f t="shared" si="0"/>
        <v>0</v>
      </c>
      <c r="L7" s="93">
        <f t="shared" si="1"/>
        <v>0</v>
      </c>
      <c r="M7" s="93">
        <f t="shared" si="2"/>
        <v>1</v>
      </c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1.7299511718750003E-4</v>
      </c>
      <c r="I8">
        <v>-1</v>
      </c>
      <c r="J8">
        <v>-1.7299511718750003E-4</v>
      </c>
      <c r="K8" s="93">
        <f t="shared" si="0"/>
        <v>0</v>
      </c>
      <c r="L8" s="93">
        <f t="shared" si="1"/>
        <v>0</v>
      </c>
      <c r="M8" s="93">
        <f t="shared" si="2"/>
        <v>1</v>
      </c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3.7223009848367745</v>
      </c>
      <c r="H9">
        <v>3.6521191406250006E-4</v>
      </c>
      <c r="I9">
        <v>-0.88331208869376399</v>
      </c>
      <c r="J9">
        <v>-3.2259609862639435E-4</v>
      </c>
      <c r="K9" s="93">
        <f t="shared" si="0"/>
        <v>0</v>
      </c>
      <c r="L9" s="93">
        <f t="shared" si="1"/>
        <v>0</v>
      </c>
      <c r="M9" s="93">
        <f t="shared" si="2"/>
        <v>1</v>
      </c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6.5140267234643545</v>
      </c>
      <c r="H10">
        <v>2.3066015625000002E-4</v>
      </c>
      <c r="I10">
        <v>-0.80482193554237969</v>
      </c>
      <c r="J10">
        <v>-1.8564035340563274E-4</v>
      </c>
      <c r="K10" s="93">
        <f t="shared" si="0"/>
        <v>0</v>
      </c>
      <c r="L10" s="93">
        <f t="shared" si="1"/>
        <v>0</v>
      </c>
      <c r="M10" s="93">
        <f t="shared" si="2"/>
        <v>1</v>
      </c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1.8611504924183875</v>
      </c>
      <c r="H11">
        <v>2.7390893554687506E-4</v>
      </c>
      <c r="I11">
        <v>-0.93984684321104361</v>
      </c>
      <c r="J11">
        <v>-2.5743244840102772E-4</v>
      </c>
      <c r="K11" s="93">
        <f t="shared" si="0"/>
        <v>0</v>
      </c>
      <c r="L11" s="93">
        <f t="shared" si="1"/>
        <v>0</v>
      </c>
      <c r="M11" s="93">
        <f t="shared" si="2"/>
        <v>1</v>
      </c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5.5834514772551609</v>
      </c>
      <c r="H12">
        <v>5.7825219726562508E-4</v>
      </c>
      <c r="I12">
        <v>-0.83017807812898747</v>
      </c>
      <c r="J12">
        <v>-4.8005229779984079E-4</v>
      </c>
      <c r="K12" s="93">
        <f t="shared" si="0"/>
        <v>0</v>
      </c>
      <c r="L12" s="93">
        <f t="shared" si="1"/>
        <v>0</v>
      </c>
      <c r="M12" s="93">
        <f t="shared" si="2"/>
        <v>1</v>
      </c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8.3751772158827436</v>
      </c>
      <c r="H13">
        <v>3.6521191406250006E-4</v>
      </c>
      <c r="I13">
        <v>-0.75640935546650756</v>
      </c>
      <c r="J13">
        <v>-2.7624970852470522E-4</v>
      </c>
      <c r="K13" s="93">
        <f t="shared" si="0"/>
        <v>0</v>
      </c>
      <c r="L13" s="93">
        <f t="shared" si="1"/>
        <v>0</v>
      </c>
      <c r="M13" s="93">
        <f t="shared" si="2"/>
        <v>1</v>
      </c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0.93057524620919363</v>
      </c>
      <c r="H14">
        <v>5.7825219726562508E-4</v>
      </c>
      <c r="I14">
        <v>-0.96945698368264055</v>
      </c>
      <c r="J14">
        <v>-5.6059063096899214E-4</v>
      </c>
      <c r="K14" s="93">
        <f t="shared" si="0"/>
        <v>0</v>
      </c>
      <c r="L14" s="93">
        <f t="shared" si="1"/>
        <v>0</v>
      </c>
      <c r="M14" s="93">
        <f t="shared" si="2"/>
        <v>1</v>
      </c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4.6528762310459681</v>
      </c>
      <c r="H15">
        <v>1.220754638671875E-3</v>
      </c>
      <c r="I15">
        <v>-0.85633307315546947</v>
      </c>
      <c r="J15">
        <v>-1.0453725713026815E-3</v>
      </c>
      <c r="K15" s="93">
        <f t="shared" si="0"/>
        <v>0</v>
      </c>
      <c r="L15" s="93">
        <f t="shared" si="1"/>
        <v>0</v>
      </c>
      <c r="M15" s="93">
        <f t="shared" si="2"/>
        <v>1</v>
      </c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7.4446019696735473</v>
      </c>
      <c r="H16">
        <v>7.7100292968750007E-4</v>
      </c>
      <c r="I16">
        <v>-0.78024024603254005</v>
      </c>
      <c r="J16">
        <v>-6.0156751555118422E-4</v>
      </c>
      <c r="K16" s="93">
        <f t="shared" si="0"/>
        <v>0</v>
      </c>
      <c r="L16" s="93">
        <f t="shared" si="1"/>
        <v>0</v>
      </c>
      <c r="M16" s="93">
        <f t="shared" si="2"/>
        <v>1</v>
      </c>
    </row>
    <row r="17" spans="1:13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3.6521191406250006E-4</v>
      </c>
      <c r="I17">
        <v>-1</v>
      </c>
      <c r="J17">
        <v>-3.6521191406250006E-4</v>
      </c>
      <c r="K17" s="93">
        <f t="shared" si="0"/>
        <v>0</v>
      </c>
      <c r="L17" s="93">
        <f t="shared" si="1"/>
        <v>0</v>
      </c>
      <c r="M17" s="93">
        <f t="shared" si="2"/>
        <v>1</v>
      </c>
    </row>
    <row r="18" spans="1:13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3.7223009848367745</v>
      </c>
      <c r="H18">
        <v>7.7100292968750007E-4</v>
      </c>
      <c r="I18">
        <v>-0.88331208869376399</v>
      </c>
      <c r="J18">
        <v>-6.8103620821127699E-4</v>
      </c>
      <c r="K18" s="93">
        <f t="shared" si="0"/>
        <v>0</v>
      </c>
      <c r="L18" s="93">
        <f t="shared" si="1"/>
        <v>0</v>
      </c>
      <c r="M18" s="93">
        <f t="shared" si="2"/>
        <v>1</v>
      </c>
    </row>
    <row r="19" spans="1:13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6.5140267234643545</v>
      </c>
      <c r="H19">
        <v>4.8694921875000008E-4</v>
      </c>
      <c r="I19">
        <v>-0.80482193554237969</v>
      </c>
      <c r="J19">
        <v>-3.919074127452247E-4</v>
      </c>
      <c r="K19" s="93">
        <f t="shared" si="0"/>
        <v>0</v>
      </c>
      <c r="L19" s="93">
        <f t="shared" si="1"/>
        <v>0</v>
      </c>
      <c r="M19" s="93">
        <f t="shared" si="2"/>
        <v>1</v>
      </c>
    </row>
    <row r="20" spans="1:13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1.8611504924183875</v>
      </c>
      <c r="H20">
        <v>1.7299511718750003E-4</v>
      </c>
      <c r="I20">
        <v>-0.93984684321104361</v>
      </c>
      <c r="J20">
        <v>-1.6258891477959644E-4</v>
      </c>
      <c r="K20" s="93">
        <f t="shared" si="0"/>
        <v>0</v>
      </c>
      <c r="L20" s="93">
        <f t="shared" si="1"/>
        <v>0</v>
      </c>
      <c r="M20" s="93">
        <f t="shared" si="2"/>
        <v>1</v>
      </c>
    </row>
    <row r="21" spans="1:13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5.5834514772551609</v>
      </c>
      <c r="H21">
        <v>3.6521191406250006E-4</v>
      </c>
      <c r="I21">
        <v>-0.83017807812898747</v>
      </c>
      <c r="J21">
        <v>-3.0319092492621521E-4</v>
      </c>
      <c r="K21" s="93">
        <f t="shared" si="0"/>
        <v>0</v>
      </c>
      <c r="L21" s="93">
        <f t="shared" si="1"/>
        <v>0</v>
      </c>
      <c r="M21" s="93">
        <f t="shared" si="2"/>
        <v>1</v>
      </c>
    </row>
    <row r="22" spans="1:13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8.3751772158827436</v>
      </c>
      <c r="H22">
        <v>2.3066015625000002E-4</v>
      </c>
      <c r="I22">
        <v>-0.75640935546650756</v>
      </c>
      <c r="J22">
        <v>-1.7447350012086643E-4</v>
      </c>
      <c r="K22" s="93">
        <f t="shared" si="0"/>
        <v>0</v>
      </c>
      <c r="L22" s="93">
        <f t="shared" si="1"/>
        <v>0</v>
      </c>
      <c r="M22" s="93">
        <f t="shared" si="2"/>
        <v>1</v>
      </c>
    </row>
    <row r="23" spans="1:13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0.93057524620919363</v>
      </c>
      <c r="H23">
        <v>3.6521191406250006E-4</v>
      </c>
      <c r="I23">
        <v>-0.96945698368264055</v>
      </c>
      <c r="J23">
        <v>-3.5405724061199502E-4</v>
      </c>
      <c r="K23" s="93">
        <f t="shared" si="0"/>
        <v>0</v>
      </c>
      <c r="L23" s="93">
        <f t="shared" si="1"/>
        <v>0</v>
      </c>
      <c r="M23" s="93">
        <f t="shared" si="2"/>
        <v>1</v>
      </c>
    </row>
    <row r="24" spans="1:13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4.6528762310459681</v>
      </c>
      <c r="H24">
        <v>7.7100292968750007E-4</v>
      </c>
      <c r="I24">
        <v>-0.85633307315546947</v>
      </c>
      <c r="J24">
        <v>-6.6023530819116726E-4</v>
      </c>
      <c r="K24" s="93">
        <f t="shared" si="0"/>
        <v>0</v>
      </c>
      <c r="L24" s="93">
        <f t="shared" si="1"/>
        <v>0</v>
      </c>
      <c r="M24" s="93">
        <f t="shared" si="2"/>
        <v>1</v>
      </c>
    </row>
    <row r="25" spans="1:13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7.4446019696735473</v>
      </c>
      <c r="H25">
        <v>4.8694921875000008E-4</v>
      </c>
      <c r="I25">
        <v>-0.78024024603254005</v>
      </c>
      <c r="J25">
        <v>-3.7993737824285322E-4</v>
      </c>
      <c r="K25" s="93">
        <f t="shared" si="0"/>
        <v>0</v>
      </c>
      <c r="L25" s="93">
        <f t="shared" si="1"/>
        <v>0</v>
      </c>
      <c r="M25" s="93">
        <f t="shared" si="2"/>
        <v>1</v>
      </c>
    </row>
    <row r="26" spans="1:13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0</v>
      </c>
      <c r="H26">
        <v>2.3066015625000002E-4</v>
      </c>
      <c r="I26">
        <v>-1</v>
      </c>
      <c r="J26">
        <v>-2.3066015625000002E-4</v>
      </c>
      <c r="K26" s="93">
        <f t="shared" si="0"/>
        <v>0</v>
      </c>
      <c r="L26" s="93">
        <f t="shared" si="1"/>
        <v>0</v>
      </c>
      <c r="M26" s="93">
        <f t="shared" si="2"/>
        <v>1</v>
      </c>
    </row>
    <row r="27" spans="1:13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3.7223009848367745</v>
      </c>
      <c r="H27">
        <v>4.8694921874999997E-4</v>
      </c>
      <c r="I27">
        <v>-0.88331208869376399</v>
      </c>
      <c r="J27">
        <v>-4.3012813150185904E-4</v>
      </c>
      <c r="K27" s="93">
        <f t="shared" si="0"/>
        <v>0</v>
      </c>
      <c r="L27" s="93">
        <f t="shared" si="1"/>
        <v>0</v>
      </c>
      <c r="M27" s="93">
        <f t="shared" si="2"/>
        <v>1</v>
      </c>
    </row>
    <row r="28" spans="1:13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6.5140267234643545</v>
      </c>
      <c r="H28">
        <v>3.0754687499999999E-4</v>
      </c>
      <c r="I28">
        <v>-0.80482193554237969</v>
      </c>
      <c r="J28">
        <v>-2.4752047120751028E-4</v>
      </c>
      <c r="K28" s="93">
        <f t="shared" si="0"/>
        <v>0</v>
      </c>
      <c r="L28" s="93">
        <f t="shared" si="1"/>
        <v>0</v>
      </c>
      <c r="M28" s="93">
        <f t="shared" si="2"/>
        <v>1</v>
      </c>
    </row>
    <row r="29" spans="1:13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1.8611504924183875</v>
      </c>
      <c r="H29">
        <v>2.73908935546875E-4</v>
      </c>
      <c r="I29">
        <v>-0.93984684321104361</v>
      </c>
      <c r="J29">
        <v>-2.5743244840102766E-4</v>
      </c>
      <c r="K29" s="93">
        <f t="shared" si="0"/>
        <v>0</v>
      </c>
      <c r="L29" s="93">
        <f t="shared" si="1"/>
        <v>0</v>
      </c>
      <c r="M29" s="93">
        <f t="shared" si="2"/>
        <v>1</v>
      </c>
    </row>
    <row r="30" spans="1:13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5.5834514772551609</v>
      </c>
      <c r="H30">
        <v>5.7825219726562497E-4</v>
      </c>
      <c r="I30">
        <v>-0.83017807812898747</v>
      </c>
      <c r="J30">
        <v>-4.8005229779984069E-4</v>
      </c>
      <c r="K30" s="93">
        <f t="shared" si="0"/>
        <v>0</v>
      </c>
      <c r="L30" s="93">
        <f t="shared" si="1"/>
        <v>0</v>
      </c>
      <c r="M30" s="93">
        <f t="shared" si="2"/>
        <v>1</v>
      </c>
    </row>
    <row r="31" spans="1:13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8.3751772158827436</v>
      </c>
      <c r="H31">
        <v>3.652119140625E-4</v>
      </c>
      <c r="I31">
        <v>-0.75640935546650756</v>
      </c>
      <c r="J31">
        <v>-2.7624970852470516E-4</v>
      </c>
      <c r="K31" s="93">
        <f t="shared" si="0"/>
        <v>0</v>
      </c>
      <c r="L31" s="93">
        <f t="shared" si="1"/>
        <v>0</v>
      </c>
      <c r="M31" s="93">
        <f t="shared" si="2"/>
        <v>1</v>
      </c>
    </row>
    <row r="32" spans="1:13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0.93057524620919363</v>
      </c>
      <c r="H32">
        <v>5.7825219726562497E-4</v>
      </c>
      <c r="I32">
        <v>-0.96945698368264055</v>
      </c>
      <c r="J32">
        <v>-5.6059063096899203E-4</v>
      </c>
      <c r="K32" s="93">
        <f t="shared" si="0"/>
        <v>0</v>
      </c>
      <c r="L32" s="93">
        <f t="shared" si="1"/>
        <v>0</v>
      </c>
      <c r="M32" s="93">
        <f t="shared" si="2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4.6528762310459681</v>
      </c>
      <c r="H33">
        <v>1.2207546386718748E-3</v>
      </c>
      <c r="I33">
        <v>-0.85633307315546947</v>
      </c>
      <c r="J33">
        <v>-1.0453725713026813E-3</v>
      </c>
      <c r="K33" s="93">
        <f t="shared" si="0"/>
        <v>0</v>
      </c>
      <c r="L33" s="93">
        <f t="shared" si="1"/>
        <v>0</v>
      </c>
      <c r="M33" s="93">
        <f t="shared" si="2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7.4446019696735473</v>
      </c>
      <c r="H34">
        <v>7.7100292968749996E-4</v>
      </c>
      <c r="I34">
        <v>-0.78024024603254005</v>
      </c>
      <c r="J34">
        <v>-6.0156751555118411E-4</v>
      </c>
      <c r="K34" s="93">
        <f t="shared" si="0"/>
        <v>0</v>
      </c>
      <c r="L34" s="93">
        <f t="shared" si="1"/>
        <v>0</v>
      </c>
      <c r="M34" s="93">
        <f t="shared" si="2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3.652119140625E-4</v>
      </c>
      <c r="I35">
        <v>-1</v>
      </c>
      <c r="J35">
        <v>-3.652119140625E-4</v>
      </c>
      <c r="K35" s="93">
        <f t="shared" si="0"/>
        <v>0</v>
      </c>
      <c r="L35" s="93">
        <f t="shared" si="1"/>
        <v>0</v>
      </c>
      <c r="M35" s="93">
        <f t="shared" si="2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3.7223009848367745</v>
      </c>
      <c r="H36">
        <v>7.7100292968749996E-4</v>
      </c>
      <c r="I36">
        <v>-0.88331208869376399</v>
      </c>
      <c r="J36">
        <v>-6.8103620821127688E-4</v>
      </c>
      <c r="K36" s="93">
        <f t="shared" si="0"/>
        <v>0</v>
      </c>
      <c r="L36" s="93">
        <f t="shared" si="1"/>
        <v>0</v>
      </c>
      <c r="M36" s="93">
        <f t="shared" si="2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6.5140267234643545</v>
      </c>
      <c r="H37">
        <v>4.8694921874999997E-4</v>
      </c>
      <c r="I37">
        <v>-0.80482193554237969</v>
      </c>
      <c r="J37">
        <v>-3.919074127452246E-4</v>
      </c>
      <c r="K37" s="93">
        <f t="shared" si="0"/>
        <v>0</v>
      </c>
      <c r="L37" s="93">
        <f t="shared" si="1"/>
        <v>0</v>
      </c>
      <c r="M37" s="93">
        <f t="shared" si="2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1.8611504924183875</v>
      </c>
      <c r="H38">
        <v>5.7825219726562497E-4</v>
      </c>
      <c r="I38">
        <v>-0.93984684321104361</v>
      </c>
      <c r="J38">
        <v>-5.4346850217994733E-4</v>
      </c>
      <c r="K38" s="93">
        <f t="shared" si="0"/>
        <v>0</v>
      </c>
      <c r="L38" s="93">
        <f t="shared" si="1"/>
        <v>0</v>
      </c>
      <c r="M38" s="93">
        <f t="shared" si="2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5.5834514772551609</v>
      </c>
      <c r="H39">
        <v>1.2207546386718748E-3</v>
      </c>
      <c r="I39">
        <v>-0.83017807812898747</v>
      </c>
      <c r="J39">
        <v>-1.0134437397996635E-3</v>
      </c>
      <c r="K39" s="93">
        <f t="shared" si="0"/>
        <v>0</v>
      </c>
      <c r="L39" s="93">
        <f t="shared" si="1"/>
        <v>0</v>
      </c>
      <c r="M39" s="93">
        <f t="shared" si="2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8.3751772158827436</v>
      </c>
      <c r="H40">
        <v>7.7100292968749996E-4</v>
      </c>
      <c r="I40">
        <v>-0.75640935546650756</v>
      </c>
      <c r="J40">
        <v>-5.8319382910771084E-4</v>
      </c>
      <c r="K40" s="93">
        <f t="shared" si="0"/>
        <v>0</v>
      </c>
      <c r="L40" s="93">
        <f t="shared" si="1"/>
        <v>0</v>
      </c>
      <c r="M40" s="93">
        <f t="shared" si="2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0.93057524620919363</v>
      </c>
      <c r="H41">
        <v>1.2207546386718748E-3</v>
      </c>
      <c r="I41">
        <v>-0.96945698368264055</v>
      </c>
      <c r="J41">
        <v>-1.1834691098234276E-3</v>
      </c>
      <c r="K41" s="93">
        <f t="shared" si="0"/>
        <v>0</v>
      </c>
      <c r="L41" s="93">
        <f t="shared" si="1"/>
        <v>0</v>
      </c>
      <c r="M41" s="93">
        <f t="shared" si="2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4.6528762310459681</v>
      </c>
      <c r="H42">
        <v>2.5771486816406246E-3</v>
      </c>
      <c r="I42">
        <v>-0.85633307315546947</v>
      </c>
      <c r="J42">
        <v>-2.2068976505278826E-3</v>
      </c>
      <c r="K42" s="93">
        <f t="shared" si="0"/>
        <v>0</v>
      </c>
      <c r="L42" s="93">
        <f t="shared" si="1"/>
        <v>0</v>
      </c>
      <c r="M42" s="93">
        <f t="shared" si="2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7.4446019696735473</v>
      </c>
      <c r="H43">
        <v>1.6276728515624997E-3</v>
      </c>
      <c r="I43">
        <v>-0.78024024603254005</v>
      </c>
      <c r="J43">
        <v>-1.2699758661636109E-3</v>
      </c>
      <c r="K43" s="93">
        <f t="shared" si="0"/>
        <v>0</v>
      </c>
      <c r="L43" s="93">
        <f t="shared" si="1"/>
        <v>0</v>
      </c>
      <c r="M43" s="93">
        <f t="shared" si="2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7.7100292968749985E-4</v>
      </c>
      <c r="I44">
        <v>-1</v>
      </c>
      <c r="J44">
        <v>-7.7100292968749985E-4</v>
      </c>
      <c r="K44" s="93">
        <f t="shared" si="0"/>
        <v>0</v>
      </c>
      <c r="L44" s="93">
        <f t="shared" si="1"/>
        <v>0</v>
      </c>
      <c r="M44" s="93">
        <f t="shared" si="2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3.7223009848367745</v>
      </c>
      <c r="H45">
        <v>1.6276728515624997E-3</v>
      </c>
      <c r="I45">
        <v>-0.88331208869376399</v>
      </c>
      <c r="J45">
        <v>-1.4377431062238065E-3</v>
      </c>
      <c r="K45" s="93">
        <f t="shared" si="0"/>
        <v>0</v>
      </c>
      <c r="L45" s="93">
        <f t="shared" si="1"/>
        <v>0</v>
      </c>
      <c r="M45" s="93">
        <f t="shared" si="2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6.5140267234643545</v>
      </c>
      <c r="H46">
        <v>1.0280039062499997E-3</v>
      </c>
      <c r="I46">
        <v>-0.80482193554237969</v>
      </c>
      <c r="J46">
        <v>-8.2736009357325176E-4</v>
      </c>
      <c r="K46" s="93">
        <f t="shared" si="0"/>
        <v>0</v>
      </c>
      <c r="L46" s="93">
        <f t="shared" si="1"/>
        <v>0</v>
      </c>
      <c r="M46" s="93">
        <f t="shared" si="2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1.8611504924183875</v>
      </c>
      <c r="H47">
        <v>3.6521191406249995E-4</v>
      </c>
      <c r="I47">
        <v>-0.93984684321104361</v>
      </c>
      <c r="J47">
        <v>-3.4324326453470352E-4</v>
      </c>
      <c r="K47" s="93">
        <f t="shared" si="0"/>
        <v>0</v>
      </c>
      <c r="L47" s="93">
        <f t="shared" si="1"/>
        <v>0</v>
      </c>
      <c r="M47" s="93">
        <f t="shared" si="2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5.5834514772551609</v>
      </c>
      <c r="H48">
        <v>7.7100292968749985E-4</v>
      </c>
      <c r="I48">
        <v>-0.83017807812898747</v>
      </c>
      <c r="J48">
        <v>-6.4006973039978747E-4</v>
      </c>
      <c r="K48" s="93">
        <f t="shared" si="0"/>
        <v>0</v>
      </c>
      <c r="L48" s="93">
        <f t="shared" si="1"/>
        <v>0</v>
      </c>
      <c r="M48" s="93">
        <f t="shared" si="2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8.3751772158827436</v>
      </c>
      <c r="H49">
        <v>4.8694921874999991E-4</v>
      </c>
      <c r="I49">
        <v>-0.75640935546650756</v>
      </c>
      <c r="J49">
        <v>-3.6833294469960681E-4</v>
      </c>
      <c r="K49" s="93">
        <f t="shared" si="0"/>
        <v>0</v>
      </c>
      <c r="L49" s="93">
        <f t="shared" si="1"/>
        <v>0</v>
      </c>
      <c r="M49" s="93">
        <f t="shared" si="2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0.93057524620919363</v>
      </c>
      <c r="H50">
        <v>7.7100292968749985E-4</v>
      </c>
      <c r="I50">
        <v>-0.96945698368264055</v>
      </c>
      <c r="J50">
        <v>-7.474541746253226E-4</v>
      </c>
      <c r="K50" s="93">
        <f t="shared" si="0"/>
        <v>0</v>
      </c>
      <c r="L50" s="93">
        <f t="shared" si="1"/>
        <v>0</v>
      </c>
      <c r="M50" s="93">
        <f t="shared" si="2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4.6528762310459681</v>
      </c>
      <c r="H51">
        <v>1.6276728515624997E-3</v>
      </c>
      <c r="I51">
        <v>-0.85633307315546947</v>
      </c>
      <c r="J51">
        <v>-1.3938300950702416E-3</v>
      </c>
      <c r="K51" s="93">
        <f t="shared" si="0"/>
        <v>0</v>
      </c>
      <c r="L51" s="93">
        <f t="shared" si="1"/>
        <v>0</v>
      </c>
      <c r="M51" s="93">
        <f t="shared" si="2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7.4446019696735473</v>
      </c>
      <c r="H52">
        <v>1.0280039062499997E-3</v>
      </c>
      <c r="I52">
        <v>-0.78024024603254005</v>
      </c>
      <c r="J52">
        <v>-8.0209002073491204E-4</v>
      </c>
      <c r="K52" s="93">
        <f t="shared" si="0"/>
        <v>0</v>
      </c>
      <c r="L52" s="93">
        <f t="shared" si="1"/>
        <v>0</v>
      </c>
      <c r="M52" s="93">
        <f t="shared" si="2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4.8694921874999991E-4</v>
      </c>
      <c r="I53">
        <v>-1</v>
      </c>
      <c r="J53">
        <v>-4.8694921874999991E-4</v>
      </c>
      <c r="K53" s="93">
        <f t="shared" si="0"/>
        <v>0</v>
      </c>
      <c r="L53" s="93">
        <f t="shared" si="1"/>
        <v>0</v>
      </c>
      <c r="M53" s="93">
        <f t="shared" si="2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3.7223009848367745</v>
      </c>
      <c r="H54">
        <v>1.0280039062499997E-3</v>
      </c>
      <c r="I54">
        <v>-0.88331208869376399</v>
      </c>
      <c r="J54">
        <v>-9.0804827761503562E-4</v>
      </c>
      <c r="K54" s="93">
        <f t="shared" si="0"/>
        <v>0</v>
      </c>
      <c r="L54" s="93">
        <f t="shared" si="1"/>
        <v>0</v>
      </c>
      <c r="M54" s="93">
        <f t="shared" si="2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6.5140267234643545</v>
      </c>
      <c r="H55">
        <v>6.4926562499999978E-4</v>
      </c>
      <c r="I55">
        <v>-0.80482193554237969</v>
      </c>
      <c r="J55">
        <v>-5.2254321699363269E-4</v>
      </c>
      <c r="K55" s="93">
        <f t="shared" si="0"/>
        <v>0</v>
      </c>
      <c r="L55" s="93">
        <f t="shared" si="1"/>
        <v>0</v>
      </c>
      <c r="M55" s="93">
        <f t="shared" si="2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1.8611504924183875</v>
      </c>
      <c r="H56">
        <v>1.729951171875E-4</v>
      </c>
      <c r="I56">
        <v>-0.93984684321104361</v>
      </c>
      <c r="J56">
        <v>-1.6258891477959642E-4</v>
      </c>
      <c r="K56" s="93">
        <f t="shared" si="0"/>
        <v>0</v>
      </c>
      <c r="L56" s="93">
        <f t="shared" si="1"/>
        <v>0</v>
      </c>
      <c r="M56" s="93">
        <f t="shared" si="2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5.5834514772551609</v>
      </c>
      <c r="H57">
        <v>3.652119140625E-4</v>
      </c>
      <c r="I57">
        <v>-0.83017807812898747</v>
      </c>
      <c r="J57">
        <v>-3.0319092492621521E-4</v>
      </c>
      <c r="K57" s="93">
        <f t="shared" si="0"/>
        <v>0</v>
      </c>
      <c r="L57" s="93">
        <f t="shared" si="1"/>
        <v>0</v>
      </c>
      <c r="M57" s="93">
        <f t="shared" si="2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8.3751772158827436</v>
      </c>
      <c r="H58">
        <v>2.3066015624999999E-4</v>
      </c>
      <c r="I58">
        <v>-0.75640935546650756</v>
      </c>
      <c r="J58">
        <v>-1.7447350012086643E-4</v>
      </c>
      <c r="K58" s="93">
        <f t="shared" si="0"/>
        <v>0</v>
      </c>
      <c r="L58" s="93">
        <f t="shared" si="1"/>
        <v>0</v>
      </c>
      <c r="M58" s="93">
        <f t="shared" si="2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0.93057524620919363</v>
      </c>
      <c r="H59">
        <v>3.652119140625E-4</v>
      </c>
      <c r="I59">
        <v>-0.96945698368264055</v>
      </c>
      <c r="J59">
        <v>-3.5405724061199497E-4</v>
      </c>
      <c r="K59" s="93">
        <f t="shared" si="0"/>
        <v>0</v>
      </c>
      <c r="L59" s="93">
        <f t="shared" si="1"/>
        <v>0</v>
      </c>
      <c r="M59" s="93">
        <f t="shared" si="2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4.6528762310459681</v>
      </c>
      <c r="H60">
        <v>7.7100292968749996E-4</v>
      </c>
      <c r="I60">
        <v>-0.85633307315546947</v>
      </c>
      <c r="J60">
        <v>-6.6023530819116715E-4</v>
      </c>
      <c r="K60" s="93">
        <f t="shared" si="0"/>
        <v>0</v>
      </c>
      <c r="L60" s="93">
        <f t="shared" si="1"/>
        <v>0</v>
      </c>
      <c r="M60" s="93">
        <f t="shared" si="2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7.4446019696735473</v>
      </c>
      <c r="H61">
        <v>4.8694921874999997E-4</v>
      </c>
      <c r="I61">
        <v>-0.78024024603254005</v>
      </c>
      <c r="J61">
        <v>-3.7993737824285317E-4</v>
      </c>
      <c r="K61" s="93">
        <f t="shared" si="0"/>
        <v>0</v>
      </c>
      <c r="L61" s="93">
        <f t="shared" si="1"/>
        <v>0</v>
      </c>
      <c r="M61" s="93">
        <f t="shared" si="2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2.3066015625000002E-4</v>
      </c>
      <c r="I62">
        <v>-1</v>
      </c>
      <c r="J62">
        <v>-2.3066015625000002E-4</v>
      </c>
      <c r="K62" s="93">
        <f t="shared" si="0"/>
        <v>0</v>
      </c>
      <c r="L62" s="93">
        <f t="shared" si="1"/>
        <v>0</v>
      </c>
      <c r="M62" s="93">
        <f t="shared" si="2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3.7223009848367745</v>
      </c>
      <c r="H63">
        <v>4.8694921874999997E-4</v>
      </c>
      <c r="I63">
        <v>-0.88331208869376399</v>
      </c>
      <c r="J63">
        <v>-4.3012813150185904E-4</v>
      </c>
      <c r="K63" s="93">
        <f t="shared" si="0"/>
        <v>0</v>
      </c>
      <c r="L63" s="93">
        <f t="shared" si="1"/>
        <v>0</v>
      </c>
      <c r="M63" s="93">
        <f t="shared" si="2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6.5140267234643545</v>
      </c>
      <c r="H64">
        <v>3.0754687499999999E-4</v>
      </c>
      <c r="I64">
        <v>-0.80482193554237969</v>
      </c>
      <c r="J64">
        <v>-2.4752047120751028E-4</v>
      </c>
      <c r="K64" s="93">
        <f t="shared" si="0"/>
        <v>0</v>
      </c>
      <c r="L64" s="93">
        <f t="shared" si="1"/>
        <v>0</v>
      </c>
      <c r="M64" s="93">
        <f t="shared" si="2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1.8611504924183875</v>
      </c>
      <c r="H65">
        <v>3.6521191406249995E-4</v>
      </c>
      <c r="I65">
        <v>-0.93984684321104361</v>
      </c>
      <c r="J65">
        <v>-3.4324326453470352E-4</v>
      </c>
      <c r="K65" s="93">
        <f t="shared" si="0"/>
        <v>0</v>
      </c>
      <c r="L65" s="93">
        <f t="shared" si="1"/>
        <v>0</v>
      </c>
      <c r="M65" s="93">
        <f t="shared" si="2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5.5834514772551609</v>
      </c>
      <c r="H66">
        <v>7.7100292968749985E-4</v>
      </c>
      <c r="I66">
        <v>-0.83017807812898747</v>
      </c>
      <c r="J66">
        <v>-6.4006973039978747E-4</v>
      </c>
      <c r="K66" s="93">
        <f t="shared" si="0"/>
        <v>0</v>
      </c>
      <c r="L66" s="93">
        <f t="shared" si="1"/>
        <v>0</v>
      </c>
      <c r="M66" s="93">
        <f t="shared" si="2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8.3751772158827436</v>
      </c>
      <c r="H67">
        <v>4.8694921874999991E-4</v>
      </c>
      <c r="I67">
        <v>-0.75640935546650756</v>
      </c>
      <c r="J67">
        <v>-3.6833294469960681E-4</v>
      </c>
      <c r="K67" s="93">
        <f t="shared" ref="K67:K130" si="3">IF(A67=3,1,0)</f>
        <v>0</v>
      </c>
      <c r="L67" s="93">
        <f t="shared" ref="L67:L130" si="4">IF(A67=2,1,0)</f>
        <v>0</v>
      </c>
      <c r="M67" s="93">
        <f t="shared" ref="M67:M130" si="5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0.93057524620919363</v>
      </c>
      <c r="H68">
        <v>7.7100292968749985E-4</v>
      </c>
      <c r="I68">
        <v>-0.96945698368264055</v>
      </c>
      <c r="J68">
        <v>-7.474541746253226E-4</v>
      </c>
      <c r="K68" s="93">
        <f t="shared" si="3"/>
        <v>0</v>
      </c>
      <c r="L68" s="93">
        <f t="shared" si="4"/>
        <v>0</v>
      </c>
      <c r="M68" s="93">
        <f t="shared" si="5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4.6528762310459681</v>
      </c>
      <c r="H69">
        <v>1.6276728515624997E-3</v>
      </c>
      <c r="I69">
        <v>-0.85633307315546947</v>
      </c>
      <c r="J69">
        <v>-1.3938300950702416E-3</v>
      </c>
      <c r="K69" s="93">
        <f t="shared" si="3"/>
        <v>0</v>
      </c>
      <c r="L69" s="93">
        <f t="shared" si="4"/>
        <v>0</v>
      </c>
      <c r="M69" s="93">
        <f t="shared" si="5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7.4446019696735473</v>
      </c>
      <c r="H70">
        <v>1.0280039062499997E-3</v>
      </c>
      <c r="I70">
        <v>-0.78024024603254005</v>
      </c>
      <c r="J70">
        <v>-8.0209002073491204E-4</v>
      </c>
      <c r="K70" s="93">
        <f t="shared" si="3"/>
        <v>0</v>
      </c>
      <c r="L70" s="93">
        <f t="shared" si="4"/>
        <v>0</v>
      </c>
      <c r="M70" s="93">
        <f t="shared" si="5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4.8694921874999991E-4</v>
      </c>
      <c r="I71">
        <v>-1</v>
      </c>
      <c r="J71">
        <v>-4.8694921874999991E-4</v>
      </c>
      <c r="K71" s="93">
        <f t="shared" si="3"/>
        <v>0</v>
      </c>
      <c r="L71" s="93">
        <f t="shared" si="4"/>
        <v>0</v>
      </c>
      <c r="M71" s="93">
        <f t="shared" si="5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3.7223009848367745</v>
      </c>
      <c r="H72">
        <v>1.0280039062499997E-3</v>
      </c>
      <c r="I72">
        <v>-0.88331208869376399</v>
      </c>
      <c r="J72">
        <v>-9.0804827761503562E-4</v>
      </c>
      <c r="K72" s="93">
        <f t="shared" si="3"/>
        <v>0</v>
      </c>
      <c r="L72" s="93">
        <f t="shared" si="4"/>
        <v>0</v>
      </c>
      <c r="M72" s="93">
        <f t="shared" si="5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6.5140267234643545</v>
      </c>
      <c r="H73">
        <v>6.4926562499999978E-4</v>
      </c>
      <c r="I73">
        <v>-0.80482193554237969</v>
      </c>
      <c r="J73">
        <v>-5.2254321699363269E-4</v>
      </c>
      <c r="K73" s="93">
        <f t="shared" si="3"/>
        <v>0</v>
      </c>
      <c r="L73" s="93">
        <f t="shared" si="4"/>
        <v>0</v>
      </c>
      <c r="M73" s="93">
        <f t="shared" si="5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1.8611504924183875</v>
      </c>
      <c r="H74">
        <v>2.3066015625000002E-4</v>
      </c>
      <c r="I74">
        <v>-0.93984684321104361</v>
      </c>
      <c r="J74">
        <v>-2.1678521970612858E-4</v>
      </c>
      <c r="K74" s="93">
        <f t="shared" si="3"/>
        <v>0</v>
      </c>
      <c r="L74" s="93">
        <f t="shared" si="4"/>
        <v>0</v>
      </c>
      <c r="M74" s="93">
        <f t="shared" si="5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5.5834514772551609</v>
      </c>
      <c r="H75">
        <v>4.8694921874999997E-4</v>
      </c>
      <c r="I75">
        <v>-0.83017807812898747</v>
      </c>
      <c r="J75">
        <v>-4.0425456656828691E-4</v>
      </c>
      <c r="K75" s="93">
        <f t="shared" si="3"/>
        <v>0</v>
      </c>
      <c r="L75" s="93">
        <f t="shared" si="4"/>
        <v>0</v>
      </c>
      <c r="M75" s="93">
        <f t="shared" si="5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8.3751772158827436</v>
      </c>
      <c r="H76">
        <v>3.0754687499999999E-4</v>
      </c>
      <c r="I76">
        <v>-0.75640935546650756</v>
      </c>
      <c r="J76">
        <v>-2.3263133349448855E-4</v>
      </c>
      <c r="K76" s="93">
        <f t="shared" si="3"/>
        <v>0</v>
      </c>
      <c r="L76" s="93">
        <f t="shared" si="4"/>
        <v>0</v>
      </c>
      <c r="M76" s="93">
        <f t="shared" si="5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0.93057524620919363</v>
      </c>
      <c r="H77">
        <v>4.8694921874999991E-4</v>
      </c>
      <c r="I77">
        <v>-0.96945698368264055</v>
      </c>
      <c r="J77">
        <v>-4.7207632081599322E-4</v>
      </c>
      <c r="K77" s="93">
        <f t="shared" si="3"/>
        <v>0</v>
      </c>
      <c r="L77" s="93">
        <f t="shared" si="4"/>
        <v>0</v>
      </c>
      <c r="M77" s="93">
        <f t="shared" si="5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4.6528762310459681</v>
      </c>
      <c r="H78">
        <v>1.0280039062499997E-3</v>
      </c>
      <c r="I78">
        <v>-0.85633307315546947</v>
      </c>
      <c r="J78">
        <v>-8.8031374425488935E-4</v>
      </c>
      <c r="K78" s="93">
        <f t="shared" si="3"/>
        <v>0</v>
      </c>
      <c r="L78" s="93">
        <f t="shared" si="4"/>
        <v>0</v>
      </c>
      <c r="M78" s="93">
        <f t="shared" si="5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7.4446019696735473</v>
      </c>
      <c r="H79">
        <v>6.4926562499999978E-4</v>
      </c>
      <c r="I79">
        <v>-0.78024024603254005</v>
      </c>
      <c r="J79">
        <v>-5.0658317099047071E-4</v>
      </c>
      <c r="K79" s="93">
        <f t="shared" si="3"/>
        <v>0</v>
      </c>
      <c r="L79" s="93">
        <f t="shared" si="4"/>
        <v>0</v>
      </c>
      <c r="M79" s="93">
        <f t="shared" si="5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3.0754687499999999E-4</v>
      </c>
      <c r="I80">
        <v>-1</v>
      </c>
      <c r="J80">
        <v>-3.0754687499999999E-4</v>
      </c>
      <c r="K80" s="93">
        <f t="shared" si="3"/>
        <v>0</v>
      </c>
      <c r="L80" s="93">
        <f t="shared" si="4"/>
        <v>0</v>
      </c>
      <c r="M80" s="93">
        <f t="shared" si="5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3.7223009848367745</v>
      </c>
      <c r="H81">
        <v>6.4926562499999989E-4</v>
      </c>
      <c r="I81">
        <v>-0.88331208869376399</v>
      </c>
      <c r="J81">
        <v>-5.7350417533581202E-4</v>
      </c>
      <c r="K81" s="93">
        <f t="shared" si="3"/>
        <v>0</v>
      </c>
      <c r="L81" s="93">
        <f t="shared" si="4"/>
        <v>0</v>
      </c>
      <c r="M81" s="93">
        <f t="shared" si="5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6.5140267234643545</v>
      </c>
      <c r="H82">
        <v>4.1006249999999995E-4</v>
      </c>
      <c r="I82">
        <v>-0.80482193554237969</v>
      </c>
      <c r="J82">
        <v>-3.3002729494334702E-4</v>
      </c>
      <c r="K82" s="93">
        <f t="shared" si="3"/>
        <v>0</v>
      </c>
      <c r="L82" s="93">
        <f t="shared" si="4"/>
        <v>0</v>
      </c>
      <c r="M82" s="93">
        <f t="shared" si="5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2.9739715250640515</v>
      </c>
      <c r="H83">
        <v>2.73908935546875E-4</v>
      </c>
      <c r="I83">
        <v>-0.90562280996447619</v>
      </c>
      <c r="J83">
        <v>-2.4805817988433952E-4</v>
      </c>
      <c r="K83" s="93">
        <f t="shared" si="3"/>
        <v>0</v>
      </c>
      <c r="L83" s="93">
        <f t="shared" si="4"/>
        <v>0</v>
      </c>
      <c r="M83" s="93">
        <f t="shared" si="5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8.9219145751921509</v>
      </c>
      <c r="H84">
        <v>5.7825219726562497E-4</v>
      </c>
      <c r="I84">
        <v>-0.74274896916251221</v>
      </c>
      <c r="J84">
        <v>-4.2949622343500061E-4</v>
      </c>
      <c r="K84" s="93">
        <f t="shared" si="3"/>
        <v>0</v>
      </c>
      <c r="L84" s="93">
        <f t="shared" si="4"/>
        <v>0</v>
      </c>
      <c r="M84" s="93">
        <f t="shared" si="5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13.38287186278823</v>
      </c>
      <c r="H85">
        <v>3.652119140625E-4</v>
      </c>
      <c r="I85">
        <v>-0.64012249099645369</v>
      </c>
      <c r="J85">
        <v>-2.3378036017127028E-4</v>
      </c>
      <c r="K85" s="93">
        <f t="shared" si="3"/>
        <v>0</v>
      </c>
      <c r="L85" s="93">
        <f t="shared" si="4"/>
        <v>0</v>
      </c>
      <c r="M85" s="93">
        <f t="shared" si="5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1.4869857625320251</v>
      </c>
      <c r="H86">
        <v>5.7825219726562497E-4</v>
      </c>
      <c r="I86">
        <v>-0.95164216487316078</v>
      </c>
      <c r="J86">
        <v>-5.5028917284852133E-4</v>
      </c>
      <c r="K86" s="93">
        <f t="shared" si="3"/>
        <v>0</v>
      </c>
      <c r="L86" s="93">
        <f t="shared" si="4"/>
        <v>0</v>
      </c>
      <c r="M86" s="93">
        <f t="shared" si="5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7.4349288126601252</v>
      </c>
      <c r="H87">
        <v>1.2207546386718748E-3</v>
      </c>
      <c r="I87">
        <v>-0.78049186614330945</v>
      </c>
      <c r="J87">
        <v>-9.5278906604011305E-4</v>
      </c>
      <c r="K87" s="93">
        <f t="shared" si="3"/>
        <v>0</v>
      </c>
      <c r="L87" s="93">
        <f t="shared" si="4"/>
        <v>0</v>
      </c>
      <c r="M87" s="93">
        <f t="shared" si="5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11.895886100256201</v>
      </c>
      <c r="H88">
        <v>7.7100292968749996E-4</v>
      </c>
      <c r="I88">
        <v>-0.67265040855117242</v>
      </c>
      <c r="J88">
        <v>-5.186154356484477E-4</v>
      </c>
      <c r="K88" s="93">
        <f t="shared" si="3"/>
        <v>0</v>
      </c>
      <c r="L88" s="93">
        <f t="shared" si="4"/>
        <v>0</v>
      </c>
      <c r="M88" s="93">
        <f t="shared" si="5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3.652119140625E-4</v>
      </c>
      <c r="I89">
        <v>-1</v>
      </c>
      <c r="J89">
        <v>-3.652119140625E-4</v>
      </c>
      <c r="K89" s="93">
        <f t="shared" si="3"/>
        <v>0</v>
      </c>
      <c r="L89" s="93">
        <f t="shared" si="4"/>
        <v>0</v>
      </c>
      <c r="M89" s="93">
        <f t="shared" si="5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5.9479430501281003</v>
      </c>
      <c r="H90">
        <v>7.7100292968749996E-4</v>
      </c>
      <c r="I90">
        <v>-0.82015267392795377</v>
      </c>
      <c r="J90">
        <v>-6.3234011438948921E-4</v>
      </c>
      <c r="K90" s="93">
        <f t="shared" si="3"/>
        <v>0</v>
      </c>
      <c r="L90" s="93">
        <f t="shared" si="4"/>
        <v>0</v>
      </c>
      <c r="M90" s="93">
        <f t="shared" si="5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10.408900337724178</v>
      </c>
      <c r="H91">
        <v>4.8694921874999997E-4</v>
      </c>
      <c r="I91">
        <v>-0.7068312369711216</v>
      </c>
      <c r="J91">
        <v>-3.4419091863118373E-4</v>
      </c>
      <c r="K91" s="93">
        <f t="shared" si="3"/>
        <v>0</v>
      </c>
      <c r="L91" s="93">
        <f t="shared" si="4"/>
        <v>0</v>
      </c>
      <c r="M91" s="93">
        <f t="shared" si="5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2.9739715250640515</v>
      </c>
      <c r="H92">
        <v>5.7825219726562497E-4</v>
      </c>
      <c r="I92">
        <v>-0.90562280996447619</v>
      </c>
      <c r="J92">
        <v>-5.2367837975582788E-4</v>
      </c>
      <c r="K92" s="93">
        <f t="shared" si="3"/>
        <v>0</v>
      </c>
      <c r="L92" s="93">
        <f t="shared" si="4"/>
        <v>0</v>
      </c>
      <c r="M92" s="93">
        <f t="shared" si="5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8.9219145751921509</v>
      </c>
      <c r="H93">
        <v>1.2207546386718748E-3</v>
      </c>
      <c r="I93">
        <v>-0.74274896916251221</v>
      </c>
      <c r="J93">
        <v>-9.0671424947389009E-4</v>
      </c>
      <c r="K93" s="93">
        <f t="shared" si="3"/>
        <v>0</v>
      </c>
      <c r="L93" s="93">
        <f t="shared" si="4"/>
        <v>0</v>
      </c>
      <c r="M93" s="93">
        <f t="shared" si="5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13.38287186278823</v>
      </c>
      <c r="H94">
        <v>7.7100292968749996E-4</v>
      </c>
      <c r="I94">
        <v>-0.64012249099645369</v>
      </c>
      <c r="J94">
        <v>-4.9353631591712616E-4</v>
      </c>
      <c r="K94" s="93">
        <f t="shared" si="3"/>
        <v>0</v>
      </c>
      <c r="L94" s="93">
        <f t="shared" si="4"/>
        <v>0</v>
      </c>
      <c r="M94" s="93">
        <f t="shared" si="5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1.4869857625320251</v>
      </c>
      <c r="H95">
        <v>1.2207546386718748E-3</v>
      </c>
      <c r="I95">
        <v>-0.95164216487316078</v>
      </c>
      <c r="J95">
        <v>-1.1617215871246561E-3</v>
      </c>
      <c r="K95" s="93">
        <f t="shared" si="3"/>
        <v>0</v>
      </c>
      <c r="L95" s="93">
        <f t="shared" si="4"/>
        <v>0</v>
      </c>
      <c r="M95" s="93">
        <f t="shared" si="5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7.4349288126601252</v>
      </c>
      <c r="H96">
        <v>2.5771486816406246E-3</v>
      </c>
      <c r="I96">
        <v>-0.78049186614330945</v>
      </c>
      <c r="J96">
        <v>-2.0114435838624609E-3</v>
      </c>
      <c r="K96" s="93">
        <f t="shared" si="3"/>
        <v>0</v>
      </c>
      <c r="L96" s="93">
        <f t="shared" si="4"/>
        <v>0</v>
      </c>
      <c r="M96" s="93">
        <f t="shared" si="5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11.895886100256201</v>
      </c>
      <c r="H97">
        <v>1.6276728515624997E-3</v>
      </c>
      <c r="I97">
        <v>-0.67265040855117242</v>
      </c>
      <c r="J97">
        <v>-1.0948548085911673E-3</v>
      </c>
      <c r="K97" s="93">
        <f t="shared" si="3"/>
        <v>0</v>
      </c>
      <c r="L97" s="93">
        <f t="shared" si="4"/>
        <v>0</v>
      </c>
      <c r="M97" s="93">
        <f t="shared" si="5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7.7100292968749985E-4</v>
      </c>
      <c r="I98">
        <v>-1</v>
      </c>
      <c r="J98">
        <v>-7.7100292968749985E-4</v>
      </c>
      <c r="K98" s="93">
        <f t="shared" si="3"/>
        <v>0</v>
      </c>
      <c r="L98" s="93">
        <f t="shared" si="4"/>
        <v>0</v>
      </c>
      <c r="M98" s="93">
        <f t="shared" si="5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5.9479430501281003</v>
      </c>
      <c r="H99">
        <v>1.6276728515624997E-3</v>
      </c>
      <c r="I99">
        <v>-0.82015267392795377</v>
      </c>
      <c r="J99">
        <v>-1.3349402414889215E-3</v>
      </c>
      <c r="K99" s="93">
        <f t="shared" si="3"/>
        <v>0</v>
      </c>
      <c r="L99" s="93">
        <f t="shared" si="4"/>
        <v>0</v>
      </c>
      <c r="M99" s="93">
        <f t="shared" si="5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10.408900337724178</v>
      </c>
      <c r="H100">
        <v>1.0280039062499997E-3</v>
      </c>
      <c r="I100">
        <v>-0.7068312369711216</v>
      </c>
      <c r="J100">
        <v>-7.2662527266583224E-4</v>
      </c>
      <c r="K100" s="93">
        <f t="shared" si="3"/>
        <v>0</v>
      </c>
      <c r="L100" s="93">
        <f t="shared" si="4"/>
        <v>0</v>
      </c>
      <c r="M100" s="93">
        <f t="shared" si="5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2.9739715250640515</v>
      </c>
      <c r="H101">
        <v>3.6521191406249995E-4</v>
      </c>
      <c r="I101">
        <v>-0.90562280996447619</v>
      </c>
      <c r="J101">
        <v>-3.3074423984578598E-4</v>
      </c>
      <c r="K101" s="93">
        <f t="shared" si="3"/>
        <v>0</v>
      </c>
      <c r="L101" s="93">
        <f t="shared" si="4"/>
        <v>0</v>
      </c>
      <c r="M101" s="93">
        <f t="shared" si="5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8.9219145751921509</v>
      </c>
      <c r="H102">
        <v>7.7100292968749985E-4</v>
      </c>
      <c r="I102">
        <v>-0.74274896916251221</v>
      </c>
      <c r="J102">
        <v>-5.7266163124666738E-4</v>
      </c>
      <c r="K102" s="93">
        <f t="shared" si="3"/>
        <v>0</v>
      </c>
      <c r="L102" s="93">
        <f t="shared" si="4"/>
        <v>0</v>
      </c>
      <c r="M102" s="93">
        <f t="shared" si="5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13.38287186278823</v>
      </c>
      <c r="H103">
        <v>4.8694921874999991E-4</v>
      </c>
      <c r="I103">
        <v>-0.64012249099645369</v>
      </c>
      <c r="J103">
        <v>-3.11707146895027E-4</v>
      </c>
      <c r="K103" s="93">
        <f t="shared" si="3"/>
        <v>0</v>
      </c>
      <c r="L103" s="93">
        <f t="shared" si="4"/>
        <v>0</v>
      </c>
      <c r="M103" s="93">
        <f t="shared" si="5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1.4869857625320251</v>
      </c>
      <c r="H104">
        <v>7.7100292968749985E-4</v>
      </c>
      <c r="I104">
        <v>-0.95164216487316078</v>
      </c>
      <c r="J104">
        <v>-7.3371889713136167E-4</v>
      </c>
      <c r="K104" s="93">
        <f t="shared" si="3"/>
        <v>0</v>
      </c>
      <c r="L104" s="93">
        <f t="shared" si="4"/>
        <v>0</v>
      </c>
      <c r="M104" s="93">
        <f t="shared" si="5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7.4349288126601252</v>
      </c>
      <c r="H105">
        <v>1.6276728515624997E-3</v>
      </c>
      <c r="I105">
        <v>-0.78049186614330945</v>
      </c>
      <c r="J105">
        <v>-1.2703854213868173E-3</v>
      </c>
      <c r="K105" s="93">
        <f t="shared" si="3"/>
        <v>0</v>
      </c>
      <c r="L105" s="93">
        <f t="shared" si="4"/>
        <v>0</v>
      </c>
      <c r="M105" s="93">
        <f t="shared" si="5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11.895886100256201</v>
      </c>
      <c r="H106">
        <v>1.0280039062499997E-3</v>
      </c>
      <c r="I106">
        <v>-0.67265040855117242</v>
      </c>
      <c r="J106">
        <v>-6.9148724753126346E-4</v>
      </c>
      <c r="K106" s="93">
        <f t="shared" si="3"/>
        <v>0</v>
      </c>
      <c r="L106" s="93">
        <f t="shared" si="4"/>
        <v>0</v>
      </c>
      <c r="M106" s="93">
        <f t="shared" si="5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4.8694921874999991E-4</v>
      </c>
      <c r="I107">
        <v>-1</v>
      </c>
      <c r="J107">
        <v>-4.8694921874999991E-4</v>
      </c>
      <c r="K107" s="93">
        <f t="shared" si="3"/>
        <v>0</v>
      </c>
      <c r="L107" s="93">
        <f t="shared" si="4"/>
        <v>0</v>
      </c>
      <c r="M107" s="93">
        <f t="shared" si="5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5.9479430501281003</v>
      </c>
      <c r="H108">
        <v>1.0280039062499997E-3</v>
      </c>
      <c r="I108">
        <v>-0.82015267392795377</v>
      </c>
      <c r="J108">
        <v>-8.4312015251931883E-4</v>
      </c>
      <c r="K108" s="93">
        <f t="shared" si="3"/>
        <v>0</v>
      </c>
      <c r="L108" s="93">
        <f t="shared" si="4"/>
        <v>0</v>
      </c>
      <c r="M108" s="93">
        <f t="shared" si="5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10.408900337724178</v>
      </c>
      <c r="H109">
        <v>6.4926562499999978E-4</v>
      </c>
      <c r="I109">
        <v>-0.7068312369711216</v>
      </c>
      <c r="J109">
        <v>-4.5892122484157824E-4</v>
      </c>
      <c r="K109" s="93">
        <f t="shared" si="3"/>
        <v>0</v>
      </c>
      <c r="L109" s="93">
        <f t="shared" si="4"/>
        <v>0</v>
      </c>
      <c r="M109" s="93">
        <f t="shared" si="5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2.9739715250640515</v>
      </c>
      <c r="H110">
        <v>5.7825219726562497E-4</v>
      </c>
      <c r="I110">
        <v>-0.90562280996447619</v>
      </c>
      <c r="J110">
        <v>-5.2367837975582788E-4</v>
      </c>
      <c r="K110" s="93">
        <f t="shared" si="3"/>
        <v>0</v>
      </c>
      <c r="L110" s="93">
        <f t="shared" si="4"/>
        <v>0</v>
      </c>
      <c r="M110" s="93">
        <f t="shared" si="5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8.9219145751921509</v>
      </c>
      <c r="H111">
        <v>1.2207546386718748E-3</v>
      </c>
      <c r="I111">
        <v>-0.74274896916251221</v>
      </c>
      <c r="J111">
        <v>-9.0671424947389009E-4</v>
      </c>
      <c r="K111" s="93">
        <f t="shared" si="3"/>
        <v>0</v>
      </c>
      <c r="L111" s="93">
        <f t="shared" si="4"/>
        <v>0</v>
      </c>
      <c r="M111" s="93">
        <f t="shared" si="5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13.38287186278823</v>
      </c>
      <c r="H112">
        <v>7.7100292968749996E-4</v>
      </c>
      <c r="I112">
        <v>-0.64012249099645369</v>
      </c>
      <c r="J112">
        <v>-4.9353631591712616E-4</v>
      </c>
      <c r="K112" s="93">
        <f t="shared" si="3"/>
        <v>0</v>
      </c>
      <c r="L112" s="93">
        <f t="shared" si="4"/>
        <v>0</v>
      </c>
      <c r="M112" s="93">
        <f t="shared" si="5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1.4869857625320251</v>
      </c>
      <c r="H113">
        <v>1.2207546386718748E-3</v>
      </c>
      <c r="I113">
        <v>-0.95164216487316078</v>
      </c>
      <c r="J113">
        <v>-1.1617215871246561E-3</v>
      </c>
      <c r="K113" s="93">
        <f t="shared" si="3"/>
        <v>0</v>
      </c>
      <c r="L113" s="93">
        <f t="shared" si="4"/>
        <v>0</v>
      </c>
      <c r="M113" s="93">
        <f t="shared" si="5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7.4349288126601252</v>
      </c>
      <c r="H114">
        <v>2.5771486816406246E-3</v>
      </c>
      <c r="I114">
        <v>-0.78049186614330945</v>
      </c>
      <c r="J114">
        <v>-2.0114435838624609E-3</v>
      </c>
      <c r="K114" s="93">
        <f t="shared" si="3"/>
        <v>0</v>
      </c>
      <c r="L114" s="93">
        <f t="shared" si="4"/>
        <v>0</v>
      </c>
      <c r="M114" s="93">
        <f t="shared" si="5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11.895886100256201</v>
      </c>
      <c r="H115">
        <v>1.6276728515624997E-3</v>
      </c>
      <c r="I115">
        <v>-0.67265040855117242</v>
      </c>
      <c r="J115">
        <v>-1.0948548085911673E-3</v>
      </c>
      <c r="K115" s="93">
        <f t="shared" si="3"/>
        <v>0</v>
      </c>
      <c r="L115" s="93">
        <f t="shared" si="4"/>
        <v>0</v>
      </c>
      <c r="M115" s="93">
        <f t="shared" si="5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7.7100292968749985E-4</v>
      </c>
      <c r="I116">
        <v>-1</v>
      </c>
      <c r="J116">
        <v>-7.7100292968749985E-4</v>
      </c>
      <c r="K116" s="93">
        <f t="shared" si="3"/>
        <v>0</v>
      </c>
      <c r="L116" s="93">
        <f t="shared" si="4"/>
        <v>0</v>
      </c>
      <c r="M116" s="93">
        <f t="shared" si="5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5.9479430501281003</v>
      </c>
      <c r="H117">
        <v>1.6276728515624997E-3</v>
      </c>
      <c r="I117">
        <v>-0.82015267392795377</v>
      </c>
      <c r="J117">
        <v>-1.3349402414889215E-3</v>
      </c>
      <c r="K117" s="93">
        <f t="shared" si="3"/>
        <v>0</v>
      </c>
      <c r="L117" s="93">
        <f t="shared" si="4"/>
        <v>0</v>
      </c>
      <c r="M117" s="93">
        <f t="shared" si="5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10.408900337724178</v>
      </c>
      <c r="H118">
        <v>1.0280039062499997E-3</v>
      </c>
      <c r="I118">
        <v>-0.7068312369711216</v>
      </c>
      <c r="J118">
        <v>-7.2662527266583224E-4</v>
      </c>
      <c r="K118" s="93">
        <f t="shared" si="3"/>
        <v>0</v>
      </c>
      <c r="L118" s="93">
        <f t="shared" si="4"/>
        <v>0</v>
      </c>
      <c r="M118" s="93">
        <f t="shared" si="5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2.9739715250640515</v>
      </c>
      <c r="H119">
        <v>1.2207546386718748E-3</v>
      </c>
      <c r="I119">
        <v>-0.90562280996447619</v>
      </c>
      <c r="J119">
        <v>-1.1055432461511922E-3</v>
      </c>
      <c r="K119" s="93">
        <f t="shared" si="3"/>
        <v>0</v>
      </c>
      <c r="L119" s="93">
        <f t="shared" si="4"/>
        <v>0</v>
      </c>
      <c r="M119" s="93">
        <f t="shared" si="5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8.9219145751921509</v>
      </c>
      <c r="H120">
        <v>2.5771486816406246E-3</v>
      </c>
      <c r="I120">
        <v>-0.74274896916251221</v>
      </c>
      <c r="J120">
        <v>-1.9141745266671012E-3</v>
      </c>
      <c r="K120" s="93">
        <f t="shared" si="3"/>
        <v>0</v>
      </c>
      <c r="L120" s="93">
        <f t="shared" si="4"/>
        <v>0</v>
      </c>
      <c r="M120" s="93">
        <f t="shared" si="5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13.38287186278823</v>
      </c>
      <c r="H121">
        <v>1.6276728515624997E-3</v>
      </c>
      <c r="I121">
        <v>-0.64012249099645369</v>
      </c>
      <c r="J121">
        <v>-1.0419100002694883E-3</v>
      </c>
      <c r="K121" s="93">
        <f t="shared" si="3"/>
        <v>0</v>
      </c>
      <c r="L121" s="93">
        <f t="shared" si="4"/>
        <v>0</v>
      </c>
      <c r="M121" s="93">
        <f t="shared" si="5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1.4869857625320251</v>
      </c>
      <c r="H122">
        <v>2.5771486816406246E-3</v>
      </c>
      <c r="I122">
        <v>-0.95164216487316078</v>
      </c>
      <c r="J122">
        <v>-2.4525233505964961E-3</v>
      </c>
      <c r="K122" s="93">
        <f t="shared" si="3"/>
        <v>0</v>
      </c>
      <c r="L122" s="93">
        <f t="shared" si="4"/>
        <v>0</v>
      </c>
      <c r="M122" s="93">
        <f t="shared" si="5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7.4349288126601252</v>
      </c>
      <c r="H123">
        <v>5.4406472167968737E-3</v>
      </c>
      <c r="I123">
        <v>-0.78049186614330945</v>
      </c>
      <c r="J123">
        <v>-4.2463808992651945E-3</v>
      </c>
      <c r="K123" s="93">
        <f t="shared" si="3"/>
        <v>0</v>
      </c>
      <c r="L123" s="93">
        <f t="shared" si="4"/>
        <v>0</v>
      </c>
      <c r="M123" s="93">
        <f t="shared" si="5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11.895886100256201</v>
      </c>
      <c r="H124">
        <v>3.4361982421874993E-3</v>
      </c>
      <c r="I124">
        <v>-0.67265040855117242</v>
      </c>
      <c r="J124">
        <v>-2.3113601514702419E-3</v>
      </c>
      <c r="K124" s="93">
        <f t="shared" si="3"/>
        <v>0</v>
      </c>
      <c r="L124" s="93">
        <f t="shared" si="4"/>
        <v>0</v>
      </c>
      <c r="M124" s="93">
        <f t="shared" si="5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1.6276728515624997E-3</v>
      </c>
      <c r="I125">
        <v>-1</v>
      </c>
      <c r="J125">
        <v>-1.6276728515624997E-3</v>
      </c>
      <c r="K125" s="93">
        <f t="shared" si="3"/>
        <v>0</v>
      </c>
      <c r="L125" s="93">
        <f t="shared" si="4"/>
        <v>0</v>
      </c>
      <c r="M125" s="93">
        <f t="shared" si="5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5.9479430501281003</v>
      </c>
      <c r="H126">
        <v>3.4361982421874993E-3</v>
      </c>
      <c r="I126">
        <v>-0.82015267392795377</v>
      </c>
      <c r="J126">
        <v>-2.8182071764766121E-3</v>
      </c>
      <c r="K126" s="93">
        <f t="shared" si="3"/>
        <v>0</v>
      </c>
      <c r="L126" s="93">
        <f t="shared" si="4"/>
        <v>0</v>
      </c>
      <c r="M126" s="93">
        <f t="shared" si="5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10.408900337724178</v>
      </c>
      <c r="H127">
        <v>2.1702304687499993E-3</v>
      </c>
      <c r="I127">
        <v>-0.7068312369711216</v>
      </c>
      <c r="J127">
        <v>-1.533986686738979E-3</v>
      </c>
      <c r="K127" s="93">
        <f t="shared" si="3"/>
        <v>0</v>
      </c>
      <c r="L127" s="93">
        <f t="shared" si="4"/>
        <v>0</v>
      </c>
      <c r="M127" s="93">
        <f t="shared" si="5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2.9739715250640515</v>
      </c>
      <c r="H128">
        <v>7.7100292968749996E-4</v>
      </c>
      <c r="I128">
        <v>-0.90562280996447619</v>
      </c>
      <c r="J128">
        <v>-6.9823783967443718E-4</v>
      </c>
      <c r="K128" s="93">
        <f t="shared" si="3"/>
        <v>0</v>
      </c>
      <c r="L128" s="93">
        <f t="shared" si="4"/>
        <v>0</v>
      </c>
      <c r="M128" s="93">
        <f t="shared" si="5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8.9219145751921509</v>
      </c>
      <c r="H129">
        <v>1.6276728515624999E-3</v>
      </c>
      <c r="I129">
        <v>-0.74274896916251221</v>
      </c>
      <c r="J129">
        <v>-1.2089523326318536E-3</v>
      </c>
      <c r="K129" s="93">
        <f t="shared" si="3"/>
        <v>0</v>
      </c>
      <c r="L129" s="93">
        <f t="shared" si="4"/>
        <v>0</v>
      </c>
      <c r="M129" s="93">
        <f t="shared" si="5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13.38287186278823</v>
      </c>
      <c r="H130">
        <v>1.0280039062499999E-3</v>
      </c>
      <c r="I130">
        <v>-0.64012249099645369</v>
      </c>
      <c r="J130">
        <v>-6.5804842122283477E-4</v>
      </c>
      <c r="K130" s="93">
        <f t="shared" si="3"/>
        <v>0</v>
      </c>
      <c r="L130" s="93">
        <f t="shared" si="4"/>
        <v>0</v>
      </c>
      <c r="M130" s="93">
        <f t="shared" si="5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1.4869857625320251</v>
      </c>
      <c r="H131">
        <v>1.6276728515624997E-3</v>
      </c>
      <c r="I131">
        <v>-0.95164216487316078</v>
      </c>
      <c r="J131">
        <v>-1.548962116166208E-3</v>
      </c>
      <c r="K131" s="93">
        <f t="shared" ref="K131:K194" si="6">IF(A131=3,1,0)</f>
        <v>0</v>
      </c>
      <c r="L131" s="93">
        <f t="shared" ref="L131:L194" si="7">IF(A131=2,1,0)</f>
        <v>0</v>
      </c>
      <c r="M131" s="93">
        <f t="shared" ref="M131:M194" si="8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7.4349288126601252</v>
      </c>
      <c r="H132">
        <v>3.4361982421874993E-3</v>
      </c>
      <c r="I132">
        <v>-0.78049186614330945</v>
      </c>
      <c r="J132">
        <v>-2.6819247784832809E-3</v>
      </c>
      <c r="K132" s="93">
        <f t="shared" si="6"/>
        <v>0</v>
      </c>
      <c r="L132" s="93">
        <f t="shared" si="7"/>
        <v>0</v>
      </c>
      <c r="M132" s="93">
        <f t="shared" si="8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11.895886100256201</v>
      </c>
      <c r="H133">
        <v>2.1702304687499993E-3</v>
      </c>
      <c r="I133">
        <v>-0.67265040855117242</v>
      </c>
      <c r="J133">
        <v>-1.4598064114548894E-3</v>
      </c>
      <c r="K133" s="93">
        <f t="shared" si="6"/>
        <v>0</v>
      </c>
      <c r="L133" s="93">
        <f t="shared" si="7"/>
        <v>0</v>
      </c>
      <c r="M133" s="93">
        <f t="shared" si="8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1.0280039062499999E-3</v>
      </c>
      <c r="I134">
        <v>-1</v>
      </c>
      <c r="J134">
        <v>-1.0280039062499999E-3</v>
      </c>
      <c r="K134" s="93">
        <f t="shared" si="6"/>
        <v>0</v>
      </c>
      <c r="L134" s="93">
        <f t="shared" si="7"/>
        <v>0</v>
      </c>
      <c r="M134" s="93">
        <f t="shared" si="8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5.9479430501281003</v>
      </c>
      <c r="H135">
        <v>2.1702304687499993E-3</v>
      </c>
      <c r="I135">
        <v>-0.82015267392795377</v>
      </c>
      <c r="J135">
        <v>-1.7799203219852284E-3</v>
      </c>
      <c r="K135" s="93">
        <f t="shared" si="6"/>
        <v>0</v>
      </c>
      <c r="L135" s="93">
        <f t="shared" si="7"/>
        <v>0</v>
      </c>
      <c r="M135" s="93">
        <f t="shared" si="8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10.408900337724178</v>
      </c>
      <c r="H136">
        <v>1.3706718749999997E-3</v>
      </c>
      <c r="I136">
        <v>-0.7068312369711216</v>
      </c>
      <c r="J136">
        <v>-9.6883369688777633E-4</v>
      </c>
      <c r="K136" s="93">
        <f t="shared" si="6"/>
        <v>0</v>
      </c>
      <c r="L136" s="93">
        <f t="shared" si="7"/>
        <v>0</v>
      </c>
      <c r="M136" s="93">
        <f t="shared" si="8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2.9739715250640515</v>
      </c>
      <c r="H137">
        <v>3.652119140625E-4</v>
      </c>
      <c r="I137">
        <v>-0.90562280996447619</v>
      </c>
      <c r="J137">
        <v>-3.3074423984578603E-4</v>
      </c>
      <c r="K137" s="93">
        <f t="shared" si="6"/>
        <v>0</v>
      </c>
      <c r="L137" s="93">
        <f t="shared" si="7"/>
        <v>0</v>
      </c>
      <c r="M137" s="93">
        <f t="shared" si="8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8.9219145751921509</v>
      </c>
      <c r="H138">
        <v>7.7100292968749996E-4</v>
      </c>
      <c r="I138">
        <v>-0.74274896916251221</v>
      </c>
      <c r="J138">
        <v>-5.7266163124666748E-4</v>
      </c>
      <c r="K138" s="93">
        <f t="shared" si="6"/>
        <v>0</v>
      </c>
      <c r="L138" s="93">
        <f t="shared" si="7"/>
        <v>0</v>
      </c>
      <c r="M138" s="93">
        <f t="shared" si="8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13.38287186278823</v>
      </c>
      <c r="H139">
        <v>4.8694921874999997E-4</v>
      </c>
      <c r="I139">
        <v>-0.64012249099645369</v>
      </c>
      <c r="J139">
        <v>-3.11707146895027E-4</v>
      </c>
      <c r="K139" s="93">
        <f t="shared" si="6"/>
        <v>0</v>
      </c>
      <c r="L139" s="93">
        <f t="shared" si="7"/>
        <v>0</v>
      </c>
      <c r="M139" s="93">
        <f t="shared" si="8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1.4869857625320251</v>
      </c>
      <c r="H140">
        <v>7.7100292968749996E-4</v>
      </c>
      <c r="I140">
        <v>-0.95164216487316078</v>
      </c>
      <c r="J140">
        <v>-7.3371889713136178E-4</v>
      </c>
      <c r="K140" s="93">
        <f t="shared" si="6"/>
        <v>0</v>
      </c>
      <c r="L140" s="93">
        <f t="shared" si="7"/>
        <v>0</v>
      </c>
      <c r="M140" s="93">
        <f t="shared" si="8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7.4349288126601252</v>
      </c>
      <c r="H141">
        <v>1.6276728515624999E-3</v>
      </c>
      <c r="I141">
        <v>-0.78049186614330945</v>
      </c>
      <c r="J141">
        <v>-1.2703854213868175E-3</v>
      </c>
      <c r="K141" s="93">
        <f t="shared" si="6"/>
        <v>0</v>
      </c>
      <c r="L141" s="93">
        <f t="shared" si="7"/>
        <v>0</v>
      </c>
      <c r="M141" s="93">
        <f t="shared" si="8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11.895886100256201</v>
      </c>
      <c r="H142">
        <v>1.0280039062499999E-3</v>
      </c>
      <c r="I142">
        <v>-0.67265040855117242</v>
      </c>
      <c r="J142">
        <v>-6.9148724753126357E-4</v>
      </c>
      <c r="K142" s="93">
        <f t="shared" si="6"/>
        <v>0</v>
      </c>
      <c r="L142" s="93">
        <f t="shared" si="7"/>
        <v>0</v>
      </c>
      <c r="M142" s="93">
        <f t="shared" si="8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4.8694921874999997E-4</v>
      </c>
      <c r="I143">
        <v>-1</v>
      </c>
      <c r="J143">
        <v>-4.8694921874999997E-4</v>
      </c>
      <c r="K143" s="93">
        <f t="shared" si="6"/>
        <v>0</v>
      </c>
      <c r="L143" s="93">
        <f t="shared" si="7"/>
        <v>0</v>
      </c>
      <c r="M143" s="93">
        <f t="shared" si="8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5.9479430501281003</v>
      </c>
      <c r="H144">
        <v>1.0280039062499999E-3</v>
      </c>
      <c r="I144">
        <v>-0.82015267392795377</v>
      </c>
      <c r="J144">
        <v>-8.4312015251931894E-4</v>
      </c>
      <c r="K144" s="93">
        <f t="shared" si="6"/>
        <v>0</v>
      </c>
      <c r="L144" s="93">
        <f t="shared" si="7"/>
        <v>0</v>
      </c>
      <c r="M144" s="93">
        <f t="shared" si="8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10.408900337724178</v>
      </c>
      <c r="H145">
        <v>6.4926562499999999E-4</v>
      </c>
      <c r="I145">
        <v>-0.7068312369711216</v>
      </c>
      <c r="J145">
        <v>-4.5892122484157835E-4</v>
      </c>
      <c r="K145" s="93">
        <f t="shared" si="6"/>
        <v>0</v>
      </c>
      <c r="L145" s="93">
        <f t="shared" si="7"/>
        <v>0</v>
      </c>
      <c r="M145" s="93">
        <f t="shared" si="8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2.9739715250640515</v>
      </c>
      <c r="H146">
        <v>7.7100292968750007E-4</v>
      </c>
      <c r="I146">
        <v>-0.90562280996447619</v>
      </c>
      <c r="J146">
        <v>-6.9823783967443728E-4</v>
      </c>
      <c r="K146" s="93">
        <f t="shared" si="6"/>
        <v>0</v>
      </c>
      <c r="L146" s="93">
        <f t="shared" si="7"/>
        <v>0</v>
      </c>
      <c r="M146" s="93">
        <f t="shared" si="8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8.9219145751921509</v>
      </c>
      <c r="H147">
        <v>1.6276728515625001E-3</v>
      </c>
      <c r="I147">
        <v>-0.74274896916251221</v>
      </c>
      <c r="J147">
        <v>-1.2089523326318538E-3</v>
      </c>
      <c r="K147" s="93">
        <f t="shared" si="6"/>
        <v>0</v>
      </c>
      <c r="L147" s="93">
        <f t="shared" si="7"/>
        <v>0</v>
      </c>
      <c r="M147" s="93">
        <f t="shared" si="8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13.38287186278823</v>
      </c>
      <c r="H148">
        <v>1.0280039062499999E-3</v>
      </c>
      <c r="I148">
        <v>-0.64012249099645369</v>
      </c>
      <c r="J148">
        <v>-6.5804842122283477E-4</v>
      </c>
      <c r="K148" s="93">
        <f t="shared" si="6"/>
        <v>0</v>
      </c>
      <c r="L148" s="93">
        <f t="shared" si="7"/>
        <v>0</v>
      </c>
      <c r="M148" s="93">
        <f t="shared" si="8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1.4869857625320251</v>
      </c>
      <c r="H149">
        <v>1.6276728515624999E-3</v>
      </c>
      <c r="I149">
        <v>-0.95164216487316078</v>
      </c>
      <c r="J149">
        <v>-1.5489621161662082E-3</v>
      </c>
      <c r="K149" s="93">
        <f t="shared" si="6"/>
        <v>0</v>
      </c>
      <c r="L149" s="93">
        <f t="shared" si="7"/>
        <v>0</v>
      </c>
      <c r="M149" s="93">
        <f t="shared" si="8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7.4349288126601252</v>
      </c>
      <c r="H150">
        <v>3.4361982421874998E-3</v>
      </c>
      <c r="I150">
        <v>-0.78049186614330945</v>
      </c>
      <c r="J150">
        <v>-2.6819247784832813E-3</v>
      </c>
      <c r="K150" s="93">
        <f t="shared" si="6"/>
        <v>0</v>
      </c>
      <c r="L150" s="93">
        <f t="shared" si="7"/>
        <v>0</v>
      </c>
      <c r="M150" s="93">
        <f t="shared" si="8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11.895886100256201</v>
      </c>
      <c r="H151">
        <v>2.1702304687499997E-3</v>
      </c>
      <c r="I151">
        <v>-0.67265040855117242</v>
      </c>
      <c r="J151">
        <v>-1.4598064114548898E-3</v>
      </c>
      <c r="K151" s="93">
        <f t="shared" si="6"/>
        <v>0</v>
      </c>
      <c r="L151" s="93">
        <f t="shared" si="7"/>
        <v>0</v>
      </c>
      <c r="M151" s="93">
        <f t="shared" si="8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1.0280039062499999E-3</v>
      </c>
      <c r="I152">
        <v>-1</v>
      </c>
      <c r="J152">
        <v>-1.0280039062499999E-3</v>
      </c>
      <c r="K152" s="93">
        <f t="shared" si="6"/>
        <v>0</v>
      </c>
      <c r="L152" s="93">
        <f t="shared" si="7"/>
        <v>0</v>
      </c>
      <c r="M152" s="93">
        <f t="shared" si="8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5.9479430501281003</v>
      </c>
      <c r="H153">
        <v>2.1702304687499997E-3</v>
      </c>
      <c r="I153">
        <v>-0.82015267392795377</v>
      </c>
      <c r="J153">
        <v>-1.7799203219852288E-3</v>
      </c>
      <c r="K153" s="93">
        <f t="shared" si="6"/>
        <v>0</v>
      </c>
      <c r="L153" s="93">
        <f t="shared" si="7"/>
        <v>0</v>
      </c>
      <c r="M153" s="93">
        <f t="shared" si="8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10.408900337724178</v>
      </c>
      <c r="H154">
        <v>1.3706718749999999E-3</v>
      </c>
      <c r="I154">
        <v>-0.7068312369711216</v>
      </c>
      <c r="J154">
        <v>-9.6883369688777654E-4</v>
      </c>
      <c r="K154" s="93">
        <f t="shared" si="6"/>
        <v>0</v>
      </c>
      <c r="L154" s="93">
        <f t="shared" si="7"/>
        <v>0</v>
      </c>
      <c r="M154" s="93">
        <f t="shared" si="8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2.9739715250640515</v>
      </c>
      <c r="H155">
        <v>4.8694921875000008E-4</v>
      </c>
      <c r="I155">
        <v>-0.90562280996447619</v>
      </c>
      <c r="J155">
        <v>-4.4099231979438148E-4</v>
      </c>
      <c r="K155" s="93">
        <f t="shared" si="6"/>
        <v>0</v>
      </c>
      <c r="L155" s="93">
        <f t="shared" si="7"/>
        <v>0</v>
      </c>
      <c r="M155" s="93">
        <f t="shared" si="8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8.9219145751921509</v>
      </c>
      <c r="H156">
        <v>1.0280039062500002E-3</v>
      </c>
      <c r="I156">
        <v>-0.74274896916251221</v>
      </c>
      <c r="J156">
        <v>-7.6354884166222349E-4</v>
      </c>
      <c r="K156" s="93">
        <f t="shared" si="6"/>
        <v>0</v>
      </c>
      <c r="L156" s="93">
        <f t="shared" si="7"/>
        <v>0</v>
      </c>
      <c r="M156" s="93">
        <f t="shared" si="8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13.38287186278823</v>
      </c>
      <c r="H157">
        <v>6.492656250000001E-4</v>
      </c>
      <c r="I157">
        <v>-0.64012249099645369</v>
      </c>
      <c r="J157">
        <v>-4.1560952919336946E-4</v>
      </c>
      <c r="K157" s="93">
        <f t="shared" si="6"/>
        <v>0</v>
      </c>
      <c r="L157" s="93">
        <f t="shared" si="7"/>
        <v>0</v>
      </c>
      <c r="M157" s="93">
        <f t="shared" si="8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1.4869857625320251</v>
      </c>
      <c r="H158">
        <v>1.0280039062499999E-3</v>
      </c>
      <c r="I158">
        <v>-0.95164216487316078</v>
      </c>
      <c r="J158">
        <v>-9.7829186284181585E-4</v>
      </c>
      <c r="K158" s="93">
        <f t="shared" si="6"/>
        <v>0</v>
      </c>
      <c r="L158" s="93">
        <f t="shared" si="7"/>
        <v>0</v>
      </c>
      <c r="M158" s="93">
        <f t="shared" si="8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7.4349288126601252</v>
      </c>
      <c r="H159">
        <v>2.1702304687499997E-3</v>
      </c>
      <c r="I159">
        <v>-0.78049186614330945</v>
      </c>
      <c r="J159">
        <v>-1.6938472285157565E-3</v>
      </c>
      <c r="K159" s="93">
        <f t="shared" si="6"/>
        <v>0</v>
      </c>
      <c r="L159" s="93">
        <f t="shared" si="7"/>
        <v>0</v>
      </c>
      <c r="M159" s="93">
        <f t="shared" si="8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11.895886100256201</v>
      </c>
      <c r="H160">
        <v>1.3706718749999999E-3</v>
      </c>
      <c r="I160">
        <v>-0.67265040855117242</v>
      </c>
      <c r="J160">
        <v>-9.219829967083515E-4</v>
      </c>
      <c r="K160" s="93">
        <f t="shared" si="6"/>
        <v>0</v>
      </c>
      <c r="L160" s="93">
        <f t="shared" si="7"/>
        <v>0</v>
      </c>
      <c r="M160" s="93">
        <f t="shared" si="8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6.492656250000001E-4</v>
      </c>
      <c r="I161">
        <v>-1</v>
      </c>
      <c r="J161">
        <v>-6.492656250000001E-4</v>
      </c>
      <c r="K161" s="93">
        <f t="shared" si="6"/>
        <v>0</v>
      </c>
      <c r="L161" s="93">
        <f t="shared" si="7"/>
        <v>0</v>
      </c>
      <c r="M161" s="93">
        <f t="shared" si="8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5.9479430501281003</v>
      </c>
      <c r="H162">
        <v>1.3706718749999999E-3</v>
      </c>
      <c r="I162">
        <v>-0.82015267392795377</v>
      </c>
      <c r="J162">
        <v>-1.1241602033590919E-3</v>
      </c>
      <c r="K162" s="93">
        <f t="shared" si="6"/>
        <v>0</v>
      </c>
      <c r="L162" s="93">
        <f t="shared" si="7"/>
        <v>0</v>
      </c>
      <c r="M162" s="93">
        <f t="shared" si="8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10.408900337724178</v>
      </c>
      <c r="H163">
        <v>8.6568750000000003E-4</v>
      </c>
      <c r="I163">
        <v>-0.7068312369711216</v>
      </c>
      <c r="J163">
        <v>-6.118949664554379E-4</v>
      </c>
      <c r="K163" s="93">
        <f t="shared" si="6"/>
        <v>0</v>
      </c>
      <c r="L163" s="93">
        <f t="shared" si="7"/>
        <v>0</v>
      </c>
      <c r="M163" s="93">
        <f t="shared" si="8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3.2324082242165226</v>
      </c>
      <c r="H164">
        <v>1.7299511718750003E-4</v>
      </c>
      <c r="I164">
        <v>-0.89785477808939818</v>
      </c>
      <c r="J164">
        <v>-1.5532449255293226E-4</v>
      </c>
      <c r="K164" s="93">
        <f t="shared" si="6"/>
        <v>0</v>
      </c>
      <c r="L164" s="93">
        <f t="shared" si="7"/>
        <v>0</v>
      </c>
      <c r="M164" s="93">
        <f t="shared" si="8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9.697224672649563</v>
      </c>
      <c r="H165">
        <v>3.6521191406250006E-4</v>
      </c>
      <c r="I165">
        <v>-0.72379952622299915</v>
      </c>
      <c r="J165">
        <v>-2.6434021036943222E-4</v>
      </c>
      <c r="K165" s="93">
        <f t="shared" si="6"/>
        <v>0</v>
      </c>
      <c r="L165" s="93">
        <f t="shared" si="7"/>
        <v>0</v>
      </c>
      <c r="M165" s="93">
        <f t="shared" si="8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14.545837008974342</v>
      </c>
      <c r="H166">
        <v>2.3066015625000002E-4</v>
      </c>
      <c r="I166">
        <v>-0.61578264075601263</v>
      </c>
      <c r="J166">
        <v>-1.420365201328195E-4</v>
      </c>
      <c r="K166" s="93">
        <f t="shared" si="6"/>
        <v>0</v>
      </c>
      <c r="L166" s="93">
        <f t="shared" si="7"/>
        <v>0</v>
      </c>
      <c r="M166" s="93">
        <f t="shared" si="8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1.6162041121082618</v>
      </c>
      <c r="H167">
        <v>3.6521191406250006E-4</v>
      </c>
      <c r="I167">
        <v>-0.94755199228823228</v>
      </c>
      <c r="J167">
        <v>-3.4605727677732061E-4</v>
      </c>
      <c r="K167" s="93">
        <f t="shared" si="6"/>
        <v>0</v>
      </c>
      <c r="L167" s="93">
        <f t="shared" si="7"/>
        <v>0</v>
      </c>
      <c r="M167" s="93">
        <f t="shared" si="8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8.081020560541301</v>
      </c>
      <c r="H168">
        <v>7.7100292968750007E-4</v>
      </c>
      <c r="I168">
        <v>-0.7638625976344624</v>
      </c>
      <c r="J168">
        <v>-5.8894030065487462E-4</v>
      </c>
      <c r="K168" s="93">
        <f t="shared" si="6"/>
        <v>0</v>
      </c>
      <c r="L168" s="93">
        <f t="shared" si="7"/>
        <v>0</v>
      </c>
      <c r="M168" s="93">
        <f t="shared" si="8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12.929632896866085</v>
      </c>
      <c r="H169">
        <v>4.8694921875000008E-4</v>
      </c>
      <c r="I169">
        <v>-0.64986686299816243</v>
      </c>
      <c r="J169">
        <v>-3.1645216122846851E-4</v>
      </c>
      <c r="K169" s="93">
        <f t="shared" si="6"/>
        <v>0</v>
      </c>
      <c r="L169" s="93">
        <f t="shared" si="7"/>
        <v>0</v>
      </c>
      <c r="M169" s="93">
        <f t="shared" si="8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2.3066015625000002E-4</v>
      </c>
      <c r="I170">
        <v>-1</v>
      </c>
      <c r="J170">
        <v>-2.3066015625000002E-4</v>
      </c>
      <c r="K170" s="93">
        <f t="shared" si="6"/>
        <v>0</v>
      </c>
      <c r="L170" s="93">
        <f t="shared" si="7"/>
        <v>0</v>
      </c>
      <c r="M170" s="93">
        <f t="shared" si="8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6.4648164484330399</v>
      </c>
      <c r="H171">
        <v>4.8694921874999997E-4</v>
      </c>
      <c r="I171">
        <v>-0.80614320253796257</v>
      </c>
      <c r="J171">
        <v>-3.9255080267648385E-4</v>
      </c>
      <c r="K171" s="93">
        <f t="shared" si="6"/>
        <v>0</v>
      </c>
      <c r="L171" s="93">
        <f t="shared" si="7"/>
        <v>0</v>
      </c>
      <c r="M171" s="93">
        <f t="shared" si="8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11.313428784757823</v>
      </c>
      <c r="H172">
        <v>3.0754687499999999E-4</v>
      </c>
      <c r="I172">
        <v>-0.68583768308988147</v>
      </c>
      <c r="J172">
        <v>-2.1092723619153337E-4</v>
      </c>
      <c r="K172" s="93">
        <f t="shared" si="6"/>
        <v>0</v>
      </c>
      <c r="L172" s="93">
        <f t="shared" si="7"/>
        <v>0</v>
      </c>
      <c r="M172" s="93">
        <f t="shared" si="8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3.2324082242165226</v>
      </c>
      <c r="H173">
        <v>3.652119140625E-4</v>
      </c>
      <c r="I173">
        <v>-0.89785477808939818</v>
      </c>
      <c r="J173">
        <v>-3.2790726205619028E-4</v>
      </c>
      <c r="K173" s="93">
        <f t="shared" si="6"/>
        <v>0</v>
      </c>
      <c r="L173" s="93">
        <f t="shared" si="7"/>
        <v>0</v>
      </c>
      <c r="M173" s="93">
        <f t="shared" si="8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9.697224672649563</v>
      </c>
      <c r="H174">
        <v>7.7100292968749996E-4</v>
      </c>
      <c r="I174">
        <v>-0.72379952622299915</v>
      </c>
      <c r="J174">
        <v>-5.5805155522435678E-4</v>
      </c>
      <c r="K174" s="93">
        <f t="shared" si="6"/>
        <v>0</v>
      </c>
      <c r="L174" s="93">
        <f t="shared" si="7"/>
        <v>0</v>
      </c>
      <c r="M174" s="93">
        <f t="shared" si="8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14.545837008974342</v>
      </c>
      <c r="H175">
        <v>4.8694921874999997E-4</v>
      </c>
      <c r="I175">
        <v>-0.61578264075601263</v>
      </c>
      <c r="J175">
        <v>-2.9985487583595222E-4</v>
      </c>
      <c r="K175" s="93">
        <f t="shared" si="6"/>
        <v>0</v>
      </c>
      <c r="L175" s="93">
        <f t="shared" si="7"/>
        <v>0</v>
      </c>
      <c r="M175" s="93">
        <f t="shared" si="8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1.6162041121082618</v>
      </c>
      <c r="H176">
        <v>7.7100292968749996E-4</v>
      </c>
      <c r="I176">
        <v>-0.94755199228823228</v>
      </c>
      <c r="J176">
        <v>-7.3056536208545447E-4</v>
      </c>
      <c r="K176" s="93">
        <f t="shared" si="6"/>
        <v>0</v>
      </c>
      <c r="L176" s="93">
        <f t="shared" si="7"/>
        <v>0</v>
      </c>
      <c r="M176" s="93">
        <f t="shared" si="8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8.081020560541301</v>
      </c>
      <c r="H177">
        <v>1.6276728515624999E-3</v>
      </c>
      <c r="I177">
        <v>-0.7638625976344624</v>
      </c>
      <c r="J177">
        <v>-1.2433184124936239E-3</v>
      </c>
      <c r="K177" s="93">
        <f t="shared" si="6"/>
        <v>0</v>
      </c>
      <c r="L177" s="93">
        <f t="shared" si="7"/>
        <v>0</v>
      </c>
      <c r="M177" s="93">
        <f t="shared" si="8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12.929632896866085</v>
      </c>
      <c r="H178">
        <v>1.0280039062499999E-3</v>
      </c>
      <c r="I178">
        <v>-0.64986686299816243</v>
      </c>
      <c r="J178">
        <v>-6.6806567370454454E-4</v>
      </c>
      <c r="K178" s="93">
        <f t="shared" si="6"/>
        <v>0</v>
      </c>
      <c r="L178" s="93">
        <f t="shared" si="7"/>
        <v>0</v>
      </c>
      <c r="M178" s="93">
        <f t="shared" si="8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4.8694921874999997E-4</v>
      </c>
      <c r="I179">
        <v>-1</v>
      </c>
      <c r="J179">
        <v>-4.8694921874999997E-4</v>
      </c>
      <c r="K179" s="93">
        <f t="shared" si="6"/>
        <v>0</v>
      </c>
      <c r="L179" s="93">
        <f t="shared" si="7"/>
        <v>0</v>
      </c>
      <c r="M179" s="93">
        <f t="shared" si="8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6.4648164484330399</v>
      </c>
      <c r="H180">
        <v>1.0280039062499999E-3</v>
      </c>
      <c r="I180">
        <v>-0.80614320253796257</v>
      </c>
      <c r="J180">
        <v>-8.2871836120591044E-4</v>
      </c>
      <c r="K180" s="93">
        <f t="shared" si="6"/>
        <v>0</v>
      </c>
      <c r="L180" s="93">
        <f t="shared" si="7"/>
        <v>0</v>
      </c>
      <c r="M180" s="93">
        <f t="shared" si="8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11.313428784757823</v>
      </c>
      <c r="H181">
        <v>6.4926562499999999E-4</v>
      </c>
      <c r="I181">
        <v>-0.68583768308988147</v>
      </c>
      <c r="J181">
        <v>-4.4529083195990384E-4</v>
      </c>
      <c r="K181" s="93">
        <f t="shared" si="6"/>
        <v>0</v>
      </c>
      <c r="L181" s="93">
        <f t="shared" si="7"/>
        <v>0</v>
      </c>
      <c r="M181" s="93">
        <f t="shared" si="8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3.2324082242165226</v>
      </c>
      <c r="H182">
        <v>2.3066015625000002E-4</v>
      </c>
      <c r="I182">
        <v>-0.89785477808939818</v>
      </c>
      <c r="J182">
        <v>-2.0709932340390967E-4</v>
      </c>
      <c r="K182" s="93">
        <f t="shared" si="6"/>
        <v>0</v>
      </c>
      <c r="L182" s="93">
        <f t="shared" si="7"/>
        <v>0</v>
      </c>
      <c r="M182" s="93">
        <f t="shared" si="8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9.697224672649563</v>
      </c>
      <c r="H183">
        <v>4.8694921874999997E-4</v>
      </c>
      <c r="I183">
        <v>-0.72379952622299915</v>
      </c>
      <c r="J183">
        <v>-3.5245361382590956E-4</v>
      </c>
      <c r="K183" s="93">
        <f t="shared" si="6"/>
        <v>0</v>
      </c>
      <c r="L183" s="93">
        <f t="shared" si="7"/>
        <v>0</v>
      </c>
      <c r="M183" s="93">
        <f t="shared" si="8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14.545837008974342</v>
      </c>
      <c r="H184">
        <v>3.0754687499999999E-4</v>
      </c>
      <c r="I184">
        <v>-0.61578264075601263</v>
      </c>
      <c r="J184">
        <v>-1.8938202684375932E-4</v>
      </c>
      <c r="K184" s="93">
        <f t="shared" si="6"/>
        <v>0</v>
      </c>
      <c r="L184" s="93">
        <f t="shared" si="7"/>
        <v>0</v>
      </c>
      <c r="M184" s="93">
        <f t="shared" si="8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1.6162041121082618</v>
      </c>
      <c r="H185">
        <v>4.8694921874999997E-4</v>
      </c>
      <c r="I185">
        <v>-0.94755199228823228</v>
      </c>
      <c r="J185">
        <v>-4.6140970236976069E-4</v>
      </c>
      <c r="K185" s="93">
        <f t="shared" si="6"/>
        <v>0</v>
      </c>
      <c r="L185" s="93">
        <f t="shared" si="7"/>
        <v>0</v>
      </c>
      <c r="M185" s="93">
        <f t="shared" si="8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8.081020560541301</v>
      </c>
      <c r="H186">
        <v>1.0280039062499999E-3</v>
      </c>
      <c r="I186">
        <v>-0.7638625976344624</v>
      </c>
      <c r="J186">
        <v>-7.8525373420649928E-4</v>
      </c>
      <c r="K186" s="93">
        <f t="shared" si="6"/>
        <v>0</v>
      </c>
      <c r="L186" s="93">
        <f t="shared" si="7"/>
        <v>0</v>
      </c>
      <c r="M186" s="93">
        <f t="shared" si="8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12.929632896866085</v>
      </c>
      <c r="H187">
        <v>6.4926562499999999E-4</v>
      </c>
      <c r="I187">
        <v>-0.64986686299816243</v>
      </c>
      <c r="J187">
        <v>-4.2193621497129129E-4</v>
      </c>
      <c r="K187" s="93">
        <f t="shared" si="6"/>
        <v>0</v>
      </c>
      <c r="L187" s="93">
        <f t="shared" si="7"/>
        <v>0</v>
      </c>
      <c r="M187" s="93">
        <f t="shared" si="8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3.0754687500000004E-4</v>
      </c>
      <c r="I188">
        <v>-1</v>
      </c>
      <c r="J188">
        <v>-3.0754687500000004E-4</v>
      </c>
      <c r="K188" s="93">
        <f t="shared" si="6"/>
        <v>0</v>
      </c>
      <c r="L188" s="93">
        <f t="shared" si="7"/>
        <v>0</v>
      </c>
      <c r="M188" s="93">
        <f t="shared" si="8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6.4648164484330399</v>
      </c>
      <c r="H189">
        <v>6.4926562499999999E-4</v>
      </c>
      <c r="I189">
        <v>-0.80614320253796257</v>
      </c>
      <c r="J189">
        <v>-5.2340107023531187E-4</v>
      </c>
      <c r="K189" s="93">
        <f t="shared" si="6"/>
        <v>0</v>
      </c>
      <c r="L189" s="93">
        <f t="shared" si="7"/>
        <v>0</v>
      </c>
      <c r="M189" s="93">
        <f t="shared" si="8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11.313428784757823</v>
      </c>
      <c r="H190">
        <v>4.100625E-4</v>
      </c>
      <c r="I190">
        <v>-0.68583768308988147</v>
      </c>
      <c r="J190">
        <v>-2.8123631492204453E-4</v>
      </c>
      <c r="K190" s="93">
        <f t="shared" si="6"/>
        <v>0</v>
      </c>
      <c r="L190" s="93">
        <f t="shared" si="7"/>
        <v>0</v>
      </c>
      <c r="M190" s="93">
        <f t="shared" si="8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3.2324082242165226</v>
      </c>
      <c r="H191">
        <v>3.652119140625E-4</v>
      </c>
      <c r="I191">
        <v>-0.89785477808939818</v>
      </c>
      <c r="J191">
        <v>-3.2790726205619028E-4</v>
      </c>
      <c r="K191" s="93">
        <f t="shared" si="6"/>
        <v>0</v>
      </c>
      <c r="L191" s="93">
        <f t="shared" si="7"/>
        <v>0</v>
      </c>
      <c r="M191" s="93">
        <f t="shared" si="8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9.697224672649563</v>
      </c>
      <c r="H192">
        <v>7.7100292968749996E-4</v>
      </c>
      <c r="I192">
        <v>-0.72379952622299915</v>
      </c>
      <c r="J192">
        <v>-5.5805155522435678E-4</v>
      </c>
      <c r="K192" s="93">
        <f t="shared" si="6"/>
        <v>0</v>
      </c>
      <c r="L192" s="93">
        <f t="shared" si="7"/>
        <v>0</v>
      </c>
      <c r="M192" s="93">
        <f t="shared" si="8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14.545837008974342</v>
      </c>
      <c r="H193">
        <v>4.8694921874999997E-4</v>
      </c>
      <c r="I193">
        <v>-0.61578264075601263</v>
      </c>
      <c r="J193">
        <v>-2.9985487583595222E-4</v>
      </c>
      <c r="K193" s="93">
        <f t="shared" si="6"/>
        <v>0</v>
      </c>
      <c r="L193" s="93">
        <f t="shared" si="7"/>
        <v>0</v>
      </c>
      <c r="M193" s="93">
        <f t="shared" si="8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1.6162041121082618</v>
      </c>
      <c r="H194">
        <v>7.7100292968749996E-4</v>
      </c>
      <c r="I194">
        <v>-0.94755199228823228</v>
      </c>
      <c r="J194">
        <v>-7.3056536208545447E-4</v>
      </c>
      <c r="K194" s="93">
        <f t="shared" si="6"/>
        <v>0</v>
      </c>
      <c r="L194" s="93">
        <f t="shared" si="7"/>
        <v>0</v>
      </c>
      <c r="M194" s="93">
        <f t="shared" si="8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8.081020560541301</v>
      </c>
      <c r="H195">
        <v>1.6276728515624999E-3</v>
      </c>
      <c r="I195">
        <v>-0.7638625976344624</v>
      </c>
      <c r="J195">
        <v>-1.2433184124936239E-3</v>
      </c>
      <c r="K195" s="93">
        <f t="shared" ref="K195:K258" si="9">IF(A195=3,1,0)</f>
        <v>0</v>
      </c>
      <c r="L195" s="93">
        <f t="shared" ref="L195:L258" si="10">IF(A195=2,1,0)</f>
        <v>0</v>
      </c>
      <c r="M195" s="93">
        <f t="shared" ref="M195:M258" si="11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12.929632896866085</v>
      </c>
      <c r="H196">
        <v>1.0280039062499999E-3</v>
      </c>
      <c r="I196">
        <v>-0.64986686299816243</v>
      </c>
      <c r="J196">
        <v>-6.6806567370454454E-4</v>
      </c>
      <c r="K196" s="93">
        <f t="shared" si="9"/>
        <v>0</v>
      </c>
      <c r="L196" s="93">
        <f t="shared" si="10"/>
        <v>0</v>
      </c>
      <c r="M196" s="93">
        <f t="shared" si="11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4.8694921874999997E-4</v>
      </c>
      <c r="I197">
        <v>-1</v>
      </c>
      <c r="J197">
        <v>-4.8694921874999997E-4</v>
      </c>
      <c r="K197" s="93">
        <f t="shared" si="9"/>
        <v>0</v>
      </c>
      <c r="L197" s="93">
        <f t="shared" si="10"/>
        <v>0</v>
      </c>
      <c r="M197" s="93">
        <f t="shared" si="11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6.4648164484330399</v>
      </c>
      <c r="H198">
        <v>1.0280039062499999E-3</v>
      </c>
      <c r="I198">
        <v>-0.80614320253796257</v>
      </c>
      <c r="J198">
        <v>-8.2871836120591044E-4</v>
      </c>
      <c r="K198" s="93">
        <f t="shared" si="9"/>
        <v>0</v>
      </c>
      <c r="L198" s="93">
        <f t="shared" si="10"/>
        <v>0</v>
      </c>
      <c r="M198" s="93">
        <f t="shared" si="11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11.313428784757823</v>
      </c>
      <c r="H199">
        <v>6.4926562499999999E-4</v>
      </c>
      <c r="I199">
        <v>-0.68583768308988147</v>
      </c>
      <c r="J199">
        <v>-4.4529083195990384E-4</v>
      </c>
      <c r="K199" s="93">
        <f t="shared" si="9"/>
        <v>0</v>
      </c>
      <c r="L199" s="93">
        <f t="shared" si="10"/>
        <v>0</v>
      </c>
      <c r="M199" s="93">
        <f t="shared" si="11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3.2324082242165226</v>
      </c>
      <c r="H200">
        <v>7.7100292968750007E-4</v>
      </c>
      <c r="I200">
        <v>-0.89785477808939818</v>
      </c>
      <c r="J200">
        <v>-6.9224866434084624E-4</v>
      </c>
      <c r="K200" s="93">
        <f t="shared" si="9"/>
        <v>0</v>
      </c>
      <c r="L200" s="93">
        <f t="shared" si="10"/>
        <v>0</v>
      </c>
      <c r="M200" s="93">
        <f t="shared" si="11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9.697224672649563</v>
      </c>
      <c r="H201">
        <v>1.6276728515625001E-3</v>
      </c>
      <c r="I201">
        <v>-0.72379952622299915</v>
      </c>
      <c r="J201">
        <v>-1.1781088388069757E-3</v>
      </c>
      <c r="K201" s="93">
        <f t="shared" si="9"/>
        <v>0</v>
      </c>
      <c r="L201" s="93">
        <f t="shared" si="10"/>
        <v>0</v>
      </c>
      <c r="M201" s="93">
        <f t="shared" si="11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14.545837008974342</v>
      </c>
      <c r="H202">
        <v>1.0280039062499999E-3</v>
      </c>
      <c r="I202">
        <v>-0.61578264075601263</v>
      </c>
      <c r="J202">
        <v>-6.3302696009812141E-4</v>
      </c>
      <c r="K202" s="93">
        <f t="shared" si="9"/>
        <v>0</v>
      </c>
      <c r="L202" s="93">
        <f t="shared" si="10"/>
        <v>0</v>
      </c>
      <c r="M202" s="93">
        <f t="shared" si="11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1.6162041121082618</v>
      </c>
      <c r="H203">
        <v>1.6276728515624999E-3</v>
      </c>
      <c r="I203">
        <v>-0.94755199228823228</v>
      </c>
      <c r="J203">
        <v>-1.5423046532915151E-3</v>
      </c>
      <c r="K203" s="93">
        <f t="shared" si="9"/>
        <v>0</v>
      </c>
      <c r="L203" s="93">
        <f t="shared" si="10"/>
        <v>0</v>
      </c>
      <c r="M203" s="93">
        <f t="shared" si="11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8.081020560541301</v>
      </c>
      <c r="H204">
        <v>3.4361982421874998E-3</v>
      </c>
      <c r="I204">
        <v>-0.7638625976344624</v>
      </c>
      <c r="J204">
        <v>-2.6247833152643171E-3</v>
      </c>
      <c r="K204" s="93">
        <f t="shared" si="9"/>
        <v>0</v>
      </c>
      <c r="L204" s="93">
        <f t="shared" si="10"/>
        <v>0</v>
      </c>
      <c r="M204" s="93">
        <f t="shared" si="11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12.929632896866085</v>
      </c>
      <c r="H205">
        <v>2.1702304687499997E-3</v>
      </c>
      <c r="I205">
        <v>-0.64986686299816243</v>
      </c>
      <c r="J205">
        <v>-1.4103608667095939E-3</v>
      </c>
      <c r="K205" s="93">
        <f t="shared" si="9"/>
        <v>0</v>
      </c>
      <c r="L205" s="93">
        <f t="shared" si="10"/>
        <v>0</v>
      </c>
      <c r="M205" s="93">
        <f t="shared" si="11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1.0280039062499999E-3</v>
      </c>
      <c r="I206">
        <v>-1</v>
      </c>
      <c r="J206">
        <v>-1.0280039062499999E-3</v>
      </c>
      <c r="K206" s="93">
        <f t="shared" si="9"/>
        <v>0</v>
      </c>
      <c r="L206" s="93">
        <f t="shared" si="10"/>
        <v>0</v>
      </c>
      <c r="M206" s="93">
        <f t="shared" si="11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6.4648164484330399</v>
      </c>
      <c r="H207">
        <v>2.1702304687499997E-3</v>
      </c>
      <c r="I207">
        <v>-0.80614320253796257</v>
      </c>
      <c r="J207">
        <v>-1.7495165403235884E-3</v>
      </c>
      <c r="K207" s="93">
        <f t="shared" si="9"/>
        <v>0</v>
      </c>
      <c r="L207" s="93">
        <f t="shared" si="10"/>
        <v>0</v>
      </c>
      <c r="M207" s="93">
        <f t="shared" si="11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11.313428784757823</v>
      </c>
      <c r="H208">
        <v>1.3706718749999999E-3</v>
      </c>
      <c r="I208">
        <v>-0.68583768308988147</v>
      </c>
      <c r="J208">
        <v>-9.4005842302646359E-4</v>
      </c>
      <c r="K208" s="93">
        <f t="shared" si="9"/>
        <v>0</v>
      </c>
      <c r="L208" s="93">
        <f t="shared" si="10"/>
        <v>0</v>
      </c>
      <c r="M208" s="93">
        <f t="shared" si="11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3.2324082242165226</v>
      </c>
      <c r="H209">
        <v>4.8694921875000008E-4</v>
      </c>
      <c r="I209">
        <v>-0.89785477808939818</v>
      </c>
      <c r="J209">
        <v>-4.3720968274158715E-4</v>
      </c>
      <c r="K209" s="93">
        <f t="shared" si="9"/>
        <v>0</v>
      </c>
      <c r="L209" s="93">
        <f t="shared" si="10"/>
        <v>0</v>
      </c>
      <c r="M209" s="93">
        <f t="shared" si="11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9.697224672649563</v>
      </c>
      <c r="H210">
        <v>1.0280039062500002E-3</v>
      </c>
      <c r="I210">
        <v>-0.72379952622299915</v>
      </c>
      <c r="J210">
        <v>-7.4406874029914259E-4</v>
      </c>
      <c r="K210" s="93">
        <f t="shared" si="9"/>
        <v>0</v>
      </c>
      <c r="L210" s="93">
        <f t="shared" si="10"/>
        <v>0</v>
      </c>
      <c r="M210" s="93">
        <f t="shared" si="11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14.545837008974342</v>
      </c>
      <c r="H211">
        <v>6.492656250000001E-4</v>
      </c>
      <c r="I211">
        <v>-0.61578264075601263</v>
      </c>
      <c r="J211">
        <v>-3.998065011146031E-4</v>
      </c>
      <c r="K211" s="93">
        <f t="shared" si="9"/>
        <v>0</v>
      </c>
      <c r="L211" s="93">
        <f t="shared" si="10"/>
        <v>0</v>
      </c>
      <c r="M211" s="93">
        <f t="shared" si="11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1.6162041121082618</v>
      </c>
      <c r="H212">
        <v>1.0280039062499999E-3</v>
      </c>
      <c r="I212">
        <v>-0.94755199228823228</v>
      </c>
      <c r="J212">
        <v>-9.7408714944727259E-4</v>
      </c>
      <c r="K212" s="93">
        <f t="shared" si="9"/>
        <v>0</v>
      </c>
      <c r="L212" s="93">
        <f t="shared" si="10"/>
        <v>0</v>
      </c>
      <c r="M212" s="93">
        <f t="shared" si="11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8.081020560541301</v>
      </c>
      <c r="H213">
        <v>2.1702304687499997E-3</v>
      </c>
      <c r="I213">
        <v>-0.7638625976344624</v>
      </c>
      <c r="J213">
        <v>-1.6577578833248318E-3</v>
      </c>
      <c r="K213" s="93">
        <f t="shared" si="9"/>
        <v>0</v>
      </c>
      <c r="L213" s="93">
        <f t="shared" si="10"/>
        <v>0</v>
      </c>
      <c r="M213" s="93">
        <f t="shared" si="11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12.929632896866085</v>
      </c>
      <c r="H214">
        <v>1.3706718749999999E-3</v>
      </c>
      <c r="I214">
        <v>-0.64986686299816243</v>
      </c>
      <c r="J214">
        <v>-8.9075423160605942E-4</v>
      </c>
      <c r="K214" s="93">
        <f t="shared" si="9"/>
        <v>0</v>
      </c>
      <c r="L214" s="93">
        <f t="shared" si="10"/>
        <v>0</v>
      </c>
      <c r="M214" s="93">
        <f t="shared" si="11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6.492656250000001E-4</v>
      </c>
      <c r="I215">
        <v>-1</v>
      </c>
      <c r="J215">
        <v>-6.492656250000001E-4</v>
      </c>
      <c r="K215" s="93">
        <f t="shared" si="9"/>
        <v>0</v>
      </c>
      <c r="L215" s="93">
        <f t="shared" si="10"/>
        <v>0</v>
      </c>
      <c r="M215" s="93">
        <f t="shared" si="11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6.4648164484330399</v>
      </c>
      <c r="H216">
        <v>1.3706718749999999E-3</v>
      </c>
      <c r="I216">
        <v>-0.80614320253796257</v>
      </c>
      <c r="J216">
        <v>-1.1049578149412138E-3</v>
      </c>
      <c r="K216" s="93">
        <f t="shared" si="9"/>
        <v>0</v>
      </c>
      <c r="L216" s="93">
        <f t="shared" si="10"/>
        <v>0</v>
      </c>
      <c r="M216" s="93">
        <f t="shared" si="11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11.313428784757823</v>
      </c>
      <c r="H217">
        <v>8.6568750000000003E-4</v>
      </c>
      <c r="I217">
        <v>-0.68583768308988147</v>
      </c>
      <c r="J217">
        <v>-5.9372110927987179E-4</v>
      </c>
      <c r="K217" s="93">
        <f t="shared" si="9"/>
        <v>0</v>
      </c>
      <c r="L217" s="93">
        <f t="shared" si="10"/>
        <v>0</v>
      </c>
      <c r="M217" s="93">
        <f t="shared" si="11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3.2324082242165226</v>
      </c>
      <c r="H218">
        <v>2.3066015625000002E-4</v>
      </c>
      <c r="I218">
        <v>-0.89785477808939818</v>
      </c>
      <c r="J218">
        <v>-2.0709932340390967E-4</v>
      </c>
      <c r="K218" s="93">
        <f t="shared" si="9"/>
        <v>0</v>
      </c>
      <c r="L218" s="93">
        <f t="shared" si="10"/>
        <v>0</v>
      </c>
      <c r="M218" s="93">
        <f t="shared" si="11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9.697224672649563</v>
      </c>
      <c r="H219">
        <v>4.8694921874999997E-4</v>
      </c>
      <c r="I219">
        <v>-0.72379952622299915</v>
      </c>
      <c r="J219">
        <v>-3.5245361382590956E-4</v>
      </c>
      <c r="K219" s="93">
        <f t="shared" si="9"/>
        <v>0</v>
      </c>
      <c r="L219" s="93">
        <f t="shared" si="10"/>
        <v>0</v>
      </c>
      <c r="M219" s="93">
        <f t="shared" si="11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14.545837008974342</v>
      </c>
      <c r="H220">
        <v>3.0754687499999999E-4</v>
      </c>
      <c r="I220">
        <v>-0.61578264075601263</v>
      </c>
      <c r="J220">
        <v>-1.8938202684375932E-4</v>
      </c>
      <c r="K220" s="93">
        <f t="shared" si="9"/>
        <v>0</v>
      </c>
      <c r="L220" s="93">
        <f t="shared" si="10"/>
        <v>0</v>
      </c>
      <c r="M220" s="93">
        <f t="shared" si="11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1.6162041121082618</v>
      </c>
      <c r="H221">
        <v>4.8694921874999997E-4</v>
      </c>
      <c r="I221">
        <v>-0.94755199228823228</v>
      </c>
      <c r="J221">
        <v>-4.6140970236976069E-4</v>
      </c>
      <c r="K221" s="93">
        <f t="shared" si="9"/>
        <v>0</v>
      </c>
      <c r="L221" s="93">
        <f t="shared" si="10"/>
        <v>0</v>
      </c>
      <c r="M221" s="93">
        <f t="shared" si="11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8.081020560541301</v>
      </c>
      <c r="H222">
        <v>1.0280039062499999E-3</v>
      </c>
      <c r="I222">
        <v>-0.7638625976344624</v>
      </c>
      <c r="J222">
        <v>-7.8525373420649928E-4</v>
      </c>
      <c r="K222" s="93">
        <f t="shared" si="9"/>
        <v>0</v>
      </c>
      <c r="L222" s="93">
        <f t="shared" si="10"/>
        <v>0</v>
      </c>
      <c r="M222" s="93">
        <f t="shared" si="11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12.929632896866085</v>
      </c>
      <c r="H223">
        <v>6.4926562499999999E-4</v>
      </c>
      <c r="I223">
        <v>-0.64986686299816243</v>
      </c>
      <c r="J223">
        <v>-4.2193621497129129E-4</v>
      </c>
      <c r="K223" s="93">
        <f t="shared" si="9"/>
        <v>0</v>
      </c>
      <c r="L223" s="93">
        <f t="shared" si="10"/>
        <v>0</v>
      </c>
      <c r="M223" s="93">
        <f t="shared" si="11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3.0754687500000004E-4</v>
      </c>
      <c r="I224">
        <v>-1</v>
      </c>
      <c r="J224">
        <v>-3.0754687500000004E-4</v>
      </c>
      <c r="K224" s="93">
        <f t="shared" si="9"/>
        <v>0</v>
      </c>
      <c r="L224" s="93">
        <f t="shared" si="10"/>
        <v>0</v>
      </c>
      <c r="M224" s="93">
        <f t="shared" si="11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6.4648164484330399</v>
      </c>
      <c r="H225">
        <v>6.4926562499999999E-4</v>
      </c>
      <c r="I225">
        <v>-0.80614320253796257</v>
      </c>
      <c r="J225">
        <v>-5.2340107023531187E-4</v>
      </c>
      <c r="K225" s="93">
        <f t="shared" si="9"/>
        <v>0</v>
      </c>
      <c r="L225" s="93">
        <f t="shared" si="10"/>
        <v>0</v>
      </c>
      <c r="M225" s="93">
        <f t="shared" si="11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11.313428784757823</v>
      </c>
      <c r="H226">
        <v>4.100625E-4</v>
      </c>
      <c r="I226">
        <v>-0.68583768308988147</v>
      </c>
      <c r="J226">
        <v>-2.8123631492204453E-4</v>
      </c>
      <c r="K226" s="93">
        <f t="shared" si="9"/>
        <v>0</v>
      </c>
      <c r="L226" s="93">
        <f t="shared" si="10"/>
        <v>0</v>
      </c>
      <c r="M226" s="93">
        <f t="shared" si="11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3.2324082242165226</v>
      </c>
      <c r="H227">
        <v>4.8694921875000008E-4</v>
      </c>
      <c r="I227">
        <v>-0.89785477808939818</v>
      </c>
      <c r="J227">
        <v>-4.3720968274158715E-4</v>
      </c>
      <c r="K227" s="93">
        <f t="shared" si="9"/>
        <v>0</v>
      </c>
      <c r="L227" s="93">
        <f t="shared" si="10"/>
        <v>0</v>
      </c>
      <c r="M227" s="93">
        <f t="shared" si="11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9.697224672649563</v>
      </c>
      <c r="H228">
        <v>1.0280039062500002E-3</v>
      </c>
      <c r="I228">
        <v>-0.72379952622299915</v>
      </c>
      <c r="J228">
        <v>-7.4406874029914259E-4</v>
      </c>
      <c r="K228" s="93">
        <f t="shared" si="9"/>
        <v>0</v>
      </c>
      <c r="L228" s="93">
        <f t="shared" si="10"/>
        <v>0</v>
      </c>
      <c r="M228" s="93">
        <f t="shared" si="11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14.545837008974342</v>
      </c>
      <c r="H229">
        <v>6.492656250000001E-4</v>
      </c>
      <c r="I229">
        <v>-0.61578264075601263</v>
      </c>
      <c r="J229">
        <v>-3.998065011146031E-4</v>
      </c>
      <c r="K229" s="93">
        <f t="shared" si="9"/>
        <v>0</v>
      </c>
      <c r="L229" s="93">
        <f t="shared" si="10"/>
        <v>0</v>
      </c>
      <c r="M229" s="93">
        <f t="shared" si="11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1.6162041121082618</v>
      </c>
      <c r="H230">
        <v>1.0280039062499999E-3</v>
      </c>
      <c r="I230">
        <v>-0.94755199228823228</v>
      </c>
      <c r="J230">
        <v>-9.7408714944727259E-4</v>
      </c>
      <c r="K230" s="93">
        <f t="shared" si="9"/>
        <v>0</v>
      </c>
      <c r="L230" s="93">
        <f t="shared" si="10"/>
        <v>0</v>
      </c>
      <c r="M230" s="93">
        <f t="shared" si="11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8.081020560541301</v>
      </c>
      <c r="H231">
        <v>2.1702304687499997E-3</v>
      </c>
      <c r="I231">
        <v>-0.7638625976344624</v>
      </c>
      <c r="J231">
        <v>-1.6577578833248318E-3</v>
      </c>
      <c r="K231" s="93">
        <f t="shared" si="9"/>
        <v>0</v>
      </c>
      <c r="L231" s="93">
        <f t="shared" si="10"/>
        <v>0</v>
      </c>
      <c r="M231" s="93">
        <f t="shared" si="11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12.929632896866085</v>
      </c>
      <c r="H232">
        <v>1.3706718749999999E-3</v>
      </c>
      <c r="I232">
        <v>-0.64986686299816243</v>
      </c>
      <c r="J232">
        <v>-8.9075423160605942E-4</v>
      </c>
      <c r="K232" s="93">
        <f t="shared" si="9"/>
        <v>0</v>
      </c>
      <c r="L232" s="93">
        <f t="shared" si="10"/>
        <v>0</v>
      </c>
      <c r="M232" s="93">
        <f t="shared" si="11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6.492656250000001E-4</v>
      </c>
      <c r="I233">
        <v>-1</v>
      </c>
      <c r="J233">
        <v>-6.492656250000001E-4</v>
      </c>
      <c r="K233" s="93">
        <f t="shared" si="9"/>
        <v>0</v>
      </c>
      <c r="L233" s="93">
        <f t="shared" si="10"/>
        <v>0</v>
      </c>
      <c r="M233" s="93">
        <f t="shared" si="11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6.4648164484330399</v>
      </c>
      <c r="H234">
        <v>1.3706718749999999E-3</v>
      </c>
      <c r="I234">
        <v>-0.80614320253796257</v>
      </c>
      <c r="J234">
        <v>-1.1049578149412138E-3</v>
      </c>
      <c r="K234" s="93">
        <f t="shared" si="9"/>
        <v>0</v>
      </c>
      <c r="L234" s="93">
        <f t="shared" si="10"/>
        <v>0</v>
      </c>
      <c r="M234" s="93">
        <f t="shared" si="11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11.313428784757823</v>
      </c>
      <c r="H235">
        <v>8.6568750000000003E-4</v>
      </c>
      <c r="I235">
        <v>-0.68583768308988147</v>
      </c>
      <c r="J235">
        <v>-5.9372110927987179E-4</v>
      </c>
      <c r="K235" s="93">
        <f t="shared" si="9"/>
        <v>0</v>
      </c>
      <c r="L235" s="93">
        <f t="shared" si="10"/>
        <v>0</v>
      </c>
      <c r="M235" s="93">
        <f t="shared" si="11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3.2324082242165226</v>
      </c>
      <c r="H236">
        <v>3.0754687500000004E-4</v>
      </c>
      <c r="I236">
        <v>-0.89785477808939818</v>
      </c>
      <c r="J236">
        <v>-2.7613243120521293E-4</v>
      </c>
      <c r="K236" s="93">
        <f t="shared" si="9"/>
        <v>0</v>
      </c>
      <c r="L236" s="93">
        <f t="shared" si="10"/>
        <v>0</v>
      </c>
      <c r="M236" s="93">
        <f t="shared" si="11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9.697224672649563</v>
      </c>
      <c r="H237">
        <v>6.4926562499999999E-4</v>
      </c>
      <c r="I237">
        <v>-0.72379952622299915</v>
      </c>
      <c r="J237">
        <v>-4.6993815176787945E-4</v>
      </c>
      <c r="K237" s="93">
        <f t="shared" si="9"/>
        <v>0</v>
      </c>
      <c r="L237" s="93">
        <f t="shared" si="10"/>
        <v>0</v>
      </c>
      <c r="M237" s="93">
        <f t="shared" si="11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14.545837008974342</v>
      </c>
      <c r="H238">
        <v>4.100625E-4</v>
      </c>
      <c r="I238">
        <v>-0.61578264075601263</v>
      </c>
      <c r="J238">
        <v>-2.5250936912501245E-4</v>
      </c>
      <c r="K238" s="93">
        <f t="shared" si="9"/>
        <v>0</v>
      </c>
      <c r="L238" s="93">
        <f t="shared" si="10"/>
        <v>0</v>
      </c>
      <c r="M238" s="93">
        <f t="shared" si="11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1.6162041121082618</v>
      </c>
      <c r="H239">
        <v>6.4926562499999999E-4</v>
      </c>
      <c r="I239">
        <v>-0.94755199228823228</v>
      </c>
      <c r="J239">
        <v>-6.1521293649301428E-4</v>
      </c>
      <c r="K239" s="93">
        <f t="shared" si="9"/>
        <v>0</v>
      </c>
      <c r="L239" s="93">
        <f t="shared" si="10"/>
        <v>0</v>
      </c>
      <c r="M239" s="93">
        <f t="shared" si="11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8.081020560541301</v>
      </c>
      <c r="H240">
        <v>1.3706718749999997E-3</v>
      </c>
      <c r="I240">
        <v>-0.7638625976344624</v>
      </c>
      <c r="J240">
        <v>-1.0470049789419989E-3</v>
      </c>
      <c r="K240" s="93">
        <f t="shared" si="9"/>
        <v>0</v>
      </c>
      <c r="L240" s="93">
        <f t="shared" si="10"/>
        <v>0</v>
      </c>
      <c r="M240" s="93">
        <f t="shared" si="11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12.929632896866085</v>
      </c>
      <c r="H241">
        <v>8.6568749999999992E-4</v>
      </c>
      <c r="I241">
        <v>-0.64986686299816243</v>
      </c>
      <c r="J241">
        <v>-5.6258161996172165E-4</v>
      </c>
      <c r="K241" s="93">
        <f t="shared" si="9"/>
        <v>0</v>
      </c>
      <c r="L241" s="93">
        <f t="shared" si="10"/>
        <v>0</v>
      </c>
      <c r="M241" s="93">
        <f t="shared" si="11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4.100625E-4</v>
      </c>
      <c r="I242">
        <v>-1</v>
      </c>
      <c r="J242">
        <v>-4.100625E-4</v>
      </c>
      <c r="K242" s="93">
        <f t="shared" si="9"/>
        <v>0</v>
      </c>
      <c r="L242" s="93">
        <f t="shared" si="10"/>
        <v>0</v>
      </c>
      <c r="M242" s="93">
        <f t="shared" si="11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6.4648164484330399</v>
      </c>
      <c r="H243">
        <v>8.6568749999999992E-4</v>
      </c>
      <c r="I243">
        <v>-0.80614320253796257</v>
      </c>
      <c r="J243">
        <v>-6.9786809364708242E-4</v>
      </c>
      <c r="K243" s="93">
        <f t="shared" si="9"/>
        <v>0</v>
      </c>
      <c r="L243" s="93">
        <f t="shared" si="10"/>
        <v>0</v>
      </c>
      <c r="M243" s="93">
        <f t="shared" si="11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11.313428784757823</v>
      </c>
      <c r="H244">
        <v>5.4674999999999993E-4</v>
      </c>
      <c r="I244">
        <v>-0.68583768308988147</v>
      </c>
      <c r="J244">
        <v>-3.7498175322939263E-4</v>
      </c>
      <c r="K244" s="93">
        <f t="shared" si="9"/>
        <v>0</v>
      </c>
      <c r="L244" s="93">
        <f t="shared" si="10"/>
        <v>0</v>
      </c>
      <c r="M244" s="93">
        <f t="shared" si="11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4.6528762310459726</v>
      </c>
      <c r="H245">
        <v>2.73908935546875E-4</v>
      </c>
      <c r="I245">
        <v>-0.85633307315546936</v>
      </c>
      <c r="J245">
        <v>-2.3455728054159886E-4</v>
      </c>
      <c r="K245" s="93">
        <f t="shared" si="9"/>
        <v>0</v>
      </c>
      <c r="L245" s="93">
        <f t="shared" si="10"/>
        <v>1</v>
      </c>
      <c r="M245" s="93">
        <f t="shared" si="11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13.958628693137905</v>
      </c>
      <c r="H246">
        <v>5.7825219726562497E-4</v>
      </c>
      <c r="I246">
        <v>-0.62795446499997132</v>
      </c>
      <c r="J246">
        <v>-3.6311604916899339E-4</v>
      </c>
      <c r="K246" s="93">
        <f t="shared" si="9"/>
        <v>0</v>
      </c>
      <c r="L246" s="93">
        <f t="shared" si="10"/>
        <v>1</v>
      </c>
      <c r="M246" s="93">
        <f t="shared" si="11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20.937943039706855</v>
      </c>
      <c r="H247">
        <v>3.652119140625E-4</v>
      </c>
      <c r="I247">
        <v>-0.49761358610864465</v>
      </c>
      <c r="J247">
        <v>-1.8173441024624278E-4</v>
      </c>
      <c r="K247" s="93">
        <f t="shared" si="9"/>
        <v>0</v>
      </c>
      <c r="L247" s="93">
        <f t="shared" si="10"/>
        <v>1</v>
      </c>
      <c r="M247" s="93">
        <f t="shared" si="11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2.3264381155229863</v>
      </c>
      <c r="H248">
        <v>5.7825219726562497E-4</v>
      </c>
      <c r="I248">
        <v>-0.92538266309428419</v>
      </c>
      <c r="J248">
        <v>-5.3510455824578543E-4</v>
      </c>
      <c r="K248" s="93">
        <f t="shared" si="9"/>
        <v>0</v>
      </c>
      <c r="L248" s="93">
        <f t="shared" si="10"/>
        <v>1</v>
      </c>
      <c r="M248" s="93">
        <f t="shared" si="11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11.632190577614921</v>
      </c>
      <c r="H249">
        <v>1.2207546386718748E-3</v>
      </c>
      <c r="I249">
        <v>-0.678588966536529</v>
      </c>
      <c r="J249">
        <v>-8.2839062865102146E-4</v>
      </c>
      <c r="K249" s="93">
        <f t="shared" si="9"/>
        <v>0</v>
      </c>
      <c r="L249" s="93">
        <f t="shared" si="10"/>
        <v>1</v>
      </c>
      <c r="M249" s="93">
        <f t="shared" si="11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18.611504924183873</v>
      </c>
      <c r="H250">
        <v>7.7100292968749996E-4</v>
      </c>
      <c r="I250">
        <v>-0.53773817681512415</v>
      </c>
      <c r="J250">
        <v>-4.1459770972927557E-4</v>
      </c>
      <c r="K250" s="93">
        <f t="shared" si="9"/>
        <v>0</v>
      </c>
      <c r="L250" s="93">
        <f t="shared" si="10"/>
        <v>1</v>
      </c>
      <c r="M250" s="93">
        <f t="shared" si="11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3.652119140625E-4</v>
      </c>
      <c r="I251">
        <v>-1</v>
      </c>
      <c r="J251">
        <v>-3.652119140625E-4</v>
      </c>
      <c r="K251" s="93">
        <f t="shared" si="9"/>
        <v>0</v>
      </c>
      <c r="L251" s="93">
        <f t="shared" si="10"/>
        <v>1</v>
      </c>
      <c r="M251" s="93">
        <f t="shared" si="11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9.3057524620919345</v>
      </c>
      <c r="H252">
        <v>7.7100292968749996E-4</v>
      </c>
      <c r="I252">
        <v>-0.73330633217989072</v>
      </c>
      <c r="J252">
        <v>-5.6538133046909079E-4</v>
      </c>
      <c r="K252" s="93">
        <f t="shared" si="9"/>
        <v>0</v>
      </c>
      <c r="L252" s="93">
        <f t="shared" si="10"/>
        <v>1</v>
      </c>
      <c r="M252" s="93">
        <f t="shared" si="11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16.285066808660886</v>
      </c>
      <c r="H253">
        <v>4.8694921874999997E-4</v>
      </c>
      <c r="I253">
        <v>-0.58109817512362005</v>
      </c>
      <c r="J253">
        <v>-2.8296530239349743E-4</v>
      </c>
      <c r="K253" s="93">
        <f t="shared" si="9"/>
        <v>0</v>
      </c>
      <c r="L253" s="93">
        <f t="shared" si="10"/>
        <v>1</v>
      </c>
      <c r="M253" s="93">
        <f t="shared" si="11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4.6528762310459726</v>
      </c>
      <c r="H254">
        <v>5.7825219726562497E-4</v>
      </c>
      <c r="I254">
        <v>-0.85633307315546936</v>
      </c>
      <c r="J254">
        <v>-4.9517648114337531E-4</v>
      </c>
      <c r="K254" s="93">
        <f t="shared" si="9"/>
        <v>0</v>
      </c>
      <c r="L254" s="93">
        <f t="shared" si="10"/>
        <v>1</v>
      </c>
      <c r="M254" s="93">
        <f t="shared" si="11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13.958628693137905</v>
      </c>
      <c r="H255">
        <v>1.2207546386718748E-3</v>
      </c>
      <c r="I255">
        <v>-0.62795446499997132</v>
      </c>
      <c r="J255">
        <v>-7.6657832602343044E-4</v>
      </c>
      <c r="K255" s="93">
        <f t="shared" si="9"/>
        <v>0</v>
      </c>
      <c r="L255" s="93">
        <f t="shared" si="10"/>
        <v>1</v>
      </c>
      <c r="M255" s="93">
        <f t="shared" si="11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20.937943039706855</v>
      </c>
      <c r="H256">
        <v>7.7100292968749996E-4</v>
      </c>
      <c r="I256">
        <v>-0.49761358610864465</v>
      </c>
      <c r="J256">
        <v>-3.8366153274206806E-4</v>
      </c>
      <c r="K256" s="93">
        <f t="shared" si="9"/>
        <v>0</v>
      </c>
      <c r="L256" s="93">
        <f t="shared" si="10"/>
        <v>1</v>
      </c>
      <c r="M256" s="93">
        <f t="shared" si="11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2.3264381155229863</v>
      </c>
      <c r="H257">
        <v>1.2207546386718748E-3</v>
      </c>
      <c r="I257">
        <v>-0.92538266309428419</v>
      </c>
      <c r="J257">
        <v>-1.1296651785188802E-3</v>
      </c>
      <c r="K257" s="93">
        <f t="shared" si="9"/>
        <v>0</v>
      </c>
      <c r="L257" s="93">
        <f t="shared" si="10"/>
        <v>1</v>
      </c>
      <c r="M257" s="93">
        <f t="shared" si="11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11.632190577614921</v>
      </c>
      <c r="H258">
        <v>2.5771486816406246E-3</v>
      </c>
      <c r="I258">
        <v>-0.678588966536529</v>
      </c>
      <c r="J258">
        <v>-1.7488246604854896E-3</v>
      </c>
      <c r="K258" s="93">
        <f t="shared" si="9"/>
        <v>0</v>
      </c>
      <c r="L258" s="93">
        <f t="shared" si="10"/>
        <v>1</v>
      </c>
      <c r="M258" s="93">
        <f t="shared" si="11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18.611504924183873</v>
      </c>
      <c r="H259">
        <v>1.6276728515624997E-3</v>
      </c>
      <c r="I259">
        <v>-0.53773817681512415</v>
      </c>
      <c r="J259">
        <v>-8.7526183165069276E-4</v>
      </c>
      <c r="K259" s="93">
        <f t="shared" ref="K259:K322" si="12">IF(A259=3,1,0)</f>
        <v>0</v>
      </c>
      <c r="L259" s="93">
        <f t="shared" ref="L259:L322" si="13">IF(A259=2,1,0)</f>
        <v>1</v>
      </c>
      <c r="M259" s="93">
        <f t="shared" ref="M259:M322" si="14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7.7100292968749985E-4</v>
      </c>
      <c r="I260">
        <v>-1</v>
      </c>
      <c r="J260">
        <v>-7.7100292968749985E-4</v>
      </c>
      <c r="K260" s="93">
        <f t="shared" si="12"/>
        <v>0</v>
      </c>
      <c r="L260" s="93">
        <f t="shared" si="13"/>
        <v>1</v>
      </c>
      <c r="M260" s="93">
        <f t="shared" si="14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9.3057524620919345</v>
      </c>
      <c r="H261">
        <v>1.6276728515624997E-3</v>
      </c>
      <c r="I261">
        <v>-0.73330633217989072</v>
      </c>
      <c r="J261">
        <v>-1.1935828087680804E-3</v>
      </c>
      <c r="K261" s="93">
        <f t="shared" si="12"/>
        <v>0</v>
      </c>
      <c r="L261" s="93">
        <f t="shared" si="13"/>
        <v>1</v>
      </c>
      <c r="M261" s="93">
        <f t="shared" si="14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16.285066808660886</v>
      </c>
      <c r="H262">
        <v>1.0280039062499997E-3</v>
      </c>
      <c r="I262">
        <v>-0.58109817512362005</v>
      </c>
      <c r="J262">
        <v>-5.9737119394182784E-4</v>
      </c>
      <c r="K262" s="93">
        <f t="shared" si="12"/>
        <v>0</v>
      </c>
      <c r="L262" s="93">
        <f t="shared" si="13"/>
        <v>1</v>
      </c>
      <c r="M262" s="93">
        <f t="shared" si="14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4.6528762310459726</v>
      </c>
      <c r="H263">
        <v>3.6521191406249995E-4</v>
      </c>
      <c r="I263">
        <v>-0.85633307315546936</v>
      </c>
      <c r="J263">
        <v>-3.1274304072213176E-4</v>
      </c>
      <c r="K263" s="93">
        <f t="shared" si="12"/>
        <v>0</v>
      </c>
      <c r="L263" s="93">
        <f t="shared" si="13"/>
        <v>1</v>
      </c>
      <c r="M263" s="93">
        <f t="shared" si="14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13.958628693137905</v>
      </c>
      <c r="H264">
        <v>7.7100292968749985E-4</v>
      </c>
      <c r="I264">
        <v>-0.62795446499997132</v>
      </c>
      <c r="J264">
        <v>-4.8415473222532447E-4</v>
      </c>
      <c r="K264" s="93">
        <f t="shared" si="12"/>
        <v>0</v>
      </c>
      <c r="L264" s="93">
        <f t="shared" si="13"/>
        <v>1</v>
      </c>
      <c r="M264" s="93">
        <f t="shared" si="14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20.937943039706855</v>
      </c>
      <c r="H265">
        <v>4.8694921874999991E-4</v>
      </c>
      <c r="I265">
        <v>-0.49761358610864465</v>
      </c>
      <c r="J265">
        <v>-2.4231254699499033E-4</v>
      </c>
      <c r="K265" s="93">
        <f t="shared" si="12"/>
        <v>0</v>
      </c>
      <c r="L265" s="93">
        <f t="shared" si="13"/>
        <v>1</v>
      </c>
      <c r="M265" s="93">
        <f t="shared" si="14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2.3264381155229863</v>
      </c>
      <c r="H266">
        <v>7.7100292968749985E-4</v>
      </c>
      <c r="I266">
        <v>-0.92538266309428419</v>
      </c>
      <c r="J266">
        <v>-7.1347274432771376E-4</v>
      </c>
      <c r="K266" s="93">
        <f t="shared" si="12"/>
        <v>0</v>
      </c>
      <c r="L266" s="93">
        <f t="shared" si="13"/>
        <v>1</v>
      </c>
      <c r="M266" s="93">
        <f t="shared" si="14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11.632190577614921</v>
      </c>
      <c r="H267">
        <v>1.6276728515624997E-3</v>
      </c>
      <c r="I267">
        <v>-0.678588966536529</v>
      </c>
      <c r="J267">
        <v>-1.1045208382013619E-3</v>
      </c>
      <c r="K267" s="93">
        <f t="shared" si="12"/>
        <v>0</v>
      </c>
      <c r="L267" s="93">
        <f t="shared" si="13"/>
        <v>1</v>
      </c>
      <c r="M267" s="93">
        <f t="shared" si="14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18.611504924183873</v>
      </c>
      <c r="H268">
        <v>1.0280039062499997E-3</v>
      </c>
      <c r="I268">
        <v>-0.53773817681512415</v>
      </c>
      <c r="J268">
        <v>-5.5279694630570061E-4</v>
      </c>
      <c r="K268" s="93">
        <f t="shared" si="12"/>
        <v>0</v>
      </c>
      <c r="L268" s="93">
        <f t="shared" si="13"/>
        <v>1</v>
      </c>
      <c r="M268" s="93">
        <f t="shared" si="14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4.8694921874999991E-4</v>
      </c>
      <c r="I269">
        <v>-1</v>
      </c>
      <c r="J269">
        <v>-4.8694921874999991E-4</v>
      </c>
      <c r="K269" s="93">
        <f t="shared" si="12"/>
        <v>0</v>
      </c>
      <c r="L269" s="93">
        <f t="shared" si="13"/>
        <v>1</v>
      </c>
      <c r="M269" s="93">
        <f t="shared" si="14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9.3057524620919345</v>
      </c>
      <c r="H270">
        <v>1.0280039062499997E-3</v>
      </c>
      <c r="I270">
        <v>-0.73330633217989072</v>
      </c>
      <c r="J270">
        <v>-7.5384177395878757E-4</v>
      </c>
      <c r="K270" s="93">
        <f t="shared" si="12"/>
        <v>0</v>
      </c>
      <c r="L270" s="93">
        <f t="shared" si="13"/>
        <v>1</v>
      </c>
      <c r="M270" s="93">
        <f t="shared" si="14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16.285066808660886</v>
      </c>
      <c r="H271">
        <v>6.4926562499999978E-4</v>
      </c>
      <c r="I271">
        <v>-0.58109817512362005</v>
      </c>
      <c r="J271">
        <v>-3.7728706985799647E-4</v>
      </c>
      <c r="K271" s="93">
        <f t="shared" si="12"/>
        <v>0</v>
      </c>
      <c r="L271" s="93">
        <f t="shared" si="13"/>
        <v>1</v>
      </c>
      <c r="M271" s="93">
        <f t="shared" si="14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4.6528762310459726</v>
      </c>
      <c r="H272">
        <v>5.7825219726562497E-4</v>
      </c>
      <c r="I272">
        <v>-0.85633307315546936</v>
      </c>
      <c r="J272">
        <v>-4.9517648114337531E-4</v>
      </c>
      <c r="K272" s="93">
        <f t="shared" si="12"/>
        <v>0</v>
      </c>
      <c r="L272" s="93">
        <f t="shared" si="13"/>
        <v>1</v>
      </c>
      <c r="M272" s="93">
        <f t="shared" si="14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13.958628693137905</v>
      </c>
      <c r="H273">
        <v>1.2207546386718748E-3</v>
      </c>
      <c r="I273">
        <v>-0.62795446499997132</v>
      </c>
      <c r="J273">
        <v>-7.6657832602343044E-4</v>
      </c>
      <c r="K273" s="93">
        <f t="shared" si="12"/>
        <v>0</v>
      </c>
      <c r="L273" s="93">
        <f t="shared" si="13"/>
        <v>1</v>
      </c>
      <c r="M273" s="93">
        <f t="shared" si="14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20.937943039706855</v>
      </c>
      <c r="H274">
        <v>7.7100292968749996E-4</v>
      </c>
      <c r="I274">
        <v>-0.49761358610864465</v>
      </c>
      <c r="J274">
        <v>-3.8366153274206806E-4</v>
      </c>
      <c r="K274" s="93">
        <f t="shared" si="12"/>
        <v>0</v>
      </c>
      <c r="L274" s="93">
        <f t="shared" si="13"/>
        <v>1</v>
      </c>
      <c r="M274" s="93">
        <f t="shared" si="14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2.3264381155229863</v>
      </c>
      <c r="H275">
        <v>1.2207546386718748E-3</v>
      </c>
      <c r="I275">
        <v>-0.92538266309428419</v>
      </c>
      <c r="J275">
        <v>-1.1296651785188802E-3</v>
      </c>
      <c r="K275" s="93">
        <f t="shared" si="12"/>
        <v>0</v>
      </c>
      <c r="L275" s="93">
        <f t="shared" si="13"/>
        <v>1</v>
      </c>
      <c r="M275" s="93">
        <f t="shared" si="14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11.632190577614921</v>
      </c>
      <c r="H276">
        <v>2.5771486816406246E-3</v>
      </c>
      <c r="I276">
        <v>-0.678588966536529</v>
      </c>
      <c r="J276">
        <v>-1.7488246604854896E-3</v>
      </c>
      <c r="K276" s="93">
        <f t="shared" si="12"/>
        <v>0</v>
      </c>
      <c r="L276" s="93">
        <f t="shared" si="13"/>
        <v>1</v>
      </c>
      <c r="M276" s="93">
        <f t="shared" si="14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18.611504924183873</v>
      </c>
      <c r="H277">
        <v>1.6276728515624997E-3</v>
      </c>
      <c r="I277">
        <v>-0.53773817681512415</v>
      </c>
      <c r="J277">
        <v>-8.7526183165069276E-4</v>
      </c>
      <c r="K277" s="93">
        <f t="shared" si="12"/>
        <v>0</v>
      </c>
      <c r="L277" s="93">
        <f t="shared" si="13"/>
        <v>1</v>
      </c>
      <c r="M277" s="93">
        <f t="shared" si="14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7.7100292968749985E-4</v>
      </c>
      <c r="I278">
        <v>-1</v>
      </c>
      <c r="J278">
        <v>-7.7100292968749985E-4</v>
      </c>
      <c r="K278" s="93">
        <f t="shared" si="12"/>
        <v>0</v>
      </c>
      <c r="L278" s="93">
        <f t="shared" si="13"/>
        <v>1</v>
      </c>
      <c r="M278" s="93">
        <f t="shared" si="14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9.3057524620919345</v>
      </c>
      <c r="H279">
        <v>1.6276728515624997E-3</v>
      </c>
      <c r="I279">
        <v>-0.73330633217989072</v>
      </c>
      <c r="J279">
        <v>-1.1935828087680804E-3</v>
      </c>
      <c r="K279" s="93">
        <f t="shared" si="12"/>
        <v>0</v>
      </c>
      <c r="L279" s="93">
        <f t="shared" si="13"/>
        <v>1</v>
      </c>
      <c r="M279" s="93">
        <f t="shared" si="14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16.285066808660886</v>
      </c>
      <c r="H280">
        <v>1.0280039062499997E-3</v>
      </c>
      <c r="I280">
        <v>-0.58109817512362005</v>
      </c>
      <c r="J280">
        <v>-5.9737119394182784E-4</v>
      </c>
      <c r="K280" s="93">
        <f t="shared" si="12"/>
        <v>0</v>
      </c>
      <c r="L280" s="93">
        <f t="shared" si="13"/>
        <v>1</v>
      </c>
      <c r="M280" s="93">
        <f t="shared" si="14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4.6528762310459726</v>
      </c>
      <c r="H281">
        <v>1.2207546386718748E-3</v>
      </c>
      <c r="I281">
        <v>-0.85633307315546936</v>
      </c>
      <c r="J281">
        <v>-1.0453725713026811E-3</v>
      </c>
      <c r="K281" s="93">
        <f t="shared" si="12"/>
        <v>0</v>
      </c>
      <c r="L281" s="93">
        <f t="shared" si="13"/>
        <v>1</v>
      </c>
      <c r="M281" s="93">
        <f t="shared" si="14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13.958628693137905</v>
      </c>
      <c r="H282">
        <v>2.5771486816406246E-3</v>
      </c>
      <c r="I282">
        <v>-0.62795446499997132</v>
      </c>
      <c r="J282">
        <v>-1.6183320216050197E-3</v>
      </c>
      <c r="K282" s="93">
        <f t="shared" si="12"/>
        <v>0</v>
      </c>
      <c r="L282" s="93">
        <f t="shared" si="13"/>
        <v>1</v>
      </c>
      <c r="M282" s="93">
        <f t="shared" si="14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20.937943039706855</v>
      </c>
      <c r="H283">
        <v>1.6276728515624997E-3</v>
      </c>
      <c r="I283">
        <v>-0.49761358610864465</v>
      </c>
      <c r="J283">
        <v>-8.0995212467769911E-4</v>
      </c>
      <c r="K283" s="93">
        <f t="shared" si="12"/>
        <v>0</v>
      </c>
      <c r="L283" s="93">
        <f t="shared" si="13"/>
        <v>1</v>
      </c>
      <c r="M283" s="93">
        <f t="shared" si="14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2.3264381155229863</v>
      </c>
      <c r="H284">
        <v>2.5771486816406246E-3</v>
      </c>
      <c r="I284">
        <v>-0.92538266309428419</v>
      </c>
      <c r="J284">
        <v>-2.3848487102065248E-3</v>
      </c>
      <c r="K284" s="93">
        <f t="shared" si="12"/>
        <v>0</v>
      </c>
      <c r="L284" s="93">
        <f t="shared" si="13"/>
        <v>1</v>
      </c>
      <c r="M284" s="93">
        <f t="shared" si="14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11.632190577614921</v>
      </c>
      <c r="H285">
        <v>5.4406472167968737E-3</v>
      </c>
      <c r="I285">
        <v>-0.678588966536529</v>
      </c>
      <c r="J285">
        <v>-3.6919631721360332E-3</v>
      </c>
      <c r="K285" s="93">
        <f t="shared" si="12"/>
        <v>0</v>
      </c>
      <c r="L285" s="93">
        <f t="shared" si="13"/>
        <v>1</v>
      </c>
      <c r="M285" s="93">
        <f t="shared" si="14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18.611504924183873</v>
      </c>
      <c r="H286">
        <v>3.4361982421874993E-3</v>
      </c>
      <c r="I286">
        <v>-0.53773817681512415</v>
      </c>
      <c r="J286">
        <v>-1.8477749779292404E-3</v>
      </c>
      <c r="K286" s="93">
        <f t="shared" si="12"/>
        <v>0</v>
      </c>
      <c r="L286" s="93">
        <f t="shared" si="13"/>
        <v>1</v>
      </c>
      <c r="M286" s="93">
        <f t="shared" si="14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1.6276728515624997E-3</v>
      </c>
      <c r="I287">
        <v>-1</v>
      </c>
      <c r="J287">
        <v>-1.6276728515624997E-3</v>
      </c>
      <c r="K287" s="93">
        <f t="shared" si="12"/>
        <v>0</v>
      </c>
      <c r="L287" s="93">
        <f t="shared" si="13"/>
        <v>1</v>
      </c>
      <c r="M287" s="93">
        <f t="shared" si="14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9.3057524620919345</v>
      </c>
      <c r="H288">
        <v>3.4361982421874993E-3</v>
      </c>
      <c r="I288">
        <v>-0.73330633217989072</v>
      </c>
      <c r="J288">
        <v>-2.5197859296215031E-3</v>
      </c>
      <c r="K288" s="93">
        <f t="shared" si="12"/>
        <v>0</v>
      </c>
      <c r="L288" s="93">
        <f t="shared" si="13"/>
        <v>1</v>
      </c>
      <c r="M288" s="93">
        <f t="shared" si="14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16.285066808660886</v>
      </c>
      <c r="H289">
        <v>2.1702304687499993E-3</v>
      </c>
      <c r="I289">
        <v>-0.58109817512362005</v>
      </c>
      <c r="J289">
        <v>-1.2611169649883031E-3</v>
      </c>
      <c r="K289" s="93">
        <f t="shared" si="12"/>
        <v>0</v>
      </c>
      <c r="L289" s="93">
        <f t="shared" si="13"/>
        <v>1</v>
      </c>
      <c r="M289" s="93">
        <f t="shared" si="14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4.6528762310459726</v>
      </c>
      <c r="H290">
        <v>7.7100292968749996E-4</v>
      </c>
      <c r="I290">
        <v>-0.85633307315546936</v>
      </c>
      <c r="J290">
        <v>-6.6023530819116715E-4</v>
      </c>
      <c r="K290" s="93">
        <f t="shared" si="12"/>
        <v>0</v>
      </c>
      <c r="L290" s="93">
        <f t="shared" si="13"/>
        <v>1</v>
      </c>
      <c r="M290" s="93">
        <f t="shared" si="14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13.958628693137905</v>
      </c>
      <c r="H291">
        <v>1.6276728515624999E-3</v>
      </c>
      <c r="I291">
        <v>-0.62795446499997132</v>
      </c>
      <c r="J291">
        <v>-1.0221044346979075E-3</v>
      </c>
      <c r="K291" s="93">
        <f t="shared" si="12"/>
        <v>0</v>
      </c>
      <c r="L291" s="93">
        <f t="shared" si="13"/>
        <v>1</v>
      </c>
      <c r="M291" s="93">
        <f t="shared" si="14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20.937943039706855</v>
      </c>
      <c r="H292">
        <v>1.0280039062499999E-3</v>
      </c>
      <c r="I292">
        <v>-0.49761358610864465</v>
      </c>
      <c r="J292">
        <v>-5.1154871032275744E-4</v>
      </c>
      <c r="K292" s="93">
        <f t="shared" si="12"/>
        <v>0</v>
      </c>
      <c r="L292" s="93">
        <f t="shared" si="13"/>
        <v>1</v>
      </c>
      <c r="M292" s="93">
        <f t="shared" si="14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2.3264381155229863</v>
      </c>
      <c r="H293">
        <v>1.6276728515624997E-3</v>
      </c>
      <c r="I293">
        <v>-0.92538266309428419</v>
      </c>
      <c r="J293">
        <v>-1.5062202380251735E-3</v>
      </c>
      <c r="K293" s="93">
        <f t="shared" si="12"/>
        <v>0</v>
      </c>
      <c r="L293" s="93">
        <f t="shared" si="13"/>
        <v>1</v>
      </c>
      <c r="M293" s="93">
        <f t="shared" si="14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11.632190577614921</v>
      </c>
      <c r="H294">
        <v>3.4361982421874993E-3</v>
      </c>
      <c r="I294">
        <v>-0.678588966536529</v>
      </c>
      <c r="J294">
        <v>-2.3317662139806529E-3</v>
      </c>
      <c r="K294" s="93">
        <f t="shared" si="12"/>
        <v>0</v>
      </c>
      <c r="L294" s="93">
        <f t="shared" si="13"/>
        <v>1</v>
      </c>
      <c r="M294" s="93">
        <f t="shared" si="14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18.611504924183873</v>
      </c>
      <c r="H295">
        <v>2.1702304687499993E-3</v>
      </c>
      <c r="I295">
        <v>-0.53773817681512415</v>
      </c>
      <c r="J295">
        <v>-1.1670157755342568E-3</v>
      </c>
      <c r="K295" s="93">
        <f t="shared" si="12"/>
        <v>0</v>
      </c>
      <c r="L295" s="93">
        <f t="shared" si="13"/>
        <v>1</v>
      </c>
      <c r="M295" s="93">
        <f t="shared" si="14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1.0280039062499999E-3</v>
      </c>
      <c r="I296">
        <v>-1</v>
      </c>
      <c r="J296">
        <v>-1.0280039062499999E-3</v>
      </c>
      <c r="K296" s="93">
        <f t="shared" si="12"/>
        <v>0</v>
      </c>
      <c r="L296" s="93">
        <f t="shared" si="13"/>
        <v>1</v>
      </c>
      <c r="M296" s="93">
        <f t="shared" si="14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9.3057524620919345</v>
      </c>
      <c r="H297">
        <v>2.1702304687499993E-3</v>
      </c>
      <c r="I297">
        <v>-0.73330633217989072</v>
      </c>
      <c r="J297">
        <v>-1.591443745024107E-3</v>
      </c>
      <c r="K297" s="93">
        <f t="shared" si="12"/>
        <v>0</v>
      </c>
      <c r="L297" s="93">
        <f t="shared" si="13"/>
        <v>1</v>
      </c>
      <c r="M297" s="93">
        <f t="shared" si="14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16.285066808660886</v>
      </c>
      <c r="H298">
        <v>1.3706718749999997E-3</v>
      </c>
      <c r="I298">
        <v>-0.58109817512362005</v>
      </c>
      <c r="J298">
        <v>-7.9649492525577046E-4</v>
      </c>
      <c r="K298" s="93">
        <f t="shared" si="12"/>
        <v>0</v>
      </c>
      <c r="L298" s="93">
        <f t="shared" si="13"/>
        <v>1</v>
      </c>
      <c r="M298" s="93">
        <f t="shared" si="14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4.6528762310459726</v>
      </c>
      <c r="H299">
        <v>3.652119140625E-4</v>
      </c>
      <c r="I299">
        <v>-0.85633307315546936</v>
      </c>
      <c r="J299">
        <v>-3.1274304072213181E-4</v>
      </c>
      <c r="K299" s="93">
        <f t="shared" si="12"/>
        <v>0</v>
      </c>
      <c r="L299" s="93">
        <f t="shared" si="13"/>
        <v>1</v>
      </c>
      <c r="M299" s="93">
        <f t="shared" si="14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13.958628693137905</v>
      </c>
      <c r="H300">
        <v>7.7100292968749996E-4</v>
      </c>
      <c r="I300">
        <v>-0.62795446499997132</v>
      </c>
      <c r="J300">
        <v>-4.8415473222532452E-4</v>
      </c>
      <c r="K300" s="93">
        <f t="shared" si="12"/>
        <v>0</v>
      </c>
      <c r="L300" s="93">
        <f t="shared" si="13"/>
        <v>1</v>
      </c>
      <c r="M300" s="93">
        <f t="shared" si="14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20.937943039706855</v>
      </c>
      <c r="H301">
        <v>4.8694921874999997E-4</v>
      </c>
      <c r="I301">
        <v>-0.49761358610864465</v>
      </c>
      <c r="J301">
        <v>-2.4231254699499035E-4</v>
      </c>
      <c r="K301" s="93">
        <f t="shared" si="12"/>
        <v>0</v>
      </c>
      <c r="L301" s="93">
        <f t="shared" si="13"/>
        <v>1</v>
      </c>
      <c r="M301" s="93">
        <f t="shared" si="14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2.3264381155229863</v>
      </c>
      <c r="H302">
        <v>7.7100292968749996E-4</v>
      </c>
      <c r="I302">
        <v>-0.92538266309428419</v>
      </c>
      <c r="J302">
        <v>-7.1347274432771387E-4</v>
      </c>
      <c r="K302" s="93">
        <f t="shared" si="12"/>
        <v>0</v>
      </c>
      <c r="L302" s="93">
        <f t="shared" si="13"/>
        <v>1</v>
      </c>
      <c r="M302" s="93">
        <f t="shared" si="14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11.632190577614921</v>
      </c>
      <c r="H303">
        <v>1.6276728515624999E-3</v>
      </c>
      <c r="I303">
        <v>-0.678588966536529</v>
      </c>
      <c r="J303">
        <v>-1.1045208382013619E-3</v>
      </c>
      <c r="K303" s="93">
        <f t="shared" si="12"/>
        <v>0</v>
      </c>
      <c r="L303" s="93">
        <f t="shared" si="13"/>
        <v>1</v>
      </c>
      <c r="M303" s="93">
        <f t="shared" si="14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18.611504924183873</v>
      </c>
      <c r="H304">
        <v>1.0280039062499999E-3</v>
      </c>
      <c r="I304">
        <v>-0.53773817681512415</v>
      </c>
      <c r="J304">
        <v>-5.5279694630570083E-4</v>
      </c>
      <c r="K304" s="93">
        <f t="shared" si="12"/>
        <v>0</v>
      </c>
      <c r="L304" s="93">
        <f t="shared" si="13"/>
        <v>1</v>
      </c>
      <c r="M304" s="93">
        <f t="shared" si="14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4.8694921874999997E-4</v>
      </c>
      <c r="I305">
        <v>-1</v>
      </c>
      <c r="J305">
        <v>-4.8694921874999997E-4</v>
      </c>
      <c r="K305" s="93">
        <f t="shared" si="12"/>
        <v>0</v>
      </c>
      <c r="L305" s="93">
        <f t="shared" si="13"/>
        <v>1</v>
      </c>
      <c r="M305" s="93">
        <f t="shared" si="14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9.3057524620919345</v>
      </c>
      <c r="H306">
        <v>1.0280039062499999E-3</v>
      </c>
      <c r="I306">
        <v>-0.73330633217989072</v>
      </c>
      <c r="J306">
        <v>-7.5384177395878768E-4</v>
      </c>
      <c r="K306" s="93">
        <f t="shared" si="12"/>
        <v>0</v>
      </c>
      <c r="L306" s="93">
        <f t="shared" si="13"/>
        <v>1</v>
      </c>
      <c r="M306" s="93">
        <f t="shared" si="14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16.285066808660886</v>
      </c>
      <c r="H307">
        <v>6.4926562499999999E-4</v>
      </c>
      <c r="I307">
        <v>-0.58109817512362005</v>
      </c>
      <c r="J307">
        <v>-3.7728706985799663E-4</v>
      </c>
      <c r="K307" s="93">
        <f t="shared" si="12"/>
        <v>0</v>
      </c>
      <c r="L307" s="93">
        <f t="shared" si="13"/>
        <v>1</v>
      </c>
      <c r="M307" s="93">
        <f t="shared" si="14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4.6528762310459726</v>
      </c>
      <c r="H308">
        <v>7.7100292968750007E-4</v>
      </c>
      <c r="I308">
        <v>-0.85633307315546936</v>
      </c>
      <c r="J308">
        <v>-6.6023530819116715E-4</v>
      </c>
      <c r="K308" s="93">
        <f t="shared" si="12"/>
        <v>0</v>
      </c>
      <c r="L308" s="93">
        <f t="shared" si="13"/>
        <v>1</v>
      </c>
      <c r="M308" s="93">
        <f t="shared" si="14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13.958628693137905</v>
      </c>
      <c r="H309">
        <v>1.6276728515625001E-3</v>
      </c>
      <c r="I309">
        <v>-0.62795446499997132</v>
      </c>
      <c r="J309">
        <v>-1.0221044346979075E-3</v>
      </c>
      <c r="K309" s="93">
        <f t="shared" si="12"/>
        <v>0</v>
      </c>
      <c r="L309" s="93">
        <f t="shared" si="13"/>
        <v>1</v>
      </c>
      <c r="M309" s="93">
        <f t="shared" si="14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20.937943039706855</v>
      </c>
      <c r="H310">
        <v>1.0280039062499999E-3</v>
      </c>
      <c r="I310">
        <v>-0.49761358610864465</v>
      </c>
      <c r="J310">
        <v>-5.1154871032275744E-4</v>
      </c>
      <c r="K310" s="93">
        <f t="shared" si="12"/>
        <v>0</v>
      </c>
      <c r="L310" s="93">
        <f t="shared" si="13"/>
        <v>1</v>
      </c>
      <c r="M310" s="93">
        <f t="shared" si="14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2.3264381155229863</v>
      </c>
      <c r="H311">
        <v>1.6276728515624999E-3</v>
      </c>
      <c r="I311">
        <v>-0.92538266309428419</v>
      </c>
      <c r="J311">
        <v>-1.5062202380251737E-3</v>
      </c>
      <c r="K311" s="93">
        <f t="shared" si="12"/>
        <v>0</v>
      </c>
      <c r="L311" s="93">
        <f t="shared" si="13"/>
        <v>1</v>
      </c>
      <c r="M311" s="93">
        <f t="shared" si="14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11.632190577614921</v>
      </c>
      <c r="H312">
        <v>3.4361982421874998E-3</v>
      </c>
      <c r="I312">
        <v>-0.678588966536529</v>
      </c>
      <c r="J312">
        <v>-2.3317662139806529E-3</v>
      </c>
      <c r="K312" s="93">
        <f t="shared" si="12"/>
        <v>0</v>
      </c>
      <c r="L312" s="93">
        <f t="shared" si="13"/>
        <v>1</v>
      </c>
      <c r="M312" s="93">
        <f t="shared" si="14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18.611504924183873</v>
      </c>
      <c r="H313">
        <v>2.1702304687499997E-3</v>
      </c>
      <c r="I313">
        <v>-0.53773817681512415</v>
      </c>
      <c r="J313">
        <v>-1.167015775534257E-3</v>
      </c>
      <c r="K313" s="93">
        <f t="shared" si="12"/>
        <v>0</v>
      </c>
      <c r="L313" s="93">
        <f t="shared" si="13"/>
        <v>1</v>
      </c>
      <c r="M313" s="93">
        <f t="shared" si="14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1.0280039062499999E-3</v>
      </c>
      <c r="I314">
        <v>-1</v>
      </c>
      <c r="J314">
        <v>-1.0280039062499999E-3</v>
      </c>
      <c r="K314" s="93">
        <f t="shared" si="12"/>
        <v>0</v>
      </c>
      <c r="L314" s="93">
        <f t="shared" si="13"/>
        <v>1</v>
      </c>
      <c r="M314" s="93">
        <f t="shared" si="14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9.3057524620919345</v>
      </c>
      <c r="H315">
        <v>2.1702304687499997E-3</v>
      </c>
      <c r="I315">
        <v>-0.73330633217989072</v>
      </c>
      <c r="J315">
        <v>-1.5914437450241072E-3</v>
      </c>
      <c r="K315" s="93">
        <f t="shared" si="12"/>
        <v>0</v>
      </c>
      <c r="L315" s="93">
        <f t="shared" si="13"/>
        <v>1</v>
      </c>
      <c r="M315" s="93">
        <f t="shared" si="14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16.285066808660886</v>
      </c>
      <c r="H316">
        <v>1.3706718749999999E-3</v>
      </c>
      <c r="I316">
        <v>-0.58109817512362005</v>
      </c>
      <c r="J316">
        <v>-7.9649492525577057E-4</v>
      </c>
      <c r="K316" s="93">
        <f t="shared" si="12"/>
        <v>0</v>
      </c>
      <c r="L316" s="93">
        <f t="shared" si="13"/>
        <v>1</v>
      </c>
      <c r="M316" s="93">
        <f t="shared" si="14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4.6528762310459726</v>
      </c>
      <c r="H317">
        <v>4.8694921875000008E-4</v>
      </c>
      <c r="I317">
        <v>-0.85633307315546936</v>
      </c>
      <c r="J317">
        <v>-4.1699072096284249E-4</v>
      </c>
      <c r="K317" s="93">
        <f t="shared" si="12"/>
        <v>0</v>
      </c>
      <c r="L317" s="93">
        <f t="shared" si="13"/>
        <v>1</v>
      </c>
      <c r="M317" s="93">
        <f t="shared" si="14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13.958628693137905</v>
      </c>
      <c r="H318">
        <v>1.0280039062500002E-3</v>
      </c>
      <c r="I318">
        <v>-0.62795446499997132</v>
      </c>
      <c r="J318">
        <v>-6.4553964296709947E-4</v>
      </c>
      <c r="K318" s="93">
        <f t="shared" si="12"/>
        <v>0</v>
      </c>
      <c r="L318" s="93">
        <f t="shared" si="13"/>
        <v>1</v>
      </c>
      <c r="M318" s="93">
        <f t="shared" si="14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20.937943039706855</v>
      </c>
      <c r="H319">
        <v>6.492656250000001E-4</v>
      </c>
      <c r="I319">
        <v>-0.49761358610864465</v>
      </c>
      <c r="J319">
        <v>-3.2308339599332054E-4</v>
      </c>
      <c r="K319" s="93">
        <f t="shared" si="12"/>
        <v>0</v>
      </c>
      <c r="L319" s="93">
        <f t="shared" si="13"/>
        <v>1</v>
      </c>
      <c r="M319" s="93">
        <f t="shared" si="14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2.3264381155229863</v>
      </c>
      <c r="H320">
        <v>1.0280039062499999E-3</v>
      </c>
      <c r="I320">
        <v>-0.92538266309428419</v>
      </c>
      <c r="J320">
        <v>-9.5129699243695176E-4</v>
      </c>
      <c r="K320" s="93">
        <f t="shared" si="12"/>
        <v>0</v>
      </c>
      <c r="L320" s="93">
        <f t="shared" si="13"/>
        <v>1</v>
      </c>
      <c r="M320" s="93">
        <f t="shared" si="14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11.632190577614921</v>
      </c>
      <c r="H321">
        <v>2.1702304687499997E-3</v>
      </c>
      <c r="I321">
        <v>-0.678588966536529</v>
      </c>
      <c r="J321">
        <v>-1.4726944509351493E-3</v>
      </c>
      <c r="K321" s="93">
        <f t="shared" si="12"/>
        <v>0</v>
      </c>
      <c r="L321" s="93">
        <f t="shared" si="13"/>
        <v>1</v>
      </c>
      <c r="M321" s="93">
        <f t="shared" si="14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18.611504924183873</v>
      </c>
      <c r="H322">
        <v>1.3706718749999999E-3</v>
      </c>
      <c r="I322">
        <v>-0.53773817681512415</v>
      </c>
      <c r="J322">
        <v>-7.3706259507426767E-4</v>
      </c>
      <c r="K322" s="93">
        <f t="shared" si="12"/>
        <v>0</v>
      </c>
      <c r="L322" s="93">
        <f t="shared" si="13"/>
        <v>1</v>
      </c>
      <c r="M322" s="93">
        <f t="shared" si="14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6.492656250000001E-4</v>
      </c>
      <c r="I323">
        <v>-1</v>
      </c>
      <c r="J323">
        <v>-6.492656250000001E-4</v>
      </c>
      <c r="K323" s="93">
        <f t="shared" ref="K323:K386" si="15">IF(A323=3,1,0)</f>
        <v>0</v>
      </c>
      <c r="L323" s="93">
        <f t="shared" ref="L323:L386" si="16">IF(A323=2,1,0)</f>
        <v>1</v>
      </c>
      <c r="M323" s="93">
        <f t="shared" ref="M323:M386" si="17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9.3057524620919345</v>
      </c>
      <c r="H324">
        <v>1.3706718749999999E-3</v>
      </c>
      <c r="I324">
        <v>-0.73330633217989072</v>
      </c>
      <c r="J324">
        <v>-1.0051223652783835E-3</v>
      </c>
      <c r="K324" s="93">
        <f t="shared" si="15"/>
        <v>0</v>
      </c>
      <c r="L324" s="93">
        <f t="shared" si="16"/>
        <v>1</v>
      </c>
      <c r="M324" s="93">
        <f t="shared" si="17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16.285066808660886</v>
      </c>
      <c r="H325">
        <v>8.6568750000000003E-4</v>
      </c>
      <c r="I325">
        <v>-0.58109817512362005</v>
      </c>
      <c r="J325">
        <v>-5.0304942647732881E-4</v>
      </c>
      <c r="K325" s="93">
        <f t="shared" si="15"/>
        <v>0</v>
      </c>
      <c r="L325" s="93">
        <f t="shared" si="16"/>
        <v>1</v>
      </c>
      <c r="M325" s="93">
        <f t="shared" si="17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5.616338130913987</v>
      </c>
      <c r="H326">
        <v>5.7825219726562508E-4</v>
      </c>
      <c r="I326">
        <v>-0.82926851746249697</v>
      </c>
      <c r="J326">
        <v>-4.7952634234589624E-4</v>
      </c>
      <c r="K326" s="93">
        <f t="shared" si="15"/>
        <v>0</v>
      </c>
      <c r="L326" s="93">
        <f t="shared" si="16"/>
        <v>1</v>
      </c>
      <c r="M326" s="93">
        <f t="shared" si="17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16.849014392741964</v>
      </c>
      <c r="H327">
        <v>1.220754638671875E-3</v>
      </c>
      <c r="I327">
        <v>-0.57027657696444012</v>
      </c>
      <c r="J327">
        <v>-6.961677766552588E-4</v>
      </c>
      <c r="K327" s="93">
        <f t="shared" si="15"/>
        <v>0</v>
      </c>
      <c r="L327" s="93">
        <f t="shared" si="16"/>
        <v>1</v>
      </c>
      <c r="M327" s="93">
        <f t="shared" si="17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25.273521589112942</v>
      </c>
      <c r="H328">
        <v>7.7100292968750007E-4</v>
      </c>
      <c r="I328">
        <v>-0.4306538173458283</v>
      </c>
      <c r="J328">
        <v>-3.3203535485473918E-4</v>
      </c>
      <c r="K328" s="93">
        <f t="shared" si="15"/>
        <v>0</v>
      </c>
      <c r="L328" s="93">
        <f t="shared" si="16"/>
        <v>1</v>
      </c>
      <c r="M328" s="93">
        <f t="shared" si="17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2.8081690654569935</v>
      </c>
      <c r="H329">
        <v>1.220754638671875E-3</v>
      </c>
      <c r="I329">
        <v>-0.91064181622770701</v>
      </c>
      <c r="J329">
        <v>-1.1116702213285546E-3</v>
      </c>
      <c r="K329" s="93">
        <f t="shared" si="15"/>
        <v>0</v>
      </c>
      <c r="L329" s="93">
        <f t="shared" si="16"/>
        <v>1</v>
      </c>
      <c r="M329" s="93">
        <f t="shared" si="17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14.040845327284968</v>
      </c>
      <c r="H330">
        <v>2.577148681640625E-3</v>
      </c>
      <c r="I330">
        <v>-0.62623587759980681</v>
      </c>
      <c r="J330">
        <v>-1.6139029663524019E-3</v>
      </c>
      <c r="K330" s="93">
        <f t="shared" si="15"/>
        <v>0</v>
      </c>
      <c r="L330" s="93">
        <f t="shared" si="16"/>
        <v>1</v>
      </c>
      <c r="M330" s="93">
        <f t="shared" si="17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22.465352523655948</v>
      </c>
      <c r="H331">
        <v>1.6276728515624999E-3</v>
      </c>
      <c r="I331">
        <v>-0.47291241152288888</v>
      </c>
      <c r="J331">
        <v>-7.6974669340275901E-4</v>
      </c>
      <c r="K331" s="93">
        <f t="shared" si="15"/>
        <v>0</v>
      </c>
      <c r="L331" s="93">
        <f t="shared" si="16"/>
        <v>1</v>
      </c>
      <c r="M331" s="93">
        <f t="shared" si="17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7.7100292968750007E-4</v>
      </c>
      <c r="I332">
        <v>-1</v>
      </c>
      <c r="J332">
        <v>-7.7100292968750007E-4</v>
      </c>
      <c r="K332" s="93">
        <f t="shared" si="15"/>
        <v>0</v>
      </c>
      <c r="L332" s="93">
        <f t="shared" si="16"/>
        <v>1</v>
      </c>
      <c r="M332" s="93">
        <f t="shared" si="17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11.232676261827974</v>
      </c>
      <c r="H333">
        <v>1.6276728515625001E-3</v>
      </c>
      <c r="I333">
        <v>-0.6876862740544476</v>
      </c>
      <c r="J333">
        <v>-1.1193282786705937E-3</v>
      </c>
      <c r="K333" s="93">
        <f t="shared" si="15"/>
        <v>0</v>
      </c>
      <c r="L333" s="93">
        <f t="shared" si="16"/>
        <v>1</v>
      </c>
      <c r="M333" s="93">
        <f t="shared" si="17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19.657183458198954</v>
      </c>
      <c r="H334">
        <v>1.0280039062499999E-3</v>
      </c>
      <c r="I334">
        <v>-0.51931769779901749</v>
      </c>
      <c r="J334">
        <v>-5.3386062192214696E-4</v>
      </c>
      <c r="K334" s="93">
        <f t="shared" si="15"/>
        <v>0</v>
      </c>
      <c r="L334" s="93">
        <f t="shared" si="16"/>
        <v>1</v>
      </c>
      <c r="M334" s="93">
        <f t="shared" si="17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5.616338130913987</v>
      </c>
      <c r="H335">
        <v>1.220754638671875E-3</v>
      </c>
      <c r="I335">
        <v>-0.82926851746249697</v>
      </c>
      <c r="J335">
        <v>-1.0123333893968919E-3</v>
      </c>
      <c r="K335" s="93">
        <f t="shared" si="15"/>
        <v>0</v>
      </c>
      <c r="L335" s="93">
        <f t="shared" si="16"/>
        <v>1</v>
      </c>
      <c r="M335" s="93">
        <f t="shared" si="17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16.849014392741964</v>
      </c>
      <c r="H336">
        <v>2.577148681640625E-3</v>
      </c>
      <c r="I336">
        <v>-0.57027657696444012</v>
      </c>
      <c r="J336">
        <v>-1.4696875284944354E-3</v>
      </c>
      <c r="K336" s="93">
        <f t="shared" si="15"/>
        <v>0</v>
      </c>
      <c r="L336" s="93">
        <f t="shared" si="16"/>
        <v>1</v>
      </c>
      <c r="M336" s="93">
        <f t="shared" si="17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25.273521589112942</v>
      </c>
      <c r="H337">
        <v>1.6276728515624999E-3</v>
      </c>
      <c r="I337">
        <v>-0.4306538173458283</v>
      </c>
      <c r="J337">
        <v>-7.0096352691556031E-4</v>
      </c>
      <c r="K337" s="93">
        <f t="shared" si="15"/>
        <v>0</v>
      </c>
      <c r="L337" s="93">
        <f t="shared" si="16"/>
        <v>1</v>
      </c>
      <c r="M337" s="93">
        <f t="shared" si="17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2.8081690654569935</v>
      </c>
      <c r="H338">
        <v>2.577148681640625E-3</v>
      </c>
      <c r="I338">
        <v>-0.91064181622770701</v>
      </c>
      <c r="J338">
        <v>-2.3468593561380593E-3</v>
      </c>
      <c r="K338" s="93">
        <f t="shared" si="15"/>
        <v>0</v>
      </c>
      <c r="L338" s="93">
        <f t="shared" si="16"/>
        <v>1</v>
      </c>
      <c r="M338" s="93">
        <f t="shared" si="17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14.040845327284968</v>
      </c>
      <c r="H339">
        <v>5.4406472167968746E-3</v>
      </c>
      <c r="I339">
        <v>-0.62623587759980681</v>
      </c>
      <c r="J339">
        <v>-3.4071284845217371E-3</v>
      </c>
      <c r="K339" s="93">
        <f t="shared" si="15"/>
        <v>0</v>
      </c>
      <c r="L339" s="93">
        <f t="shared" si="16"/>
        <v>1</v>
      </c>
      <c r="M339" s="93">
        <f t="shared" si="17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22.465352523655948</v>
      </c>
      <c r="H340">
        <v>3.4361982421874998E-3</v>
      </c>
      <c r="I340">
        <v>-0.47291241152288888</v>
      </c>
      <c r="J340">
        <v>-1.6250207971836024E-3</v>
      </c>
      <c r="K340" s="93">
        <f t="shared" si="15"/>
        <v>0</v>
      </c>
      <c r="L340" s="93">
        <f t="shared" si="16"/>
        <v>1</v>
      </c>
      <c r="M340" s="93">
        <f t="shared" si="17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1.6276728515624999E-3</v>
      </c>
      <c r="I341">
        <v>-1</v>
      </c>
      <c r="J341">
        <v>-1.6276728515624999E-3</v>
      </c>
      <c r="K341" s="93">
        <f t="shared" si="15"/>
        <v>0</v>
      </c>
      <c r="L341" s="93">
        <f t="shared" si="16"/>
        <v>1</v>
      </c>
      <c r="M341" s="93">
        <f t="shared" si="17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11.232676261827974</v>
      </c>
      <c r="H342">
        <v>3.4361982421874998E-3</v>
      </c>
      <c r="I342">
        <v>-0.6876862740544476</v>
      </c>
      <c r="J342">
        <v>-2.3630263660823639E-3</v>
      </c>
      <c r="K342" s="93">
        <f t="shared" si="15"/>
        <v>0</v>
      </c>
      <c r="L342" s="93">
        <f t="shared" si="16"/>
        <v>1</v>
      </c>
      <c r="M342" s="93">
        <f t="shared" si="17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19.657183458198954</v>
      </c>
      <c r="H343">
        <v>2.1702304687499997E-3</v>
      </c>
      <c r="I343">
        <v>-0.51931769779901749</v>
      </c>
      <c r="J343">
        <v>-1.1270390907245325E-3</v>
      </c>
      <c r="K343" s="93">
        <f t="shared" si="15"/>
        <v>0</v>
      </c>
      <c r="L343" s="93">
        <f t="shared" si="16"/>
        <v>1</v>
      </c>
      <c r="M343" s="93">
        <f t="shared" si="17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5.616338130913987</v>
      </c>
      <c r="H344">
        <v>7.7100292968750007E-4</v>
      </c>
      <c r="I344">
        <v>-0.82926851746249697</v>
      </c>
      <c r="J344">
        <v>-6.3936845646119498E-4</v>
      </c>
      <c r="K344" s="93">
        <f t="shared" si="15"/>
        <v>0</v>
      </c>
      <c r="L344" s="93">
        <f t="shared" si="16"/>
        <v>1</v>
      </c>
      <c r="M344" s="93">
        <f t="shared" si="17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16.849014392741964</v>
      </c>
      <c r="H345">
        <v>1.6276728515625001E-3</v>
      </c>
      <c r="I345">
        <v>-0.57027657696444012</v>
      </c>
      <c r="J345">
        <v>-9.2822370220701177E-4</v>
      </c>
      <c r="K345" s="93">
        <f t="shared" si="15"/>
        <v>0</v>
      </c>
      <c r="L345" s="93">
        <f t="shared" si="16"/>
        <v>1</v>
      </c>
      <c r="M345" s="93">
        <f t="shared" si="17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25.273521589112942</v>
      </c>
      <c r="H346">
        <v>1.0280039062499999E-3</v>
      </c>
      <c r="I346">
        <v>-0.4306538173458283</v>
      </c>
      <c r="J346">
        <v>-4.4271380647298547E-4</v>
      </c>
      <c r="K346" s="93">
        <f t="shared" si="15"/>
        <v>0</v>
      </c>
      <c r="L346" s="93">
        <f t="shared" si="16"/>
        <v>1</v>
      </c>
      <c r="M346" s="93">
        <f t="shared" si="17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2.8081690654569935</v>
      </c>
      <c r="H347">
        <v>1.6276728515624999E-3</v>
      </c>
      <c r="I347">
        <v>-0.91064181622770701</v>
      </c>
      <c r="J347">
        <v>-1.4822269617714059E-3</v>
      </c>
      <c r="K347" s="93">
        <f t="shared" si="15"/>
        <v>0</v>
      </c>
      <c r="L347" s="93">
        <f t="shared" si="16"/>
        <v>1</v>
      </c>
      <c r="M347" s="93">
        <f t="shared" si="17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14.040845327284968</v>
      </c>
      <c r="H348">
        <v>3.4361982421874998E-3</v>
      </c>
      <c r="I348">
        <v>-0.62623587759980681</v>
      </c>
      <c r="J348">
        <v>-2.1518706218032024E-3</v>
      </c>
      <c r="K348" s="93">
        <f t="shared" si="15"/>
        <v>0</v>
      </c>
      <c r="L348" s="93">
        <f t="shared" si="16"/>
        <v>1</v>
      </c>
      <c r="M348" s="93">
        <f t="shared" si="17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22.465352523655948</v>
      </c>
      <c r="H349">
        <v>2.1702304687499997E-3</v>
      </c>
      <c r="I349">
        <v>-0.47291241152288888</v>
      </c>
      <c r="J349">
        <v>-1.0263289245370118E-3</v>
      </c>
      <c r="K349" s="93">
        <f t="shared" si="15"/>
        <v>0</v>
      </c>
      <c r="L349" s="93">
        <f t="shared" si="16"/>
        <v>1</v>
      </c>
      <c r="M349" s="93">
        <f t="shared" si="17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1.0280039062499999E-3</v>
      </c>
      <c r="I350">
        <v>-1</v>
      </c>
      <c r="J350">
        <v>-1.0280039062499999E-3</v>
      </c>
      <c r="K350" s="93">
        <f t="shared" si="15"/>
        <v>0</v>
      </c>
      <c r="L350" s="93">
        <f t="shared" si="16"/>
        <v>1</v>
      </c>
      <c r="M350" s="93">
        <f t="shared" si="17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11.232676261827974</v>
      </c>
      <c r="H351">
        <v>2.1702304687499997E-3</v>
      </c>
      <c r="I351">
        <v>-0.6876862740544476</v>
      </c>
      <c r="J351">
        <v>-1.4924377048941245E-3</v>
      </c>
      <c r="K351" s="93">
        <f t="shared" si="15"/>
        <v>0</v>
      </c>
      <c r="L351" s="93">
        <f t="shared" si="16"/>
        <v>1</v>
      </c>
      <c r="M351" s="93">
        <f t="shared" si="17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19.657183458198954</v>
      </c>
      <c r="H352">
        <v>1.3706718749999999E-3</v>
      </c>
      <c r="I352">
        <v>-0.51931769779901749</v>
      </c>
      <c r="J352">
        <v>-7.1181416256286265E-4</v>
      </c>
      <c r="K352" s="93">
        <f t="shared" si="15"/>
        <v>0</v>
      </c>
      <c r="L352" s="93">
        <f t="shared" si="16"/>
        <v>1</v>
      </c>
      <c r="M352" s="93">
        <f t="shared" si="17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5.616338130913987</v>
      </c>
      <c r="H353">
        <v>1.2207546386718748E-3</v>
      </c>
      <c r="I353">
        <v>-0.82926851746249697</v>
      </c>
      <c r="J353">
        <v>-1.0123333893968917E-3</v>
      </c>
      <c r="K353" s="93">
        <f t="shared" si="15"/>
        <v>0</v>
      </c>
      <c r="L353" s="93">
        <f t="shared" si="16"/>
        <v>1</v>
      </c>
      <c r="M353" s="93">
        <f t="shared" si="17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16.849014392741964</v>
      </c>
      <c r="H354">
        <v>2.5771486816406246E-3</v>
      </c>
      <c r="I354">
        <v>-0.57027657696444012</v>
      </c>
      <c r="J354">
        <v>-1.469687528494435E-3</v>
      </c>
      <c r="K354" s="93">
        <f t="shared" si="15"/>
        <v>0</v>
      </c>
      <c r="L354" s="93">
        <f t="shared" si="16"/>
        <v>1</v>
      </c>
      <c r="M354" s="93">
        <f t="shared" si="17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25.273521589112942</v>
      </c>
      <c r="H355">
        <v>1.6276728515624997E-3</v>
      </c>
      <c r="I355">
        <v>-0.4306538173458283</v>
      </c>
      <c r="J355">
        <v>-7.0096352691556021E-4</v>
      </c>
      <c r="K355" s="93">
        <f t="shared" si="15"/>
        <v>0</v>
      </c>
      <c r="L355" s="93">
        <f t="shared" si="16"/>
        <v>1</v>
      </c>
      <c r="M355" s="93">
        <f t="shared" si="17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2.8081690654569935</v>
      </c>
      <c r="H356">
        <v>2.5771486816406246E-3</v>
      </c>
      <c r="I356">
        <v>-0.91064181622770701</v>
      </c>
      <c r="J356">
        <v>-2.3468593561380589E-3</v>
      </c>
      <c r="K356" s="93">
        <f t="shared" si="15"/>
        <v>0</v>
      </c>
      <c r="L356" s="93">
        <f t="shared" si="16"/>
        <v>1</v>
      </c>
      <c r="M356" s="93">
        <f t="shared" si="17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14.040845327284968</v>
      </c>
      <c r="H357">
        <v>5.4406472167968737E-3</v>
      </c>
      <c r="I357">
        <v>-0.62623587759980681</v>
      </c>
      <c r="J357">
        <v>-3.4071284845217367E-3</v>
      </c>
      <c r="K357" s="93">
        <f t="shared" si="15"/>
        <v>0</v>
      </c>
      <c r="L357" s="93">
        <f t="shared" si="16"/>
        <v>1</v>
      </c>
      <c r="M357" s="93">
        <f t="shared" si="17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22.465352523655948</v>
      </c>
      <c r="H358">
        <v>3.4361982421874993E-3</v>
      </c>
      <c r="I358">
        <v>-0.47291241152288888</v>
      </c>
      <c r="J358">
        <v>-1.6250207971836021E-3</v>
      </c>
      <c r="K358" s="93">
        <f t="shared" si="15"/>
        <v>0</v>
      </c>
      <c r="L358" s="93">
        <f t="shared" si="16"/>
        <v>1</v>
      </c>
      <c r="M358" s="93">
        <f t="shared" si="17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1.6276728515624997E-3</v>
      </c>
      <c r="I359">
        <v>-1</v>
      </c>
      <c r="J359">
        <v>-1.6276728515624997E-3</v>
      </c>
      <c r="K359" s="93">
        <f t="shared" si="15"/>
        <v>0</v>
      </c>
      <c r="L359" s="93">
        <f t="shared" si="16"/>
        <v>1</v>
      </c>
      <c r="M359" s="93">
        <f t="shared" si="17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11.232676261827974</v>
      </c>
      <c r="H360">
        <v>3.4361982421874993E-3</v>
      </c>
      <c r="I360">
        <v>-0.6876862740544476</v>
      </c>
      <c r="J360">
        <v>-2.3630263660823639E-3</v>
      </c>
      <c r="K360" s="93">
        <f t="shared" si="15"/>
        <v>0</v>
      </c>
      <c r="L360" s="93">
        <f t="shared" si="16"/>
        <v>1</v>
      </c>
      <c r="M360" s="93">
        <f t="shared" si="17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19.657183458198954</v>
      </c>
      <c r="H361">
        <v>2.1702304687499993E-3</v>
      </c>
      <c r="I361">
        <v>-0.51931769779901749</v>
      </c>
      <c r="J361">
        <v>-1.1270390907245323E-3</v>
      </c>
      <c r="K361" s="93">
        <f t="shared" si="15"/>
        <v>0</v>
      </c>
      <c r="L361" s="93">
        <f t="shared" si="16"/>
        <v>1</v>
      </c>
      <c r="M361" s="93">
        <f t="shared" si="17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5.616338130913987</v>
      </c>
      <c r="H362">
        <v>2.5771486816406246E-3</v>
      </c>
      <c r="I362">
        <v>-0.82926851746249697</v>
      </c>
      <c r="J362">
        <v>-2.1371482665045495E-3</v>
      </c>
      <c r="K362" s="93">
        <f t="shared" si="15"/>
        <v>0</v>
      </c>
      <c r="L362" s="93">
        <f t="shared" si="16"/>
        <v>1</v>
      </c>
      <c r="M362" s="93">
        <f t="shared" si="17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16.849014392741964</v>
      </c>
      <c r="H363">
        <v>5.4406472167968737E-3</v>
      </c>
      <c r="I363">
        <v>-0.57027657696444012</v>
      </c>
      <c r="J363">
        <v>-3.1026736712660291E-3</v>
      </c>
      <c r="K363" s="93">
        <f t="shared" si="15"/>
        <v>0</v>
      </c>
      <c r="L363" s="93">
        <f t="shared" si="16"/>
        <v>1</v>
      </c>
      <c r="M363" s="93">
        <f t="shared" si="17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25.273521589112942</v>
      </c>
      <c r="H364">
        <v>3.4361982421874993E-3</v>
      </c>
      <c r="I364">
        <v>-0.4306538173458283</v>
      </c>
      <c r="J364">
        <v>-1.4798118901550715E-3</v>
      </c>
      <c r="K364" s="93">
        <f t="shared" si="15"/>
        <v>0</v>
      </c>
      <c r="L364" s="93">
        <f t="shared" si="16"/>
        <v>1</v>
      </c>
      <c r="M364" s="93">
        <f t="shared" si="17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2.8081690654569935</v>
      </c>
      <c r="H365">
        <v>5.4406472167968746E-3</v>
      </c>
      <c r="I365">
        <v>-0.91064181622770701</v>
      </c>
      <c r="J365">
        <v>-4.9544808629581249E-3</v>
      </c>
      <c r="K365" s="93">
        <f t="shared" si="15"/>
        <v>0</v>
      </c>
      <c r="L365" s="93">
        <f t="shared" si="16"/>
        <v>1</v>
      </c>
      <c r="M365" s="93">
        <f t="shared" si="17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14.040845327284968</v>
      </c>
      <c r="H366">
        <v>1.1485810791015622E-2</v>
      </c>
      <c r="I366">
        <v>-0.62623587759980681</v>
      </c>
      <c r="J366">
        <v>-7.1928268006569993E-3</v>
      </c>
      <c r="K366" s="93">
        <f t="shared" si="15"/>
        <v>0</v>
      </c>
      <c r="L366" s="93">
        <f t="shared" si="16"/>
        <v>1</v>
      </c>
      <c r="M366" s="93">
        <f t="shared" si="17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22.465352523655948</v>
      </c>
      <c r="H367">
        <v>7.2541962890624988E-3</v>
      </c>
      <c r="I367">
        <v>-0.47291241152288888</v>
      </c>
      <c r="J367">
        <v>-3.4305994607209379E-3</v>
      </c>
      <c r="K367" s="93">
        <f t="shared" si="15"/>
        <v>0</v>
      </c>
      <c r="L367" s="93">
        <f t="shared" si="16"/>
        <v>1</v>
      </c>
      <c r="M367" s="93">
        <f t="shared" si="17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3.4361982421874993E-3</v>
      </c>
      <c r="I368">
        <v>-1</v>
      </c>
      <c r="J368">
        <v>-3.4361982421874993E-3</v>
      </c>
      <c r="K368" s="93">
        <f t="shared" si="15"/>
        <v>0</v>
      </c>
      <c r="L368" s="93">
        <f t="shared" si="16"/>
        <v>1</v>
      </c>
      <c r="M368" s="93">
        <f t="shared" si="17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11.232676261827974</v>
      </c>
      <c r="H369">
        <v>7.254196289062498E-3</v>
      </c>
      <c r="I369">
        <v>-0.6876862740544476</v>
      </c>
      <c r="J369">
        <v>-4.9886112172849899E-3</v>
      </c>
      <c r="K369" s="93">
        <f t="shared" si="15"/>
        <v>0</v>
      </c>
      <c r="L369" s="93">
        <f t="shared" si="16"/>
        <v>1</v>
      </c>
      <c r="M369" s="93">
        <f t="shared" si="17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19.657183458198954</v>
      </c>
      <c r="H370">
        <v>4.5815976562499985E-3</v>
      </c>
      <c r="I370">
        <v>-0.51931769779901749</v>
      </c>
      <c r="J370">
        <v>-2.3793047470851234E-3</v>
      </c>
      <c r="K370" s="93">
        <f t="shared" si="15"/>
        <v>0</v>
      </c>
      <c r="L370" s="93">
        <f t="shared" si="16"/>
        <v>1</v>
      </c>
      <c r="M370" s="93">
        <f t="shared" si="17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5.616338130913987</v>
      </c>
      <c r="H371">
        <v>1.6276728515624997E-3</v>
      </c>
      <c r="I371">
        <v>-0.82926851746249697</v>
      </c>
      <c r="J371">
        <v>-1.3497778525291891E-3</v>
      </c>
      <c r="K371" s="93">
        <f t="shared" si="15"/>
        <v>0</v>
      </c>
      <c r="L371" s="93">
        <f t="shared" si="16"/>
        <v>1</v>
      </c>
      <c r="M371" s="93">
        <f t="shared" si="17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16.849014392741964</v>
      </c>
      <c r="H372">
        <v>3.4361982421874993E-3</v>
      </c>
      <c r="I372">
        <v>-0.57027657696444012</v>
      </c>
      <c r="J372">
        <v>-1.9595833713259131E-3</v>
      </c>
      <c r="K372" s="93">
        <f t="shared" si="15"/>
        <v>0</v>
      </c>
      <c r="L372" s="93">
        <f t="shared" si="16"/>
        <v>1</v>
      </c>
      <c r="M372" s="93">
        <f t="shared" si="17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25.273521589112942</v>
      </c>
      <c r="H373">
        <v>2.1702304687499993E-3</v>
      </c>
      <c r="I373">
        <v>-0.4306538173458283</v>
      </c>
      <c r="J373">
        <v>-9.346180358874135E-4</v>
      </c>
      <c r="K373" s="93">
        <f t="shared" si="15"/>
        <v>0</v>
      </c>
      <c r="L373" s="93">
        <f t="shared" si="16"/>
        <v>1</v>
      </c>
      <c r="M373" s="93">
        <f t="shared" si="17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2.8081690654569935</v>
      </c>
      <c r="H374">
        <v>3.4361982421874993E-3</v>
      </c>
      <c r="I374">
        <v>-0.91064181622770701</v>
      </c>
      <c r="J374">
        <v>-3.1291458081840785E-3</v>
      </c>
      <c r="K374" s="93">
        <f t="shared" si="15"/>
        <v>0</v>
      </c>
      <c r="L374" s="93">
        <f t="shared" si="16"/>
        <v>1</v>
      </c>
      <c r="M374" s="93">
        <f t="shared" si="17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14.040845327284968</v>
      </c>
      <c r="H375">
        <v>7.254196289062498E-3</v>
      </c>
      <c r="I375">
        <v>-0.62623587759980681</v>
      </c>
      <c r="J375">
        <v>-4.5428379793623153E-3</v>
      </c>
      <c r="K375" s="93">
        <f t="shared" si="15"/>
        <v>0</v>
      </c>
      <c r="L375" s="93">
        <f t="shared" si="16"/>
        <v>1</v>
      </c>
      <c r="M375" s="93">
        <f t="shared" si="17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22.465352523655948</v>
      </c>
      <c r="H376">
        <v>4.5815976562499985E-3</v>
      </c>
      <c r="I376">
        <v>-0.47291241152288888</v>
      </c>
      <c r="J376">
        <v>-2.1666943962448024E-3</v>
      </c>
      <c r="K376" s="93">
        <f t="shared" si="15"/>
        <v>0</v>
      </c>
      <c r="L376" s="93">
        <f t="shared" si="16"/>
        <v>1</v>
      </c>
      <c r="M376" s="93">
        <f t="shared" si="17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2.1702304687499997E-3</v>
      </c>
      <c r="I377">
        <v>-1</v>
      </c>
      <c r="J377">
        <v>-2.1702304687499997E-3</v>
      </c>
      <c r="K377" s="93">
        <f t="shared" si="15"/>
        <v>0</v>
      </c>
      <c r="L377" s="93">
        <f t="shared" si="16"/>
        <v>1</v>
      </c>
      <c r="M377" s="93">
        <f t="shared" si="17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11.232676261827974</v>
      </c>
      <c r="H378">
        <v>4.5815976562499994E-3</v>
      </c>
      <c r="I378">
        <v>-0.6876862740544476</v>
      </c>
      <c r="J378">
        <v>-3.1507018214431519E-3</v>
      </c>
      <c r="K378" s="93">
        <f t="shared" si="15"/>
        <v>0</v>
      </c>
      <c r="L378" s="93">
        <f t="shared" si="16"/>
        <v>1</v>
      </c>
      <c r="M378" s="93">
        <f t="shared" si="17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19.657183458198954</v>
      </c>
      <c r="H379">
        <v>2.8936406249999995E-3</v>
      </c>
      <c r="I379">
        <v>-0.51931769779901749</v>
      </c>
      <c r="J379">
        <v>-1.5027187876327098E-3</v>
      </c>
      <c r="K379" s="93">
        <f t="shared" si="15"/>
        <v>0</v>
      </c>
      <c r="L379" s="93">
        <f t="shared" si="16"/>
        <v>1</v>
      </c>
      <c r="M379" s="93">
        <f t="shared" si="17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5.616338130913987</v>
      </c>
      <c r="H380">
        <v>7.7100292968750007E-4</v>
      </c>
      <c r="I380">
        <v>-0.82926851746249697</v>
      </c>
      <c r="J380">
        <v>-6.3936845646119498E-4</v>
      </c>
      <c r="K380" s="93">
        <f t="shared" si="15"/>
        <v>0</v>
      </c>
      <c r="L380" s="93">
        <f t="shared" si="16"/>
        <v>1</v>
      </c>
      <c r="M380" s="93">
        <f t="shared" si="17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16.849014392741964</v>
      </c>
      <c r="H381">
        <v>1.6276728515625001E-3</v>
      </c>
      <c r="I381">
        <v>-0.57027657696444012</v>
      </c>
      <c r="J381">
        <v>-9.2822370220701177E-4</v>
      </c>
      <c r="K381" s="93">
        <f t="shared" si="15"/>
        <v>0</v>
      </c>
      <c r="L381" s="93">
        <f t="shared" si="16"/>
        <v>1</v>
      </c>
      <c r="M381" s="93">
        <f t="shared" si="17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25.273521589112942</v>
      </c>
      <c r="H382">
        <v>1.0280039062499999E-3</v>
      </c>
      <c r="I382">
        <v>-0.4306538173458283</v>
      </c>
      <c r="J382">
        <v>-4.4271380647298547E-4</v>
      </c>
      <c r="K382" s="93">
        <f t="shared" si="15"/>
        <v>0</v>
      </c>
      <c r="L382" s="93">
        <f t="shared" si="16"/>
        <v>1</v>
      </c>
      <c r="M382" s="93">
        <f t="shared" si="17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2.8081690654569935</v>
      </c>
      <c r="H383">
        <v>1.6276728515624999E-3</v>
      </c>
      <c r="I383">
        <v>-0.91064181622770701</v>
      </c>
      <c r="J383">
        <v>-1.4822269617714059E-3</v>
      </c>
      <c r="K383" s="93">
        <f t="shared" si="15"/>
        <v>0</v>
      </c>
      <c r="L383" s="93">
        <f t="shared" si="16"/>
        <v>1</v>
      </c>
      <c r="M383" s="93">
        <f t="shared" si="17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14.040845327284968</v>
      </c>
      <c r="H384">
        <v>3.4361982421874998E-3</v>
      </c>
      <c r="I384">
        <v>-0.62623587759980681</v>
      </c>
      <c r="J384">
        <v>-2.1518706218032024E-3</v>
      </c>
      <c r="K384" s="93">
        <f t="shared" si="15"/>
        <v>0</v>
      </c>
      <c r="L384" s="93">
        <f t="shared" si="16"/>
        <v>1</v>
      </c>
      <c r="M384" s="93">
        <f t="shared" si="17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22.465352523655948</v>
      </c>
      <c r="H385">
        <v>2.1702304687499997E-3</v>
      </c>
      <c r="I385">
        <v>-0.47291241152288888</v>
      </c>
      <c r="J385">
        <v>-1.0263289245370118E-3</v>
      </c>
      <c r="K385" s="93">
        <f t="shared" si="15"/>
        <v>0</v>
      </c>
      <c r="L385" s="93">
        <f t="shared" si="16"/>
        <v>1</v>
      </c>
      <c r="M385" s="93">
        <f t="shared" si="17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1.0280039062499999E-3</v>
      </c>
      <c r="I386">
        <v>-1</v>
      </c>
      <c r="J386">
        <v>-1.0280039062499999E-3</v>
      </c>
      <c r="K386" s="93">
        <f t="shared" si="15"/>
        <v>0</v>
      </c>
      <c r="L386" s="93">
        <f t="shared" si="16"/>
        <v>1</v>
      </c>
      <c r="M386" s="93">
        <f t="shared" si="17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11.232676261827974</v>
      </c>
      <c r="H387">
        <v>2.1702304687499997E-3</v>
      </c>
      <c r="I387">
        <v>-0.6876862740544476</v>
      </c>
      <c r="J387">
        <v>-1.4924377048941245E-3</v>
      </c>
      <c r="K387" s="93">
        <f t="shared" ref="K387:K450" si="18">IF(A387=3,1,0)</f>
        <v>0</v>
      </c>
      <c r="L387" s="93">
        <f t="shared" ref="L387:L450" si="19">IF(A387=2,1,0)</f>
        <v>1</v>
      </c>
      <c r="M387" s="93">
        <f t="shared" ref="M387:M450" si="20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19.657183458198954</v>
      </c>
      <c r="H388">
        <v>1.3706718749999999E-3</v>
      </c>
      <c r="I388">
        <v>-0.51931769779901749</v>
      </c>
      <c r="J388">
        <v>-7.1181416256286265E-4</v>
      </c>
      <c r="K388" s="93">
        <f t="shared" si="18"/>
        <v>0</v>
      </c>
      <c r="L388" s="93">
        <f t="shared" si="19"/>
        <v>1</v>
      </c>
      <c r="M388" s="93">
        <f t="shared" si="20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5.616338130913987</v>
      </c>
      <c r="H389">
        <v>1.6276728515624997E-3</v>
      </c>
      <c r="I389">
        <v>-0.82926851746249697</v>
      </c>
      <c r="J389">
        <v>-1.3497778525291891E-3</v>
      </c>
      <c r="K389" s="93">
        <f t="shared" si="18"/>
        <v>0</v>
      </c>
      <c r="L389" s="93">
        <f t="shared" si="19"/>
        <v>1</v>
      </c>
      <c r="M389" s="93">
        <f t="shared" si="20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16.849014392741964</v>
      </c>
      <c r="H390">
        <v>3.4361982421874993E-3</v>
      </c>
      <c r="I390">
        <v>-0.57027657696444012</v>
      </c>
      <c r="J390">
        <v>-1.9595833713259131E-3</v>
      </c>
      <c r="K390" s="93">
        <f t="shared" si="18"/>
        <v>0</v>
      </c>
      <c r="L390" s="93">
        <f t="shared" si="19"/>
        <v>1</v>
      </c>
      <c r="M390" s="93">
        <f t="shared" si="20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25.273521589112942</v>
      </c>
      <c r="H391">
        <v>2.1702304687499993E-3</v>
      </c>
      <c r="I391">
        <v>-0.4306538173458283</v>
      </c>
      <c r="J391">
        <v>-9.346180358874135E-4</v>
      </c>
      <c r="K391" s="93">
        <f t="shared" si="18"/>
        <v>0</v>
      </c>
      <c r="L391" s="93">
        <f t="shared" si="19"/>
        <v>1</v>
      </c>
      <c r="M391" s="93">
        <f t="shared" si="20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2.8081690654569935</v>
      </c>
      <c r="H392">
        <v>3.4361982421874993E-3</v>
      </c>
      <c r="I392">
        <v>-0.91064181622770701</v>
      </c>
      <c r="J392">
        <v>-3.1291458081840785E-3</v>
      </c>
      <c r="K392" s="93">
        <f t="shared" si="18"/>
        <v>0</v>
      </c>
      <c r="L392" s="93">
        <f t="shared" si="19"/>
        <v>1</v>
      </c>
      <c r="M392" s="93">
        <f t="shared" si="20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14.040845327284968</v>
      </c>
      <c r="H393">
        <v>7.254196289062498E-3</v>
      </c>
      <c r="I393">
        <v>-0.62623587759980681</v>
      </c>
      <c r="J393">
        <v>-4.5428379793623153E-3</v>
      </c>
      <c r="K393" s="93">
        <f t="shared" si="18"/>
        <v>0</v>
      </c>
      <c r="L393" s="93">
        <f t="shared" si="19"/>
        <v>1</v>
      </c>
      <c r="M393" s="93">
        <f t="shared" si="20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22.465352523655948</v>
      </c>
      <c r="H394">
        <v>4.5815976562499985E-3</v>
      </c>
      <c r="I394">
        <v>-0.47291241152288888</v>
      </c>
      <c r="J394">
        <v>-2.1666943962448024E-3</v>
      </c>
      <c r="K394" s="93">
        <f t="shared" si="18"/>
        <v>0</v>
      </c>
      <c r="L394" s="93">
        <f t="shared" si="19"/>
        <v>1</v>
      </c>
      <c r="M394" s="93">
        <f t="shared" si="20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2.1702304687499997E-3</v>
      </c>
      <c r="I395">
        <v>-1</v>
      </c>
      <c r="J395">
        <v>-2.1702304687499997E-3</v>
      </c>
      <c r="K395" s="93">
        <f t="shared" si="18"/>
        <v>0</v>
      </c>
      <c r="L395" s="93">
        <f t="shared" si="19"/>
        <v>1</v>
      </c>
      <c r="M395" s="93">
        <f t="shared" si="20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11.232676261827974</v>
      </c>
      <c r="H396">
        <v>4.5815976562499994E-3</v>
      </c>
      <c r="I396">
        <v>-0.6876862740544476</v>
      </c>
      <c r="J396">
        <v>-3.1507018214431519E-3</v>
      </c>
      <c r="K396" s="93">
        <f t="shared" si="18"/>
        <v>0</v>
      </c>
      <c r="L396" s="93">
        <f t="shared" si="19"/>
        <v>1</v>
      </c>
      <c r="M396" s="93">
        <f t="shared" si="20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19.657183458198954</v>
      </c>
      <c r="H397">
        <v>2.8936406249999995E-3</v>
      </c>
      <c r="I397">
        <v>-0.51931769779901749</v>
      </c>
      <c r="J397">
        <v>-1.5027187876327098E-3</v>
      </c>
      <c r="K397" s="93">
        <f t="shared" si="18"/>
        <v>0</v>
      </c>
      <c r="L397" s="93">
        <f t="shared" si="19"/>
        <v>1</v>
      </c>
      <c r="M397" s="93">
        <f t="shared" si="20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5.616338130913987</v>
      </c>
      <c r="H398">
        <v>1.0280039062499999E-3</v>
      </c>
      <c r="I398">
        <v>-0.82926851746249697</v>
      </c>
      <c r="J398">
        <v>-8.5249127528159313E-4</v>
      </c>
      <c r="K398" s="93">
        <f t="shared" si="18"/>
        <v>0</v>
      </c>
      <c r="L398" s="93">
        <f t="shared" si="19"/>
        <v>1</v>
      </c>
      <c r="M398" s="93">
        <f t="shared" si="20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16.849014392741964</v>
      </c>
      <c r="H399">
        <v>2.1702304687499997E-3</v>
      </c>
      <c r="I399">
        <v>-0.57027657696444012</v>
      </c>
      <c r="J399">
        <v>-1.2376316029426822E-3</v>
      </c>
      <c r="K399" s="93">
        <f t="shared" si="18"/>
        <v>0</v>
      </c>
      <c r="L399" s="93">
        <f t="shared" si="19"/>
        <v>1</v>
      </c>
      <c r="M399" s="93">
        <f t="shared" si="20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25.273521589112942</v>
      </c>
      <c r="H400">
        <v>1.3706718749999999E-3</v>
      </c>
      <c r="I400">
        <v>-0.4306538173458283</v>
      </c>
      <c r="J400">
        <v>-5.9028507529731403E-4</v>
      </c>
      <c r="K400" s="93">
        <f t="shared" si="18"/>
        <v>0</v>
      </c>
      <c r="L400" s="93">
        <f t="shared" si="19"/>
        <v>1</v>
      </c>
      <c r="M400" s="93">
        <f t="shared" si="20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2.8081690654569935</v>
      </c>
      <c r="H401">
        <v>2.1702304687499997E-3</v>
      </c>
      <c r="I401">
        <v>-0.91064181622770701</v>
      </c>
      <c r="J401">
        <v>-1.9763026156952076E-3</v>
      </c>
      <c r="K401" s="93">
        <f t="shared" si="18"/>
        <v>0</v>
      </c>
      <c r="L401" s="93">
        <f t="shared" si="19"/>
        <v>1</v>
      </c>
      <c r="M401" s="93">
        <f t="shared" si="20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14.040845327284968</v>
      </c>
      <c r="H402">
        <v>4.5815976562499994E-3</v>
      </c>
      <c r="I402">
        <v>-0.62623587759980681</v>
      </c>
      <c r="J402">
        <v>-2.8691608290709364E-3</v>
      </c>
      <c r="K402" s="93">
        <f t="shared" si="18"/>
        <v>0</v>
      </c>
      <c r="L402" s="93">
        <f t="shared" si="19"/>
        <v>1</v>
      </c>
      <c r="M402" s="93">
        <f t="shared" si="20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22.465352523655948</v>
      </c>
      <c r="H403">
        <v>2.8936406249999995E-3</v>
      </c>
      <c r="I403">
        <v>-0.47291241152288888</v>
      </c>
      <c r="J403">
        <v>-1.3684385660493491E-3</v>
      </c>
      <c r="K403" s="93">
        <f t="shared" si="18"/>
        <v>0</v>
      </c>
      <c r="L403" s="93">
        <f t="shared" si="19"/>
        <v>1</v>
      </c>
      <c r="M403" s="93">
        <f t="shared" si="20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1.3706718749999999E-3</v>
      </c>
      <c r="I404">
        <v>-1</v>
      </c>
      <c r="J404">
        <v>-1.3706718749999999E-3</v>
      </c>
      <c r="K404" s="93">
        <f t="shared" si="18"/>
        <v>0</v>
      </c>
      <c r="L404" s="93">
        <f t="shared" si="19"/>
        <v>1</v>
      </c>
      <c r="M404" s="93">
        <f t="shared" si="20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11.232676261827974</v>
      </c>
      <c r="H405">
        <v>2.8936406249999995E-3</v>
      </c>
      <c r="I405">
        <v>-0.6876862740544476</v>
      </c>
      <c r="J405">
        <v>-1.9899169398588327E-3</v>
      </c>
      <c r="K405" s="93">
        <f t="shared" si="18"/>
        <v>0</v>
      </c>
      <c r="L405" s="93">
        <f t="shared" si="19"/>
        <v>1</v>
      </c>
      <c r="M405" s="93">
        <f t="shared" si="20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19.657183458198954</v>
      </c>
      <c r="H406">
        <v>1.8275624999999998E-3</v>
      </c>
      <c r="I406">
        <v>-0.51931769779901749</v>
      </c>
      <c r="J406">
        <v>-9.4908555008381672E-4</v>
      </c>
      <c r="K406" s="93">
        <f t="shared" si="18"/>
        <v>0</v>
      </c>
      <c r="L406" s="93">
        <f t="shared" si="19"/>
        <v>1</v>
      </c>
      <c r="M406" s="93">
        <f t="shared" si="20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5.616338130913987</v>
      </c>
      <c r="H407">
        <v>3.652119140625E-4</v>
      </c>
      <c r="I407">
        <v>-0.82926851746249697</v>
      </c>
      <c r="J407">
        <v>-3.0285874253425021E-4</v>
      </c>
      <c r="K407" s="93">
        <f t="shared" si="18"/>
        <v>0</v>
      </c>
      <c r="L407" s="93">
        <f t="shared" si="19"/>
        <v>1</v>
      </c>
      <c r="M407" s="93">
        <f t="shared" si="20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16.849014392741964</v>
      </c>
      <c r="H408">
        <v>7.7100292968749996E-4</v>
      </c>
      <c r="I408">
        <v>-0.57027657696444012</v>
      </c>
      <c r="J408">
        <v>-4.3968491157174238E-4</v>
      </c>
      <c r="K408" s="93">
        <f t="shared" si="18"/>
        <v>0</v>
      </c>
      <c r="L408" s="93">
        <f t="shared" si="19"/>
        <v>1</v>
      </c>
      <c r="M408" s="93">
        <f t="shared" si="20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25.273521589112942</v>
      </c>
      <c r="H409">
        <v>4.8694921874999997E-4</v>
      </c>
      <c r="I409">
        <v>-0.4306538173458283</v>
      </c>
      <c r="J409">
        <v>-2.0970653990825627E-4</v>
      </c>
      <c r="K409" s="93">
        <f t="shared" si="18"/>
        <v>0</v>
      </c>
      <c r="L409" s="93">
        <f t="shared" si="19"/>
        <v>1</v>
      </c>
      <c r="M409" s="93">
        <f t="shared" si="20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2.8081690654569935</v>
      </c>
      <c r="H410">
        <v>7.7100292968749996E-4</v>
      </c>
      <c r="I410">
        <v>-0.91064181622770701</v>
      </c>
      <c r="J410">
        <v>-7.0210750820750808E-4</v>
      </c>
      <c r="K410" s="93">
        <f t="shared" si="18"/>
        <v>0</v>
      </c>
      <c r="L410" s="93">
        <f t="shared" si="19"/>
        <v>1</v>
      </c>
      <c r="M410" s="93">
        <f t="shared" si="20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14.040845327284968</v>
      </c>
      <c r="H411">
        <v>1.6276728515624999E-3</v>
      </c>
      <c r="I411">
        <v>-0.62623587759980681</v>
      </c>
      <c r="J411">
        <v>-1.0193071366436223E-3</v>
      </c>
      <c r="K411" s="93">
        <f t="shared" si="18"/>
        <v>0</v>
      </c>
      <c r="L411" s="93">
        <f t="shared" si="19"/>
        <v>1</v>
      </c>
      <c r="M411" s="93">
        <f t="shared" si="20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22.465352523655948</v>
      </c>
      <c r="H412">
        <v>1.0280039062499999E-3</v>
      </c>
      <c r="I412">
        <v>-0.47291241152288888</v>
      </c>
      <c r="J412">
        <v>-4.8615580635963726E-4</v>
      </c>
      <c r="K412" s="93">
        <f t="shared" si="18"/>
        <v>0</v>
      </c>
      <c r="L412" s="93">
        <f t="shared" si="19"/>
        <v>1</v>
      </c>
      <c r="M412" s="93">
        <f t="shared" si="20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4.8694921874999997E-4</v>
      </c>
      <c r="I413">
        <v>-1</v>
      </c>
      <c r="J413">
        <v>-4.8694921874999997E-4</v>
      </c>
      <c r="K413" s="93">
        <f t="shared" si="18"/>
        <v>0</v>
      </c>
      <c r="L413" s="93">
        <f t="shared" si="19"/>
        <v>1</v>
      </c>
      <c r="M413" s="93">
        <f t="shared" si="20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11.232676261827974</v>
      </c>
      <c r="H414">
        <v>1.0280039062499999E-3</v>
      </c>
      <c r="I414">
        <v>-0.6876862740544476</v>
      </c>
      <c r="J414">
        <v>-7.069441760024801E-4</v>
      </c>
      <c r="K414" s="93">
        <f t="shared" si="18"/>
        <v>0</v>
      </c>
      <c r="L414" s="93">
        <f t="shared" si="19"/>
        <v>1</v>
      </c>
      <c r="M414" s="93">
        <f t="shared" si="20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19.657183458198954</v>
      </c>
      <c r="H415">
        <v>6.4926562499999999E-4</v>
      </c>
      <c r="I415">
        <v>-0.51931769779901749</v>
      </c>
      <c r="J415">
        <v>-3.3717512963504022E-4</v>
      </c>
      <c r="K415" s="93">
        <f t="shared" si="18"/>
        <v>0</v>
      </c>
      <c r="L415" s="93">
        <f t="shared" si="19"/>
        <v>1</v>
      </c>
      <c r="M415" s="93">
        <f t="shared" si="20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5.616338130913987</v>
      </c>
      <c r="H416">
        <v>7.7100292968750007E-4</v>
      </c>
      <c r="I416">
        <v>-0.82926851746249697</v>
      </c>
      <c r="J416">
        <v>-6.3936845646119498E-4</v>
      </c>
      <c r="K416" s="93">
        <f t="shared" si="18"/>
        <v>0</v>
      </c>
      <c r="L416" s="93">
        <f t="shared" si="19"/>
        <v>1</v>
      </c>
      <c r="M416" s="93">
        <f t="shared" si="20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16.849014392741964</v>
      </c>
      <c r="H417">
        <v>1.6276728515625001E-3</v>
      </c>
      <c r="I417">
        <v>-0.57027657696444012</v>
      </c>
      <c r="J417">
        <v>-9.2822370220701177E-4</v>
      </c>
      <c r="K417" s="93">
        <f t="shared" si="18"/>
        <v>0</v>
      </c>
      <c r="L417" s="93">
        <f t="shared" si="19"/>
        <v>1</v>
      </c>
      <c r="M417" s="93">
        <f t="shared" si="20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25.273521589112942</v>
      </c>
      <c r="H418">
        <v>1.0280039062499999E-3</v>
      </c>
      <c r="I418">
        <v>-0.4306538173458283</v>
      </c>
      <c r="J418">
        <v>-4.4271380647298547E-4</v>
      </c>
      <c r="K418" s="93">
        <f t="shared" si="18"/>
        <v>0</v>
      </c>
      <c r="L418" s="93">
        <f t="shared" si="19"/>
        <v>1</v>
      </c>
      <c r="M418" s="93">
        <f t="shared" si="20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2.8081690654569935</v>
      </c>
      <c r="H419">
        <v>1.6276728515624999E-3</v>
      </c>
      <c r="I419">
        <v>-0.91064181622770701</v>
      </c>
      <c r="J419">
        <v>-1.4822269617714059E-3</v>
      </c>
      <c r="K419" s="93">
        <f t="shared" si="18"/>
        <v>0</v>
      </c>
      <c r="L419" s="93">
        <f t="shared" si="19"/>
        <v>1</v>
      </c>
      <c r="M419" s="93">
        <f t="shared" si="20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14.040845327284968</v>
      </c>
      <c r="H420">
        <v>3.4361982421874998E-3</v>
      </c>
      <c r="I420">
        <v>-0.62623587759980681</v>
      </c>
      <c r="J420">
        <v>-2.1518706218032024E-3</v>
      </c>
      <c r="K420" s="93">
        <f t="shared" si="18"/>
        <v>0</v>
      </c>
      <c r="L420" s="93">
        <f t="shared" si="19"/>
        <v>1</v>
      </c>
      <c r="M420" s="93">
        <f t="shared" si="20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22.465352523655948</v>
      </c>
      <c r="H421">
        <v>2.1702304687499997E-3</v>
      </c>
      <c r="I421">
        <v>-0.47291241152288888</v>
      </c>
      <c r="J421">
        <v>-1.0263289245370118E-3</v>
      </c>
      <c r="K421" s="93">
        <f t="shared" si="18"/>
        <v>0</v>
      </c>
      <c r="L421" s="93">
        <f t="shared" si="19"/>
        <v>1</v>
      </c>
      <c r="M421" s="93">
        <f t="shared" si="20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1.0280039062499999E-3</v>
      </c>
      <c r="I422">
        <v>-1</v>
      </c>
      <c r="J422">
        <v>-1.0280039062499999E-3</v>
      </c>
      <c r="K422" s="93">
        <f t="shared" si="18"/>
        <v>0</v>
      </c>
      <c r="L422" s="93">
        <f t="shared" si="19"/>
        <v>1</v>
      </c>
      <c r="M422" s="93">
        <f t="shared" si="20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11.232676261827974</v>
      </c>
      <c r="H423">
        <v>2.1702304687499997E-3</v>
      </c>
      <c r="I423">
        <v>-0.6876862740544476</v>
      </c>
      <c r="J423">
        <v>-1.4924377048941245E-3</v>
      </c>
      <c r="K423" s="93">
        <f t="shared" si="18"/>
        <v>0</v>
      </c>
      <c r="L423" s="93">
        <f t="shared" si="19"/>
        <v>1</v>
      </c>
      <c r="M423" s="93">
        <f t="shared" si="20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19.657183458198954</v>
      </c>
      <c r="H424">
        <v>1.3706718749999999E-3</v>
      </c>
      <c r="I424">
        <v>-0.51931769779901749</v>
      </c>
      <c r="J424">
        <v>-7.1181416256286265E-4</v>
      </c>
      <c r="K424" s="93">
        <f t="shared" si="18"/>
        <v>0</v>
      </c>
      <c r="L424" s="93">
        <f t="shared" si="19"/>
        <v>1</v>
      </c>
      <c r="M424" s="93">
        <f t="shared" si="20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5.616338130913987</v>
      </c>
      <c r="H425">
        <v>4.8694921875000008E-4</v>
      </c>
      <c r="I425">
        <v>-0.82926851746249697</v>
      </c>
      <c r="J425">
        <v>-4.0381165671233367E-4</v>
      </c>
      <c r="K425" s="93">
        <f t="shared" si="18"/>
        <v>0</v>
      </c>
      <c r="L425" s="93">
        <f t="shared" si="19"/>
        <v>1</v>
      </c>
      <c r="M425" s="93">
        <f t="shared" si="20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16.849014392741964</v>
      </c>
      <c r="H426">
        <v>1.0280039062500002E-3</v>
      </c>
      <c r="I426">
        <v>-0.57027657696444012</v>
      </c>
      <c r="J426">
        <v>-5.8624654876232335E-4</v>
      </c>
      <c r="K426" s="93">
        <f t="shared" si="18"/>
        <v>0</v>
      </c>
      <c r="L426" s="93">
        <f t="shared" si="19"/>
        <v>1</v>
      </c>
      <c r="M426" s="93">
        <f t="shared" si="20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25.273521589112942</v>
      </c>
      <c r="H427">
        <v>6.492656250000001E-4</v>
      </c>
      <c r="I427">
        <v>-0.4306538173458283</v>
      </c>
      <c r="J427">
        <v>-2.7960871987767509E-4</v>
      </c>
      <c r="K427" s="93">
        <f t="shared" si="18"/>
        <v>0</v>
      </c>
      <c r="L427" s="93">
        <f t="shared" si="19"/>
        <v>1</v>
      </c>
      <c r="M427" s="93">
        <f t="shared" si="20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2.8081690654569935</v>
      </c>
      <c r="H428">
        <v>1.0280039062499999E-3</v>
      </c>
      <c r="I428">
        <v>-0.91064181622770701</v>
      </c>
      <c r="J428">
        <v>-9.3614334427667744E-4</v>
      </c>
      <c r="K428" s="93">
        <f t="shared" si="18"/>
        <v>0</v>
      </c>
      <c r="L428" s="93">
        <f t="shared" si="19"/>
        <v>1</v>
      </c>
      <c r="M428" s="93">
        <f t="shared" si="20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14.040845327284968</v>
      </c>
      <c r="H429">
        <v>2.1702304687499997E-3</v>
      </c>
      <c r="I429">
        <v>-0.62623587759980681</v>
      </c>
      <c r="J429">
        <v>-1.3590761821914961E-3</v>
      </c>
      <c r="K429" s="93">
        <f t="shared" si="18"/>
        <v>0</v>
      </c>
      <c r="L429" s="93">
        <f t="shared" si="19"/>
        <v>1</v>
      </c>
      <c r="M429" s="93">
        <f t="shared" si="20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22.465352523655948</v>
      </c>
      <c r="H430">
        <v>1.3706718749999999E-3</v>
      </c>
      <c r="I430">
        <v>-0.47291241152288888</v>
      </c>
      <c r="J430">
        <v>-6.4820774181284968E-4</v>
      </c>
      <c r="K430" s="93">
        <f t="shared" si="18"/>
        <v>0</v>
      </c>
      <c r="L430" s="93">
        <f t="shared" si="19"/>
        <v>1</v>
      </c>
      <c r="M430" s="93">
        <f t="shared" si="20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6.492656250000001E-4</v>
      </c>
      <c r="I431">
        <v>-1</v>
      </c>
      <c r="J431">
        <v>-6.492656250000001E-4</v>
      </c>
      <c r="K431" s="93">
        <f t="shared" si="18"/>
        <v>0</v>
      </c>
      <c r="L431" s="93">
        <f t="shared" si="19"/>
        <v>1</v>
      </c>
      <c r="M431" s="93">
        <f t="shared" si="20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11.232676261827974</v>
      </c>
      <c r="H432">
        <v>1.3706718749999999E-3</v>
      </c>
      <c r="I432">
        <v>-0.6876862740544476</v>
      </c>
      <c r="J432">
        <v>-9.4259223466997347E-4</v>
      </c>
      <c r="K432" s="93">
        <f t="shared" si="18"/>
        <v>0</v>
      </c>
      <c r="L432" s="93">
        <f t="shared" si="19"/>
        <v>1</v>
      </c>
      <c r="M432" s="93">
        <f t="shared" si="20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19.657183458198954</v>
      </c>
      <c r="H433">
        <v>8.6568750000000003E-4</v>
      </c>
      <c r="I433">
        <v>-0.51931769779901749</v>
      </c>
      <c r="J433">
        <v>-4.4956683951338696E-4</v>
      </c>
      <c r="K433" s="93">
        <f t="shared" si="18"/>
        <v>0</v>
      </c>
      <c r="L433" s="93">
        <f t="shared" si="19"/>
        <v>1</v>
      </c>
      <c r="M433" s="93">
        <f t="shared" si="20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5.616338130913987</v>
      </c>
      <c r="H434">
        <v>7.7100292968750007E-4</v>
      </c>
      <c r="I434">
        <v>-0.82926851746249697</v>
      </c>
      <c r="J434">
        <v>-6.3936845646119498E-4</v>
      </c>
      <c r="K434" s="93">
        <f t="shared" si="18"/>
        <v>0</v>
      </c>
      <c r="L434" s="93">
        <f t="shared" si="19"/>
        <v>1</v>
      </c>
      <c r="M434" s="93">
        <f t="shared" si="20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16.849014392741964</v>
      </c>
      <c r="H435">
        <v>1.6276728515625001E-3</v>
      </c>
      <c r="I435">
        <v>-0.57027657696444012</v>
      </c>
      <c r="J435">
        <v>-9.2822370220701177E-4</v>
      </c>
      <c r="K435" s="93">
        <f t="shared" si="18"/>
        <v>0</v>
      </c>
      <c r="L435" s="93">
        <f t="shared" si="19"/>
        <v>1</v>
      </c>
      <c r="M435" s="93">
        <f t="shared" si="20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25.273521589112942</v>
      </c>
      <c r="H436">
        <v>1.0280039062499999E-3</v>
      </c>
      <c r="I436">
        <v>-0.4306538173458283</v>
      </c>
      <c r="J436">
        <v>-4.4271380647298547E-4</v>
      </c>
      <c r="K436" s="93">
        <f t="shared" si="18"/>
        <v>0</v>
      </c>
      <c r="L436" s="93">
        <f t="shared" si="19"/>
        <v>1</v>
      </c>
      <c r="M436" s="93">
        <f t="shared" si="20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2.8081690654569935</v>
      </c>
      <c r="H437">
        <v>1.6276728515624999E-3</v>
      </c>
      <c r="I437">
        <v>-0.91064181622770701</v>
      </c>
      <c r="J437">
        <v>-1.4822269617714059E-3</v>
      </c>
      <c r="K437" s="93">
        <f t="shared" si="18"/>
        <v>0</v>
      </c>
      <c r="L437" s="93">
        <f t="shared" si="19"/>
        <v>1</v>
      </c>
      <c r="M437" s="93">
        <f t="shared" si="20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14.040845327284968</v>
      </c>
      <c r="H438">
        <v>3.4361982421874998E-3</v>
      </c>
      <c r="I438">
        <v>-0.62623587759980681</v>
      </c>
      <c r="J438">
        <v>-2.1518706218032024E-3</v>
      </c>
      <c r="K438" s="93">
        <f t="shared" si="18"/>
        <v>0</v>
      </c>
      <c r="L438" s="93">
        <f t="shared" si="19"/>
        <v>1</v>
      </c>
      <c r="M438" s="93">
        <f t="shared" si="20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22.465352523655948</v>
      </c>
      <c r="H439">
        <v>2.1702304687499997E-3</v>
      </c>
      <c r="I439">
        <v>-0.47291241152288888</v>
      </c>
      <c r="J439">
        <v>-1.0263289245370118E-3</v>
      </c>
      <c r="K439" s="93">
        <f t="shared" si="18"/>
        <v>0</v>
      </c>
      <c r="L439" s="93">
        <f t="shared" si="19"/>
        <v>1</v>
      </c>
      <c r="M439" s="93">
        <f t="shared" si="20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1.0280039062499999E-3</v>
      </c>
      <c r="I440">
        <v>-1</v>
      </c>
      <c r="J440">
        <v>-1.0280039062499999E-3</v>
      </c>
      <c r="K440" s="93">
        <f t="shared" si="18"/>
        <v>0</v>
      </c>
      <c r="L440" s="93">
        <f t="shared" si="19"/>
        <v>1</v>
      </c>
      <c r="M440" s="93">
        <f t="shared" si="20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11.232676261827974</v>
      </c>
      <c r="H441">
        <v>2.1702304687499997E-3</v>
      </c>
      <c r="I441">
        <v>-0.6876862740544476</v>
      </c>
      <c r="J441">
        <v>-1.4924377048941245E-3</v>
      </c>
      <c r="K441" s="93">
        <f t="shared" si="18"/>
        <v>0</v>
      </c>
      <c r="L441" s="93">
        <f t="shared" si="19"/>
        <v>1</v>
      </c>
      <c r="M441" s="93">
        <f t="shared" si="20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19.657183458198954</v>
      </c>
      <c r="H442">
        <v>1.3706718749999999E-3</v>
      </c>
      <c r="I442">
        <v>-0.51931769779901749</v>
      </c>
      <c r="J442">
        <v>-7.1181416256286265E-4</v>
      </c>
      <c r="K442" s="93">
        <f t="shared" si="18"/>
        <v>0</v>
      </c>
      <c r="L442" s="93">
        <f t="shared" si="19"/>
        <v>1</v>
      </c>
      <c r="M442" s="93">
        <f t="shared" si="20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5.616338130913987</v>
      </c>
      <c r="H443">
        <v>1.6276728515624997E-3</v>
      </c>
      <c r="I443">
        <v>-0.82926851746249697</v>
      </c>
      <c r="J443">
        <v>-1.3497778525291891E-3</v>
      </c>
      <c r="K443" s="93">
        <f t="shared" si="18"/>
        <v>0</v>
      </c>
      <c r="L443" s="93">
        <f t="shared" si="19"/>
        <v>1</v>
      </c>
      <c r="M443" s="93">
        <f t="shared" si="20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16.849014392741964</v>
      </c>
      <c r="H444">
        <v>3.4361982421874993E-3</v>
      </c>
      <c r="I444">
        <v>-0.57027657696444012</v>
      </c>
      <c r="J444">
        <v>-1.9595833713259131E-3</v>
      </c>
      <c r="K444" s="93">
        <f t="shared" si="18"/>
        <v>0</v>
      </c>
      <c r="L444" s="93">
        <f t="shared" si="19"/>
        <v>1</v>
      </c>
      <c r="M444" s="93">
        <f t="shared" si="20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25.273521589112942</v>
      </c>
      <c r="H445">
        <v>2.1702304687499993E-3</v>
      </c>
      <c r="I445">
        <v>-0.4306538173458283</v>
      </c>
      <c r="J445">
        <v>-9.346180358874135E-4</v>
      </c>
      <c r="K445" s="93">
        <f t="shared" si="18"/>
        <v>0</v>
      </c>
      <c r="L445" s="93">
        <f t="shared" si="19"/>
        <v>1</v>
      </c>
      <c r="M445" s="93">
        <f t="shared" si="20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2.8081690654569935</v>
      </c>
      <c r="H446">
        <v>3.4361982421874993E-3</v>
      </c>
      <c r="I446">
        <v>-0.91064181622770701</v>
      </c>
      <c r="J446">
        <v>-3.1291458081840785E-3</v>
      </c>
      <c r="K446" s="93">
        <f t="shared" si="18"/>
        <v>0</v>
      </c>
      <c r="L446" s="93">
        <f t="shared" si="19"/>
        <v>1</v>
      </c>
      <c r="M446" s="93">
        <f t="shared" si="20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14.040845327284968</v>
      </c>
      <c r="H447">
        <v>7.254196289062498E-3</v>
      </c>
      <c r="I447">
        <v>-0.62623587759980681</v>
      </c>
      <c r="J447">
        <v>-4.5428379793623153E-3</v>
      </c>
      <c r="K447" s="93">
        <f t="shared" si="18"/>
        <v>0</v>
      </c>
      <c r="L447" s="93">
        <f t="shared" si="19"/>
        <v>1</v>
      </c>
      <c r="M447" s="93">
        <f t="shared" si="20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22.465352523655948</v>
      </c>
      <c r="H448">
        <v>4.5815976562499985E-3</v>
      </c>
      <c r="I448">
        <v>-0.47291241152288888</v>
      </c>
      <c r="J448">
        <v>-2.1666943962448024E-3</v>
      </c>
      <c r="K448" s="93">
        <f t="shared" si="18"/>
        <v>0</v>
      </c>
      <c r="L448" s="93">
        <f t="shared" si="19"/>
        <v>1</v>
      </c>
      <c r="M448" s="93">
        <f t="shared" si="20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2.1702304687499997E-3</v>
      </c>
      <c r="I449">
        <v>-1</v>
      </c>
      <c r="J449">
        <v>-2.1702304687499997E-3</v>
      </c>
      <c r="K449" s="93">
        <f t="shared" si="18"/>
        <v>0</v>
      </c>
      <c r="L449" s="93">
        <f t="shared" si="19"/>
        <v>1</v>
      </c>
      <c r="M449" s="93">
        <f t="shared" si="20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11.232676261827974</v>
      </c>
      <c r="H450">
        <v>4.5815976562499994E-3</v>
      </c>
      <c r="I450">
        <v>-0.6876862740544476</v>
      </c>
      <c r="J450">
        <v>-3.1507018214431519E-3</v>
      </c>
      <c r="K450" s="93">
        <f t="shared" si="18"/>
        <v>0</v>
      </c>
      <c r="L450" s="93">
        <f t="shared" si="19"/>
        <v>1</v>
      </c>
      <c r="M450" s="93">
        <f t="shared" si="20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19.657183458198954</v>
      </c>
      <c r="H451">
        <v>2.8936406249999995E-3</v>
      </c>
      <c r="I451">
        <v>-0.51931769779901749</v>
      </c>
      <c r="J451">
        <v>-1.5027187876327098E-3</v>
      </c>
      <c r="K451" s="93">
        <f t="shared" ref="K451:K514" si="21">IF(A451=3,1,0)</f>
        <v>0</v>
      </c>
      <c r="L451" s="93">
        <f t="shared" ref="L451:L514" si="22">IF(A451=2,1,0)</f>
        <v>1</v>
      </c>
      <c r="M451" s="93">
        <f t="shared" ref="M451:M514" si="23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5.616338130913987</v>
      </c>
      <c r="H452">
        <v>1.0280039062499999E-3</v>
      </c>
      <c r="I452">
        <v>-0.82926851746249697</v>
      </c>
      <c r="J452">
        <v>-8.5249127528159313E-4</v>
      </c>
      <c r="K452" s="93">
        <f t="shared" si="21"/>
        <v>0</v>
      </c>
      <c r="L452" s="93">
        <f t="shared" si="22"/>
        <v>1</v>
      </c>
      <c r="M452" s="93">
        <f t="shared" si="23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16.849014392741964</v>
      </c>
      <c r="H453">
        <v>2.1702304687499997E-3</v>
      </c>
      <c r="I453">
        <v>-0.57027657696444012</v>
      </c>
      <c r="J453">
        <v>-1.2376316029426822E-3</v>
      </c>
      <c r="K453" s="93">
        <f t="shared" si="21"/>
        <v>0</v>
      </c>
      <c r="L453" s="93">
        <f t="shared" si="22"/>
        <v>1</v>
      </c>
      <c r="M453" s="93">
        <f t="shared" si="23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25.273521589112942</v>
      </c>
      <c r="H454">
        <v>1.3706718749999999E-3</v>
      </c>
      <c r="I454">
        <v>-0.4306538173458283</v>
      </c>
      <c r="J454">
        <v>-5.9028507529731403E-4</v>
      </c>
      <c r="K454" s="93">
        <f t="shared" si="21"/>
        <v>0</v>
      </c>
      <c r="L454" s="93">
        <f t="shared" si="22"/>
        <v>1</v>
      </c>
      <c r="M454" s="93">
        <f t="shared" si="23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2.8081690654569935</v>
      </c>
      <c r="H455">
        <v>2.1702304687499997E-3</v>
      </c>
      <c r="I455">
        <v>-0.91064181622770701</v>
      </c>
      <c r="J455">
        <v>-1.9763026156952076E-3</v>
      </c>
      <c r="K455" s="93">
        <f t="shared" si="21"/>
        <v>0</v>
      </c>
      <c r="L455" s="93">
        <f t="shared" si="22"/>
        <v>1</v>
      </c>
      <c r="M455" s="93">
        <f t="shared" si="23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14.040845327284968</v>
      </c>
      <c r="H456">
        <v>4.5815976562499994E-3</v>
      </c>
      <c r="I456">
        <v>-0.62623587759980681</v>
      </c>
      <c r="J456">
        <v>-2.8691608290709364E-3</v>
      </c>
      <c r="K456" s="93">
        <f t="shared" si="21"/>
        <v>0</v>
      </c>
      <c r="L456" s="93">
        <f t="shared" si="22"/>
        <v>1</v>
      </c>
      <c r="M456" s="93">
        <f t="shared" si="23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22.465352523655948</v>
      </c>
      <c r="H457">
        <v>2.8936406249999995E-3</v>
      </c>
      <c r="I457">
        <v>-0.47291241152288888</v>
      </c>
      <c r="J457">
        <v>-1.3684385660493491E-3</v>
      </c>
      <c r="K457" s="93">
        <f t="shared" si="21"/>
        <v>0</v>
      </c>
      <c r="L457" s="93">
        <f t="shared" si="22"/>
        <v>1</v>
      </c>
      <c r="M457" s="93">
        <f t="shared" si="23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1.3706718749999999E-3</v>
      </c>
      <c r="I458">
        <v>-1</v>
      </c>
      <c r="J458">
        <v>-1.3706718749999999E-3</v>
      </c>
      <c r="K458" s="93">
        <f t="shared" si="21"/>
        <v>0</v>
      </c>
      <c r="L458" s="93">
        <f t="shared" si="22"/>
        <v>1</v>
      </c>
      <c r="M458" s="93">
        <f t="shared" si="23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11.232676261827974</v>
      </c>
      <c r="H459">
        <v>2.8936406249999995E-3</v>
      </c>
      <c r="I459">
        <v>-0.6876862740544476</v>
      </c>
      <c r="J459">
        <v>-1.9899169398588327E-3</v>
      </c>
      <c r="K459" s="93">
        <f t="shared" si="21"/>
        <v>0</v>
      </c>
      <c r="L459" s="93">
        <f t="shared" si="22"/>
        <v>1</v>
      </c>
      <c r="M459" s="93">
        <f t="shared" si="23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19.657183458198954</v>
      </c>
      <c r="H460">
        <v>1.8275624999999998E-3</v>
      </c>
      <c r="I460">
        <v>-0.51931769779901749</v>
      </c>
      <c r="J460">
        <v>-9.4908555008381672E-4</v>
      </c>
      <c r="K460" s="93">
        <f t="shared" si="21"/>
        <v>0</v>
      </c>
      <c r="L460" s="93">
        <f t="shared" si="22"/>
        <v>1</v>
      </c>
      <c r="M460" s="93">
        <f t="shared" si="23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5.616338130913987</v>
      </c>
      <c r="H461">
        <v>4.8694921874999997E-4</v>
      </c>
      <c r="I461">
        <v>-0.82926851746249697</v>
      </c>
      <c r="J461">
        <v>-4.0381165671233362E-4</v>
      </c>
      <c r="K461" s="93">
        <f t="shared" si="21"/>
        <v>0</v>
      </c>
      <c r="L461" s="93">
        <f t="shared" si="22"/>
        <v>1</v>
      </c>
      <c r="M461" s="93">
        <f t="shared" si="23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16.849014392741964</v>
      </c>
      <c r="H462">
        <v>1.0280039062499999E-3</v>
      </c>
      <c r="I462">
        <v>-0.57027657696444012</v>
      </c>
      <c r="J462">
        <v>-5.8624654876232314E-4</v>
      </c>
      <c r="K462" s="93">
        <f t="shared" si="21"/>
        <v>0</v>
      </c>
      <c r="L462" s="93">
        <f t="shared" si="22"/>
        <v>1</v>
      </c>
      <c r="M462" s="93">
        <f t="shared" si="23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25.273521589112942</v>
      </c>
      <c r="H463">
        <v>6.4926562499999999E-4</v>
      </c>
      <c r="I463">
        <v>-0.4306538173458283</v>
      </c>
      <c r="J463">
        <v>-2.7960871987767503E-4</v>
      </c>
      <c r="K463" s="93">
        <f t="shared" si="21"/>
        <v>0</v>
      </c>
      <c r="L463" s="93">
        <f t="shared" si="22"/>
        <v>1</v>
      </c>
      <c r="M463" s="93">
        <f t="shared" si="23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2.8081690654569935</v>
      </c>
      <c r="H464">
        <v>1.0280039062499999E-3</v>
      </c>
      <c r="I464">
        <v>-0.91064181622770701</v>
      </c>
      <c r="J464">
        <v>-9.3614334427667744E-4</v>
      </c>
      <c r="K464" s="93">
        <f t="shared" si="21"/>
        <v>0</v>
      </c>
      <c r="L464" s="93">
        <f t="shared" si="22"/>
        <v>1</v>
      </c>
      <c r="M464" s="93">
        <f t="shared" si="23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14.040845327284968</v>
      </c>
      <c r="H465">
        <v>2.1702304687499993E-3</v>
      </c>
      <c r="I465">
        <v>-0.62623587759980681</v>
      </c>
      <c r="J465">
        <v>-1.3590761821914959E-3</v>
      </c>
      <c r="K465" s="93">
        <f t="shared" si="21"/>
        <v>0</v>
      </c>
      <c r="L465" s="93">
        <f t="shared" si="22"/>
        <v>1</v>
      </c>
      <c r="M465" s="93">
        <f t="shared" si="23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22.465352523655948</v>
      </c>
      <c r="H466">
        <v>1.3706718749999997E-3</v>
      </c>
      <c r="I466">
        <v>-0.47291241152288888</v>
      </c>
      <c r="J466">
        <v>-6.4820774181284957E-4</v>
      </c>
      <c r="K466" s="93">
        <f t="shared" si="21"/>
        <v>0</v>
      </c>
      <c r="L466" s="93">
        <f t="shared" si="22"/>
        <v>1</v>
      </c>
      <c r="M466" s="93">
        <f t="shared" si="23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6.4926562499999999E-4</v>
      </c>
      <c r="I467">
        <v>-1</v>
      </c>
      <c r="J467">
        <v>-6.4926562499999999E-4</v>
      </c>
      <c r="K467" s="93">
        <f t="shared" si="21"/>
        <v>0</v>
      </c>
      <c r="L467" s="93">
        <f t="shared" si="22"/>
        <v>1</v>
      </c>
      <c r="M467" s="93">
        <f t="shared" si="23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11.232676261827974</v>
      </c>
      <c r="H468">
        <v>1.3706718749999997E-3</v>
      </c>
      <c r="I468">
        <v>-0.6876862740544476</v>
      </c>
      <c r="J468">
        <v>-9.4259223466997336E-4</v>
      </c>
      <c r="K468" s="93">
        <f t="shared" si="21"/>
        <v>0</v>
      </c>
      <c r="L468" s="93">
        <f t="shared" si="22"/>
        <v>1</v>
      </c>
      <c r="M468" s="93">
        <f t="shared" si="23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19.657183458198954</v>
      </c>
      <c r="H469">
        <v>8.6568749999999992E-4</v>
      </c>
      <c r="I469">
        <v>-0.51931769779901749</v>
      </c>
      <c r="J469">
        <v>-4.4956683951338691E-4</v>
      </c>
      <c r="K469" s="93">
        <f t="shared" si="21"/>
        <v>0</v>
      </c>
      <c r="L469" s="93">
        <f t="shared" si="22"/>
        <v>1</v>
      </c>
      <c r="M469" s="93">
        <f t="shared" si="23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5.616338130913987</v>
      </c>
      <c r="H470">
        <v>1.0280039062499999E-3</v>
      </c>
      <c r="I470">
        <v>-0.82926851746249697</v>
      </c>
      <c r="J470">
        <v>-8.5249127528159313E-4</v>
      </c>
      <c r="K470" s="93">
        <f t="shared" si="21"/>
        <v>0</v>
      </c>
      <c r="L470" s="93">
        <f t="shared" si="22"/>
        <v>1</v>
      </c>
      <c r="M470" s="93">
        <f t="shared" si="23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16.849014392741964</v>
      </c>
      <c r="H471">
        <v>2.1702304687499997E-3</v>
      </c>
      <c r="I471">
        <v>-0.57027657696444012</v>
      </c>
      <c r="J471">
        <v>-1.2376316029426822E-3</v>
      </c>
      <c r="K471" s="93">
        <f t="shared" si="21"/>
        <v>0</v>
      </c>
      <c r="L471" s="93">
        <f t="shared" si="22"/>
        <v>1</v>
      </c>
      <c r="M471" s="93">
        <f t="shared" si="23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25.273521589112942</v>
      </c>
      <c r="H472">
        <v>1.3706718749999999E-3</v>
      </c>
      <c r="I472">
        <v>-0.4306538173458283</v>
      </c>
      <c r="J472">
        <v>-5.9028507529731403E-4</v>
      </c>
      <c r="K472" s="93">
        <f t="shared" si="21"/>
        <v>0</v>
      </c>
      <c r="L472" s="93">
        <f t="shared" si="22"/>
        <v>1</v>
      </c>
      <c r="M472" s="93">
        <f t="shared" si="23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2.8081690654569935</v>
      </c>
      <c r="H473">
        <v>2.1702304687499997E-3</v>
      </c>
      <c r="I473">
        <v>-0.91064181622770701</v>
      </c>
      <c r="J473">
        <v>-1.9763026156952076E-3</v>
      </c>
      <c r="K473" s="93">
        <f t="shared" si="21"/>
        <v>0</v>
      </c>
      <c r="L473" s="93">
        <f t="shared" si="22"/>
        <v>1</v>
      </c>
      <c r="M473" s="93">
        <f t="shared" si="23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14.040845327284968</v>
      </c>
      <c r="H474">
        <v>4.5815976562499994E-3</v>
      </c>
      <c r="I474">
        <v>-0.62623587759980681</v>
      </c>
      <c r="J474">
        <v>-2.8691608290709364E-3</v>
      </c>
      <c r="K474" s="93">
        <f t="shared" si="21"/>
        <v>0</v>
      </c>
      <c r="L474" s="93">
        <f t="shared" si="22"/>
        <v>1</v>
      </c>
      <c r="M474" s="93">
        <f t="shared" si="23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22.465352523655948</v>
      </c>
      <c r="H475">
        <v>2.8936406249999995E-3</v>
      </c>
      <c r="I475">
        <v>-0.47291241152288888</v>
      </c>
      <c r="J475">
        <v>-1.3684385660493491E-3</v>
      </c>
      <c r="K475" s="93">
        <f t="shared" si="21"/>
        <v>0</v>
      </c>
      <c r="L475" s="93">
        <f t="shared" si="22"/>
        <v>1</v>
      </c>
      <c r="M475" s="93">
        <f t="shared" si="23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1.3706718749999999E-3</v>
      </c>
      <c r="I476">
        <v>-1</v>
      </c>
      <c r="J476">
        <v>-1.3706718749999999E-3</v>
      </c>
      <c r="K476" s="93">
        <f t="shared" si="21"/>
        <v>0</v>
      </c>
      <c r="L476" s="93">
        <f t="shared" si="22"/>
        <v>1</v>
      </c>
      <c r="M476" s="93">
        <f t="shared" si="23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11.232676261827974</v>
      </c>
      <c r="H477">
        <v>2.8936406249999995E-3</v>
      </c>
      <c r="I477">
        <v>-0.6876862740544476</v>
      </c>
      <c r="J477">
        <v>-1.9899169398588327E-3</v>
      </c>
      <c r="K477" s="93">
        <f t="shared" si="21"/>
        <v>0</v>
      </c>
      <c r="L477" s="93">
        <f t="shared" si="22"/>
        <v>1</v>
      </c>
      <c r="M477" s="93">
        <f t="shared" si="23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19.657183458198954</v>
      </c>
      <c r="H478">
        <v>1.8275624999999998E-3</v>
      </c>
      <c r="I478">
        <v>-0.51931769779901749</v>
      </c>
      <c r="J478">
        <v>-9.4908555008381672E-4</v>
      </c>
      <c r="K478" s="93">
        <f t="shared" si="21"/>
        <v>0</v>
      </c>
      <c r="L478" s="93">
        <f t="shared" si="22"/>
        <v>1</v>
      </c>
      <c r="M478" s="93">
        <f t="shared" si="23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5.616338130913987</v>
      </c>
      <c r="H479">
        <v>6.4926562499999999E-4</v>
      </c>
      <c r="I479">
        <v>-0.82926851746249697</v>
      </c>
      <c r="J479">
        <v>-5.3841554228311152E-4</v>
      </c>
      <c r="K479" s="93">
        <f t="shared" si="21"/>
        <v>0</v>
      </c>
      <c r="L479" s="93">
        <f t="shared" si="22"/>
        <v>1</v>
      </c>
      <c r="M479" s="93">
        <f t="shared" si="23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16.849014392741964</v>
      </c>
      <c r="H480">
        <v>1.3706718749999997E-3</v>
      </c>
      <c r="I480">
        <v>-0.57027657696444012</v>
      </c>
      <c r="J480">
        <v>-7.8166206501643074E-4</v>
      </c>
      <c r="K480" s="93">
        <f t="shared" si="21"/>
        <v>0</v>
      </c>
      <c r="L480" s="93">
        <f t="shared" si="22"/>
        <v>1</v>
      </c>
      <c r="M480" s="93">
        <f t="shared" si="23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25.273521589112942</v>
      </c>
      <c r="H481">
        <v>8.6568749999999992E-4</v>
      </c>
      <c r="I481">
        <v>-0.4306538173458283</v>
      </c>
      <c r="J481">
        <v>-3.7281162650356671E-4</v>
      </c>
      <c r="K481" s="93">
        <f t="shared" si="21"/>
        <v>0</v>
      </c>
      <c r="L481" s="93">
        <f t="shared" si="22"/>
        <v>1</v>
      </c>
      <c r="M481" s="93">
        <f t="shared" si="23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2.8081690654569935</v>
      </c>
      <c r="H482">
        <v>1.3706718749999997E-3</v>
      </c>
      <c r="I482">
        <v>-0.91064181622770701</v>
      </c>
      <c r="J482">
        <v>-1.2481911257022364E-3</v>
      </c>
      <c r="K482" s="93">
        <f t="shared" si="21"/>
        <v>0</v>
      </c>
      <c r="L482" s="93">
        <f t="shared" si="22"/>
        <v>1</v>
      </c>
      <c r="M482" s="93">
        <f t="shared" si="23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14.040845327284968</v>
      </c>
      <c r="H483">
        <v>2.8936406249999991E-3</v>
      </c>
      <c r="I483">
        <v>-0.62623587759980681</v>
      </c>
      <c r="J483">
        <v>-1.812101576255328E-3</v>
      </c>
      <c r="K483" s="93">
        <f t="shared" si="21"/>
        <v>0</v>
      </c>
      <c r="L483" s="93">
        <f t="shared" si="22"/>
        <v>1</v>
      </c>
      <c r="M483" s="93">
        <f t="shared" si="23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22.465352523655948</v>
      </c>
      <c r="H484">
        <v>1.8275624999999993E-3</v>
      </c>
      <c r="I484">
        <v>-0.47291241152288888</v>
      </c>
      <c r="J484">
        <v>-8.6427698908379932E-4</v>
      </c>
      <c r="K484" s="93">
        <f t="shared" si="21"/>
        <v>0</v>
      </c>
      <c r="L484" s="93">
        <f t="shared" si="22"/>
        <v>1</v>
      </c>
      <c r="M484" s="93">
        <f t="shared" si="23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8.6568749999999992E-4</v>
      </c>
      <c r="I485">
        <v>-1</v>
      </c>
      <c r="J485">
        <v>-8.6568749999999992E-4</v>
      </c>
      <c r="K485" s="93">
        <f t="shared" si="21"/>
        <v>0</v>
      </c>
      <c r="L485" s="93">
        <f t="shared" si="22"/>
        <v>1</v>
      </c>
      <c r="M485" s="93">
        <f t="shared" si="23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11.232676261827974</v>
      </c>
      <c r="H486">
        <v>1.8275624999999995E-3</v>
      </c>
      <c r="I486">
        <v>-0.6876862740544476</v>
      </c>
      <c r="J486">
        <v>-1.2567896462266311E-3</v>
      </c>
      <c r="K486" s="93">
        <f t="shared" si="21"/>
        <v>0</v>
      </c>
      <c r="L486" s="93">
        <f t="shared" si="22"/>
        <v>1</v>
      </c>
      <c r="M486" s="93">
        <f t="shared" si="23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19.657183458198954</v>
      </c>
      <c r="H487">
        <v>1.1542499999999997E-3</v>
      </c>
      <c r="I487">
        <v>-0.51931769779901749</v>
      </c>
      <c r="J487">
        <v>-5.994224526845158E-4</v>
      </c>
      <c r="K487" s="93">
        <f t="shared" si="21"/>
        <v>0</v>
      </c>
      <c r="L487" s="93">
        <f t="shared" si="22"/>
        <v>1</v>
      </c>
      <c r="M487" s="93">
        <f t="shared" si="23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5.616338130913987</v>
      </c>
      <c r="H488">
        <v>1.7299511718750003E-4</v>
      </c>
      <c r="I488">
        <v>-0.82926851746249697</v>
      </c>
      <c r="J488">
        <v>-1.4345940435832907E-4</v>
      </c>
      <c r="K488" s="93">
        <f t="shared" si="21"/>
        <v>1</v>
      </c>
      <c r="L488" s="93">
        <f t="shared" si="22"/>
        <v>0</v>
      </c>
      <c r="M488" s="93">
        <f t="shared" si="23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16.849014392741964</v>
      </c>
      <c r="H489">
        <v>3.6521191406250006E-4</v>
      </c>
      <c r="I489">
        <v>-0.57027657696444012</v>
      </c>
      <c r="J489">
        <v>-2.0827180021819382E-4</v>
      </c>
      <c r="K489" s="93">
        <f t="shared" si="21"/>
        <v>1</v>
      </c>
      <c r="L489" s="93">
        <f t="shared" si="22"/>
        <v>0</v>
      </c>
      <c r="M489" s="93">
        <f t="shared" si="23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25.273521589112942</v>
      </c>
      <c r="H490">
        <v>2.3066015625000002E-4</v>
      </c>
      <c r="I490">
        <v>-0.4306538173458283</v>
      </c>
      <c r="J490">
        <v>-9.9334676798647719E-5</v>
      </c>
      <c r="K490" s="93">
        <f t="shared" si="21"/>
        <v>1</v>
      </c>
      <c r="L490" s="93">
        <f t="shared" si="22"/>
        <v>0</v>
      </c>
      <c r="M490" s="93">
        <f t="shared" si="23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2.8081690654569935</v>
      </c>
      <c r="H491">
        <v>3.6521191406250006E-4</v>
      </c>
      <c r="I491">
        <v>-0.91064181622770701</v>
      </c>
      <c r="J491">
        <v>-3.3257724072987231E-4</v>
      </c>
      <c r="K491" s="93">
        <f t="shared" si="21"/>
        <v>1</v>
      </c>
      <c r="L491" s="93">
        <f t="shared" si="22"/>
        <v>0</v>
      </c>
      <c r="M491" s="93">
        <f t="shared" si="23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14.040845327284968</v>
      </c>
      <c r="H492">
        <v>7.7100292968750007E-4</v>
      </c>
      <c r="I492">
        <v>-0.62623587759980681</v>
      </c>
      <c r="J492">
        <v>-4.8282969630487373E-4</v>
      </c>
      <c r="K492" s="93">
        <f t="shared" si="21"/>
        <v>1</v>
      </c>
      <c r="L492" s="93">
        <f t="shared" si="22"/>
        <v>0</v>
      </c>
      <c r="M492" s="93">
        <f t="shared" si="23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22.465352523655948</v>
      </c>
      <c r="H493">
        <v>4.8694921875000008E-4</v>
      </c>
      <c r="I493">
        <v>-0.47291241152288888</v>
      </c>
      <c r="J493">
        <v>-2.3028432932824927E-4</v>
      </c>
      <c r="K493" s="93">
        <f t="shared" si="21"/>
        <v>1</v>
      </c>
      <c r="L493" s="93">
        <f t="shared" si="22"/>
        <v>0</v>
      </c>
      <c r="M493" s="93">
        <f t="shared" si="23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2.3066015625000002E-4</v>
      </c>
      <c r="I494">
        <v>-1</v>
      </c>
      <c r="J494">
        <v>-2.3066015625000002E-4</v>
      </c>
      <c r="K494" s="93">
        <f t="shared" si="21"/>
        <v>1</v>
      </c>
      <c r="L494" s="93">
        <f t="shared" si="22"/>
        <v>0</v>
      </c>
      <c r="M494" s="93">
        <f t="shared" si="23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11.232676261827974</v>
      </c>
      <c r="H495">
        <v>4.8694921874999997E-4</v>
      </c>
      <c r="I495">
        <v>-0.6876862740544476</v>
      </c>
      <c r="J495">
        <v>-3.3486829389591161E-4</v>
      </c>
      <c r="K495" s="93">
        <f t="shared" si="21"/>
        <v>1</v>
      </c>
      <c r="L495" s="93">
        <f t="shared" si="22"/>
        <v>0</v>
      </c>
      <c r="M495" s="93">
        <f t="shared" si="23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19.657183458198954</v>
      </c>
      <c r="H496">
        <v>3.0754687499999999E-4</v>
      </c>
      <c r="I496">
        <v>-0.51931769779901749</v>
      </c>
      <c r="J496">
        <v>-1.5971453509028221E-4</v>
      </c>
      <c r="K496" s="93">
        <f t="shared" si="21"/>
        <v>1</v>
      </c>
      <c r="L496" s="93">
        <f t="shared" si="22"/>
        <v>0</v>
      </c>
      <c r="M496" s="93">
        <f t="shared" si="23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5.616338130913987</v>
      </c>
      <c r="H497">
        <v>3.652119140625E-4</v>
      </c>
      <c r="I497">
        <v>-0.82926851746249697</v>
      </c>
      <c r="J497">
        <v>-3.0285874253425021E-4</v>
      </c>
      <c r="K497" s="93">
        <f t="shared" si="21"/>
        <v>1</v>
      </c>
      <c r="L497" s="93">
        <f t="shared" si="22"/>
        <v>0</v>
      </c>
      <c r="M497" s="93">
        <f t="shared" si="23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16.849014392741964</v>
      </c>
      <c r="H498">
        <v>7.7100292968749996E-4</v>
      </c>
      <c r="I498">
        <v>-0.57027657696444012</v>
      </c>
      <c r="J498">
        <v>-4.3968491157174238E-4</v>
      </c>
      <c r="K498" s="93">
        <f t="shared" si="21"/>
        <v>1</v>
      </c>
      <c r="L498" s="93">
        <f t="shared" si="22"/>
        <v>0</v>
      </c>
      <c r="M498" s="93">
        <f t="shared" si="23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25.273521589112942</v>
      </c>
      <c r="H499">
        <v>4.8694921874999997E-4</v>
      </c>
      <c r="I499">
        <v>-0.4306538173458283</v>
      </c>
      <c r="J499">
        <v>-2.0970653990825627E-4</v>
      </c>
      <c r="K499" s="93">
        <f t="shared" si="21"/>
        <v>1</v>
      </c>
      <c r="L499" s="93">
        <f t="shared" si="22"/>
        <v>0</v>
      </c>
      <c r="M499" s="93">
        <f t="shared" si="23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2.8081690654569935</v>
      </c>
      <c r="H500">
        <v>7.7100292968749996E-4</v>
      </c>
      <c r="I500">
        <v>-0.91064181622770701</v>
      </c>
      <c r="J500">
        <v>-7.0210750820750808E-4</v>
      </c>
      <c r="K500" s="93">
        <f t="shared" si="21"/>
        <v>1</v>
      </c>
      <c r="L500" s="93">
        <f t="shared" si="22"/>
        <v>0</v>
      </c>
      <c r="M500" s="93">
        <f t="shared" si="23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14.040845327284968</v>
      </c>
      <c r="H501">
        <v>1.6276728515624999E-3</v>
      </c>
      <c r="I501">
        <v>-0.62623587759980681</v>
      </c>
      <c r="J501">
        <v>-1.0193071366436223E-3</v>
      </c>
      <c r="K501" s="93">
        <f t="shared" si="21"/>
        <v>1</v>
      </c>
      <c r="L501" s="93">
        <f t="shared" si="22"/>
        <v>0</v>
      </c>
      <c r="M501" s="93">
        <f t="shared" si="23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22.465352523655948</v>
      </c>
      <c r="H502">
        <v>1.0280039062499999E-3</v>
      </c>
      <c r="I502">
        <v>-0.47291241152288888</v>
      </c>
      <c r="J502">
        <v>-4.8615580635963726E-4</v>
      </c>
      <c r="K502" s="93">
        <f t="shared" si="21"/>
        <v>1</v>
      </c>
      <c r="L502" s="93">
        <f t="shared" si="22"/>
        <v>0</v>
      </c>
      <c r="M502" s="93">
        <f t="shared" si="23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4.8694921874999997E-4</v>
      </c>
      <c r="I503">
        <v>-1</v>
      </c>
      <c r="J503">
        <v>-4.8694921874999997E-4</v>
      </c>
      <c r="K503" s="93">
        <f t="shared" si="21"/>
        <v>1</v>
      </c>
      <c r="L503" s="93">
        <f t="shared" si="22"/>
        <v>0</v>
      </c>
      <c r="M503" s="93">
        <f t="shared" si="23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11.232676261827974</v>
      </c>
      <c r="H504">
        <v>1.0280039062499999E-3</v>
      </c>
      <c r="I504">
        <v>-0.6876862740544476</v>
      </c>
      <c r="J504">
        <v>-7.069441760024801E-4</v>
      </c>
      <c r="K504" s="93">
        <f t="shared" si="21"/>
        <v>1</v>
      </c>
      <c r="L504" s="93">
        <f t="shared" si="22"/>
        <v>0</v>
      </c>
      <c r="M504" s="93">
        <f t="shared" si="23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19.657183458198954</v>
      </c>
      <c r="H505">
        <v>6.4926562499999999E-4</v>
      </c>
      <c r="I505">
        <v>-0.51931769779901749</v>
      </c>
      <c r="J505">
        <v>-3.3717512963504022E-4</v>
      </c>
      <c r="K505" s="93">
        <f t="shared" si="21"/>
        <v>1</v>
      </c>
      <c r="L505" s="93">
        <f t="shared" si="22"/>
        <v>0</v>
      </c>
      <c r="M505" s="93">
        <f t="shared" si="23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5.616338130913987</v>
      </c>
      <c r="H506">
        <v>2.3066015625000002E-4</v>
      </c>
      <c r="I506">
        <v>-0.82926851746249697</v>
      </c>
      <c r="J506">
        <v>-1.9127920581110542E-4</v>
      </c>
      <c r="K506" s="93">
        <f t="shared" si="21"/>
        <v>1</v>
      </c>
      <c r="L506" s="93">
        <f t="shared" si="22"/>
        <v>0</v>
      </c>
      <c r="M506" s="93">
        <f t="shared" si="23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16.849014392741964</v>
      </c>
      <c r="H507">
        <v>4.8694921874999997E-4</v>
      </c>
      <c r="I507">
        <v>-0.57027657696444012</v>
      </c>
      <c r="J507">
        <v>-2.7769573362425835E-4</v>
      </c>
      <c r="K507" s="93">
        <f t="shared" si="21"/>
        <v>1</v>
      </c>
      <c r="L507" s="93">
        <f t="shared" si="22"/>
        <v>0</v>
      </c>
      <c r="M507" s="93">
        <f t="shared" si="23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25.273521589112942</v>
      </c>
      <c r="H508">
        <v>3.0754687499999999E-4</v>
      </c>
      <c r="I508">
        <v>-0.4306538173458283</v>
      </c>
      <c r="J508">
        <v>-1.3244623573153028E-4</v>
      </c>
      <c r="K508" s="93">
        <f t="shared" si="21"/>
        <v>1</v>
      </c>
      <c r="L508" s="93">
        <f t="shared" si="22"/>
        <v>0</v>
      </c>
      <c r="M508" s="93">
        <f t="shared" si="23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2.8081690654569935</v>
      </c>
      <c r="H509">
        <v>4.8694921874999997E-4</v>
      </c>
      <c r="I509">
        <v>-0.91064181622770701</v>
      </c>
      <c r="J509">
        <v>-4.4343632097316299E-4</v>
      </c>
      <c r="K509" s="93">
        <f t="shared" si="21"/>
        <v>1</v>
      </c>
      <c r="L509" s="93">
        <f t="shared" si="22"/>
        <v>0</v>
      </c>
      <c r="M509" s="93">
        <f t="shared" si="23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14.040845327284968</v>
      </c>
      <c r="H510">
        <v>1.0280039062499999E-3</v>
      </c>
      <c r="I510">
        <v>-0.62623587759980681</v>
      </c>
      <c r="J510">
        <v>-6.4377292840649819E-4</v>
      </c>
      <c r="K510" s="93">
        <f t="shared" si="21"/>
        <v>1</v>
      </c>
      <c r="L510" s="93">
        <f t="shared" si="22"/>
        <v>0</v>
      </c>
      <c r="M510" s="93">
        <f t="shared" si="23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22.465352523655948</v>
      </c>
      <c r="H511">
        <v>6.4926562499999999E-4</v>
      </c>
      <c r="I511">
        <v>-0.47291241152288888</v>
      </c>
      <c r="J511">
        <v>-3.0704577243766563E-4</v>
      </c>
      <c r="K511" s="93">
        <f t="shared" si="21"/>
        <v>1</v>
      </c>
      <c r="L511" s="93">
        <f t="shared" si="22"/>
        <v>0</v>
      </c>
      <c r="M511" s="93">
        <f t="shared" si="23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3.0754687500000004E-4</v>
      </c>
      <c r="I512">
        <v>-1</v>
      </c>
      <c r="J512">
        <v>-3.0754687500000004E-4</v>
      </c>
      <c r="K512" s="93">
        <f t="shared" si="21"/>
        <v>1</v>
      </c>
      <c r="L512" s="93">
        <f t="shared" si="22"/>
        <v>0</v>
      </c>
      <c r="M512" s="93">
        <f t="shared" si="23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11.232676261827974</v>
      </c>
      <c r="H513">
        <v>6.4926562499999999E-4</v>
      </c>
      <c r="I513">
        <v>-0.6876862740544476</v>
      </c>
      <c r="J513">
        <v>-4.4649105852788223E-4</v>
      </c>
      <c r="K513" s="93">
        <f t="shared" si="21"/>
        <v>1</v>
      </c>
      <c r="L513" s="93">
        <f t="shared" si="22"/>
        <v>0</v>
      </c>
      <c r="M513" s="93">
        <f t="shared" si="23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19.657183458198954</v>
      </c>
      <c r="H514">
        <v>4.100625E-4</v>
      </c>
      <c r="I514">
        <v>-0.51931769779901749</v>
      </c>
      <c r="J514">
        <v>-2.1295271345370961E-4</v>
      </c>
      <c r="K514" s="93">
        <f t="shared" si="21"/>
        <v>1</v>
      </c>
      <c r="L514" s="93">
        <f t="shared" si="22"/>
        <v>0</v>
      </c>
      <c r="M514" s="93">
        <f t="shared" si="23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5.616338130913987</v>
      </c>
      <c r="H515">
        <v>3.652119140625E-4</v>
      </c>
      <c r="I515">
        <v>-0.82926851746249697</v>
      </c>
      <c r="J515">
        <v>-3.0285874253425021E-4</v>
      </c>
      <c r="K515" s="93">
        <f t="shared" ref="K515:K578" si="24">IF(A515=3,1,0)</f>
        <v>1</v>
      </c>
      <c r="L515" s="93">
        <f t="shared" ref="L515:L578" si="25">IF(A515=2,1,0)</f>
        <v>0</v>
      </c>
      <c r="M515" s="93">
        <f t="shared" ref="M515:M578" si="26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16.849014392741964</v>
      </c>
      <c r="H516">
        <v>7.7100292968749996E-4</v>
      </c>
      <c r="I516">
        <v>-0.57027657696444012</v>
      </c>
      <c r="J516">
        <v>-4.3968491157174238E-4</v>
      </c>
      <c r="K516" s="93">
        <f t="shared" si="24"/>
        <v>1</v>
      </c>
      <c r="L516" s="93">
        <f t="shared" si="25"/>
        <v>0</v>
      </c>
      <c r="M516" s="93">
        <f t="shared" si="26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25.273521589112942</v>
      </c>
      <c r="H517">
        <v>4.8694921874999997E-4</v>
      </c>
      <c r="I517">
        <v>-0.4306538173458283</v>
      </c>
      <c r="J517">
        <v>-2.0970653990825627E-4</v>
      </c>
      <c r="K517" s="93">
        <f t="shared" si="24"/>
        <v>1</v>
      </c>
      <c r="L517" s="93">
        <f t="shared" si="25"/>
        <v>0</v>
      </c>
      <c r="M517" s="93">
        <f t="shared" si="26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2.8081690654569935</v>
      </c>
      <c r="H518">
        <v>7.7100292968749996E-4</v>
      </c>
      <c r="I518">
        <v>-0.91064181622770701</v>
      </c>
      <c r="J518">
        <v>-7.0210750820750808E-4</v>
      </c>
      <c r="K518" s="93">
        <f t="shared" si="24"/>
        <v>1</v>
      </c>
      <c r="L518" s="93">
        <f t="shared" si="25"/>
        <v>0</v>
      </c>
      <c r="M518" s="93">
        <f t="shared" si="26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14.040845327284968</v>
      </c>
      <c r="H519">
        <v>1.6276728515624999E-3</v>
      </c>
      <c r="I519">
        <v>-0.62623587759980681</v>
      </c>
      <c r="J519">
        <v>-1.0193071366436223E-3</v>
      </c>
      <c r="K519" s="93">
        <f t="shared" si="24"/>
        <v>1</v>
      </c>
      <c r="L519" s="93">
        <f t="shared" si="25"/>
        <v>0</v>
      </c>
      <c r="M519" s="93">
        <f t="shared" si="26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22.465352523655948</v>
      </c>
      <c r="H520">
        <v>1.0280039062499999E-3</v>
      </c>
      <c r="I520">
        <v>-0.47291241152288888</v>
      </c>
      <c r="J520">
        <v>-4.8615580635963726E-4</v>
      </c>
      <c r="K520" s="93">
        <f t="shared" si="24"/>
        <v>1</v>
      </c>
      <c r="L520" s="93">
        <f t="shared" si="25"/>
        <v>0</v>
      </c>
      <c r="M520" s="93">
        <f t="shared" si="26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4.8694921874999997E-4</v>
      </c>
      <c r="I521">
        <v>-1</v>
      </c>
      <c r="J521">
        <v>-4.8694921874999997E-4</v>
      </c>
      <c r="K521" s="93">
        <f t="shared" si="24"/>
        <v>1</v>
      </c>
      <c r="L521" s="93">
        <f t="shared" si="25"/>
        <v>0</v>
      </c>
      <c r="M521" s="93">
        <f t="shared" si="26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11.232676261827974</v>
      </c>
      <c r="H522">
        <v>1.0280039062499999E-3</v>
      </c>
      <c r="I522">
        <v>-0.6876862740544476</v>
      </c>
      <c r="J522">
        <v>-7.069441760024801E-4</v>
      </c>
      <c r="K522" s="93">
        <f t="shared" si="24"/>
        <v>1</v>
      </c>
      <c r="L522" s="93">
        <f t="shared" si="25"/>
        <v>0</v>
      </c>
      <c r="M522" s="93">
        <f t="shared" si="26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19.657183458198954</v>
      </c>
      <c r="H523">
        <v>6.4926562499999999E-4</v>
      </c>
      <c r="I523">
        <v>-0.51931769779901749</v>
      </c>
      <c r="J523">
        <v>-3.3717512963504022E-4</v>
      </c>
      <c r="K523" s="93">
        <f t="shared" si="24"/>
        <v>1</v>
      </c>
      <c r="L523" s="93">
        <f t="shared" si="25"/>
        <v>0</v>
      </c>
      <c r="M523" s="93">
        <f t="shared" si="26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5.616338130913987</v>
      </c>
      <c r="H524">
        <v>7.7100292968750007E-4</v>
      </c>
      <c r="I524">
        <v>-0.82926851746249697</v>
      </c>
      <c r="J524">
        <v>-6.3936845646119498E-4</v>
      </c>
      <c r="K524" s="93">
        <f t="shared" si="24"/>
        <v>1</v>
      </c>
      <c r="L524" s="93">
        <f t="shared" si="25"/>
        <v>0</v>
      </c>
      <c r="M524" s="93">
        <f t="shared" si="26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16.849014392741964</v>
      </c>
      <c r="H525">
        <v>1.6276728515625001E-3</v>
      </c>
      <c r="I525">
        <v>-0.57027657696444012</v>
      </c>
      <c r="J525">
        <v>-9.2822370220701177E-4</v>
      </c>
      <c r="K525" s="93">
        <f t="shared" si="24"/>
        <v>1</v>
      </c>
      <c r="L525" s="93">
        <f t="shared" si="25"/>
        <v>0</v>
      </c>
      <c r="M525" s="93">
        <f t="shared" si="26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25.273521589112942</v>
      </c>
      <c r="H526">
        <v>1.0280039062499999E-3</v>
      </c>
      <c r="I526">
        <v>-0.4306538173458283</v>
      </c>
      <c r="J526">
        <v>-4.4271380647298547E-4</v>
      </c>
      <c r="K526" s="93">
        <f t="shared" si="24"/>
        <v>1</v>
      </c>
      <c r="L526" s="93">
        <f t="shared" si="25"/>
        <v>0</v>
      </c>
      <c r="M526" s="93">
        <f t="shared" si="26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2.8081690654569935</v>
      </c>
      <c r="H527">
        <v>1.6276728515624999E-3</v>
      </c>
      <c r="I527">
        <v>-0.91064181622770701</v>
      </c>
      <c r="J527">
        <v>-1.4822269617714059E-3</v>
      </c>
      <c r="K527" s="93">
        <f t="shared" si="24"/>
        <v>1</v>
      </c>
      <c r="L527" s="93">
        <f t="shared" si="25"/>
        <v>0</v>
      </c>
      <c r="M527" s="93">
        <f t="shared" si="26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14.040845327284968</v>
      </c>
      <c r="H528">
        <v>3.4361982421874998E-3</v>
      </c>
      <c r="I528">
        <v>-0.62623587759980681</v>
      </c>
      <c r="J528">
        <v>-2.1518706218032024E-3</v>
      </c>
      <c r="K528" s="93">
        <f t="shared" si="24"/>
        <v>1</v>
      </c>
      <c r="L528" s="93">
        <f t="shared" si="25"/>
        <v>0</v>
      </c>
      <c r="M528" s="93">
        <f t="shared" si="26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22.465352523655948</v>
      </c>
      <c r="H529">
        <v>2.1702304687499997E-3</v>
      </c>
      <c r="I529">
        <v>-0.47291241152288888</v>
      </c>
      <c r="J529">
        <v>-1.0263289245370118E-3</v>
      </c>
      <c r="K529" s="93">
        <f t="shared" si="24"/>
        <v>1</v>
      </c>
      <c r="L529" s="93">
        <f t="shared" si="25"/>
        <v>0</v>
      </c>
      <c r="M529" s="93">
        <f t="shared" si="26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1.0280039062499999E-3</v>
      </c>
      <c r="I530">
        <v>-1</v>
      </c>
      <c r="J530">
        <v>-1.0280039062499999E-3</v>
      </c>
      <c r="K530" s="93">
        <f t="shared" si="24"/>
        <v>1</v>
      </c>
      <c r="L530" s="93">
        <f t="shared" si="25"/>
        <v>0</v>
      </c>
      <c r="M530" s="93">
        <f t="shared" si="26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11.232676261827974</v>
      </c>
      <c r="H531">
        <v>2.1702304687499997E-3</v>
      </c>
      <c r="I531">
        <v>-0.6876862740544476</v>
      </c>
      <c r="J531">
        <v>-1.4924377048941245E-3</v>
      </c>
      <c r="K531" s="93">
        <f t="shared" si="24"/>
        <v>1</v>
      </c>
      <c r="L531" s="93">
        <f t="shared" si="25"/>
        <v>0</v>
      </c>
      <c r="M531" s="93">
        <f t="shared" si="26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19.657183458198954</v>
      </c>
      <c r="H532">
        <v>1.3706718749999999E-3</v>
      </c>
      <c r="I532">
        <v>-0.51931769779901749</v>
      </c>
      <c r="J532">
        <v>-7.1181416256286265E-4</v>
      </c>
      <c r="K532" s="93">
        <f t="shared" si="24"/>
        <v>1</v>
      </c>
      <c r="L532" s="93">
        <f t="shared" si="25"/>
        <v>0</v>
      </c>
      <c r="M532" s="93">
        <f t="shared" si="26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5.616338130913987</v>
      </c>
      <c r="H533">
        <v>4.8694921875000008E-4</v>
      </c>
      <c r="I533">
        <v>-0.82926851746249697</v>
      </c>
      <c r="J533">
        <v>-4.0381165671233367E-4</v>
      </c>
      <c r="K533" s="93">
        <f t="shared" si="24"/>
        <v>1</v>
      </c>
      <c r="L533" s="93">
        <f t="shared" si="25"/>
        <v>0</v>
      </c>
      <c r="M533" s="93">
        <f t="shared" si="26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16.849014392741964</v>
      </c>
      <c r="H534">
        <v>1.0280039062500002E-3</v>
      </c>
      <c r="I534">
        <v>-0.57027657696444012</v>
      </c>
      <c r="J534">
        <v>-5.8624654876232335E-4</v>
      </c>
      <c r="K534" s="93">
        <f t="shared" si="24"/>
        <v>1</v>
      </c>
      <c r="L534" s="93">
        <f t="shared" si="25"/>
        <v>0</v>
      </c>
      <c r="M534" s="93">
        <f t="shared" si="26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25.273521589112942</v>
      </c>
      <c r="H535">
        <v>6.492656250000001E-4</v>
      </c>
      <c r="I535">
        <v>-0.4306538173458283</v>
      </c>
      <c r="J535">
        <v>-2.7960871987767509E-4</v>
      </c>
      <c r="K535" s="93">
        <f t="shared" si="24"/>
        <v>1</v>
      </c>
      <c r="L535" s="93">
        <f t="shared" si="25"/>
        <v>0</v>
      </c>
      <c r="M535" s="93">
        <f t="shared" si="26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2.8081690654569935</v>
      </c>
      <c r="H536">
        <v>1.0280039062499999E-3</v>
      </c>
      <c r="I536">
        <v>-0.91064181622770701</v>
      </c>
      <c r="J536">
        <v>-9.3614334427667744E-4</v>
      </c>
      <c r="K536" s="93">
        <f t="shared" si="24"/>
        <v>1</v>
      </c>
      <c r="L536" s="93">
        <f t="shared" si="25"/>
        <v>0</v>
      </c>
      <c r="M536" s="93">
        <f t="shared" si="26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14.040845327284968</v>
      </c>
      <c r="H537">
        <v>2.1702304687499997E-3</v>
      </c>
      <c r="I537">
        <v>-0.62623587759980681</v>
      </c>
      <c r="J537">
        <v>-1.3590761821914961E-3</v>
      </c>
      <c r="K537" s="93">
        <f t="shared" si="24"/>
        <v>1</v>
      </c>
      <c r="L537" s="93">
        <f t="shared" si="25"/>
        <v>0</v>
      </c>
      <c r="M537" s="93">
        <f t="shared" si="26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22.465352523655948</v>
      </c>
      <c r="H538">
        <v>1.3706718749999999E-3</v>
      </c>
      <c r="I538">
        <v>-0.47291241152288888</v>
      </c>
      <c r="J538">
        <v>-6.4820774181284968E-4</v>
      </c>
      <c r="K538" s="93">
        <f t="shared" si="24"/>
        <v>1</v>
      </c>
      <c r="L538" s="93">
        <f t="shared" si="25"/>
        <v>0</v>
      </c>
      <c r="M538" s="93">
        <f t="shared" si="26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6.492656250000001E-4</v>
      </c>
      <c r="I539">
        <v>-1</v>
      </c>
      <c r="J539">
        <v>-6.492656250000001E-4</v>
      </c>
      <c r="K539" s="93">
        <f t="shared" si="24"/>
        <v>1</v>
      </c>
      <c r="L539" s="93">
        <f t="shared" si="25"/>
        <v>0</v>
      </c>
      <c r="M539" s="93">
        <f t="shared" si="26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11.232676261827974</v>
      </c>
      <c r="H540">
        <v>1.3706718749999999E-3</v>
      </c>
      <c r="I540">
        <v>-0.6876862740544476</v>
      </c>
      <c r="J540">
        <v>-9.4259223466997347E-4</v>
      </c>
      <c r="K540" s="93">
        <f t="shared" si="24"/>
        <v>1</v>
      </c>
      <c r="L540" s="93">
        <f t="shared" si="25"/>
        <v>0</v>
      </c>
      <c r="M540" s="93">
        <f t="shared" si="26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19.657183458198954</v>
      </c>
      <c r="H541">
        <v>8.6568750000000003E-4</v>
      </c>
      <c r="I541">
        <v>-0.51931769779901749</v>
      </c>
      <c r="J541">
        <v>-4.4956683951338696E-4</v>
      </c>
      <c r="K541" s="93">
        <f t="shared" si="24"/>
        <v>1</v>
      </c>
      <c r="L541" s="93">
        <f t="shared" si="25"/>
        <v>0</v>
      </c>
      <c r="M541" s="93">
        <f t="shared" si="26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5.616338130913987</v>
      </c>
      <c r="H542">
        <v>2.3066015625000002E-4</v>
      </c>
      <c r="I542">
        <v>-0.82926851746249697</v>
      </c>
      <c r="J542">
        <v>-1.9127920581110542E-4</v>
      </c>
      <c r="K542" s="93">
        <f t="shared" si="24"/>
        <v>1</v>
      </c>
      <c r="L542" s="93">
        <f t="shared" si="25"/>
        <v>0</v>
      </c>
      <c r="M542" s="93">
        <f t="shared" si="26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16.849014392741964</v>
      </c>
      <c r="H543">
        <v>4.8694921874999997E-4</v>
      </c>
      <c r="I543">
        <v>-0.57027657696444012</v>
      </c>
      <c r="J543">
        <v>-2.7769573362425835E-4</v>
      </c>
      <c r="K543" s="93">
        <f t="shared" si="24"/>
        <v>1</v>
      </c>
      <c r="L543" s="93">
        <f t="shared" si="25"/>
        <v>0</v>
      </c>
      <c r="M543" s="93">
        <f t="shared" si="26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25.273521589112942</v>
      </c>
      <c r="H544">
        <v>3.0754687499999999E-4</v>
      </c>
      <c r="I544">
        <v>-0.4306538173458283</v>
      </c>
      <c r="J544">
        <v>-1.3244623573153028E-4</v>
      </c>
      <c r="K544" s="93">
        <f t="shared" si="24"/>
        <v>1</v>
      </c>
      <c r="L544" s="93">
        <f t="shared" si="25"/>
        <v>0</v>
      </c>
      <c r="M544" s="93">
        <f t="shared" si="26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2.8081690654569935</v>
      </c>
      <c r="H545">
        <v>4.8694921874999997E-4</v>
      </c>
      <c r="I545">
        <v>-0.91064181622770701</v>
      </c>
      <c r="J545">
        <v>-4.4343632097316299E-4</v>
      </c>
      <c r="K545" s="93">
        <f t="shared" si="24"/>
        <v>1</v>
      </c>
      <c r="L545" s="93">
        <f t="shared" si="25"/>
        <v>0</v>
      </c>
      <c r="M545" s="93">
        <f t="shared" si="26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14.040845327284968</v>
      </c>
      <c r="H546">
        <v>1.0280039062499999E-3</v>
      </c>
      <c r="I546">
        <v>-0.62623587759980681</v>
      </c>
      <c r="J546">
        <v>-6.4377292840649819E-4</v>
      </c>
      <c r="K546" s="93">
        <f t="shared" si="24"/>
        <v>1</v>
      </c>
      <c r="L546" s="93">
        <f t="shared" si="25"/>
        <v>0</v>
      </c>
      <c r="M546" s="93">
        <f t="shared" si="26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22.465352523655948</v>
      </c>
      <c r="H547">
        <v>6.4926562499999999E-4</v>
      </c>
      <c r="I547">
        <v>-0.47291241152288888</v>
      </c>
      <c r="J547">
        <v>-3.0704577243766563E-4</v>
      </c>
      <c r="K547" s="93">
        <f t="shared" si="24"/>
        <v>1</v>
      </c>
      <c r="L547" s="93">
        <f t="shared" si="25"/>
        <v>0</v>
      </c>
      <c r="M547" s="93">
        <f t="shared" si="26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3.0754687500000004E-4</v>
      </c>
      <c r="I548">
        <v>-1</v>
      </c>
      <c r="J548">
        <v>-3.0754687500000004E-4</v>
      </c>
      <c r="K548" s="93">
        <f t="shared" si="24"/>
        <v>1</v>
      </c>
      <c r="L548" s="93">
        <f t="shared" si="25"/>
        <v>0</v>
      </c>
      <c r="M548" s="93">
        <f t="shared" si="26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11.232676261827974</v>
      </c>
      <c r="H549">
        <v>6.4926562499999999E-4</v>
      </c>
      <c r="I549">
        <v>-0.6876862740544476</v>
      </c>
      <c r="J549">
        <v>-4.4649105852788223E-4</v>
      </c>
      <c r="K549" s="93">
        <f t="shared" si="24"/>
        <v>1</v>
      </c>
      <c r="L549" s="93">
        <f t="shared" si="25"/>
        <v>0</v>
      </c>
      <c r="M549" s="93">
        <f t="shared" si="26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19.657183458198954</v>
      </c>
      <c r="H550">
        <v>4.100625E-4</v>
      </c>
      <c r="I550">
        <v>-0.51931769779901749</v>
      </c>
      <c r="J550">
        <v>-2.1295271345370961E-4</v>
      </c>
      <c r="K550" s="93">
        <f t="shared" si="24"/>
        <v>1</v>
      </c>
      <c r="L550" s="93">
        <f t="shared" si="25"/>
        <v>0</v>
      </c>
      <c r="M550" s="93">
        <f t="shared" si="26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5.616338130913987</v>
      </c>
      <c r="H551">
        <v>4.8694921875000008E-4</v>
      </c>
      <c r="I551">
        <v>-0.82926851746249697</v>
      </c>
      <c r="J551">
        <v>-4.0381165671233367E-4</v>
      </c>
      <c r="K551" s="93">
        <f t="shared" si="24"/>
        <v>1</v>
      </c>
      <c r="L551" s="93">
        <f t="shared" si="25"/>
        <v>0</v>
      </c>
      <c r="M551" s="93">
        <f t="shared" si="26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16.849014392741964</v>
      </c>
      <c r="H552">
        <v>1.0280039062500002E-3</v>
      </c>
      <c r="I552">
        <v>-0.57027657696444012</v>
      </c>
      <c r="J552">
        <v>-5.8624654876232335E-4</v>
      </c>
      <c r="K552" s="93">
        <f t="shared" si="24"/>
        <v>1</v>
      </c>
      <c r="L552" s="93">
        <f t="shared" si="25"/>
        <v>0</v>
      </c>
      <c r="M552" s="93">
        <f t="shared" si="26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25.273521589112942</v>
      </c>
      <c r="H553">
        <v>6.492656250000001E-4</v>
      </c>
      <c r="I553">
        <v>-0.4306538173458283</v>
      </c>
      <c r="J553">
        <v>-2.7960871987767509E-4</v>
      </c>
      <c r="K553" s="93">
        <f t="shared" si="24"/>
        <v>1</v>
      </c>
      <c r="L553" s="93">
        <f t="shared" si="25"/>
        <v>0</v>
      </c>
      <c r="M553" s="93">
        <f t="shared" si="26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2.8081690654569935</v>
      </c>
      <c r="H554">
        <v>1.0280039062499999E-3</v>
      </c>
      <c r="I554">
        <v>-0.91064181622770701</v>
      </c>
      <c r="J554">
        <v>-9.3614334427667744E-4</v>
      </c>
      <c r="K554" s="93">
        <f t="shared" si="24"/>
        <v>1</v>
      </c>
      <c r="L554" s="93">
        <f t="shared" si="25"/>
        <v>0</v>
      </c>
      <c r="M554" s="93">
        <f t="shared" si="26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14.040845327284968</v>
      </c>
      <c r="H555">
        <v>2.1702304687499997E-3</v>
      </c>
      <c r="I555">
        <v>-0.62623587759980681</v>
      </c>
      <c r="J555">
        <v>-1.3590761821914961E-3</v>
      </c>
      <c r="K555" s="93">
        <f t="shared" si="24"/>
        <v>1</v>
      </c>
      <c r="L555" s="93">
        <f t="shared" si="25"/>
        <v>0</v>
      </c>
      <c r="M555" s="93">
        <f t="shared" si="26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22.465352523655948</v>
      </c>
      <c r="H556">
        <v>1.3706718749999999E-3</v>
      </c>
      <c r="I556">
        <v>-0.47291241152288888</v>
      </c>
      <c r="J556">
        <v>-6.4820774181284968E-4</v>
      </c>
      <c r="K556" s="93">
        <f t="shared" si="24"/>
        <v>1</v>
      </c>
      <c r="L556" s="93">
        <f t="shared" si="25"/>
        <v>0</v>
      </c>
      <c r="M556" s="93">
        <f t="shared" si="26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6.492656250000001E-4</v>
      </c>
      <c r="I557">
        <v>-1</v>
      </c>
      <c r="J557">
        <v>-6.492656250000001E-4</v>
      </c>
      <c r="K557" s="93">
        <f t="shared" si="24"/>
        <v>1</v>
      </c>
      <c r="L557" s="93">
        <f t="shared" si="25"/>
        <v>0</v>
      </c>
      <c r="M557" s="93">
        <f t="shared" si="26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11.232676261827974</v>
      </c>
      <c r="H558">
        <v>1.3706718749999999E-3</v>
      </c>
      <c r="I558">
        <v>-0.6876862740544476</v>
      </c>
      <c r="J558">
        <v>-9.4259223466997347E-4</v>
      </c>
      <c r="K558" s="93">
        <f t="shared" si="24"/>
        <v>1</v>
      </c>
      <c r="L558" s="93">
        <f t="shared" si="25"/>
        <v>0</v>
      </c>
      <c r="M558" s="93">
        <f t="shared" si="26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19.657183458198954</v>
      </c>
      <c r="H559">
        <v>8.6568750000000003E-4</v>
      </c>
      <c r="I559">
        <v>-0.51931769779901749</v>
      </c>
      <c r="J559">
        <v>-4.4956683951338696E-4</v>
      </c>
      <c r="K559" s="93">
        <f t="shared" si="24"/>
        <v>1</v>
      </c>
      <c r="L559" s="93">
        <f t="shared" si="25"/>
        <v>0</v>
      </c>
      <c r="M559" s="93">
        <f t="shared" si="26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5.616338130913987</v>
      </c>
      <c r="H560">
        <v>3.0754687500000004E-4</v>
      </c>
      <c r="I560">
        <v>-0.82926851746249697</v>
      </c>
      <c r="J560">
        <v>-2.5503894108147389E-4</v>
      </c>
      <c r="K560" s="93">
        <f t="shared" si="24"/>
        <v>1</v>
      </c>
      <c r="L560" s="93">
        <f t="shared" si="25"/>
        <v>0</v>
      </c>
      <c r="M560" s="93">
        <f t="shared" si="26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16.849014392741964</v>
      </c>
      <c r="H561">
        <v>6.4926562499999999E-4</v>
      </c>
      <c r="I561">
        <v>-0.57027657696444012</v>
      </c>
      <c r="J561">
        <v>-3.7026097816567782E-4</v>
      </c>
      <c r="K561" s="93">
        <f t="shared" si="24"/>
        <v>1</v>
      </c>
      <c r="L561" s="93">
        <f t="shared" si="25"/>
        <v>0</v>
      </c>
      <c r="M561" s="93">
        <f t="shared" si="26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25.273521589112942</v>
      </c>
      <c r="H562">
        <v>4.100625E-4</v>
      </c>
      <c r="I562">
        <v>-0.4306538173458283</v>
      </c>
      <c r="J562">
        <v>-1.7659498097537371E-4</v>
      </c>
      <c r="K562" s="93">
        <f t="shared" si="24"/>
        <v>1</v>
      </c>
      <c r="L562" s="93">
        <f t="shared" si="25"/>
        <v>0</v>
      </c>
      <c r="M562" s="93">
        <f t="shared" si="26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2.8081690654569935</v>
      </c>
      <c r="H563">
        <v>6.4926562499999999E-4</v>
      </c>
      <c r="I563">
        <v>-0.91064181622770701</v>
      </c>
      <c r="J563">
        <v>-5.9124842796421729E-4</v>
      </c>
      <c r="K563" s="93">
        <f t="shared" si="24"/>
        <v>1</v>
      </c>
      <c r="L563" s="93">
        <f t="shared" si="25"/>
        <v>0</v>
      </c>
      <c r="M563" s="93">
        <f t="shared" si="26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14.040845327284968</v>
      </c>
      <c r="H564">
        <v>1.3706718749999997E-3</v>
      </c>
      <c r="I564">
        <v>-0.62623587759980681</v>
      </c>
      <c r="J564">
        <v>-8.5836390454199752E-4</v>
      </c>
      <c r="K564" s="93">
        <f t="shared" si="24"/>
        <v>1</v>
      </c>
      <c r="L564" s="93">
        <f t="shared" si="25"/>
        <v>0</v>
      </c>
      <c r="M564" s="93">
        <f t="shared" si="26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22.465352523655948</v>
      </c>
      <c r="H565">
        <v>8.6568749999999992E-4</v>
      </c>
      <c r="I565">
        <v>-0.47291241152288888</v>
      </c>
      <c r="J565">
        <v>-4.093943632502208E-4</v>
      </c>
      <c r="K565" s="93">
        <f t="shared" si="24"/>
        <v>1</v>
      </c>
      <c r="L565" s="93">
        <f t="shared" si="25"/>
        <v>0</v>
      </c>
      <c r="M565" s="93">
        <f t="shared" si="26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4.100625E-4</v>
      </c>
      <c r="I566">
        <v>-1</v>
      </c>
      <c r="J566">
        <v>-4.100625E-4</v>
      </c>
      <c r="K566" s="93">
        <f t="shared" si="24"/>
        <v>1</v>
      </c>
      <c r="L566" s="93">
        <f t="shared" si="25"/>
        <v>0</v>
      </c>
      <c r="M566" s="93">
        <f t="shared" si="26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11.232676261827974</v>
      </c>
      <c r="H567">
        <v>8.6568749999999992E-4</v>
      </c>
      <c r="I567">
        <v>-0.6876862740544476</v>
      </c>
      <c r="J567">
        <v>-5.953214113705096E-4</v>
      </c>
      <c r="K567" s="93">
        <f t="shared" si="24"/>
        <v>1</v>
      </c>
      <c r="L567" s="93">
        <f t="shared" si="25"/>
        <v>0</v>
      </c>
      <c r="M567" s="93">
        <f t="shared" si="26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19.657183458198954</v>
      </c>
      <c r="H568">
        <v>5.4674999999999993E-4</v>
      </c>
      <c r="I568">
        <v>-0.51931769779901749</v>
      </c>
      <c r="J568">
        <v>-2.8393695127161279E-4</v>
      </c>
      <c r="K568" s="93">
        <f t="shared" si="24"/>
        <v>1</v>
      </c>
      <c r="L568" s="93">
        <f t="shared" si="25"/>
        <v>0</v>
      </c>
      <c r="M568" s="93">
        <f t="shared" si="26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5.616338130913987</v>
      </c>
      <c r="H569">
        <v>3.652119140625E-4</v>
      </c>
      <c r="I569">
        <v>-0.82926851746249697</v>
      </c>
      <c r="J569">
        <v>-3.0285874253425021E-4</v>
      </c>
      <c r="K569" s="93">
        <f t="shared" si="24"/>
        <v>1</v>
      </c>
      <c r="L569" s="93">
        <f t="shared" si="25"/>
        <v>0</v>
      </c>
      <c r="M569" s="93">
        <f t="shared" si="26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16.849014392741964</v>
      </c>
      <c r="H570">
        <v>7.7100292968749996E-4</v>
      </c>
      <c r="I570">
        <v>-0.57027657696444012</v>
      </c>
      <c r="J570">
        <v>-4.3968491157174238E-4</v>
      </c>
      <c r="K570" s="93">
        <f t="shared" si="24"/>
        <v>1</v>
      </c>
      <c r="L570" s="93">
        <f t="shared" si="25"/>
        <v>0</v>
      </c>
      <c r="M570" s="93">
        <f t="shared" si="26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25.273521589112942</v>
      </c>
      <c r="H571">
        <v>4.8694921874999997E-4</v>
      </c>
      <c r="I571">
        <v>-0.4306538173458283</v>
      </c>
      <c r="J571">
        <v>-2.0970653990825627E-4</v>
      </c>
      <c r="K571" s="93">
        <f t="shared" si="24"/>
        <v>1</v>
      </c>
      <c r="L571" s="93">
        <f t="shared" si="25"/>
        <v>0</v>
      </c>
      <c r="M571" s="93">
        <f t="shared" si="26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2.8081690654569935</v>
      </c>
      <c r="H572">
        <v>7.7100292968749996E-4</v>
      </c>
      <c r="I572">
        <v>-0.91064181622770701</v>
      </c>
      <c r="J572">
        <v>-7.0210750820750808E-4</v>
      </c>
      <c r="K572" s="93">
        <f t="shared" si="24"/>
        <v>1</v>
      </c>
      <c r="L572" s="93">
        <f t="shared" si="25"/>
        <v>0</v>
      </c>
      <c r="M572" s="93">
        <f t="shared" si="26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14.040845327284968</v>
      </c>
      <c r="H573">
        <v>1.6276728515624999E-3</v>
      </c>
      <c r="I573">
        <v>-0.62623587759980681</v>
      </c>
      <c r="J573">
        <v>-1.0193071366436223E-3</v>
      </c>
      <c r="K573" s="93">
        <f t="shared" si="24"/>
        <v>1</v>
      </c>
      <c r="L573" s="93">
        <f t="shared" si="25"/>
        <v>0</v>
      </c>
      <c r="M573" s="93">
        <f t="shared" si="26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22.465352523655948</v>
      </c>
      <c r="H574">
        <v>1.0280039062499999E-3</v>
      </c>
      <c r="I574">
        <v>-0.47291241152288888</v>
      </c>
      <c r="J574">
        <v>-4.8615580635963726E-4</v>
      </c>
      <c r="K574" s="93">
        <f t="shared" si="24"/>
        <v>1</v>
      </c>
      <c r="L574" s="93">
        <f t="shared" si="25"/>
        <v>0</v>
      </c>
      <c r="M574" s="93">
        <f t="shared" si="26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4.8694921874999997E-4</v>
      </c>
      <c r="I575">
        <v>-1</v>
      </c>
      <c r="J575">
        <v>-4.8694921874999997E-4</v>
      </c>
      <c r="K575" s="93">
        <f t="shared" si="24"/>
        <v>1</v>
      </c>
      <c r="L575" s="93">
        <f t="shared" si="25"/>
        <v>0</v>
      </c>
      <c r="M575" s="93">
        <f t="shared" si="26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11.232676261827974</v>
      </c>
      <c r="H576">
        <v>1.0280039062499999E-3</v>
      </c>
      <c r="I576">
        <v>-0.6876862740544476</v>
      </c>
      <c r="J576">
        <v>-7.069441760024801E-4</v>
      </c>
      <c r="K576" s="93">
        <f t="shared" si="24"/>
        <v>1</v>
      </c>
      <c r="L576" s="93">
        <f t="shared" si="25"/>
        <v>0</v>
      </c>
      <c r="M576" s="93">
        <f t="shared" si="26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19.657183458198954</v>
      </c>
      <c r="H577">
        <v>6.4926562499999999E-4</v>
      </c>
      <c r="I577">
        <v>-0.51931769779901749</v>
      </c>
      <c r="J577">
        <v>-3.3717512963504022E-4</v>
      </c>
      <c r="K577" s="93">
        <f t="shared" si="24"/>
        <v>1</v>
      </c>
      <c r="L577" s="93">
        <f t="shared" si="25"/>
        <v>0</v>
      </c>
      <c r="M577" s="93">
        <f t="shared" si="26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5.616338130913987</v>
      </c>
      <c r="H578">
        <v>7.7100292968750007E-4</v>
      </c>
      <c r="I578">
        <v>-0.82926851746249697</v>
      </c>
      <c r="J578">
        <v>-6.3936845646119498E-4</v>
      </c>
      <c r="K578" s="93">
        <f t="shared" si="24"/>
        <v>1</v>
      </c>
      <c r="L578" s="93">
        <f t="shared" si="25"/>
        <v>0</v>
      </c>
      <c r="M578" s="93">
        <f t="shared" si="26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16.849014392741964</v>
      </c>
      <c r="H579">
        <v>1.6276728515625001E-3</v>
      </c>
      <c r="I579">
        <v>-0.57027657696444012</v>
      </c>
      <c r="J579">
        <v>-9.2822370220701177E-4</v>
      </c>
      <c r="K579" s="93">
        <f t="shared" ref="K579:K642" si="27">IF(A579=3,1,0)</f>
        <v>1</v>
      </c>
      <c r="L579" s="93">
        <f t="shared" ref="L579:L642" si="28">IF(A579=2,1,0)</f>
        <v>0</v>
      </c>
      <c r="M579" s="93">
        <f t="shared" ref="M579:M642" si="29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25.273521589112942</v>
      </c>
      <c r="H580">
        <v>1.0280039062499999E-3</v>
      </c>
      <c r="I580">
        <v>-0.4306538173458283</v>
      </c>
      <c r="J580">
        <v>-4.4271380647298547E-4</v>
      </c>
      <c r="K580" s="93">
        <f t="shared" si="27"/>
        <v>1</v>
      </c>
      <c r="L580" s="93">
        <f t="shared" si="28"/>
        <v>0</v>
      </c>
      <c r="M580" s="93">
        <f t="shared" si="29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2.8081690654569935</v>
      </c>
      <c r="H581">
        <v>1.6276728515624999E-3</v>
      </c>
      <c r="I581">
        <v>-0.91064181622770701</v>
      </c>
      <c r="J581">
        <v>-1.4822269617714059E-3</v>
      </c>
      <c r="K581" s="93">
        <f t="shared" si="27"/>
        <v>1</v>
      </c>
      <c r="L581" s="93">
        <f t="shared" si="28"/>
        <v>0</v>
      </c>
      <c r="M581" s="93">
        <f t="shared" si="29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14.040845327284968</v>
      </c>
      <c r="H582">
        <v>3.4361982421874998E-3</v>
      </c>
      <c r="I582">
        <v>-0.62623587759980681</v>
      </c>
      <c r="J582">
        <v>-2.1518706218032024E-3</v>
      </c>
      <c r="K582" s="93">
        <f t="shared" si="27"/>
        <v>1</v>
      </c>
      <c r="L582" s="93">
        <f t="shared" si="28"/>
        <v>0</v>
      </c>
      <c r="M582" s="93">
        <f t="shared" si="29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22.465352523655948</v>
      </c>
      <c r="H583">
        <v>2.1702304687499997E-3</v>
      </c>
      <c r="I583">
        <v>-0.47291241152288888</v>
      </c>
      <c r="J583">
        <v>-1.0263289245370118E-3</v>
      </c>
      <c r="K583" s="93">
        <f t="shared" si="27"/>
        <v>1</v>
      </c>
      <c r="L583" s="93">
        <f t="shared" si="28"/>
        <v>0</v>
      </c>
      <c r="M583" s="93">
        <f t="shared" si="29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1.0280039062499999E-3</v>
      </c>
      <c r="I584">
        <v>-1</v>
      </c>
      <c r="J584">
        <v>-1.0280039062499999E-3</v>
      </c>
      <c r="K584" s="93">
        <f t="shared" si="27"/>
        <v>1</v>
      </c>
      <c r="L584" s="93">
        <f t="shared" si="28"/>
        <v>0</v>
      </c>
      <c r="M584" s="93">
        <f t="shared" si="29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11.232676261827974</v>
      </c>
      <c r="H585">
        <v>2.1702304687499997E-3</v>
      </c>
      <c r="I585">
        <v>-0.6876862740544476</v>
      </c>
      <c r="J585">
        <v>-1.4924377048941245E-3</v>
      </c>
      <c r="K585" s="93">
        <f t="shared" si="27"/>
        <v>1</v>
      </c>
      <c r="L585" s="93">
        <f t="shared" si="28"/>
        <v>0</v>
      </c>
      <c r="M585" s="93">
        <f t="shared" si="29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19.657183458198954</v>
      </c>
      <c r="H586">
        <v>1.3706718749999999E-3</v>
      </c>
      <c r="I586">
        <v>-0.51931769779901749</v>
      </c>
      <c r="J586">
        <v>-7.1181416256286265E-4</v>
      </c>
      <c r="K586" s="93">
        <f t="shared" si="27"/>
        <v>1</v>
      </c>
      <c r="L586" s="93">
        <f t="shared" si="28"/>
        <v>0</v>
      </c>
      <c r="M586" s="93">
        <f t="shared" si="29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5.616338130913987</v>
      </c>
      <c r="H587">
        <v>4.8694921875000008E-4</v>
      </c>
      <c r="I587">
        <v>-0.82926851746249697</v>
      </c>
      <c r="J587">
        <v>-4.0381165671233367E-4</v>
      </c>
      <c r="K587" s="93">
        <f t="shared" si="27"/>
        <v>1</v>
      </c>
      <c r="L587" s="93">
        <f t="shared" si="28"/>
        <v>0</v>
      </c>
      <c r="M587" s="93">
        <f t="shared" si="29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16.849014392741964</v>
      </c>
      <c r="H588">
        <v>1.0280039062500002E-3</v>
      </c>
      <c r="I588">
        <v>-0.57027657696444012</v>
      </c>
      <c r="J588">
        <v>-5.8624654876232335E-4</v>
      </c>
      <c r="K588" s="93">
        <f t="shared" si="27"/>
        <v>1</v>
      </c>
      <c r="L588" s="93">
        <f t="shared" si="28"/>
        <v>0</v>
      </c>
      <c r="M588" s="93">
        <f t="shared" si="29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25.273521589112942</v>
      </c>
      <c r="H589">
        <v>6.492656250000001E-4</v>
      </c>
      <c r="I589">
        <v>-0.4306538173458283</v>
      </c>
      <c r="J589">
        <v>-2.7960871987767509E-4</v>
      </c>
      <c r="K589" s="93">
        <f t="shared" si="27"/>
        <v>1</v>
      </c>
      <c r="L589" s="93">
        <f t="shared" si="28"/>
        <v>0</v>
      </c>
      <c r="M589" s="93">
        <f t="shared" si="29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2.8081690654569935</v>
      </c>
      <c r="H590">
        <v>1.0280039062499999E-3</v>
      </c>
      <c r="I590">
        <v>-0.91064181622770701</v>
      </c>
      <c r="J590">
        <v>-9.3614334427667744E-4</v>
      </c>
      <c r="K590" s="93">
        <f t="shared" si="27"/>
        <v>1</v>
      </c>
      <c r="L590" s="93">
        <f t="shared" si="28"/>
        <v>0</v>
      </c>
      <c r="M590" s="93">
        <f t="shared" si="29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14.040845327284968</v>
      </c>
      <c r="H591">
        <v>2.1702304687499997E-3</v>
      </c>
      <c r="I591">
        <v>-0.62623587759980681</v>
      </c>
      <c r="J591">
        <v>-1.3590761821914961E-3</v>
      </c>
      <c r="K591" s="93">
        <f t="shared" si="27"/>
        <v>1</v>
      </c>
      <c r="L591" s="93">
        <f t="shared" si="28"/>
        <v>0</v>
      </c>
      <c r="M591" s="93">
        <f t="shared" si="29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22.465352523655948</v>
      </c>
      <c r="H592">
        <v>1.3706718749999999E-3</v>
      </c>
      <c r="I592">
        <v>-0.47291241152288888</v>
      </c>
      <c r="J592">
        <v>-6.4820774181284968E-4</v>
      </c>
      <c r="K592" s="93">
        <f t="shared" si="27"/>
        <v>1</v>
      </c>
      <c r="L592" s="93">
        <f t="shared" si="28"/>
        <v>0</v>
      </c>
      <c r="M592" s="93">
        <f t="shared" si="29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6.492656250000001E-4</v>
      </c>
      <c r="I593">
        <v>-1</v>
      </c>
      <c r="J593">
        <v>-6.492656250000001E-4</v>
      </c>
      <c r="K593" s="93">
        <f t="shared" si="27"/>
        <v>1</v>
      </c>
      <c r="L593" s="93">
        <f t="shared" si="28"/>
        <v>0</v>
      </c>
      <c r="M593" s="93">
        <f t="shared" si="29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11.232676261827974</v>
      </c>
      <c r="H594">
        <v>1.3706718749999999E-3</v>
      </c>
      <c r="I594">
        <v>-0.6876862740544476</v>
      </c>
      <c r="J594">
        <v>-9.4259223466997347E-4</v>
      </c>
      <c r="K594" s="93">
        <f t="shared" si="27"/>
        <v>1</v>
      </c>
      <c r="L594" s="93">
        <f t="shared" si="28"/>
        <v>0</v>
      </c>
      <c r="M594" s="93">
        <f t="shared" si="29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19.657183458198954</v>
      </c>
      <c r="H595">
        <v>8.6568750000000003E-4</v>
      </c>
      <c r="I595">
        <v>-0.51931769779901749</v>
      </c>
      <c r="J595">
        <v>-4.4956683951338696E-4</v>
      </c>
      <c r="K595" s="93">
        <f t="shared" si="27"/>
        <v>1</v>
      </c>
      <c r="L595" s="93">
        <f t="shared" si="28"/>
        <v>0</v>
      </c>
      <c r="M595" s="93">
        <f t="shared" si="29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5.616338130913987</v>
      </c>
      <c r="H596">
        <v>7.7100292968750007E-4</v>
      </c>
      <c r="I596">
        <v>-0.82926851746249697</v>
      </c>
      <c r="J596">
        <v>-6.3936845646119498E-4</v>
      </c>
      <c r="K596" s="93">
        <f t="shared" si="27"/>
        <v>1</v>
      </c>
      <c r="L596" s="93">
        <f t="shared" si="28"/>
        <v>0</v>
      </c>
      <c r="M596" s="93">
        <f t="shared" si="29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16.849014392741964</v>
      </c>
      <c r="H597">
        <v>1.6276728515625001E-3</v>
      </c>
      <c r="I597">
        <v>-0.57027657696444012</v>
      </c>
      <c r="J597">
        <v>-9.2822370220701177E-4</v>
      </c>
      <c r="K597" s="93">
        <f t="shared" si="27"/>
        <v>1</v>
      </c>
      <c r="L597" s="93">
        <f t="shared" si="28"/>
        <v>0</v>
      </c>
      <c r="M597" s="93">
        <f t="shared" si="29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25.273521589112942</v>
      </c>
      <c r="H598">
        <v>1.0280039062499999E-3</v>
      </c>
      <c r="I598">
        <v>-0.4306538173458283</v>
      </c>
      <c r="J598">
        <v>-4.4271380647298547E-4</v>
      </c>
      <c r="K598" s="93">
        <f t="shared" si="27"/>
        <v>1</v>
      </c>
      <c r="L598" s="93">
        <f t="shared" si="28"/>
        <v>0</v>
      </c>
      <c r="M598" s="93">
        <f t="shared" si="29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2.8081690654569935</v>
      </c>
      <c r="H599">
        <v>1.6276728515624999E-3</v>
      </c>
      <c r="I599">
        <v>-0.91064181622770701</v>
      </c>
      <c r="J599">
        <v>-1.4822269617714059E-3</v>
      </c>
      <c r="K599" s="93">
        <f t="shared" si="27"/>
        <v>1</v>
      </c>
      <c r="L599" s="93">
        <f t="shared" si="28"/>
        <v>0</v>
      </c>
      <c r="M599" s="93">
        <f t="shared" si="29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14.040845327284968</v>
      </c>
      <c r="H600">
        <v>3.4361982421874998E-3</v>
      </c>
      <c r="I600">
        <v>-0.62623587759980681</v>
      </c>
      <c r="J600">
        <v>-2.1518706218032024E-3</v>
      </c>
      <c r="K600" s="93">
        <f t="shared" si="27"/>
        <v>1</v>
      </c>
      <c r="L600" s="93">
        <f t="shared" si="28"/>
        <v>0</v>
      </c>
      <c r="M600" s="93">
        <f t="shared" si="29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22.465352523655948</v>
      </c>
      <c r="H601">
        <v>2.1702304687499997E-3</v>
      </c>
      <c r="I601">
        <v>-0.47291241152288888</v>
      </c>
      <c r="J601">
        <v>-1.0263289245370118E-3</v>
      </c>
      <c r="K601" s="93">
        <f t="shared" si="27"/>
        <v>1</v>
      </c>
      <c r="L601" s="93">
        <f t="shared" si="28"/>
        <v>0</v>
      </c>
      <c r="M601" s="93">
        <f t="shared" si="29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1.0280039062499999E-3</v>
      </c>
      <c r="I602">
        <v>-1</v>
      </c>
      <c r="J602">
        <v>-1.0280039062499999E-3</v>
      </c>
      <c r="K602" s="93">
        <f t="shared" si="27"/>
        <v>1</v>
      </c>
      <c r="L602" s="93">
        <f t="shared" si="28"/>
        <v>0</v>
      </c>
      <c r="M602" s="93">
        <f t="shared" si="29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11.232676261827974</v>
      </c>
      <c r="H603">
        <v>2.1702304687499997E-3</v>
      </c>
      <c r="I603">
        <v>-0.6876862740544476</v>
      </c>
      <c r="J603">
        <v>-1.4924377048941245E-3</v>
      </c>
      <c r="K603" s="93">
        <f t="shared" si="27"/>
        <v>1</v>
      </c>
      <c r="L603" s="93">
        <f t="shared" si="28"/>
        <v>0</v>
      </c>
      <c r="M603" s="93">
        <f t="shared" si="29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19.657183458198954</v>
      </c>
      <c r="H604">
        <v>1.3706718749999999E-3</v>
      </c>
      <c r="I604">
        <v>-0.51931769779901749</v>
      </c>
      <c r="J604">
        <v>-7.1181416256286265E-4</v>
      </c>
      <c r="K604" s="93">
        <f t="shared" si="27"/>
        <v>1</v>
      </c>
      <c r="L604" s="93">
        <f t="shared" si="28"/>
        <v>0</v>
      </c>
      <c r="M604" s="93">
        <f t="shared" si="29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5.616338130913987</v>
      </c>
      <c r="H605">
        <v>1.6276728515624997E-3</v>
      </c>
      <c r="I605">
        <v>-0.82926851746249697</v>
      </c>
      <c r="J605">
        <v>-1.3497778525291891E-3</v>
      </c>
      <c r="K605" s="93">
        <f t="shared" si="27"/>
        <v>1</v>
      </c>
      <c r="L605" s="93">
        <f t="shared" si="28"/>
        <v>0</v>
      </c>
      <c r="M605" s="93">
        <f t="shared" si="29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16.849014392741964</v>
      </c>
      <c r="H606">
        <v>3.4361982421874993E-3</v>
      </c>
      <c r="I606">
        <v>-0.57027657696444012</v>
      </c>
      <c r="J606">
        <v>-1.9595833713259131E-3</v>
      </c>
      <c r="K606" s="93">
        <f t="shared" si="27"/>
        <v>1</v>
      </c>
      <c r="L606" s="93">
        <f t="shared" si="28"/>
        <v>0</v>
      </c>
      <c r="M606" s="93">
        <f t="shared" si="29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25.273521589112942</v>
      </c>
      <c r="H607">
        <v>2.1702304687499993E-3</v>
      </c>
      <c r="I607">
        <v>-0.4306538173458283</v>
      </c>
      <c r="J607">
        <v>-9.346180358874135E-4</v>
      </c>
      <c r="K607" s="93">
        <f t="shared" si="27"/>
        <v>1</v>
      </c>
      <c r="L607" s="93">
        <f t="shared" si="28"/>
        <v>0</v>
      </c>
      <c r="M607" s="93">
        <f t="shared" si="29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2.8081690654569935</v>
      </c>
      <c r="H608">
        <v>3.4361982421874993E-3</v>
      </c>
      <c r="I608">
        <v>-0.91064181622770701</v>
      </c>
      <c r="J608">
        <v>-3.1291458081840785E-3</v>
      </c>
      <c r="K608" s="93">
        <f t="shared" si="27"/>
        <v>1</v>
      </c>
      <c r="L608" s="93">
        <f t="shared" si="28"/>
        <v>0</v>
      </c>
      <c r="M608" s="93">
        <f t="shared" si="29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14.040845327284968</v>
      </c>
      <c r="H609">
        <v>7.254196289062498E-3</v>
      </c>
      <c r="I609">
        <v>-0.62623587759980681</v>
      </c>
      <c r="J609">
        <v>-4.5428379793623153E-3</v>
      </c>
      <c r="K609" s="93">
        <f t="shared" si="27"/>
        <v>1</v>
      </c>
      <c r="L609" s="93">
        <f t="shared" si="28"/>
        <v>0</v>
      </c>
      <c r="M609" s="93">
        <f t="shared" si="29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22.465352523655948</v>
      </c>
      <c r="H610">
        <v>4.5815976562499985E-3</v>
      </c>
      <c r="I610">
        <v>-0.47291241152288888</v>
      </c>
      <c r="J610">
        <v>-2.1666943962448024E-3</v>
      </c>
      <c r="K610" s="93">
        <f t="shared" si="27"/>
        <v>1</v>
      </c>
      <c r="L610" s="93">
        <f t="shared" si="28"/>
        <v>0</v>
      </c>
      <c r="M610" s="93">
        <f t="shared" si="29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2.1702304687499997E-3</v>
      </c>
      <c r="I611">
        <v>-1</v>
      </c>
      <c r="J611">
        <v>-2.1702304687499997E-3</v>
      </c>
      <c r="K611" s="93">
        <f t="shared" si="27"/>
        <v>1</v>
      </c>
      <c r="L611" s="93">
        <f t="shared" si="28"/>
        <v>0</v>
      </c>
      <c r="M611" s="93">
        <f t="shared" si="29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11.232676261827974</v>
      </c>
      <c r="H612">
        <v>4.5815976562499994E-3</v>
      </c>
      <c r="I612">
        <v>-0.6876862740544476</v>
      </c>
      <c r="J612">
        <v>-3.1507018214431519E-3</v>
      </c>
      <c r="K612" s="93">
        <f t="shared" si="27"/>
        <v>1</v>
      </c>
      <c r="L612" s="93">
        <f t="shared" si="28"/>
        <v>0</v>
      </c>
      <c r="M612" s="93">
        <f t="shared" si="29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19.657183458198954</v>
      </c>
      <c r="H613">
        <v>2.8936406249999995E-3</v>
      </c>
      <c r="I613">
        <v>-0.51931769779901749</v>
      </c>
      <c r="J613">
        <v>-1.5027187876327098E-3</v>
      </c>
      <c r="K613" s="93">
        <f t="shared" si="27"/>
        <v>1</v>
      </c>
      <c r="L613" s="93">
        <f t="shared" si="28"/>
        <v>0</v>
      </c>
      <c r="M613" s="93">
        <f t="shared" si="29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5.616338130913987</v>
      </c>
      <c r="H614">
        <v>1.0280039062499999E-3</v>
      </c>
      <c r="I614">
        <v>-0.82926851746249697</v>
      </c>
      <c r="J614">
        <v>-8.5249127528159313E-4</v>
      </c>
      <c r="K614" s="93">
        <f t="shared" si="27"/>
        <v>1</v>
      </c>
      <c r="L614" s="93">
        <f t="shared" si="28"/>
        <v>0</v>
      </c>
      <c r="M614" s="93">
        <f t="shared" si="29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16.849014392741964</v>
      </c>
      <c r="H615">
        <v>2.1702304687499997E-3</v>
      </c>
      <c r="I615">
        <v>-0.57027657696444012</v>
      </c>
      <c r="J615">
        <v>-1.2376316029426822E-3</v>
      </c>
      <c r="K615" s="93">
        <f t="shared" si="27"/>
        <v>1</v>
      </c>
      <c r="L615" s="93">
        <f t="shared" si="28"/>
        <v>0</v>
      </c>
      <c r="M615" s="93">
        <f t="shared" si="29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25.273521589112942</v>
      </c>
      <c r="H616">
        <v>1.3706718749999999E-3</v>
      </c>
      <c r="I616">
        <v>-0.4306538173458283</v>
      </c>
      <c r="J616">
        <v>-5.9028507529731403E-4</v>
      </c>
      <c r="K616" s="93">
        <f t="shared" si="27"/>
        <v>1</v>
      </c>
      <c r="L616" s="93">
        <f t="shared" si="28"/>
        <v>0</v>
      </c>
      <c r="M616" s="93">
        <f t="shared" si="29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2.8081690654569935</v>
      </c>
      <c r="H617">
        <v>2.1702304687499997E-3</v>
      </c>
      <c r="I617">
        <v>-0.91064181622770701</v>
      </c>
      <c r="J617">
        <v>-1.9763026156952076E-3</v>
      </c>
      <c r="K617" s="93">
        <f t="shared" si="27"/>
        <v>1</v>
      </c>
      <c r="L617" s="93">
        <f t="shared" si="28"/>
        <v>0</v>
      </c>
      <c r="M617" s="93">
        <f t="shared" si="29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14.040845327284968</v>
      </c>
      <c r="H618">
        <v>4.5815976562499994E-3</v>
      </c>
      <c r="I618">
        <v>-0.62623587759980681</v>
      </c>
      <c r="J618">
        <v>-2.8691608290709364E-3</v>
      </c>
      <c r="K618" s="93">
        <f t="shared" si="27"/>
        <v>1</v>
      </c>
      <c r="L618" s="93">
        <f t="shared" si="28"/>
        <v>0</v>
      </c>
      <c r="M618" s="93">
        <f t="shared" si="29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22.465352523655948</v>
      </c>
      <c r="H619">
        <v>2.8936406249999995E-3</v>
      </c>
      <c r="I619">
        <v>-0.47291241152288888</v>
      </c>
      <c r="J619">
        <v>-1.3684385660493491E-3</v>
      </c>
      <c r="K619" s="93">
        <f t="shared" si="27"/>
        <v>1</v>
      </c>
      <c r="L619" s="93">
        <f t="shared" si="28"/>
        <v>0</v>
      </c>
      <c r="M619" s="93">
        <f t="shared" si="29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1.3706718749999999E-3</v>
      </c>
      <c r="I620">
        <v>-1</v>
      </c>
      <c r="J620">
        <v>-1.3706718749999999E-3</v>
      </c>
      <c r="K620" s="93">
        <f t="shared" si="27"/>
        <v>1</v>
      </c>
      <c r="L620" s="93">
        <f t="shared" si="28"/>
        <v>0</v>
      </c>
      <c r="M620" s="93">
        <f t="shared" si="29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11.232676261827974</v>
      </c>
      <c r="H621">
        <v>2.8936406249999995E-3</v>
      </c>
      <c r="I621">
        <v>-0.6876862740544476</v>
      </c>
      <c r="J621">
        <v>-1.9899169398588327E-3</v>
      </c>
      <c r="K621" s="93">
        <f t="shared" si="27"/>
        <v>1</v>
      </c>
      <c r="L621" s="93">
        <f t="shared" si="28"/>
        <v>0</v>
      </c>
      <c r="M621" s="93">
        <f t="shared" si="29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19.657183458198954</v>
      </c>
      <c r="H622">
        <v>1.8275624999999998E-3</v>
      </c>
      <c r="I622">
        <v>-0.51931769779901749</v>
      </c>
      <c r="J622">
        <v>-9.4908555008381672E-4</v>
      </c>
      <c r="K622" s="93">
        <f t="shared" si="27"/>
        <v>1</v>
      </c>
      <c r="L622" s="93">
        <f t="shared" si="28"/>
        <v>0</v>
      </c>
      <c r="M622" s="93">
        <f t="shared" si="29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5.616338130913987</v>
      </c>
      <c r="H623">
        <v>4.8694921874999997E-4</v>
      </c>
      <c r="I623">
        <v>-0.82926851746249697</v>
      </c>
      <c r="J623">
        <v>-4.0381165671233362E-4</v>
      </c>
      <c r="K623" s="93">
        <f t="shared" si="27"/>
        <v>1</v>
      </c>
      <c r="L623" s="93">
        <f t="shared" si="28"/>
        <v>0</v>
      </c>
      <c r="M623" s="93">
        <f t="shared" si="29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16.849014392741964</v>
      </c>
      <c r="H624">
        <v>1.0280039062499999E-3</v>
      </c>
      <c r="I624">
        <v>-0.57027657696444012</v>
      </c>
      <c r="J624">
        <v>-5.8624654876232314E-4</v>
      </c>
      <c r="K624" s="93">
        <f t="shared" si="27"/>
        <v>1</v>
      </c>
      <c r="L624" s="93">
        <f t="shared" si="28"/>
        <v>0</v>
      </c>
      <c r="M624" s="93">
        <f t="shared" si="29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25.273521589112942</v>
      </c>
      <c r="H625">
        <v>6.4926562499999999E-4</v>
      </c>
      <c r="I625">
        <v>-0.4306538173458283</v>
      </c>
      <c r="J625">
        <v>-2.7960871987767503E-4</v>
      </c>
      <c r="K625" s="93">
        <f t="shared" si="27"/>
        <v>1</v>
      </c>
      <c r="L625" s="93">
        <f t="shared" si="28"/>
        <v>0</v>
      </c>
      <c r="M625" s="93">
        <f t="shared" si="29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2.8081690654569935</v>
      </c>
      <c r="H626">
        <v>1.0280039062499999E-3</v>
      </c>
      <c r="I626">
        <v>-0.91064181622770701</v>
      </c>
      <c r="J626">
        <v>-9.3614334427667744E-4</v>
      </c>
      <c r="K626" s="93">
        <f t="shared" si="27"/>
        <v>1</v>
      </c>
      <c r="L626" s="93">
        <f t="shared" si="28"/>
        <v>0</v>
      </c>
      <c r="M626" s="93">
        <f t="shared" si="29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14.040845327284968</v>
      </c>
      <c r="H627">
        <v>2.1702304687499993E-3</v>
      </c>
      <c r="I627">
        <v>-0.62623587759980681</v>
      </c>
      <c r="J627">
        <v>-1.3590761821914959E-3</v>
      </c>
      <c r="K627" s="93">
        <f t="shared" si="27"/>
        <v>1</v>
      </c>
      <c r="L627" s="93">
        <f t="shared" si="28"/>
        <v>0</v>
      </c>
      <c r="M627" s="93">
        <f t="shared" si="29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22.465352523655948</v>
      </c>
      <c r="H628">
        <v>1.3706718749999997E-3</v>
      </c>
      <c r="I628">
        <v>-0.47291241152288888</v>
      </c>
      <c r="J628">
        <v>-6.4820774181284957E-4</v>
      </c>
      <c r="K628" s="93">
        <f t="shared" si="27"/>
        <v>1</v>
      </c>
      <c r="L628" s="93">
        <f t="shared" si="28"/>
        <v>0</v>
      </c>
      <c r="M628" s="93">
        <f t="shared" si="29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6.4926562499999999E-4</v>
      </c>
      <c r="I629">
        <v>-1</v>
      </c>
      <c r="J629">
        <v>-6.4926562499999999E-4</v>
      </c>
      <c r="K629" s="93">
        <f t="shared" si="27"/>
        <v>1</v>
      </c>
      <c r="L629" s="93">
        <f t="shared" si="28"/>
        <v>0</v>
      </c>
      <c r="M629" s="93">
        <f t="shared" si="29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11.232676261827974</v>
      </c>
      <c r="H630">
        <v>1.3706718749999997E-3</v>
      </c>
      <c r="I630">
        <v>-0.6876862740544476</v>
      </c>
      <c r="J630">
        <v>-9.4259223466997336E-4</v>
      </c>
      <c r="K630" s="93">
        <f t="shared" si="27"/>
        <v>1</v>
      </c>
      <c r="L630" s="93">
        <f t="shared" si="28"/>
        <v>0</v>
      </c>
      <c r="M630" s="93">
        <f t="shared" si="29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19.657183458198954</v>
      </c>
      <c r="H631">
        <v>8.6568749999999992E-4</v>
      </c>
      <c r="I631">
        <v>-0.51931769779901749</v>
      </c>
      <c r="J631">
        <v>-4.4956683951338691E-4</v>
      </c>
      <c r="K631" s="93">
        <f t="shared" si="27"/>
        <v>1</v>
      </c>
      <c r="L631" s="93">
        <f t="shared" si="28"/>
        <v>0</v>
      </c>
      <c r="M631" s="93">
        <f t="shared" si="29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5.616338130913987</v>
      </c>
      <c r="H632">
        <v>1.0280039062499999E-3</v>
      </c>
      <c r="I632">
        <v>-0.82926851746249697</v>
      </c>
      <c r="J632">
        <v>-8.5249127528159313E-4</v>
      </c>
      <c r="K632" s="93">
        <f t="shared" si="27"/>
        <v>1</v>
      </c>
      <c r="L632" s="93">
        <f t="shared" si="28"/>
        <v>0</v>
      </c>
      <c r="M632" s="93">
        <f t="shared" si="29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16.849014392741964</v>
      </c>
      <c r="H633">
        <v>2.1702304687499997E-3</v>
      </c>
      <c r="I633">
        <v>-0.57027657696444012</v>
      </c>
      <c r="J633">
        <v>-1.2376316029426822E-3</v>
      </c>
      <c r="K633" s="93">
        <f t="shared" si="27"/>
        <v>1</v>
      </c>
      <c r="L633" s="93">
        <f t="shared" si="28"/>
        <v>0</v>
      </c>
      <c r="M633" s="93">
        <f t="shared" si="29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25.273521589112942</v>
      </c>
      <c r="H634">
        <v>1.3706718749999999E-3</v>
      </c>
      <c r="I634">
        <v>-0.4306538173458283</v>
      </c>
      <c r="J634">
        <v>-5.9028507529731403E-4</v>
      </c>
      <c r="K634" s="93">
        <f t="shared" si="27"/>
        <v>1</v>
      </c>
      <c r="L634" s="93">
        <f t="shared" si="28"/>
        <v>0</v>
      </c>
      <c r="M634" s="93">
        <f t="shared" si="29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2.8081690654569935</v>
      </c>
      <c r="H635">
        <v>2.1702304687499997E-3</v>
      </c>
      <c r="I635">
        <v>-0.91064181622770701</v>
      </c>
      <c r="J635">
        <v>-1.9763026156952076E-3</v>
      </c>
      <c r="K635" s="93">
        <f t="shared" si="27"/>
        <v>1</v>
      </c>
      <c r="L635" s="93">
        <f t="shared" si="28"/>
        <v>0</v>
      </c>
      <c r="M635" s="93">
        <f t="shared" si="29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14.040845327284968</v>
      </c>
      <c r="H636">
        <v>4.5815976562499994E-3</v>
      </c>
      <c r="I636">
        <v>-0.62623587759980681</v>
      </c>
      <c r="J636">
        <v>-2.8691608290709364E-3</v>
      </c>
      <c r="K636" s="93">
        <f t="shared" si="27"/>
        <v>1</v>
      </c>
      <c r="L636" s="93">
        <f t="shared" si="28"/>
        <v>0</v>
      </c>
      <c r="M636" s="93">
        <f t="shared" si="29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22.465352523655948</v>
      </c>
      <c r="H637">
        <v>2.8936406249999995E-3</v>
      </c>
      <c r="I637">
        <v>-0.47291241152288888</v>
      </c>
      <c r="J637">
        <v>-1.3684385660493491E-3</v>
      </c>
      <c r="K637" s="93">
        <f t="shared" si="27"/>
        <v>1</v>
      </c>
      <c r="L637" s="93">
        <f t="shared" si="28"/>
        <v>0</v>
      </c>
      <c r="M637" s="93">
        <f t="shared" si="29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1.3706718749999999E-3</v>
      </c>
      <c r="I638">
        <v>-1</v>
      </c>
      <c r="J638">
        <v>-1.3706718749999999E-3</v>
      </c>
      <c r="K638" s="93">
        <f t="shared" si="27"/>
        <v>1</v>
      </c>
      <c r="L638" s="93">
        <f t="shared" si="28"/>
        <v>0</v>
      </c>
      <c r="M638" s="93">
        <f t="shared" si="29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11.232676261827974</v>
      </c>
      <c r="H639">
        <v>2.8936406249999995E-3</v>
      </c>
      <c r="I639">
        <v>-0.6876862740544476</v>
      </c>
      <c r="J639">
        <v>-1.9899169398588327E-3</v>
      </c>
      <c r="K639" s="93">
        <f t="shared" si="27"/>
        <v>1</v>
      </c>
      <c r="L639" s="93">
        <f t="shared" si="28"/>
        <v>0</v>
      </c>
      <c r="M639" s="93">
        <f t="shared" si="29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19.657183458198954</v>
      </c>
      <c r="H640">
        <v>1.8275624999999998E-3</v>
      </c>
      <c r="I640">
        <v>-0.51931769779901749</v>
      </c>
      <c r="J640">
        <v>-9.4908555008381672E-4</v>
      </c>
      <c r="K640" s="93">
        <f t="shared" si="27"/>
        <v>1</v>
      </c>
      <c r="L640" s="93">
        <f t="shared" si="28"/>
        <v>0</v>
      </c>
      <c r="M640" s="93">
        <f t="shared" si="29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5.616338130913987</v>
      </c>
      <c r="H641">
        <v>6.4926562499999999E-4</v>
      </c>
      <c r="I641">
        <v>-0.82926851746249697</v>
      </c>
      <c r="J641">
        <v>-5.3841554228311152E-4</v>
      </c>
      <c r="K641" s="93">
        <f t="shared" si="27"/>
        <v>1</v>
      </c>
      <c r="L641" s="93">
        <f t="shared" si="28"/>
        <v>0</v>
      </c>
      <c r="M641" s="93">
        <f t="shared" si="29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16.849014392741964</v>
      </c>
      <c r="H642">
        <v>1.3706718749999997E-3</v>
      </c>
      <c r="I642">
        <v>-0.57027657696444012</v>
      </c>
      <c r="J642">
        <v>-7.8166206501643074E-4</v>
      </c>
      <c r="K642" s="93">
        <f t="shared" si="27"/>
        <v>1</v>
      </c>
      <c r="L642" s="93">
        <f t="shared" si="28"/>
        <v>0</v>
      </c>
      <c r="M642" s="93">
        <f t="shared" si="29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25.273521589112942</v>
      </c>
      <c r="H643">
        <v>8.6568749999999992E-4</v>
      </c>
      <c r="I643">
        <v>-0.4306538173458283</v>
      </c>
      <c r="J643">
        <v>-3.7281162650356671E-4</v>
      </c>
      <c r="K643" s="93">
        <f t="shared" ref="K643:K706" si="30">IF(A643=3,1,0)</f>
        <v>1</v>
      </c>
      <c r="L643" s="93">
        <f t="shared" ref="L643:L706" si="31">IF(A643=2,1,0)</f>
        <v>0</v>
      </c>
      <c r="M643" s="93">
        <f t="shared" ref="M643:M706" si="32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2.8081690654569935</v>
      </c>
      <c r="H644">
        <v>1.3706718749999997E-3</v>
      </c>
      <c r="I644">
        <v>-0.91064181622770701</v>
      </c>
      <c r="J644">
        <v>-1.2481911257022364E-3</v>
      </c>
      <c r="K644" s="93">
        <f t="shared" si="30"/>
        <v>1</v>
      </c>
      <c r="L644" s="93">
        <f t="shared" si="31"/>
        <v>0</v>
      </c>
      <c r="M644" s="93">
        <f t="shared" si="32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14.040845327284968</v>
      </c>
      <c r="H645">
        <v>2.8936406249999991E-3</v>
      </c>
      <c r="I645">
        <v>-0.62623587759980681</v>
      </c>
      <c r="J645">
        <v>-1.812101576255328E-3</v>
      </c>
      <c r="K645" s="93">
        <f t="shared" si="30"/>
        <v>1</v>
      </c>
      <c r="L645" s="93">
        <f t="shared" si="31"/>
        <v>0</v>
      </c>
      <c r="M645" s="93">
        <f t="shared" si="32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22.465352523655948</v>
      </c>
      <c r="H646">
        <v>1.8275624999999993E-3</v>
      </c>
      <c r="I646">
        <v>-0.47291241152288888</v>
      </c>
      <c r="J646">
        <v>-8.6427698908379932E-4</v>
      </c>
      <c r="K646" s="93">
        <f t="shared" si="30"/>
        <v>1</v>
      </c>
      <c r="L646" s="93">
        <f t="shared" si="31"/>
        <v>0</v>
      </c>
      <c r="M646" s="93">
        <f t="shared" si="32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8.6568749999999992E-4</v>
      </c>
      <c r="I647">
        <v>-1</v>
      </c>
      <c r="J647">
        <v>-8.6568749999999992E-4</v>
      </c>
      <c r="K647" s="93">
        <f t="shared" si="30"/>
        <v>1</v>
      </c>
      <c r="L647" s="93">
        <f t="shared" si="31"/>
        <v>0</v>
      </c>
      <c r="M647" s="93">
        <f t="shared" si="32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11.232676261827974</v>
      </c>
      <c r="H648">
        <v>1.8275624999999995E-3</v>
      </c>
      <c r="I648">
        <v>-0.6876862740544476</v>
      </c>
      <c r="J648">
        <v>-1.2567896462266311E-3</v>
      </c>
      <c r="K648" s="93">
        <f t="shared" si="30"/>
        <v>1</v>
      </c>
      <c r="L648" s="93">
        <f t="shared" si="31"/>
        <v>0</v>
      </c>
      <c r="M648" s="93">
        <f t="shared" si="32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19.657183458198954</v>
      </c>
      <c r="H649">
        <v>1.1542499999999997E-3</v>
      </c>
      <c r="I649">
        <v>-0.51931769779901749</v>
      </c>
      <c r="J649">
        <v>-5.994224526845158E-4</v>
      </c>
      <c r="K649" s="93">
        <f t="shared" si="30"/>
        <v>1</v>
      </c>
      <c r="L649" s="93">
        <f t="shared" si="31"/>
        <v>0</v>
      </c>
      <c r="M649" s="93">
        <f t="shared" si="32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5.616338130913987</v>
      </c>
      <c r="H650">
        <v>2.3066015625000002E-4</v>
      </c>
      <c r="I650">
        <v>-0.82926851746249697</v>
      </c>
      <c r="J650">
        <v>-1.9127920581110542E-4</v>
      </c>
      <c r="K650" s="93">
        <f t="shared" si="30"/>
        <v>1</v>
      </c>
      <c r="L650" s="93">
        <f t="shared" si="31"/>
        <v>0</v>
      </c>
      <c r="M650" s="93">
        <f t="shared" si="32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16.849014392741964</v>
      </c>
      <c r="H651">
        <v>4.8694921874999997E-4</v>
      </c>
      <c r="I651">
        <v>-0.57027657696444012</v>
      </c>
      <c r="J651">
        <v>-2.7769573362425835E-4</v>
      </c>
      <c r="K651" s="93">
        <f t="shared" si="30"/>
        <v>1</v>
      </c>
      <c r="L651" s="93">
        <f t="shared" si="31"/>
        <v>0</v>
      </c>
      <c r="M651" s="93">
        <f t="shared" si="32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25.273521589112942</v>
      </c>
      <c r="H652">
        <v>3.0754687499999999E-4</v>
      </c>
      <c r="I652">
        <v>-0.4306538173458283</v>
      </c>
      <c r="J652">
        <v>-1.3244623573153028E-4</v>
      </c>
      <c r="K652" s="93">
        <f t="shared" si="30"/>
        <v>1</v>
      </c>
      <c r="L652" s="93">
        <f t="shared" si="31"/>
        <v>0</v>
      </c>
      <c r="M652" s="93">
        <f t="shared" si="32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2.8081690654569935</v>
      </c>
      <c r="H653">
        <v>4.8694921874999997E-4</v>
      </c>
      <c r="I653">
        <v>-0.91064181622770701</v>
      </c>
      <c r="J653">
        <v>-4.4343632097316299E-4</v>
      </c>
      <c r="K653" s="93">
        <f t="shared" si="30"/>
        <v>1</v>
      </c>
      <c r="L653" s="93">
        <f t="shared" si="31"/>
        <v>0</v>
      </c>
      <c r="M653" s="93">
        <f t="shared" si="32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14.040845327284968</v>
      </c>
      <c r="H654">
        <v>1.0280039062499999E-3</v>
      </c>
      <c r="I654">
        <v>-0.62623587759980681</v>
      </c>
      <c r="J654">
        <v>-6.4377292840649819E-4</v>
      </c>
      <c r="K654" s="93">
        <f t="shared" si="30"/>
        <v>1</v>
      </c>
      <c r="L654" s="93">
        <f t="shared" si="31"/>
        <v>0</v>
      </c>
      <c r="M654" s="93">
        <f t="shared" si="32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22.465352523655948</v>
      </c>
      <c r="H655">
        <v>6.4926562499999999E-4</v>
      </c>
      <c r="I655">
        <v>-0.47291241152288888</v>
      </c>
      <c r="J655">
        <v>-3.0704577243766563E-4</v>
      </c>
      <c r="K655" s="93">
        <f t="shared" si="30"/>
        <v>1</v>
      </c>
      <c r="L655" s="93">
        <f t="shared" si="31"/>
        <v>0</v>
      </c>
      <c r="M655" s="93">
        <f t="shared" si="32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3.0754687500000004E-4</v>
      </c>
      <c r="I656">
        <v>-1</v>
      </c>
      <c r="J656">
        <v>-3.0754687500000004E-4</v>
      </c>
      <c r="K656" s="93">
        <f t="shared" si="30"/>
        <v>1</v>
      </c>
      <c r="L656" s="93">
        <f t="shared" si="31"/>
        <v>0</v>
      </c>
      <c r="M656" s="93">
        <f t="shared" si="32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11.232676261827974</v>
      </c>
      <c r="H657">
        <v>6.4926562499999999E-4</v>
      </c>
      <c r="I657">
        <v>-0.6876862740544476</v>
      </c>
      <c r="J657">
        <v>-4.4649105852788223E-4</v>
      </c>
      <c r="K657" s="93">
        <f t="shared" si="30"/>
        <v>1</v>
      </c>
      <c r="L657" s="93">
        <f t="shared" si="31"/>
        <v>0</v>
      </c>
      <c r="M657" s="93">
        <f t="shared" si="32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19.657183458198954</v>
      </c>
      <c r="H658">
        <v>4.100625E-4</v>
      </c>
      <c r="I658">
        <v>-0.51931769779901749</v>
      </c>
      <c r="J658">
        <v>-2.1295271345370961E-4</v>
      </c>
      <c r="K658" s="93">
        <f t="shared" si="30"/>
        <v>1</v>
      </c>
      <c r="L658" s="93">
        <f t="shared" si="31"/>
        <v>0</v>
      </c>
      <c r="M658" s="93">
        <f t="shared" si="32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5.616338130913987</v>
      </c>
      <c r="H659">
        <v>4.8694921875000008E-4</v>
      </c>
      <c r="I659">
        <v>-0.82926851746249697</v>
      </c>
      <c r="J659">
        <v>-4.0381165671233367E-4</v>
      </c>
      <c r="K659" s="93">
        <f t="shared" si="30"/>
        <v>1</v>
      </c>
      <c r="L659" s="93">
        <f t="shared" si="31"/>
        <v>0</v>
      </c>
      <c r="M659" s="93">
        <f t="shared" si="32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16.849014392741964</v>
      </c>
      <c r="H660">
        <v>1.0280039062500002E-3</v>
      </c>
      <c r="I660">
        <v>-0.57027657696444012</v>
      </c>
      <c r="J660">
        <v>-5.8624654876232335E-4</v>
      </c>
      <c r="K660" s="93">
        <f t="shared" si="30"/>
        <v>1</v>
      </c>
      <c r="L660" s="93">
        <f t="shared" si="31"/>
        <v>0</v>
      </c>
      <c r="M660" s="93">
        <f t="shared" si="32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25.273521589112942</v>
      </c>
      <c r="H661">
        <v>6.492656250000001E-4</v>
      </c>
      <c r="I661">
        <v>-0.4306538173458283</v>
      </c>
      <c r="J661">
        <v>-2.7960871987767509E-4</v>
      </c>
      <c r="K661" s="93">
        <f t="shared" si="30"/>
        <v>1</v>
      </c>
      <c r="L661" s="93">
        <f t="shared" si="31"/>
        <v>0</v>
      </c>
      <c r="M661" s="93">
        <f t="shared" si="32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2.8081690654569935</v>
      </c>
      <c r="H662">
        <v>1.0280039062499999E-3</v>
      </c>
      <c r="I662">
        <v>-0.91064181622770701</v>
      </c>
      <c r="J662">
        <v>-9.3614334427667744E-4</v>
      </c>
      <c r="K662" s="93">
        <f t="shared" si="30"/>
        <v>1</v>
      </c>
      <c r="L662" s="93">
        <f t="shared" si="31"/>
        <v>0</v>
      </c>
      <c r="M662" s="93">
        <f t="shared" si="32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14.040845327284968</v>
      </c>
      <c r="H663">
        <v>2.1702304687499997E-3</v>
      </c>
      <c r="I663">
        <v>-0.62623587759980681</v>
      </c>
      <c r="J663">
        <v>-1.3590761821914961E-3</v>
      </c>
      <c r="K663" s="93">
        <f t="shared" si="30"/>
        <v>1</v>
      </c>
      <c r="L663" s="93">
        <f t="shared" si="31"/>
        <v>0</v>
      </c>
      <c r="M663" s="93">
        <f t="shared" si="32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22.465352523655948</v>
      </c>
      <c r="H664">
        <v>1.3706718749999999E-3</v>
      </c>
      <c r="I664">
        <v>-0.47291241152288888</v>
      </c>
      <c r="J664">
        <v>-6.4820774181284968E-4</v>
      </c>
      <c r="K664" s="93">
        <f t="shared" si="30"/>
        <v>1</v>
      </c>
      <c r="L664" s="93">
        <f t="shared" si="31"/>
        <v>0</v>
      </c>
      <c r="M664" s="93">
        <f t="shared" si="32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6.492656250000001E-4</v>
      </c>
      <c r="I665">
        <v>-1</v>
      </c>
      <c r="J665">
        <v>-6.492656250000001E-4</v>
      </c>
      <c r="K665" s="93">
        <f t="shared" si="30"/>
        <v>1</v>
      </c>
      <c r="L665" s="93">
        <f t="shared" si="31"/>
        <v>0</v>
      </c>
      <c r="M665" s="93">
        <f t="shared" si="32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11.232676261827974</v>
      </c>
      <c r="H666">
        <v>1.3706718749999999E-3</v>
      </c>
      <c r="I666">
        <v>-0.6876862740544476</v>
      </c>
      <c r="J666">
        <v>-9.4259223466997347E-4</v>
      </c>
      <c r="K666" s="93">
        <f t="shared" si="30"/>
        <v>1</v>
      </c>
      <c r="L666" s="93">
        <f t="shared" si="31"/>
        <v>0</v>
      </c>
      <c r="M666" s="93">
        <f t="shared" si="32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19.657183458198954</v>
      </c>
      <c r="H667">
        <v>8.6568750000000003E-4</v>
      </c>
      <c r="I667">
        <v>-0.51931769779901749</v>
      </c>
      <c r="J667">
        <v>-4.4956683951338696E-4</v>
      </c>
      <c r="K667" s="93">
        <f t="shared" si="30"/>
        <v>1</v>
      </c>
      <c r="L667" s="93">
        <f t="shared" si="31"/>
        <v>0</v>
      </c>
      <c r="M667" s="93">
        <f t="shared" si="32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5.616338130913987</v>
      </c>
      <c r="H668">
        <v>3.0754687500000004E-4</v>
      </c>
      <c r="I668">
        <v>-0.82926851746249697</v>
      </c>
      <c r="J668">
        <v>-2.5503894108147389E-4</v>
      </c>
      <c r="K668" s="93">
        <f t="shared" si="30"/>
        <v>1</v>
      </c>
      <c r="L668" s="93">
        <f t="shared" si="31"/>
        <v>0</v>
      </c>
      <c r="M668" s="93">
        <f t="shared" si="32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16.849014392741964</v>
      </c>
      <c r="H669">
        <v>6.4926562499999999E-4</v>
      </c>
      <c r="I669">
        <v>-0.57027657696444012</v>
      </c>
      <c r="J669">
        <v>-3.7026097816567782E-4</v>
      </c>
      <c r="K669" s="93">
        <f t="shared" si="30"/>
        <v>1</v>
      </c>
      <c r="L669" s="93">
        <f t="shared" si="31"/>
        <v>0</v>
      </c>
      <c r="M669" s="93">
        <f t="shared" si="32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25.273521589112942</v>
      </c>
      <c r="H670">
        <v>4.100625E-4</v>
      </c>
      <c r="I670">
        <v>-0.4306538173458283</v>
      </c>
      <c r="J670">
        <v>-1.7659498097537371E-4</v>
      </c>
      <c r="K670" s="93">
        <f t="shared" si="30"/>
        <v>1</v>
      </c>
      <c r="L670" s="93">
        <f t="shared" si="31"/>
        <v>0</v>
      </c>
      <c r="M670" s="93">
        <f t="shared" si="32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2.8081690654569935</v>
      </c>
      <c r="H671">
        <v>6.4926562499999999E-4</v>
      </c>
      <c r="I671">
        <v>-0.91064181622770701</v>
      </c>
      <c r="J671">
        <v>-5.9124842796421729E-4</v>
      </c>
      <c r="K671" s="93">
        <f t="shared" si="30"/>
        <v>1</v>
      </c>
      <c r="L671" s="93">
        <f t="shared" si="31"/>
        <v>0</v>
      </c>
      <c r="M671" s="93">
        <f t="shared" si="32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14.040845327284968</v>
      </c>
      <c r="H672">
        <v>1.3706718749999997E-3</v>
      </c>
      <c r="I672">
        <v>-0.62623587759980681</v>
      </c>
      <c r="J672">
        <v>-8.5836390454199752E-4</v>
      </c>
      <c r="K672" s="93">
        <f t="shared" si="30"/>
        <v>1</v>
      </c>
      <c r="L672" s="93">
        <f t="shared" si="31"/>
        <v>0</v>
      </c>
      <c r="M672" s="93">
        <f t="shared" si="32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22.465352523655948</v>
      </c>
      <c r="H673">
        <v>8.6568749999999992E-4</v>
      </c>
      <c r="I673">
        <v>-0.47291241152288888</v>
      </c>
      <c r="J673">
        <v>-4.093943632502208E-4</v>
      </c>
      <c r="K673" s="93">
        <f t="shared" si="30"/>
        <v>1</v>
      </c>
      <c r="L673" s="93">
        <f t="shared" si="31"/>
        <v>0</v>
      </c>
      <c r="M673" s="93">
        <f t="shared" si="32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4.100625E-4</v>
      </c>
      <c r="I674">
        <v>-1</v>
      </c>
      <c r="J674">
        <v>-4.100625E-4</v>
      </c>
      <c r="K674" s="93">
        <f t="shared" si="30"/>
        <v>1</v>
      </c>
      <c r="L674" s="93">
        <f t="shared" si="31"/>
        <v>0</v>
      </c>
      <c r="M674" s="93">
        <f t="shared" si="32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11.232676261827974</v>
      </c>
      <c r="H675">
        <v>8.6568749999999992E-4</v>
      </c>
      <c r="I675">
        <v>-0.6876862740544476</v>
      </c>
      <c r="J675">
        <v>-5.953214113705096E-4</v>
      </c>
      <c r="K675" s="93">
        <f t="shared" si="30"/>
        <v>1</v>
      </c>
      <c r="L675" s="93">
        <f t="shared" si="31"/>
        <v>0</v>
      </c>
      <c r="M675" s="93">
        <f t="shared" si="32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19.657183458198954</v>
      </c>
      <c r="H676">
        <v>5.4674999999999993E-4</v>
      </c>
      <c r="I676">
        <v>-0.51931769779901749</v>
      </c>
      <c r="J676">
        <v>-2.8393695127161279E-4</v>
      </c>
      <c r="K676" s="93">
        <f t="shared" si="30"/>
        <v>1</v>
      </c>
      <c r="L676" s="93">
        <f t="shared" si="31"/>
        <v>0</v>
      </c>
      <c r="M676" s="93">
        <f t="shared" si="32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5.616338130913987</v>
      </c>
      <c r="H677">
        <v>4.8694921874999997E-4</v>
      </c>
      <c r="I677">
        <v>-0.82926851746249697</v>
      </c>
      <c r="J677">
        <v>-4.0381165671233362E-4</v>
      </c>
      <c r="K677" s="93">
        <f t="shared" si="30"/>
        <v>1</v>
      </c>
      <c r="L677" s="93">
        <f t="shared" si="31"/>
        <v>0</v>
      </c>
      <c r="M677" s="93">
        <f t="shared" si="32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16.849014392741964</v>
      </c>
      <c r="H678">
        <v>1.0280039062499999E-3</v>
      </c>
      <c r="I678">
        <v>-0.57027657696444012</v>
      </c>
      <c r="J678">
        <v>-5.8624654876232314E-4</v>
      </c>
      <c r="K678" s="93">
        <f t="shared" si="30"/>
        <v>1</v>
      </c>
      <c r="L678" s="93">
        <f t="shared" si="31"/>
        <v>0</v>
      </c>
      <c r="M678" s="93">
        <f t="shared" si="32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25.273521589112942</v>
      </c>
      <c r="H679">
        <v>6.4926562499999999E-4</v>
      </c>
      <c r="I679">
        <v>-0.4306538173458283</v>
      </c>
      <c r="J679">
        <v>-2.7960871987767503E-4</v>
      </c>
      <c r="K679" s="93">
        <f t="shared" si="30"/>
        <v>1</v>
      </c>
      <c r="L679" s="93">
        <f t="shared" si="31"/>
        <v>0</v>
      </c>
      <c r="M679" s="93">
        <f t="shared" si="32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2.8081690654569935</v>
      </c>
      <c r="H680">
        <v>1.0280039062499999E-3</v>
      </c>
      <c r="I680">
        <v>-0.91064181622770701</v>
      </c>
      <c r="J680">
        <v>-9.3614334427667744E-4</v>
      </c>
      <c r="K680" s="93">
        <f t="shared" si="30"/>
        <v>1</v>
      </c>
      <c r="L680" s="93">
        <f t="shared" si="31"/>
        <v>0</v>
      </c>
      <c r="M680" s="93">
        <f t="shared" si="32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14.040845327284968</v>
      </c>
      <c r="H681">
        <v>2.1702304687499993E-3</v>
      </c>
      <c r="I681">
        <v>-0.62623587759980681</v>
      </c>
      <c r="J681">
        <v>-1.3590761821914959E-3</v>
      </c>
      <c r="K681" s="93">
        <f t="shared" si="30"/>
        <v>1</v>
      </c>
      <c r="L681" s="93">
        <f t="shared" si="31"/>
        <v>0</v>
      </c>
      <c r="M681" s="93">
        <f t="shared" si="32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22.465352523655948</v>
      </c>
      <c r="H682">
        <v>1.3706718749999997E-3</v>
      </c>
      <c r="I682">
        <v>-0.47291241152288888</v>
      </c>
      <c r="J682">
        <v>-6.4820774181284957E-4</v>
      </c>
      <c r="K682" s="93">
        <f t="shared" si="30"/>
        <v>1</v>
      </c>
      <c r="L682" s="93">
        <f t="shared" si="31"/>
        <v>0</v>
      </c>
      <c r="M682" s="93">
        <f t="shared" si="32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6.4926562499999999E-4</v>
      </c>
      <c r="I683">
        <v>-1</v>
      </c>
      <c r="J683">
        <v>-6.4926562499999999E-4</v>
      </c>
      <c r="K683" s="93">
        <f t="shared" si="30"/>
        <v>1</v>
      </c>
      <c r="L683" s="93">
        <f t="shared" si="31"/>
        <v>0</v>
      </c>
      <c r="M683" s="93">
        <f t="shared" si="32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11.232676261827974</v>
      </c>
      <c r="H684">
        <v>1.3706718749999997E-3</v>
      </c>
      <c r="I684">
        <v>-0.6876862740544476</v>
      </c>
      <c r="J684">
        <v>-9.4259223466997336E-4</v>
      </c>
      <c r="K684" s="93">
        <f t="shared" si="30"/>
        <v>1</v>
      </c>
      <c r="L684" s="93">
        <f t="shared" si="31"/>
        <v>0</v>
      </c>
      <c r="M684" s="93">
        <f t="shared" si="32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19.657183458198954</v>
      </c>
      <c r="H685">
        <v>8.6568749999999992E-4</v>
      </c>
      <c r="I685">
        <v>-0.51931769779901749</v>
      </c>
      <c r="J685">
        <v>-4.4956683951338691E-4</v>
      </c>
      <c r="K685" s="93">
        <f t="shared" si="30"/>
        <v>1</v>
      </c>
      <c r="L685" s="93">
        <f t="shared" si="31"/>
        <v>0</v>
      </c>
      <c r="M685" s="93">
        <f t="shared" si="32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5.616338130913987</v>
      </c>
      <c r="H686">
        <v>1.0280039062499999E-3</v>
      </c>
      <c r="I686">
        <v>-0.82926851746249697</v>
      </c>
      <c r="J686">
        <v>-8.5249127528159313E-4</v>
      </c>
      <c r="K686" s="93">
        <f t="shared" si="30"/>
        <v>1</v>
      </c>
      <c r="L686" s="93">
        <f t="shared" si="31"/>
        <v>0</v>
      </c>
      <c r="M686" s="93">
        <f t="shared" si="32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16.849014392741964</v>
      </c>
      <c r="H687">
        <v>2.1702304687499997E-3</v>
      </c>
      <c r="I687">
        <v>-0.57027657696444012</v>
      </c>
      <c r="J687">
        <v>-1.2376316029426822E-3</v>
      </c>
      <c r="K687" s="93">
        <f t="shared" si="30"/>
        <v>1</v>
      </c>
      <c r="L687" s="93">
        <f t="shared" si="31"/>
        <v>0</v>
      </c>
      <c r="M687" s="93">
        <f t="shared" si="32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25.273521589112942</v>
      </c>
      <c r="H688">
        <v>1.3706718749999999E-3</v>
      </c>
      <c r="I688">
        <v>-0.4306538173458283</v>
      </c>
      <c r="J688">
        <v>-5.9028507529731403E-4</v>
      </c>
      <c r="K688" s="93">
        <f t="shared" si="30"/>
        <v>1</v>
      </c>
      <c r="L688" s="93">
        <f t="shared" si="31"/>
        <v>0</v>
      </c>
      <c r="M688" s="93">
        <f t="shared" si="32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2.8081690654569935</v>
      </c>
      <c r="H689">
        <v>2.1702304687499997E-3</v>
      </c>
      <c r="I689">
        <v>-0.91064181622770701</v>
      </c>
      <c r="J689">
        <v>-1.9763026156952076E-3</v>
      </c>
      <c r="K689" s="93">
        <f t="shared" si="30"/>
        <v>1</v>
      </c>
      <c r="L689" s="93">
        <f t="shared" si="31"/>
        <v>0</v>
      </c>
      <c r="M689" s="93">
        <f t="shared" si="32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14.040845327284968</v>
      </c>
      <c r="H690">
        <v>4.5815976562499994E-3</v>
      </c>
      <c r="I690">
        <v>-0.62623587759980681</v>
      </c>
      <c r="J690">
        <v>-2.8691608290709364E-3</v>
      </c>
      <c r="K690" s="93">
        <f t="shared" si="30"/>
        <v>1</v>
      </c>
      <c r="L690" s="93">
        <f t="shared" si="31"/>
        <v>0</v>
      </c>
      <c r="M690" s="93">
        <f t="shared" si="32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22.465352523655948</v>
      </c>
      <c r="H691">
        <v>2.8936406249999995E-3</v>
      </c>
      <c r="I691">
        <v>-0.47291241152288888</v>
      </c>
      <c r="J691">
        <v>-1.3684385660493491E-3</v>
      </c>
      <c r="K691" s="93">
        <f t="shared" si="30"/>
        <v>1</v>
      </c>
      <c r="L691" s="93">
        <f t="shared" si="31"/>
        <v>0</v>
      </c>
      <c r="M691" s="93">
        <f t="shared" si="32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1.3706718749999999E-3</v>
      </c>
      <c r="I692">
        <v>-1</v>
      </c>
      <c r="J692">
        <v>-1.3706718749999999E-3</v>
      </c>
      <c r="K692" s="93">
        <f t="shared" si="30"/>
        <v>1</v>
      </c>
      <c r="L692" s="93">
        <f t="shared" si="31"/>
        <v>0</v>
      </c>
      <c r="M692" s="93">
        <f t="shared" si="32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11.232676261827974</v>
      </c>
      <c r="H693">
        <v>2.8936406249999995E-3</v>
      </c>
      <c r="I693">
        <v>-0.6876862740544476</v>
      </c>
      <c r="J693">
        <v>-1.9899169398588327E-3</v>
      </c>
      <c r="K693" s="93">
        <f t="shared" si="30"/>
        <v>1</v>
      </c>
      <c r="L693" s="93">
        <f t="shared" si="31"/>
        <v>0</v>
      </c>
      <c r="M693" s="93">
        <f t="shared" si="32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19.657183458198954</v>
      </c>
      <c r="H694">
        <v>1.8275624999999998E-3</v>
      </c>
      <c r="I694">
        <v>-0.51931769779901749</v>
      </c>
      <c r="J694">
        <v>-9.4908555008381672E-4</v>
      </c>
      <c r="K694" s="93">
        <f t="shared" si="30"/>
        <v>1</v>
      </c>
      <c r="L694" s="93">
        <f t="shared" si="31"/>
        <v>0</v>
      </c>
      <c r="M694" s="93">
        <f t="shared" si="32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5.616338130913987</v>
      </c>
      <c r="H695">
        <v>6.4926562499999999E-4</v>
      </c>
      <c r="I695">
        <v>-0.82926851746249697</v>
      </c>
      <c r="J695">
        <v>-5.3841554228311152E-4</v>
      </c>
      <c r="K695" s="93">
        <f t="shared" si="30"/>
        <v>1</v>
      </c>
      <c r="L695" s="93">
        <f t="shared" si="31"/>
        <v>0</v>
      </c>
      <c r="M695" s="93">
        <f t="shared" si="32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16.849014392741964</v>
      </c>
      <c r="H696">
        <v>1.3706718749999997E-3</v>
      </c>
      <c r="I696">
        <v>-0.57027657696444012</v>
      </c>
      <c r="J696">
        <v>-7.8166206501643074E-4</v>
      </c>
      <c r="K696" s="93">
        <f t="shared" si="30"/>
        <v>1</v>
      </c>
      <c r="L696" s="93">
        <f t="shared" si="31"/>
        <v>0</v>
      </c>
      <c r="M696" s="93">
        <f t="shared" si="32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25.273521589112942</v>
      </c>
      <c r="H697">
        <v>8.6568749999999992E-4</v>
      </c>
      <c r="I697">
        <v>-0.4306538173458283</v>
      </c>
      <c r="J697">
        <v>-3.7281162650356671E-4</v>
      </c>
      <c r="K697" s="93">
        <f t="shared" si="30"/>
        <v>1</v>
      </c>
      <c r="L697" s="93">
        <f t="shared" si="31"/>
        <v>0</v>
      </c>
      <c r="M697" s="93">
        <f t="shared" si="32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2.8081690654569935</v>
      </c>
      <c r="H698">
        <v>1.3706718749999997E-3</v>
      </c>
      <c r="I698">
        <v>-0.91064181622770701</v>
      </c>
      <c r="J698">
        <v>-1.2481911257022364E-3</v>
      </c>
      <c r="K698" s="93">
        <f t="shared" si="30"/>
        <v>1</v>
      </c>
      <c r="L698" s="93">
        <f t="shared" si="31"/>
        <v>0</v>
      </c>
      <c r="M698" s="93">
        <f t="shared" si="32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14.040845327284968</v>
      </c>
      <c r="H699">
        <v>2.8936406249999991E-3</v>
      </c>
      <c r="I699">
        <v>-0.62623587759980681</v>
      </c>
      <c r="J699">
        <v>-1.812101576255328E-3</v>
      </c>
      <c r="K699" s="93">
        <f t="shared" si="30"/>
        <v>1</v>
      </c>
      <c r="L699" s="93">
        <f t="shared" si="31"/>
        <v>0</v>
      </c>
      <c r="M699" s="93">
        <f t="shared" si="32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22.465352523655948</v>
      </c>
      <c r="H700">
        <v>1.8275624999999993E-3</v>
      </c>
      <c r="I700">
        <v>-0.47291241152288888</v>
      </c>
      <c r="J700">
        <v>-8.6427698908379932E-4</v>
      </c>
      <c r="K700" s="93">
        <f t="shared" si="30"/>
        <v>1</v>
      </c>
      <c r="L700" s="93">
        <f t="shared" si="31"/>
        <v>0</v>
      </c>
      <c r="M700" s="93">
        <f t="shared" si="32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8.6568749999999992E-4</v>
      </c>
      <c r="I701">
        <v>-1</v>
      </c>
      <c r="J701">
        <v>-8.6568749999999992E-4</v>
      </c>
      <c r="K701" s="93">
        <f t="shared" si="30"/>
        <v>1</v>
      </c>
      <c r="L701" s="93">
        <f t="shared" si="31"/>
        <v>0</v>
      </c>
      <c r="M701" s="93">
        <f t="shared" si="32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11.232676261827974</v>
      </c>
      <c r="H702">
        <v>1.8275624999999995E-3</v>
      </c>
      <c r="I702">
        <v>-0.6876862740544476</v>
      </c>
      <c r="J702">
        <v>-1.2567896462266311E-3</v>
      </c>
      <c r="K702" s="93">
        <f t="shared" si="30"/>
        <v>1</v>
      </c>
      <c r="L702" s="93">
        <f t="shared" si="31"/>
        <v>0</v>
      </c>
      <c r="M702" s="93">
        <f t="shared" si="32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19.657183458198954</v>
      </c>
      <c r="H703">
        <v>1.1542499999999997E-3</v>
      </c>
      <c r="I703">
        <v>-0.51931769779901749</v>
      </c>
      <c r="J703">
        <v>-5.994224526845158E-4</v>
      </c>
      <c r="K703" s="93">
        <f t="shared" si="30"/>
        <v>1</v>
      </c>
      <c r="L703" s="93">
        <f t="shared" si="31"/>
        <v>0</v>
      </c>
      <c r="M703" s="93">
        <f t="shared" si="32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5.616338130913987</v>
      </c>
      <c r="H704">
        <v>3.0754687500000004E-4</v>
      </c>
      <c r="I704">
        <v>-0.82926851746249697</v>
      </c>
      <c r="J704">
        <v>-2.5503894108147389E-4</v>
      </c>
      <c r="K704" s="93">
        <f t="shared" si="30"/>
        <v>1</v>
      </c>
      <c r="L704" s="93">
        <f t="shared" si="31"/>
        <v>0</v>
      </c>
      <c r="M704" s="93">
        <f t="shared" si="32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16.849014392741964</v>
      </c>
      <c r="H705">
        <v>6.4926562499999999E-4</v>
      </c>
      <c r="I705">
        <v>-0.57027657696444012</v>
      </c>
      <c r="J705">
        <v>-3.7026097816567782E-4</v>
      </c>
      <c r="K705" s="93">
        <f t="shared" si="30"/>
        <v>1</v>
      </c>
      <c r="L705" s="93">
        <f t="shared" si="31"/>
        <v>0</v>
      </c>
      <c r="M705" s="93">
        <f t="shared" si="32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25.273521589112942</v>
      </c>
      <c r="H706">
        <v>4.100625E-4</v>
      </c>
      <c r="I706">
        <v>-0.4306538173458283</v>
      </c>
      <c r="J706">
        <v>-1.7659498097537371E-4</v>
      </c>
      <c r="K706" s="93">
        <f t="shared" si="30"/>
        <v>1</v>
      </c>
      <c r="L706" s="93">
        <f t="shared" si="31"/>
        <v>0</v>
      </c>
      <c r="M706" s="93">
        <f t="shared" si="32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2.8081690654569935</v>
      </c>
      <c r="H707">
        <v>6.4926562499999999E-4</v>
      </c>
      <c r="I707">
        <v>-0.91064181622770701</v>
      </c>
      <c r="J707">
        <v>-5.9124842796421729E-4</v>
      </c>
      <c r="K707" s="93">
        <f t="shared" ref="K707:K730" si="33">IF(A707=3,1,0)</f>
        <v>1</v>
      </c>
      <c r="L707" s="93">
        <f t="shared" ref="L707:L730" si="34">IF(A707=2,1,0)</f>
        <v>0</v>
      </c>
      <c r="M707" s="93">
        <f t="shared" ref="M707:M730" si="35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14.040845327284968</v>
      </c>
      <c r="H708">
        <v>1.3706718749999997E-3</v>
      </c>
      <c r="I708">
        <v>-0.62623587759980681</v>
      </c>
      <c r="J708">
        <v>-8.5836390454199752E-4</v>
      </c>
      <c r="K708" s="93">
        <f t="shared" si="33"/>
        <v>1</v>
      </c>
      <c r="L708" s="93">
        <f t="shared" si="34"/>
        <v>0</v>
      </c>
      <c r="M708" s="93">
        <f t="shared" si="35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22.465352523655948</v>
      </c>
      <c r="H709">
        <v>8.6568749999999992E-4</v>
      </c>
      <c r="I709">
        <v>-0.47291241152288888</v>
      </c>
      <c r="J709">
        <v>-4.093943632502208E-4</v>
      </c>
      <c r="K709" s="93">
        <f t="shared" si="33"/>
        <v>1</v>
      </c>
      <c r="L709" s="93">
        <f t="shared" si="34"/>
        <v>0</v>
      </c>
      <c r="M709" s="93">
        <f t="shared" si="35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4.100625E-4</v>
      </c>
      <c r="I710">
        <v>-1</v>
      </c>
      <c r="J710">
        <v>-4.100625E-4</v>
      </c>
      <c r="K710" s="93">
        <f t="shared" si="33"/>
        <v>1</v>
      </c>
      <c r="L710" s="93">
        <f t="shared" si="34"/>
        <v>0</v>
      </c>
      <c r="M710" s="93">
        <f t="shared" si="35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11.232676261827974</v>
      </c>
      <c r="H711">
        <v>8.6568749999999992E-4</v>
      </c>
      <c r="I711">
        <v>-0.6876862740544476</v>
      </c>
      <c r="J711">
        <v>-5.953214113705096E-4</v>
      </c>
      <c r="K711" s="93">
        <f t="shared" si="33"/>
        <v>1</v>
      </c>
      <c r="L711" s="93">
        <f t="shared" si="34"/>
        <v>0</v>
      </c>
      <c r="M711" s="93">
        <f t="shared" si="35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19.657183458198954</v>
      </c>
      <c r="H712">
        <v>5.4674999999999993E-4</v>
      </c>
      <c r="I712">
        <v>-0.51931769779901749</v>
      </c>
      <c r="J712">
        <v>-2.8393695127161279E-4</v>
      </c>
      <c r="K712" s="93">
        <f t="shared" si="33"/>
        <v>1</v>
      </c>
      <c r="L712" s="93">
        <f t="shared" si="34"/>
        <v>0</v>
      </c>
      <c r="M712" s="93">
        <f t="shared" si="35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5.616338130913987</v>
      </c>
      <c r="H713">
        <v>6.492656250000001E-4</v>
      </c>
      <c r="I713">
        <v>-0.82926851746249697</v>
      </c>
      <c r="J713">
        <v>-5.3841554228311163E-4</v>
      </c>
      <c r="K713" s="93">
        <f t="shared" si="33"/>
        <v>1</v>
      </c>
      <c r="L713" s="93">
        <f t="shared" si="34"/>
        <v>0</v>
      </c>
      <c r="M713" s="93">
        <f t="shared" si="35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16.849014392741964</v>
      </c>
      <c r="H714">
        <v>1.3706718749999999E-3</v>
      </c>
      <c r="I714">
        <v>-0.57027657696444012</v>
      </c>
      <c r="J714">
        <v>-7.8166206501643096E-4</v>
      </c>
      <c r="K714" s="93">
        <f t="shared" si="33"/>
        <v>1</v>
      </c>
      <c r="L714" s="93">
        <f t="shared" si="34"/>
        <v>0</v>
      </c>
      <c r="M714" s="93">
        <f t="shared" si="35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25.273521589112942</v>
      </c>
      <c r="H715">
        <v>8.6568750000000003E-4</v>
      </c>
      <c r="I715">
        <v>-0.4306538173458283</v>
      </c>
      <c r="J715">
        <v>-3.7281162650356676E-4</v>
      </c>
      <c r="K715" s="93">
        <f t="shared" si="33"/>
        <v>1</v>
      </c>
      <c r="L715" s="93">
        <f t="shared" si="34"/>
        <v>0</v>
      </c>
      <c r="M715" s="93">
        <f t="shared" si="35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2.8081690654569935</v>
      </c>
      <c r="H716">
        <v>1.3706718749999999E-3</v>
      </c>
      <c r="I716">
        <v>-0.91064181622770701</v>
      </c>
      <c r="J716">
        <v>-1.2481911257022364E-3</v>
      </c>
      <c r="K716" s="93">
        <f t="shared" si="33"/>
        <v>1</v>
      </c>
      <c r="L716" s="93">
        <f t="shared" si="34"/>
        <v>0</v>
      </c>
      <c r="M716" s="93">
        <f t="shared" si="35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14.040845327284968</v>
      </c>
      <c r="H717">
        <v>2.8936406249999995E-3</v>
      </c>
      <c r="I717">
        <v>-0.62623587759980681</v>
      </c>
      <c r="J717">
        <v>-1.8121015762553282E-3</v>
      </c>
      <c r="K717" s="93">
        <f t="shared" si="33"/>
        <v>1</v>
      </c>
      <c r="L717" s="93">
        <f t="shared" si="34"/>
        <v>0</v>
      </c>
      <c r="M717" s="93">
        <f t="shared" si="35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22.465352523655948</v>
      </c>
      <c r="H718">
        <v>1.8275624999999998E-3</v>
      </c>
      <c r="I718">
        <v>-0.47291241152288888</v>
      </c>
      <c r="J718">
        <v>-8.6427698908379954E-4</v>
      </c>
      <c r="K718" s="93">
        <f t="shared" si="33"/>
        <v>1</v>
      </c>
      <c r="L718" s="93">
        <f t="shared" si="34"/>
        <v>0</v>
      </c>
      <c r="M718" s="93">
        <f t="shared" si="35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8.6568749999999992E-4</v>
      </c>
      <c r="I719">
        <v>-1</v>
      </c>
      <c r="J719">
        <v>-8.6568749999999992E-4</v>
      </c>
      <c r="K719" s="93">
        <f t="shared" si="33"/>
        <v>1</v>
      </c>
      <c r="L719" s="93">
        <f t="shared" si="34"/>
        <v>0</v>
      </c>
      <c r="M719" s="93">
        <f t="shared" si="35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11.232676261827974</v>
      </c>
      <c r="H720">
        <v>1.8275624999999998E-3</v>
      </c>
      <c r="I720">
        <v>-0.6876862740544476</v>
      </c>
      <c r="J720">
        <v>-1.2567896462266311E-3</v>
      </c>
      <c r="K720" s="93">
        <f t="shared" si="33"/>
        <v>1</v>
      </c>
      <c r="L720" s="93">
        <f t="shared" si="34"/>
        <v>0</v>
      </c>
      <c r="M720" s="93">
        <f t="shared" si="35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19.657183458198954</v>
      </c>
      <c r="H721">
        <v>1.1542499999999999E-3</v>
      </c>
      <c r="I721">
        <v>-0.51931769779901749</v>
      </c>
      <c r="J721">
        <v>-5.9942245268451591E-4</v>
      </c>
      <c r="K721" s="93">
        <f t="shared" si="33"/>
        <v>1</v>
      </c>
      <c r="L721" s="93">
        <f t="shared" si="34"/>
        <v>0</v>
      </c>
      <c r="M721" s="93">
        <f t="shared" si="35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5.616338130913987</v>
      </c>
      <c r="H722">
        <v>4.100625E-4</v>
      </c>
      <c r="I722">
        <v>-0.82926851746249697</v>
      </c>
      <c r="J722">
        <v>-3.4005192144196517E-4</v>
      </c>
      <c r="K722" s="93">
        <f t="shared" si="33"/>
        <v>1</v>
      </c>
      <c r="L722" s="93">
        <f t="shared" si="34"/>
        <v>0</v>
      </c>
      <c r="M722" s="93">
        <f t="shared" si="35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16.849014392741964</v>
      </c>
      <c r="H723">
        <v>8.6568749999999992E-4</v>
      </c>
      <c r="I723">
        <v>-0.57027657696444012</v>
      </c>
      <c r="J723">
        <v>-4.9368130422090372E-4</v>
      </c>
      <c r="K723" s="93">
        <f t="shared" si="33"/>
        <v>1</v>
      </c>
      <c r="L723" s="93">
        <f t="shared" si="34"/>
        <v>0</v>
      </c>
      <c r="M723" s="93">
        <f t="shared" si="35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25.273521589112942</v>
      </c>
      <c r="H724">
        <v>5.4674999999999993E-4</v>
      </c>
      <c r="I724">
        <v>-0.4306538173458283</v>
      </c>
      <c r="J724">
        <v>-2.354599746338316E-4</v>
      </c>
      <c r="K724" s="93">
        <f t="shared" si="33"/>
        <v>1</v>
      </c>
      <c r="L724" s="93">
        <f t="shared" si="34"/>
        <v>0</v>
      </c>
      <c r="M724" s="93">
        <f t="shared" si="35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2.8081690654569935</v>
      </c>
      <c r="H725">
        <v>8.6568749999999992E-4</v>
      </c>
      <c r="I725">
        <v>-0.91064181622770701</v>
      </c>
      <c r="J725">
        <v>-7.8833123728562309E-4</v>
      </c>
      <c r="K725" s="93">
        <f t="shared" si="33"/>
        <v>1</v>
      </c>
      <c r="L725" s="93">
        <f t="shared" si="34"/>
        <v>0</v>
      </c>
      <c r="M725" s="93">
        <f t="shared" si="35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14.040845327284968</v>
      </c>
      <c r="H726">
        <v>1.8275624999999998E-3</v>
      </c>
      <c r="I726">
        <v>-0.62623587759980681</v>
      </c>
      <c r="J726">
        <v>-1.1444852060559967E-3</v>
      </c>
      <c r="K726" s="93">
        <f t="shared" si="33"/>
        <v>1</v>
      </c>
      <c r="L726" s="93">
        <f t="shared" si="34"/>
        <v>0</v>
      </c>
      <c r="M726" s="93">
        <f t="shared" si="35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22.465352523655948</v>
      </c>
      <c r="H727">
        <v>1.1542499999999999E-3</v>
      </c>
      <c r="I727">
        <v>-0.47291241152288888</v>
      </c>
      <c r="J727">
        <v>-5.458591510002944E-4</v>
      </c>
      <c r="K727" s="93">
        <f t="shared" si="33"/>
        <v>1</v>
      </c>
      <c r="L727" s="93">
        <f t="shared" si="34"/>
        <v>0</v>
      </c>
      <c r="M727" s="93">
        <f t="shared" si="35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5.4675000000000004E-4</v>
      </c>
      <c r="I728">
        <v>-1</v>
      </c>
      <c r="J728">
        <v>-5.4675000000000004E-4</v>
      </c>
      <c r="K728" s="93">
        <f t="shared" si="33"/>
        <v>1</v>
      </c>
      <c r="L728" s="93">
        <f t="shared" si="34"/>
        <v>0</v>
      </c>
      <c r="M728" s="93">
        <f t="shared" si="35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11.232676261827974</v>
      </c>
      <c r="H729">
        <v>1.1542499999999999E-3</v>
      </c>
      <c r="I729">
        <v>-0.6876862740544476</v>
      </c>
      <c r="J729">
        <v>-7.9376188182734609E-4</v>
      </c>
      <c r="K729" s="93">
        <f t="shared" si="33"/>
        <v>1</v>
      </c>
      <c r="L729" s="93">
        <f t="shared" si="34"/>
        <v>0</v>
      </c>
      <c r="M729" s="93">
        <f t="shared" si="35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19.657183458198954</v>
      </c>
      <c r="H730">
        <v>7.2899999999999994E-4</v>
      </c>
      <c r="I730">
        <v>-0.51931769779901749</v>
      </c>
      <c r="J730">
        <v>-3.7858260169548372E-4</v>
      </c>
      <c r="K730" s="93">
        <f t="shared" si="33"/>
        <v>1</v>
      </c>
      <c r="L730" s="93">
        <f t="shared" si="34"/>
        <v>0</v>
      </c>
      <c r="M730" s="93">
        <f t="shared" si="35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730"/>
  <sheetViews>
    <sheetView workbookViewId="0">
      <selection activeCell="K2" sqref="K2:S6"/>
    </sheetView>
  </sheetViews>
  <sheetFormatPr defaultRowHeight="14.25" x14ac:dyDescent="0.45"/>
  <sheetData>
    <row r="1" spans="1:19" x14ac:dyDescent="0.45">
      <c r="G1" t="s">
        <v>84</v>
      </c>
      <c r="H1" t="s">
        <v>75</v>
      </c>
      <c r="I1" t="s">
        <v>87</v>
      </c>
      <c r="J1" t="s">
        <v>88</v>
      </c>
      <c r="K1" s="93" t="s">
        <v>89</v>
      </c>
      <c r="L1" s="93" t="s">
        <v>91</v>
      </c>
      <c r="M1" s="93" t="s">
        <v>90</v>
      </c>
      <c r="N1" s="93" t="s">
        <v>89</v>
      </c>
      <c r="O1" s="93" t="s">
        <v>91</v>
      </c>
      <c r="P1" s="93" t="s">
        <v>90</v>
      </c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-9.9981443670671162</v>
      </c>
      <c r="H2">
        <v>1.2974633789062504E-4</v>
      </c>
      <c r="I2">
        <v>-1.3955261029432362</v>
      </c>
      <c r="J2">
        <v>-1.8106440128766031E-4</v>
      </c>
      <c r="K2" s="93">
        <f>IF(A2=3,1,0)</f>
        <v>0</v>
      </c>
      <c r="L2" s="93">
        <f>IF(A2=2,1,0)</f>
        <v>0</v>
      </c>
      <c r="M2" s="93">
        <f>IF(A2=1,1,0)</f>
        <v>1</v>
      </c>
      <c r="N2">
        <f>SUMPRODUCT($G$2:$G$730,$H$2:$H$730,K2:K730)</f>
        <v>7.8371151138454334</v>
      </c>
      <c r="O2">
        <f>SUMPRODUCT($G$2:$G$730,$H$2:$H$730,L2:L730)</f>
        <v>3.1673125354751499</v>
      </c>
      <c r="P2">
        <f t="shared" ref="P2" si="0">SUMPRODUCT($G$2:$G$730,$H$2:$H$730,M2:M730)</f>
        <v>-1.0571184918669532</v>
      </c>
      <c r="R2" s="94" t="s">
        <v>86</v>
      </c>
      <c r="S2" s="94">
        <f>SUM(J2:J730)</f>
        <v>-0.83811369789271162</v>
      </c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-3.9944331012013521</v>
      </c>
      <c r="H3">
        <v>2.7390893554687506E-4</v>
      </c>
      <c r="I3">
        <v>-1.1424188011305803</v>
      </c>
      <c r="J3">
        <v>-3.1291871776641437E-4</v>
      </c>
      <c r="K3" s="93">
        <f t="shared" ref="K3:K66" si="1">IF(A3=3,1,0)</f>
        <v>0</v>
      </c>
      <c r="L3" s="93">
        <f t="shared" ref="L3:L66" si="2">IF(A3=2,1,0)</f>
        <v>0</v>
      </c>
      <c r="M3" s="93">
        <f t="shared" ref="M3:M66" si="3">IF(A3=1,1,0)</f>
        <v>1</v>
      </c>
      <c r="R3" s="94"/>
      <c r="S3" s="94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-0.5537080305622587</v>
      </c>
      <c r="H4">
        <v>1.7299511718750005E-4</v>
      </c>
      <c r="I4">
        <v>-1.0186283163365246</v>
      </c>
      <c r="J4">
        <v>-1.7621772495514295E-4</v>
      </c>
      <c r="K4" s="93">
        <f t="shared" si="1"/>
        <v>0</v>
      </c>
      <c r="L4" s="93">
        <f t="shared" si="2"/>
        <v>0</v>
      </c>
      <c r="M4" s="93">
        <f t="shared" si="3"/>
        <v>1</v>
      </c>
      <c r="R4" s="94" t="s">
        <v>93</v>
      </c>
      <c r="S4" s="94">
        <f>-LN(-1*S2)/(1/risk_tol)</f>
        <v>5.2980453008151196</v>
      </c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-11.499072183533562</v>
      </c>
      <c r="H5">
        <v>2.73908935546875E-4</v>
      </c>
      <c r="I5">
        <v>-1.4671216295477303</v>
      </c>
      <c r="J5">
        <v>-4.018577238672155E-4</v>
      </c>
      <c r="K5" s="93">
        <f t="shared" si="1"/>
        <v>0</v>
      </c>
      <c r="L5" s="93">
        <f t="shared" si="2"/>
        <v>0</v>
      </c>
      <c r="M5" s="93">
        <f t="shared" si="3"/>
        <v>1</v>
      </c>
      <c r="R5" s="94"/>
      <c r="S5" s="94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-5.495360917667794</v>
      </c>
      <c r="H6">
        <v>5.7825219726562497E-4</v>
      </c>
      <c r="I6">
        <v>-1.2010290094938023</v>
      </c>
      <c r="J6">
        <v>-6.9449766371954837E-4</v>
      </c>
      <c r="K6" s="93">
        <f t="shared" si="1"/>
        <v>0</v>
      </c>
      <c r="L6" s="93">
        <f t="shared" si="2"/>
        <v>0</v>
      </c>
      <c r="M6" s="93">
        <f t="shared" si="3"/>
        <v>1</v>
      </c>
      <c r="R6" s="94" t="s">
        <v>83</v>
      </c>
      <c r="S6" s="94">
        <f>SUMPRODUCT(G2:G730,H2:H730)</f>
        <v>9.9473091574536223</v>
      </c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-1.607294633344857</v>
      </c>
      <c r="H7">
        <v>3.652119140625E-4</v>
      </c>
      <c r="I7">
        <v>-1.0550376861699764</v>
      </c>
      <c r="J7">
        <v>-3.8531233277420827E-4</v>
      </c>
      <c r="K7" s="93">
        <f t="shared" si="1"/>
        <v>0</v>
      </c>
      <c r="L7" s="93">
        <f t="shared" si="2"/>
        <v>0</v>
      </c>
      <c r="M7" s="93">
        <f t="shared" si="3"/>
        <v>1</v>
      </c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-13</v>
      </c>
      <c r="H8">
        <v>1.7299511718750003E-4</v>
      </c>
      <c r="I8">
        <v>-1.5423902651101746</v>
      </c>
      <c r="J8">
        <v>-2.668259846615939E-4</v>
      </c>
      <c r="K8" s="93">
        <f t="shared" si="1"/>
        <v>0</v>
      </c>
      <c r="L8" s="93">
        <f t="shared" si="2"/>
        <v>0</v>
      </c>
      <c r="M8" s="93">
        <f t="shared" si="3"/>
        <v>1</v>
      </c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-6.9962887341342359</v>
      </c>
      <c r="H9">
        <v>3.6521191406250006E-4</v>
      </c>
      <c r="I9">
        <v>-1.2626461331152299</v>
      </c>
      <c r="J9">
        <v>-4.6113341105862737E-4</v>
      </c>
      <c r="K9" s="93">
        <f t="shared" si="1"/>
        <v>0</v>
      </c>
      <c r="L9" s="93">
        <f t="shared" si="2"/>
        <v>0</v>
      </c>
      <c r="M9" s="93">
        <f t="shared" si="3"/>
        <v>1</v>
      </c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-2.6920034286358208</v>
      </c>
      <c r="H10">
        <v>2.3066015625000002E-4</v>
      </c>
      <c r="I10">
        <v>-1.0938826678142417</v>
      </c>
      <c r="J10">
        <v>-2.5231514707719984E-4</v>
      </c>
      <c r="K10" s="93">
        <f t="shared" si="1"/>
        <v>0</v>
      </c>
      <c r="L10" s="93">
        <f t="shared" si="2"/>
        <v>0</v>
      </c>
      <c r="M10" s="93">
        <f t="shared" si="3"/>
        <v>1</v>
      </c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-11.498144367067116</v>
      </c>
      <c r="H11">
        <v>2.7390893554687506E-4</v>
      </c>
      <c r="I11">
        <v>-1.4670762562624962</v>
      </c>
      <c r="J11">
        <v>-4.0184529571895482E-4</v>
      </c>
      <c r="K11" s="93">
        <f t="shared" si="1"/>
        <v>0</v>
      </c>
      <c r="L11" s="93">
        <f t="shared" si="2"/>
        <v>0</v>
      </c>
      <c r="M11" s="93">
        <f t="shared" si="3"/>
        <v>1</v>
      </c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-5.4944331012013539</v>
      </c>
      <c r="H12">
        <v>5.7825219726562508E-4</v>
      </c>
      <c r="I12">
        <v>-1.2009918655851279</v>
      </c>
      <c r="J12">
        <v>-6.9447618517274245E-4</v>
      </c>
      <c r="K12" s="93">
        <f t="shared" si="1"/>
        <v>0</v>
      </c>
      <c r="L12" s="93">
        <f t="shared" si="2"/>
        <v>0</v>
      </c>
      <c r="M12" s="93">
        <f t="shared" si="3"/>
        <v>1</v>
      </c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-1.7109222562879141</v>
      </c>
      <c r="H13">
        <v>3.6521191406250006E-4</v>
      </c>
      <c r="I13">
        <v>-1.0586883559616826</v>
      </c>
      <c r="J13">
        <v>-3.8664560087644753E-4</v>
      </c>
      <c r="K13" s="93">
        <f t="shared" si="1"/>
        <v>0</v>
      </c>
      <c r="L13" s="93">
        <f t="shared" si="2"/>
        <v>0</v>
      </c>
      <c r="M13" s="93">
        <f t="shared" si="3"/>
        <v>1</v>
      </c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-12.999072183533562</v>
      </c>
      <c r="H14">
        <v>5.7825219726562508E-4</v>
      </c>
      <c r="I14">
        <v>-1.5423425640116213</v>
      </c>
      <c r="J14">
        <v>-8.9186297657601796E-4</v>
      </c>
      <c r="K14" s="93">
        <f t="shared" si="1"/>
        <v>0</v>
      </c>
      <c r="L14" s="93">
        <f t="shared" si="2"/>
        <v>0</v>
      </c>
      <c r="M14" s="93">
        <f t="shared" si="3"/>
        <v>1</v>
      </c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-6.995360917667794</v>
      </c>
      <c r="H15">
        <v>1.220754638671875E-3</v>
      </c>
      <c r="I15">
        <v>-1.2626070835899597</v>
      </c>
      <c r="J15">
        <v>-1.5413334541124111E-3</v>
      </c>
      <c r="K15" s="93">
        <f t="shared" si="1"/>
        <v>0</v>
      </c>
      <c r="L15" s="93">
        <f t="shared" si="2"/>
        <v>0</v>
      </c>
      <c r="M15" s="93">
        <f t="shared" si="3"/>
        <v>1</v>
      </c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-2.7917339750834369</v>
      </c>
      <c r="H16">
        <v>7.7100292968750007E-4</v>
      </c>
      <c r="I16">
        <v>-1.0975251694780861</v>
      </c>
      <c r="J16">
        <v>-8.4619512107337441E-4</v>
      </c>
      <c r="K16" s="93">
        <f t="shared" si="1"/>
        <v>0</v>
      </c>
      <c r="L16" s="93">
        <f t="shared" si="2"/>
        <v>0</v>
      </c>
      <c r="M16" s="93">
        <f t="shared" si="3"/>
        <v>1</v>
      </c>
    </row>
    <row r="17" spans="1:13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-14.5</v>
      </c>
      <c r="H17">
        <v>3.6521191406250006E-4</v>
      </c>
      <c r="I17">
        <v>-1.6214703050420796</v>
      </c>
      <c r="J17">
        <v>-5.9218027369992371E-4</v>
      </c>
      <c r="K17" s="93">
        <f t="shared" si="1"/>
        <v>0</v>
      </c>
      <c r="L17" s="93">
        <f t="shared" si="2"/>
        <v>0</v>
      </c>
      <c r="M17" s="93">
        <f t="shared" si="3"/>
        <v>1</v>
      </c>
    </row>
    <row r="18" spans="1:13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-8.4962887341342359</v>
      </c>
      <c r="H18">
        <v>7.7100292968750007E-4</v>
      </c>
      <c r="I18">
        <v>-1.3273833846949947</v>
      </c>
      <c r="J18">
        <v>-1.0234164784183508E-3</v>
      </c>
      <c r="K18" s="93">
        <f t="shared" si="1"/>
        <v>0</v>
      </c>
      <c r="L18" s="93">
        <f t="shared" si="2"/>
        <v>0</v>
      </c>
      <c r="M18" s="93">
        <f t="shared" si="3"/>
        <v>1</v>
      </c>
    </row>
    <row r="19" spans="1:13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-3.9935052847349115</v>
      </c>
      <c r="H19">
        <v>4.8694921875000008E-4</v>
      </c>
      <c r="I19">
        <v>-1.1423834698444235</v>
      </c>
      <c r="J19">
        <v>-5.5628273815365632E-4</v>
      </c>
      <c r="K19" s="93">
        <f t="shared" si="1"/>
        <v>0</v>
      </c>
      <c r="L19" s="93">
        <f t="shared" si="2"/>
        <v>0</v>
      </c>
      <c r="M19" s="93">
        <f t="shared" si="3"/>
        <v>1</v>
      </c>
    </row>
    <row r="20" spans="1:13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-13.998144367067118</v>
      </c>
      <c r="H20">
        <v>1.7299511718750003E-4</v>
      </c>
      <c r="I20">
        <v>-1.5945711238881513</v>
      </c>
      <c r="J20">
        <v>-2.7585301844083437E-4</v>
      </c>
      <c r="K20" s="93">
        <f t="shared" si="1"/>
        <v>0</v>
      </c>
      <c r="L20" s="93">
        <f t="shared" si="2"/>
        <v>0</v>
      </c>
      <c r="M20" s="93">
        <f t="shared" si="3"/>
        <v>1</v>
      </c>
    </row>
    <row r="21" spans="1:13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-7.9944331012013539</v>
      </c>
      <c r="H21">
        <v>3.6521191406250006E-4</v>
      </c>
      <c r="I21">
        <v>-1.305362922146531</v>
      </c>
      <c r="J21">
        <v>-4.7673409134335284E-4</v>
      </c>
      <c r="K21" s="93">
        <f t="shared" si="1"/>
        <v>0</v>
      </c>
      <c r="L21" s="93">
        <f t="shared" si="2"/>
        <v>0</v>
      </c>
      <c r="M21" s="93">
        <f t="shared" si="3"/>
        <v>1</v>
      </c>
    </row>
    <row r="22" spans="1:13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-3.6925488061003531</v>
      </c>
      <c r="H22">
        <v>2.3066015625000002E-4</v>
      </c>
      <c r="I22">
        <v>-1.1309805051994639</v>
      </c>
      <c r="J22">
        <v>-2.6087214004501231E-4</v>
      </c>
      <c r="K22" s="93">
        <f t="shared" si="1"/>
        <v>0</v>
      </c>
      <c r="L22" s="93">
        <f t="shared" si="2"/>
        <v>0</v>
      </c>
      <c r="M22" s="93">
        <f t="shared" si="3"/>
        <v>1</v>
      </c>
    </row>
    <row r="23" spans="1:13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-15.499072183533563</v>
      </c>
      <c r="H23">
        <v>3.6521191406250006E-4</v>
      </c>
      <c r="I23">
        <v>-1.6763783785731865</v>
      </c>
      <c r="J23">
        <v>-6.1223335633170373E-4</v>
      </c>
      <c r="K23" s="93">
        <f t="shared" si="1"/>
        <v>0</v>
      </c>
      <c r="L23" s="93">
        <f t="shared" si="2"/>
        <v>0</v>
      </c>
      <c r="M23" s="93">
        <f t="shared" si="3"/>
        <v>1</v>
      </c>
    </row>
    <row r="24" spans="1:13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-9.495360917667794</v>
      </c>
      <c r="H24">
        <v>7.7100292968750007E-4</v>
      </c>
      <c r="I24">
        <v>-1.3723327521081159</v>
      </c>
      <c r="J24">
        <v>-1.0580725723814671E-3</v>
      </c>
      <c r="K24" s="93">
        <f t="shared" si="1"/>
        <v>0</v>
      </c>
      <c r="L24" s="93">
        <f t="shared" si="2"/>
        <v>0</v>
      </c>
      <c r="M24" s="93">
        <f t="shared" si="3"/>
        <v>1</v>
      </c>
    </row>
    <row r="25" spans="1:13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-4.9925774682684709</v>
      </c>
      <c r="H25">
        <v>4.8694921875000008E-4</v>
      </c>
      <c r="I25">
        <v>-1.1810681595164372</v>
      </c>
      <c r="J25">
        <v>-5.7512021756702953E-4</v>
      </c>
      <c r="K25" s="93">
        <f t="shared" si="1"/>
        <v>0</v>
      </c>
      <c r="L25" s="93">
        <f t="shared" si="2"/>
        <v>0</v>
      </c>
      <c r="M25" s="93">
        <f t="shared" si="3"/>
        <v>1</v>
      </c>
    </row>
    <row r="26" spans="1:13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-17</v>
      </c>
      <c r="H26">
        <v>2.3066015625000002E-4</v>
      </c>
      <c r="I26">
        <v>-1.7623826407286585</v>
      </c>
      <c r="J26">
        <v>-4.0651145528276003E-4</v>
      </c>
      <c r="K26" s="93">
        <f t="shared" si="1"/>
        <v>0</v>
      </c>
      <c r="L26" s="93">
        <f t="shared" si="2"/>
        <v>0</v>
      </c>
      <c r="M26" s="93">
        <f t="shared" si="3"/>
        <v>1</v>
      </c>
    </row>
    <row r="27" spans="1:13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-10.996288734134236</v>
      </c>
      <c r="H27">
        <v>4.8694921874999997E-4</v>
      </c>
      <c r="I27">
        <v>-1.442738376092185</v>
      </c>
      <c r="J27">
        <v>-7.0254032509873318E-4</v>
      </c>
      <c r="K27" s="93">
        <f t="shared" si="1"/>
        <v>0</v>
      </c>
      <c r="L27" s="93">
        <f t="shared" si="2"/>
        <v>0</v>
      </c>
      <c r="M27" s="93">
        <f t="shared" si="3"/>
        <v>1</v>
      </c>
    </row>
    <row r="28" spans="1:13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-6.4935052847349111</v>
      </c>
      <c r="H28">
        <v>3.0754687499999999E-4</v>
      </c>
      <c r="I28">
        <v>-1.2416612194800165</v>
      </c>
      <c r="J28">
        <v>-3.8186902785976816E-4</v>
      </c>
      <c r="K28" s="93">
        <f t="shared" si="1"/>
        <v>0</v>
      </c>
      <c r="L28" s="93">
        <f t="shared" si="2"/>
        <v>0</v>
      </c>
      <c r="M28" s="93">
        <f t="shared" si="3"/>
        <v>1</v>
      </c>
    </row>
    <row r="29" spans="1:13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-9.9981443670671162</v>
      </c>
      <c r="H29">
        <v>2.73908935546875E-4</v>
      </c>
      <c r="I29">
        <v>-1.3955261029432362</v>
      </c>
      <c r="J29">
        <v>-3.8224706938506052E-4</v>
      </c>
      <c r="K29" s="93">
        <f t="shared" si="1"/>
        <v>0</v>
      </c>
      <c r="L29" s="93">
        <f t="shared" si="2"/>
        <v>0</v>
      </c>
      <c r="M29" s="93">
        <f t="shared" si="3"/>
        <v>1</v>
      </c>
    </row>
    <row r="30" spans="1:13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-3.9944331012013521</v>
      </c>
      <c r="H30">
        <v>5.7825219726562497E-4</v>
      </c>
      <c r="I30">
        <v>-1.1424188011305803</v>
      </c>
      <c r="J30">
        <v>-6.6060618195131903E-4</v>
      </c>
      <c r="K30" s="93">
        <f t="shared" si="1"/>
        <v>0</v>
      </c>
      <c r="L30" s="93">
        <f t="shared" si="2"/>
        <v>0</v>
      </c>
      <c r="M30" s="93">
        <f t="shared" si="3"/>
        <v>1</v>
      </c>
    </row>
    <row r="31" spans="1:13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-0.5537080305622587</v>
      </c>
      <c r="H31">
        <v>3.652119140625E-4</v>
      </c>
      <c r="I31">
        <v>-1.0186283163365246</v>
      </c>
      <c r="J31">
        <v>-3.7201519712752389E-4</v>
      </c>
      <c r="K31" s="93">
        <f t="shared" si="1"/>
        <v>0</v>
      </c>
      <c r="L31" s="93">
        <f t="shared" si="2"/>
        <v>0</v>
      </c>
      <c r="M31" s="93">
        <f t="shared" si="3"/>
        <v>1</v>
      </c>
    </row>
    <row r="32" spans="1:13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-11.499072183533562</v>
      </c>
      <c r="H32">
        <v>5.7825219726562497E-4</v>
      </c>
      <c r="I32">
        <v>-1.4671216295477303</v>
      </c>
      <c r="J32">
        <v>-8.4836630594189934E-4</v>
      </c>
      <c r="K32" s="93">
        <f t="shared" si="1"/>
        <v>0</v>
      </c>
      <c r="L32" s="93">
        <f t="shared" si="2"/>
        <v>0</v>
      </c>
      <c r="M32" s="93">
        <f t="shared" si="3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-5.495360917667794</v>
      </c>
      <c r="H33">
        <v>1.2207546386718748E-3</v>
      </c>
      <c r="I33">
        <v>-1.2010290094938023</v>
      </c>
      <c r="J33">
        <v>-1.4661617345190464E-3</v>
      </c>
      <c r="K33" s="93">
        <f t="shared" si="1"/>
        <v>0</v>
      </c>
      <c r="L33" s="93">
        <f t="shared" si="2"/>
        <v>0</v>
      </c>
      <c r="M33" s="93">
        <f t="shared" si="3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-1.607294633344857</v>
      </c>
      <c r="H34">
        <v>7.7100292968749996E-4</v>
      </c>
      <c r="I34">
        <v>-1.0550376861699764</v>
      </c>
      <c r="J34">
        <v>-8.1343714696777299E-4</v>
      </c>
      <c r="K34" s="93">
        <f t="shared" si="1"/>
        <v>0</v>
      </c>
      <c r="L34" s="93">
        <f t="shared" si="2"/>
        <v>0</v>
      </c>
      <c r="M34" s="93">
        <f t="shared" si="3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-13</v>
      </c>
      <c r="H35">
        <v>3.652119140625E-4</v>
      </c>
      <c r="I35">
        <v>-1.5423902651101746</v>
      </c>
      <c r="J35">
        <v>-5.6329930095225375E-4</v>
      </c>
      <c r="K35" s="93">
        <f t="shared" si="1"/>
        <v>0</v>
      </c>
      <c r="L35" s="93">
        <f t="shared" si="2"/>
        <v>0</v>
      </c>
      <c r="M35" s="93">
        <f t="shared" si="3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-6.9962887341342359</v>
      </c>
      <c r="H36">
        <v>7.7100292968749996E-4</v>
      </c>
      <c r="I36">
        <v>-1.2626461331152299</v>
      </c>
      <c r="J36">
        <v>-9.7350386779043534E-4</v>
      </c>
      <c r="K36" s="93">
        <f t="shared" si="1"/>
        <v>0</v>
      </c>
      <c r="L36" s="93">
        <f t="shared" si="2"/>
        <v>0</v>
      </c>
      <c r="M36" s="93">
        <f t="shared" si="3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-2.6920034286358208</v>
      </c>
      <c r="H37">
        <v>4.8694921874999997E-4</v>
      </c>
      <c r="I37">
        <v>-1.0938826678142417</v>
      </c>
      <c r="J37">
        <v>-5.3266531049631072E-4</v>
      </c>
      <c r="K37" s="93">
        <f t="shared" si="1"/>
        <v>0</v>
      </c>
      <c r="L37" s="93">
        <f t="shared" si="2"/>
        <v>0</v>
      </c>
      <c r="M37" s="93">
        <f t="shared" si="3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-11.498144367067116</v>
      </c>
      <c r="H38">
        <v>5.7825219726562497E-4</v>
      </c>
      <c r="I38">
        <v>-1.4670762562624962</v>
      </c>
      <c r="J38">
        <v>-8.4834006874001547E-4</v>
      </c>
      <c r="K38" s="93">
        <f t="shared" si="1"/>
        <v>0</v>
      </c>
      <c r="L38" s="93">
        <f t="shared" si="2"/>
        <v>0</v>
      </c>
      <c r="M38" s="93">
        <f t="shared" si="3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-5.4944331012013539</v>
      </c>
      <c r="H39">
        <v>1.2207546386718748E-3</v>
      </c>
      <c r="I39">
        <v>-1.2009918655851279</v>
      </c>
      <c r="J39">
        <v>-1.4661163909202336E-3</v>
      </c>
      <c r="K39" s="93">
        <f t="shared" si="1"/>
        <v>0</v>
      </c>
      <c r="L39" s="93">
        <f t="shared" si="2"/>
        <v>0</v>
      </c>
      <c r="M39" s="93">
        <f t="shared" si="3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-1.7109222562879141</v>
      </c>
      <c r="H40">
        <v>7.7100292968749996E-4</v>
      </c>
      <c r="I40">
        <v>-1.0586883559616826</v>
      </c>
      <c r="J40">
        <v>-8.1625182407250017E-4</v>
      </c>
      <c r="K40" s="93">
        <f t="shared" si="1"/>
        <v>0</v>
      </c>
      <c r="L40" s="93">
        <f t="shared" si="2"/>
        <v>0</v>
      </c>
      <c r="M40" s="93">
        <f t="shared" si="3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-12.999072183533562</v>
      </c>
      <c r="H41">
        <v>1.2207546386718748E-3</v>
      </c>
      <c r="I41">
        <v>-1.5423425640116213</v>
      </c>
      <c r="J41">
        <v>-1.8828218394382598E-3</v>
      </c>
      <c r="K41" s="93">
        <f t="shared" si="1"/>
        <v>0</v>
      </c>
      <c r="L41" s="93">
        <f t="shared" si="2"/>
        <v>0</v>
      </c>
      <c r="M41" s="93">
        <f t="shared" si="3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-6.995360917667794</v>
      </c>
      <c r="H42">
        <v>2.5771486816406246E-3</v>
      </c>
      <c r="I42">
        <v>-1.2626070835899597</v>
      </c>
      <c r="J42">
        <v>-3.2539261809039783E-3</v>
      </c>
      <c r="K42" s="93">
        <f t="shared" si="1"/>
        <v>0</v>
      </c>
      <c r="L42" s="93">
        <f t="shared" si="2"/>
        <v>0</v>
      </c>
      <c r="M42" s="93">
        <f t="shared" si="3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-2.7917339750834369</v>
      </c>
      <c r="H43">
        <v>1.6276728515624997E-3</v>
      </c>
      <c r="I43">
        <v>-1.0975251694780861</v>
      </c>
      <c r="J43">
        <v>-1.7864119222660122E-3</v>
      </c>
      <c r="K43" s="93">
        <f t="shared" si="1"/>
        <v>0</v>
      </c>
      <c r="L43" s="93">
        <f t="shared" si="2"/>
        <v>0</v>
      </c>
      <c r="M43" s="93">
        <f t="shared" si="3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-14.5</v>
      </c>
      <c r="H44">
        <v>7.7100292968749985E-4</v>
      </c>
      <c r="I44">
        <v>-1.6214703050420796</v>
      </c>
      <c r="J44">
        <v>-1.2501583555887274E-3</v>
      </c>
      <c r="K44" s="93">
        <f t="shared" si="1"/>
        <v>0</v>
      </c>
      <c r="L44" s="93">
        <f t="shared" si="2"/>
        <v>0</v>
      </c>
      <c r="M44" s="93">
        <f t="shared" si="3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-8.4962887341342359</v>
      </c>
      <c r="H45">
        <v>1.6276728515624997E-3</v>
      </c>
      <c r="I45">
        <v>-1.3273833846949947</v>
      </c>
      <c r="J45">
        <v>-2.1605458988831847E-3</v>
      </c>
      <c r="K45" s="93">
        <f t="shared" si="1"/>
        <v>0</v>
      </c>
      <c r="L45" s="93">
        <f t="shared" si="2"/>
        <v>0</v>
      </c>
      <c r="M45" s="93">
        <f t="shared" si="3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-3.9935052847349115</v>
      </c>
      <c r="H46">
        <v>1.0280039062499997E-3</v>
      </c>
      <c r="I46">
        <v>-1.1423834698444235</v>
      </c>
      <c r="J46">
        <v>-1.1743746694354961E-3</v>
      </c>
      <c r="K46" s="93">
        <f t="shared" si="1"/>
        <v>0</v>
      </c>
      <c r="L46" s="93">
        <f t="shared" si="2"/>
        <v>0</v>
      </c>
      <c r="M46" s="93">
        <f t="shared" si="3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-13.998144367067118</v>
      </c>
      <c r="H47">
        <v>3.6521191406249995E-4</v>
      </c>
      <c r="I47">
        <v>-1.5945711238881513</v>
      </c>
      <c r="J47">
        <v>-5.8235637226398344E-4</v>
      </c>
      <c r="K47" s="93">
        <f t="shared" si="1"/>
        <v>0</v>
      </c>
      <c r="L47" s="93">
        <f t="shared" si="2"/>
        <v>0</v>
      </c>
      <c r="M47" s="93">
        <f t="shared" si="3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-7.9944331012013539</v>
      </c>
      <c r="H48">
        <v>7.7100292968749985E-4</v>
      </c>
      <c r="I48">
        <v>-1.305362922146531</v>
      </c>
      <c r="J48">
        <v>-1.0064386372804113E-3</v>
      </c>
      <c r="K48" s="93">
        <f t="shared" si="1"/>
        <v>0</v>
      </c>
      <c r="L48" s="93">
        <f t="shared" si="2"/>
        <v>0</v>
      </c>
      <c r="M48" s="93">
        <f t="shared" si="3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-3.6925488061003531</v>
      </c>
      <c r="H49">
        <v>4.8694921874999991E-4</v>
      </c>
      <c r="I49">
        <v>-1.1309805051994639</v>
      </c>
      <c r="J49">
        <v>-5.5073007342835913E-4</v>
      </c>
      <c r="K49" s="93">
        <f t="shared" si="1"/>
        <v>0</v>
      </c>
      <c r="L49" s="93">
        <f t="shared" si="2"/>
        <v>0</v>
      </c>
      <c r="M49" s="93">
        <f t="shared" si="3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-15.499072183533563</v>
      </c>
      <c r="H50">
        <v>7.7100292968749985E-4</v>
      </c>
      <c r="I50">
        <v>-1.6763783785731865</v>
      </c>
      <c r="J50">
        <v>-1.2924926411447075E-3</v>
      </c>
      <c r="K50" s="93">
        <f t="shared" si="1"/>
        <v>0</v>
      </c>
      <c r="L50" s="93">
        <f t="shared" si="2"/>
        <v>0</v>
      </c>
      <c r="M50" s="93">
        <f t="shared" si="3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-9.495360917667794</v>
      </c>
      <c r="H51">
        <v>1.6276728515624997E-3</v>
      </c>
      <c r="I51">
        <v>-1.3723327521081159</v>
      </c>
      <c r="J51">
        <v>-2.2337087639164302E-3</v>
      </c>
      <c r="K51" s="93">
        <f t="shared" si="1"/>
        <v>0</v>
      </c>
      <c r="L51" s="93">
        <f t="shared" si="2"/>
        <v>0</v>
      </c>
      <c r="M51" s="93">
        <f t="shared" si="3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-4.9925774682684709</v>
      </c>
      <c r="H52">
        <v>1.0280039062499997E-3</v>
      </c>
      <c r="I52">
        <v>-1.1810681595164372</v>
      </c>
      <c r="J52">
        <v>-1.2141426815303951E-3</v>
      </c>
      <c r="K52" s="93">
        <f t="shared" si="1"/>
        <v>0</v>
      </c>
      <c r="L52" s="93">
        <f t="shared" si="2"/>
        <v>0</v>
      </c>
      <c r="M52" s="93">
        <f t="shared" si="3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-17</v>
      </c>
      <c r="H53">
        <v>4.8694921874999991E-4</v>
      </c>
      <c r="I53">
        <v>-1.7623826407286585</v>
      </c>
      <c r="J53">
        <v>-8.58190850041382E-4</v>
      </c>
      <c r="K53" s="93">
        <f t="shared" si="1"/>
        <v>0</v>
      </c>
      <c r="L53" s="93">
        <f t="shared" si="2"/>
        <v>0</v>
      </c>
      <c r="M53" s="93">
        <f t="shared" si="3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-10.996288734134236</v>
      </c>
      <c r="H54">
        <v>1.0280039062499997E-3</v>
      </c>
      <c r="I54">
        <v>-1.442738376092185</v>
      </c>
      <c r="J54">
        <v>-1.4831406863195474E-3</v>
      </c>
      <c r="K54" s="93">
        <f t="shared" si="1"/>
        <v>0</v>
      </c>
      <c r="L54" s="93">
        <f t="shared" si="2"/>
        <v>0</v>
      </c>
      <c r="M54" s="93">
        <f t="shared" si="3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-6.4935052847349111</v>
      </c>
      <c r="H55">
        <v>6.4926562499999978E-4</v>
      </c>
      <c r="I55">
        <v>-1.2416612194800165</v>
      </c>
      <c r="J55">
        <v>-8.061679477039548E-4</v>
      </c>
      <c r="K55" s="93">
        <f t="shared" si="1"/>
        <v>0</v>
      </c>
      <c r="L55" s="93">
        <f t="shared" si="2"/>
        <v>0</v>
      </c>
      <c r="M55" s="93">
        <f t="shared" si="3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-9.9981443670671162</v>
      </c>
      <c r="H56">
        <v>1.729951171875E-4</v>
      </c>
      <c r="I56">
        <v>-1.3955261029432362</v>
      </c>
      <c r="J56">
        <v>-2.4141920171688033E-4</v>
      </c>
      <c r="K56" s="93">
        <f t="shared" si="1"/>
        <v>0</v>
      </c>
      <c r="L56" s="93">
        <f t="shared" si="2"/>
        <v>0</v>
      </c>
      <c r="M56" s="93">
        <f t="shared" si="3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-3.9944331012013521</v>
      </c>
      <c r="H57">
        <v>3.652119140625E-4</v>
      </c>
      <c r="I57">
        <v>-1.1424188011305803</v>
      </c>
      <c r="J57">
        <v>-4.1722495702188573E-4</v>
      </c>
      <c r="K57" s="93">
        <f t="shared" si="1"/>
        <v>0</v>
      </c>
      <c r="L57" s="93">
        <f t="shared" si="2"/>
        <v>0</v>
      </c>
      <c r="M57" s="93">
        <f t="shared" si="3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-0.5537080305622587</v>
      </c>
      <c r="H58">
        <v>2.3066015624999999E-4</v>
      </c>
      <c r="I58">
        <v>-1.0186283163365246</v>
      </c>
      <c r="J58">
        <v>-2.349569666068572E-4</v>
      </c>
      <c r="K58" s="93">
        <f t="shared" si="1"/>
        <v>0</v>
      </c>
      <c r="L58" s="93">
        <f t="shared" si="2"/>
        <v>0</v>
      </c>
      <c r="M58" s="93">
        <f t="shared" si="3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-11.499072183533562</v>
      </c>
      <c r="H59">
        <v>3.652119140625E-4</v>
      </c>
      <c r="I59">
        <v>-1.4671216295477303</v>
      </c>
      <c r="J59">
        <v>-5.3581029848962067E-4</v>
      </c>
      <c r="K59" s="93">
        <f t="shared" si="1"/>
        <v>0</v>
      </c>
      <c r="L59" s="93">
        <f t="shared" si="2"/>
        <v>0</v>
      </c>
      <c r="M59" s="93">
        <f t="shared" si="3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-5.495360917667794</v>
      </c>
      <c r="H60">
        <v>7.7100292968749996E-4</v>
      </c>
      <c r="I60">
        <v>-1.2010290094938023</v>
      </c>
      <c r="J60">
        <v>-9.2599688495939776E-4</v>
      </c>
      <c r="K60" s="93">
        <f t="shared" si="1"/>
        <v>0</v>
      </c>
      <c r="L60" s="93">
        <f t="shared" si="2"/>
        <v>0</v>
      </c>
      <c r="M60" s="93">
        <f t="shared" si="3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-1.607294633344857</v>
      </c>
      <c r="H61">
        <v>4.8694921874999997E-4</v>
      </c>
      <c r="I61">
        <v>-1.0550376861699764</v>
      </c>
      <c r="J61">
        <v>-5.1374977703227769E-4</v>
      </c>
      <c r="K61" s="93">
        <f t="shared" si="1"/>
        <v>0</v>
      </c>
      <c r="L61" s="93">
        <f t="shared" si="2"/>
        <v>0</v>
      </c>
      <c r="M61" s="93">
        <f t="shared" si="3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-13</v>
      </c>
      <c r="H62">
        <v>2.3066015625000002E-4</v>
      </c>
      <c r="I62">
        <v>-1.5423902651101746</v>
      </c>
      <c r="J62">
        <v>-3.5576797954879185E-4</v>
      </c>
      <c r="K62" s="93">
        <f t="shared" si="1"/>
        <v>0</v>
      </c>
      <c r="L62" s="93">
        <f t="shared" si="2"/>
        <v>0</v>
      </c>
      <c r="M62" s="93">
        <f t="shared" si="3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-6.9962887341342359</v>
      </c>
      <c r="H63">
        <v>4.8694921874999997E-4</v>
      </c>
      <c r="I63">
        <v>-1.2626461331152299</v>
      </c>
      <c r="J63">
        <v>-6.1484454807816968E-4</v>
      </c>
      <c r="K63" s="93">
        <f t="shared" si="1"/>
        <v>0</v>
      </c>
      <c r="L63" s="93">
        <f t="shared" si="2"/>
        <v>0</v>
      </c>
      <c r="M63" s="93">
        <f t="shared" si="3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-2.6920034286358208</v>
      </c>
      <c r="H64">
        <v>3.0754687499999999E-4</v>
      </c>
      <c r="I64">
        <v>-1.0938826678142417</v>
      </c>
      <c r="J64">
        <v>-3.3642019610293308E-4</v>
      </c>
      <c r="K64" s="93">
        <f t="shared" si="1"/>
        <v>0</v>
      </c>
      <c r="L64" s="93">
        <f t="shared" si="2"/>
        <v>0</v>
      </c>
      <c r="M64" s="93">
        <f t="shared" si="3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-11.498144367067116</v>
      </c>
      <c r="H65">
        <v>3.6521191406249995E-4</v>
      </c>
      <c r="I65">
        <v>-1.4670762562624962</v>
      </c>
      <c r="J65">
        <v>-5.3579372762527287E-4</v>
      </c>
      <c r="K65" s="93">
        <f t="shared" si="1"/>
        <v>0</v>
      </c>
      <c r="L65" s="93">
        <f t="shared" si="2"/>
        <v>0</v>
      </c>
      <c r="M65" s="93">
        <f t="shared" si="3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-5.4944331012013539</v>
      </c>
      <c r="H66">
        <v>7.7100292968749985E-4</v>
      </c>
      <c r="I66">
        <v>-1.2009918655851279</v>
      </c>
      <c r="J66">
        <v>-9.2596824689698972E-4</v>
      </c>
      <c r="K66" s="93">
        <f t="shared" si="1"/>
        <v>0</v>
      </c>
      <c r="L66" s="93">
        <f t="shared" si="2"/>
        <v>0</v>
      </c>
      <c r="M66" s="93">
        <f t="shared" si="3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-1.7109222562879141</v>
      </c>
      <c r="H67">
        <v>4.8694921874999991E-4</v>
      </c>
      <c r="I67">
        <v>-1.0586883559616826</v>
      </c>
      <c r="J67">
        <v>-5.1552746783526315E-4</v>
      </c>
      <c r="K67" s="93">
        <f t="shared" ref="K67:K130" si="4">IF(A67=3,1,0)</f>
        <v>0</v>
      </c>
      <c r="L67" s="93">
        <f t="shared" ref="L67:L130" si="5">IF(A67=2,1,0)</f>
        <v>0</v>
      </c>
      <c r="M67" s="93">
        <f t="shared" ref="M67:M130" si="6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-12.999072183533562</v>
      </c>
      <c r="H68">
        <v>7.7100292968749985E-4</v>
      </c>
      <c r="I68">
        <v>-1.5423425640116213</v>
      </c>
      <c r="J68">
        <v>-1.1891506354346903E-3</v>
      </c>
      <c r="K68" s="93">
        <f t="shared" si="4"/>
        <v>0</v>
      </c>
      <c r="L68" s="93">
        <f t="shared" si="5"/>
        <v>0</v>
      </c>
      <c r="M68" s="93">
        <f t="shared" si="6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-6.995360917667794</v>
      </c>
      <c r="H69">
        <v>1.6276728515624997E-3</v>
      </c>
      <c r="I69">
        <v>-1.2626070835899597</v>
      </c>
      <c r="J69">
        <v>-2.0551112721498808E-3</v>
      </c>
      <c r="K69" s="93">
        <f t="shared" si="4"/>
        <v>0</v>
      </c>
      <c r="L69" s="93">
        <f t="shared" si="5"/>
        <v>0</v>
      </c>
      <c r="M69" s="93">
        <f t="shared" si="6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-2.7917339750834369</v>
      </c>
      <c r="H70">
        <v>1.0280039062499997E-3</v>
      </c>
      <c r="I70">
        <v>-1.0975251694780861</v>
      </c>
      <c r="J70">
        <v>-1.1282601614311654E-3</v>
      </c>
      <c r="K70" s="93">
        <f t="shared" si="4"/>
        <v>0</v>
      </c>
      <c r="L70" s="93">
        <f t="shared" si="5"/>
        <v>0</v>
      </c>
      <c r="M70" s="93">
        <f t="shared" si="6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-14.5</v>
      </c>
      <c r="H71">
        <v>4.8694921874999991E-4</v>
      </c>
      <c r="I71">
        <v>-1.6214703050420796</v>
      </c>
      <c r="J71">
        <v>-7.895736982665647E-4</v>
      </c>
      <c r="K71" s="93">
        <f t="shared" si="4"/>
        <v>0</v>
      </c>
      <c r="L71" s="93">
        <f t="shared" si="5"/>
        <v>0</v>
      </c>
      <c r="M71" s="93">
        <f t="shared" si="6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-8.4962887341342359</v>
      </c>
      <c r="H72">
        <v>1.0280039062499997E-3</v>
      </c>
      <c r="I72">
        <v>-1.3273833846949947</v>
      </c>
      <c r="J72">
        <v>-1.3645553045578008E-3</v>
      </c>
      <c r="K72" s="93">
        <f t="shared" si="4"/>
        <v>0</v>
      </c>
      <c r="L72" s="93">
        <f t="shared" si="5"/>
        <v>0</v>
      </c>
      <c r="M72" s="93">
        <f t="shared" si="6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-3.9935052847349115</v>
      </c>
      <c r="H73">
        <v>6.4926562499999978E-4</v>
      </c>
      <c r="I73">
        <v>-1.1423834698444235</v>
      </c>
      <c r="J73">
        <v>-7.4171031753820799E-4</v>
      </c>
      <c r="K73" s="93">
        <f t="shared" si="4"/>
        <v>0</v>
      </c>
      <c r="L73" s="93">
        <f t="shared" si="5"/>
        <v>0</v>
      </c>
      <c r="M73" s="93">
        <f t="shared" si="6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-13.998144367067118</v>
      </c>
      <c r="H74">
        <v>2.3066015625000002E-4</v>
      </c>
      <c r="I74">
        <v>-1.5945711238881513</v>
      </c>
      <c r="J74">
        <v>-3.6780402458777908E-4</v>
      </c>
      <c r="K74" s="93">
        <f t="shared" si="4"/>
        <v>0</v>
      </c>
      <c r="L74" s="93">
        <f t="shared" si="5"/>
        <v>0</v>
      </c>
      <c r="M74" s="93">
        <f t="shared" si="6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-7.9944331012013539</v>
      </c>
      <c r="H75">
        <v>4.8694921874999997E-4</v>
      </c>
      <c r="I75">
        <v>-1.305362922146531</v>
      </c>
      <c r="J75">
        <v>-6.3564545512447034E-4</v>
      </c>
      <c r="K75" s="93">
        <f t="shared" si="4"/>
        <v>0</v>
      </c>
      <c r="L75" s="93">
        <f t="shared" si="5"/>
        <v>0</v>
      </c>
      <c r="M75" s="93">
        <f t="shared" si="6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-3.6925488061003531</v>
      </c>
      <c r="H76">
        <v>3.0754687499999999E-4</v>
      </c>
      <c r="I76">
        <v>-1.1309805051994639</v>
      </c>
      <c r="J76">
        <v>-3.4782952006001634E-4</v>
      </c>
      <c r="K76" s="93">
        <f t="shared" si="4"/>
        <v>0</v>
      </c>
      <c r="L76" s="93">
        <f t="shared" si="5"/>
        <v>0</v>
      </c>
      <c r="M76" s="93">
        <f t="shared" si="6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-15.499072183533563</v>
      </c>
      <c r="H77">
        <v>4.8694921874999991E-4</v>
      </c>
      <c r="I77">
        <v>-1.6763783785731865</v>
      </c>
      <c r="J77">
        <v>-8.1631114177560472E-4</v>
      </c>
      <c r="K77" s="93">
        <f t="shared" si="4"/>
        <v>0</v>
      </c>
      <c r="L77" s="93">
        <f t="shared" si="5"/>
        <v>0</v>
      </c>
      <c r="M77" s="93">
        <f t="shared" si="6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-9.495360917667794</v>
      </c>
      <c r="H78">
        <v>1.0280039062499997E-3</v>
      </c>
      <c r="I78">
        <v>-1.3723327521081159</v>
      </c>
      <c r="J78">
        <v>-1.4107634298419556E-3</v>
      </c>
      <c r="K78" s="93">
        <f t="shared" si="4"/>
        <v>0</v>
      </c>
      <c r="L78" s="93">
        <f t="shared" si="5"/>
        <v>0</v>
      </c>
      <c r="M78" s="93">
        <f t="shared" si="6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-4.9925774682684709</v>
      </c>
      <c r="H79">
        <v>6.4926562499999978E-4</v>
      </c>
      <c r="I79">
        <v>-1.1810681595164372</v>
      </c>
      <c r="J79">
        <v>-7.6682695675603905E-4</v>
      </c>
      <c r="K79" s="93">
        <f t="shared" si="4"/>
        <v>0</v>
      </c>
      <c r="L79" s="93">
        <f t="shared" si="5"/>
        <v>0</v>
      </c>
      <c r="M79" s="93">
        <f t="shared" si="6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-17</v>
      </c>
      <c r="H80">
        <v>3.0754687499999999E-4</v>
      </c>
      <c r="I80">
        <v>-1.7623826407286585</v>
      </c>
      <c r="J80">
        <v>-5.4201527371034656E-4</v>
      </c>
      <c r="K80" s="93">
        <f t="shared" si="4"/>
        <v>0</v>
      </c>
      <c r="L80" s="93">
        <f t="shared" si="5"/>
        <v>0</v>
      </c>
      <c r="M80" s="93">
        <f t="shared" si="6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-10.996288734134236</v>
      </c>
      <c r="H81">
        <v>6.4926562499999989E-4</v>
      </c>
      <c r="I81">
        <v>-1.442738376092185</v>
      </c>
      <c r="J81">
        <v>-9.3672043346497739E-4</v>
      </c>
      <c r="K81" s="93">
        <f t="shared" si="4"/>
        <v>0</v>
      </c>
      <c r="L81" s="93">
        <f t="shared" si="5"/>
        <v>0</v>
      </c>
      <c r="M81" s="93">
        <f t="shared" si="6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-6.4935052847349111</v>
      </c>
      <c r="H82">
        <v>4.1006249999999995E-4</v>
      </c>
      <c r="I82">
        <v>-1.2416612194800165</v>
      </c>
      <c r="J82">
        <v>-5.0915870381302425E-4</v>
      </c>
      <c r="K82" s="93">
        <f t="shared" si="4"/>
        <v>0</v>
      </c>
      <c r="L82" s="93">
        <f t="shared" si="5"/>
        <v>0</v>
      </c>
      <c r="M82" s="93">
        <f t="shared" si="6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-8.2032717337676591</v>
      </c>
      <c r="H83">
        <v>2.73908935546875E-4</v>
      </c>
      <c r="I83">
        <v>-1.3144816312235683</v>
      </c>
      <c r="J83">
        <v>-3.6004826440436751E-4</v>
      </c>
      <c r="K83" s="93">
        <f t="shared" si="4"/>
        <v>0</v>
      </c>
      <c r="L83" s="93">
        <f t="shared" si="5"/>
        <v>0</v>
      </c>
      <c r="M83" s="93">
        <f t="shared" si="6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-0.19301833094307452</v>
      </c>
      <c r="H84">
        <v>5.7825219726562497E-4</v>
      </c>
      <c r="I84">
        <v>-1.0064546866458464</v>
      </c>
      <c r="J84">
        <v>-5.819846340012467E-4</v>
      </c>
      <c r="K84" s="93">
        <f t="shared" si="4"/>
        <v>0</v>
      </c>
      <c r="L84" s="93">
        <f t="shared" si="5"/>
        <v>0</v>
      </c>
      <c r="M84" s="93">
        <f t="shared" si="6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4.5951686554850308</v>
      </c>
      <c r="H85">
        <v>3.652119140625E-4</v>
      </c>
      <c r="I85">
        <v>-0.85798188865028724</v>
      </c>
      <c r="J85">
        <v>-3.1334520778493013E-4</v>
      </c>
      <c r="K85" s="93">
        <f t="shared" si="4"/>
        <v>0</v>
      </c>
      <c r="L85" s="93">
        <f t="shared" si="5"/>
        <v>0</v>
      </c>
      <c r="M85" s="93">
        <f t="shared" si="6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-10.60163586688383</v>
      </c>
      <c r="H86">
        <v>5.7825219726562497E-4</v>
      </c>
      <c r="I86">
        <v>-1.4238833068989094</v>
      </c>
      <c r="J86">
        <v>-8.2336365086413854E-4</v>
      </c>
      <c r="K86" s="93">
        <f t="shared" si="4"/>
        <v>0</v>
      </c>
      <c r="L86" s="93">
        <f t="shared" si="5"/>
        <v>0</v>
      </c>
      <c r="M86" s="93">
        <f t="shared" si="6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-1.8499864674531208</v>
      </c>
      <c r="H87">
        <v>1.2207546386718748E-3</v>
      </c>
      <c r="I87">
        <v>-1.0636072699382935</v>
      </c>
      <c r="J87">
        <v>-1.2984035085023007E-3</v>
      </c>
      <c r="K87" s="93">
        <f t="shared" si="4"/>
        <v>0</v>
      </c>
      <c r="L87" s="93">
        <f t="shared" si="5"/>
        <v>0</v>
      </c>
      <c r="M87" s="93">
        <f t="shared" si="6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3.0137144708029968</v>
      </c>
      <c r="H88">
        <v>7.7100292968749996E-4</v>
      </c>
      <c r="I88">
        <v>-0.90442386702534561</v>
      </c>
      <c r="J88">
        <v>-6.9731345115583933E-4</v>
      </c>
      <c r="K88" s="93">
        <f t="shared" si="4"/>
        <v>0</v>
      </c>
      <c r="L88" s="93">
        <f t="shared" si="5"/>
        <v>0</v>
      </c>
      <c r="M88" s="93">
        <f t="shared" si="6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-13</v>
      </c>
      <c r="H89">
        <v>3.652119140625E-4</v>
      </c>
      <c r="I89">
        <v>-1.5423902651101746</v>
      </c>
      <c r="J89">
        <v>-5.6329930095225375E-4</v>
      </c>
      <c r="K89" s="93">
        <f t="shared" si="4"/>
        <v>0</v>
      </c>
      <c r="L89" s="93">
        <f t="shared" si="5"/>
        <v>0</v>
      </c>
      <c r="M89" s="93">
        <f t="shared" si="6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-3.5617458222870511</v>
      </c>
      <c r="H90">
        <v>7.7100292968749996E-4</v>
      </c>
      <c r="I90">
        <v>-1.1260600523359159</v>
      </c>
      <c r="J90">
        <v>-8.6819559935505072E-4</v>
      </c>
      <c r="K90" s="93">
        <f t="shared" si="4"/>
        <v>0</v>
      </c>
      <c r="L90" s="93">
        <f t="shared" si="5"/>
        <v>0</v>
      </c>
      <c r="M90" s="93">
        <f t="shared" si="6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1.4230314944119988</v>
      </c>
      <c r="H91">
        <v>4.8694921874999997E-4</v>
      </c>
      <c r="I91">
        <v>-0.95367304810376152</v>
      </c>
      <c r="J91">
        <v>-4.6439034571705781E-4</v>
      </c>
      <c r="K91" s="93">
        <f t="shared" si="4"/>
        <v>0</v>
      </c>
      <c r="L91" s="93">
        <f t="shared" si="5"/>
        <v>0</v>
      </c>
      <c r="M91" s="93">
        <f t="shared" si="6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-9.7032717337676591</v>
      </c>
      <c r="H92">
        <v>5.7825219726562497E-4</v>
      </c>
      <c r="I92">
        <v>-1.381876545622545</v>
      </c>
      <c r="J92">
        <v>-7.9907314885606828E-4</v>
      </c>
      <c r="K92" s="93">
        <f t="shared" si="4"/>
        <v>0</v>
      </c>
      <c r="L92" s="93">
        <f t="shared" si="5"/>
        <v>0</v>
      </c>
      <c r="M92" s="93">
        <f t="shared" si="6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-1.3604288056436586</v>
      </c>
      <c r="H93">
        <v>1.2207546386718748E-3</v>
      </c>
      <c r="I93">
        <v>-1.0463915504943231</v>
      </c>
      <c r="J93">
        <v>-1.2773873391330002E-3</v>
      </c>
      <c r="K93" s="93">
        <f t="shared" si="4"/>
        <v>0</v>
      </c>
      <c r="L93" s="93">
        <f t="shared" si="5"/>
        <v>0</v>
      </c>
      <c r="M93" s="93">
        <f t="shared" si="6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3.483101077794271</v>
      </c>
      <c r="H94">
        <v>7.7100292968749996E-4</v>
      </c>
      <c r="I94">
        <v>-0.89038318029005281</v>
      </c>
      <c r="J94">
        <v>-6.8648804054810423E-4</v>
      </c>
      <c r="K94" s="93">
        <f t="shared" si="4"/>
        <v>0</v>
      </c>
      <c r="L94" s="93">
        <f t="shared" si="5"/>
        <v>0</v>
      </c>
      <c r="M94" s="93">
        <f t="shared" si="6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-12.10163586688383</v>
      </c>
      <c r="H95">
        <v>1.2207546386718748E-3</v>
      </c>
      <c r="I95">
        <v>-1.4968873651551353</v>
      </c>
      <c r="J95">
        <v>-1.827332194582452E-3</v>
      </c>
      <c r="K95" s="93">
        <f t="shared" si="4"/>
        <v>0</v>
      </c>
      <c r="L95" s="93">
        <f t="shared" si="5"/>
        <v>0</v>
      </c>
      <c r="M95" s="93">
        <f t="shared" si="6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-3.0420332032869952</v>
      </c>
      <c r="H96">
        <v>2.5771486816406246E-3</v>
      </c>
      <c r="I96">
        <v>-1.1067204658252923</v>
      </c>
      <c r="J96">
        <v>-2.85218318944635E-3</v>
      </c>
      <c r="K96" s="93">
        <f t="shared" si="4"/>
        <v>0</v>
      </c>
      <c r="L96" s="93">
        <f t="shared" si="5"/>
        <v>0</v>
      </c>
      <c r="M96" s="93">
        <f t="shared" si="6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1.8979415442510021</v>
      </c>
      <c r="H97">
        <v>1.6276728515624997E-3</v>
      </c>
      <c r="I97">
        <v>-0.93869495121327207</v>
      </c>
      <c r="J97">
        <v>-1.527888287988628E-3</v>
      </c>
      <c r="K97" s="93">
        <f t="shared" si="4"/>
        <v>0</v>
      </c>
      <c r="L97" s="93">
        <f t="shared" si="5"/>
        <v>0</v>
      </c>
      <c r="M97" s="93">
        <f t="shared" si="6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-14.5</v>
      </c>
      <c r="H98">
        <v>7.7100292968749985E-4</v>
      </c>
      <c r="I98">
        <v>-1.6214703050420796</v>
      </c>
      <c r="J98">
        <v>-1.2501583555887274E-3</v>
      </c>
      <c r="K98" s="93">
        <f t="shared" si="4"/>
        <v>0</v>
      </c>
      <c r="L98" s="93">
        <f t="shared" si="5"/>
        <v>0</v>
      </c>
      <c r="M98" s="93">
        <f t="shared" si="6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-4.9065434675353217</v>
      </c>
      <c r="H99">
        <v>1.6276728515624997E-3</v>
      </c>
      <c r="I99">
        <v>-1.1776859442961809</v>
      </c>
      <c r="J99">
        <v>-1.91688743919764E-3</v>
      </c>
      <c r="K99" s="93">
        <f t="shared" si="4"/>
        <v>0</v>
      </c>
      <c r="L99" s="93">
        <f t="shared" si="5"/>
        <v>0</v>
      </c>
      <c r="M99" s="93">
        <f t="shared" si="6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0.28222818173536612</v>
      </c>
      <c r="H100">
        <v>1.0280039062499997E-3</v>
      </c>
      <c r="I100">
        <v>-0.99063650702680317</v>
      </c>
      <c r="J100">
        <v>-1.0183781988974089E-3</v>
      </c>
      <c r="K100" s="93">
        <f t="shared" si="4"/>
        <v>0</v>
      </c>
      <c r="L100" s="93">
        <f t="shared" si="5"/>
        <v>0</v>
      </c>
      <c r="M100" s="93">
        <f t="shared" si="6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-12.203271733767659</v>
      </c>
      <c r="H101">
        <v>3.6521191406249995E-4</v>
      </c>
      <c r="I101">
        <v>-1.5019672133755515</v>
      </c>
      <c r="J101">
        <v>-5.4853632085600449E-4</v>
      </c>
      <c r="K101" s="93">
        <f t="shared" si="4"/>
        <v>0</v>
      </c>
      <c r="L101" s="93">
        <f t="shared" si="5"/>
        <v>0</v>
      </c>
      <c r="M101" s="93">
        <f t="shared" si="6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-3.3325607143886926</v>
      </c>
      <c r="H102">
        <v>7.7100292968749985E-4</v>
      </c>
      <c r="I102">
        <v>-1.1174902885656834</v>
      </c>
      <c r="J102">
        <v>-8.6158828638147153E-4</v>
      </c>
      <c r="K102" s="93">
        <f t="shared" si="4"/>
        <v>0</v>
      </c>
      <c r="L102" s="93">
        <f t="shared" si="5"/>
        <v>0</v>
      </c>
      <c r="M102" s="93">
        <f t="shared" si="6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1.6123160523055924</v>
      </c>
      <c r="H103">
        <v>4.8694921874999991E-4</v>
      </c>
      <c r="I103">
        <v>-0.94767480487351008</v>
      </c>
      <c r="J103">
        <v>-4.6146950586221436E-4</v>
      </c>
      <c r="K103" s="93">
        <f t="shared" si="4"/>
        <v>0</v>
      </c>
      <c r="L103" s="93">
        <f t="shared" si="5"/>
        <v>0</v>
      </c>
      <c r="M103" s="93">
        <f t="shared" si="6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-14.60163586688383</v>
      </c>
      <c r="H104">
        <v>7.7100292968749985E-4</v>
      </c>
      <c r="I104">
        <v>-1.6269729388642791</v>
      </c>
      <c r="J104">
        <v>-1.2544009023866408E-3</v>
      </c>
      <c r="K104" s="93">
        <f t="shared" si="4"/>
        <v>0</v>
      </c>
      <c r="L104" s="93">
        <f t="shared" si="5"/>
        <v>0</v>
      </c>
      <c r="M104" s="93">
        <f t="shared" si="6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-5.0596113222263472</v>
      </c>
      <c r="H105">
        <v>1.6276728515624997E-3</v>
      </c>
      <c r="I105">
        <v>-1.1837101618277797</v>
      </c>
      <c r="J105">
        <v>-1.92669289452573E-3</v>
      </c>
      <c r="K105" s="93">
        <f t="shared" si="4"/>
        <v>0</v>
      </c>
      <c r="L105" s="93">
        <f t="shared" si="5"/>
        <v>0</v>
      </c>
      <c r="M105" s="93">
        <f t="shared" si="6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-3.3973102100479657E-3</v>
      </c>
      <c r="H106">
        <v>1.0280039062499997E-3</v>
      </c>
      <c r="I106">
        <v>-1.0001132500859751</v>
      </c>
      <c r="J106">
        <v>-1.0281203277807652E-3</v>
      </c>
      <c r="K106" s="93">
        <f t="shared" si="4"/>
        <v>0</v>
      </c>
      <c r="L106" s="93">
        <f t="shared" si="5"/>
        <v>0</v>
      </c>
      <c r="M106" s="93">
        <f t="shared" si="6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-17</v>
      </c>
      <c r="H107">
        <v>4.8694921874999991E-4</v>
      </c>
      <c r="I107">
        <v>-1.7623826407286585</v>
      </c>
      <c r="J107">
        <v>-8.58190850041382E-4</v>
      </c>
      <c r="K107" s="93">
        <f t="shared" si="4"/>
        <v>0</v>
      </c>
      <c r="L107" s="93">
        <f t="shared" si="5"/>
        <v>0</v>
      </c>
      <c r="M107" s="93">
        <f t="shared" si="6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-7.4065434675353199</v>
      </c>
      <c r="H108">
        <v>1.0280039062499997E-3</v>
      </c>
      <c r="I108">
        <v>-1.2800316219197514</v>
      </c>
      <c r="J108">
        <v>-1.3158775074570272E-3</v>
      </c>
      <c r="K108" s="93">
        <f t="shared" si="4"/>
        <v>0</v>
      </c>
      <c r="L108" s="93">
        <f t="shared" si="5"/>
        <v>0</v>
      </c>
      <c r="M108" s="93">
        <f t="shared" si="6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-1.6520230774009681</v>
      </c>
      <c r="H109">
        <v>6.4926562499999978E-4</v>
      </c>
      <c r="I109">
        <v>-1.05661186585927</v>
      </c>
      <c r="J109">
        <v>-6.8602176346953486E-4</v>
      </c>
      <c r="K109" s="93">
        <f t="shared" si="4"/>
        <v>0</v>
      </c>
      <c r="L109" s="93">
        <f t="shared" si="5"/>
        <v>0</v>
      </c>
      <c r="M109" s="93">
        <f t="shared" si="6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-8.2032717337676591</v>
      </c>
      <c r="H110">
        <v>5.7825219726562497E-4</v>
      </c>
      <c r="I110">
        <v>-1.3144816312235683</v>
      </c>
      <c r="J110">
        <v>-7.6010189152033131E-4</v>
      </c>
      <c r="K110" s="93">
        <f t="shared" si="4"/>
        <v>0</v>
      </c>
      <c r="L110" s="93">
        <f t="shared" si="5"/>
        <v>0</v>
      </c>
      <c r="M110" s="93">
        <f t="shared" si="6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-0.19301833094307452</v>
      </c>
      <c r="H111">
        <v>1.2207546386718748E-3</v>
      </c>
      <c r="I111">
        <v>-1.0064546866458464</v>
      </c>
      <c r="J111">
        <v>-1.2286342273359651E-3</v>
      </c>
      <c r="K111" s="93">
        <f t="shared" si="4"/>
        <v>0</v>
      </c>
      <c r="L111" s="93">
        <f t="shared" si="5"/>
        <v>0</v>
      </c>
      <c r="M111" s="93">
        <f t="shared" si="6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4.5951686554850308</v>
      </c>
      <c r="H112">
        <v>7.7100292968749996E-4</v>
      </c>
      <c r="I112">
        <v>-0.85798188865028724</v>
      </c>
      <c r="J112">
        <v>-6.615065497681858E-4</v>
      </c>
      <c r="K112" s="93">
        <f t="shared" si="4"/>
        <v>0</v>
      </c>
      <c r="L112" s="93">
        <f t="shared" si="5"/>
        <v>0</v>
      </c>
      <c r="M112" s="93">
        <f t="shared" si="6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-10.60163586688383</v>
      </c>
      <c r="H113">
        <v>1.2207546386718748E-3</v>
      </c>
      <c r="I113">
        <v>-1.4238833068989094</v>
      </c>
      <c r="J113">
        <v>-1.7382121518242923E-3</v>
      </c>
      <c r="K113" s="93">
        <f t="shared" si="4"/>
        <v>0</v>
      </c>
      <c r="L113" s="93">
        <f t="shared" si="5"/>
        <v>0</v>
      </c>
      <c r="M113" s="93">
        <f t="shared" si="6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-1.8499864674531208</v>
      </c>
      <c r="H114">
        <v>2.5771486816406246E-3</v>
      </c>
      <c r="I114">
        <v>-1.0636072699382935</v>
      </c>
      <c r="J114">
        <v>-2.7410740735048567E-3</v>
      </c>
      <c r="K114" s="93">
        <f t="shared" si="4"/>
        <v>0</v>
      </c>
      <c r="L114" s="93">
        <f t="shared" si="5"/>
        <v>0</v>
      </c>
      <c r="M114" s="93">
        <f t="shared" si="6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3.0137144708029968</v>
      </c>
      <c r="H115">
        <v>1.6276728515624997E-3</v>
      </c>
      <c r="I115">
        <v>-0.90442386702534561</v>
      </c>
      <c r="J115">
        <v>-1.4721061746623273E-3</v>
      </c>
      <c r="K115" s="93">
        <f t="shared" si="4"/>
        <v>0</v>
      </c>
      <c r="L115" s="93">
        <f t="shared" si="5"/>
        <v>0</v>
      </c>
      <c r="M115" s="93">
        <f t="shared" si="6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-13</v>
      </c>
      <c r="H116">
        <v>7.7100292968749985E-4</v>
      </c>
      <c r="I116">
        <v>-1.5423902651101746</v>
      </c>
      <c r="J116">
        <v>-1.1891874131214242E-3</v>
      </c>
      <c r="K116" s="93">
        <f t="shared" si="4"/>
        <v>0</v>
      </c>
      <c r="L116" s="93">
        <f t="shared" si="5"/>
        <v>0</v>
      </c>
      <c r="M116" s="93">
        <f t="shared" si="6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-3.5617458222870511</v>
      </c>
      <c r="H117">
        <v>1.6276728515624997E-3</v>
      </c>
      <c r="I117">
        <v>-1.1260600523359159</v>
      </c>
      <c r="J117">
        <v>-1.8328573764162179E-3</v>
      </c>
      <c r="K117" s="93">
        <f t="shared" si="4"/>
        <v>0</v>
      </c>
      <c r="L117" s="93">
        <f t="shared" si="5"/>
        <v>0</v>
      </c>
      <c r="M117" s="93">
        <f t="shared" si="6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1.4230314944119988</v>
      </c>
      <c r="H118">
        <v>1.0280039062499997E-3</v>
      </c>
      <c r="I118">
        <v>-0.95367304810376152</v>
      </c>
      <c r="J118">
        <v>-9.8037961873601075E-4</v>
      </c>
      <c r="K118" s="93">
        <f t="shared" si="4"/>
        <v>0</v>
      </c>
      <c r="L118" s="93">
        <f t="shared" si="5"/>
        <v>0</v>
      </c>
      <c r="M118" s="93">
        <f t="shared" si="6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-9.7032717337676591</v>
      </c>
      <c r="H119">
        <v>1.2207546386718748E-3</v>
      </c>
      <c r="I119">
        <v>-1.381876545622545</v>
      </c>
      <c r="J119">
        <v>-1.6869322031405885E-3</v>
      </c>
      <c r="K119" s="93">
        <f t="shared" si="4"/>
        <v>0</v>
      </c>
      <c r="L119" s="93">
        <f t="shared" si="5"/>
        <v>0</v>
      </c>
      <c r="M119" s="93">
        <f t="shared" si="6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-1.3604288056436586</v>
      </c>
      <c r="H120">
        <v>2.5771486816406246E-3</v>
      </c>
      <c r="I120">
        <v>-1.0463915504943231</v>
      </c>
      <c r="J120">
        <v>-2.6967066048363339E-3</v>
      </c>
      <c r="K120" s="93">
        <f t="shared" si="4"/>
        <v>0</v>
      </c>
      <c r="L120" s="93">
        <f t="shared" si="5"/>
        <v>0</v>
      </c>
      <c r="M120" s="93">
        <f t="shared" si="6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3.483101077794271</v>
      </c>
      <c r="H121">
        <v>1.6276728515624997E-3</v>
      </c>
      <c r="I121">
        <v>-0.89038318029005281</v>
      </c>
      <c r="J121">
        <v>-1.4492525300459976E-3</v>
      </c>
      <c r="K121" s="93">
        <f t="shared" si="4"/>
        <v>0</v>
      </c>
      <c r="L121" s="93">
        <f t="shared" si="5"/>
        <v>0</v>
      </c>
      <c r="M121" s="93">
        <f t="shared" si="6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-12.10163586688383</v>
      </c>
      <c r="H122">
        <v>2.5771486816406246E-3</v>
      </c>
      <c r="I122">
        <v>-1.4968873651551353</v>
      </c>
      <c r="J122">
        <v>-3.8577012996740653E-3</v>
      </c>
      <c r="K122" s="93">
        <f t="shared" si="4"/>
        <v>0</v>
      </c>
      <c r="L122" s="93">
        <f t="shared" si="5"/>
        <v>0</v>
      </c>
      <c r="M122" s="93">
        <f t="shared" si="6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-3.0420332032869952</v>
      </c>
      <c r="H123">
        <v>5.4406472167968737E-3</v>
      </c>
      <c r="I123">
        <v>-1.1067204658252923</v>
      </c>
      <c r="J123">
        <v>-6.0212756221645156E-3</v>
      </c>
      <c r="K123" s="93">
        <f t="shared" si="4"/>
        <v>0</v>
      </c>
      <c r="L123" s="93">
        <f t="shared" si="5"/>
        <v>0</v>
      </c>
      <c r="M123" s="93">
        <f t="shared" si="6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1.8979415442510021</v>
      </c>
      <c r="H124">
        <v>3.4361982421874993E-3</v>
      </c>
      <c r="I124">
        <v>-0.93869495121327207</v>
      </c>
      <c r="J124">
        <v>-3.2255419413093258E-3</v>
      </c>
      <c r="K124" s="93">
        <f t="shared" si="4"/>
        <v>0</v>
      </c>
      <c r="L124" s="93">
        <f t="shared" si="5"/>
        <v>0</v>
      </c>
      <c r="M124" s="93">
        <f t="shared" si="6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-14.5</v>
      </c>
      <c r="H125">
        <v>1.6276728515624997E-3</v>
      </c>
      <c r="I125">
        <v>-1.6214703050420796</v>
      </c>
      <c r="J125">
        <v>-2.639223195131758E-3</v>
      </c>
      <c r="K125" s="93">
        <f t="shared" si="4"/>
        <v>0</v>
      </c>
      <c r="L125" s="93">
        <f t="shared" si="5"/>
        <v>0</v>
      </c>
      <c r="M125" s="93">
        <f t="shared" si="6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-4.9065434675353217</v>
      </c>
      <c r="H126">
        <v>3.4361982421874993E-3</v>
      </c>
      <c r="I126">
        <v>-1.1776859442961809</v>
      </c>
      <c r="J126">
        <v>-4.046762371639462E-3</v>
      </c>
      <c r="K126" s="93">
        <f t="shared" si="4"/>
        <v>0</v>
      </c>
      <c r="L126" s="93">
        <f t="shared" si="5"/>
        <v>0</v>
      </c>
      <c r="M126" s="93">
        <f t="shared" si="6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0.28222818173536612</v>
      </c>
      <c r="H127">
        <v>2.1702304687499993E-3</v>
      </c>
      <c r="I127">
        <v>-0.99063650702680317</v>
      </c>
      <c r="J127">
        <v>-2.1499095310056411E-3</v>
      </c>
      <c r="K127" s="93">
        <f t="shared" si="4"/>
        <v>0</v>
      </c>
      <c r="L127" s="93">
        <f t="shared" si="5"/>
        <v>0</v>
      </c>
      <c r="M127" s="93">
        <f t="shared" si="6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-12.203271733767659</v>
      </c>
      <c r="H128">
        <v>7.7100292968749996E-4</v>
      </c>
      <c r="I128">
        <v>-1.5019672133755515</v>
      </c>
      <c r="J128">
        <v>-1.1580211218071206E-3</v>
      </c>
      <c r="K128" s="93">
        <f t="shared" si="4"/>
        <v>0</v>
      </c>
      <c r="L128" s="93">
        <f t="shared" si="5"/>
        <v>0</v>
      </c>
      <c r="M128" s="93">
        <f t="shared" si="6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-3.3325607143886926</v>
      </c>
      <c r="H129">
        <v>1.6276728515624999E-3</v>
      </c>
      <c r="I129">
        <v>-1.1174902885656834</v>
      </c>
      <c r="J129">
        <v>-1.8189086045831068E-3</v>
      </c>
      <c r="K129" s="93">
        <f t="shared" si="4"/>
        <v>0</v>
      </c>
      <c r="L129" s="93">
        <f t="shared" si="5"/>
        <v>0</v>
      </c>
      <c r="M129" s="93">
        <f t="shared" si="6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1.6123160523055924</v>
      </c>
      <c r="H130">
        <v>1.0280039062499999E-3</v>
      </c>
      <c r="I130">
        <v>-0.94767480487351008</v>
      </c>
      <c r="J130">
        <v>-9.7421340126467484E-4</v>
      </c>
      <c r="K130" s="93">
        <f t="shared" si="4"/>
        <v>0</v>
      </c>
      <c r="L130" s="93">
        <f t="shared" si="5"/>
        <v>0</v>
      </c>
      <c r="M130" s="93">
        <f t="shared" si="6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-14.60163586688383</v>
      </c>
      <c r="H131">
        <v>1.6276728515624997E-3</v>
      </c>
      <c r="I131">
        <v>-1.6269729388642791</v>
      </c>
      <c r="J131">
        <v>-2.6481796828162416E-3</v>
      </c>
      <c r="K131" s="93">
        <f t="shared" ref="K131:K194" si="7">IF(A131=3,1,0)</f>
        <v>0</v>
      </c>
      <c r="L131" s="93">
        <f t="shared" ref="L131:L194" si="8">IF(A131=2,1,0)</f>
        <v>0</v>
      </c>
      <c r="M131" s="93">
        <f t="shared" ref="M131:M194" si="9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-5.0596113222263472</v>
      </c>
      <c r="H132">
        <v>3.4361982421874993E-3</v>
      </c>
      <c r="I132">
        <v>-1.1837101618277797</v>
      </c>
      <c r="J132">
        <v>-4.0674627773320971E-3</v>
      </c>
      <c r="K132" s="93">
        <f t="shared" si="7"/>
        <v>0</v>
      </c>
      <c r="L132" s="93">
        <f t="shared" si="8"/>
        <v>0</v>
      </c>
      <c r="M132" s="93">
        <f t="shared" si="9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-3.3973102100479657E-3</v>
      </c>
      <c r="H133">
        <v>2.1702304687499993E-3</v>
      </c>
      <c r="I133">
        <v>-1.0001132500859751</v>
      </c>
      <c r="J133">
        <v>-2.1704762475371711E-3</v>
      </c>
      <c r="K133" s="93">
        <f t="shared" si="7"/>
        <v>0</v>
      </c>
      <c r="L133" s="93">
        <f t="shared" si="8"/>
        <v>0</v>
      </c>
      <c r="M133" s="93">
        <f t="shared" si="9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-17</v>
      </c>
      <c r="H134">
        <v>1.0280039062499999E-3</v>
      </c>
      <c r="I134">
        <v>-1.7623826407286585</v>
      </c>
      <c r="J134">
        <v>-1.8117362389762511E-3</v>
      </c>
      <c r="K134" s="93">
        <f t="shared" si="7"/>
        <v>0</v>
      </c>
      <c r="L134" s="93">
        <f t="shared" si="8"/>
        <v>0</v>
      </c>
      <c r="M134" s="93">
        <f t="shared" si="9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-7.4065434675353199</v>
      </c>
      <c r="H135">
        <v>2.1702304687499993E-3</v>
      </c>
      <c r="I135">
        <v>-1.2800316219197514</v>
      </c>
      <c r="J135">
        <v>-2.7779636268537239E-3</v>
      </c>
      <c r="K135" s="93">
        <f t="shared" si="7"/>
        <v>0</v>
      </c>
      <c r="L135" s="93">
        <f t="shared" si="8"/>
        <v>0</v>
      </c>
      <c r="M135" s="93">
        <f t="shared" si="9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-1.6520230774009681</v>
      </c>
      <c r="H136">
        <v>1.3706718749999997E-3</v>
      </c>
      <c r="I136">
        <v>-1.05661186585927</v>
      </c>
      <c r="J136">
        <v>-1.4482681673245739E-3</v>
      </c>
      <c r="K136" s="93">
        <f t="shared" si="7"/>
        <v>0</v>
      </c>
      <c r="L136" s="93">
        <f t="shared" si="8"/>
        <v>0</v>
      </c>
      <c r="M136" s="93">
        <f t="shared" si="9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-8.2032717337676591</v>
      </c>
      <c r="H137">
        <v>3.652119140625E-4</v>
      </c>
      <c r="I137">
        <v>-1.3144816312235683</v>
      </c>
      <c r="J137">
        <v>-4.8006435253915666E-4</v>
      </c>
      <c r="K137" s="93">
        <f t="shared" si="7"/>
        <v>0</v>
      </c>
      <c r="L137" s="93">
        <f t="shared" si="8"/>
        <v>0</v>
      </c>
      <c r="M137" s="93">
        <f t="shared" si="9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-0.19301833094307452</v>
      </c>
      <c r="H138">
        <v>7.7100292968749996E-4</v>
      </c>
      <c r="I138">
        <v>-1.0064546866458464</v>
      </c>
      <c r="J138">
        <v>-7.759795120016623E-4</v>
      </c>
      <c r="K138" s="93">
        <f t="shared" si="7"/>
        <v>0</v>
      </c>
      <c r="L138" s="93">
        <f t="shared" si="8"/>
        <v>0</v>
      </c>
      <c r="M138" s="93">
        <f t="shared" si="9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4.5951686554850308</v>
      </c>
      <c r="H139">
        <v>4.8694921874999997E-4</v>
      </c>
      <c r="I139">
        <v>-0.85798188865028724</v>
      </c>
      <c r="J139">
        <v>-4.1779361037990684E-4</v>
      </c>
      <c r="K139" s="93">
        <f t="shared" si="7"/>
        <v>0</v>
      </c>
      <c r="L139" s="93">
        <f t="shared" si="8"/>
        <v>0</v>
      </c>
      <c r="M139" s="93">
        <f t="shared" si="9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-10.60163586688383</v>
      </c>
      <c r="H140">
        <v>7.7100292968749996E-4</v>
      </c>
      <c r="I140">
        <v>-1.4238833068989094</v>
      </c>
      <c r="J140">
        <v>-1.0978182011521847E-3</v>
      </c>
      <c r="K140" s="93">
        <f t="shared" si="7"/>
        <v>0</v>
      </c>
      <c r="L140" s="93">
        <f t="shared" si="8"/>
        <v>0</v>
      </c>
      <c r="M140" s="93">
        <f t="shared" si="9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-1.8499864674531208</v>
      </c>
      <c r="H141">
        <v>1.6276728515624999E-3</v>
      </c>
      <c r="I141">
        <v>-1.0636072699382935</v>
      </c>
      <c r="J141">
        <v>-1.7312046780030676E-3</v>
      </c>
      <c r="K141" s="93">
        <f t="shared" si="7"/>
        <v>0</v>
      </c>
      <c r="L141" s="93">
        <f t="shared" si="8"/>
        <v>0</v>
      </c>
      <c r="M141" s="93">
        <f t="shared" si="9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3.0137144708029968</v>
      </c>
      <c r="H142">
        <v>1.0280039062499999E-3</v>
      </c>
      <c r="I142">
        <v>-0.90442386702534561</v>
      </c>
      <c r="J142">
        <v>-9.2975126820778577E-4</v>
      </c>
      <c r="K142" s="93">
        <f t="shared" si="7"/>
        <v>0</v>
      </c>
      <c r="L142" s="93">
        <f t="shared" si="8"/>
        <v>0</v>
      </c>
      <c r="M142" s="93">
        <f t="shared" si="9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-13</v>
      </c>
      <c r="H143">
        <v>4.8694921874999997E-4</v>
      </c>
      <c r="I143">
        <v>-1.5423902651101746</v>
      </c>
      <c r="J143">
        <v>-7.5106573460300492E-4</v>
      </c>
      <c r="K143" s="93">
        <f t="shared" si="7"/>
        <v>0</v>
      </c>
      <c r="L143" s="93">
        <f t="shared" si="8"/>
        <v>0</v>
      </c>
      <c r="M143" s="93">
        <f t="shared" si="9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-3.5617458222870511</v>
      </c>
      <c r="H144">
        <v>1.0280039062499999E-3</v>
      </c>
      <c r="I144">
        <v>-1.1260600523359159</v>
      </c>
      <c r="J144">
        <v>-1.1575941324734008E-3</v>
      </c>
      <c r="K144" s="93">
        <f t="shared" si="7"/>
        <v>0</v>
      </c>
      <c r="L144" s="93">
        <f t="shared" si="8"/>
        <v>0</v>
      </c>
      <c r="M144" s="93">
        <f t="shared" si="9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1.4230314944119988</v>
      </c>
      <c r="H145">
        <v>6.4926562499999999E-4</v>
      </c>
      <c r="I145">
        <v>-0.95367304810376152</v>
      </c>
      <c r="J145">
        <v>-6.1918712762274375E-4</v>
      </c>
      <c r="K145" s="93">
        <f t="shared" si="7"/>
        <v>0</v>
      </c>
      <c r="L145" s="93">
        <f t="shared" si="8"/>
        <v>0</v>
      </c>
      <c r="M145" s="93">
        <f t="shared" si="9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-9.7032717337676591</v>
      </c>
      <c r="H146">
        <v>7.7100292968750007E-4</v>
      </c>
      <c r="I146">
        <v>-1.381876545622545</v>
      </c>
      <c r="J146">
        <v>-1.0654308651414247E-3</v>
      </c>
      <c r="K146" s="93">
        <f t="shared" si="7"/>
        <v>0</v>
      </c>
      <c r="L146" s="93">
        <f t="shared" si="8"/>
        <v>0</v>
      </c>
      <c r="M146" s="93">
        <f t="shared" si="9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-1.3604288056436586</v>
      </c>
      <c r="H147">
        <v>1.6276728515625001E-3</v>
      </c>
      <c r="I147">
        <v>-1.0463915504943231</v>
      </c>
      <c r="J147">
        <v>-1.7031831188440007E-3</v>
      </c>
      <c r="K147" s="93">
        <f t="shared" si="7"/>
        <v>0</v>
      </c>
      <c r="L147" s="93">
        <f t="shared" si="8"/>
        <v>0</v>
      </c>
      <c r="M147" s="93">
        <f t="shared" si="9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3.483101077794271</v>
      </c>
      <c r="H148">
        <v>1.0280039062499999E-3</v>
      </c>
      <c r="I148">
        <v>-0.89038318029005281</v>
      </c>
      <c r="J148">
        <v>-9.153173873974723E-4</v>
      </c>
      <c r="K148" s="93">
        <f t="shared" si="7"/>
        <v>0</v>
      </c>
      <c r="L148" s="93">
        <f t="shared" si="8"/>
        <v>0</v>
      </c>
      <c r="M148" s="93">
        <f t="shared" si="9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-12.10163586688383</v>
      </c>
      <c r="H149">
        <v>1.6276728515624999E-3</v>
      </c>
      <c r="I149">
        <v>-1.4968873651551353</v>
      </c>
      <c r="J149">
        <v>-2.4364429261099362E-3</v>
      </c>
      <c r="K149" s="93">
        <f t="shared" si="7"/>
        <v>0</v>
      </c>
      <c r="L149" s="93">
        <f t="shared" si="8"/>
        <v>0</v>
      </c>
      <c r="M149" s="93">
        <f t="shared" si="9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-3.0420332032869952</v>
      </c>
      <c r="H150">
        <v>3.4361982421874998E-3</v>
      </c>
      <c r="I150">
        <v>-1.1067204658252923</v>
      </c>
      <c r="J150">
        <v>-3.8029109192618E-3</v>
      </c>
      <c r="K150" s="93">
        <f t="shared" si="7"/>
        <v>0</v>
      </c>
      <c r="L150" s="93">
        <f t="shared" si="8"/>
        <v>0</v>
      </c>
      <c r="M150" s="93">
        <f t="shared" si="9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1.8979415442510021</v>
      </c>
      <c r="H151">
        <v>2.1702304687499997E-3</v>
      </c>
      <c r="I151">
        <v>-0.93869495121327207</v>
      </c>
      <c r="J151">
        <v>-2.0371843839848375E-3</v>
      </c>
      <c r="K151" s="93">
        <f t="shared" si="7"/>
        <v>0</v>
      </c>
      <c r="L151" s="93">
        <f t="shared" si="8"/>
        <v>0</v>
      </c>
      <c r="M151" s="93">
        <f t="shared" si="9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-14.5</v>
      </c>
      <c r="H152">
        <v>1.0280039062499999E-3</v>
      </c>
      <c r="I152">
        <v>-1.6214703050420796</v>
      </c>
      <c r="J152">
        <v>-1.6668778074516368E-3</v>
      </c>
      <c r="K152" s="93">
        <f t="shared" si="7"/>
        <v>0</v>
      </c>
      <c r="L152" s="93">
        <f t="shared" si="8"/>
        <v>0</v>
      </c>
      <c r="M152" s="93">
        <f t="shared" si="9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-4.9065434675353217</v>
      </c>
      <c r="H153">
        <v>2.1702304687499997E-3</v>
      </c>
      <c r="I153">
        <v>-1.1776859442961809</v>
      </c>
      <c r="J153">
        <v>-2.5558499189301869E-3</v>
      </c>
      <c r="K153" s="93">
        <f t="shared" si="7"/>
        <v>0</v>
      </c>
      <c r="L153" s="93">
        <f t="shared" si="8"/>
        <v>0</v>
      </c>
      <c r="M153" s="93">
        <f t="shared" si="9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0.28222818173536612</v>
      </c>
      <c r="H154">
        <v>1.3706718749999999E-3</v>
      </c>
      <c r="I154">
        <v>-0.99063650702680317</v>
      </c>
      <c r="J154">
        <v>-1.3578375985298788E-3</v>
      </c>
      <c r="K154" s="93">
        <f t="shared" si="7"/>
        <v>0</v>
      </c>
      <c r="L154" s="93">
        <f t="shared" si="8"/>
        <v>0</v>
      </c>
      <c r="M154" s="93">
        <f t="shared" si="9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-12.203271733767659</v>
      </c>
      <c r="H155">
        <v>4.8694921875000008E-4</v>
      </c>
      <c r="I155">
        <v>-1.5019672133755515</v>
      </c>
      <c r="J155">
        <v>-7.3138176114133943E-4</v>
      </c>
      <c r="K155" s="93">
        <f t="shared" si="7"/>
        <v>0</v>
      </c>
      <c r="L155" s="93">
        <f t="shared" si="8"/>
        <v>0</v>
      </c>
      <c r="M155" s="93">
        <f t="shared" si="9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-3.3325607143886926</v>
      </c>
      <c r="H156">
        <v>1.0280039062500002E-3</v>
      </c>
      <c r="I156">
        <v>-1.1174902885656834</v>
      </c>
      <c r="J156">
        <v>-1.1487843818419625E-3</v>
      </c>
      <c r="K156" s="93">
        <f t="shared" si="7"/>
        <v>0</v>
      </c>
      <c r="L156" s="93">
        <f t="shared" si="8"/>
        <v>0</v>
      </c>
      <c r="M156" s="93">
        <f t="shared" si="9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1.6123160523055924</v>
      </c>
      <c r="H157">
        <v>6.492656250000001E-4</v>
      </c>
      <c r="I157">
        <v>-0.94767480487351008</v>
      </c>
      <c r="J157">
        <v>-6.152926744829527E-4</v>
      </c>
      <c r="K157" s="93">
        <f t="shared" si="7"/>
        <v>0</v>
      </c>
      <c r="L157" s="93">
        <f t="shared" si="8"/>
        <v>0</v>
      </c>
      <c r="M157" s="93">
        <f t="shared" si="9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-14.60163586688383</v>
      </c>
      <c r="H158">
        <v>1.0280039062499999E-3</v>
      </c>
      <c r="I158">
        <v>-1.6269729388642791</v>
      </c>
      <c r="J158">
        <v>-1.6725345365155213E-3</v>
      </c>
      <c r="K158" s="93">
        <f t="shared" si="7"/>
        <v>0</v>
      </c>
      <c r="L158" s="93">
        <f t="shared" si="8"/>
        <v>0</v>
      </c>
      <c r="M158" s="93">
        <f t="shared" si="9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-5.0596113222263472</v>
      </c>
      <c r="H159">
        <v>2.1702304687499997E-3</v>
      </c>
      <c r="I159">
        <v>-1.1837101618277797</v>
      </c>
      <c r="J159">
        <v>-2.5689238593676403E-3</v>
      </c>
      <c r="K159" s="93">
        <f t="shared" si="7"/>
        <v>0</v>
      </c>
      <c r="L159" s="93">
        <f t="shared" si="8"/>
        <v>0</v>
      </c>
      <c r="M159" s="93">
        <f t="shared" si="9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-3.3973102100479657E-3</v>
      </c>
      <c r="H160">
        <v>1.3706718749999999E-3</v>
      </c>
      <c r="I160">
        <v>-1.0001132500859751</v>
      </c>
      <c r="J160">
        <v>-1.3708271037076872E-3</v>
      </c>
      <c r="K160" s="93">
        <f t="shared" si="7"/>
        <v>0</v>
      </c>
      <c r="L160" s="93">
        <f t="shared" si="8"/>
        <v>0</v>
      </c>
      <c r="M160" s="93">
        <f t="shared" si="9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-17</v>
      </c>
      <c r="H161">
        <v>6.492656250000001E-4</v>
      </c>
      <c r="I161">
        <v>-1.7623826407286585</v>
      </c>
      <c r="J161">
        <v>-1.1442544667218432E-3</v>
      </c>
      <c r="K161" s="93">
        <f t="shared" si="7"/>
        <v>0</v>
      </c>
      <c r="L161" s="93">
        <f t="shared" si="8"/>
        <v>0</v>
      </c>
      <c r="M161" s="93">
        <f t="shared" si="9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-7.4065434675353199</v>
      </c>
      <c r="H162">
        <v>1.3706718749999999E-3</v>
      </c>
      <c r="I162">
        <v>-1.2800316219197514</v>
      </c>
      <c r="J162">
        <v>-1.7545033432760366E-3</v>
      </c>
      <c r="K162" s="93">
        <f t="shared" si="7"/>
        <v>0</v>
      </c>
      <c r="L162" s="93">
        <f t="shared" si="8"/>
        <v>0</v>
      </c>
      <c r="M162" s="93">
        <f t="shared" si="9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-1.6520230774009681</v>
      </c>
      <c r="H163">
        <v>8.6568750000000003E-4</v>
      </c>
      <c r="I163">
        <v>-1.05661186585927</v>
      </c>
      <c r="J163">
        <v>-9.1469568462604681E-4</v>
      </c>
      <c r="K163" s="93">
        <f t="shared" si="7"/>
        <v>0</v>
      </c>
      <c r="L163" s="93">
        <f t="shared" si="8"/>
        <v>0</v>
      </c>
      <c r="M163" s="93">
        <f t="shared" si="9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-7.7864383480378674</v>
      </c>
      <c r="H164">
        <v>1.7299511718750003E-4</v>
      </c>
      <c r="I164">
        <v>-1.2963439353469375</v>
      </c>
      <c r="J164">
        <v>-2.2426117101064842E-4</v>
      </c>
      <c r="K164" s="93">
        <f t="shared" si="7"/>
        <v>0</v>
      </c>
      <c r="L164" s="93">
        <f t="shared" si="8"/>
        <v>0</v>
      </c>
      <c r="M164" s="93">
        <f t="shared" si="9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0.60805662147890094</v>
      </c>
      <c r="H165">
        <v>3.6521191406250006E-4</v>
      </c>
      <c r="I165">
        <v>-0.97993547232734979</v>
      </c>
      <c r="J165">
        <v>-3.5788410950641147E-4</v>
      </c>
      <c r="K165" s="93">
        <f t="shared" si="7"/>
        <v>0</v>
      </c>
      <c r="L165" s="93">
        <f t="shared" si="8"/>
        <v>0</v>
      </c>
      <c r="M165" s="93">
        <f t="shared" si="9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5.7706930533776735</v>
      </c>
      <c r="H166">
        <v>2.3066015625000002E-4</v>
      </c>
      <c r="I166">
        <v>-0.82501275256482653</v>
      </c>
      <c r="J166">
        <v>-1.9029757041484548E-4</v>
      </c>
      <c r="K166" s="93">
        <f t="shared" si="7"/>
        <v>0</v>
      </c>
      <c r="L166" s="93">
        <f t="shared" si="8"/>
        <v>0</v>
      </c>
      <c r="M166" s="93">
        <f t="shared" si="9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-10.393219174018935</v>
      </c>
      <c r="H167">
        <v>3.6521191406250006E-4</v>
      </c>
      <c r="I167">
        <v>-1.4140255535575479</v>
      </c>
      <c r="J167">
        <v>-5.1641897894803823E-4</v>
      </c>
      <c r="K167" s="93">
        <f t="shared" si="7"/>
        <v>0</v>
      </c>
      <c r="L167" s="93">
        <f t="shared" si="8"/>
        <v>0</v>
      </c>
      <c r="M167" s="93">
        <f t="shared" si="9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-1.1677106800845569</v>
      </c>
      <c r="H168">
        <v>7.7100292968750007E-4</v>
      </c>
      <c r="I168">
        <v>-1.0396911411016807</v>
      </c>
      <c r="J168">
        <v>-8.0160491575953583E-4</v>
      </c>
      <c r="K168" s="93">
        <f t="shared" si="7"/>
        <v>0</v>
      </c>
      <c r="L168" s="93">
        <f t="shared" si="8"/>
        <v>0</v>
      </c>
      <c r="M168" s="93">
        <f t="shared" si="9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4.0671878152258945</v>
      </c>
      <c r="H169">
        <v>4.8694921875000008E-4</v>
      </c>
      <c r="I169">
        <v>-0.8732154794689978</v>
      </c>
      <c r="J169">
        <v>-4.2521159552783521E-4</v>
      </c>
      <c r="K169" s="93">
        <f t="shared" si="7"/>
        <v>0</v>
      </c>
      <c r="L169" s="93">
        <f t="shared" si="8"/>
        <v>0</v>
      </c>
      <c r="M169" s="93">
        <f t="shared" si="9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-13</v>
      </c>
      <c r="H170">
        <v>2.3066015625000002E-4</v>
      </c>
      <c r="I170">
        <v>-1.5423902651101746</v>
      </c>
      <c r="J170">
        <v>-3.5576797954879185E-4</v>
      </c>
      <c r="K170" s="93">
        <f t="shared" si="7"/>
        <v>0</v>
      </c>
      <c r="L170" s="93">
        <f t="shared" si="8"/>
        <v>0</v>
      </c>
      <c r="M170" s="93">
        <f t="shared" si="9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-2.9900607231347447</v>
      </c>
      <c r="H171">
        <v>4.8694921874999997E-4</v>
      </c>
      <c r="I171">
        <v>-1.1048048253993314</v>
      </c>
      <c r="J171">
        <v>-5.3798384659943456E-4</v>
      </c>
      <c r="K171" s="93">
        <f t="shared" si="7"/>
        <v>0</v>
      </c>
      <c r="L171" s="93">
        <f t="shared" si="8"/>
        <v>0</v>
      </c>
      <c r="M171" s="93">
        <f t="shared" si="9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2.3540494624909964</v>
      </c>
      <c r="H172">
        <v>3.0754687499999999E-4</v>
      </c>
      <c r="I172">
        <v>-0.924531352858455</v>
      </c>
      <c r="J172">
        <v>-2.8433672841114016E-4</v>
      </c>
      <c r="K172" s="93">
        <f t="shared" si="7"/>
        <v>0</v>
      </c>
      <c r="L172" s="93">
        <f t="shared" si="8"/>
        <v>0</v>
      </c>
      <c r="M172" s="93">
        <f t="shared" si="9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-9.2864383480378674</v>
      </c>
      <c r="H173">
        <v>3.652119140625E-4</v>
      </c>
      <c r="I173">
        <v>-1.3628089101925844</v>
      </c>
      <c r="J173">
        <v>-4.9771405059286346E-4</v>
      </c>
      <c r="K173" s="93">
        <f t="shared" si="7"/>
        <v>0</v>
      </c>
      <c r="L173" s="93">
        <f t="shared" si="8"/>
        <v>0</v>
      </c>
      <c r="M173" s="93">
        <f t="shared" si="9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-0.54515180132103835</v>
      </c>
      <c r="H174">
        <v>7.7100292968749996E-4</v>
      </c>
      <c r="I174">
        <v>-1.0183378371823917</v>
      </c>
      <c r="J174">
        <v>-7.8514145587925627E-4</v>
      </c>
      <c r="K174" s="93">
        <f t="shared" si="7"/>
        <v>0</v>
      </c>
      <c r="L174" s="93">
        <f t="shared" si="8"/>
        <v>0</v>
      </c>
      <c r="M174" s="93">
        <f t="shared" si="9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4.6682585902700255</v>
      </c>
      <c r="H175">
        <v>4.8694921874999997E-4</v>
      </c>
      <c r="I175">
        <v>-0.85589410493964257</v>
      </c>
      <c r="J175">
        <v>-4.1677696573308947E-4</v>
      </c>
      <c r="K175" s="93">
        <f t="shared" si="7"/>
        <v>0</v>
      </c>
      <c r="L175" s="93">
        <f t="shared" si="8"/>
        <v>0</v>
      </c>
      <c r="M175" s="93">
        <f t="shared" si="9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-11.893219174018935</v>
      </c>
      <c r="H176">
        <v>7.7100292968749996E-4</v>
      </c>
      <c r="I176">
        <v>-1.4865241939921576</v>
      </c>
      <c r="J176">
        <v>-1.1461145086193031E-3</v>
      </c>
      <c r="K176" s="93">
        <f t="shared" si="7"/>
        <v>0</v>
      </c>
      <c r="L176" s="93">
        <f t="shared" si="8"/>
        <v>0</v>
      </c>
      <c r="M176" s="93">
        <f t="shared" si="9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-2.3468547121122434</v>
      </c>
      <c r="H177">
        <v>1.6276728515624999E-3</v>
      </c>
      <c r="I177">
        <v>-1.0813697130465589</v>
      </c>
      <c r="J177">
        <v>-1.7601161244278148E-3</v>
      </c>
      <c r="K177" s="93">
        <f t="shared" si="7"/>
        <v>0</v>
      </c>
      <c r="L177" s="93">
        <f t="shared" si="8"/>
        <v>0</v>
      </c>
      <c r="M177" s="93">
        <f t="shared" si="9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2.9551202375351329</v>
      </c>
      <c r="H178">
        <v>1.0280039062499999E-3</v>
      </c>
      <c r="I178">
        <v>-0.90619206066366809</v>
      </c>
      <c r="J178">
        <v>-9.3156897817498775E-4</v>
      </c>
      <c r="K178" s="93">
        <f t="shared" si="7"/>
        <v>0</v>
      </c>
      <c r="L178" s="93">
        <f t="shared" si="8"/>
        <v>0</v>
      </c>
      <c r="M178" s="93">
        <f t="shared" si="9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-14.5</v>
      </c>
      <c r="H179">
        <v>4.8694921874999997E-4</v>
      </c>
      <c r="I179">
        <v>-1.6214703050420796</v>
      </c>
      <c r="J179">
        <v>-7.8957369826656481E-4</v>
      </c>
      <c r="K179" s="93">
        <f t="shared" si="7"/>
        <v>0</v>
      </c>
      <c r="L179" s="93">
        <f t="shared" si="8"/>
        <v>0</v>
      </c>
      <c r="M179" s="93">
        <f t="shared" si="9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-4.2045988987920433</v>
      </c>
      <c r="H180">
        <v>1.0280039062499999E-3</v>
      </c>
      <c r="I180">
        <v>-1.1504501454663549</v>
      </c>
      <c r="J180">
        <v>-1.1826672434852934E-3</v>
      </c>
      <c r="K180" s="93">
        <f t="shared" si="7"/>
        <v>0</v>
      </c>
      <c r="L180" s="93">
        <f t="shared" si="8"/>
        <v>0</v>
      </c>
      <c r="M180" s="93">
        <f t="shared" si="9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1.2164230862483281</v>
      </c>
      <c r="H181">
        <v>6.4926562499999999E-4</v>
      </c>
      <c r="I181">
        <v>-0.96026361216629819</v>
      </c>
      <c r="J181">
        <v>-6.2346615431790918E-4</v>
      </c>
      <c r="K181" s="93">
        <f t="shared" si="7"/>
        <v>0</v>
      </c>
      <c r="L181" s="93">
        <f t="shared" si="8"/>
        <v>0</v>
      </c>
      <c r="M181" s="93">
        <f t="shared" si="9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-11.786438348037867</v>
      </c>
      <c r="H182">
        <v>2.3066015625000002E-4</v>
      </c>
      <c r="I182">
        <v>-1.4812425232119328</v>
      </c>
      <c r="J182">
        <v>-3.4166363184820871E-4</v>
      </c>
      <c r="K182" s="93">
        <f t="shared" si="7"/>
        <v>0</v>
      </c>
      <c r="L182" s="93">
        <f t="shared" si="8"/>
        <v>0</v>
      </c>
      <c r="M182" s="93">
        <f t="shared" si="9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-2.4983465249789889</v>
      </c>
      <c r="H183">
        <v>4.8694921874999997E-4</v>
      </c>
      <c r="I183">
        <v>-1.0868441455488689</v>
      </c>
      <c r="J183">
        <v>-5.2923790757803291E-4</v>
      </c>
      <c r="K183" s="93">
        <f t="shared" si="7"/>
        <v>0</v>
      </c>
      <c r="L183" s="93">
        <f t="shared" si="8"/>
        <v>0</v>
      </c>
      <c r="M183" s="93">
        <f t="shared" si="9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2.813423786679401</v>
      </c>
      <c r="H184">
        <v>3.0754687499999999E-4</v>
      </c>
      <c r="I184">
        <v>-0.9104823245669269</v>
      </c>
      <c r="J184">
        <v>-2.8001599366329411E-4</v>
      </c>
      <c r="K184" s="93">
        <f t="shared" si="7"/>
        <v>0</v>
      </c>
      <c r="L184" s="93">
        <f t="shared" si="8"/>
        <v>0</v>
      </c>
      <c r="M184" s="93">
        <f t="shared" si="9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-14.393219174018933</v>
      </c>
      <c r="H185">
        <v>4.8694921874999997E-4</v>
      </c>
      <c r="I185">
        <v>-1.615709166161357</v>
      </c>
      <c r="J185">
        <v>-7.8676831618948668E-4</v>
      </c>
      <c r="K185" s="93">
        <f t="shared" si="7"/>
        <v>0</v>
      </c>
      <c r="L185" s="93">
        <f t="shared" si="8"/>
        <v>0</v>
      </c>
      <c r="M185" s="93">
        <f t="shared" si="9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-4.3446050569387502</v>
      </c>
      <c r="H186">
        <v>1.0280039062499999E-3</v>
      </c>
      <c r="I186">
        <v>-1.1558316967044109</v>
      </c>
      <c r="J186">
        <v>-1.1881994991796996E-3</v>
      </c>
      <c r="K186" s="93">
        <f t="shared" si="7"/>
        <v>0</v>
      </c>
      <c r="L186" s="93">
        <f t="shared" si="8"/>
        <v>0</v>
      </c>
      <c r="M186" s="93">
        <f t="shared" si="9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1.0642540092333412</v>
      </c>
      <c r="H187">
        <v>6.4926562499999999E-4</v>
      </c>
      <c r="I187">
        <v>-0.96514673361666881</v>
      </c>
      <c r="J187">
        <v>-6.2663659721833498E-4</v>
      </c>
      <c r="K187" s="93">
        <f t="shared" si="7"/>
        <v>0</v>
      </c>
      <c r="L187" s="93">
        <f t="shared" si="8"/>
        <v>0</v>
      </c>
      <c r="M187" s="93">
        <f t="shared" si="9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-17</v>
      </c>
      <c r="H188">
        <v>3.0754687500000004E-4</v>
      </c>
      <c r="I188">
        <v>-1.7623826407286585</v>
      </c>
      <c r="J188">
        <v>-5.4201527371034667E-4</v>
      </c>
      <c r="K188" s="93">
        <f t="shared" si="7"/>
        <v>0</v>
      </c>
      <c r="L188" s="93">
        <f t="shared" si="8"/>
        <v>0</v>
      </c>
      <c r="M188" s="93">
        <f t="shared" si="9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-6.5728766960757419</v>
      </c>
      <c r="H189">
        <v>6.4926562499999999E-4</v>
      </c>
      <c r="I189">
        <v>-1.2449506491190301</v>
      </c>
      <c r="J189">
        <v>-8.0830366129442277E-4</v>
      </c>
      <c r="K189" s="93">
        <f t="shared" si="7"/>
        <v>0</v>
      </c>
      <c r="L189" s="93">
        <f t="shared" si="8"/>
        <v>0</v>
      </c>
      <c r="M189" s="93">
        <f t="shared" si="9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-0.7008665723579155</v>
      </c>
      <c r="H190">
        <v>4.100625E-4</v>
      </c>
      <c r="I190">
        <v>-1.0236372533460838</v>
      </c>
      <c r="J190">
        <v>-4.1975525120022849E-4</v>
      </c>
      <c r="K190" s="93">
        <f t="shared" si="7"/>
        <v>0</v>
      </c>
      <c r="L190" s="93">
        <f t="shared" si="8"/>
        <v>0</v>
      </c>
      <c r="M190" s="93">
        <f t="shared" si="9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-7.7864383480378674</v>
      </c>
      <c r="H191">
        <v>3.652119140625E-4</v>
      </c>
      <c r="I191">
        <v>-1.2963439353469375</v>
      </c>
      <c r="J191">
        <v>-4.7344024991136877E-4</v>
      </c>
      <c r="K191" s="93">
        <f t="shared" si="7"/>
        <v>0</v>
      </c>
      <c r="L191" s="93">
        <f t="shared" si="8"/>
        <v>0</v>
      </c>
      <c r="M191" s="93">
        <f t="shared" si="9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0.60805662147890094</v>
      </c>
      <c r="H192">
        <v>7.7100292968749996E-4</v>
      </c>
      <c r="I192">
        <v>-0.97993547232734979</v>
      </c>
      <c r="J192">
        <v>-7.555331200690907E-4</v>
      </c>
      <c r="K192" s="93">
        <f t="shared" si="7"/>
        <v>0</v>
      </c>
      <c r="L192" s="93">
        <f t="shared" si="8"/>
        <v>0</v>
      </c>
      <c r="M192" s="93">
        <f t="shared" si="9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5.7706930533776735</v>
      </c>
      <c r="H193">
        <v>4.8694921874999997E-4</v>
      </c>
      <c r="I193">
        <v>-0.82501275256482653</v>
      </c>
      <c r="J193">
        <v>-4.0173931532022932E-4</v>
      </c>
      <c r="K193" s="93">
        <f t="shared" si="7"/>
        <v>0</v>
      </c>
      <c r="L193" s="93">
        <f t="shared" si="8"/>
        <v>0</v>
      </c>
      <c r="M193" s="93">
        <f t="shared" si="9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-10.393219174018935</v>
      </c>
      <c r="H194">
        <v>7.7100292968749996E-4</v>
      </c>
      <c r="I194">
        <v>-1.4140255535575479</v>
      </c>
      <c r="J194">
        <v>-1.0902178444458584E-3</v>
      </c>
      <c r="K194" s="93">
        <f t="shared" si="7"/>
        <v>0</v>
      </c>
      <c r="L194" s="93">
        <f t="shared" si="8"/>
        <v>0</v>
      </c>
      <c r="M194" s="93">
        <f t="shared" si="9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-1.1677106800845569</v>
      </c>
      <c r="H195">
        <v>1.6276728515624999E-3</v>
      </c>
      <c r="I195">
        <v>-1.0396911411016807</v>
      </c>
      <c r="J195">
        <v>-1.692277044381242E-3</v>
      </c>
      <c r="K195" s="93">
        <f t="shared" ref="K195:K258" si="10">IF(A195=3,1,0)</f>
        <v>0</v>
      </c>
      <c r="L195" s="93">
        <f t="shared" ref="L195:L258" si="11">IF(A195=2,1,0)</f>
        <v>0</v>
      </c>
      <c r="M195" s="93">
        <f t="shared" ref="M195:M258" si="12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4.0671878152258945</v>
      </c>
      <c r="H196">
        <v>1.0280039062499999E-3</v>
      </c>
      <c r="I196">
        <v>-0.8732154794689978</v>
      </c>
      <c r="J196">
        <v>-8.9766892389209641E-4</v>
      </c>
      <c r="K196" s="93">
        <f t="shared" si="10"/>
        <v>0</v>
      </c>
      <c r="L196" s="93">
        <f t="shared" si="11"/>
        <v>0</v>
      </c>
      <c r="M196" s="93">
        <f t="shared" si="12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-13</v>
      </c>
      <c r="H197">
        <v>4.8694921874999997E-4</v>
      </c>
      <c r="I197">
        <v>-1.5423902651101746</v>
      </c>
      <c r="J197">
        <v>-7.5106573460300492E-4</v>
      </c>
      <c r="K197" s="93">
        <f t="shared" si="10"/>
        <v>0</v>
      </c>
      <c r="L197" s="93">
        <f t="shared" si="11"/>
        <v>0</v>
      </c>
      <c r="M197" s="93">
        <f t="shared" si="12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-2.9900607231347447</v>
      </c>
      <c r="H198">
        <v>1.0280039062499999E-3</v>
      </c>
      <c r="I198">
        <v>-1.1048048253993314</v>
      </c>
      <c r="J198">
        <v>-1.1357436761543619E-3</v>
      </c>
      <c r="K198" s="93">
        <f t="shared" si="10"/>
        <v>0</v>
      </c>
      <c r="L198" s="93">
        <f t="shared" si="11"/>
        <v>0</v>
      </c>
      <c r="M198" s="93">
        <f t="shared" si="12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2.3540494624909964</v>
      </c>
      <c r="H199">
        <v>6.4926562499999999E-4</v>
      </c>
      <c r="I199">
        <v>-0.924531352858455</v>
      </c>
      <c r="J199">
        <v>-6.0026642664574035E-4</v>
      </c>
      <c r="K199" s="93">
        <f t="shared" si="10"/>
        <v>0</v>
      </c>
      <c r="L199" s="93">
        <f t="shared" si="11"/>
        <v>0</v>
      </c>
      <c r="M199" s="93">
        <f t="shared" si="12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-9.2864383480378674</v>
      </c>
      <c r="H200">
        <v>7.7100292968750007E-4</v>
      </c>
      <c r="I200">
        <v>-1.3628089101925844</v>
      </c>
      <c r="J200">
        <v>-1.0507296623627118E-3</v>
      </c>
      <c r="K200" s="93">
        <f t="shared" si="10"/>
        <v>0</v>
      </c>
      <c r="L200" s="93">
        <f t="shared" si="11"/>
        <v>0</v>
      </c>
      <c r="M200" s="93">
        <f t="shared" si="12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-0.54515180132103835</v>
      </c>
      <c r="H201">
        <v>1.6276728515625001E-3</v>
      </c>
      <c r="I201">
        <v>-1.0183378371823917</v>
      </c>
      <c r="J201">
        <v>-1.6575208513006524E-3</v>
      </c>
      <c r="K201" s="93">
        <f t="shared" si="10"/>
        <v>0</v>
      </c>
      <c r="L201" s="93">
        <f t="shared" si="11"/>
        <v>0</v>
      </c>
      <c r="M201" s="93">
        <f t="shared" si="12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4.6682585902700255</v>
      </c>
      <c r="H202">
        <v>1.0280039062499999E-3</v>
      </c>
      <c r="I202">
        <v>-0.85589410493964257</v>
      </c>
      <c r="J202">
        <v>-8.7986248321429998E-4</v>
      </c>
      <c r="K202" s="93">
        <f t="shared" si="10"/>
        <v>0</v>
      </c>
      <c r="L202" s="93">
        <f t="shared" si="11"/>
        <v>0</v>
      </c>
      <c r="M202" s="93">
        <f t="shared" si="12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-11.893219174018935</v>
      </c>
      <c r="H203">
        <v>1.6276728515624999E-3</v>
      </c>
      <c r="I203">
        <v>-1.4865241939921576</v>
      </c>
      <c r="J203">
        <v>-2.419575073751862E-3</v>
      </c>
      <c r="K203" s="93">
        <f t="shared" si="10"/>
        <v>0</v>
      </c>
      <c r="L203" s="93">
        <f t="shared" si="11"/>
        <v>0</v>
      </c>
      <c r="M203" s="93">
        <f t="shared" si="12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-2.3468547121122434</v>
      </c>
      <c r="H204">
        <v>3.4361982421874998E-3</v>
      </c>
      <c r="I204">
        <v>-1.0813697130465589</v>
      </c>
      <c r="J204">
        <v>-3.7158007071253869E-3</v>
      </c>
      <c r="K204" s="93">
        <f t="shared" si="10"/>
        <v>0</v>
      </c>
      <c r="L204" s="93">
        <f t="shared" si="11"/>
        <v>0</v>
      </c>
      <c r="M204" s="93">
        <f t="shared" si="12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2.9551202375351329</v>
      </c>
      <c r="H205">
        <v>2.1702304687499997E-3</v>
      </c>
      <c r="I205">
        <v>-0.90619206066366809</v>
      </c>
      <c r="J205">
        <v>-1.9666456205916405E-3</v>
      </c>
      <c r="K205" s="93">
        <f t="shared" si="10"/>
        <v>0</v>
      </c>
      <c r="L205" s="93">
        <f t="shared" si="11"/>
        <v>0</v>
      </c>
      <c r="M205" s="93">
        <f t="shared" si="12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-14.5</v>
      </c>
      <c r="H206">
        <v>1.0280039062499999E-3</v>
      </c>
      <c r="I206">
        <v>-1.6214703050420796</v>
      </c>
      <c r="J206">
        <v>-1.6668778074516368E-3</v>
      </c>
      <c r="K206" s="93">
        <f t="shared" si="10"/>
        <v>0</v>
      </c>
      <c r="L206" s="93">
        <f t="shared" si="11"/>
        <v>0</v>
      </c>
      <c r="M206" s="93">
        <f t="shared" si="12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-4.2045988987920433</v>
      </c>
      <c r="H207">
        <v>2.1702304687499997E-3</v>
      </c>
      <c r="I207">
        <v>-1.1504501454663549</v>
      </c>
      <c r="J207">
        <v>-2.4967419584689529E-3</v>
      </c>
      <c r="K207" s="93">
        <f t="shared" si="10"/>
        <v>0</v>
      </c>
      <c r="L207" s="93">
        <f t="shared" si="11"/>
        <v>0</v>
      </c>
      <c r="M207" s="93">
        <f t="shared" si="12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1.2164230862483281</v>
      </c>
      <c r="H208">
        <v>1.3706718749999999E-3</v>
      </c>
      <c r="I208">
        <v>-0.96026361216629819</v>
      </c>
      <c r="J208">
        <v>-1.3162063257822526E-3</v>
      </c>
      <c r="K208" s="93">
        <f t="shared" si="10"/>
        <v>0</v>
      </c>
      <c r="L208" s="93">
        <f t="shared" si="11"/>
        <v>0</v>
      </c>
      <c r="M208" s="93">
        <f t="shared" si="12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-11.786438348037867</v>
      </c>
      <c r="H209">
        <v>4.8694921875000008E-4</v>
      </c>
      <c r="I209">
        <v>-1.4812425232119328</v>
      </c>
      <c r="J209">
        <v>-7.2128988945732958E-4</v>
      </c>
      <c r="K209" s="93">
        <f t="shared" si="10"/>
        <v>0</v>
      </c>
      <c r="L209" s="93">
        <f t="shared" si="11"/>
        <v>0</v>
      </c>
      <c r="M209" s="93">
        <f t="shared" si="12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-2.4983465249789889</v>
      </c>
      <c r="H210">
        <v>1.0280039062500002E-3</v>
      </c>
      <c r="I210">
        <v>-1.0868441455488689</v>
      </c>
      <c r="J210">
        <v>-1.117280027109181E-3</v>
      </c>
      <c r="K210" s="93">
        <f t="shared" si="10"/>
        <v>0</v>
      </c>
      <c r="L210" s="93">
        <f t="shared" si="11"/>
        <v>0</v>
      </c>
      <c r="M210" s="93">
        <f t="shared" si="12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2.813423786679401</v>
      </c>
      <c r="H211">
        <v>6.492656250000001E-4</v>
      </c>
      <c r="I211">
        <v>-0.9104823245669269</v>
      </c>
      <c r="J211">
        <v>-5.9114487551139878E-4</v>
      </c>
      <c r="K211" s="93">
        <f t="shared" si="10"/>
        <v>0</v>
      </c>
      <c r="L211" s="93">
        <f t="shared" si="11"/>
        <v>0</v>
      </c>
      <c r="M211" s="93">
        <f t="shared" si="12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-14.393219174018933</v>
      </c>
      <c r="H212">
        <v>1.0280039062499999E-3</v>
      </c>
      <c r="I212">
        <v>-1.615709166161357</v>
      </c>
      <c r="J212">
        <v>-1.6609553341778052E-3</v>
      </c>
      <c r="K212" s="93">
        <f t="shared" si="10"/>
        <v>0</v>
      </c>
      <c r="L212" s="93">
        <f t="shared" si="11"/>
        <v>0</v>
      </c>
      <c r="M212" s="93">
        <f t="shared" si="12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-4.3446050569387502</v>
      </c>
      <c r="H213">
        <v>2.1702304687499997E-3</v>
      </c>
      <c r="I213">
        <v>-1.1558316967044109</v>
      </c>
      <c r="J213">
        <v>-2.508421164934921E-3</v>
      </c>
      <c r="K213" s="93">
        <f t="shared" si="10"/>
        <v>0</v>
      </c>
      <c r="L213" s="93">
        <f t="shared" si="11"/>
        <v>0</v>
      </c>
      <c r="M213" s="93">
        <f t="shared" si="12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1.0642540092333412</v>
      </c>
      <c r="H214">
        <v>1.3706718749999999E-3</v>
      </c>
      <c r="I214">
        <v>-0.96514673361666881</v>
      </c>
      <c r="J214">
        <v>-1.3228994830164849E-3</v>
      </c>
      <c r="K214" s="93">
        <f t="shared" si="10"/>
        <v>0</v>
      </c>
      <c r="L214" s="93">
        <f t="shared" si="11"/>
        <v>0</v>
      </c>
      <c r="M214" s="93">
        <f t="shared" si="12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-17</v>
      </c>
      <c r="H215">
        <v>6.492656250000001E-4</v>
      </c>
      <c r="I215">
        <v>-1.7623826407286585</v>
      </c>
      <c r="J215">
        <v>-1.1442544667218432E-3</v>
      </c>
      <c r="K215" s="93">
        <f t="shared" si="10"/>
        <v>0</v>
      </c>
      <c r="L215" s="93">
        <f t="shared" si="11"/>
        <v>0</v>
      </c>
      <c r="M215" s="93">
        <f t="shared" si="12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-6.5728766960757419</v>
      </c>
      <c r="H216">
        <v>1.3706718749999999E-3</v>
      </c>
      <c r="I216">
        <v>-1.2449506491190301</v>
      </c>
      <c r="J216">
        <v>-1.706418840510448E-3</v>
      </c>
      <c r="K216" s="93">
        <f t="shared" si="10"/>
        <v>0</v>
      </c>
      <c r="L216" s="93">
        <f t="shared" si="11"/>
        <v>0</v>
      </c>
      <c r="M216" s="93">
        <f t="shared" si="12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-0.7008665723579155</v>
      </c>
      <c r="H217">
        <v>8.6568750000000003E-4</v>
      </c>
      <c r="I217">
        <v>-1.0236372533460838</v>
      </c>
      <c r="J217">
        <v>-8.8614997475603796E-4</v>
      </c>
      <c r="K217" s="93">
        <f t="shared" si="10"/>
        <v>0</v>
      </c>
      <c r="L217" s="93">
        <f t="shared" si="11"/>
        <v>0</v>
      </c>
      <c r="M217" s="93">
        <f t="shared" si="12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-7.7864383480378674</v>
      </c>
      <c r="H218">
        <v>2.3066015625000002E-4</v>
      </c>
      <c r="I218">
        <v>-1.2963439353469375</v>
      </c>
      <c r="J218">
        <v>-2.990148946808645E-4</v>
      </c>
      <c r="K218" s="93">
        <f t="shared" si="10"/>
        <v>0</v>
      </c>
      <c r="L218" s="93">
        <f t="shared" si="11"/>
        <v>0</v>
      </c>
      <c r="M218" s="93">
        <f t="shared" si="12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0.60805662147890094</v>
      </c>
      <c r="H219">
        <v>4.8694921874999997E-4</v>
      </c>
      <c r="I219">
        <v>-0.97993547232734979</v>
      </c>
      <c r="J219">
        <v>-4.7717881267521519E-4</v>
      </c>
      <c r="K219" s="93">
        <f t="shared" si="10"/>
        <v>0</v>
      </c>
      <c r="L219" s="93">
        <f t="shared" si="11"/>
        <v>0</v>
      </c>
      <c r="M219" s="93">
        <f t="shared" si="12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5.7706930533776735</v>
      </c>
      <c r="H220">
        <v>3.0754687499999999E-4</v>
      </c>
      <c r="I220">
        <v>-0.82501275256482653</v>
      </c>
      <c r="J220">
        <v>-2.5373009388646064E-4</v>
      </c>
      <c r="K220" s="93">
        <f t="shared" si="10"/>
        <v>0</v>
      </c>
      <c r="L220" s="93">
        <f t="shared" si="11"/>
        <v>0</v>
      </c>
      <c r="M220" s="93">
        <f t="shared" si="12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-10.393219174018935</v>
      </c>
      <c r="H221">
        <v>4.8694921874999997E-4</v>
      </c>
      <c r="I221">
        <v>-1.4140255535575479</v>
      </c>
      <c r="J221">
        <v>-6.885586385973842E-4</v>
      </c>
      <c r="K221" s="93">
        <f t="shared" si="10"/>
        <v>0</v>
      </c>
      <c r="L221" s="93">
        <f t="shared" si="11"/>
        <v>0</v>
      </c>
      <c r="M221" s="93">
        <f t="shared" si="12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-1.1677106800845569</v>
      </c>
      <c r="H222">
        <v>1.0280039062499999E-3</v>
      </c>
      <c r="I222">
        <v>-1.0396911411016807</v>
      </c>
      <c r="J222">
        <v>-1.0688065543460476E-3</v>
      </c>
      <c r="K222" s="93">
        <f t="shared" si="10"/>
        <v>0</v>
      </c>
      <c r="L222" s="93">
        <f t="shared" si="11"/>
        <v>0</v>
      </c>
      <c r="M222" s="93">
        <f t="shared" si="12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4.0671878152258945</v>
      </c>
      <c r="H223">
        <v>6.4926562499999999E-4</v>
      </c>
      <c r="I223">
        <v>-0.8732154794689978</v>
      </c>
      <c r="J223">
        <v>-5.6694879403711357E-4</v>
      </c>
      <c r="K223" s="93">
        <f t="shared" si="10"/>
        <v>0</v>
      </c>
      <c r="L223" s="93">
        <f t="shared" si="11"/>
        <v>0</v>
      </c>
      <c r="M223" s="93">
        <f t="shared" si="12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-13</v>
      </c>
      <c r="H224">
        <v>3.0754687500000004E-4</v>
      </c>
      <c r="I224">
        <v>-1.5423902651101746</v>
      </c>
      <c r="J224">
        <v>-4.743573060650558E-4</v>
      </c>
      <c r="K224" s="93">
        <f t="shared" si="10"/>
        <v>0</v>
      </c>
      <c r="L224" s="93">
        <f t="shared" si="11"/>
        <v>0</v>
      </c>
      <c r="M224" s="93">
        <f t="shared" si="12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-2.9900607231347447</v>
      </c>
      <c r="H225">
        <v>6.4926562499999999E-4</v>
      </c>
      <c r="I225">
        <v>-1.1048048253993314</v>
      </c>
      <c r="J225">
        <v>-7.1731179546591275E-4</v>
      </c>
      <c r="K225" s="93">
        <f t="shared" si="10"/>
        <v>0</v>
      </c>
      <c r="L225" s="93">
        <f t="shared" si="11"/>
        <v>0</v>
      </c>
      <c r="M225" s="93">
        <f t="shared" si="12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2.3540494624909964</v>
      </c>
      <c r="H226">
        <v>4.100625E-4</v>
      </c>
      <c r="I226">
        <v>-0.924531352858455</v>
      </c>
      <c r="J226">
        <v>-3.7911563788152019E-4</v>
      </c>
      <c r="K226" s="93">
        <f t="shared" si="10"/>
        <v>0</v>
      </c>
      <c r="L226" s="93">
        <f t="shared" si="11"/>
        <v>0</v>
      </c>
      <c r="M226" s="93">
        <f t="shared" si="12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-9.2864383480378674</v>
      </c>
      <c r="H227">
        <v>4.8694921875000008E-4</v>
      </c>
      <c r="I227">
        <v>-1.3628089101925844</v>
      </c>
      <c r="J227">
        <v>-6.6361873412381798E-4</v>
      </c>
      <c r="K227" s="93">
        <f t="shared" si="10"/>
        <v>0</v>
      </c>
      <c r="L227" s="93">
        <f t="shared" si="11"/>
        <v>0</v>
      </c>
      <c r="M227" s="93">
        <f t="shared" si="12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-0.54515180132103835</v>
      </c>
      <c r="H228">
        <v>1.0280039062500002E-3</v>
      </c>
      <c r="I228">
        <v>-1.0183378371823917</v>
      </c>
      <c r="J228">
        <v>-1.0468552745056753E-3</v>
      </c>
      <c r="K228" s="93">
        <f t="shared" si="10"/>
        <v>0</v>
      </c>
      <c r="L228" s="93">
        <f t="shared" si="11"/>
        <v>0</v>
      </c>
      <c r="M228" s="93">
        <f t="shared" si="12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4.6682585902700255</v>
      </c>
      <c r="H229">
        <v>6.492656250000001E-4</v>
      </c>
      <c r="I229">
        <v>-0.85589410493964257</v>
      </c>
      <c r="J229">
        <v>-5.5570262097745266E-4</v>
      </c>
      <c r="K229" s="93">
        <f t="shared" si="10"/>
        <v>0</v>
      </c>
      <c r="L229" s="93">
        <f t="shared" si="11"/>
        <v>0</v>
      </c>
      <c r="M229" s="93">
        <f t="shared" si="12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-11.893219174018935</v>
      </c>
      <c r="H230">
        <v>1.0280039062499999E-3</v>
      </c>
      <c r="I230">
        <v>-1.4865241939921576</v>
      </c>
      <c r="J230">
        <v>-1.5281526781590706E-3</v>
      </c>
      <c r="K230" s="93">
        <f t="shared" si="10"/>
        <v>0</v>
      </c>
      <c r="L230" s="93">
        <f t="shared" si="11"/>
        <v>0</v>
      </c>
      <c r="M230" s="93">
        <f t="shared" si="12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-2.3468547121122434</v>
      </c>
      <c r="H231">
        <v>2.1702304687499997E-3</v>
      </c>
      <c r="I231">
        <v>-1.0813697130465589</v>
      </c>
      <c r="J231">
        <v>-2.3468214992370864E-3</v>
      </c>
      <c r="K231" s="93">
        <f t="shared" si="10"/>
        <v>0</v>
      </c>
      <c r="L231" s="93">
        <f t="shared" si="11"/>
        <v>0</v>
      </c>
      <c r="M231" s="93">
        <f t="shared" si="12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2.9551202375351329</v>
      </c>
      <c r="H232">
        <v>1.3706718749999999E-3</v>
      </c>
      <c r="I232">
        <v>-0.90619206066366809</v>
      </c>
      <c r="J232">
        <v>-1.2420919708999835E-3</v>
      </c>
      <c r="K232" s="93">
        <f t="shared" si="10"/>
        <v>0</v>
      </c>
      <c r="L232" s="93">
        <f t="shared" si="11"/>
        <v>0</v>
      </c>
      <c r="M232" s="93">
        <f t="shared" si="12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-14.5</v>
      </c>
      <c r="H233">
        <v>6.492656250000001E-4</v>
      </c>
      <c r="I233">
        <v>-1.6214703050420796</v>
      </c>
      <c r="J233">
        <v>-1.0527649310220866E-3</v>
      </c>
      <c r="K233" s="93">
        <f t="shared" si="10"/>
        <v>0</v>
      </c>
      <c r="L233" s="93">
        <f t="shared" si="11"/>
        <v>0</v>
      </c>
      <c r="M233" s="93">
        <f t="shared" si="12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-4.2045988987920433</v>
      </c>
      <c r="H234">
        <v>1.3706718749999999E-3</v>
      </c>
      <c r="I234">
        <v>-1.1504501454663549</v>
      </c>
      <c r="J234">
        <v>-1.5768896579803915E-3</v>
      </c>
      <c r="K234" s="93">
        <f t="shared" si="10"/>
        <v>0</v>
      </c>
      <c r="L234" s="93">
        <f t="shared" si="11"/>
        <v>0</v>
      </c>
      <c r="M234" s="93">
        <f t="shared" si="12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1.2164230862483281</v>
      </c>
      <c r="H235">
        <v>8.6568750000000003E-4</v>
      </c>
      <c r="I235">
        <v>-0.96026361216629819</v>
      </c>
      <c r="J235">
        <v>-8.3128820575721228E-4</v>
      </c>
      <c r="K235" s="93">
        <f t="shared" si="10"/>
        <v>0</v>
      </c>
      <c r="L235" s="93">
        <f t="shared" si="11"/>
        <v>0</v>
      </c>
      <c r="M235" s="93">
        <f t="shared" si="12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-11.786438348037867</v>
      </c>
      <c r="H236">
        <v>3.0754687500000004E-4</v>
      </c>
      <c r="I236">
        <v>-1.4812425232119328</v>
      </c>
      <c r="J236">
        <v>-4.5555150913094498E-4</v>
      </c>
      <c r="K236" s="93">
        <f t="shared" si="10"/>
        <v>0</v>
      </c>
      <c r="L236" s="93">
        <f t="shared" si="11"/>
        <v>0</v>
      </c>
      <c r="M236" s="93">
        <f t="shared" si="12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-2.4983465249789889</v>
      </c>
      <c r="H237">
        <v>6.4926562499999999E-4</v>
      </c>
      <c r="I237">
        <v>-1.0868441455488689</v>
      </c>
      <c r="J237">
        <v>-7.0565054343737729E-4</v>
      </c>
      <c r="K237" s="93">
        <f t="shared" si="10"/>
        <v>0</v>
      </c>
      <c r="L237" s="93">
        <f t="shared" si="11"/>
        <v>0</v>
      </c>
      <c r="M237" s="93">
        <f t="shared" si="12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2.813423786679401</v>
      </c>
      <c r="H238">
        <v>4.100625E-4</v>
      </c>
      <c r="I238">
        <v>-0.9104823245669269</v>
      </c>
      <c r="J238">
        <v>-3.7335465821772545E-4</v>
      </c>
      <c r="K238" s="93">
        <f t="shared" si="10"/>
        <v>0</v>
      </c>
      <c r="L238" s="93">
        <f t="shared" si="11"/>
        <v>0</v>
      </c>
      <c r="M238" s="93">
        <f t="shared" si="12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-14.393219174018933</v>
      </c>
      <c r="H239">
        <v>6.4926562499999999E-4</v>
      </c>
      <c r="I239">
        <v>-1.615709166161357</v>
      </c>
      <c r="J239">
        <v>-1.0490244215859822E-3</v>
      </c>
      <c r="K239" s="93">
        <f t="shared" si="10"/>
        <v>0</v>
      </c>
      <c r="L239" s="93">
        <f t="shared" si="11"/>
        <v>0</v>
      </c>
      <c r="M239" s="93">
        <f t="shared" si="12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-4.3446050569387502</v>
      </c>
      <c r="H240">
        <v>1.3706718749999997E-3</v>
      </c>
      <c r="I240">
        <v>-1.1558316967044109</v>
      </c>
      <c r="J240">
        <v>-1.5842659989062659E-3</v>
      </c>
      <c r="K240" s="93">
        <f t="shared" si="10"/>
        <v>0</v>
      </c>
      <c r="L240" s="93">
        <f t="shared" si="11"/>
        <v>0</v>
      </c>
      <c r="M240" s="93">
        <f t="shared" si="12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1.0642540092333412</v>
      </c>
      <c r="H241">
        <v>8.6568749999999992E-4</v>
      </c>
      <c r="I241">
        <v>-0.96514673361666881</v>
      </c>
      <c r="J241">
        <v>-8.3551546295777986E-4</v>
      </c>
      <c r="K241" s="93">
        <f t="shared" si="10"/>
        <v>0</v>
      </c>
      <c r="L241" s="93">
        <f t="shared" si="11"/>
        <v>0</v>
      </c>
      <c r="M241" s="93">
        <f t="shared" si="12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-17</v>
      </c>
      <c r="H242">
        <v>4.100625E-4</v>
      </c>
      <c r="I242">
        <v>-1.7623826407286585</v>
      </c>
      <c r="J242">
        <v>-7.2268703161379553E-4</v>
      </c>
      <c r="K242" s="93">
        <f t="shared" si="10"/>
        <v>0</v>
      </c>
      <c r="L242" s="93">
        <f t="shared" si="11"/>
        <v>0</v>
      </c>
      <c r="M242" s="93">
        <f t="shared" si="12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-6.5728766960757419</v>
      </c>
      <c r="H243">
        <v>8.6568749999999992E-4</v>
      </c>
      <c r="I243">
        <v>-1.2449506491190301</v>
      </c>
      <c r="J243">
        <v>-1.0777382150592301E-3</v>
      </c>
      <c r="K243" s="93">
        <f t="shared" si="10"/>
        <v>0</v>
      </c>
      <c r="L243" s="93">
        <f t="shared" si="11"/>
        <v>0</v>
      </c>
      <c r="M243" s="93">
        <f t="shared" si="12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-0.7008665723579155</v>
      </c>
      <c r="H244">
        <v>5.4674999999999993E-4</v>
      </c>
      <c r="I244">
        <v>-1.0236372533460838</v>
      </c>
      <c r="J244">
        <v>-5.5967366826697128E-4</v>
      </c>
      <c r="K244" s="93">
        <f t="shared" si="10"/>
        <v>0</v>
      </c>
      <c r="L244" s="93">
        <f t="shared" si="11"/>
        <v>0</v>
      </c>
      <c r="M244" s="93">
        <f t="shared" si="12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-5.4953609176677878</v>
      </c>
      <c r="H245">
        <v>2.73908935546875E-4</v>
      </c>
      <c r="I245">
        <v>-1.2010290094938021</v>
      </c>
      <c r="J245">
        <v>-3.2897257755136499E-4</v>
      </c>
      <c r="K245" s="93">
        <f t="shared" si="10"/>
        <v>0</v>
      </c>
      <c r="L245" s="93">
        <f t="shared" si="11"/>
        <v>1</v>
      </c>
      <c r="M245" s="93">
        <f t="shared" si="12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5.4344442763823277</v>
      </c>
      <c r="H246">
        <v>5.7825219726562497E-4</v>
      </c>
      <c r="I246">
        <v>-0.83431175247311151</v>
      </c>
      <c r="J246">
        <v>-4.8244260407211094E-4</v>
      </c>
      <c r="K246" s="93">
        <f t="shared" si="10"/>
        <v>0</v>
      </c>
      <c r="L246" s="93">
        <f t="shared" si="11"/>
        <v>1</v>
      </c>
      <c r="M246" s="93">
        <f t="shared" si="12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12.617409774960631</v>
      </c>
      <c r="H247">
        <v>3.652119140625E-4</v>
      </c>
      <c r="I247">
        <v>-0.656665629190752</v>
      </c>
      <c r="J247">
        <v>-2.3982211133581041E-4</v>
      </c>
      <c r="K247" s="93">
        <f t="shared" si="10"/>
        <v>0</v>
      </c>
      <c r="L247" s="93">
        <f t="shared" si="11"/>
        <v>1</v>
      </c>
      <c r="M247" s="93">
        <f t="shared" si="12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-9.2476804588338926</v>
      </c>
      <c r="H248">
        <v>5.7825219726562497E-4</v>
      </c>
      <c r="I248">
        <v>-1.3610493937980925</v>
      </c>
      <c r="J248">
        <v>-7.870298025507939E-4</v>
      </c>
      <c r="K248" s="93">
        <f t="shared" si="10"/>
        <v>0</v>
      </c>
      <c r="L248" s="93">
        <f t="shared" si="11"/>
        <v>1</v>
      </c>
      <c r="M248" s="93">
        <f t="shared" si="12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2.9841941874053277</v>
      </c>
      <c r="H249">
        <v>1.2207546386718748E-3</v>
      </c>
      <c r="I249">
        <v>-0.90531426666320058</v>
      </c>
      <c r="J249">
        <v>-1.1051665904849288E-3</v>
      </c>
      <c r="K249" s="93">
        <f t="shared" si="10"/>
        <v>0</v>
      </c>
      <c r="L249" s="93">
        <f t="shared" si="11"/>
        <v>1</v>
      </c>
      <c r="M249" s="93">
        <f t="shared" si="12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10.24161466355287</v>
      </c>
      <c r="H250">
        <v>7.7100292968749996E-4</v>
      </c>
      <c r="I250">
        <v>-0.71078367115677354</v>
      </c>
      <c r="J250">
        <v>-5.4801629283590897E-4</v>
      </c>
      <c r="K250" s="93">
        <f t="shared" si="10"/>
        <v>0</v>
      </c>
      <c r="L250" s="93">
        <f t="shared" si="11"/>
        <v>1</v>
      </c>
      <c r="M250" s="93">
        <f t="shared" si="12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-13</v>
      </c>
      <c r="H251">
        <v>3.652119140625E-4</v>
      </c>
      <c r="I251">
        <v>-1.5423902651101746</v>
      </c>
      <c r="J251">
        <v>-5.6329930095225375E-4</v>
      </c>
      <c r="K251" s="93">
        <f t="shared" si="10"/>
        <v>0</v>
      </c>
      <c r="L251" s="93">
        <f t="shared" si="11"/>
        <v>1</v>
      </c>
      <c r="M251" s="93">
        <f t="shared" si="12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0.47861892205448392</v>
      </c>
      <c r="H252">
        <v>7.7100292968749996E-4</v>
      </c>
      <c r="I252">
        <v>-0.9841726263160453</v>
      </c>
      <c r="J252">
        <v>-7.5879997820791202E-4</v>
      </c>
      <c r="K252" s="93">
        <f t="shared" si="10"/>
        <v>0</v>
      </c>
      <c r="L252" s="93">
        <f t="shared" si="11"/>
        <v>1</v>
      </c>
      <c r="M252" s="93">
        <f t="shared" si="12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7.853263110672775</v>
      </c>
      <c r="H253">
        <v>4.8694921874999997E-4</v>
      </c>
      <c r="I253">
        <v>-0.76968384679844337</v>
      </c>
      <c r="J253">
        <v>-3.7479694788299664E-4</v>
      </c>
      <c r="K253" s="93">
        <f t="shared" si="10"/>
        <v>0</v>
      </c>
      <c r="L253" s="93">
        <f t="shared" si="11"/>
        <v>1</v>
      </c>
      <c r="M253" s="93">
        <f t="shared" si="12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-6.995360917667786</v>
      </c>
      <c r="H254">
        <v>5.7825219726562497E-4</v>
      </c>
      <c r="I254">
        <v>-1.2626070835899594</v>
      </c>
      <c r="J254">
        <v>-7.3010532036903663E-4</v>
      </c>
      <c r="K254" s="93">
        <f t="shared" si="10"/>
        <v>0</v>
      </c>
      <c r="L254" s="93">
        <f t="shared" si="11"/>
        <v>1</v>
      </c>
      <c r="M254" s="93">
        <f t="shared" si="12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4.373790546417478</v>
      </c>
      <c r="H255">
        <v>1.2207546386718748E-3</v>
      </c>
      <c r="I255">
        <v>-0.86433658660167212</v>
      </c>
      <c r="J255">
        <v>-1.0551428974678058E-3</v>
      </c>
      <c r="K255" s="93">
        <f t="shared" si="10"/>
        <v>0</v>
      </c>
      <c r="L255" s="93">
        <f t="shared" si="11"/>
        <v>1</v>
      </c>
      <c r="M255" s="93">
        <f t="shared" si="12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11.606092902532644</v>
      </c>
      <c r="H256">
        <v>7.7100292968749996E-4</v>
      </c>
      <c r="I256">
        <v>-0.67917954318934792</v>
      </c>
      <c r="J256">
        <v>-5.2364941758280519E-4</v>
      </c>
      <c r="K256" s="93">
        <f t="shared" si="10"/>
        <v>0</v>
      </c>
      <c r="L256" s="93">
        <f t="shared" si="11"/>
        <v>1</v>
      </c>
      <c r="M256" s="93">
        <f t="shared" si="12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-10.747680458833893</v>
      </c>
      <c r="H257">
        <v>1.2207546386718748E-3</v>
      </c>
      <c r="I257">
        <v>-1.4308318884400437</v>
      </c>
      <c r="J257">
        <v>-1.7466946649728218E-3</v>
      </c>
      <c r="K257" s="93">
        <f t="shared" si="10"/>
        <v>0</v>
      </c>
      <c r="L257" s="93">
        <f t="shared" si="11"/>
        <v>1</v>
      </c>
      <c r="M257" s="93">
        <f t="shared" si="12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1.8956858265406606</v>
      </c>
      <c r="H258">
        <v>2.5771486816406246E-3</v>
      </c>
      <c r="I258">
        <v>-0.93876553489438852</v>
      </c>
      <c r="J258">
        <v>-2.4193383606227292E-3</v>
      </c>
      <c r="K258" s="93">
        <f t="shared" si="10"/>
        <v>0</v>
      </c>
      <c r="L258" s="93">
        <f t="shared" si="11"/>
        <v>1</v>
      </c>
      <c r="M258" s="93">
        <f t="shared" si="12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9.224566322344721</v>
      </c>
      <c r="H259">
        <v>1.6276728515624997E-3</v>
      </c>
      <c r="I259">
        <v>-0.73529349681629386</v>
      </c>
      <c r="J259">
        <v>-1.1968172626983388E-3</v>
      </c>
      <c r="K259" s="93">
        <f t="shared" ref="K259:K322" si="13">IF(A259=3,1,0)</f>
        <v>0</v>
      </c>
      <c r="L259" s="93">
        <f t="shared" ref="L259:L322" si="14">IF(A259=2,1,0)</f>
        <v>1</v>
      </c>
      <c r="M259" s="93">
        <f t="shared" ref="M259:M322" si="15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-14.5</v>
      </c>
      <c r="H260">
        <v>7.7100292968749985E-4</v>
      </c>
      <c r="I260">
        <v>-1.6214703050420796</v>
      </c>
      <c r="J260">
        <v>-1.2501583555887274E-3</v>
      </c>
      <c r="K260" s="93">
        <f t="shared" si="13"/>
        <v>0</v>
      </c>
      <c r="L260" s="93">
        <f t="shared" si="14"/>
        <v>1</v>
      </c>
      <c r="M260" s="93">
        <f t="shared" si="15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-0.65748311961275752</v>
      </c>
      <c r="H261">
        <v>1.6276728515624997E-3</v>
      </c>
      <c r="I261">
        <v>-1.0221580258901528</v>
      </c>
      <c r="J261">
        <v>-1.6637388687481204E-3</v>
      </c>
      <c r="K261" s="93">
        <f t="shared" si="13"/>
        <v>0</v>
      </c>
      <c r="L261" s="93">
        <f t="shared" si="14"/>
        <v>1</v>
      </c>
      <c r="M261" s="93">
        <f t="shared" si="15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6.8057474880542728</v>
      </c>
      <c r="H262">
        <v>1.0280039062499997E-3</v>
      </c>
      <c r="I262">
        <v>-0.79703375413506872</v>
      </c>
      <c r="J262">
        <v>-8.193538126639525E-4</v>
      </c>
      <c r="K262" s="93">
        <f t="shared" si="13"/>
        <v>0</v>
      </c>
      <c r="L262" s="93">
        <f t="shared" si="14"/>
        <v>1</v>
      </c>
      <c r="M262" s="93">
        <f t="shared" si="15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-9.4953609176677851</v>
      </c>
      <c r="H263">
        <v>3.6521191406249995E-4</v>
      </c>
      <c r="I263">
        <v>-1.3723327521081155</v>
      </c>
      <c r="J263">
        <v>-5.0119227112806306E-4</v>
      </c>
      <c r="K263" s="93">
        <f t="shared" si="13"/>
        <v>0</v>
      </c>
      <c r="L263" s="93">
        <f t="shared" si="14"/>
        <v>1</v>
      </c>
      <c r="M263" s="93">
        <f t="shared" si="15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2.5713743458996654</v>
      </c>
      <c r="H264">
        <v>7.7100292968749985E-4</v>
      </c>
      <c r="I264">
        <v>-0.9178580975000864</v>
      </c>
      <c r="J264">
        <v>-7.0767128220996145E-4</v>
      </c>
      <c r="K264" s="93">
        <f t="shared" si="13"/>
        <v>0</v>
      </c>
      <c r="L264" s="93">
        <f t="shared" si="14"/>
        <v>1</v>
      </c>
      <c r="M264" s="93">
        <f t="shared" si="15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9.8975257856043335</v>
      </c>
      <c r="H265">
        <v>4.8694921874999991E-4</v>
      </c>
      <c r="I265">
        <v>-0.71898302825871585</v>
      </c>
      <c r="J265">
        <v>-3.5010822390509077E-4</v>
      </c>
      <c r="K265" s="93">
        <f t="shared" si="13"/>
        <v>0</v>
      </c>
      <c r="L265" s="93">
        <f t="shared" si="14"/>
        <v>1</v>
      </c>
      <c r="M265" s="93">
        <f t="shared" si="15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-13.247680458833893</v>
      </c>
      <c r="H266">
        <v>7.7100292968749985E-4</v>
      </c>
      <c r="I266">
        <v>-1.5551769737295909</v>
      </c>
      <c r="J266">
        <v>-1.1990460029280546E-3</v>
      </c>
      <c r="K266" s="93">
        <f t="shared" si="13"/>
        <v>0</v>
      </c>
      <c r="L266" s="93">
        <f t="shared" si="14"/>
        <v>1</v>
      </c>
      <c r="M266" s="93">
        <f t="shared" si="15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3.3748584991527442E-2</v>
      </c>
      <c r="H267">
        <v>1.6276728515624997E-3</v>
      </c>
      <c r="I267">
        <v>-0.99887567968917923</v>
      </c>
      <c r="J267">
        <v>-1.6258428259161165E-3</v>
      </c>
      <c r="K267" s="93">
        <f t="shared" si="13"/>
        <v>0</v>
      </c>
      <c r="L267" s="93">
        <f t="shared" si="14"/>
        <v>1</v>
      </c>
      <c r="M267" s="93">
        <f t="shared" si="15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7.4787069513138844</v>
      </c>
      <c r="H268">
        <v>1.0280039062499997E-3</v>
      </c>
      <c r="I268">
        <v>-0.77935374738614971</v>
      </c>
      <c r="J268">
        <v>-8.0117869666353745E-4</v>
      </c>
      <c r="K268" s="93">
        <f t="shared" si="13"/>
        <v>0</v>
      </c>
      <c r="L268" s="93">
        <f t="shared" si="14"/>
        <v>1</v>
      </c>
      <c r="M268" s="93">
        <f t="shared" si="15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-17</v>
      </c>
      <c r="H269">
        <v>4.8694921874999991E-4</v>
      </c>
      <c r="I269">
        <v>-1.7623826407286585</v>
      </c>
      <c r="J269">
        <v>-8.58190850041382E-4</v>
      </c>
      <c r="K269" s="93">
        <f t="shared" si="13"/>
        <v>0</v>
      </c>
      <c r="L269" s="93">
        <f t="shared" si="14"/>
        <v>1</v>
      </c>
      <c r="M269" s="93">
        <f t="shared" si="15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-2.5956324169788907</v>
      </c>
      <c r="H270">
        <v>1.0280039062499997E-3</v>
      </c>
      <c r="I270">
        <v>-1.090374353183982</v>
      </c>
      <c r="J270">
        <v>-1.1209090943479503E-3</v>
      </c>
      <c r="K270" s="93">
        <f t="shared" si="13"/>
        <v>0</v>
      </c>
      <c r="L270" s="93">
        <f t="shared" si="14"/>
        <v>1</v>
      </c>
      <c r="M270" s="93">
        <f t="shared" si="15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5.0426982494922781</v>
      </c>
      <c r="H271">
        <v>6.4926562499999978E-4</v>
      </c>
      <c r="I271">
        <v>-0.84527780558529353</v>
      </c>
      <c r="J271">
        <v>-5.488098227419639E-4</v>
      </c>
      <c r="K271" s="93">
        <f t="shared" si="13"/>
        <v>0</v>
      </c>
      <c r="L271" s="93">
        <f t="shared" si="14"/>
        <v>1</v>
      </c>
      <c r="M271" s="93">
        <f t="shared" si="15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-5.4953609176677878</v>
      </c>
      <c r="H272">
        <v>5.7825219726562497E-4</v>
      </c>
      <c r="I272">
        <v>-1.2010290094938021</v>
      </c>
      <c r="J272">
        <v>-6.9449766371954826E-4</v>
      </c>
      <c r="K272" s="93">
        <f t="shared" si="13"/>
        <v>0</v>
      </c>
      <c r="L272" s="93">
        <f t="shared" si="14"/>
        <v>1</v>
      </c>
      <c r="M272" s="93">
        <f t="shared" si="15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5.4344442763823277</v>
      </c>
      <c r="H273">
        <v>1.2207546386718748E-3</v>
      </c>
      <c r="I273">
        <v>-0.83431175247311151</v>
      </c>
      <c r="J273">
        <v>-1.0184899419300119E-3</v>
      </c>
      <c r="K273" s="93">
        <f t="shared" si="13"/>
        <v>0</v>
      </c>
      <c r="L273" s="93">
        <f t="shared" si="14"/>
        <v>1</v>
      </c>
      <c r="M273" s="93">
        <f t="shared" si="15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12.617409774960631</v>
      </c>
      <c r="H274">
        <v>7.7100292968749996E-4</v>
      </c>
      <c r="I274">
        <v>-0.656665629190752</v>
      </c>
      <c r="J274">
        <v>-5.0629112393115524E-4</v>
      </c>
      <c r="K274" s="93">
        <f t="shared" si="13"/>
        <v>0</v>
      </c>
      <c r="L274" s="93">
        <f t="shared" si="14"/>
        <v>1</v>
      </c>
      <c r="M274" s="93">
        <f t="shared" si="15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-9.2476804588338926</v>
      </c>
      <c r="H275">
        <v>1.2207546386718748E-3</v>
      </c>
      <c r="I275">
        <v>-1.3610493937980925</v>
      </c>
      <c r="J275">
        <v>-1.6615073609405648E-3</v>
      </c>
      <c r="K275" s="93">
        <f t="shared" si="13"/>
        <v>0</v>
      </c>
      <c r="L275" s="93">
        <f t="shared" si="14"/>
        <v>1</v>
      </c>
      <c r="M275" s="93">
        <f t="shared" si="15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2.9841941874053277</v>
      </c>
      <c r="H276">
        <v>2.5771486816406246E-3</v>
      </c>
      <c r="I276">
        <v>-0.90531426666320058</v>
      </c>
      <c r="J276">
        <v>-2.3331294688015165E-3</v>
      </c>
      <c r="K276" s="93">
        <f t="shared" si="13"/>
        <v>0</v>
      </c>
      <c r="L276" s="93">
        <f t="shared" si="14"/>
        <v>1</v>
      </c>
      <c r="M276" s="93">
        <f t="shared" si="15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10.24161466355287</v>
      </c>
      <c r="H277">
        <v>1.6276728515624997E-3</v>
      </c>
      <c r="I277">
        <v>-0.71078367115677354</v>
      </c>
      <c r="J277">
        <v>-1.1569232848758076E-3</v>
      </c>
      <c r="K277" s="93">
        <f t="shared" si="13"/>
        <v>0</v>
      </c>
      <c r="L277" s="93">
        <f t="shared" si="14"/>
        <v>1</v>
      </c>
      <c r="M277" s="93">
        <f t="shared" si="15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-13</v>
      </c>
      <c r="H278">
        <v>7.7100292968749985E-4</v>
      </c>
      <c r="I278">
        <v>-1.5423902651101746</v>
      </c>
      <c r="J278">
        <v>-1.1891874131214242E-3</v>
      </c>
      <c r="K278" s="93">
        <f t="shared" si="13"/>
        <v>0</v>
      </c>
      <c r="L278" s="93">
        <f t="shared" si="14"/>
        <v>1</v>
      </c>
      <c r="M278" s="93">
        <f t="shared" si="15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0.47861892205448392</v>
      </c>
      <c r="H279">
        <v>1.6276728515624997E-3</v>
      </c>
      <c r="I279">
        <v>-0.9841726263160453</v>
      </c>
      <c r="J279">
        <v>-1.6019110651055918E-3</v>
      </c>
      <c r="K279" s="93">
        <f t="shared" si="13"/>
        <v>0</v>
      </c>
      <c r="L279" s="93">
        <f t="shared" si="14"/>
        <v>1</v>
      </c>
      <c r="M279" s="93">
        <f t="shared" si="15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7.853263110672775</v>
      </c>
      <c r="H280">
        <v>1.0280039062499997E-3</v>
      </c>
      <c r="I280">
        <v>-0.76968384679844337</v>
      </c>
      <c r="J280">
        <v>-7.9123800108632611E-4</v>
      </c>
      <c r="K280" s="93">
        <f t="shared" si="13"/>
        <v>0</v>
      </c>
      <c r="L280" s="93">
        <f t="shared" si="14"/>
        <v>1</v>
      </c>
      <c r="M280" s="93">
        <f t="shared" si="15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-6.995360917667786</v>
      </c>
      <c r="H281">
        <v>1.2207546386718748E-3</v>
      </c>
      <c r="I281">
        <v>-1.2626070835899594</v>
      </c>
      <c r="J281">
        <v>-1.5413334541124106E-3</v>
      </c>
      <c r="K281" s="93">
        <f t="shared" si="13"/>
        <v>0</v>
      </c>
      <c r="L281" s="93">
        <f t="shared" si="14"/>
        <v>1</v>
      </c>
      <c r="M281" s="93">
        <f t="shared" si="15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4.373790546417478</v>
      </c>
      <c r="H282">
        <v>2.5771486816406246E-3</v>
      </c>
      <c r="I282">
        <v>-0.86433658660167212</v>
      </c>
      <c r="J282">
        <v>-2.2275238946542568E-3</v>
      </c>
      <c r="K282" s="93">
        <f t="shared" si="13"/>
        <v>0</v>
      </c>
      <c r="L282" s="93">
        <f t="shared" si="14"/>
        <v>1</v>
      </c>
      <c r="M282" s="93">
        <f t="shared" si="15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11.606092902532644</v>
      </c>
      <c r="H283">
        <v>1.6276728515624997E-3</v>
      </c>
      <c r="I283">
        <v>-0.67917954318934792</v>
      </c>
      <c r="J283">
        <v>-1.1054821037859218E-3</v>
      </c>
      <c r="K283" s="93">
        <f t="shared" si="13"/>
        <v>0</v>
      </c>
      <c r="L283" s="93">
        <f t="shared" si="14"/>
        <v>1</v>
      </c>
      <c r="M283" s="93">
        <f t="shared" si="15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-10.747680458833893</v>
      </c>
      <c r="H284">
        <v>2.5771486816406246E-3</v>
      </c>
      <c r="I284">
        <v>-1.4308318884400437</v>
      </c>
      <c r="J284">
        <v>-3.6874665149426241E-3</v>
      </c>
      <c r="K284" s="93">
        <f t="shared" si="13"/>
        <v>0</v>
      </c>
      <c r="L284" s="93">
        <f t="shared" si="14"/>
        <v>1</v>
      </c>
      <c r="M284" s="93">
        <f t="shared" si="15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1.8956858265406606</v>
      </c>
      <c r="H285">
        <v>5.4406472167968737E-3</v>
      </c>
      <c r="I285">
        <v>-0.93876553489438852</v>
      </c>
      <c r="J285">
        <v>-5.107492094647983E-3</v>
      </c>
      <c r="K285" s="93">
        <f t="shared" si="13"/>
        <v>0</v>
      </c>
      <c r="L285" s="93">
        <f t="shared" si="14"/>
        <v>1</v>
      </c>
      <c r="M285" s="93">
        <f t="shared" si="15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9.224566322344721</v>
      </c>
      <c r="H286">
        <v>3.4361982421874993E-3</v>
      </c>
      <c r="I286">
        <v>-0.73529349681629386</v>
      </c>
      <c r="J286">
        <v>-2.5266142212520487E-3</v>
      </c>
      <c r="K286" s="93">
        <f t="shared" si="13"/>
        <v>0</v>
      </c>
      <c r="L286" s="93">
        <f t="shared" si="14"/>
        <v>1</v>
      </c>
      <c r="M286" s="93">
        <f t="shared" si="15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-14.5</v>
      </c>
      <c r="H287">
        <v>1.6276728515624997E-3</v>
      </c>
      <c r="I287">
        <v>-1.6214703050420796</v>
      </c>
      <c r="J287">
        <v>-2.639223195131758E-3</v>
      </c>
      <c r="K287" s="93">
        <f t="shared" si="13"/>
        <v>0</v>
      </c>
      <c r="L287" s="93">
        <f t="shared" si="14"/>
        <v>1</v>
      </c>
      <c r="M287" s="93">
        <f t="shared" si="15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-0.65748311961275752</v>
      </c>
      <c r="H288">
        <v>3.4361982421874993E-3</v>
      </c>
      <c r="I288">
        <v>-1.0221580258901528</v>
      </c>
      <c r="J288">
        <v>-3.5123376118015876E-3</v>
      </c>
      <c r="K288" s="93">
        <f t="shared" si="13"/>
        <v>0</v>
      </c>
      <c r="L288" s="93">
        <f t="shared" si="14"/>
        <v>1</v>
      </c>
      <c r="M288" s="93">
        <f t="shared" si="15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6.8057474880542728</v>
      </c>
      <c r="H289">
        <v>2.1702304687499993E-3</v>
      </c>
      <c r="I289">
        <v>-0.79703375413506872</v>
      </c>
      <c r="J289">
        <v>-1.7297469378461218E-3</v>
      </c>
      <c r="K289" s="93">
        <f t="shared" si="13"/>
        <v>0</v>
      </c>
      <c r="L289" s="93">
        <f t="shared" si="14"/>
        <v>1</v>
      </c>
      <c r="M289" s="93">
        <f t="shared" si="15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-9.4953609176677851</v>
      </c>
      <c r="H290">
        <v>7.7100292968749996E-4</v>
      </c>
      <c r="I290">
        <v>-1.3723327521081155</v>
      </c>
      <c r="J290">
        <v>-1.0580725723814666E-3</v>
      </c>
      <c r="K290" s="93">
        <f t="shared" si="13"/>
        <v>0</v>
      </c>
      <c r="L290" s="93">
        <f t="shared" si="14"/>
        <v>1</v>
      </c>
      <c r="M290" s="93">
        <f t="shared" si="15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2.5713743458996654</v>
      </c>
      <c r="H291">
        <v>1.6276728515624999E-3</v>
      </c>
      <c r="I291">
        <v>-0.9178580975000864</v>
      </c>
      <c r="J291">
        <v>-1.4939727068876967E-3</v>
      </c>
      <c r="K291" s="93">
        <f t="shared" si="13"/>
        <v>0</v>
      </c>
      <c r="L291" s="93">
        <f t="shared" si="14"/>
        <v>1</v>
      </c>
      <c r="M291" s="93">
        <f t="shared" si="15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9.8975257856043335</v>
      </c>
      <c r="H292">
        <v>1.0280039062499999E-3</v>
      </c>
      <c r="I292">
        <v>-0.71898302825871585</v>
      </c>
      <c r="J292">
        <v>-7.3911736157741402E-4</v>
      </c>
      <c r="K292" s="93">
        <f t="shared" si="13"/>
        <v>0</v>
      </c>
      <c r="L292" s="93">
        <f t="shared" si="14"/>
        <v>1</v>
      </c>
      <c r="M292" s="93">
        <f t="shared" si="15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-13.247680458833893</v>
      </c>
      <c r="H293">
        <v>1.6276728515624997E-3</v>
      </c>
      <c r="I293">
        <v>-1.5551769737295909</v>
      </c>
      <c r="J293">
        <v>-2.5313193395147819E-3</v>
      </c>
      <c r="K293" s="93">
        <f t="shared" si="13"/>
        <v>0</v>
      </c>
      <c r="L293" s="93">
        <f t="shared" si="14"/>
        <v>1</v>
      </c>
      <c r="M293" s="93">
        <f t="shared" si="15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3.3748584991527442E-2</v>
      </c>
      <c r="H294">
        <v>3.4361982421874993E-3</v>
      </c>
      <c r="I294">
        <v>-0.99887567968917923</v>
      </c>
      <c r="J294">
        <v>-3.4323348547118013E-3</v>
      </c>
      <c r="K294" s="93">
        <f t="shared" si="13"/>
        <v>0</v>
      </c>
      <c r="L294" s="93">
        <f t="shared" si="14"/>
        <v>1</v>
      </c>
      <c r="M294" s="93">
        <f t="shared" si="15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7.4787069513138844</v>
      </c>
      <c r="H295">
        <v>2.1702304687499993E-3</v>
      </c>
      <c r="I295">
        <v>-0.77935374738614971</v>
      </c>
      <c r="J295">
        <v>-1.6913772485119122E-3</v>
      </c>
      <c r="K295" s="93">
        <f t="shared" si="13"/>
        <v>0</v>
      </c>
      <c r="L295" s="93">
        <f t="shared" si="14"/>
        <v>1</v>
      </c>
      <c r="M295" s="93">
        <f t="shared" si="15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-17</v>
      </c>
      <c r="H296">
        <v>1.0280039062499999E-3</v>
      </c>
      <c r="I296">
        <v>-1.7623826407286585</v>
      </c>
      <c r="J296">
        <v>-1.8117362389762511E-3</v>
      </c>
      <c r="K296" s="93">
        <f t="shared" si="13"/>
        <v>0</v>
      </c>
      <c r="L296" s="93">
        <f t="shared" si="14"/>
        <v>1</v>
      </c>
      <c r="M296" s="93">
        <f t="shared" si="15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-2.5956324169788907</v>
      </c>
      <c r="H297">
        <v>2.1702304687499993E-3</v>
      </c>
      <c r="I297">
        <v>-1.090374353183982</v>
      </c>
      <c r="J297">
        <v>-2.3663636436234508E-3</v>
      </c>
      <c r="K297" s="93">
        <f t="shared" si="13"/>
        <v>0</v>
      </c>
      <c r="L297" s="93">
        <f t="shared" si="14"/>
        <v>1</v>
      </c>
      <c r="M297" s="93">
        <f t="shared" si="15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5.0426982494922781</v>
      </c>
      <c r="H298">
        <v>1.3706718749999997E-3</v>
      </c>
      <c r="I298">
        <v>-0.84527780558529353</v>
      </c>
      <c r="J298">
        <v>-1.1585985146774795E-3</v>
      </c>
      <c r="K298" s="93">
        <f t="shared" si="13"/>
        <v>0</v>
      </c>
      <c r="L298" s="93">
        <f t="shared" si="14"/>
        <v>1</v>
      </c>
      <c r="M298" s="93">
        <f t="shared" si="15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-5.4953609176677878</v>
      </c>
      <c r="H299">
        <v>3.652119140625E-4</v>
      </c>
      <c r="I299">
        <v>-1.2010290094938021</v>
      </c>
      <c r="J299">
        <v>-4.3863010340181995E-4</v>
      </c>
      <c r="K299" s="93">
        <f t="shared" si="13"/>
        <v>0</v>
      </c>
      <c r="L299" s="93">
        <f t="shared" si="14"/>
        <v>1</v>
      </c>
      <c r="M299" s="93">
        <f t="shared" si="15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5.4344442763823277</v>
      </c>
      <c r="H300">
        <v>7.7100292968749996E-4</v>
      </c>
      <c r="I300">
        <v>-0.83431175247311151</v>
      </c>
      <c r="J300">
        <v>-6.4325680542948128E-4</v>
      </c>
      <c r="K300" s="93">
        <f t="shared" si="13"/>
        <v>0</v>
      </c>
      <c r="L300" s="93">
        <f t="shared" si="14"/>
        <v>1</v>
      </c>
      <c r="M300" s="93">
        <f t="shared" si="15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12.617409774960631</v>
      </c>
      <c r="H301">
        <v>4.8694921874999997E-4</v>
      </c>
      <c r="I301">
        <v>-0.656665629190752</v>
      </c>
      <c r="J301">
        <v>-3.1976281511441386E-4</v>
      </c>
      <c r="K301" s="93">
        <f t="shared" si="13"/>
        <v>0</v>
      </c>
      <c r="L301" s="93">
        <f t="shared" si="14"/>
        <v>1</v>
      </c>
      <c r="M301" s="93">
        <f t="shared" si="15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-9.2476804588338926</v>
      </c>
      <c r="H302">
        <v>7.7100292968749996E-4</v>
      </c>
      <c r="I302">
        <v>-1.3610493937980925</v>
      </c>
      <c r="J302">
        <v>-1.0493730700677252E-3</v>
      </c>
      <c r="K302" s="93">
        <f t="shared" si="13"/>
        <v>0</v>
      </c>
      <c r="L302" s="93">
        <f t="shared" si="14"/>
        <v>1</v>
      </c>
      <c r="M302" s="93">
        <f t="shared" si="15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2.9841941874053277</v>
      </c>
      <c r="H303">
        <v>1.6276728515624999E-3</v>
      </c>
      <c r="I303">
        <v>-0.90531426666320058</v>
      </c>
      <c r="J303">
        <v>-1.4735554539799052E-3</v>
      </c>
      <c r="K303" s="93">
        <f t="shared" si="13"/>
        <v>0</v>
      </c>
      <c r="L303" s="93">
        <f t="shared" si="14"/>
        <v>1</v>
      </c>
      <c r="M303" s="93">
        <f t="shared" si="15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10.24161466355287</v>
      </c>
      <c r="H304">
        <v>1.0280039062499999E-3</v>
      </c>
      <c r="I304">
        <v>-0.71078367115677354</v>
      </c>
      <c r="J304">
        <v>-7.3068839044787863E-4</v>
      </c>
      <c r="K304" s="93">
        <f t="shared" si="13"/>
        <v>0</v>
      </c>
      <c r="L304" s="93">
        <f t="shared" si="14"/>
        <v>1</v>
      </c>
      <c r="M304" s="93">
        <f t="shared" si="15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-13</v>
      </c>
      <c r="H305">
        <v>4.8694921874999997E-4</v>
      </c>
      <c r="I305">
        <v>-1.5423902651101746</v>
      </c>
      <c r="J305">
        <v>-7.5106573460300492E-4</v>
      </c>
      <c r="K305" s="93">
        <f t="shared" si="13"/>
        <v>0</v>
      </c>
      <c r="L305" s="93">
        <f t="shared" si="14"/>
        <v>1</v>
      </c>
      <c r="M305" s="93">
        <f t="shared" si="15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0.47861892205448392</v>
      </c>
      <c r="H306">
        <v>1.0280039062499999E-3</v>
      </c>
      <c r="I306">
        <v>-0.9841726263160453</v>
      </c>
      <c r="J306">
        <v>-1.011733304277216E-3</v>
      </c>
      <c r="K306" s="93">
        <f t="shared" si="13"/>
        <v>0</v>
      </c>
      <c r="L306" s="93">
        <f t="shared" si="14"/>
        <v>1</v>
      </c>
      <c r="M306" s="93">
        <f t="shared" si="15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7.853263110672775</v>
      </c>
      <c r="H307">
        <v>6.4926562499999999E-4</v>
      </c>
      <c r="I307">
        <v>-0.76968384679844337</v>
      </c>
      <c r="J307">
        <v>-4.9972926384399556E-4</v>
      </c>
      <c r="K307" s="93">
        <f t="shared" si="13"/>
        <v>0</v>
      </c>
      <c r="L307" s="93">
        <f t="shared" si="14"/>
        <v>1</v>
      </c>
      <c r="M307" s="93">
        <f t="shared" si="15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-6.995360917667786</v>
      </c>
      <c r="H308">
        <v>7.7100292968750007E-4</v>
      </c>
      <c r="I308">
        <v>-1.2626070835899594</v>
      </c>
      <c r="J308">
        <v>-9.7347376049204898E-4</v>
      </c>
      <c r="K308" s="93">
        <f t="shared" si="13"/>
        <v>0</v>
      </c>
      <c r="L308" s="93">
        <f t="shared" si="14"/>
        <v>1</v>
      </c>
      <c r="M308" s="93">
        <f t="shared" si="15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4.373790546417478</v>
      </c>
      <c r="H309">
        <v>1.6276728515625001E-3</v>
      </c>
      <c r="I309">
        <v>-0.86433658660167212</v>
      </c>
      <c r="J309">
        <v>-1.4068571966237414E-3</v>
      </c>
      <c r="K309" s="93">
        <f t="shared" si="13"/>
        <v>0</v>
      </c>
      <c r="L309" s="93">
        <f t="shared" si="14"/>
        <v>1</v>
      </c>
      <c r="M309" s="93">
        <f t="shared" si="15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11.606092902532644</v>
      </c>
      <c r="H310">
        <v>1.0280039062499999E-3</v>
      </c>
      <c r="I310">
        <v>-0.67917954318934792</v>
      </c>
      <c r="J310">
        <v>-6.9819922344374022E-4</v>
      </c>
      <c r="K310" s="93">
        <f t="shared" si="13"/>
        <v>0</v>
      </c>
      <c r="L310" s="93">
        <f t="shared" si="14"/>
        <v>1</v>
      </c>
      <c r="M310" s="93">
        <f t="shared" si="15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-10.747680458833893</v>
      </c>
      <c r="H311">
        <v>1.6276728515624999E-3</v>
      </c>
      <c r="I311">
        <v>-1.4308318884400437</v>
      </c>
      <c r="J311">
        <v>-2.3289262199637627E-3</v>
      </c>
      <c r="K311" s="93">
        <f t="shared" si="13"/>
        <v>0</v>
      </c>
      <c r="L311" s="93">
        <f t="shared" si="14"/>
        <v>1</v>
      </c>
      <c r="M311" s="93">
        <f t="shared" si="15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1.8956858265406606</v>
      </c>
      <c r="H312">
        <v>3.4361982421874998E-3</v>
      </c>
      <c r="I312">
        <v>-0.93876553489438852</v>
      </c>
      <c r="J312">
        <v>-3.2257844808303059E-3</v>
      </c>
      <c r="K312" s="93">
        <f t="shared" si="13"/>
        <v>0</v>
      </c>
      <c r="L312" s="93">
        <f t="shared" si="14"/>
        <v>1</v>
      </c>
      <c r="M312" s="93">
        <f t="shared" si="15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9.224566322344721</v>
      </c>
      <c r="H313">
        <v>2.1702304687499997E-3</v>
      </c>
      <c r="I313">
        <v>-0.73529349681629386</v>
      </c>
      <c r="J313">
        <v>-1.5957563502644518E-3</v>
      </c>
      <c r="K313" s="93">
        <f t="shared" si="13"/>
        <v>0</v>
      </c>
      <c r="L313" s="93">
        <f t="shared" si="14"/>
        <v>1</v>
      </c>
      <c r="M313" s="93">
        <f t="shared" si="15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-14.5</v>
      </c>
      <c r="H314">
        <v>1.0280039062499999E-3</v>
      </c>
      <c r="I314">
        <v>-1.6214703050420796</v>
      </c>
      <c r="J314">
        <v>-1.6668778074516368E-3</v>
      </c>
      <c r="K314" s="93">
        <f t="shared" si="13"/>
        <v>0</v>
      </c>
      <c r="L314" s="93">
        <f t="shared" si="14"/>
        <v>1</v>
      </c>
      <c r="M314" s="93">
        <f t="shared" si="15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-0.65748311961275752</v>
      </c>
      <c r="H315">
        <v>2.1702304687499997E-3</v>
      </c>
      <c r="I315">
        <v>-1.0221580258901528</v>
      </c>
      <c r="J315">
        <v>-2.2183184916641607E-3</v>
      </c>
      <c r="K315" s="93">
        <f t="shared" si="13"/>
        <v>0</v>
      </c>
      <c r="L315" s="93">
        <f t="shared" si="14"/>
        <v>1</v>
      </c>
      <c r="M315" s="93">
        <f t="shared" si="15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6.8057474880542728</v>
      </c>
      <c r="H316">
        <v>1.3706718749999999E-3</v>
      </c>
      <c r="I316">
        <v>-0.79703375413506872</v>
      </c>
      <c r="J316">
        <v>-1.0924717502186036E-3</v>
      </c>
      <c r="K316" s="93">
        <f t="shared" si="13"/>
        <v>0</v>
      </c>
      <c r="L316" s="93">
        <f t="shared" si="14"/>
        <v>1</v>
      </c>
      <c r="M316" s="93">
        <f t="shared" si="15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-9.4953609176677851</v>
      </c>
      <c r="H317">
        <v>4.8694921875000008E-4</v>
      </c>
      <c r="I317">
        <v>-1.3723327521081155</v>
      </c>
      <c r="J317">
        <v>-6.6825636150408436E-4</v>
      </c>
      <c r="K317" s="93">
        <f t="shared" si="13"/>
        <v>0</v>
      </c>
      <c r="L317" s="93">
        <f t="shared" si="14"/>
        <v>1</v>
      </c>
      <c r="M317" s="93">
        <f t="shared" si="15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2.5713743458996654</v>
      </c>
      <c r="H318">
        <v>1.0280039062500002E-3</v>
      </c>
      <c r="I318">
        <v>-0.9178580975000864</v>
      </c>
      <c r="J318">
        <v>-9.4356170961328229E-4</v>
      </c>
      <c r="K318" s="93">
        <f t="shared" si="13"/>
        <v>0</v>
      </c>
      <c r="L318" s="93">
        <f t="shared" si="14"/>
        <v>1</v>
      </c>
      <c r="M318" s="93">
        <f t="shared" si="15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9.8975257856043335</v>
      </c>
      <c r="H319">
        <v>6.492656250000001E-4</v>
      </c>
      <c r="I319">
        <v>-0.71898302825871585</v>
      </c>
      <c r="J319">
        <v>-4.6681096520678788E-4</v>
      </c>
      <c r="K319" s="93">
        <f t="shared" si="13"/>
        <v>0</v>
      </c>
      <c r="L319" s="93">
        <f t="shared" si="14"/>
        <v>1</v>
      </c>
      <c r="M319" s="93">
        <f t="shared" si="15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-13.247680458833893</v>
      </c>
      <c r="H320">
        <v>1.0280039062499999E-3</v>
      </c>
      <c r="I320">
        <v>-1.5551769737295909</v>
      </c>
      <c r="J320">
        <v>-1.598728003904073E-3</v>
      </c>
      <c r="K320" s="93">
        <f t="shared" si="13"/>
        <v>0</v>
      </c>
      <c r="L320" s="93">
        <f t="shared" si="14"/>
        <v>1</v>
      </c>
      <c r="M320" s="93">
        <f t="shared" si="15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3.3748584991527442E-2</v>
      </c>
      <c r="H321">
        <v>2.1702304687499997E-3</v>
      </c>
      <c r="I321">
        <v>-0.99887567968917923</v>
      </c>
      <c r="J321">
        <v>-2.167790434554822E-3</v>
      </c>
      <c r="K321" s="93">
        <f t="shared" si="13"/>
        <v>0</v>
      </c>
      <c r="L321" s="93">
        <f t="shared" si="14"/>
        <v>1</v>
      </c>
      <c r="M321" s="93">
        <f t="shared" si="15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7.4787069513138844</v>
      </c>
      <c r="H322">
        <v>1.3706718749999999E-3</v>
      </c>
      <c r="I322">
        <v>-0.77935374738614971</v>
      </c>
      <c r="J322">
        <v>-1.06823826221805E-3</v>
      </c>
      <c r="K322" s="93">
        <f t="shared" si="13"/>
        <v>0</v>
      </c>
      <c r="L322" s="93">
        <f t="shared" si="14"/>
        <v>1</v>
      </c>
      <c r="M322" s="93">
        <f t="shared" si="15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-17</v>
      </c>
      <c r="H323">
        <v>6.492656250000001E-4</v>
      </c>
      <c r="I323">
        <v>-1.7623826407286585</v>
      </c>
      <c r="J323">
        <v>-1.1442544667218432E-3</v>
      </c>
      <c r="K323" s="93">
        <f t="shared" ref="K323:K386" si="16">IF(A323=3,1,0)</f>
        <v>0</v>
      </c>
      <c r="L323" s="93">
        <f t="shared" ref="L323:L386" si="17">IF(A323=2,1,0)</f>
        <v>1</v>
      </c>
      <c r="M323" s="93">
        <f t="shared" ref="M323:M386" si="18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-2.5956324169788907</v>
      </c>
      <c r="H324">
        <v>1.3706718749999999E-3</v>
      </c>
      <c r="I324">
        <v>-1.090374353183982</v>
      </c>
      <c r="J324">
        <v>-1.4945454591306008E-3</v>
      </c>
      <c r="K324" s="93">
        <f t="shared" si="16"/>
        <v>0</v>
      </c>
      <c r="L324" s="93">
        <f t="shared" si="17"/>
        <v>1</v>
      </c>
      <c r="M324" s="93">
        <f t="shared" si="18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5.0426982494922781</v>
      </c>
      <c r="H325">
        <v>8.6568750000000003E-4</v>
      </c>
      <c r="I325">
        <v>-0.84527780558529353</v>
      </c>
      <c r="J325">
        <v>-7.3174643032261882E-4</v>
      </c>
      <c r="K325" s="93">
        <f t="shared" si="16"/>
        <v>0</v>
      </c>
      <c r="L325" s="93">
        <f t="shared" si="17"/>
        <v>1</v>
      </c>
      <c r="M325" s="93">
        <f t="shared" si="18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-1.849986467453121</v>
      </c>
      <c r="H326">
        <v>5.7825219726562508E-4</v>
      </c>
      <c r="I326">
        <v>-1.0636072699382935</v>
      </c>
      <c r="J326">
        <v>-6.1503324086951104E-4</v>
      </c>
      <c r="K326" s="93">
        <f t="shared" si="16"/>
        <v>0</v>
      </c>
      <c r="L326" s="93">
        <f t="shared" si="17"/>
        <v>1</v>
      </c>
      <c r="M326" s="93">
        <f t="shared" si="18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13.825126483959142</v>
      </c>
      <c r="H327">
        <v>1.220754638671875E-3</v>
      </c>
      <c r="I327">
        <v>-0.63075513558467278</v>
      </c>
      <c r="J327">
        <v>-7.6999725763109682E-4</v>
      </c>
      <c r="K327" s="93">
        <f t="shared" si="16"/>
        <v>0</v>
      </c>
      <c r="L327" s="93">
        <f t="shared" si="17"/>
        <v>1</v>
      </c>
      <c r="M327" s="93">
        <f t="shared" si="18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25.154238984816935</v>
      </c>
      <c r="H328">
        <v>7.7100292968750007E-4</v>
      </c>
      <c r="I328">
        <v>-0.43236954298527502</v>
      </c>
      <c r="J328">
        <v>-3.3335818434929252E-4</v>
      </c>
      <c r="K328" s="93">
        <f t="shared" si="16"/>
        <v>0</v>
      </c>
      <c r="L328" s="93">
        <f t="shared" si="17"/>
        <v>1</v>
      </c>
      <c r="M328" s="93">
        <f t="shared" si="18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-7.0040896672095787</v>
      </c>
      <c r="H329">
        <v>1.220754638671875E-3</v>
      </c>
      <c r="I329">
        <v>-1.2629745030726562</v>
      </c>
      <c r="J329">
        <v>-1.5417819831502514E-3</v>
      </c>
      <c r="K329" s="93">
        <f t="shared" si="16"/>
        <v>0</v>
      </c>
      <c r="L329" s="93">
        <f t="shared" si="17"/>
        <v>1</v>
      </c>
      <c r="M329" s="93">
        <f t="shared" si="18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10.007860615072559</v>
      </c>
      <c r="H330">
        <v>2.577148681640625E-3</v>
      </c>
      <c r="I330">
        <v>-0.71634358927428265</v>
      </c>
      <c r="J330">
        <v>-1.846123936699931E-3</v>
      </c>
      <c r="K330" s="93">
        <f t="shared" si="16"/>
        <v>0</v>
      </c>
      <c r="L330" s="93">
        <f t="shared" si="17"/>
        <v>1</v>
      </c>
      <c r="M330" s="93">
        <f t="shared" si="18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21.385462850091812</v>
      </c>
      <c r="H331">
        <v>1.6276728515624999E-3</v>
      </c>
      <c r="I331">
        <v>-0.49024561337830186</v>
      </c>
      <c r="J331">
        <v>-7.979594754934674E-4</v>
      </c>
      <c r="K331" s="93">
        <f t="shared" si="16"/>
        <v>0</v>
      </c>
      <c r="L331" s="93">
        <f t="shared" si="17"/>
        <v>1</v>
      </c>
      <c r="M331" s="93">
        <f t="shared" si="18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-13</v>
      </c>
      <c r="H332">
        <v>7.7100292968750007E-4</v>
      </c>
      <c r="I332">
        <v>-1.5423902651101746</v>
      </c>
      <c r="J332">
        <v>-1.1891874131214246E-3</v>
      </c>
      <c r="K332" s="93">
        <f t="shared" si="16"/>
        <v>0</v>
      </c>
      <c r="L332" s="93">
        <f t="shared" si="17"/>
        <v>1</v>
      </c>
      <c r="M332" s="93">
        <f t="shared" si="18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6.1481362377391306</v>
      </c>
      <c r="H333">
        <v>1.6276728515625001E-3</v>
      </c>
      <c r="I333">
        <v>-0.81469792828101473</v>
      </c>
      <c r="J333">
        <v>-1.3260617000872205E-3</v>
      </c>
      <c r="K333" s="93">
        <f t="shared" si="16"/>
        <v>0</v>
      </c>
      <c r="L333" s="93">
        <f t="shared" si="17"/>
        <v>1</v>
      </c>
      <c r="M333" s="93">
        <f t="shared" si="18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17.616686715366686</v>
      </c>
      <c r="H334">
        <v>1.0280039062499999E-3</v>
      </c>
      <c r="I334">
        <v>-0.55586885185585933</v>
      </c>
      <c r="J334">
        <v>-5.7143535107052597E-4</v>
      </c>
      <c r="K334" s="93">
        <f t="shared" si="16"/>
        <v>0</v>
      </c>
      <c r="L334" s="93">
        <f t="shared" si="17"/>
        <v>1</v>
      </c>
      <c r="M334" s="93">
        <f t="shared" si="18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-3.0420332032869939</v>
      </c>
      <c r="H335">
        <v>1.220754638671875E-3</v>
      </c>
      <c r="I335">
        <v>-1.106720465825292</v>
      </c>
      <c r="J335">
        <v>-1.3510341423693237E-3</v>
      </c>
      <c r="K335" s="93">
        <f t="shared" si="16"/>
        <v>0</v>
      </c>
      <c r="L335" s="93">
        <f t="shared" si="17"/>
        <v>1</v>
      </c>
      <c r="M335" s="93">
        <f t="shared" si="18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12.777610861340639</v>
      </c>
      <c r="H336">
        <v>2.577148681640625E-3</v>
      </c>
      <c r="I336">
        <v>-0.65316835704189646</v>
      </c>
      <c r="J336">
        <v>-1.6833119702398965E-3</v>
      </c>
      <c r="K336" s="93">
        <f t="shared" si="16"/>
        <v>0</v>
      </c>
      <c r="L336" s="93">
        <f t="shared" si="17"/>
        <v>1</v>
      </c>
      <c r="M336" s="93">
        <f t="shared" si="18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24.142922112388952</v>
      </c>
      <c r="H337">
        <v>1.6276728515624999E-3</v>
      </c>
      <c r="I337">
        <v>-0.44719342027329273</v>
      </c>
      <c r="J337">
        <v>-7.2788458957621786E-4</v>
      </c>
      <c r="K337" s="93">
        <f t="shared" si="16"/>
        <v>0</v>
      </c>
      <c r="L337" s="93">
        <f t="shared" si="17"/>
        <v>1</v>
      </c>
      <c r="M337" s="93">
        <f t="shared" si="18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-8.5040896672095787</v>
      </c>
      <c r="H338">
        <v>2.577148681640625E-3</v>
      </c>
      <c r="I338">
        <v>-1.3277285905401555</v>
      </c>
      <c r="J338">
        <v>-3.421753986687127E-3</v>
      </c>
      <c r="K338" s="93">
        <f t="shared" si="16"/>
        <v>0</v>
      </c>
      <c r="L338" s="93">
        <f t="shared" si="17"/>
        <v>1</v>
      </c>
      <c r="M338" s="93">
        <f t="shared" si="18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8.9463754450642696</v>
      </c>
      <c r="H339">
        <v>5.4406472167968746E-3</v>
      </c>
      <c r="I339">
        <v>-0.74214360646160982</v>
      </c>
      <c r="J339">
        <v>-4.0377415469589522E-3</v>
      </c>
      <c r="K339" s="93">
        <f t="shared" si="16"/>
        <v>0</v>
      </c>
      <c r="L339" s="93">
        <f t="shared" si="17"/>
        <v>1</v>
      </c>
      <c r="M339" s="93">
        <f t="shared" si="18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20.374145977663829</v>
      </c>
      <c r="H340">
        <v>3.4361982421874998E-3</v>
      </c>
      <c r="I340">
        <v>-0.50705378345321495</v>
      </c>
      <c r="J340">
        <v>-1.7423373193964583E-3</v>
      </c>
      <c r="K340" s="93">
        <f t="shared" si="16"/>
        <v>0</v>
      </c>
      <c r="L340" s="93">
        <f t="shared" si="17"/>
        <v>1</v>
      </c>
      <c r="M340" s="93">
        <f t="shared" si="18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-14.5</v>
      </c>
      <c r="H341">
        <v>1.6276728515624999E-3</v>
      </c>
      <c r="I341">
        <v>-1.6214703050420796</v>
      </c>
      <c r="J341">
        <v>-2.6392231951317584E-3</v>
      </c>
      <c r="K341" s="93">
        <f t="shared" si="16"/>
        <v>0</v>
      </c>
      <c r="L341" s="93">
        <f t="shared" si="17"/>
        <v>1</v>
      </c>
      <c r="M341" s="93">
        <f t="shared" si="18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5.0645552624763033</v>
      </c>
      <c r="H342">
        <v>3.4361982421874998E-3</v>
      </c>
      <c r="I342">
        <v>-0.84466218827272521</v>
      </c>
      <c r="J342">
        <v>-2.9024267265849854E-3</v>
      </c>
      <c r="K342" s="93">
        <f t="shared" si="16"/>
        <v>0</v>
      </c>
      <c r="L342" s="93">
        <f t="shared" si="17"/>
        <v>1</v>
      </c>
      <c r="M342" s="93">
        <f t="shared" si="18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16.594876730227227</v>
      </c>
      <c r="H343">
        <v>2.1702304687499997E-3</v>
      </c>
      <c r="I343">
        <v>-0.57512805555077229</v>
      </c>
      <c r="J343">
        <v>-1.2481604295892285E-3</v>
      </c>
      <c r="K343" s="93">
        <f t="shared" si="16"/>
        <v>0</v>
      </c>
      <c r="L343" s="93">
        <f t="shared" si="17"/>
        <v>1</v>
      </c>
      <c r="M343" s="93">
        <f t="shared" si="18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-5.0596113222263472</v>
      </c>
      <c r="H344">
        <v>7.7100292968750007E-4</v>
      </c>
      <c r="I344">
        <v>-1.1837101618277797</v>
      </c>
      <c r="J344">
        <v>-9.126440026700829E-4</v>
      </c>
      <c r="K344" s="93">
        <f t="shared" si="16"/>
        <v>0</v>
      </c>
      <c r="L344" s="93">
        <f t="shared" si="17"/>
        <v>1</v>
      </c>
      <c r="M344" s="93">
        <f t="shared" si="18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11.023925996452062</v>
      </c>
      <c r="H345">
        <v>1.6276728515625001E-3</v>
      </c>
      <c r="I345">
        <v>-0.69248811752138961</v>
      </c>
      <c r="J345">
        <v>-1.127144108919188E-3</v>
      </c>
      <c r="K345" s="93">
        <f t="shared" si="16"/>
        <v>0</v>
      </c>
      <c r="L345" s="93">
        <f t="shared" si="17"/>
        <v>1</v>
      </c>
      <c r="M345" s="93">
        <f t="shared" si="18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22.457393991675644</v>
      </c>
      <c r="H346">
        <v>1.0280039062499999E-3</v>
      </c>
      <c r="I346">
        <v>-0.47303788445019096</v>
      </c>
      <c r="J346">
        <v>-4.8628479301903241E-4</v>
      </c>
      <c r="K346" s="93">
        <f t="shared" si="16"/>
        <v>0</v>
      </c>
      <c r="L346" s="93">
        <f t="shared" si="17"/>
        <v>1</v>
      </c>
      <c r="M346" s="93">
        <f t="shared" si="18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-11.004089667209579</v>
      </c>
      <c r="H347">
        <v>1.6276728515624999E-3</v>
      </c>
      <c r="I347">
        <v>-1.4431135817232088</v>
      </c>
      <c r="J347">
        <v>-2.3489167986919879E-3</v>
      </c>
      <c r="K347" s="93">
        <f t="shared" si="16"/>
        <v>0</v>
      </c>
      <c r="L347" s="93">
        <f t="shared" si="17"/>
        <v>1</v>
      </c>
      <c r="M347" s="93">
        <f t="shared" si="18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7.1446538052209014</v>
      </c>
      <c r="H348">
        <v>3.4361982421874998E-3</v>
      </c>
      <c r="I348">
        <v>-0.78808042918376953</v>
      </c>
      <c r="J348">
        <v>-2.7080005854636393E-3</v>
      </c>
      <c r="K348" s="93">
        <f t="shared" si="16"/>
        <v>0</v>
      </c>
      <c r="L348" s="93">
        <f t="shared" si="17"/>
        <v>1</v>
      </c>
      <c r="M348" s="93">
        <f t="shared" si="18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18.666283228082971</v>
      </c>
      <c r="H349">
        <v>2.1702304687499997E-3</v>
      </c>
      <c r="I349">
        <v>-0.53675719318907533</v>
      </c>
      <c r="J349">
        <v>-1.1648868149796612E-3</v>
      </c>
      <c r="K349" s="93">
        <f t="shared" si="16"/>
        <v>0</v>
      </c>
      <c r="L349" s="93">
        <f t="shared" si="17"/>
        <v>1</v>
      </c>
      <c r="M349" s="93">
        <f t="shared" si="18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-17</v>
      </c>
      <c r="H350">
        <v>1.0280039062499999E-3</v>
      </c>
      <c r="I350">
        <v>-1.7623826407286585</v>
      </c>
      <c r="J350">
        <v>-1.8117362389762511E-3</v>
      </c>
      <c r="K350" s="93">
        <f t="shared" si="16"/>
        <v>0</v>
      </c>
      <c r="L350" s="93">
        <f t="shared" si="17"/>
        <v>1</v>
      </c>
      <c r="M350" s="93">
        <f t="shared" si="18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3.2111092996583683</v>
      </c>
      <c r="H351">
        <v>2.1702304687499997E-3</v>
      </c>
      <c r="I351">
        <v>-0.89849244913049353</v>
      </c>
      <c r="J351">
        <v>-1.9499356890448063E-3</v>
      </c>
      <c r="K351" s="93">
        <f t="shared" si="16"/>
        <v>0</v>
      </c>
      <c r="L351" s="93">
        <f t="shared" si="17"/>
        <v>1</v>
      </c>
      <c r="M351" s="93">
        <f t="shared" si="18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14.849017359196388</v>
      </c>
      <c r="H352">
        <v>1.3706718749999999E-3</v>
      </c>
      <c r="I352">
        <v>-0.60959087393151479</v>
      </c>
      <c r="J352">
        <v>-8.3554906615459796E-4</v>
      </c>
      <c r="K352" s="93">
        <f t="shared" si="16"/>
        <v>0</v>
      </c>
      <c r="L352" s="93">
        <f t="shared" si="17"/>
        <v>1</v>
      </c>
      <c r="M352" s="93">
        <f t="shared" si="18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-1.849986467453121</v>
      </c>
      <c r="H353">
        <v>1.2207546386718748E-3</v>
      </c>
      <c r="I353">
        <v>-1.0636072699382935</v>
      </c>
      <c r="J353">
        <v>-1.2984035085023007E-3</v>
      </c>
      <c r="K353" s="93">
        <f t="shared" si="16"/>
        <v>0</v>
      </c>
      <c r="L353" s="93">
        <f t="shared" si="17"/>
        <v>1</v>
      </c>
      <c r="M353" s="93">
        <f t="shared" si="18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13.825126483959142</v>
      </c>
      <c r="H354">
        <v>2.5771486816406246E-3</v>
      </c>
      <c r="I354">
        <v>-0.63075513558467278</v>
      </c>
      <c r="J354">
        <v>-1.6255497661100929E-3</v>
      </c>
      <c r="K354" s="93">
        <f t="shared" si="16"/>
        <v>0</v>
      </c>
      <c r="L354" s="93">
        <f t="shared" si="17"/>
        <v>1</v>
      </c>
      <c r="M354" s="93">
        <f t="shared" si="18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25.154238984816935</v>
      </c>
      <c r="H355">
        <v>1.6276728515624997E-3</v>
      </c>
      <c r="I355">
        <v>-0.43236954298527502</v>
      </c>
      <c r="J355">
        <v>-7.037561669596174E-4</v>
      </c>
      <c r="K355" s="93">
        <f t="shared" si="16"/>
        <v>0</v>
      </c>
      <c r="L355" s="93">
        <f t="shared" si="17"/>
        <v>1</v>
      </c>
      <c r="M355" s="93">
        <f t="shared" si="18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-7.0040896672095787</v>
      </c>
      <c r="H356">
        <v>2.5771486816406246E-3</v>
      </c>
      <c r="I356">
        <v>-1.2629745030726562</v>
      </c>
      <c r="J356">
        <v>-3.254873075539419E-3</v>
      </c>
      <c r="K356" s="93">
        <f t="shared" si="16"/>
        <v>0</v>
      </c>
      <c r="L356" s="93">
        <f t="shared" si="17"/>
        <v>1</v>
      </c>
      <c r="M356" s="93">
        <f t="shared" si="18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10.007860615072559</v>
      </c>
      <c r="H357">
        <v>5.4406472167968737E-3</v>
      </c>
      <c r="I357">
        <v>-0.71634358927428265</v>
      </c>
      <c r="J357">
        <v>-3.8973727552554086E-3</v>
      </c>
      <c r="K357" s="93">
        <f t="shared" si="16"/>
        <v>0</v>
      </c>
      <c r="L357" s="93">
        <f t="shared" si="17"/>
        <v>1</v>
      </c>
      <c r="M357" s="93">
        <f t="shared" si="18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21.385462850091812</v>
      </c>
      <c r="H358">
        <v>3.4361982421874993E-3</v>
      </c>
      <c r="I358">
        <v>-0.49024561337830186</v>
      </c>
      <c r="J358">
        <v>-1.6845811149306532E-3</v>
      </c>
      <c r="K358" s="93">
        <f t="shared" si="16"/>
        <v>0</v>
      </c>
      <c r="L358" s="93">
        <f t="shared" si="17"/>
        <v>1</v>
      </c>
      <c r="M358" s="93">
        <f t="shared" si="18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-13</v>
      </c>
      <c r="H359">
        <v>1.6276728515624997E-3</v>
      </c>
      <c r="I359">
        <v>-1.5423902651101746</v>
      </c>
      <c r="J359">
        <v>-2.5105067610341177E-3</v>
      </c>
      <c r="K359" s="93">
        <f t="shared" si="16"/>
        <v>0</v>
      </c>
      <c r="L359" s="93">
        <f t="shared" si="17"/>
        <v>1</v>
      </c>
      <c r="M359" s="93">
        <f t="shared" si="18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6.1481362377391306</v>
      </c>
      <c r="H360">
        <v>3.4361982421874993E-3</v>
      </c>
      <c r="I360">
        <v>-0.81469792828101473</v>
      </c>
      <c r="J360">
        <v>-2.7994635890730203E-3</v>
      </c>
      <c r="K360" s="93">
        <f t="shared" si="16"/>
        <v>0</v>
      </c>
      <c r="L360" s="93">
        <f t="shared" si="17"/>
        <v>1</v>
      </c>
      <c r="M360" s="93">
        <f t="shared" si="18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17.616686715366686</v>
      </c>
      <c r="H361">
        <v>2.1702304687499993E-3</v>
      </c>
      <c r="I361">
        <v>-0.55586885185585933</v>
      </c>
      <c r="J361">
        <v>-1.2063635189266655E-3</v>
      </c>
      <c r="K361" s="93">
        <f t="shared" si="16"/>
        <v>0</v>
      </c>
      <c r="L361" s="93">
        <f t="shared" si="17"/>
        <v>1</v>
      </c>
      <c r="M361" s="93">
        <f t="shared" si="18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-3.0420332032869939</v>
      </c>
      <c r="H362">
        <v>2.5771486816406246E-3</v>
      </c>
      <c r="I362">
        <v>-1.106720465825292</v>
      </c>
      <c r="J362">
        <v>-2.8521831894463491E-3</v>
      </c>
      <c r="K362" s="93">
        <f t="shared" si="16"/>
        <v>0</v>
      </c>
      <c r="L362" s="93">
        <f t="shared" si="17"/>
        <v>1</v>
      </c>
      <c r="M362" s="93">
        <f t="shared" si="18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12.777610861340639</v>
      </c>
      <c r="H363">
        <v>5.4406472167968737E-3</v>
      </c>
      <c r="I363">
        <v>-0.65316835704189646</v>
      </c>
      <c r="J363">
        <v>-3.5536586038397806E-3</v>
      </c>
      <c r="K363" s="93">
        <f t="shared" si="16"/>
        <v>0</v>
      </c>
      <c r="L363" s="93">
        <f t="shared" si="17"/>
        <v>1</v>
      </c>
      <c r="M363" s="93">
        <f t="shared" si="18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24.142922112388952</v>
      </c>
      <c r="H364">
        <v>3.4361982421874993E-3</v>
      </c>
      <c r="I364">
        <v>-0.44719342027329273</v>
      </c>
      <c r="J364">
        <v>-1.5366452446609041E-3</v>
      </c>
      <c r="K364" s="93">
        <f t="shared" si="16"/>
        <v>0</v>
      </c>
      <c r="L364" s="93">
        <f t="shared" si="17"/>
        <v>1</v>
      </c>
      <c r="M364" s="93">
        <f t="shared" si="18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-8.5040896672095787</v>
      </c>
      <c r="H365">
        <v>5.4406472167968746E-3</v>
      </c>
      <c r="I365">
        <v>-1.3277285905401555</v>
      </c>
      <c r="J365">
        <v>-7.223702860783934E-3</v>
      </c>
      <c r="K365" s="93">
        <f t="shared" si="16"/>
        <v>0</v>
      </c>
      <c r="L365" s="93">
        <f t="shared" si="17"/>
        <v>1</v>
      </c>
      <c r="M365" s="93">
        <f t="shared" si="18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8.9463754450642696</v>
      </c>
      <c r="H366">
        <v>1.1485810791015622E-2</v>
      </c>
      <c r="I366">
        <v>-0.74214360646160982</v>
      </c>
      <c r="J366">
        <v>-8.5241210435800085E-3</v>
      </c>
      <c r="K366" s="93">
        <f t="shared" si="16"/>
        <v>0</v>
      </c>
      <c r="L366" s="93">
        <f t="shared" si="17"/>
        <v>1</v>
      </c>
      <c r="M366" s="93">
        <f t="shared" si="18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20.374145977663829</v>
      </c>
      <c r="H367">
        <v>7.2541962890624988E-3</v>
      </c>
      <c r="I367">
        <v>-0.50705378345321495</v>
      </c>
      <c r="J367">
        <v>-3.6782676742814118E-3</v>
      </c>
      <c r="K367" s="93">
        <f t="shared" si="16"/>
        <v>0</v>
      </c>
      <c r="L367" s="93">
        <f t="shared" si="17"/>
        <v>1</v>
      </c>
      <c r="M367" s="93">
        <f t="shared" si="18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-14.5</v>
      </c>
      <c r="H368">
        <v>3.4361982421874993E-3</v>
      </c>
      <c r="I368">
        <v>-1.6214703050420796</v>
      </c>
      <c r="J368">
        <v>-5.571693411944822E-3</v>
      </c>
      <c r="K368" s="93">
        <f t="shared" si="16"/>
        <v>0</v>
      </c>
      <c r="L368" s="93">
        <f t="shared" si="17"/>
        <v>1</v>
      </c>
      <c r="M368" s="93">
        <f t="shared" si="18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5.0645552624763033</v>
      </c>
      <c r="H369">
        <v>7.254196289062498E-3</v>
      </c>
      <c r="I369">
        <v>-0.84466218827272521</v>
      </c>
      <c r="J369">
        <v>-6.1273453116794125E-3</v>
      </c>
      <c r="K369" s="93">
        <f t="shared" si="16"/>
        <v>0</v>
      </c>
      <c r="L369" s="93">
        <f t="shared" si="17"/>
        <v>1</v>
      </c>
      <c r="M369" s="93">
        <f t="shared" si="18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16.594876730227227</v>
      </c>
      <c r="H370">
        <v>4.5815976562499985E-3</v>
      </c>
      <c r="I370">
        <v>-0.57512805555077229</v>
      </c>
      <c r="J370">
        <v>-2.6350053513550372E-3</v>
      </c>
      <c r="K370" s="93">
        <f t="shared" si="16"/>
        <v>0</v>
      </c>
      <c r="L370" s="93">
        <f t="shared" si="17"/>
        <v>1</v>
      </c>
      <c r="M370" s="93">
        <f t="shared" si="18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-5.0596113222263472</v>
      </c>
      <c r="H371">
        <v>1.6276728515624997E-3</v>
      </c>
      <c r="I371">
        <v>-1.1837101618277797</v>
      </c>
      <c r="J371">
        <v>-1.92669289452573E-3</v>
      </c>
      <c r="K371" s="93">
        <f t="shared" si="16"/>
        <v>0</v>
      </c>
      <c r="L371" s="93">
        <f t="shared" si="17"/>
        <v>1</v>
      </c>
      <c r="M371" s="93">
        <f t="shared" si="18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11.023925996452062</v>
      </c>
      <c r="H372">
        <v>3.4361982421874993E-3</v>
      </c>
      <c r="I372">
        <v>-0.69248811752138961</v>
      </c>
      <c r="J372">
        <v>-2.3795264521627294E-3</v>
      </c>
      <c r="K372" s="93">
        <f t="shared" si="16"/>
        <v>0</v>
      </c>
      <c r="L372" s="93">
        <f t="shared" si="17"/>
        <v>1</v>
      </c>
      <c r="M372" s="93">
        <f t="shared" si="18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22.457393991675644</v>
      </c>
      <c r="H373">
        <v>2.1702304687499993E-3</v>
      </c>
      <c r="I373">
        <v>-0.47303788445019096</v>
      </c>
      <c r="J373">
        <v>-1.026601229706846E-3</v>
      </c>
      <c r="K373" s="93">
        <f t="shared" si="16"/>
        <v>0</v>
      </c>
      <c r="L373" s="93">
        <f t="shared" si="17"/>
        <v>1</v>
      </c>
      <c r="M373" s="93">
        <f t="shared" si="18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-11.004089667209579</v>
      </c>
      <c r="H374">
        <v>3.4361982421874993E-3</v>
      </c>
      <c r="I374">
        <v>-1.4431135817232088</v>
      </c>
      <c r="J374">
        <v>-4.9588243527941963E-3</v>
      </c>
      <c r="K374" s="93">
        <f t="shared" si="16"/>
        <v>0</v>
      </c>
      <c r="L374" s="93">
        <f t="shared" si="17"/>
        <v>1</v>
      </c>
      <c r="M374" s="93">
        <f t="shared" si="18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7.1446538052209014</v>
      </c>
      <c r="H375">
        <v>7.254196289062498E-3</v>
      </c>
      <c r="I375">
        <v>-0.78808042918376953</v>
      </c>
      <c r="J375">
        <v>-5.7168901248676818E-3</v>
      </c>
      <c r="K375" s="93">
        <f t="shared" si="16"/>
        <v>0</v>
      </c>
      <c r="L375" s="93">
        <f t="shared" si="17"/>
        <v>1</v>
      </c>
      <c r="M375" s="93">
        <f t="shared" si="18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18.666283228082971</v>
      </c>
      <c r="H376">
        <v>4.5815976562499985E-3</v>
      </c>
      <c r="I376">
        <v>-0.53675719318907533</v>
      </c>
      <c r="J376">
        <v>-2.4592054982903954E-3</v>
      </c>
      <c r="K376" s="93">
        <f t="shared" si="16"/>
        <v>0</v>
      </c>
      <c r="L376" s="93">
        <f t="shared" si="17"/>
        <v>1</v>
      </c>
      <c r="M376" s="93">
        <f t="shared" si="18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-17</v>
      </c>
      <c r="H377">
        <v>2.1702304687499997E-3</v>
      </c>
      <c r="I377">
        <v>-1.7623826407286585</v>
      </c>
      <c r="J377">
        <v>-3.824776504505419E-3</v>
      </c>
      <c r="K377" s="93">
        <f t="shared" si="16"/>
        <v>0</v>
      </c>
      <c r="L377" s="93">
        <f t="shared" si="17"/>
        <v>1</v>
      </c>
      <c r="M377" s="93">
        <f t="shared" si="18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3.2111092996583683</v>
      </c>
      <c r="H378">
        <v>4.5815976562499994E-3</v>
      </c>
      <c r="I378">
        <v>-0.89849244913049353</v>
      </c>
      <c r="J378">
        <v>-4.1165308990945906E-3</v>
      </c>
      <c r="K378" s="93">
        <f t="shared" si="16"/>
        <v>0</v>
      </c>
      <c r="L378" s="93">
        <f t="shared" si="17"/>
        <v>1</v>
      </c>
      <c r="M378" s="93">
        <f t="shared" si="18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14.849017359196388</v>
      </c>
      <c r="H379">
        <v>2.8936406249999995E-3</v>
      </c>
      <c r="I379">
        <v>-0.60959087393151479</v>
      </c>
      <c r="J379">
        <v>-1.7639369174374843E-3</v>
      </c>
      <c r="K379" s="93">
        <f t="shared" si="16"/>
        <v>0</v>
      </c>
      <c r="L379" s="93">
        <f t="shared" si="17"/>
        <v>1</v>
      </c>
      <c r="M379" s="93">
        <f t="shared" si="18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-1.849986467453121</v>
      </c>
      <c r="H380">
        <v>7.7100292968750007E-4</v>
      </c>
      <c r="I380">
        <v>-1.0636072699382935</v>
      </c>
      <c r="J380">
        <v>-8.2004432115934795E-4</v>
      </c>
      <c r="K380" s="93">
        <f t="shared" si="16"/>
        <v>0</v>
      </c>
      <c r="L380" s="93">
        <f t="shared" si="17"/>
        <v>1</v>
      </c>
      <c r="M380" s="93">
        <f t="shared" si="18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13.825126483959142</v>
      </c>
      <c r="H381">
        <v>1.6276728515625001E-3</v>
      </c>
      <c r="I381">
        <v>-0.63075513558467278</v>
      </c>
      <c r="J381">
        <v>-1.0266630101747958E-3</v>
      </c>
      <c r="K381" s="93">
        <f t="shared" si="16"/>
        <v>0</v>
      </c>
      <c r="L381" s="93">
        <f t="shared" si="17"/>
        <v>1</v>
      </c>
      <c r="M381" s="93">
        <f t="shared" si="18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25.154238984816935</v>
      </c>
      <c r="H382">
        <v>1.0280039062499999E-3</v>
      </c>
      <c r="I382">
        <v>-0.43236954298527502</v>
      </c>
      <c r="J382">
        <v>-4.4447757913238997E-4</v>
      </c>
      <c r="K382" s="93">
        <f t="shared" si="16"/>
        <v>0</v>
      </c>
      <c r="L382" s="93">
        <f t="shared" si="17"/>
        <v>1</v>
      </c>
      <c r="M382" s="93">
        <f t="shared" si="18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-7.0040896672095787</v>
      </c>
      <c r="H383">
        <v>1.6276728515624999E-3</v>
      </c>
      <c r="I383">
        <v>-1.2629745030726562</v>
      </c>
      <c r="J383">
        <v>-2.0557093108670016E-3</v>
      </c>
      <c r="K383" s="93">
        <f t="shared" si="16"/>
        <v>0</v>
      </c>
      <c r="L383" s="93">
        <f t="shared" si="17"/>
        <v>1</v>
      </c>
      <c r="M383" s="93">
        <f t="shared" si="18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10.007860615072559</v>
      </c>
      <c r="H384">
        <v>3.4361982421874998E-3</v>
      </c>
      <c r="I384">
        <v>-0.71634358927428265</v>
      </c>
      <c r="J384">
        <v>-2.4614985822665743E-3</v>
      </c>
      <c r="K384" s="93">
        <f t="shared" si="16"/>
        <v>0</v>
      </c>
      <c r="L384" s="93">
        <f t="shared" si="17"/>
        <v>1</v>
      </c>
      <c r="M384" s="93">
        <f t="shared" si="18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21.385462850091812</v>
      </c>
      <c r="H385">
        <v>2.1702304687499997E-3</v>
      </c>
      <c r="I385">
        <v>-0.49024561337830186</v>
      </c>
      <c r="J385">
        <v>-1.0639459673246231E-3</v>
      </c>
      <c r="K385" s="93">
        <f t="shared" si="16"/>
        <v>0</v>
      </c>
      <c r="L385" s="93">
        <f t="shared" si="17"/>
        <v>1</v>
      </c>
      <c r="M385" s="93">
        <f t="shared" si="18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-13</v>
      </c>
      <c r="H386">
        <v>1.0280039062499999E-3</v>
      </c>
      <c r="I386">
        <v>-1.5423902651101746</v>
      </c>
      <c r="J386">
        <v>-1.5855832174952325E-3</v>
      </c>
      <c r="K386" s="93">
        <f t="shared" si="16"/>
        <v>0</v>
      </c>
      <c r="L386" s="93">
        <f t="shared" si="17"/>
        <v>1</v>
      </c>
      <c r="M386" s="93">
        <f t="shared" si="18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6.1481362377391306</v>
      </c>
      <c r="H387">
        <v>2.1702304687499997E-3</v>
      </c>
      <c r="I387">
        <v>-0.81469792828101473</v>
      </c>
      <c r="J387">
        <v>-1.7680822667829603E-3</v>
      </c>
      <c r="K387" s="93">
        <f t="shared" ref="K387:K450" si="19">IF(A387=3,1,0)</f>
        <v>0</v>
      </c>
      <c r="L387" s="93">
        <f t="shared" ref="L387:L450" si="20">IF(A387=2,1,0)</f>
        <v>1</v>
      </c>
      <c r="M387" s="93">
        <f t="shared" ref="M387:M450" si="21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17.616686715366686</v>
      </c>
      <c r="H388">
        <v>1.3706718749999999E-3</v>
      </c>
      <c r="I388">
        <v>-0.55586885185585933</v>
      </c>
      <c r="J388">
        <v>-7.6191380142736785E-4</v>
      </c>
      <c r="K388" s="93">
        <f t="shared" si="19"/>
        <v>0</v>
      </c>
      <c r="L388" s="93">
        <f t="shared" si="20"/>
        <v>1</v>
      </c>
      <c r="M388" s="93">
        <f t="shared" si="21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-3.0420332032869939</v>
      </c>
      <c r="H389">
        <v>1.6276728515624997E-3</v>
      </c>
      <c r="I389">
        <v>-1.106720465825292</v>
      </c>
      <c r="J389">
        <v>-1.8013788564924312E-3</v>
      </c>
      <c r="K389" s="93">
        <f t="shared" si="19"/>
        <v>0</v>
      </c>
      <c r="L389" s="93">
        <f t="shared" si="20"/>
        <v>1</v>
      </c>
      <c r="M389" s="93">
        <f t="shared" si="21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12.777610861340639</v>
      </c>
      <c r="H390">
        <v>3.4361982421874993E-3</v>
      </c>
      <c r="I390">
        <v>-0.65316835704189646</v>
      </c>
      <c r="J390">
        <v>-2.2444159603198614E-3</v>
      </c>
      <c r="K390" s="93">
        <f t="shared" si="19"/>
        <v>0</v>
      </c>
      <c r="L390" s="93">
        <f t="shared" si="20"/>
        <v>1</v>
      </c>
      <c r="M390" s="93">
        <f t="shared" si="21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24.142922112388952</v>
      </c>
      <c r="H391">
        <v>2.1702304687499993E-3</v>
      </c>
      <c r="I391">
        <v>-0.44719342027329273</v>
      </c>
      <c r="J391">
        <v>-9.7051278610162355E-4</v>
      </c>
      <c r="K391" s="93">
        <f t="shared" si="19"/>
        <v>0</v>
      </c>
      <c r="L391" s="93">
        <f t="shared" si="20"/>
        <v>1</v>
      </c>
      <c r="M391" s="93">
        <f t="shared" si="21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-8.5040896672095787</v>
      </c>
      <c r="H392">
        <v>3.4361982421874993E-3</v>
      </c>
      <c r="I392">
        <v>-1.3277285905401555</v>
      </c>
      <c r="J392">
        <v>-4.5623386489161682E-3</v>
      </c>
      <c r="K392" s="93">
        <f t="shared" si="19"/>
        <v>0</v>
      </c>
      <c r="L392" s="93">
        <f t="shared" si="20"/>
        <v>1</v>
      </c>
      <c r="M392" s="93">
        <f t="shared" si="21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8.9463754450642696</v>
      </c>
      <c r="H393">
        <v>7.254196289062498E-3</v>
      </c>
      <c r="I393">
        <v>-0.74214360646160982</v>
      </c>
      <c r="J393">
        <v>-5.383655395945269E-3</v>
      </c>
      <c r="K393" s="93">
        <f t="shared" si="19"/>
        <v>0</v>
      </c>
      <c r="L393" s="93">
        <f t="shared" si="20"/>
        <v>1</v>
      </c>
      <c r="M393" s="93">
        <f t="shared" si="21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20.374145977663829</v>
      </c>
      <c r="H394">
        <v>4.5815976562499985E-3</v>
      </c>
      <c r="I394">
        <v>-0.50705378345321495</v>
      </c>
      <c r="J394">
        <v>-2.3231164258619439E-3</v>
      </c>
      <c r="K394" s="93">
        <f t="shared" si="19"/>
        <v>0</v>
      </c>
      <c r="L394" s="93">
        <f t="shared" si="20"/>
        <v>1</v>
      </c>
      <c r="M394" s="93">
        <f t="shared" si="21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-14.5</v>
      </c>
      <c r="H395">
        <v>2.1702304687499997E-3</v>
      </c>
      <c r="I395">
        <v>-1.6214703050420796</v>
      </c>
      <c r="J395">
        <v>-3.5189642601756773E-3</v>
      </c>
      <c r="K395" s="93">
        <f t="shared" si="19"/>
        <v>0</v>
      </c>
      <c r="L395" s="93">
        <f t="shared" si="20"/>
        <v>1</v>
      </c>
      <c r="M395" s="93">
        <f t="shared" si="21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5.0645552624763033</v>
      </c>
      <c r="H396">
        <v>4.5815976562499994E-3</v>
      </c>
      <c r="I396">
        <v>-0.84466218827272521</v>
      </c>
      <c r="J396">
        <v>-3.8699023021133137E-3</v>
      </c>
      <c r="K396" s="93">
        <f t="shared" si="19"/>
        <v>0</v>
      </c>
      <c r="L396" s="93">
        <f t="shared" si="20"/>
        <v>1</v>
      </c>
      <c r="M396" s="93">
        <f t="shared" si="21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16.594876730227227</v>
      </c>
      <c r="H397">
        <v>2.8936406249999995E-3</v>
      </c>
      <c r="I397">
        <v>-0.57512805555077229</v>
      </c>
      <c r="J397">
        <v>-1.6642139061189712E-3</v>
      </c>
      <c r="K397" s="93">
        <f t="shared" si="19"/>
        <v>0</v>
      </c>
      <c r="L397" s="93">
        <f t="shared" si="20"/>
        <v>1</v>
      </c>
      <c r="M397" s="93">
        <f t="shared" si="21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-5.0596113222263472</v>
      </c>
      <c r="H398">
        <v>1.0280039062499999E-3</v>
      </c>
      <c r="I398">
        <v>-1.1837101618277797</v>
      </c>
      <c r="J398">
        <v>-1.216858670226777E-3</v>
      </c>
      <c r="K398" s="93">
        <f t="shared" si="19"/>
        <v>0</v>
      </c>
      <c r="L398" s="93">
        <f t="shared" si="20"/>
        <v>1</v>
      </c>
      <c r="M398" s="93">
        <f t="shared" si="21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11.023925996452062</v>
      </c>
      <c r="H399">
        <v>2.1702304687499997E-3</v>
      </c>
      <c r="I399">
        <v>-0.69248811752138961</v>
      </c>
      <c r="J399">
        <v>-1.5028588118922502E-3</v>
      </c>
      <c r="K399" s="93">
        <f t="shared" si="19"/>
        <v>0</v>
      </c>
      <c r="L399" s="93">
        <f t="shared" si="20"/>
        <v>1</v>
      </c>
      <c r="M399" s="93">
        <f t="shared" si="21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22.457393991675644</v>
      </c>
      <c r="H400">
        <v>1.3706718749999999E-3</v>
      </c>
      <c r="I400">
        <v>-0.47303788445019096</v>
      </c>
      <c r="J400">
        <v>-6.4837972402537658E-4</v>
      </c>
      <c r="K400" s="93">
        <f t="shared" si="19"/>
        <v>0</v>
      </c>
      <c r="L400" s="93">
        <f t="shared" si="20"/>
        <v>1</v>
      </c>
      <c r="M400" s="93">
        <f t="shared" si="21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-11.004089667209579</v>
      </c>
      <c r="H401">
        <v>2.1702304687499997E-3</v>
      </c>
      <c r="I401">
        <v>-1.4431135817232088</v>
      </c>
      <c r="J401">
        <v>-3.1318890649226507E-3</v>
      </c>
      <c r="K401" s="93">
        <f t="shared" si="19"/>
        <v>0</v>
      </c>
      <c r="L401" s="93">
        <f t="shared" si="20"/>
        <v>1</v>
      </c>
      <c r="M401" s="93">
        <f t="shared" si="21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7.1446538052209014</v>
      </c>
      <c r="H402">
        <v>4.5815976562499994E-3</v>
      </c>
      <c r="I402">
        <v>-0.78808042918376953</v>
      </c>
      <c r="J402">
        <v>-3.6106674472848521E-3</v>
      </c>
      <c r="K402" s="93">
        <f t="shared" si="19"/>
        <v>0</v>
      </c>
      <c r="L402" s="93">
        <f t="shared" si="20"/>
        <v>1</v>
      </c>
      <c r="M402" s="93">
        <f t="shared" si="21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18.666283228082971</v>
      </c>
      <c r="H403">
        <v>2.8936406249999995E-3</v>
      </c>
      <c r="I403">
        <v>-0.53675719318907533</v>
      </c>
      <c r="J403">
        <v>-1.5531824199728815E-3</v>
      </c>
      <c r="K403" s="93">
        <f t="shared" si="19"/>
        <v>0</v>
      </c>
      <c r="L403" s="93">
        <f t="shared" si="20"/>
        <v>1</v>
      </c>
      <c r="M403" s="93">
        <f t="shared" si="21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-17</v>
      </c>
      <c r="H404">
        <v>1.3706718749999999E-3</v>
      </c>
      <c r="I404">
        <v>-1.7623826407286585</v>
      </c>
      <c r="J404">
        <v>-2.4156483186350015E-3</v>
      </c>
      <c r="K404" s="93">
        <f t="shared" si="19"/>
        <v>0</v>
      </c>
      <c r="L404" s="93">
        <f t="shared" si="20"/>
        <v>1</v>
      </c>
      <c r="M404" s="93">
        <f t="shared" si="21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3.2111092996583683</v>
      </c>
      <c r="H405">
        <v>2.8936406249999995E-3</v>
      </c>
      <c r="I405">
        <v>-0.89849244913049353</v>
      </c>
      <c r="J405">
        <v>-2.5999142520597416E-3</v>
      </c>
      <c r="K405" s="93">
        <f t="shared" si="19"/>
        <v>0</v>
      </c>
      <c r="L405" s="93">
        <f t="shared" si="20"/>
        <v>1</v>
      </c>
      <c r="M405" s="93">
        <f t="shared" si="21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14.849017359196388</v>
      </c>
      <c r="H406">
        <v>1.8275624999999998E-3</v>
      </c>
      <c r="I406">
        <v>-0.60959087393151479</v>
      </c>
      <c r="J406">
        <v>-1.1140654215394639E-3</v>
      </c>
      <c r="K406" s="93">
        <f t="shared" si="19"/>
        <v>0</v>
      </c>
      <c r="L406" s="93">
        <f t="shared" si="20"/>
        <v>1</v>
      </c>
      <c r="M406" s="93">
        <f t="shared" si="21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-1.1677106800845551</v>
      </c>
      <c r="H407">
        <v>3.652119140625E-4</v>
      </c>
      <c r="I407">
        <v>-1.0396911411016805</v>
      </c>
      <c r="J407">
        <v>-3.797075916755695E-4</v>
      </c>
      <c r="K407" s="93">
        <f t="shared" si="19"/>
        <v>0</v>
      </c>
      <c r="L407" s="93">
        <f t="shared" si="20"/>
        <v>1</v>
      </c>
      <c r="M407" s="93">
        <f t="shared" si="21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15.771075862643059</v>
      </c>
      <c r="H408">
        <v>7.7100292968749996E-4</v>
      </c>
      <c r="I408">
        <v>-0.59113992565921525</v>
      </c>
      <c r="J408">
        <v>-4.5577061453850589E-4</v>
      </c>
      <c r="K408" s="93">
        <f t="shared" si="19"/>
        <v>0</v>
      </c>
      <c r="L408" s="93">
        <f t="shared" si="20"/>
        <v>1</v>
      </c>
      <c r="M408" s="93">
        <f t="shared" si="21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28.064583949047659</v>
      </c>
      <c r="H409">
        <v>4.8694921874999997E-4</v>
      </c>
      <c r="I409">
        <v>-0.39239506350406861</v>
      </c>
      <c r="J409">
        <v>-1.9107646961466284E-4</v>
      </c>
      <c r="K409" s="93">
        <f t="shared" si="19"/>
        <v>0</v>
      </c>
      <c r="L409" s="93">
        <f t="shared" si="20"/>
        <v>1</v>
      </c>
      <c r="M409" s="93">
        <f t="shared" si="21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-6.4830479350473311</v>
      </c>
      <c r="H410">
        <v>7.7100292968749996E-4</v>
      </c>
      <c r="I410">
        <v>-1.241228478720902</v>
      </c>
      <c r="J410">
        <v>-9.5699079350537416E-4</v>
      </c>
      <c r="K410" s="93">
        <f t="shared" si="19"/>
        <v>0</v>
      </c>
      <c r="L410" s="93">
        <f t="shared" si="20"/>
        <v>1</v>
      </c>
      <c r="M410" s="93">
        <f t="shared" si="21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11.629485097309161</v>
      </c>
      <c r="H411">
        <v>1.6276728515624999E-3</v>
      </c>
      <c r="I411">
        <v>-0.6786501662655543</v>
      </c>
      <c r="J411">
        <v>-1.1046204513388194E-3</v>
      </c>
      <c r="K411" s="93">
        <f t="shared" si="19"/>
        <v>0</v>
      </c>
      <c r="L411" s="93">
        <f t="shared" si="20"/>
        <v>1</v>
      </c>
      <c r="M411" s="93">
        <f t="shared" si="21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23.972436151630234</v>
      </c>
      <c r="H412">
        <v>1.0280039062499999E-3</v>
      </c>
      <c r="I412">
        <v>-0.44974199501468498</v>
      </c>
      <c r="J412">
        <v>-4.6233652767976418E-4</v>
      </c>
      <c r="K412" s="93">
        <f t="shared" si="19"/>
        <v>0</v>
      </c>
      <c r="L412" s="93">
        <f t="shared" si="20"/>
        <v>1</v>
      </c>
      <c r="M412" s="93">
        <f t="shared" si="21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-13</v>
      </c>
      <c r="H413">
        <v>4.8694921874999997E-4</v>
      </c>
      <c r="I413">
        <v>-1.5423902651101746</v>
      </c>
      <c r="J413">
        <v>-7.5106573460300492E-4</v>
      </c>
      <c r="K413" s="93">
        <f t="shared" si="19"/>
        <v>0</v>
      </c>
      <c r="L413" s="93">
        <f t="shared" si="20"/>
        <v>1</v>
      </c>
      <c r="M413" s="93">
        <f t="shared" si="21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7.4528758956624728</v>
      </c>
      <c r="H414">
        <v>1.0280039062499999E-3</v>
      </c>
      <c r="I414">
        <v>-0.78002508736904297</v>
      </c>
      <c r="J414">
        <v>-8.0186883678837369E-4</v>
      </c>
      <c r="K414" s="93">
        <f t="shared" si="19"/>
        <v>0</v>
      </c>
      <c r="L414" s="93">
        <f t="shared" si="20"/>
        <v>1</v>
      </c>
      <c r="M414" s="93">
        <f t="shared" si="21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19.880288354212805</v>
      </c>
      <c r="H415">
        <v>6.4926562499999999E-4</v>
      </c>
      <c r="I415">
        <v>-0.51546994570611271</v>
      </c>
      <c r="J415">
        <v>-3.3467691646759534E-4</v>
      </c>
      <c r="K415" s="93">
        <f t="shared" si="19"/>
        <v>0</v>
      </c>
      <c r="L415" s="93">
        <f t="shared" si="20"/>
        <v>1</v>
      </c>
      <c r="M415" s="93">
        <f t="shared" si="21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-2.3468547121122407</v>
      </c>
      <c r="H416">
        <v>7.7100292968750007E-4</v>
      </c>
      <c r="I416">
        <v>-1.0813697130465589</v>
      </c>
      <c r="J416">
        <v>-8.3373921683422821E-4</v>
      </c>
      <c r="K416" s="93">
        <f t="shared" si="19"/>
        <v>0</v>
      </c>
      <c r="L416" s="93">
        <f t="shared" si="20"/>
        <v>1</v>
      </c>
      <c r="M416" s="93">
        <f t="shared" si="21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14.723560240024558</v>
      </c>
      <c r="H417">
        <v>1.6276728515625001E-3</v>
      </c>
      <c r="I417">
        <v>-0.61214546222726141</v>
      </c>
      <c r="J417">
        <v>-9.9637255007449131E-4</v>
      </c>
      <c r="K417" s="93">
        <f t="shared" si="19"/>
        <v>0</v>
      </c>
      <c r="L417" s="93">
        <f t="shared" si="20"/>
        <v>1</v>
      </c>
      <c r="M417" s="93">
        <f t="shared" si="21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27.053267076619676</v>
      </c>
      <c r="H418">
        <v>1.0280039062499999E-3</v>
      </c>
      <c r="I418">
        <v>-0.40584840767268493</v>
      </c>
      <c r="J418">
        <v>-4.1721374843286255E-4</v>
      </c>
      <c r="K418" s="93">
        <f t="shared" si="19"/>
        <v>0</v>
      </c>
      <c r="L418" s="93">
        <f t="shared" si="20"/>
        <v>1</v>
      </c>
      <c r="M418" s="93">
        <f t="shared" si="21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-7.9830479350473311</v>
      </c>
      <c r="H419">
        <v>1.6276728515624999E-3</v>
      </c>
      <c r="I419">
        <v>-1.304867623678067</v>
      </c>
      <c r="J419">
        <v>-2.1238976059436625E-3</v>
      </c>
      <c r="K419" s="93">
        <f t="shared" si="19"/>
        <v>0</v>
      </c>
      <c r="L419" s="93">
        <f t="shared" si="20"/>
        <v>1</v>
      </c>
      <c r="M419" s="93">
        <f t="shared" si="21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10.577300017468453</v>
      </c>
      <c r="H420">
        <v>3.4361982421874998E-3</v>
      </c>
      <c r="I420">
        <v>-0.70287468027687106</v>
      </c>
      <c r="J420">
        <v>-2.4152167408454852E-3</v>
      </c>
      <c r="K420" s="93">
        <f t="shared" si="19"/>
        <v>0</v>
      </c>
      <c r="L420" s="93">
        <f t="shared" si="20"/>
        <v>1</v>
      </c>
      <c r="M420" s="93">
        <f t="shared" si="21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22.961119279202251</v>
      </c>
      <c r="H421">
        <v>2.1702304687499997E-3</v>
      </c>
      <c r="I421">
        <v>-0.46516149033652132</v>
      </c>
      <c r="J421">
        <v>-1.0095076392174771E-3</v>
      </c>
      <c r="K421" s="93">
        <f t="shared" si="19"/>
        <v>0</v>
      </c>
      <c r="L421" s="93">
        <f t="shared" si="20"/>
        <v>1</v>
      </c>
      <c r="M421" s="93">
        <f t="shared" si="21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-14.5</v>
      </c>
      <c r="H422">
        <v>1.0280039062499999E-3</v>
      </c>
      <c r="I422">
        <v>-1.6214703050420796</v>
      </c>
      <c r="J422">
        <v>-1.6668778074516368E-3</v>
      </c>
      <c r="K422" s="93">
        <f t="shared" si="19"/>
        <v>0</v>
      </c>
      <c r="L422" s="93">
        <f t="shared" si="20"/>
        <v>1</v>
      </c>
      <c r="M422" s="93">
        <f t="shared" si="21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6.3718429117564508</v>
      </c>
      <c r="H423">
        <v>2.1702304687499997E-3</v>
      </c>
      <c r="I423">
        <v>-0.8086454106745089</v>
      </c>
      <c r="J423">
        <v>-1.7549469086606754E-3</v>
      </c>
      <c r="K423" s="93">
        <f t="shared" si="19"/>
        <v>0</v>
      </c>
      <c r="L423" s="93">
        <f t="shared" si="20"/>
        <v>1</v>
      </c>
      <c r="M423" s="93">
        <f t="shared" si="21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18.865151005358459</v>
      </c>
      <c r="H424">
        <v>1.3706718749999999E-3</v>
      </c>
      <c r="I424">
        <v>-0.53321083677750525</v>
      </c>
      <c r="J424">
        <v>-7.3085709741614201E-4</v>
      </c>
      <c r="K424" s="93">
        <f t="shared" si="19"/>
        <v>0</v>
      </c>
      <c r="L424" s="93">
        <f t="shared" si="20"/>
        <v>1</v>
      </c>
      <c r="M424" s="93">
        <f t="shared" si="21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-4.3446050569387475</v>
      </c>
      <c r="H425">
        <v>4.8694921875000008E-4</v>
      </c>
      <c r="I425">
        <v>-1.1558316967044109</v>
      </c>
      <c r="J425">
        <v>-5.6283134171669993E-4</v>
      </c>
      <c r="K425" s="93">
        <f t="shared" si="19"/>
        <v>0</v>
      </c>
      <c r="L425" s="93">
        <f t="shared" si="20"/>
        <v>1</v>
      </c>
      <c r="M425" s="93">
        <f t="shared" si="21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12.977700868993718</v>
      </c>
      <c r="H426">
        <v>1.0280039062500002E-3</v>
      </c>
      <c r="I426">
        <v>-0.64882643733137257</v>
      </c>
      <c r="J426">
        <v>-6.6699611205492198E-4</v>
      </c>
      <c r="K426" s="93">
        <f t="shared" si="19"/>
        <v>0</v>
      </c>
      <c r="L426" s="93">
        <f t="shared" si="20"/>
        <v>1</v>
      </c>
      <c r="M426" s="93">
        <f t="shared" si="21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25.367738955906368</v>
      </c>
      <c r="H427">
        <v>6.492656250000001E-4</v>
      </c>
      <c r="I427">
        <v>-0.42930343665530679</v>
      </c>
      <c r="J427">
        <v>-2.7873196411465573E-4</v>
      </c>
      <c r="K427" s="93">
        <f t="shared" si="19"/>
        <v>0</v>
      </c>
      <c r="L427" s="93">
        <f t="shared" si="20"/>
        <v>1</v>
      </c>
      <c r="M427" s="93">
        <f t="shared" si="21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-10.483047935047331</v>
      </c>
      <c r="H428">
        <v>1.0280039062499999E-3</v>
      </c>
      <c r="I428">
        <v>-1.418265904264834</v>
      </c>
      <c r="J428">
        <v>-1.4579828896854378E-3</v>
      </c>
      <c r="K428" s="93">
        <f t="shared" si="19"/>
        <v>0</v>
      </c>
      <c r="L428" s="93">
        <f t="shared" si="20"/>
        <v>1</v>
      </c>
      <c r="M428" s="93">
        <f t="shared" si="21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8.7755783776250844</v>
      </c>
      <c r="H429">
        <v>2.1702304687499997E-3</v>
      </c>
      <c r="I429">
        <v>-0.74638085523095454</v>
      </c>
      <c r="J429">
        <v>-1.6198184733139001E-3</v>
      </c>
      <c r="K429" s="93">
        <f t="shared" si="19"/>
        <v>0</v>
      </c>
      <c r="L429" s="93">
        <f t="shared" si="20"/>
        <v>1</v>
      </c>
      <c r="M429" s="93">
        <f t="shared" si="21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21.260882399661533</v>
      </c>
      <c r="H430">
        <v>1.3706718749999999E-3</v>
      </c>
      <c r="I430">
        <v>-0.49228568029873199</v>
      </c>
      <c r="J430">
        <v>-6.7476213645071355E-4</v>
      </c>
      <c r="K430" s="93">
        <f t="shared" si="19"/>
        <v>0</v>
      </c>
      <c r="L430" s="93">
        <f t="shared" si="20"/>
        <v>1</v>
      </c>
      <c r="M430" s="93">
        <f t="shared" si="21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-17</v>
      </c>
      <c r="H431">
        <v>6.492656250000001E-4</v>
      </c>
      <c r="I431">
        <v>-1.7623826407286585</v>
      </c>
      <c r="J431">
        <v>-1.1442544667218432E-3</v>
      </c>
      <c r="K431" s="93">
        <f t="shared" si="19"/>
        <v>0</v>
      </c>
      <c r="L431" s="93">
        <f t="shared" si="20"/>
        <v>1</v>
      </c>
      <c r="M431" s="93">
        <f t="shared" si="21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4.5279509801869846</v>
      </c>
      <c r="H432">
        <v>1.3706718749999999E-3</v>
      </c>
      <c r="I432">
        <v>-0.85990642883052837</v>
      </c>
      <c r="J432">
        <v>-1.1786495571296943E-3</v>
      </c>
      <c r="K432" s="93">
        <f t="shared" si="19"/>
        <v>0</v>
      </c>
      <c r="L432" s="93">
        <f t="shared" si="20"/>
        <v>1</v>
      </c>
      <c r="M432" s="93">
        <f t="shared" si="21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17.11929163432762</v>
      </c>
      <c r="H433">
        <v>8.6568750000000003E-4</v>
      </c>
      <c r="I433">
        <v>-0.56516189193670641</v>
      </c>
      <c r="J433">
        <v>-4.8925358532595756E-4</v>
      </c>
      <c r="K433" s="93">
        <f t="shared" si="19"/>
        <v>0</v>
      </c>
      <c r="L433" s="93">
        <f t="shared" si="20"/>
        <v>1</v>
      </c>
      <c r="M433" s="93">
        <f t="shared" si="21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-1.1677106800845551</v>
      </c>
      <c r="H434">
        <v>7.7100292968750007E-4</v>
      </c>
      <c r="I434">
        <v>-1.0396911411016805</v>
      </c>
      <c r="J434">
        <v>-8.0160491575953562E-4</v>
      </c>
      <c r="K434" s="93">
        <f t="shared" si="19"/>
        <v>0</v>
      </c>
      <c r="L434" s="93">
        <f t="shared" si="20"/>
        <v>1</v>
      </c>
      <c r="M434" s="93">
        <f t="shared" si="21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15.771075862643059</v>
      </c>
      <c r="H435">
        <v>1.6276728515625001E-3</v>
      </c>
      <c r="I435">
        <v>-0.59113992565921525</v>
      </c>
      <c r="J435">
        <v>-9.6218240847017924E-4</v>
      </c>
      <c r="K435" s="93">
        <f t="shared" si="19"/>
        <v>0</v>
      </c>
      <c r="L435" s="93">
        <f t="shared" si="20"/>
        <v>1</v>
      </c>
      <c r="M435" s="93">
        <f t="shared" si="21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28.064583949047659</v>
      </c>
      <c r="H436">
        <v>1.0280039062499999E-3</v>
      </c>
      <c r="I436">
        <v>-0.39239506350406861</v>
      </c>
      <c r="J436">
        <v>-4.0338365807539935E-4</v>
      </c>
      <c r="K436" s="93">
        <f t="shared" si="19"/>
        <v>0</v>
      </c>
      <c r="L436" s="93">
        <f t="shared" si="20"/>
        <v>1</v>
      </c>
      <c r="M436" s="93">
        <f t="shared" si="21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-6.4830479350473311</v>
      </c>
      <c r="H437">
        <v>1.6276728515624999E-3</v>
      </c>
      <c r="I437">
        <v>-1.241228478720902</v>
      </c>
      <c r="J437">
        <v>-2.0203138974002346E-3</v>
      </c>
      <c r="K437" s="93">
        <f t="shared" si="19"/>
        <v>0</v>
      </c>
      <c r="L437" s="93">
        <f t="shared" si="20"/>
        <v>1</v>
      </c>
      <c r="M437" s="93">
        <f t="shared" si="21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11.629485097309161</v>
      </c>
      <c r="H438">
        <v>3.4361982421874998E-3</v>
      </c>
      <c r="I438">
        <v>-0.6786501662655543</v>
      </c>
      <c r="J438">
        <v>-2.3319765083819523E-3</v>
      </c>
      <c r="K438" s="93">
        <f t="shared" si="19"/>
        <v>0</v>
      </c>
      <c r="L438" s="93">
        <f t="shared" si="20"/>
        <v>1</v>
      </c>
      <c r="M438" s="93">
        <f t="shared" si="21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23.972436151630234</v>
      </c>
      <c r="H439">
        <v>2.1702304687499997E-3</v>
      </c>
      <c r="I439">
        <v>-0.44974199501468498</v>
      </c>
      <c r="J439">
        <v>-9.7604378065727982E-4</v>
      </c>
      <c r="K439" s="93">
        <f t="shared" si="19"/>
        <v>0</v>
      </c>
      <c r="L439" s="93">
        <f t="shared" si="20"/>
        <v>1</v>
      </c>
      <c r="M439" s="93">
        <f t="shared" si="21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-13</v>
      </c>
      <c r="H440">
        <v>1.0280039062499999E-3</v>
      </c>
      <c r="I440">
        <v>-1.5423902651101746</v>
      </c>
      <c r="J440">
        <v>-1.5855832174952325E-3</v>
      </c>
      <c r="K440" s="93">
        <f t="shared" si="19"/>
        <v>0</v>
      </c>
      <c r="L440" s="93">
        <f t="shared" si="20"/>
        <v>1</v>
      </c>
      <c r="M440" s="93">
        <f t="shared" si="21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7.4528758956624728</v>
      </c>
      <c r="H441">
        <v>2.1702304687499997E-3</v>
      </c>
      <c r="I441">
        <v>-0.78002508736904297</v>
      </c>
      <c r="J441">
        <v>-1.6928342109976777E-3</v>
      </c>
      <c r="K441" s="93">
        <f t="shared" si="19"/>
        <v>0</v>
      </c>
      <c r="L441" s="93">
        <f t="shared" si="20"/>
        <v>1</v>
      </c>
      <c r="M441" s="93">
        <f t="shared" si="21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19.880288354212805</v>
      </c>
      <c r="H442">
        <v>1.3706718749999999E-3</v>
      </c>
      <c r="I442">
        <v>-0.51546994570611271</v>
      </c>
      <c r="J442">
        <v>-7.0654015698714569E-4</v>
      </c>
      <c r="K442" s="93">
        <f t="shared" si="19"/>
        <v>0</v>
      </c>
      <c r="L442" s="93">
        <f t="shared" si="20"/>
        <v>1</v>
      </c>
      <c r="M442" s="93">
        <f t="shared" si="21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-2.3468547121122407</v>
      </c>
      <c r="H443">
        <v>1.6276728515624997E-3</v>
      </c>
      <c r="I443">
        <v>-1.0813697130465589</v>
      </c>
      <c r="J443">
        <v>-1.7601161244278146E-3</v>
      </c>
      <c r="K443" s="93">
        <f t="shared" si="19"/>
        <v>0</v>
      </c>
      <c r="L443" s="93">
        <f t="shared" si="20"/>
        <v>1</v>
      </c>
      <c r="M443" s="93">
        <f t="shared" si="21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14.723560240024558</v>
      </c>
      <c r="H444">
        <v>3.4361982421874993E-3</v>
      </c>
      <c r="I444">
        <v>-0.61214546222726141</v>
      </c>
      <c r="J444">
        <v>-2.1034531612683701E-3</v>
      </c>
      <c r="K444" s="93">
        <f t="shared" si="19"/>
        <v>0</v>
      </c>
      <c r="L444" s="93">
        <f t="shared" si="20"/>
        <v>1</v>
      </c>
      <c r="M444" s="93">
        <f t="shared" si="21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27.053267076619676</v>
      </c>
      <c r="H445">
        <v>2.1702304687499993E-3</v>
      </c>
      <c r="I445">
        <v>-0.40584840767268493</v>
      </c>
      <c r="J445">
        <v>-8.8078458002493185E-4</v>
      </c>
      <c r="K445" s="93">
        <f t="shared" si="19"/>
        <v>0</v>
      </c>
      <c r="L445" s="93">
        <f t="shared" si="20"/>
        <v>1</v>
      </c>
      <c r="M445" s="93">
        <f t="shared" si="21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-7.9830479350473311</v>
      </c>
      <c r="H446">
        <v>3.4361982421874993E-3</v>
      </c>
      <c r="I446">
        <v>-1.304867623678067</v>
      </c>
      <c r="J446">
        <v>-4.4837838347699527E-3</v>
      </c>
      <c r="K446" s="93">
        <f t="shared" si="19"/>
        <v>0</v>
      </c>
      <c r="L446" s="93">
        <f t="shared" si="20"/>
        <v>1</v>
      </c>
      <c r="M446" s="93">
        <f t="shared" si="21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10.577300017468453</v>
      </c>
      <c r="H447">
        <v>7.254196289062498E-3</v>
      </c>
      <c r="I447">
        <v>-0.70287468027687106</v>
      </c>
      <c r="J447">
        <v>-5.0987908973404682E-3</v>
      </c>
      <c r="K447" s="93">
        <f t="shared" si="19"/>
        <v>0</v>
      </c>
      <c r="L447" s="93">
        <f t="shared" si="20"/>
        <v>1</v>
      </c>
      <c r="M447" s="93">
        <f t="shared" si="21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22.961119279202251</v>
      </c>
      <c r="H448">
        <v>4.5815976562499985E-3</v>
      </c>
      <c r="I448">
        <v>-0.46516149033652132</v>
      </c>
      <c r="J448">
        <v>-2.1311827939035624E-3</v>
      </c>
      <c r="K448" s="93">
        <f t="shared" si="19"/>
        <v>0</v>
      </c>
      <c r="L448" s="93">
        <f t="shared" si="20"/>
        <v>1</v>
      </c>
      <c r="M448" s="93">
        <f t="shared" si="21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-14.5</v>
      </c>
      <c r="H449">
        <v>2.1702304687499997E-3</v>
      </c>
      <c r="I449">
        <v>-1.6214703050420796</v>
      </c>
      <c r="J449">
        <v>-3.5189642601756773E-3</v>
      </c>
      <c r="K449" s="93">
        <f t="shared" si="19"/>
        <v>0</v>
      </c>
      <c r="L449" s="93">
        <f t="shared" si="20"/>
        <v>1</v>
      </c>
      <c r="M449" s="93">
        <f t="shared" si="21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6.3718429117564508</v>
      </c>
      <c r="H450">
        <v>4.5815976562499994E-3</v>
      </c>
      <c r="I450">
        <v>-0.8086454106745089</v>
      </c>
      <c r="J450">
        <v>-3.7048879182836484E-3</v>
      </c>
      <c r="K450" s="93">
        <f t="shared" si="19"/>
        <v>0</v>
      </c>
      <c r="L450" s="93">
        <f t="shared" si="20"/>
        <v>1</v>
      </c>
      <c r="M450" s="93">
        <f t="shared" si="21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18.865151005358459</v>
      </c>
      <c r="H451">
        <v>2.8936406249999995E-3</v>
      </c>
      <c r="I451">
        <v>-0.53321083677750525</v>
      </c>
      <c r="J451">
        <v>-1.542920538989633E-3</v>
      </c>
      <c r="K451" s="93">
        <f t="shared" ref="K451:K514" si="22">IF(A451=3,1,0)</f>
        <v>0</v>
      </c>
      <c r="L451" s="93">
        <f t="shared" ref="L451:L514" si="23">IF(A451=2,1,0)</f>
        <v>1</v>
      </c>
      <c r="M451" s="93">
        <f t="shared" ref="M451:M514" si="24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-4.3446050569387475</v>
      </c>
      <c r="H452">
        <v>1.0280039062499999E-3</v>
      </c>
      <c r="I452">
        <v>-1.1558316967044109</v>
      </c>
      <c r="J452">
        <v>-1.1881994991796996E-3</v>
      </c>
      <c r="K452" s="93">
        <f t="shared" si="22"/>
        <v>0</v>
      </c>
      <c r="L452" s="93">
        <f t="shared" si="23"/>
        <v>1</v>
      </c>
      <c r="M452" s="93">
        <f t="shared" si="24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12.977700868993718</v>
      </c>
      <c r="H453">
        <v>2.1702304687499997E-3</v>
      </c>
      <c r="I453">
        <v>-0.64882643733137257</v>
      </c>
      <c r="J453">
        <v>-1.408102903227057E-3</v>
      </c>
      <c r="K453" s="93">
        <f t="shared" si="22"/>
        <v>0</v>
      </c>
      <c r="L453" s="93">
        <f t="shared" si="23"/>
        <v>1</v>
      </c>
      <c r="M453" s="93">
        <f t="shared" si="24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25.367738955906368</v>
      </c>
      <c r="H454">
        <v>1.3706718749999999E-3</v>
      </c>
      <c r="I454">
        <v>-0.42930343665530679</v>
      </c>
      <c r="J454">
        <v>-5.8843414646427309E-4</v>
      </c>
      <c r="K454" s="93">
        <f t="shared" si="22"/>
        <v>0</v>
      </c>
      <c r="L454" s="93">
        <f t="shared" si="23"/>
        <v>1</v>
      </c>
      <c r="M454" s="93">
        <f t="shared" si="24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-10.483047935047331</v>
      </c>
      <c r="H455">
        <v>2.1702304687499997E-3</v>
      </c>
      <c r="I455">
        <v>-1.418265904264834</v>
      </c>
      <c r="J455">
        <v>-3.0779638782248132E-3</v>
      </c>
      <c r="K455" s="93">
        <f t="shared" si="22"/>
        <v>0</v>
      </c>
      <c r="L455" s="93">
        <f t="shared" si="23"/>
        <v>1</v>
      </c>
      <c r="M455" s="93">
        <f t="shared" si="24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8.7755783776250844</v>
      </c>
      <c r="H456">
        <v>4.5815976562499994E-3</v>
      </c>
      <c r="I456">
        <v>-0.74638085523095454</v>
      </c>
      <c r="J456">
        <v>-3.4196167769960113E-3</v>
      </c>
      <c r="K456" s="93">
        <f t="shared" si="22"/>
        <v>0</v>
      </c>
      <c r="L456" s="93">
        <f t="shared" si="23"/>
        <v>1</v>
      </c>
      <c r="M456" s="93">
        <f t="shared" si="24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21.260882399661533</v>
      </c>
      <c r="H457">
        <v>2.8936406249999995E-3</v>
      </c>
      <c r="I457">
        <v>-0.49228568029873199</v>
      </c>
      <c r="J457">
        <v>-1.4244978436181728E-3</v>
      </c>
      <c r="K457" s="93">
        <f t="shared" si="22"/>
        <v>0</v>
      </c>
      <c r="L457" s="93">
        <f t="shared" si="23"/>
        <v>1</v>
      </c>
      <c r="M457" s="93">
        <f t="shared" si="24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-17</v>
      </c>
      <c r="H458">
        <v>1.3706718749999999E-3</v>
      </c>
      <c r="I458">
        <v>-1.7623826407286585</v>
      </c>
      <c r="J458">
        <v>-2.4156483186350015E-3</v>
      </c>
      <c r="K458" s="93">
        <f t="shared" si="22"/>
        <v>0</v>
      </c>
      <c r="L458" s="93">
        <f t="shared" si="23"/>
        <v>1</v>
      </c>
      <c r="M458" s="93">
        <f t="shared" si="24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4.5279509801869846</v>
      </c>
      <c r="H459">
        <v>2.8936406249999995E-3</v>
      </c>
      <c r="I459">
        <v>-0.85990642883052837</v>
      </c>
      <c r="J459">
        <v>-2.4882601761626877E-3</v>
      </c>
      <c r="K459" s="93">
        <f t="shared" si="22"/>
        <v>0</v>
      </c>
      <c r="L459" s="93">
        <f t="shared" si="23"/>
        <v>1</v>
      </c>
      <c r="M459" s="93">
        <f t="shared" si="24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17.11929163432762</v>
      </c>
      <c r="H460">
        <v>1.8275624999999998E-3</v>
      </c>
      <c r="I460">
        <v>-0.56516189193670641</v>
      </c>
      <c r="J460">
        <v>-1.0328686801325769E-3</v>
      </c>
      <c r="K460" s="93">
        <f t="shared" si="22"/>
        <v>0</v>
      </c>
      <c r="L460" s="93">
        <f t="shared" si="23"/>
        <v>1</v>
      </c>
      <c r="M460" s="93">
        <f t="shared" si="24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-1.1677106800845551</v>
      </c>
      <c r="H461">
        <v>4.8694921874999997E-4</v>
      </c>
      <c r="I461">
        <v>-1.0396911411016805</v>
      </c>
      <c r="J461">
        <v>-5.0627678890075934E-4</v>
      </c>
      <c r="K461" s="93">
        <f t="shared" si="22"/>
        <v>0</v>
      </c>
      <c r="L461" s="93">
        <f t="shared" si="23"/>
        <v>1</v>
      </c>
      <c r="M461" s="93">
        <f t="shared" si="24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15.771075862643059</v>
      </c>
      <c r="H462">
        <v>1.0280039062499999E-3</v>
      </c>
      <c r="I462">
        <v>-0.59113992565921525</v>
      </c>
      <c r="J462">
        <v>-6.0769415271800782E-4</v>
      </c>
      <c r="K462" s="93">
        <f t="shared" si="22"/>
        <v>0</v>
      </c>
      <c r="L462" s="93">
        <f t="shared" si="23"/>
        <v>1</v>
      </c>
      <c r="M462" s="93">
        <f t="shared" si="24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28.064583949047659</v>
      </c>
      <c r="H463">
        <v>6.4926562499999999E-4</v>
      </c>
      <c r="I463">
        <v>-0.39239506350406861</v>
      </c>
      <c r="J463">
        <v>-2.5476862615288377E-4</v>
      </c>
      <c r="K463" s="93">
        <f t="shared" si="22"/>
        <v>0</v>
      </c>
      <c r="L463" s="93">
        <f t="shared" si="23"/>
        <v>1</v>
      </c>
      <c r="M463" s="93">
        <f t="shared" si="24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-6.4830479350473311</v>
      </c>
      <c r="H464">
        <v>1.0280039062499999E-3</v>
      </c>
      <c r="I464">
        <v>-1.241228478720902</v>
      </c>
      <c r="J464">
        <v>-1.2759877246738321E-3</v>
      </c>
      <c r="K464" s="93">
        <f t="shared" si="22"/>
        <v>0</v>
      </c>
      <c r="L464" s="93">
        <f t="shared" si="23"/>
        <v>1</v>
      </c>
      <c r="M464" s="93">
        <f t="shared" si="24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11.629485097309161</v>
      </c>
      <c r="H465">
        <v>2.1702304687499993E-3</v>
      </c>
      <c r="I465">
        <v>-0.6786501662655543</v>
      </c>
      <c r="J465">
        <v>-1.4728272684517588E-3</v>
      </c>
      <c r="K465" s="93">
        <f t="shared" si="22"/>
        <v>0</v>
      </c>
      <c r="L465" s="93">
        <f t="shared" si="23"/>
        <v>1</v>
      </c>
      <c r="M465" s="93">
        <f t="shared" si="24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23.972436151630234</v>
      </c>
      <c r="H466">
        <v>1.3706718749999997E-3</v>
      </c>
      <c r="I466">
        <v>-0.44974199501468498</v>
      </c>
      <c r="J466">
        <v>-6.1644870357301877E-4</v>
      </c>
      <c r="K466" s="93">
        <f t="shared" si="22"/>
        <v>0</v>
      </c>
      <c r="L466" s="93">
        <f t="shared" si="23"/>
        <v>1</v>
      </c>
      <c r="M466" s="93">
        <f t="shared" si="24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-13</v>
      </c>
      <c r="H467">
        <v>6.4926562499999999E-4</v>
      </c>
      <c r="I467">
        <v>-1.5423902651101746</v>
      </c>
      <c r="J467">
        <v>-1.0014209794706732E-3</v>
      </c>
      <c r="K467" s="93">
        <f t="shared" si="22"/>
        <v>0</v>
      </c>
      <c r="L467" s="93">
        <f t="shared" si="23"/>
        <v>1</v>
      </c>
      <c r="M467" s="93">
        <f t="shared" si="24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7.4528758956624728</v>
      </c>
      <c r="H468">
        <v>1.3706718749999997E-3</v>
      </c>
      <c r="I468">
        <v>-0.78002508736904297</v>
      </c>
      <c r="J468">
        <v>-1.0691584490511647E-3</v>
      </c>
      <c r="K468" s="93">
        <f t="shared" si="22"/>
        <v>0</v>
      </c>
      <c r="L468" s="93">
        <f t="shared" si="23"/>
        <v>1</v>
      </c>
      <c r="M468" s="93">
        <f t="shared" si="24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19.880288354212805</v>
      </c>
      <c r="H469">
        <v>8.6568749999999992E-4</v>
      </c>
      <c r="I469">
        <v>-0.51546994570611271</v>
      </c>
      <c r="J469">
        <v>-4.4623588862346042E-4</v>
      </c>
      <c r="K469" s="93">
        <f t="shared" si="22"/>
        <v>0</v>
      </c>
      <c r="L469" s="93">
        <f t="shared" si="23"/>
        <v>1</v>
      </c>
      <c r="M469" s="93">
        <f t="shared" si="24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-2.3468547121122407</v>
      </c>
      <c r="H470">
        <v>1.0280039062499999E-3</v>
      </c>
      <c r="I470">
        <v>-1.0813697130465589</v>
      </c>
      <c r="J470">
        <v>-1.1116522891123041E-3</v>
      </c>
      <c r="K470" s="93">
        <f t="shared" si="22"/>
        <v>0</v>
      </c>
      <c r="L470" s="93">
        <f t="shared" si="23"/>
        <v>1</v>
      </c>
      <c r="M470" s="93">
        <f t="shared" si="24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14.723560240024558</v>
      </c>
      <c r="H471">
        <v>2.1702304687499997E-3</v>
      </c>
      <c r="I471">
        <v>-0.61214546222726141</v>
      </c>
      <c r="J471">
        <v>-1.3284967334326549E-3</v>
      </c>
      <c r="K471" s="93">
        <f t="shared" si="22"/>
        <v>0</v>
      </c>
      <c r="L471" s="93">
        <f t="shared" si="23"/>
        <v>1</v>
      </c>
      <c r="M471" s="93">
        <f t="shared" si="24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27.053267076619676</v>
      </c>
      <c r="H472">
        <v>1.3706718749999999E-3</v>
      </c>
      <c r="I472">
        <v>-0.40584840767268493</v>
      </c>
      <c r="J472">
        <v>-5.562849979104834E-4</v>
      </c>
      <c r="K472" s="93">
        <f t="shared" si="22"/>
        <v>0</v>
      </c>
      <c r="L472" s="93">
        <f t="shared" si="23"/>
        <v>1</v>
      </c>
      <c r="M472" s="93">
        <f t="shared" si="24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-7.9830479350473311</v>
      </c>
      <c r="H473">
        <v>2.1702304687499997E-3</v>
      </c>
      <c r="I473">
        <v>-1.304867623678067</v>
      </c>
      <c r="J473">
        <v>-2.8318634745915497E-3</v>
      </c>
      <c r="K473" s="93">
        <f t="shared" si="22"/>
        <v>0</v>
      </c>
      <c r="L473" s="93">
        <f t="shared" si="23"/>
        <v>1</v>
      </c>
      <c r="M473" s="93">
        <f t="shared" si="24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10.577300017468453</v>
      </c>
      <c r="H474">
        <v>4.5815976562499994E-3</v>
      </c>
      <c r="I474">
        <v>-0.70287468027687106</v>
      </c>
      <c r="J474">
        <v>-3.2202889877939803E-3</v>
      </c>
      <c r="K474" s="93">
        <f t="shared" si="22"/>
        <v>0</v>
      </c>
      <c r="L474" s="93">
        <f t="shared" si="23"/>
        <v>1</v>
      </c>
      <c r="M474" s="93">
        <f t="shared" si="24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22.961119279202251</v>
      </c>
      <c r="H475">
        <v>2.8936406249999995E-3</v>
      </c>
      <c r="I475">
        <v>-0.46516149033652132</v>
      </c>
      <c r="J475">
        <v>-1.3460101856233029E-3</v>
      </c>
      <c r="K475" s="93">
        <f t="shared" si="22"/>
        <v>0</v>
      </c>
      <c r="L475" s="93">
        <f t="shared" si="23"/>
        <v>1</v>
      </c>
      <c r="M475" s="93">
        <f t="shared" si="24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-14.5</v>
      </c>
      <c r="H476">
        <v>1.3706718749999999E-3</v>
      </c>
      <c r="I476">
        <v>-1.6214703050420796</v>
      </c>
      <c r="J476">
        <v>-2.2225037432688491E-3</v>
      </c>
      <c r="K476" s="93">
        <f t="shared" si="22"/>
        <v>0</v>
      </c>
      <c r="L476" s="93">
        <f t="shared" si="23"/>
        <v>1</v>
      </c>
      <c r="M476" s="93">
        <f t="shared" si="24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6.3718429117564508</v>
      </c>
      <c r="H477">
        <v>2.8936406249999995E-3</v>
      </c>
      <c r="I477">
        <v>-0.8086454106745089</v>
      </c>
      <c r="J477">
        <v>-2.3399292115475674E-3</v>
      </c>
      <c r="K477" s="93">
        <f t="shared" si="22"/>
        <v>0</v>
      </c>
      <c r="L477" s="93">
        <f t="shared" si="23"/>
        <v>1</v>
      </c>
      <c r="M477" s="93">
        <f t="shared" si="24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18.865151005358459</v>
      </c>
      <c r="H478">
        <v>1.8275624999999998E-3</v>
      </c>
      <c r="I478">
        <v>-0.53321083677750525</v>
      </c>
      <c r="J478">
        <v>-9.7447612988818934E-4</v>
      </c>
      <c r="K478" s="93">
        <f t="shared" si="22"/>
        <v>0</v>
      </c>
      <c r="L478" s="93">
        <f t="shared" si="23"/>
        <v>1</v>
      </c>
      <c r="M478" s="93">
        <f t="shared" si="24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-4.3446050569387475</v>
      </c>
      <c r="H479">
        <v>6.4926562499999999E-4</v>
      </c>
      <c r="I479">
        <v>-1.1558316967044109</v>
      </c>
      <c r="J479">
        <v>-7.5044178895559976E-4</v>
      </c>
      <c r="K479" s="93">
        <f t="shared" si="22"/>
        <v>0</v>
      </c>
      <c r="L479" s="93">
        <f t="shared" si="23"/>
        <v>1</v>
      </c>
      <c r="M479" s="93">
        <f t="shared" si="24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12.977700868993718</v>
      </c>
      <c r="H480">
        <v>1.3706718749999997E-3</v>
      </c>
      <c r="I480">
        <v>-0.64882643733137257</v>
      </c>
      <c r="J480">
        <v>-8.893281494065622E-4</v>
      </c>
      <c r="K480" s="93">
        <f t="shared" si="22"/>
        <v>0</v>
      </c>
      <c r="L480" s="93">
        <f t="shared" si="23"/>
        <v>1</v>
      </c>
      <c r="M480" s="93">
        <f t="shared" si="24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25.367738955906368</v>
      </c>
      <c r="H481">
        <v>8.6568749999999992E-4</v>
      </c>
      <c r="I481">
        <v>-0.42930343665530679</v>
      </c>
      <c r="J481">
        <v>-3.7164261881954085E-4</v>
      </c>
      <c r="K481" s="93">
        <f t="shared" si="22"/>
        <v>0</v>
      </c>
      <c r="L481" s="93">
        <f t="shared" si="23"/>
        <v>1</v>
      </c>
      <c r="M481" s="93">
        <f t="shared" si="24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-10.483047935047331</v>
      </c>
      <c r="H482">
        <v>1.3706718749999997E-3</v>
      </c>
      <c r="I482">
        <v>-1.418265904264834</v>
      </c>
      <c r="J482">
        <v>-1.9439771862472502E-3</v>
      </c>
      <c r="K482" s="93">
        <f t="shared" si="22"/>
        <v>0</v>
      </c>
      <c r="L482" s="93">
        <f t="shared" si="23"/>
        <v>1</v>
      </c>
      <c r="M482" s="93">
        <f t="shared" si="24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8.7755783776250844</v>
      </c>
      <c r="H483">
        <v>2.8936406249999991E-3</v>
      </c>
      <c r="I483">
        <v>-0.74638085523095454</v>
      </c>
      <c r="J483">
        <v>-2.1597579644185333E-3</v>
      </c>
      <c r="K483" s="93">
        <f t="shared" si="22"/>
        <v>0</v>
      </c>
      <c r="L483" s="93">
        <f t="shared" si="23"/>
        <v>1</v>
      </c>
      <c r="M483" s="93">
        <f t="shared" si="24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21.260882399661533</v>
      </c>
      <c r="H484">
        <v>1.8275624999999993E-3</v>
      </c>
      <c r="I484">
        <v>-0.49228568029873199</v>
      </c>
      <c r="J484">
        <v>-8.9968284860095107E-4</v>
      </c>
      <c r="K484" s="93">
        <f t="shared" si="22"/>
        <v>0</v>
      </c>
      <c r="L484" s="93">
        <f t="shared" si="23"/>
        <v>1</v>
      </c>
      <c r="M484" s="93">
        <f t="shared" si="24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-17</v>
      </c>
      <c r="H485">
        <v>8.6568749999999992E-4</v>
      </c>
      <c r="I485">
        <v>-1.7623826407286585</v>
      </c>
      <c r="J485">
        <v>-1.5256726222957905E-3</v>
      </c>
      <c r="K485" s="93">
        <f t="shared" si="22"/>
        <v>0</v>
      </c>
      <c r="L485" s="93">
        <f t="shared" si="23"/>
        <v>1</v>
      </c>
      <c r="M485" s="93">
        <f t="shared" si="24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4.5279509801869846</v>
      </c>
      <c r="H486">
        <v>1.8275624999999995E-3</v>
      </c>
      <c r="I486">
        <v>-0.85990642883052837</v>
      </c>
      <c r="J486">
        <v>-1.5715327428395922E-3</v>
      </c>
      <c r="K486" s="93">
        <f t="shared" si="22"/>
        <v>0</v>
      </c>
      <c r="L486" s="93">
        <f t="shared" si="23"/>
        <v>1</v>
      </c>
      <c r="M486" s="93">
        <f t="shared" si="24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17.11929163432762</v>
      </c>
      <c r="H487">
        <v>1.1542499999999997E-3</v>
      </c>
      <c r="I487">
        <v>-0.56516189193670641</v>
      </c>
      <c r="J487">
        <v>-6.5233811376794323E-4</v>
      </c>
      <c r="K487" s="93">
        <f t="shared" si="22"/>
        <v>0</v>
      </c>
      <c r="L487" s="93">
        <f t="shared" si="23"/>
        <v>1</v>
      </c>
      <c r="M487" s="93">
        <f t="shared" si="24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1.4902727149252621</v>
      </c>
      <c r="H488">
        <v>1.7299511718750003E-4</v>
      </c>
      <c r="I488">
        <v>-0.9515379038352384</v>
      </c>
      <c r="J488">
        <v>-1.6461141118232519E-4</v>
      </c>
      <c r="K488" s="93">
        <f t="shared" si="22"/>
        <v>1</v>
      </c>
      <c r="L488" s="93">
        <f t="shared" si="23"/>
        <v>0</v>
      </c>
      <c r="M488" s="93">
        <f t="shared" si="24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22.51527942119969</v>
      </c>
      <c r="H489">
        <v>3.6521191406250006E-4</v>
      </c>
      <c r="I489">
        <v>-0.47212603107941109</v>
      </c>
      <c r="J489">
        <v>-1.7242605148924312E-4</v>
      </c>
      <c r="K489" s="93">
        <f t="shared" si="22"/>
        <v>1</v>
      </c>
      <c r="L489" s="93">
        <f t="shared" si="23"/>
        <v>0</v>
      </c>
      <c r="M489" s="93">
        <f t="shared" si="24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37.985882094762495</v>
      </c>
      <c r="H490">
        <v>2.3066015625000002E-4</v>
      </c>
      <c r="I490">
        <v>-0.28190192003777143</v>
      </c>
      <c r="J490">
        <v>-6.5023540923087373E-5</v>
      </c>
      <c r="K490" s="93">
        <f t="shared" si="22"/>
        <v>1</v>
      </c>
      <c r="L490" s="93">
        <f t="shared" si="23"/>
        <v>0</v>
      </c>
      <c r="M490" s="93">
        <f t="shared" si="24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-4.7448970094345793</v>
      </c>
      <c r="H491">
        <v>3.6521191406250006E-4</v>
      </c>
      <c r="I491">
        <v>-1.171357384041676</v>
      </c>
      <c r="J491">
        <v>-4.2779367227710344E-4</v>
      </c>
      <c r="K491" s="93">
        <f t="shared" si="22"/>
        <v>1</v>
      </c>
      <c r="L491" s="93">
        <f t="shared" si="23"/>
        <v>0</v>
      </c>
      <c r="M491" s="93">
        <f t="shared" si="24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17.358411863345417</v>
      </c>
      <c r="H492">
        <v>7.7100292968750007E-4</v>
      </c>
      <c r="I492">
        <v>-0.56067507579855758</v>
      </c>
      <c r="J492">
        <v>-4.3228212604344904E-4</v>
      </c>
      <c r="K492" s="93">
        <f t="shared" si="22"/>
        <v>1</v>
      </c>
      <c r="L492" s="93">
        <f t="shared" si="23"/>
        <v>0</v>
      </c>
      <c r="M492" s="93">
        <f t="shared" si="24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32.829014536908225</v>
      </c>
      <c r="H493">
        <v>4.8694921875000008E-4</v>
      </c>
      <c r="I493">
        <v>-0.33477370443561</v>
      </c>
      <c r="J493">
        <v>-1.6301779383296372E-4</v>
      </c>
      <c r="K493" s="93">
        <f t="shared" si="22"/>
        <v>1</v>
      </c>
      <c r="L493" s="93">
        <f t="shared" si="23"/>
        <v>0</v>
      </c>
      <c r="M493" s="93">
        <f t="shared" si="24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-13</v>
      </c>
      <c r="H494">
        <v>2.3066015625000002E-4</v>
      </c>
      <c r="I494">
        <v>-1.5423902651101746</v>
      </c>
      <c r="J494">
        <v>-3.5576797954879185E-4</v>
      </c>
      <c r="K494" s="93">
        <f t="shared" si="22"/>
        <v>1</v>
      </c>
      <c r="L494" s="93">
        <f t="shared" si="23"/>
        <v>0</v>
      </c>
      <c r="M494" s="93">
        <f t="shared" si="24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12.142250752679082</v>
      </c>
      <c r="H495">
        <v>4.8694921874999997E-4</v>
      </c>
      <c r="I495">
        <v>-0.667149118720609</v>
      </c>
      <c r="J495">
        <v>-3.2486774215075156E-4</v>
      </c>
      <c r="K495" s="93">
        <f t="shared" si="22"/>
        <v>1</v>
      </c>
      <c r="L495" s="93">
        <f t="shared" si="23"/>
        <v>0</v>
      </c>
      <c r="M495" s="93">
        <f t="shared" si="24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27.672146979053963</v>
      </c>
      <c r="H496">
        <v>3.0754687499999999E-4</v>
      </c>
      <c r="I496">
        <v>-0.3975617944231265</v>
      </c>
      <c r="J496">
        <v>-1.2226888749422498E-4</v>
      </c>
      <c r="K496" s="93">
        <f t="shared" si="22"/>
        <v>1</v>
      </c>
      <c r="L496" s="93">
        <f t="shared" si="23"/>
        <v>0</v>
      </c>
      <c r="M496" s="93">
        <f t="shared" si="24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0.37820513723450122</v>
      </c>
      <c r="H497">
        <v>3.652119140625E-4</v>
      </c>
      <c r="I497">
        <v>-0.98747229538394343</v>
      </c>
      <c r="J497">
        <v>-3.6063664708086036E-4</v>
      </c>
      <c r="K497" s="93">
        <f t="shared" si="22"/>
        <v>1</v>
      </c>
      <c r="L497" s="93">
        <f t="shared" si="23"/>
        <v>0</v>
      </c>
      <c r="M497" s="93">
        <f t="shared" si="24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21.543057198977468</v>
      </c>
      <c r="H498">
        <v>7.7100292968749996E-4</v>
      </c>
      <c r="I498">
        <v>-0.48767703456901079</v>
      </c>
      <c r="J498">
        <v>-3.7600042239401953E-4</v>
      </c>
      <c r="K498" s="93">
        <f t="shared" si="22"/>
        <v>1</v>
      </c>
      <c r="L498" s="93">
        <f t="shared" si="23"/>
        <v>0</v>
      </c>
      <c r="M498" s="93">
        <f t="shared" si="24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37.013659872540273</v>
      </c>
      <c r="H499">
        <v>4.8694921874999997E-4</v>
      </c>
      <c r="I499">
        <v>-0.29118727490839674</v>
      </c>
      <c r="J499">
        <v>-1.4179341602658525E-4</v>
      </c>
      <c r="K499" s="93">
        <f t="shared" si="22"/>
        <v>1</v>
      </c>
      <c r="L499" s="93">
        <f t="shared" si="23"/>
        <v>0</v>
      </c>
      <c r="M499" s="93">
        <f t="shared" si="24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-6.2448970094345793</v>
      </c>
      <c r="H500">
        <v>7.7100292968749996E-4</v>
      </c>
      <c r="I500">
        <v>-1.2314141613696441</v>
      </c>
      <c r="J500">
        <v>-9.494239260746714E-4</v>
      </c>
      <c r="K500" s="93">
        <f t="shared" si="22"/>
        <v>1</v>
      </c>
      <c r="L500" s="93">
        <f t="shared" si="23"/>
        <v>0</v>
      </c>
      <c r="M500" s="93">
        <f t="shared" si="24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16.357683125348164</v>
      </c>
      <c r="H501">
        <v>1.6276728515624999E-3</v>
      </c>
      <c r="I501">
        <v>-0.579693302450496</v>
      </c>
      <c r="J501">
        <v>-9.4355105063128155E-4</v>
      </c>
      <c r="K501" s="93">
        <f t="shared" si="22"/>
        <v>1</v>
      </c>
      <c r="L501" s="93">
        <f t="shared" si="23"/>
        <v>0</v>
      </c>
      <c r="M501" s="93">
        <f t="shared" si="24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31.856792314686004</v>
      </c>
      <c r="H502">
        <v>1.0280039062499999E-3</v>
      </c>
      <c r="I502">
        <v>-0.34580056316229763</v>
      </c>
      <c r="J502">
        <v>-3.5548432971429177E-4</v>
      </c>
      <c r="K502" s="93">
        <f t="shared" si="22"/>
        <v>1</v>
      </c>
      <c r="L502" s="93">
        <f t="shared" si="23"/>
        <v>0</v>
      </c>
      <c r="M502" s="93">
        <f t="shared" si="24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-14.5</v>
      </c>
      <c r="H503">
        <v>4.8694921874999997E-4</v>
      </c>
      <c r="I503">
        <v>-1.6214703050420796</v>
      </c>
      <c r="J503">
        <v>-7.8957369826656481E-4</v>
      </c>
      <c r="K503" s="93">
        <f t="shared" si="22"/>
        <v>1</v>
      </c>
      <c r="L503" s="93">
        <f t="shared" si="23"/>
        <v>0</v>
      </c>
      <c r="M503" s="93">
        <f t="shared" si="24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11.130933880251099</v>
      </c>
      <c r="H504">
        <v>1.0280039062499999E-3</v>
      </c>
      <c r="I504">
        <v>-0.6900224612794772</v>
      </c>
      <c r="J504">
        <v>-7.0934578559554186E-4</v>
      </c>
      <c r="K504" s="93">
        <f t="shared" si="22"/>
        <v>1</v>
      </c>
      <c r="L504" s="93">
        <f t="shared" si="23"/>
        <v>0</v>
      </c>
      <c r="M504" s="93">
        <f t="shared" si="24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26.699924756831738</v>
      </c>
      <c r="H505">
        <v>6.4926562499999999E-4</v>
      </c>
      <c r="I505">
        <v>-0.41065678272163386</v>
      </c>
      <c r="J505">
        <v>-2.6662533269425083E-4</v>
      </c>
      <c r="K505" s="93">
        <f t="shared" si="22"/>
        <v>1</v>
      </c>
      <c r="L505" s="93">
        <f t="shared" si="23"/>
        <v>0</v>
      </c>
      <c r="M505" s="93">
        <f t="shared" si="24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-1.5290406772738361</v>
      </c>
      <c r="H506">
        <v>2.3066015625000002E-4</v>
      </c>
      <c r="I506">
        <v>-1.0522892432456679</v>
      </c>
      <c r="J506">
        <v>-2.4272120126724001E-4</v>
      </c>
      <c r="K506" s="93">
        <f t="shared" si="22"/>
        <v>1</v>
      </c>
      <c r="L506" s="93">
        <f t="shared" si="23"/>
        <v>0</v>
      </c>
      <c r="M506" s="93">
        <f t="shared" si="24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19.898904249731924</v>
      </c>
      <c r="H507">
        <v>4.8694921874999997E-4</v>
      </c>
      <c r="I507">
        <v>-0.51515018043990279</v>
      </c>
      <c r="J507">
        <v>-2.508519779041322E-4</v>
      </c>
      <c r="K507" s="93">
        <f t="shared" si="22"/>
        <v>1</v>
      </c>
      <c r="L507" s="93">
        <f t="shared" si="23"/>
        <v>0</v>
      </c>
      <c r="M507" s="93">
        <f t="shared" si="24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35.3932895021699</v>
      </c>
      <c r="H508">
        <v>3.0754687499999999E-4</v>
      </c>
      <c r="I508">
        <v>-0.30734747939921481</v>
      </c>
      <c r="J508">
        <v>-9.4523756828355387E-5</v>
      </c>
      <c r="K508" s="93">
        <f t="shared" si="22"/>
        <v>1</v>
      </c>
      <c r="L508" s="93">
        <f t="shared" si="23"/>
        <v>0</v>
      </c>
      <c r="M508" s="93">
        <f t="shared" si="24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-8.7448970094345775</v>
      </c>
      <c r="H509">
        <v>4.8694921874999997E-4</v>
      </c>
      <c r="I509">
        <v>-1.338429038630454</v>
      </c>
      <c r="J509">
        <v>-6.5174697471341309E-4</v>
      </c>
      <c r="K509" s="93">
        <f t="shared" si="22"/>
        <v>1</v>
      </c>
      <c r="L509" s="93">
        <f t="shared" si="23"/>
        <v>0</v>
      </c>
      <c r="M509" s="93">
        <f t="shared" si="24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14.672155004634858</v>
      </c>
      <c r="H510">
        <v>1.0280039062499999E-3</v>
      </c>
      <c r="I510">
        <v>-0.61319527745633073</v>
      </c>
      <c r="J510">
        <v>-6.3036714051916049E-4</v>
      </c>
      <c r="K510" s="93">
        <f t="shared" si="22"/>
        <v>1</v>
      </c>
      <c r="L510" s="93">
        <f t="shared" si="23"/>
        <v>0</v>
      </c>
      <c r="M510" s="93">
        <f t="shared" si="24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30.23642194431563</v>
      </c>
      <c r="H511">
        <v>6.4926562499999999E-4</v>
      </c>
      <c r="I511">
        <v>-0.36499167587661779</v>
      </c>
      <c r="J511">
        <v>-2.3697654855782968E-4</v>
      </c>
      <c r="K511" s="93">
        <f t="shared" si="22"/>
        <v>1</v>
      </c>
      <c r="L511" s="93">
        <f t="shared" si="23"/>
        <v>0</v>
      </c>
      <c r="M511" s="93">
        <f t="shared" si="24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-17</v>
      </c>
      <c r="H512">
        <v>3.0754687500000004E-4</v>
      </c>
      <c r="I512">
        <v>-1.7623826407286585</v>
      </c>
      <c r="J512">
        <v>-5.4201527371034667E-4</v>
      </c>
      <c r="K512" s="93">
        <f t="shared" si="22"/>
        <v>1</v>
      </c>
      <c r="L512" s="93">
        <f t="shared" si="23"/>
        <v>0</v>
      </c>
      <c r="M512" s="93">
        <f t="shared" si="24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9.4137620187462474</v>
      </c>
      <c r="H513">
        <v>6.4926562499999999E-4</v>
      </c>
      <c r="I513">
        <v>-0.73067094275298961</v>
      </c>
      <c r="J513">
        <v>-4.7439952631585903E-4</v>
      </c>
      <c r="K513" s="93">
        <f t="shared" si="22"/>
        <v>1</v>
      </c>
      <c r="L513" s="93">
        <f t="shared" si="23"/>
        <v>0</v>
      </c>
      <c r="M513" s="93">
        <f t="shared" si="24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25.079554386461371</v>
      </c>
      <c r="H514">
        <v>4.100625E-4</v>
      </c>
      <c r="I514">
        <v>-0.43344726210096352</v>
      </c>
      <c r="J514">
        <v>-1.7774046791527634E-4</v>
      </c>
      <c r="K514" s="93">
        <f t="shared" si="22"/>
        <v>1</v>
      </c>
      <c r="L514" s="93">
        <f t="shared" si="23"/>
        <v>0</v>
      </c>
      <c r="M514" s="93">
        <f t="shared" si="24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1.4902727149252621</v>
      </c>
      <c r="H515">
        <v>3.652119140625E-4</v>
      </c>
      <c r="I515">
        <v>-0.9515379038352384</v>
      </c>
      <c r="J515">
        <v>-3.4751297916268649E-4</v>
      </c>
      <c r="K515" s="93">
        <f t="shared" ref="K515:K578" si="25">IF(A515=3,1,0)</f>
        <v>1</v>
      </c>
      <c r="L515" s="93">
        <f t="shared" ref="L515:L578" si="26">IF(A515=2,1,0)</f>
        <v>0</v>
      </c>
      <c r="M515" s="93">
        <f t="shared" ref="M515:M578" si="27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22.51527942119969</v>
      </c>
      <c r="H516">
        <v>7.7100292968749996E-4</v>
      </c>
      <c r="I516">
        <v>-0.47212603107941109</v>
      </c>
      <c r="J516">
        <v>-3.6401055314395762E-4</v>
      </c>
      <c r="K516" s="93">
        <f t="shared" si="25"/>
        <v>1</v>
      </c>
      <c r="L516" s="93">
        <f t="shared" si="26"/>
        <v>0</v>
      </c>
      <c r="M516" s="93">
        <f t="shared" si="27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37.985882094762495</v>
      </c>
      <c r="H517">
        <v>4.8694921874999997E-4</v>
      </c>
      <c r="I517">
        <v>-0.28190192003777143</v>
      </c>
      <c r="J517">
        <v>-1.3727191972651774E-4</v>
      </c>
      <c r="K517" s="93">
        <f t="shared" si="25"/>
        <v>1</v>
      </c>
      <c r="L517" s="93">
        <f t="shared" si="26"/>
        <v>0</v>
      </c>
      <c r="M517" s="93">
        <f t="shared" si="27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-4.7448970094345793</v>
      </c>
      <c r="H518">
        <v>7.7100292968749996E-4</v>
      </c>
      <c r="I518">
        <v>-1.171357384041676</v>
      </c>
      <c r="J518">
        <v>-9.0311997480721821E-4</v>
      </c>
      <c r="K518" s="93">
        <f t="shared" si="25"/>
        <v>1</v>
      </c>
      <c r="L518" s="93">
        <f t="shared" si="26"/>
        <v>0</v>
      </c>
      <c r="M518" s="93">
        <f t="shared" si="27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17.358411863345417</v>
      </c>
      <c r="H519">
        <v>1.6276728515624999E-3</v>
      </c>
      <c r="I519">
        <v>-0.56067507579855758</v>
      </c>
      <c r="J519">
        <v>-9.1259559942505895E-4</v>
      </c>
      <c r="K519" s="93">
        <f t="shared" si="25"/>
        <v>1</v>
      </c>
      <c r="L519" s="93">
        <f t="shared" si="26"/>
        <v>0</v>
      </c>
      <c r="M519" s="93">
        <f t="shared" si="27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32.829014536908225</v>
      </c>
      <c r="H520">
        <v>1.0280039062499999E-3</v>
      </c>
      <c r="I520">
        <v>-0.33477370443561</v>
      </c>
      <c r="J520">
        <v>-3.4414867586959002E-4</v>
      </c>
      <c r="K520" s="93">
        <f t="shared" si="25"/>
        <v>1</v>
      </c>
      <c r="L520" s="93">
        <f t="shared" si="26"/>
        <v>0</v>
      </c>
      <c r="M520" s="93">
        <f t="shared" si="27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-13</v>
      </c>
      <c r="H521">
        <v>4.8694921874999997E-4</v>
      </c>
      <c r="I521">
        <v>-1.5423902651101746</v>
      </c>
      <c r="J521">
        <v>-7.5106573460300492E-4</v>
      </c>
      <c r="K521" s="93">
        <f t="shared" si="25"/>
        <v>1</v>
      </c>
      <c r="L521" s="93">
        <f t="shared" si="26"/>
        <v>0</v>
      </c>
      <c r="M521" s="93">
        <f t="shared" si="27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12.142250752679082</v>
      </c>
      <c r="H522">
        <v>1.0280039062499999E-3</v>
      </c>
      <c r="I522">
        <v>-0.667149118720609</v>
      </c>
      <c r="J522">
        <v>-6.8583190009603105E-4</v>
      </c>
      <c r="K522" s="93">
        <f t="shared" si="25"/>
        <v>1</v>
      </c>
      <c r="L522" s="93">
        <f t="shared" si="26"/>
        <v>0</v>
      </c>
      <c r="M522" s="93">
        <f t="shared" si="27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27.672146979053963</v>
      </c>
      <c r="H523">
        <v>6.4926562499999999E-4</v>
      </c>
      <c r="I523">
        <v>-0.3975617944231265</v>
      </c>
      <c r="J523">
        <v>-2.5812320693225271E-4</v>
      </c>
      <c r="K523" s="93">
        <f t="shared" si="25"/>
        <v>1</v>
      </c>
      <c r="L523" s="93">
        <f t="shared" si="26"/>
        <v>0</v>
      </c>
      <c r="M523" s="93">
        <f t="shared" si="27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0.37820513723450122</v>
      </c>
      <c r="H524">
        <v>7.7100292968750007E-4</v>
      </c>
      <c r="I524">
        <v>-0.98747229538394343</v>
      </c>
      <c r="J524">
        <v>-7.6134403272626089E-4</v>
      </c>
      <c r="K524" s="93">
        <f t="shared" si="25"/>
        <v>1</v>
      </c>
      <c r="L524" s="93">
        <f t="shared" si="26"/>
        <v>0</v>
      </c>
      <c r="M524" s="93">
        <f t="shared" si="27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21.543057198977468</v>
      </c>
      <c r="H525">
        <v>1.6276728515625001E-3</v>
      </c>
      <c r="I525">
        <v>-0.48767703456901079</v>
      </c>
      <c r="J525">
        <v>-7.9377866949848571E-4</v>
      </c>
      <c r="K525" s="93">
        <f t="shared" si="25"/>
        <v>1</v>
      </c>
      <c r="L525" s="93">
        <f t="shared" si="26"/>
        <v>0</v>
      </c>
      <c r="M525" s="93">
        <f t="shared" si="27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37.013659872540273</v>
      </c>
      <c r="H526">
        <v>1.0280039062499999E-3</v>
      </c>
      <c r="I526">
        <v>-0.29118727490839674</v>
      </c>
      <c r="J526">
        <v>-2.9934165605612447E-4</v>
      </c>
      <c r="K526" s="93">
        <f t="shared" si="25"/>
        <v>1</v>
      </c>
      <c r="L526" s="93">
        <f t="shared" si="26"/>
        <v>0</v>
      </c>
      <c r="M526" s="93">
        <f t="shared" si="27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-6.2448970094345793</v>
      </c>
      <c r="H527">
        <v>1.6276728515624999E-3</v>
      </c>
      <c r="I527">
        <v>-1.2314141613696441</v>
      </c>
      <c r="J527">
        <v>-2.0043393994909732E-3</v>
      </c>
      <c r="K527" s="93">
        <f t="shared" si="25"/>
        <v>1</v>
      </c>
      <c r="L527" s="93">
        <f t="shared" si="26"/>
        <v>0</v>
      </c>
      <c r="M527" s="93">
        <f t="shared" si="27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16.357683125348164</v>
      </c>
      <c r="H528">
        <v>3.4361982421874998E-3</v>
      </c>
      <c r="I528">
        <v>-0.579693302450496</v>
      </c>
      <c r="J528">
        <v>-1.9919411068882609E-3</v>
      </c>
      <c r="K528" s="93">
        <f t="shared" si="25"/>
        <v>1</v>
      </c>
      <c r="L528" s="93">
        <f t="shared" si="26"/>
        <v>0</v>
      </c>
      <c r="M528" s="93">
        <f t="shared" si="27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31.856792314686004</v>
      </c>
      <c r="H529">
        <v>2.1702304687499997E-3</v>
      </c>
      <c r="I529">
        <v>-0.34580056316229763</v>
      </c>
      <c r="J529">
        <v>-7.5046691828572706E-4</v>
      </c>
      <c r="K529" s="93">
        <f t="shared" si="25"/>
        <v>1</v>
      </c>
      <c r="L529" s="93">
        <f t="shared" si="26"/>
        <v>0</v>
      </c>
      <c r="M529" s="93">
        <f t="shared" si="27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-14.5</v>
      </c>
      <c r="H530">
        <v>1.0280039062499999E-3</v>
      </c>
      <c r="I530">
        <v>-1.6214703050420796</v>
      </c>
      <c r="J530">
        <v>-1.6668778074516368E-3</v>
      </c>
      <c r="K530" s="93">
        <f t="shared" si="25"/>
        <v>1</v>
      </c>
      <c r="L530" s="93">
        <f t="shared" si="26"/>
        <v>0</v>
      </c>
      <c r="M530" s="93">
        <f t="shared" si="27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11.130933880251099</v>
      </c>
      <c r="H531">
        <v>2.1702304687499997E-3</v>
      </c>
      <c r="I531">
        <v>-0.6900224612794772</v>
      </c>
      <c r="J531">
        <v>-1.4975077695905884E-3</v>
      </c>
      <c r="K531" s="93">
        <f t="shared" si="25"/>
        <v>1</v>
      </c>
      <c r="L531" s="93">
        <f t="shared" si="26"/>
        <v>0</v>
      </c>
      <c r="M531" s="93">
        <f t="shared" si="27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26.699924756831738</v>
      </c>
      <c r="H532">
        <v>1.3706718749999999E-3</v>
      </c>
      <c r="I532">
        <v>-0.41065678272163386</v>
      </c>
      <c r="J532">
        <v>-5.6287570235452947E-4</v>
      </c>
      <c r="K532" s="93">
        <f t="shared" si="25"/>
        <v>1</v>
      </c>
      <c r="L532" s="93">
        <f t="shared" si="26"/>
        <v>0</v>
      </c>
      <c r="M532" s="93">
        <f t="shared" si="27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-1.5290406772738361</v>
      </c>
      <c r="H533">
        <v>4.8694921875000008E-4</v>
      </c>
      <c r="I533">
        <v>-1.0522892432456679</v>
      </c>
      <c r="J533">
        <v>-5.1241142489750677E-4</v>
      </c>
      <c r="K533" s="93">
        <f t="shared" si="25"/>
        <v>1</v>
      </c>
      <c r="L533" s="93">
        <f t="shared" si="26"/>
        <v>0</v>
      </c>
      <c r="M533" s="93">
        <f t="shared" si="27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19.898904249731924</v>
      </c>
      <c r="H534">
        <v>1.0280039062500002E-3</v>
      </c>
      <c r="I534">
        <v>-0.51515018043990279</v>
      </c>
      <c r="J534">
        <v>-5.2957639779761248E-4</v>
      </c>
      <c r="K534" s="93">
        <f t="shared" si="25"/>
        <v>1</v>
      </c>
      <c r="L534" s="93">
        <f t="shared" si="26"/>
        <v>0</v>
      </c>
      <c r="M534" s="93">
        <f t="shared" si="27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35.3932895021699</v>
      </c>
      <c r="H535">
        <v>6.492656250000001E-4</v>
      </c>
      <c r="I535">
        <v>-0.30734747939921481</v>
      </c>
      <c r="J535">
        <v>-1.9955015330430585E-4</v>
      </c>
      <c r="K535" s="93">
        <f t="shared" si="25"/>
        <v>1</v>
      </c>
      <c r="L535" s="93">
        <f t="shared" si="26"/>
        <v>0</v>
      </c>
      <c r="M535" s="93">
        <f t="shared" si="27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-8.7448970094345775</v>
      </c>
      <c r="H536">
        <v>1.0280039062499999E-3</v>
      </c>
      <c r="I536">
        <v>-1.338429038630454</v>
      </c>
      <c r="J536">
        <v>-1.3759102799505388E-3</v>
      </c>
      <c r="K536" s="93">
        <f t="shared" si="25"/>
        <v>1</v>
      </c>
      <c r="L536" s="93">
        <f t="shared" si="26"/>
        <v>0</v>
      </c>
      <c r="M536" s="93">
        <f t="shared" si="27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14.672155004634858</v>
      </c>
      <c r="H537">
        <v>2.1702304687499997E-3</v>
      </c>
      <c r="I537">
        <v>-0.61319527745633073</v>
      </c>
      <c r="J537">
        <v>-1.3307750744293387E-3</v>
      </c>
      <c r="K537" s="93">
        <f t="shared" si="25"/>
        <v>1</v>
      </c>
      <c r="L537" s="93">
        <f t="shared" si="26"/>
        <v>0</v>
      </c>
      <c r="M537" s="93">
        <f t="shared" si="27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30.23642194431563</v>
      </c>
      <c r="H538">
        <v>1.3706718749999999E-3</v>
      </c>
      <c r="I538">
        <v>-0.36499167587661779</v>
      </c>
      <c r="J538">
        <v>-5.0028382473319593E-4</v>
      </c>
      <c r="K538" s="93">
        <f t="shared" si="25"/>
        <v>1</v>
      </c>
      <c r="L538" s="93">
        <f t="shared" si="26"/>
        <v>0</v>
      </c>
      <c r="M538" s="93">
        <f t="shared" si="27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-17</v>
      </c>
      <c r="H539">
        <v>6.492656250000001E-4</v>
      </c>
      <c r="I539">
        <v>-1.7623826407286585</v>
      </c>
      <c r="J539">
        <v>-1.1442544667218432E-3</v>
      </c>
      <c r="K539" s="93">
        <f t="shared" si="25"/>
        <v>1</v>
      </c>
      <c r="L539" s="93">
        <f t="shared" si="26"/>
        <v>0</v>
      </c>
      <c r="M539" s="93">
        <f t="shared" si="27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9.4137620187462474</v>
      </c>
      <c r="H540">
        <v>1.3706718749999999E-3</v>
      </c>
      <c r="I540">
        <v>-0.73067094275298961</v>
      </c>
      <c r="J540">
        <v>-1.0015101111112579E-3</v>
      </c>
      <c r="K540" s="93">
        <f t="shared" si="25"/>
        <v>1</v>
      </c>
      <c r="L540" s="93">
        <f t="shared" si="26"/>
        <v>0</v>
      </c>
      <c r="M540" s="93">
        <f t="shared" si="27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25.079554386461371</v>
      </c>
      <c r="H541">
        <v>8.6568750000000003E-4</v>
      </c>
      <c r="I541">
        <v>-0.43344726210096352</v>
      </c>
      <c r="J541">
        <v>-3.7522987671002785E-4</v>
      </c>
      <c r="K541" s="93">
        <f t="shared" si="25"/>
        <v>1</v>
      </c>
      <c r="L541" s="93">
        <f t="shared" si="26"/>
        <v>0</v>
      </c>
      <c r="M541" s="93">
        <f t="shared" si="27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1.4902727149252621</v>
      </c>
      <c r="H542">
        <v>2.3066015625000002E-4</v>
      </c>
      <c r="I542">
        <v>-0.9515379038352384</v>
      </c>
      <c r="J542">
        <v>-2.1948188157643357E-4</v>
      </c>
      <c r="K542" s="93">
        <f t="shared" si="25"/>
        <v>1</v>
      </c>
      <c r="L542" s="93">
        <f t="shared" si="26"/>
        <v>0</v>
      </c>
      <c r="M542" s="93">
        <f t="shared" si="27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22.51527942119969</v>
      </c>
      <c r="H543">
        <v>4.8694921874999997E-4</v>
      </c>
      <c r="I543">
        <v>-0.47212603107941109</v>
      </c>
      <c r="J543">
        <v>-2.2990140198565743E-4</v>
      </c>
      <c r="K543" s="93">
        <f t="shared" si="25"/>
        <v>1</v>
      </c>
      <c r="L543" s="93">
        <f t="shared" si="26"/>
        <v>0</v>
      </c>
      <c r="M543" s="93">
        <f t="shared" si="27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37.985882094762495</v>
      </c>
      <c r="H544">
        <v>3.0754687499999999E-4</v>
      </c>
      <c r="I544">
        <v>-0.28190192003777143</v>
      </c>
      <c r="J544">
        <v>-8.6698054564116479E-5</v>
      </c>
      <c r="K544" s="93">
        <f t="shared" si="25"/>
        <v>1</v>
      </c>
      <c r="L544" s="93">
        <f t="shared" si="26"/>
        <v>0</v>
      </c>
      <c r="M544" s="93">
        <f t="shared" si="27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-4.7448970094345793</v>
      </c>
      <c r="H545">
        <v>4.8694921874999997E-4</v>
      </c>
      <c r="I545">
        <v>-1.171357384041676</v>
      </c>
      <c r="J545">
        <v>-5.7039156303613785E-4</v>
      </c>
      <c r="K545" s="93">
        <f t="shared" si="25"/>
        <v>1</v>
      </c>
      <c r="L545" s="93">
        <f t="shared" si="26"/>
        <v>0</v>
      </c>
      <c r="M545" s="93">
        <f t="shared" si="27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17.358411863345417</v>
      </c>
      <c r="H546">
        <v>1.0280039062499999E-3</v>
      </c>
      <c r="I546">
        <v>-0.56067507579855758</v>
      </c>
      <c r="J546">
        <v>-5.7637616805793202E-4</v>
      </c>
      <c r="K546" s="93">
        <f t="shared" si="25"/>
        <v>1</v>
      </c>
      <c r="L546" s="93">
        <f t="shared" si="26"/>
        <v>0</v>
      </c>
      <c r="M546" s="93">
        <f t="shared" si="27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32.829014536908225</v>
      </c>
      <c r="H547">
        <v>6.4926562499999999E-4</v>
      </c>
      <c r="I547">
        <v>-0.33477370443561</v>
      </c>
      <c r="J547">
        <v>-2.1735705844395161E-4</v>
      </c>
      <c r="K547" s="93">
        <f t="shared" si="25"/>
        <v>1</v>
      </c>
      <c r="L547" s="93">
        <f t="shared" si="26"/>
        <v>0</v>
      </c>
      <c r="M547" s="93">
        <f t="shared" si="27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-13</v>
      </c>
      <c r="H548">
        <v>3.0754687500000004E-4</v>
      </c>
      <c r="I548">
        <v>-1.5423902651101746</v>
      </c>
      <c r="J548">
        <v>-4.743573060650558E-4</v>
      </c>
      <c r="K548" s="93">
        <f t="shared" si="25"/>
        <v>1</v>
      </c>
      <c r="L548" s="93">
        <f t="shared" si="26"/>
        <v>0</v>
      </c>
      <c r="M548" s="93">
        <f t="shared" si="27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12.142250752679082</v>
      </c>
      <c r="H549">
        <v>6.4926562499999999E-4</v>
      </c>
      <c r="I549">
        <v>-0.667149118720609</v>
      </c>
      <c r="J549">
        <v>-4.3315698953433541E-4</v>
      </c>
      <c r="K549" s="93">
        <f t="shared" si="25"/>
        <v>1</v>
      </c>
      <c r="L549" s="93">
        <f t="shared" si="26"/>
        <v>0</v>
      </c>
      <c r="M549" s="93">
        <f t="shared" si="27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27.672146979053963</v>
      </c>
      <c r="H550">
        <v>4.100625E-4</v>
      </c>
      <c r="I550">
        <v>-0.3975617944231265</v>
      </c>
      <c r="J550">
        <v>-1.6302518332563331E-4</v>
      </c>
      <c r="K550" s="93">
        <f t="shared" si="25"/>
        <v>1</v>
      </c>
      <c r="L550" s="93">
        <f t="shared" si="26"/>
        <v>0</v>
      </c>
      <c r="M550" s="93">
        <f t="shared" si="27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0.37820513723450122</v>
      </c>
      <c r="H551">
        <v>4.8694921875000008E-4</v>
      </c>
      <c r="I551">
        <v>-0.98747229538394343</v>
      </c>
      <c r="J551">
        <v>-4.8084886277448058E-4</v>
      </c>
      <c r="K551" s="93">
        <f t="shared" si="25"/>
        <v>1</v>
      </c>
      <c r="L551" s="93">
        <f t="shared" si="26"/>
        <v>0</v>
      </c>
      <c r="M551" s="93">
        <f t="shared" si="27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21.543057198977468</v>
      </c>
      <c r="H552">
        <v>1.0280039062500002E-3</v>
      </c>
      <c r="I552">
        <v>-0.48767703456901079</v>
      </c>
      <c r="J552">
        <v>-5.0133389652535945E-4</v>
      </c>
      <c r="K552" s="93">
        <f t="shared" si="25"/>
        <v>1</v>
      </c>
      <c r="L552" s="93">
        <f t="shared" si="26"/>
        <v>0</v>
      </c>
      <c r="M552" s="93">
        <f t="shared" si="27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37.013659872540273</v>
      </c>
      <c r="H553">
        <v>6.492656250000001E-4</v>
      </c>
      <c r="I553">
        <v>-0.29118727490839674</v>
      </c>
      <c r="J553">
        <v>-1.8905788803544706E-4</v>
      </c>
      <c r="K553" s="93">
        <f t="shared" si="25"/>
        <v>1</v>
      </c>
      <c r="L553" s="93">
        <f t="shared" si="26"/>
        <v>0</v>
      </c>
      <c r="M553" s="93">
        <f t="shared" si="27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-6.2448970094345793</v>
      </c>
      <c r="H554">
        <v>1.0280039062499999E-3</v>
      </c>
      <c r="I554">
        <v>-1.2314141613696441</v>
      </c>
      <c r="J554">
        <v>-1.2658985680995619E-3</v>
      </c>
      <c r="K554" s="93">
        <f t="shared" si="25"/>
        <v>1</v>
      </c>
      <c r="L554" s="93">
        <f t="shared" si="26"/>
        <v>0</v>
      </c>
      <c r="M554" s="93">
        <f t="shared" si="27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16.357683125348164</v>
      </c>
      <c r="H555">
        <v>2.1702304687499997E-3</v>
      </c>
      <c r="I555">
        <v>-0.579693302450496</v>
      </c>
      <c r="J555">
        <v>-1.2580680675083754E-3</v>
      </c>
      <c r="K555" s="93">
        <f t="shared" si="25"/>
        <v>1</v>
      </c>
      <c r="L555" s="93">
        <f t="shared" si="26"/>
        <v>0</v>
      </c>
      <c r="M555" s="93">
        <f t="shared" si="27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31.856792314686004</v>
      </c>
      <c r="H556">
        <v>1.3706718749999999E-3</v>
      </c>
      <c r="I556">
        <v>-0.34580056316229763</v>
      </c>
      <c r="J556">
        <v>-4.7397910628572238E-4</v>
      </c>
      <c r="K556" s="93">
        <f t="shared" si="25"/>
        <v>1</v>
      </c>
      <c r="L556" s="93">
        <f t="shared" si="26"/>
        <v>0</v>
      </c>
      <c r="M556" s="93">
        <f t="shared" si="27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-14.5</v>
      </c>
      <c r="H557">
        <v>6.492656250000001E-4</v>
      </c>
      <c r="I557">
        <v>-1.6214703050420796</v>
      </c>
      <c r="J557">
        <v>-1.0527649310220866E-3</v>
      </c>
      <c r="K557" s="93">
        <f t="shared" si="25"/>
        <v>1</v>
      </c>
      <c r="L557" s="93">
        <f t="shared" si="26"/>
        <v>0</v>
      </c>
      <c r="M557" s="93">
        <f t="shared" si="27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11.130933880251099</v>
      </c>
      <c r="H558">
        <v>1.3706718749999999E-3</v>
      </c>
      <c r="I558">
        <v>-0.6900224612794772</v>
      </c>
      <c r="J558">
        <v>-9.4579438079405581E-4</v>
      </c>
      <c r="K558" s="93">
        <f t="shared" si="25"/>
        <v>1</v>
      </c>
      <c r="L558" s="93">
        <f t="shared" si="26"/>
        <v>0</v>
      </c>
      <c r="M558" s="93">
        <f t="shared" si="27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26.699924756831738</v>
      </c>
      <c r="H559">
        <v>8.6568750000000003E-4</v>
      </c>
      <c r="I559">
        <v>-0.41065678272163386</v>
      </c>
      <c r="J559">
        <v>-3.5550044359233444E-4</v>
      </c>
      <c r="K559" s="93">
        <f t="shared" si="25"/>
        <v>1</v>
      </c>
      <c r="L559" s="93">
        <f t="shared" si="26"/>
        <v>0</v>
      </c>
      <c r="M559" s="93">
        <f t="shared" si="27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-1.5290406772738361</v>
      </c>
      <c r="H560">
        <v>3.0754687500000004E-4</v>
      </c>
      <c r="I560">
        <v>-1.0522892432456679</v>
      </c>
      <c r="J560">
        <v>-3.2362826835632003E-4</v>
      </c>
      <c r="K560" s="93">
        <f t="shared" si="25"/>
        <v>1</v>
      </c>
      <c r="L560" s="93">
        <f t="shared" si="26"/>
        <v>0</v>
      </c>
      <c r="M560" s="93">
        <f t="shared" si="27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19.898904249731924</v>
      </c>
      <c r="H561">
        <v>6.4926562499999999E-4</v>
      </c>
      <c r="I561">
        <v>-0.51515018043990279</v>
      </c>
      <c r="J561">
        <v>-3.3446930387217628E-4</v>
      </c>
      <c r="K561" s="93">
        <f t="shared" si="25"/>
        <v>1</v>
      </c>
      <c r="L561" s="93">
        <f t="shared" si="26"/>
        <v>0</v>
      </c>
      <c r="M561" s="93">
        <f t="shared" si="27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35.3932895021699</v>
      </c>
      <c r="H562">
        <v>4.100625E-4</v>
      </c>
      <c r="I562">
        <v>-0.30734747939921481</v>
      </c>
      <c r="J562">
        <v>-1.2603167577114052E-4</v>
      </c>
      <c r="K562" s="93">
        <f t="shared" si="25"/>
        <v>1</v>
      </c>
      <c r="L562" s="93">
        <f t="shared" si="26"/>
        <v>0</v>
      </c>
      <c r="M562" s="93">
        <f t="shared" si="27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-8.7448970094345775</v>
      </c>
      <c r="H563">
        <v>6.4926562499999999E-4</v>
      </c>
      <c r="I563">
        <v>-1.338429038630454</v>
      </c>
      <c r="J563">
        <v>-8.6899596628455087E-4</v>
      </c>
      <c r="K563" s="93">
        <f t="shared" si="25"/>
        <v>1</v>
      </c>
      <c r="L563" s="93">
        <f t="shared" si="26"/>
        <v>0</v>
      </c>
      <c r="M563" s="93">
        <f t="shared" si="27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14.672155004634858</v>
      </c>
      <c r="H564">
        <v>1.3706718749999997E-3</v>
      </c>
      <c r="I564">
        <v>-0.61319527745633073</v>
      </c>
      <c r="J564">
        <v>-8.4048952069221388E-4</v>
      </c>
      <c r="K564" s="93">
        <f t="shared" si="25"/>
        <v>1</v>
      </c>
      <c r="L564" s="93">
        <f t="shared" si="26"/>
        <v>0</v>
      </c>
      <c r="M564" s="93">
        <f t="shared" si="27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30.23642194431563</v>
      </c>
      <c r="H565">
        <v>8.6568749999999992E-4</v>
      </c>
      <c r="I565">
        <v>-0.36499167587661779</v>
      </c>
      <c r="J565">
        <v>-3.1596873141043956E-4</v>
      </c>
      <c r="K565" s="93">
        <f t="shared" si="25"/>
        <v>1</v>
      </c>
      <c r="L565" s="93">
        <f t="shared" si="26"/>
        <v>0</v>
      </c>
      <c r="M565" s="93">
        <f t="shared" si="27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-17</v>
      </c>
      <c r="H566">
        <v>4.100625E-4</v>
      </c>
      <c r="I566">
        <v>-1.7623826407286585</v>
      </c>
      <c r="J566">
        <v>-7.2268703161379553E-4</v>
      </c>
      <c r="K566" s="93">
        <f t="shared" si="25"/>
        <v>1</v>
      </c>
      <c r="L566" s="93">
        <f t="shared" si="26"/>
        <v>0</v>
      </c>
      <c r="M566" s="93">
        <f t="shared" si="27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9.4137620187462474</v>
      </c>
      <c r="H567">
        <v>8.6568749999999992E-4</v>
      </c>
      <c r="I567">
        <v>-0.73067094275298961</v>
      </c>
      <c r="J567">
        <v>-6.3253270175447863E-4</v>
      </c>
      <c r="K567" s="93">
        <f t="shared" si="25"/>
        <v>1</v>
      </c>
      <c r="L567" s="93">
        <f t="shared" si="26"/>
        <v>0</v>
      </c>
      <c r="M567" s="93">
        <f t="shared" si="27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25.079554386461371</v>
      </c>
      <c r="H568">
        <v>5.4674999999999993E-4</v>
      </c>
      <c r="I568">
        <v>-0.43344726210096352</v>
      </c>
      <c r="J568">
        <v>-2.3698729055370176E-4</v>
      </c>
      <c r="K568" s="93">
        <f t="shared" si="25"/>
        <v>1</v>
      </c>
      <c r="L568" s="93">
        <f t="shared" si="26"/>
        <v>0</v>
      </c>
      <c r="M568" s="93">
        <f t="shared" si="27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7.2308047390087697</v>
      </c>
      <c r="H569">
        <v>3.652119140625E-4</v>
      </c>
      <c r="I569">
        <v>-0.7858205467573578</v>
      </c>
      <c r="J569">
        <v>-2.8699102599089493E-4</v>
      </c>
      <c r="K569" s="93">
        <f t="shared" si="25"/>
        <v>1</v>
      </c>
      <c r="L569" s="93">
        <f t="shared" si="26"/>
        <v>0</v>
      </c>
      <c r="M569" s="93">
        <f t="shared" si="27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39.469705334184646</v>
      </c>
      <c r="H570">
        <v>7.7100292968749996E-4</v>
      </c>
      <c r="I570">
        <v>-0.26829803526715063</v>
      </c>
      <c r="J570">
        <v>-2.0685857122037331E-4</v>
      </c>
      <c r="K570" s="93">
        <f t="shared" si="25"/>
        <v>1</v>
      </c>
      <c r="L570" s="93">
        <f t="shared" si="26"/>
        <v>0</v>
      </c>
      <c r="M570" s="93">
        <f t="shared" si="27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63.417520964239941</v>
      </c>
      <c r="H571">
        <v>4.8694921874999997E-4</v>
      </c>
      <c r="I571">
        <v>-0.12076396203984271</v>
      </c>
      <c r="J571">
        <v>-5.8805916968456065E-5</v>
      </c>
      <c r="K571" s="93">
        <f t="shared" si="25"/>
        <v>1</v>
      </c>
      <c r="L571" s="93">
        <f t="shared" si="26"/>
        <v>0</v>
      </c>
      <c r="M571" s="93">
        <f t="shared" si="27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-1.2545834449263205</v>
      </c>
      <c r="H572">
        <v>7.7100292968749996E-4</v>
      </c>
      <c r="I572">
        <v>-1.0427061992357078</v>
      </c>
      <c r="J572">
        <v>-8.0392953441404881E-4</v>
      </c>
      <c r="K572" s="93">
        <f t="shared" si="25"/>
        <v>1</v>
      </c>
      <c r="L572" s="93">
        <f t="shared" si="26"/>
        <v>0</v>
      </c>
      <c r="M572" s="93">
        <f t="shared" si="27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31.487100124166211</v>
      </c>
      <c r="H573">
        <v>1.6276728515624999E-3</v>
      </c>
      <c r="I573">
        <v>-0.35008825325068454</v>
      </c>
      <c r="J573">
        <v>-5.6982914546707631E-4</v>
      </c>
      <c r="K573" s="93">
        <f t="shared" si="25"/>
        <v>1</v>
      </c>
      <c r="L573" s="93">
        <f t="shared" si="26"/>
        <v>0</v>
      </c>
      <c r="M573" s="93">
        <f t="shared" si="27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55.434915754221493</v>
      </c>
      <c r="H574">
        <v>1.0280039062499999E-3</v>
      </c>
      <c r="I574">
        <v>-0.15757865868851142</v>
      </c>
      <c r="J574">
        <v>-1.6199147667342523E-4</v>
      </c>
      <c r="K574" s="93">
        <f t="shared" si="25"/>
        <v>1</v>
      </c>
      <c r="L574" s="93">
        <f t="shared" si="26"/>
        <v>0</v>
      </c>
      <c r="M574" s="93">
        <f t="shared" si="27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-13</v>
      </c>
      <c r="H575">
        <v>4.8694921874999997E-4</v>
      </c>
      <c r="I575">
        <v>-1.5423902651101746</v>
      </c>
      <c r="J575">
        <v>-7.5106573460300492E-4</v>
      </c>
      <c r="K575" s="93">
        <f t="shared" si="25"/>
        <v>1</v>
      </c>
      <c r="L575" s="93">
        <f t="shared" si="26"/>
        <v>0</v>
      </c>
      <c r="M575" s="93">
        <f t="shared" si="27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23.462403007426246</v>
      </c>
      <c r="H576">
        <v>1.0280039062499999E-3</v>
      </c>
      <c r="I576">
        <v>-0.45745347187983554</v>
      </c>
      <c r="J576">
        <v>-4.7026395602009545E-4</v>
      </c>
      <c r="K576" s="93">
        <f t="shared" si="25"/>
        <v>1</v>
      </c>
      <c r="L576" s="93">
        <f t="shared" si="26"/>
        <v>0</v>
      </c>
      <c r="M576" s="93">
        <f t="shared" si="27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47.452310544203073</v>
      </c>
      <c r="H577">
        <v>6.4926562499999999E-4</v>
      </c>
      <c r="I577">
        <v>-0.20561625550077628</v>
      </c>
      <c r="J577">
        <v>-1.334995666378712E-4</v>
      </c>
      <c r="K577" s="93">
        <f t="shared" si="25"/>
        <v>1</v>
      </c>
      <c r="L577" s="93">
        <f t="shared" si="26"/>
        <v>0</v>
      </c>
      <c r="M577" s="93">
        <f t="shared" si="27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6.1497717551027478</v>
      </c>
      <c r="H578">
        <v>7.7100292968750007E-4</v>
      </c>
      <c r="I578">
        <v>-0.81465351440475986</v>
      </c>
      <c r="J578">
        <v>-6.2810024628628784E-4</v>
      </c>
      <c r="K578" s="93">
        <f t="shared" si="25"/>
        <v>1</v>
      </c>
      <c r="L578" s="93">
        <f t="shared" si="26"/>
        <v>0</v>
      </c>
      <c r="M578" s="93">
        <f t="shared" si="27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38.497483111962424</v>
      </c>
      <c r="H579">
        <v>1.6276728515625001E-3</v>
      </c>
      <c r="I579">
        <v>-0.27713530203075859</v>
      </c>
      <c r="J579">
        <v>-4.5108560732503959E-4</v>
      </c>
      <c r="K579" s="93">
        <f t="shared" ref="K579:K642" si="28">IF(A579=3,1,0)</f>
        <v>1</v>
      </c>
      <c r="L579" s="93">
        <f t="shared" ref="L579:L642" si="29">IF(A579=2,1,0)</f>
        <v>0</v>
      </c>
      <c r="M579" s="93">
        <f t="shared" ref="M579:M642" si="30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62.445298742017719</v>
      </c>
      <c r="H580">
        <v>1.0280039062499999E-3</v>
      </c>
      <c r="I580">
        <v>-0.12474171516395209</v>
      </c>
      <c r="J580">
        <v>-1.2823497046086761E-4</v>
      </c>
      <c r="K580" s="93">
        <f t="shared" si="28"/>
        <v>1</v>
      </c>
      <c r="L580" s="93">
        <f t="shared" si="29"/>
        <v>0</v>
      </c>
      <c r="M580" s="93">
        <f t="shared" si="30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-2.4298072441115979</v>
      </c>
      <c r="H581">
        <v>1.6276728515624999E-3</v>
      </c>
      <c r="I581">
        <v>-1.0843639292932925</v>
      </c>
      <c r="J581">
        <v>-1.7649897289243304E-3</v>
      </c>
      <c r="K581" s="93">
        <f t="shared" si="28"/>
        <v>1</v>
      </c>
      <c r="L581" s="93">
        <f t="shared" si="29"/>
        <v>0</v>
      </c>
      <c r="M581" s="93">
        <f t="shared" si="30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30.507873443782124</v>
      </c>
      <c r="H582">
        <v>3.4361982421874998E-3</v>
      </c>
      <c r="I582">
        <v>-0.36170398784816177</v>
      </c>
      <c r="J582">
        <v>-1.2428866072360623E-3</v>
      </c>
      <c r="K582" s="93">
        <f t="shared" si="28"/>
        <v>1</v>
      </c>
      <c r="L582" s="93">
        <f t="shared" si="29"/>
        <v>0</v>
      </c>
      <c r="M582" s="93">
        <f t="shared" si="30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54.462693531999271</v>
      </c>
      <c r="H583">
        <v>2.1702304687499997E-3</v>
      </c>
      <c r="I583">
        <v>-0.16276902335776919</v>
      </c>
      <c r="J583">
        <v>-3.5324629385971107E-4</v>
      </c>
      <c r="K583" s="93">
        <f t="shared" si="28"/>
        <v>1</v>
      </c>
      <c r="L583" s="93">
        <f t="shared" si="29"/>
        <v>0</v>
      </c>
      <c r="M583" s="93">
        <f t="shared" si="30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-14.5</v>
      </c>
      <c r="H584">
        <v>1.0280039062499999E-3</v>
      </c>
      <c r="I584">
        <v>-1.6214703050420796</v>
      </c>
      <c r="J584">
        <v>-1.6668778074516368E-3</v>
      </c>
      <c r="K584" s="93">
        <f t="shared" si="28"/>
        <v>1</v>
      </c>
      <c r="L584" s="93">
        <f t="shared" si="29"/>
        <v>0</v>
      </c>
      <c r="M584" s="93">
        <f t="shared" si="30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22.45108613499826</v>
      </c>
      <c r="H585">
        <v>2.1702304687499997E-3</v>
      </c>
      <c r="I585">
        <v>-0.47313735674671048</v>
      </c>
      <c r="J585">
        <v>-1.0268171075155494E-3</v>
      </c>
      <c r="K585" s="93">
        <f t="shared" si="28"/>
        <v>1</v>
      </c>
      <c r="L585" s="93">
        <f t="shared" si="29"/>
        <v>0</v>
      </c>
      <c r="M585" s="93">
        <f t="shared" si="30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46.480088321980844</v>
      </c>
      <c r="H586">
        <v>1.3706718749999999E-3</v>
      </c>
      <c r="I586">
        <v>-0.21238889436481131</v>
      </c>
      <c r="J586">
        <v>-2.9111548406819286E-4</v>
      </c>
      <c r="K586" s="93">
        <f t="shared" si="28"/>
        <v>1</v>
      </c>
      <c r="L586" s="93">
        <f t="shared" si="29"/>
        <v>0</v>
      </c>
      <c r="M586" s="93">
        <f t="shared" si="30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4.3235231091175752</v>
      </c>
      <c r="H587">
        <v>4.8694921875000008E-4</v>
      </c>
      <c r="I587">
        <v>-0.86578606679589221</v>
      </c>
      <c r="J587">
        <v>-4.2159384883089511E-4</v>
      </c>
      <c r="K587" s="93">
        <f t="shared" si="28"/>
        <v>1</v>
      </c>
      <c r="L587" s="93">
        <f t="shared" si="29"/>
        <v>0</v>
      </c>
      <c r="M587" s="93">
        <f t="shared" si="30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36.87711274159205</v>
      </c>
      <c r="H588">
        <v>1.0280039062500002E-3</v>
      </c>
      <c r="I588">
        <v>-0.29251565528915763</v>
      </c>
      <c r="J588">
        <v>-3.0070723627653257E-4</v>
      </c>
      <c r="K588" s="93">
        <f t="shared" si="28"/>
        <v>1</v>
      </c>
      <c r="L588" s="93">
        <f t="shared" si="29"/>
        <v>0</v>
      </c>
      <c r="M588" s="93">
        <f t="shared" si="30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60.824928371647346</v>
      </c>
      <c r="H589">
        <v>6.492656250000001E-4</v>
      </c>
      <c r="I589">
        <v>-0.13166458508063714</v>
      </c>
      <c r="J589">
        <v>-8.548528912274556E-5</v>
      </c>
      <c r="K589" s="93">
        <f t="shared" si="28"/>
        <v>1</v>
      </c>
      <c r="L589" s="93">
        <f t="shared" si="29"/>
        <v>0</v>
      </c>
      <c r="M589" s="93">
        <f t="shared" si="30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-4.4294892017680674</v>
      </c>
      <c r="H590">
        <v>1.0280039062499999E-3</v>
      </c>
      <c r="I590">
        <v>-1.1591067206509449</v>
      </c>
      <c r="J590">
        <v>-1.1915662365897988E-3</v>
      </c>
      <c r="K590" s="93">
        <f t="shared" si="28"/>
        <v>1</v>
      </c>
      <c r="L590" s="93">
        <f t="shared" si="29"/>
        <v>0</v>
      </c>
      <c r="M590" s="93">
        <f t="shared" si="30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28.822345323068816</v>
      </c>
      <c r="H591">
        <v>2.1702304687499997E-3</v>
      </c>
      <c r="I591">
        <v>-0.38260779665391337</v>
      </c>
      <c r="J591">
        <v>-8.3034709787962698E-4</v>
      </c>
      <c r="K591" s="93">
        <f t="shared" si="28"/>
        <v>1</v>
      </c>
      <c r="L591" s="93">
        <f t="shared" si="29"/>
        <v>0</v>
      </c>
      <c r="M591" s="93">
        <f t="shared" si="30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52.842323161628904</v>
      </c>
      <c r="H592">
        <v>1.3706718749999999E-3</v>
      </c>
      <c r="I592">
        <v>-0.17180231886513558</v>
      </c>
      <c r="J592">
        <v>-2.3548460652822326E-4</v>
      </c>
      <c r="K592" s="93">
        <f t="shared" si="28"/>
        <v>1</v>
      </c>
      <c r="L592" s="93">
        <f t="shared" si="29"/>
        <v>0</v>
      </c>
      <c r="M592" s="93">
        <f t="shared" si="30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-17</v>
      </c>
      <c r="H593">
        <v>6.492656250000001E-4</v>
      </c>
      <c r="I593">
        <v>-1.7623826407286585</v>
      </c>
      <c r="J593">
        <v>-1.1442544667218432E-3</v>
      </c>
      <c r="K593" s="93">
        <f t="shared" si="28"/>
        <v>1</v>
      </c>
      <c r="L593" s="93">
        <f t="shared" si="29"/>
        <v>0</v>
      </c>
      <c r="M593" s="93">
        <f t="shared" si="30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20.765558014284956</v>
      </c>
      <c r="H594">
        <v>1.3706718749999999E-3</v>
      </c>
      <c r="I594">
        <v>-0.50048118810209974</v>
      </c>
      <c r="J594">
        <v>-6.8599548849813269E-4</v>
      </c>
      <c r="K594" s="93">
        <f t="shared" si="28"/>
        <v>1</v>
      </c>
      <c r="L594" s="93">
        <f t="shared" si="29"/>
        <v>0</v>
      </c>
      <c r="M594" s="93">
        <f t="shared" si="30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44.859717951610477</v>
      </c>
      <c r="H595">
        <v>8.6568750000000003E-4</v>
      </c>
      <c r="I595">
        <v>-0.22417597525834909</v>
      </c>
      <c r="J595">
        <v>-1.9406633958146208E-4</v>
      </c>
      <c r="K595" s="93">
        <f t="shared" si="28"/>
        <v>1</v>
      </c>
      <c r="L595" s="93">
        <f t="shared" si="29"/>
        <v>0</v>
      </c>
      <c r="M595" s="93">
        <f t="shared" si="30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7.2308047390087697</v>
      </c>
      <c r="H596">
        <v>7.7100292968750007E-4</v>
      </c>
      <c r="I596">
        <v>-0.7858205467573578</v>
      </c>
      <c r="J596">
        <v>-6.0586994375855599E-4</v>
      </c>
      <c r="K596" s="93">
        <f t="shared" si="28"/>
        <v>1</v>
      </c>
      <c r="L596" s="93">
        <f t="shared" si="29"/>
        <v>0</v>
      </c>
      <c r="M596" s="93">
        <f t="shared" si="30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39.469705334184646</v>
      </c>
      <c r="H597">
        <v>1.6276728515625001E-3</v>
      </c>
      <c r="I597">
        <v>-0.26829803526715063</v>
      </c>
      <c r="J597">
        <v>-4.367014281318993E-4</v>
      </c>
      <c r="K597" s="93">
        <f t="shared" si="28"/>
        <v>1</v>
      </c>
      <c r="L597" s="93">
        <f t="shared" si="29"/>
        <v>0</v>
      </c>
      <c r="M597" s="93">
        <f t="shared" si="30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63.417520964239941</v>
      </c>
      <c r="H598">
        <v>1.0280039062499999E-3</v>
      </c>
      <c r="I598">
        <v>-0.12076396203984271</v>
      </c>
      <c r="J598">
        <v>-1.2414582471118502E-4</v>
      </c>
      <c r="K598" s="93">
        <f t="shared" si="28"/>
        <v>1</v>
      </c>
      <c r="L598" s="93">
        <f t="shared" si="29"/>
        <v>0</v>
      </c>
      <c r="M598" s="93">
        <f t="shared" si="30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-1.2545834449263205</v>
      </c>
      <c r="H599">
        <v>1.6276728515624999E-3</v>
      </c>
      <c r="I599">
        <v>-1.0427061992357078</v>
      </c>
      <c r="J599">
        <v>-1.6971845726518808E-3</v>
      </c>
      <c r="K599" s="93">
        <f t="shared" si="28"/>
        <v>1</v>
      </c>
      <c r="L599" s="93">
        <f t="shared" si="29"/>
        <v>0</v>
      </c>
      <c r="M599" s="93">
        <f t="shared" si="30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31.487100124166211</v>
      </c>
      <c r="H600">
        <v>3.4361982421874998E-3</v>
      </c>
      <c r="I600">
        <v>-0.35008825325068454</v>
      </c>
      <c r="J600">
        <v>-1.2029726404304945E-3</v>
      </c>
      <c r="K600" s="93">
        <f t="shared" si="28"/>
        <v>1</v>
      </c>
      <c r="L600" s="93">
        <f t="shared" si="29"/>
        <v>0</v>
      </c>
      <c r="M600" s="93">
        <f t="shared" si="30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55.434915754221493</v>
      </c>
      <c r="H601">
        <v>2.1702304687499997E-3</v>
      </c>
      <c r="I601">
        <v>-0.15757865868851142</v>
      </c>
      <c r="J601">
        <v>-3.4198200631056438E-4</v>
      </c>
      <c r="K601" s="93">
        <f t="shared" si="28"/>
        <v>1</v>
      </c>
      <c r="L601" s="93">
        <f t="shared" si="29"/>
        <v>0</v>
      </c>
      <c r="M601" s="93">
        <f t="shared" si="30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-13</v>
      </c>
      <c r="H602">
        <v>1.0280039062499999E-3</v>
      </c>
      <c r="I602">
        <v>-1.5423902651101746</v>
      </c>
      <c r="J602">
        <v>-1.5855832174952325E-3</v>
      </c>
      <c r="K602" s="93">
        <f t="shared" si="28"/>
        <v>1</v>
      </c>
      <c r="L602" s="93">
        <f t="shared" si="29"/>
        <v>0</v>
      </c>
      <c r="M602" s="93">
        <f t="shared" si="30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23.462403007426246</v>
      </c>
      <c r="H603">
        <v>2.1702304687499997E-3</v>
      </c>
      <c r="I603">
        <v>-0.45745347187983554</v>
      </c>
      <c r="J603">
        <v>-9.9277946270909028E-4</v>
      </c>
      <c r="K603" s="93">
        <f t="shared" si="28"/>
        <v>1</v>
      </c>
      <c r="L603" s="93">
        <f t="shared" si="29"/>
        <v>0</v>
      </c>
      <c r="M603" s="93">
        <f t="shared" si="30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47.452310544203073</v>
      </c>
      <c r="H604">
        <v>1.3706718749999999E-3</v>
      </c>
      <c r="I604">
        <v>-0.20561625550077628</v>
      </c>
      <c r="J604">
        <v>-2.8183241845772808E-4</v>
      </c>
      <c r="K604" s="93">
        <f t="shared" si="28"/>
        <v>1</v>
      </c>
      <c r="L604" s="93">
        <f t="shared" si="29"/>
        <v>0</v>
      </c>
      <c r="M604" s="93">
        <f t="shared" si="30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6.1497717551027478</v>
      </c>
      <c r="H605">
        <v>1.6276728515624997E-3</v>
      </c>
      <c r="I605">
        <v>-0.81465351440475986</v>
      </c>
      <c r="J605">
        <v>-1.3259894088266074E-3</v>
      </c>
      <c r="K605" s="93">
        <f t="shared" si="28"/>
        <v>1</v>
      </c>
      <c r="L605" s="93">
        <f t="shared" si="29"/>
        <v>0</v>
      </c>
      <c r="M605" s="93">
        <f t="shared" si="30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38.497483111962424</v>
      </c>
      <c r="H606">
        <v>3.4361982421874993E-3</v>
      </c>
      <c r="I606">
        <v>-0.27713530203075859</v>
      </c>
      <c r="J606">
        <v>-9.5229183768619436E-4</v>
      </c>
      <c r="K606" s="93">
        <f t="shared" si="28"/>
        <v>1</v>
      </c>
      <c r="L606" s="93">
        <f t="shared" si="29"/>
        <v>0</v>
      </c>
      <c r="M606" s="93">
        <f t="shared" si="30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62.445298742017719</v>
      </c>
      <c r="H607">
        <v>2.1702304687499993E-3</v>
      </c>
      <c r="I607">
        <v>-0.12474171516395209</v>
      </c>
      <c r="J607">
        <v>-2.7071827097294263E-4</v>
      </c>
      <c r="K607" s="93">
        <f t="shared" si="28"/>
        <v>1</v>
      </c>
      <c r="L607" s="93">
        <f t="shared" si="29"/>
        <v>0</v>
      </c>
      <c r="M607" s="93">
        <f t="shared" si="30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-2.4298072441115979</v>
      </c>
      <c r="H608">
        <v>3.4361982421874993E-3</v>
      </c>
      <c r="I608">
        <v>-1.0843639292932925</v>
      </c>
      <c r="J608">
        <v>-3.7260894277291417E-3</v>
      </c>
      <c r="K608" s="93">
        <f t="shared" si="28"/>
        <v>1</v>
      </c>
      <c r="L608" s="93">
        <f t="shared" si="29"/>
        <v>0</v>
      </c>
      <c r="M608" s="93">
        <f t="shared" si="30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30.507873443782124</v>
      </c>
      <c r="H609">
        <v>7.254196289062498E-3</v>
      </c>
      <c r="I609">
        <v>-0.36170398784816177</v>
      </c>
      <c r="J609">
        <v>-2.6238717263872419E-3</v>
      </c>
      <c r="K609" s="93">
        <f t="shared" si="28"/>
        <v>1</v>
      </c>
      <c r="L609" s="93">
        <f t="shared" si="29"/>
        <v>0</v>
      </c>
      <c r="M609" s="93">
        <f t="shared" si="30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54.462693531999271</v>
      </c>
      <c r="H610">
        <v>4.5815976562499985E-3</v>
      </c>
      <c r="I610">
        <v>-0.16276902335776919</v>
      </c>
      <c r="J610">
        <v>-7.4574217592605658E-4</v>
      </c>
      <c r="K610" s="93">
        <f t="shared" si="28"/>
        <v>1</v>
      </c>
      <c r="L610" s="93">
        <f t="shared" si="29"/>
        <v>0</v>
      </c>
      <c r="M610" s="93">
        <f t="shared" si="30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-14.5</v>
      </c>
      <c r="H611">
        <v>2.1702304687499997E-3</v>
      </c>
      <c r="I611">
        <v>-1.6214703050420796</v>
      </c>
      <c r="J611">
        <v>-3.5189642601756773E-3</v>
      </c>
      <c r="K611" s="93">
        <f t="shared" si="28"/>
        <v>1</v>
      </c>
      <c r="L611" s="93">
        <f t="shared" si="29"/>
        <v>0</v>
      </c>
      <c r="M611" s="93">
        <f t="shared" si="30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22.45108613499826</v>
      </c>
      <c r="H612">
        <v>4.5815976562499994E-3</v>
      </c>
      <c r="I612">
        <v>-0.47313735674671048</v>
      </c>
      <c r="J612">
        <v>-2.1677250047550485E-3</v>
      </c>
      <c r="K612" s="93">
        <f t="shared" si="28"/>
        <v>1</v>
      </c>
      <c r="L612" s="93">
        <f t="shared" si="29"/>
        <v>0</v>
      </c>
      <c r="M612" s="93">
        <f t="shared" si="30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46.480088321980844</v>
      </c>
      <c r="H613">
        <v>2.8936406249999995E-3</v>
      </c>
      <c r="I613">
        <v>-0.21238889436481131</v>
      </c>
      <c r="J613">
        <v>-6.1457713303285149E-4</v>
      </c>
      <c r="K613" s="93">
        <f t="shared" si="28"/>
        <v>1</v>
      </c>
      <c r="L613" s="93">
        <f t="shared" si="29"/>
        <v>0</v>
      </c>
      <c r="M613" s="93">
        <f t="shared" si="30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4.3235231091175752</v>
      </c>
      <c r="H614">
        <v>1.0280039062499999E-3</v>
      </c>
      <c r="I614">
        <v>-0.86578606679589221</v>
      </c>
      <c r="J614">
        <v>-8.9003145864300053E-4</v>
      </c>
      <c r="K614" s="93">
        <f t="shared" si="28"/>
        <v>1</v>
      </c>
      <c r="L614" s="93">
        <f t="shared" si="29"/>
        <v>0</v>
      </c>
      <c r="M614" s="93">
        <f t="shared" si="30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36.87711274159205</v>
      </c>
      <c r="H615">
        <v>2.1702304687499997E-3</v>
      </c>
      <c r="I615">
        <v>-0.29251565528915763</v>
      </c>
      <c r="J615">
        <v>-6.3482638769490191E-4</v>
      </c>
      <c r="K615" s="93">
        <f t="shared" si="28"/>
        <v>1</v>
      </c>
      <c r="L615" s="93">
        <f t="shared" si="29"/>
        <v>0</v>
      </c>
      <c r="M615" s="93">
        <f t="shared" si="30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60.824928371647346</v>
      </c>
      <c r="H616">
        <v>1.3706718749999999E-3</v>
      </c>
      <c r="I616">
        <v>-0.13166458508063714</v>
      </c>
      <c r="J616">
        <v>-1.8046894370357392E-4</v>
      </c>
      <c r="K616" s="93">
        <f t="shared" si="28"/>
        <v>1</v>
      </c>
      <c r="L616" s="93">
        <f t="shared" si="29"/>
        <v>0</v>
      </c>
      <c r="M616" s="93">
        <f t="shared" si="30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-4.4294892017680674</v>
      </c>
      <c r="H617">
        <v>2.1702304687499997E-3</v>
      </c>
      <c r="I617">
        <v>-1.1591067206509449</v>
      </c>
      <c r="J617">
        <v>-2.5155287216895752E-3</v>
      </c>
      <c r="K617" s="93">
        <f t="shared" si="28"/>
        <v>1</v>
      </c>
      <c r="L617" s="93">
        <f t="shared" si="29"/>
        <v>0</v>
      </c>
      <c r="M617" s="93">
        <f t="shared" si="30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28.822345323068816</v>
      </c>
      <c r="H618">
        <v>4.5815976562499994E-3</v>
      </c>
      <c r="I618">
        <v>-0.38260779665391337</v>
      </c>
      <c r="J618">
        <v>-1.7529549844125458E-3</v>
      </c>
      <c r="K618" s="93">
        <f t="shared" si="28"/>
        <v>1</v>
      </c>
      <c r="L618" s="93">
        <f t="shared" si="29"/>
        <v>0</v>
      </c>
      <c r="M618" s="93">
        <f t="shared" si="30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52.842323161628904</v>
      </c>
      <c r="H619">
        <v>2.8936406249999995E-3</v>
      </c>
      <c r="I619">
        <v>-0.17180231886513558</v>
      </c>
      <c r="J619">
        <v>-4.9713416933736009E-4</v>
      </c>
      <c r="K619" s="93">
        <f t="shared" si="28"/>
        <v>1</v>
      </c>
      <c r="L619" s="93">
        <f t="shared" si="29"/>
        <v>0</v>
      </c>
      <c r="M619" s="93">
        <f t="shared" si="30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-17</v>
      </c>
      <c r="H620">
        <v>1.3706718749999999E-3</v>
      </c>
      <c r="I620">
        <v>-1.7623826407286585</v>
      </c>
      <c r="J620">
        <v>-2.4156483186350015E-3</v>
      </c>
      <c r="K620" s="93">
        <f t="shared" si="28"/>
        <v>1</v>
      </c>
      <c r="L620" s="93">
        <f t="shared" si="29"/>
        <v>0</v>
      </c>
      <c r="M620" s="93">
        <f t="shared" si="30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20.765558014284956</v>
      </c>
      <c r="H621">
        <v>2.8936406249999995E-3</v>
      </c>
      <c r="I621">
        <v>-0.50048118810209974</v>
      </c>
      <c r="J621">
        <v>-1.4482126979405022E-3</v>
      </c>
      <c r="K621" s="93">
        <f t="shared" si="28"/>
        <v>1</v>
      </c>
      <c r="L621" s="93">
        <f t="shared" si="29"/>
        <v>0</v>
      </c>
      <c r="M621" s="93">
        <f t="shared" si="30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44.859717951610477</v>
      </c>
      <c r="H622">
        <v>1.8275624999999998E-3</v>
      </c>
      <c r="I622">
        <v>-0.22417597525834909</v>
      </c>
      <c r="J622">
        <v>-4.0969560578308658E-4</v>
      </c>
      <c r="K622" s="93">
        <f t="shared" si="28"/>
        <v>1</v>
      </c>
      <c r="L622" s="93">
        <f t="shared" si="29"/>
        <v>0</v>
      </c>
      <c r="M622" s="93">
        <f t="shared" si="30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7.2308047390087697</v>
      </c>
      <c r="H623">
        <v>4.8694921874999997E-4</v>
      </c>
      <c r="I623">
        <v>-0.7858205467573578</v>
      </c>
      <c r="J623">
        <v>-3.8265470132119319E-4</v>
      </c>
      <c r="K623" s="93">
        <f t="shared" si="28"/>
        <v>1</v>
      </c>
      <c r="L623" s="93">
        <f t="shared" si="29"/>
        <v>0</v>
      </c>
      <c r="M623" s="93">
        <f t="shared" si="30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39.469705334184646</v>
      </c>
      <c r="H624">
        <v>1.0280039062499999E-3</v>
      </c>
      <c r="I624">
        <v>-0.26829803526715063</v>
      </c>
      <c r="J624">
        <v>-2.7581142829383111E-4</v>
      </c>
      <c r="K624" s="93">
        <f t="shared" si="28"/>
        <v>1</v>
      </c>
      <c r="L624" s="93">
        <f t="shared" si="29"/>
        <v>0</v>
      </c>
      <c r="M624" s="93">
        <f t="shared" si="30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63.417520964239941</v>
      </c>
      <c r="H625">
        <v>6.4926562499999999E-4</v>
      </c>
      <c r="I625">
        <v>-0.12076396203984271</v>
      </c>
      <c r="J625">
        <v>-7.8407889291274758E-5</v>
      </c>
      <c r="K625" s="93">
        <f t="shared" si="28"/>
        <v>1</v>
      </c>
      <c r="L625" s="93">
        <f t="shared" si="29"/>
        <v>0</v>
      </c>
      <c r="M625" s="93">
        <f t="shared" si="30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-1.2545834449263205</v>
      </c>
      <c r="H626">
        <v>1.0280039062499999E-3</v>
      </c>
      <c r="I626">
        <v>-1.0427061992357078</v>
      </c>
      <c r="J626">
        <v>-1.0719060458853984E-3</v>
      </c>
      <c r="K626" s="93">
        <f t="shared" si="28"/>
        <v>1</v>
      </c>
      <c r="L626" s="93">
        <f t="shared" si="29"/>
        <v>0</v>
      </c>
      <c r="M626" s="93">
        <f t="shared" si="30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31.487100124166211</v>
      </c>
      <c r="H627">
        <v>2.1702304687499993E-3</v>
      </c>
      <c r="I627">
        <v>-0.35008825325068454</v>
      </c>
      <c r="J627">
        <v>-7.5977219395610153E-4</v>
      </c>
      <c r="K627" s="93">
        <f t="shared" si="28"/>
        <v>1</v>
      </c>
      <c r="L627" s="93">
        <f t="shared" si="29"/>
        <v>0</v>
      </c>
      <c r="M627" s="93">
        <f t="shared" si="30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55.434915754221493</v>
      </c>
      <c r="H628">
        <v>1.3706718749999997E-3</v>
      </c>
      <c r="I628">
        <v>-0.15757865868851142</v>
      </c>
      <c r="J628">
        <v>-2.1598863556456695E-4</v>
      </c>
      <c r="K628" s="93">
        <f t="shared" si="28"/>
        <v>1</v>
      </c>
      <c r="L628" s="93">
        <f t="shared" si="29"/>
        <v>0</v>
      </c>
      <c r="M628" s="93">
        <f t="shared" si="30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-13</v>
      </c>
      <c r="H629">
        <v>6.4926562499999999E-4</v>
      </c>
      <c r="I629">
        <v>-1.5423902651101746</v>
      </c>
      <c r="J629">
        <v>-1.0014209794706732E-3</v>
      </c>
      <c r="K629" s="93">
        <f t="shared" si="28"/>
        <v>1</v>
      </c>
      <c r="L629" s="93">
        <f t="shared" si="29"/>
        <v>0</v>
      </c>
      <c r="M629" s="93">
        <f t="shared" si="30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23.462403007426246</v>
      </c>
      <c r="H630">
        <v>1.3706718749999997E-3</v>
      </c>
      <c r="I630">
        <v>-0.45745347187983554</v>
      </c>
      <c r="J630">
        <v>-6.2701860802679386E-4</v>
      </c>
      <c r="K630" s="93">
        <f t="shared" si="28"/>
        <v>1</v>
      </c>
      <c r="L630" s="93">
        <f t="shared" si="29"/>
        <v>0</v>
      </c>
      <c r="M630" s="93">
        <f t="shared" si="30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47.452310544203073</v>
      </c>
      <c r="H631">
        <v>8.6568749999999992E-4</v>
      </c>
      <c r="I631">
        <v>-0.20561625550077628</v>
      </c>
      <c r="J631">
        <v>-1.7799942218382824E-4</v>
      </c>
      <c r="K631" s="93">
        <f t="shared" si="28"/>
        <v>1</v>
      </c>
      <c r="L631" s="93">
        <f t="shared" si="29"/>
        <v>0</v>
      </c>
      <c r="M631" s="93">
        <f t="shared" si="30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6.1497717551027478</v>
      </c>
      <c r="H632">
        <v>1.0280039062499999E-3</v>
      </c>
      <c r="I632">
        <v>-0.81465351440475986</v>
      </c>
      <c r="J632">
        <v>-8.3746699504838379E-4</v>
      </c>
      <c r="K632" s="93">
        <f t="shared" si="28"/>
        <v>1</v>
      </c>
      <c r="L632" s="93">
        <f t="shared" si="29"/>
        <v>0</v>
      </c>
      <c r="M632" s="93">
        <f t="shared" si="30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38.497483111962424</v>
      </c>
      <c r="H633">
        <v>2.1702304687499997E-3</v>
      </c>
      <c r="I633">
        <v>-0.27713530203075859</v>
      </c>
      <c r="J633">
        <v>-6.0144747643338598E-4</v>
      </c>
      <c r="K633" s="93">
        <f t="shared" si="28"/>
        <v>1</v>
      </c>
      <c r="L633" s="93">
        <f t="shared" si="29"/>
        <v>0</v>
      </c>
      <c r="M633" s="93">
        <f t="shared" si="30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62.445298742017719</v>
      </c>
      <c r="H634">
        <v>1.3706718749999999E-3</v>
      </c>
      <c r="I634">
        <v>-0.12474171516395209</v>
      </c>
      <c r="J634">
        <v>-1.7097996061449014E-4</v>
      </c>
      <c r="K634" s="93">
        <f t="shared" si="28"/>
        <v>1</v>
      </c>
      <c r="L634" s="93">
        <f t="shared" si="29"/>
        <v>0</v>
      </c>
      <c r="M634" s="93">
        <f t="shared" si="30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-2.4298072441115979</v>
      </c>
      <c r="H635">
        <v>2.1702304687499997E-3</v>
      </c>
      <c r="I635">
        <v>-1.0843639292932925</v>
      </c>
      <c r="J635">
        <v>-2.3533196385657736E-3</v>
      </c>
      <c r="K635" s="93">
        <f t="shared" si="28"/>
        <v>1</v>
      </c>
      <c r="L635" s="93">
        <f t="shared" si="29"/>
        <v>0</v>
      </c>
      <c r="M635" s="93">
        <f t="shared" si="30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30.507873443782124</v>
      </c>
      <c r="H636">
        <v>4.5815976562499994E-3</v>
      </c>
      <c r="I636">
        <v>-0.36170398784816177</v>
      </c>
      <c r="J636">
        <v>-1.6571821429814163E-3</v>
      </c>
      <c r="K636" s="93">
        <f t="shared" si="28"/>
        <v>1</v>
      </c>
      <c r="L636" s="93">
        <f t="shared" si="29"/>
        <v>0</v>
      </c>
      <c r="M636" s="93">
        <f t="shared" si="30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54.462693531999271</v>
      </c>
      <c r="H637">
        <v>2.8936406249999995E-3</v>
      </c>
      <c r="I637">
        <v>-0.16276902335776919</v>
      </c>
      <c r="J637">
        <v>-4.7099505847961475E-4</v>
      </c>
      <c r="K637" s="93">
        <f t="shared" si="28"/>
        <v>1</v>
      </c>
      <c r="L637" s="93">
        <f t="shared" si="29"/>
        <v>0</v>
      </c>
      <c r="M637" s="93">
        <f t="shared" si="30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-14.5</v>
      </c>
      <c r="H638">
        <v>1.3706718749999999E-3</v>
      </c>
      <c r="I638">
        <v>-1.6214703050420796</v>
      </c>
      <c r="J638">
        <v>-2.2225037432688491E-3</v>
      </c>
      <c r="K638" s="93">
        <f t="shared" si="28"/>
        <v>1</v>
      </c>
      <c r="L638" s="93">
        <f t="shared" si="29"/>
        <v>0</v>
      </c>
      <c r="M638" s="93">
        <f t="shared" si="30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22.45108613499826</v>
      </c>
      <c r="H639">
        <v>2.8936406249999995E-3</v>
      </c>
      <c r="I639">
        <v>-0.47313735674671048</v>
      </c>
      <c r="J639">
        <v>-1.369089476687399E-3</v>
      </c>
      <c r="K639" s="93">
        <f t="shared" si="28"/>
        <v>1</v>
      </c>
      <c r="L639" s="93">
        <f t="shared" si="29"/>
        <v>0</v>
      </c>
      <c r="M639" s="93">
        <f t="shared" si="30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46.480088321980844</v>
      </c>
      <c r="H640">
        <v>1.8275624999999998E-3</v>
      </c>
      <c r="I640">
        <v>-0.21238889436481131</v>
      </c>
      <c r="J640">
        <v>-3.8815397875759041E-4</v>
      </c>
      <c r="K640" s="93">
        <f t="shared" si="28"/>
        <v>1</v>
      </c>
      <c r="L640" s="93">
        <f t="shared" si="29"/>
        <v>0</v>
      </c>
      <c r="M640" s="93">
        <f t="shared" si="30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4.3235231091175752</v>
      </c>
      <c r="H641">
        <v>6.4926562499999999E-4</v>
      </c>
      <c r="I641">
        <v>-0.86578606679589221</v>
      </c>
      <c r="J641">
        <v>-5.6212513177452674E-4</v>
      </c>
      <c r="K641" s="93">
        <f t="shared" si="28"/>
        <v>1</v>
      </c>
      <c r="L641" s="93">
        <f t="shared" si="29"/>
        <v>0</v>
      </c>
      <c r="M641" s="93">
        <f t="shared" si="30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36.87711274159205</v>
      </c>
      <c r="H642">
        <v>1.3706718749999997E-3</v>
      </c>
      <c r="I642">
        <v>-0.29251565528915763</v>
      </c>
      <c r="J642">
        <v>-4.0094298170204328E-4</v>
      </c>
      <c r="K642" s="93">
        <f t="shared" si="28"/>
        <v>1</v>
      </c>
      <c r="L642" s="93">
        <f t="shared" si="29"/>
        <v>0</v>
      </c>
      <c r="M642" s="93">
        <f t="shared" si="30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60.824928371647346</v>
      </c>
      <c r="H643">
        <v>8.6568749999999992E-4</v>
      </c>
      <c r="I643">
        <v>-0.13166458508063714</v>
      </c>
      <c r="J643">
        <v>-1.1398038549699406E-4</v>
      </c>
      <c r="K643" s="93">
        <f t="shared" ref="K643:K706" si="31">IF(A643=3,1,0)</f>
        <v>1</v>
      </c>
      <c r="L643" s="93">
        <f t="shared" ref="L643:L706" si="32">IF(A643=2,1,0)</f>
        <v>0</v>
      </c>
      <c r="M643" s="93">
        <f t="shared" ref="M643:M706" si="33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-4.4294892017680674</v>
      </c>
      <c r="H644">
        <v>1.3706718749999997E-3</v>
      </c>
      <c r="I644">
        <v>-1.1591067206509449</v>
      </c>
      <c r="J644">
        <v>-1.5887549821197314E-3</v>
      </c>
      <c r="K644" s="93">
        <f t="shared" si="31"/>
        <v>1</v>
      </c>
      <c r="L644" s="93">
        <f t="shared" si="32"/>
        <v>0</v>
      </c>
      <c r="M644" s="93">
        <f t="shared" si="33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28.822345323068816</v>
      </c>
      <c r="H645">
        <v>2.8936406249999991E-3</v>
      </c>
      <c r="I645">
        <v>-0.38260779665391337</v>
      </c>
      <c r="J645">
        <v>-1.1071294638395025E-3</v>
      </c>
      <c r="K645" s="93">
        <f t="shared" si="31"/>
        <v>1</v>
      </c>
      <c r="L645" s="93">
        <f t="shared" si="32"/>
        <v>0</v>
      </c>
      <c r="M645" s="93">
        <f t="shared" si="33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52.842323161628904</v>
      </c>
      <c r="H646">
        <v>1.8275624999999993E-3</v>
      </c>
      <c r="I646">
        <v>-0.17180231886513558</v>
      </c>
      <c r="J646">
        <v>-3.1397947537096426E-4</v>
      </c>
      <c r="K646" s="93">
        <f t="shared" si="31"/>
        <v>1</v>
      </c>
      <c r="L646" s="93">
        <f t="shared" si="32"/>
        <v>0</v>
      </c>
      <c r="M646" s="93">
        <f t="shared" si="33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-17</v>
      </c>
      <c r="H647">
        <v>8.6568749999999992E-4</v>
      </c>
      <c r="I647">
        <v>-1.7623826407286585</v>
      </c>
      <c r="J647">
        <v>-1.5256726222957905E-3</v>
      </c>
      <c r="K647" s="93">
        <f t="shared" si="31"/>
        <v>1</v>
      </c>
      <c r="L647" s="93">
        <f t="shared" si="32"/>
        <v>0</v>
      </c>
      <c r="M647" s="93">
        <f t="shared" si="33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20.765558014284956</v>
      </c>
      <c r="H648">
        <v>1.8275624999999995E-3</v>
      </c>
      <c r="I648">
        <v>-0.50048118810209974</v>
      </c>
      <c r="J648">
        <v>-9.146606513308434E-4</v>
      </c>
      <c r="K648" s="93">
        <f t="shared" si="31"/>
        <v>1</v>
      </c>
      <c r="L648" s="93">
        <f t="shared" si="32"/>
        <v>0</v>
      </c>
      <c r="M648" s="93">
        <f t="shared" si="33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44.859717951610477</v>
      </c>
      <c r="H649">
        <v>1.1542499999999997E-3</v>
      </c>
      <c r="I649">
        <v>-0.22417597525834909</v>
      </c>
      <c r="J649">
        <v>-2.5875511944194939E-4</v>
      </c>
      <c r="K649" s="93">
        <f t="shared" si="31"/>
        <v>1</v>
      </c>
      <c r="L649" s="93">
        <f t="shared" si="32"/>
        <v>0</v>
      </c>
      <c r="M649" s="93">
        <f t="shared" si="33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7.7663216606651506</v>
      </c>
      <c r="H650">
        <v>2.3066015625000002E-4</v>
      </c>
      <c r="I650">
        <v>-0.77191766307839438</v>
      </c>
      <c r="J650">
        <v>-1.7805064877779732E-4</v>
      </c>
      <c r="K650" s="93">
        <f t="shared" si="31"/>
        <v>1</v>
      </c>
      <c r="L650" s="93">
        <f t="shared" si="32"/>
        <v>0</v>
      </c>
      <c r="M650" s="93">
        <f t="shared" si="33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41.034820764022548</v>
      </c>
      <c r="H651">
        <v>4.8694921874999997E-4</v>
      </c>
      <c r="I651">
        <v>-0.25465964297612242</v>
      </c>
      <c r="J651">
        <v>-1.2400631419437672E-4</v>
      </c>
      <c r="K651" s="93">
        <f t="shared" si="31"/>
        <v>1</v>
      </c>
      <c r="L651" s="93">
        <f t="shared" si="32"/>
        <v>0</v>
      </c>
      <c r="M651" s="93">
        <f t="shared" si="33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65.765194108996766</v>
      </c>
      <c r="H652">
        <v>3.0754687499999999E-4</v>
      </c>
      <c r="I652">
        <v>-0.11167380226718866</v>
      </c>
      <c r="J652">
        <v>-3.4344928906641787E-5</v>
      </c>
      <c r="K652" s="93">
        <f t="shared" si="31"/>
        <v>1</v>
      </c>
      <c r="L652" s="93">
        <f t="shared" si="32"/>
        <v>0</v>
      </c>
      <c r="M652" s="93">
        <f t="shared" si="33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-0.96030536397420951</v>
      </c>
      <c r="H653">
        <v>4.8694921874999997E-4</v>
      </c>
      <c r="I653">
        <v>-1.0325280151469025</v>
      </c>
      <c r="J653">
        <v>-5.0278871031327228E-4</v>
      </c>
      <c r="K653" s="93">
        <f t="shared" si="31"/>
        <v>1</v>
      </c>
      <c r="L653" s="93">
        <f t="shared" si="32"/>
        <v>0</v>
      </c>
      <c r="M653" s="93">
        <f t="shared" si="33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32.791362982364475</v>
      </c>
      <c r="H654">
        <v>1.0280039062499999E-3</v>
      </c>
      <c r="I654">
        <v>-0.33519412655260761</v>
      </c>
      <c r="J654">
        <v>-3.4458087144813743E-4</v>
      </c>
      <c r="K654" s="93">
        <f t="shared" si="31"/>
        <v>1</v>
      </c>
      <c r="L654" s="93">
        <f t="shared" si="32"/>
        <v>0</v>
      </c>
      <c r="M654" s="93">
        <f t="shared" si="33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57.521736327338687</v>
      </c>
      <c r="H655">
        <v>6.4926562499999999E-4</v>
      </c>
      <c r="I655">
        <v>-0.14698992809500125</v>
      </c>
      <c r="J655">
        <v>-9.5435507533306042E-5</v>
      </c>
      <c r="K655" s="93">
        <f t="shared" si="31"/>
        <v>1</v>
      </c>
      <c r="L655" s="93">
        <f t="shared" si="32"/>
        <v>0</v>
      </c>
      <c r="M655" s="93">
        <f t="shared" si="33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-13</v>
      </c>
      <c r="H656">
        <v>3.0754687500000004E-4</v>
      </c>
      <c r="I656">
        <v>-1.5423902651101746</v>
      </c>
      <c r="J656">
        <v>-4.743573060650558E-4</v>
      </c>
      <c r="K656" s="93">
        <f t="shared" si="31"/>
        <v>1</v>
      </c>
      <c r="L656" s="93">
        <f t="shared" si="32"/>
        <v>0</v>
      </c>
      <c r="M656" s="93">
        <f t="shared" si="33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24.508680234999947</v>
      </c>
      <c r="H657">
        <v>6.4926562499999999E-4</v>
      </c>
      <c r="I657">
        <v>-0.44177436757952165</v>
      </c>
      <c r="J657">
        <v>-2.8682891087549784E-4</v>
      </c>
      <c r="K657" s="93">
        <f t="shared" si="31"/>
        <v>1</v>
      </c>
      <c r="L657" s="93">
        <f t="shared" si="32"/>
        <v>0</v>
      </c>
      <c r="M657" s="93">
        <f t="shared" si="33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49.278278545680621</v>
      </c>
      <c r="H658">
        <v>4.100625E-4</v>
      </c>
      <c r="I658">
        <v>-0.19347455287390877</v>
      </c>
      <c r="J658">
        <v>-7.9336658837857209E-5</v>
      </c>
      <c r="K658" s="93">
        <f t="shared" si="31"/>
        <v>1</v>
      </c>
      <c r="L658" s="93">
        <f t="shared" si="32"/>
        <v>0</v>
      </c>
      <c r="M658" s="93">
        <f t="shared" si="33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6.6852886767591286</v>
      </c>
      <c r="H659">
        <v>4.8694921875000008E-4</v>
      </c>
      <c r="I659">
        <v>-0.80024051248445593</v>
      </c>
      <c r="J659">
        <v>-3.896764923664055E-4</v>
      </c>
      <c r="K659" s="93">
        <f t="shared" si="31"/>
        <v>1</v>
      </c>
      <c r="L659" s="93">
        <f t="shared" si="32"/>
        <v>0</v>
      </c>
      <c r="M659" s="93">
        <f t="shared" si="33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40.06259854180032</v>
      </c>
      <c r="H660">
        <v>1.0280039062500002E-3</v>
      </c>
      <c r="I660">
        <v>-0.26304768501550713</v>
      </c>
      <c r="J660">
        <v>-2.7041404772596095E-4</v>
      </c>
      <c r="K660" s="93">
        <f t="shared" si="31"/>
        <v>1</v>
      </c>
      <c r="L660" s="93">
        <f t="shared" si="32"/>
        <v>0</v>
      </c>
      <c r="M660" s="93">
        <f t="shared" si="33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64.792971886774538</v>
      </c>
      <c r="H661">
        <v>6.492656250000001E-4</v>
      </c>
      <c r="I661">
        <v>-0.11535214146992968</v>
      </c>
      <c r="J661">
        <v>-7.489418022656233E-5</v>
      </c>
      <c r="K661" s="93">
        <f t="shared" si="31"/>
        <v>1</v>
      </c>
      <c r="L661" s="93">
        <f t="shared" si="32"/>
        <v>0</v>
      </c>
      <c r="M661" s="93">
        <f t="shared" si="33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-2.127715838674793</v>
      </c>
      <c r="H662">
        <v>1.0280039062499999E-3</v>
      </c>
      <c r="I662">
        <v>-1.0734994878895892</v>
      </c>
      <c r="J662">
        <v>-1.1035616669078721E-3</v>
      </c>
      <c r="K662" s="93">
        <f t="shared" si="31"/>
        <v>1</v>
      </c>
      <c r="L662" s="93">
        <f t="shared" si="32"/>
        <v>0</v>
      </c>
      <c r="M662" s="93">
        <f t="shared" si="33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31.815719978249248</v>
      </c>
      <c r="H663">
        <v>2.1702304687499997E-3</v>
      </c>
      <c r="I663">
        <v>-0.34627431529242059</v>
      </c>
      <c r="J663">
        <v>-7.5149506959315516E-4</v>
      </c>
      <c r="K663" s="93">
        <f t="shared" si="31"/>
        <v>1</v>
      </c>
      <c r="L663" s="93">
        <f t="shared" si="32"/>
        <v>0</v>
      </c>
      <c r="M663" s="93">
        <f t="shared" si="33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56.549514105116465</v>
      </c>
      <c r="H664">
        <v>1.3706718749999999E-3</v>
      </c>
      <c r="I664">
        <v>-0.15183151854811672</v>
      </c>
      <c r="J664">
        <v>-2.0811119221244442E-4</v>
      </c>
      <c r="K664" s="93">
        <f t="shared" si="31"/>
        <v>1</v>
      </c>
      <c r="L664" s="93">
        <f t="shared" si="32"/>
        <v>0</v>
      </c>
      <c r="M664" s="93">
        <f t="shared" si="33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-14.5</v>
      </c>
      <c r="H665">
        <v>6.492656250000001E-4</v>
      </c>
      <c r="I665">
        <v>-1.6214703050420796</v>
      </c>
      <c r="J665">
        <v>-1.0527649310220866E-3</v>
      </c>
      <c r="K665" s="93">
        <f t="shared" si="31"/>
        <v>1</v>
      </c>
      <c r="L665" s="93">
        <f t="shared" si="32"/>
        <v>0</v>
      </c>
      <c r="M665" s="93">
        <f t="shared" si="33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23.497363362571964</v>
      </c>
      <c r="H666">
        <v>1.3706718749999999E-3</v>
      </c>
      <c r="I666">
        <v>-0.45692069118218459</v>
      </c>
      <c r="J666">
        <v>-6.2628834050898084E-4</v>
      </c>
      <c r="K666" s="93">
        <f t="shared" si="31"/>
        <v>1</v>
      </c>
      <c r="L666" s="93">
        <f t="shared" si="32"/>
        <v>0</v>
      </c>
      <c r="M666" s="93">
        <f t="shared" si="33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48.306056323458392</v>
      </c>
      <c r="H667">
        <v>8.6568750000000003E-4</v>
      </c>
      <c r="I667">
        <v>-0.19984726534649189</v>
      </c>
      <c r="J667">
        <v>-1.7300527951964121E-4</v>
      </c>
      <c r="K667" s="93">
        <f t="shared" si="31"/>
        <v>1</v>
      </c>
      <c r="L667" s="93">
        <f t="shared" si="32"/>
        <v>0</v>
      </c>
      <c r="M667" s="93">
        <f t="shared" si="33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4.8723522556397576</v>
      </c>
      <c r="H668">
        <v>3.0754687500000004E-4</v>
      </c>
      <c r="I668">
        <v>-0.8500911143797294</v>
      </c>
      <c r="J668">
        <v>-2.614428656927534E-4</v>
      </c>
      <c r="K668" s="93">
        <f t="shared" si="31"/>
        <v>1</v>
      </c>
      <c r="L668" s="93">
        <f t="shared" si="32"/>
        <v>0</v>
      </c>
      <c r="M668" s="93">
        <f t="shared" si="33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38.442228171429953</v>
      </c>
      <c r="H669">
        <v>6.4926562499999999E-4</v>
      </c>
      <c r="I669">
        <v>-0.27764620887622238</v>
      </c>
      <c r="J669">
        <v>-1.8026613933490106E-4</v>
      </c>
      <c r="K669" s="93">
        <f t="shared" si="31"/>
        <v>1</v>
      </c>
      <c r="L669" s="93">
        <f t="shared" si="32"/>
        <v>0</v>
      </c>
      <c r="M669" s="93">
        <f t="shared" si="33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63.172601516404178</v>
      </c>
      <c r="H670">
        <v>4.100625E-4</v>
      </c>
      <c r="I670">
        <v>-0.12175391227256607</v>
      </c>
      <c r="J670">
        <v>-4.9926713651269125E-5</v>
      </c>
      <c r="K670" s="93">
        <f t="shared" si="31"/>
        <v>1</v>
      </c>
      <c r="L670" s="93">
        <f t="shared" si="32"/>
        <v>0</v>
      </c>
      <c r="M670" s="93">
        <f t="shared" si="33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-4.1171713473951597</v>
      </c>
      <c r="H671">
        <v>6.4926562499999999E-4</v>
      </c>
      <c r="I671">
        <v>-1.1471023247244923</v>
      </c>
      <c r="J671">
        <v>-7.4477410780120039E-4</v>
      </c>
      <c r="K671" s="93">
        <f t="shared" si="31"/>
        <v>1</v>
      </c>
      <c r="L671" s="93">
        <f t="shared" si="32"/>
        <v>0</v>
      </c>
      <c r="M671" s="93">
        <f t="shared" si="33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30.130191857535941</v>
      </c>
      <c r="H672">
        <v>1.3706718749999997E-3</v>
      </c>
      <c r="I672">
        <v>-0.36628640342083207</v>
      </c>
      <c r="J672">
        <v>-5.0205847136383826E-4</v>
      </c>
      <c r="K672" s="93">
        <f t="shared" si="31"/>
        <v>1</v>
      </c>
      <c r="L672" s="93">
        <f t="shared" si="32"/>
        <v>0</v>
      </c>
      <c r="M672" s="93">
        <f t="shared" si="33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54.929143734746091</v>
      </c>
      <c r="H673">
        <v>8.6568749999999992E-4</v>
      </c>
      <c r="I673">
        <v>-0.16025780842860987</v>
      </c>
      <c r="J673">
        <v>-1.3873318153404221E-4</v>
      </c>
      <c r="K673" s="93">
        <f t="shared" si="31"/>
        <v>1</v>
      </c>
      <c r="L673" s="93">
        <f t="shared" si="32"/>
        <v>0</v>
      </c>
      <c r="M673" s="93">
        <f t="shared" si="33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-17</v>
      </c>
      <c r="H674">
        <v>4.100625E-4</v>
      </c>
      <c r="I674">
        <v>-1.7623826407286585</v>
      </c>
      <c r="J674">
        <v>-7.2268703161379553E-4</v>
      </c>
      <c r="K674" s="93">
        <f t="shared" si="31"/>
        <v>1</v>
      </c>
      <c r="L674" s="93">
        <f t="shared" si="32"/>
        <v>0</v>
      </c>
      <c r="M674" s="93">
        <f t="shared" si="33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21.811835241858656</v>
      </c>
      <c r="H675">
        <v>8.6568749999999992E-4</v>
      </c>
      <c r="I675">
        <v>-0.4833273194991326</v>
      </c>
      <c r="J675">
        <v>-4.1841041889890534E-4</v>
      </c>
      <c r="K675" s="93">
        <f t="shared" si="31"/>
        <v>1</v>
      </c>
      <c r="L675" s="93">
        <f t="shared" si="32"/>
        <v>0</v>
      </c>
      <c r="M675" s="93">
        <f t="shared" si="33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46.685685953088026</v>
      </c>
      <c r="H676">
        <v>5.4674999999999993E-4</v>
      </c>
      <c r="I676">
        <v>-0.21093831551668235</v>
      </c>
      <c r="J676">
        <v>-1.1533052400874606E-4</v>
      </c>
      <c r="K676" s="93">
        <f t="shared" si="31"/>
        <v>1</v>
      </c>
      <c r="L676" s="93">
        <f t="shared" si="32"/>
        <v>0</v>
      </c>
      <c r="M676" s="93">
        <f t="shared" si="33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7.7663216606651506</v>
      </c>
      <c r="H677">
        <v>4.8694921874999997E-4</v>
      </c>
      <c r="I677">
        <v>-0.77191766307839438</v>
      </c>
      <c r="J677">
        <v>-3.7588470297534985E-4</v>
      </c>
      <c r="K677" s="93">
        <f t="shared" si="31"/>
        <v>1</v>
      </c>
      <c r="L677" s="93">
        <f t="shared" si="32"/>
        <v>0</v>
      </c>
      <c r="M677" s="93">
        <f t="shared" si="33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41.034820764022548</v>
      </c>
      <c r="H678">
        <v>1.0280039062499999E-3</v>
      </c>
      <c r="I678">
        <v>-0.25465964297612242</v>
      </c>
      <c r="J678">
        <v>-2.6179110774368419E-4</v>
      </c>
      <c r="K678" s="93">
        <f t="shared" si="31"/>
        <v>1</v>
      </c>
      <c r="L678" s="93">
        <f t="shared" si="32"/>
        <v>0</v>
      </c>
      <c r="M678" s="93">
        <f t="shared" si="33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65.765194108996766</v>
      </c>
      <c r="H679">
        <v>6.4926562499999999E-4</v>
      </c>
      <c r="I679">
        <v>-0.11167380226718866</v>
      </c>
      <c r="J679">
        <v>-7.2505961025132667E-5</v>
      </c>
      <c r="K679" s="93">
        <f t="shared" si="31"/>
        <v>1</v>
      </c>
      <c r="L679" s="93">
        <f t="shared" si="32"/>
        <v>0</v>
      </c>
      <c r="M679" s="93">
        <f t="shared" si="33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-0.96030536397420951</v>
      </c>
      <c r="H680">
        <v>1.0280039062499999E-3</v>
      </c>
      <c r="I680">
        <v>-1.0325280151469025</v>
      </c>
      <c r="J680">
        <v>-1.0614428328835749E-3</v>
      </c>
      <c r="K680" s="93">
        <f t="shared" si="31"/>
        <v>1</v>
      </c>
      <c r="L680" s="93">
        <f t="shared" si="32"/>
        <v>0</v>
      </c>
      <c r="M680" s="93">
        <f t="shared" si="33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-0.96030536397420951</v>
      </c>
      <c r="H681">
        <v>1.0280039062499999E-3</v>
      </c>
      <c r="I681">
        <v>-1.0325280151469025</v>
      </c>
      <c r="J681">
        <v>-1.0614428328835749E-3</v>
      </c>
      <c r="K681" s="93">
        <f t="shared" si="31"/>
        <v>1</v>
      </c>
      <c r="L681" s="93">
        <f t="shared" si="32"/>
        <v>0</v>
      </c>
      <c r="M681" s="93">
        <f t="shared" si="33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57.521736327338687</v>
      </c>
      <c r="H682">
        <v>1.3706718749999997E-3</v>
      </c>
      <c r="I682">
        <v>-0.14698992809500125</v>
      </c>
      <c r="J682">
        <v>-2.0147496034809051E-4</v>
      </c>
      <c r="K682" s="93">
        <f t="shared" si="31"/>
        <v>1</v>
      </c>
      <c r="L682" s="93">
        <f t="shared" si="32"/>
        <v>0</v>
      </c>
      <c r="M682" s="93">
        <f t="shared" si="33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-13</v>
      </c>
      <c r="H683">
        <v>6.4926562499999999E-4</v>
      </c>
      <c r="I683">
        <v>-1.5423902651101746</v>
      </c>
      <c r="J683">
        <v>-1.0014209794706732E-3</v>
      </c>
      <c r="K683" s="93">
        <f t="shared" si="31"/>
        <v>1</v>
      </c>
      <c r="L683" s="93">
        <f t="shared" si="32"/>
        <v>0</v>
      </c>
      <c r="M683" s="93">
        <f t="shared" si="33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24.508680234999947</v>
      </c>
      <c r="H684">
        <v>1.3706718749999997E-3</v>
      </c>
      <c r="I684">
        <v>-0.44177436757952165</v>
      </c>
      <c r="J684">
        <v>-6.05527700737162E-4</v>
      </c>
      <c r="K684" s="93">
        <f t="shared" si="31"/>
        <v>1</v>
      </c>
      <c r="L684" s="93">
        <f t="shared" si="32"/>
        <v>0</v>
      </c>
      <c r="M684" s="93">
        <f t="shared" si="33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49.278278545680621</v>
      </c>
      <c r="H685">
        <v>8.6568749999999992E-4</v>
      </c>
      <c r="I685">
        <v>-0.19347455287390877</v>
      </c>
      <c r="J685">
        <v>-1.6748850199103189E-4</v>
      </c>
      <c r="K685" s="93">
        <f t="shared" si="31"/>
        <v>1</v>
      </c>
      <c r="L685" s="93">
        <f t="shared" si="32"/>
        <v>0</v>
      </c>
      <c r="M685" s="93">
        <f t="shared" si="33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6.6852886767591286</v>
      </c>
      <c r="H686">
        <v>1.0280039062499999E-3</v>
      </c>
      <c r="I686">
        <v>-0.80024051248445593</v>
      </c>
      <c r="J686">
        <v>-8.2265037277352252E-4</v>
      </c>
      <c r="K686" s="93">
        <f t="shared" si="31"/>
        <v>1</v>
      </c>
      <c r="L686" s="93">
        <f t="shared" si="32"/>
        <v>0</v>
      </c>
      <c r="M686" s="93">
        <f t="shared" si="33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40.06259854180032</v>
      </c>
      <c r="H687">
        <v>2.1702304687499997E-3</v>
      </c>
      <c r="I687">
        <v>-0.26304768501550713</v>
      </c>
      <c r="J687">
        <v>-5.7087410075480627E-4</v>
      </c>
      <c r="K687" s="93">
        <f t="shared" si="31"/>
        <v>1</v>
      </c>
      <c r="L687" s="93">
        <f t="shared" si="32"/>
        <v>0</v>
      </c>
      <c r="M687" s="93">
        <f t="shared" si="33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64.792971886774538</v>
      </c>
      <c r="H688">
        <v>1.3706718749999999E-3</v>
      </c>
      <c r="I688">
        <v>-0.11535214146992968</v>
      </c>
      <c r="J688">
        <v>-1.5810993603385378E-4</v>
      </c>
      <c r="K688" s="93">
        <f t="shared" si="31"/>
        <v>1</v>
      </c>
      <c r="L688" s="93">
        <f t="shared" si="32"/>
        <v>0</v>
      </c>
      <c r="M688" s="93">
        <f t="shared" si="33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-2.127715838674793</v>
      </c>
      <c r="H689">
        <v>2.1702304687499997E-3</v>
      </c>
      <c r="I689">
        <v>-1.0734994878895892</v>
      </c>
      <c r="J689">
        <v>-2.3297412968055079E-3</v>
      </c>
      <c r="K689" s="93">
        <f t="shared" si="31"/>
        <v>1</v>
      </c>
      <c r="L689" s="93">
        <f t="shared" si="32"/>
        <v>0</v>
      </c>
      <c r="M689" s="93">
        <f t="shared" si="33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31.815719978249248</v>
      </c>
      <c r="H690">
        <v>4.5815976562499994E-3</v>
      </c>
      <c r="I690">
        <v>-0.34627431529242059</v>
      </c>
      <c r="J690">
        <v>-1.5864895913633274E-3</v>
      </c>
      <c r="K690" s="93">
        <f t="shared" si="31"/>
        <v>1</v>
      </c>
      <c r="L690" s="93">
        <f t="shared" si="32"/>
        <v>0</v>
      </c>
      <c r="M690" s="93">
        <f t="shared" si="33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56.549514105116465</v>
      </c>
      <c r="H691">
        <v>2.8936406249999995E-3</v>
      </c>
      <c r="I691">
        <v>-0.15183151854811672</v>
      </c>
      <c r="J691">
        <v>-4.393458502262715E-4</v>
      </c>
      <c r="K691" s="93">
        <f t="shared" si="31"/>
        <v>1</v>
      </c>
      <c r="L691" s="93">
        <f t="shared" si="32"/>
        <v>0</v>
      </c>
      <c r="M691" s="93">
        <f t="shared" si="33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-14.5</v>
      </c>
      <c r="H692">
        <v>1.3706718749999999E-3</v>
      </c>
      <c r="I692">
        <v>-1.6214703050420796</v>
      </c>
      <c r="J692">
        <v>-2.2225037432688491E-3</v>
      </c>
      <c r="K692" s="93">
        <f t="shared" si="31"/>
        <v>1</v>
      </c>
      <c r="L692" s="93">
        <f t="shared" si="32"/>
        <v>0</v>
      </c>
      <c r="M692" s="93">
        <f t="shared" si="33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23.497363362571964</v>
      </c>
      <c r="H693">
        <v>2.8936406249999995E-3</v>
      </c>
      <c r="I693">
        <v>-0.45692069118218459</v>
      </c>
      <c r="J693">
        <v>-1.3221642744078485E-3</v>
      </c>
      <c r="K693" s="93">
        <f t="shared" si="31"/>
        <v>1</v>
      </c>
      <c r="L693" s="93">
        <f t="shared" si="32"/>
        <v>0</v>
      </c>
      <c r="M693" s="93">
        <f t="shared" si="33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48.306056323458392</v>
      </c>
      <c r="H694">
        <v>1.8275624999999998E-3</v>
      </c>
      <c r="I694">
        <v>-0.19984726534649189</v>
      </c>
      <c r="J694">
        <v>-3.6523336787479802E-4</v>
      </c>
      <c r="K694" s="93">
        <f t="shared" si="31"/>
        <v>1</v>
      </c>
      <c r="L694" s="93">
        <f t="shared" si="32"/>
        <v>0</v>
      </c>
      <c r="M694" s="93">
        <f t="shared" si="33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4.8723522556397576</v>
      </c>
      <c r="H695">
        <v>6.4926562499999999E-4</v>
      </c>
      <c r="I695">
        <v>-0.8500911143797294</v>
      </c>
      <c r="J695">
        <v>-5.5193493868470149E-4</v>
      </c>
      <c r="K695" s="93">
        <f t="shared" si="31"/>
        <v>1</v>
      </c>
      <c r="L695" s="93">
        <f t="shared" si="32"/>
        <v>0</v>
      </c>
      <c r="M695" s="93">
        <f t="shared" si="33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38.442228171429953</v>
      </c>
      <c r="H696">
        <v>1.3706718749999997E-3</v>
      </c>
      <c r="I696">
        <v>-0.27764620887622238</v>
      </c>
      <c r="J696">
        <v>-3.8056184970701326E-4</v>
      </c>
      <c r="K696" s="93">
        <f t="shared" si="31"/>
        <v>1</v>
      </c>
      <c r="L696" s="93">
        <f t="shared" si="32"/>
        <v>0</v>
      </c>
      <c r="M696" s="93">
        <f t="shared" si="33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63.172601516404178</v>
      </c>
      <c r="H697">
        <v>8.6568749999999992E-4</v>
      </c>
      <c r="I697">
        <v>-0.12175391227256607</v>
      </c>
      <c r="J697">
        <v>-1.0540083993045703E-4</v>
      </c>
      <c r="K697" s="93">
        <f t="shared" si="31"/>
        <v>1</v>
      </c>
      <c r="L697" s="93">
        <f t="shared" si="32"/>
        <v>0</v>
      </c>
      <c r="M697" s="93">
        <f t="shared" si="33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-4.1171713473951597</v>
      </c>
      <c r="H698">
        <v>1.3706718749999997E-3</v>
      </c>
      <c r="I698">
        <v>-1.1471023247244923</v>
      </c>
      <c r="J698">
        <v>-1.5723008942469783E-3</v>
      </c>
      <c r="K698" s="93">
        <f t="shared" si="31"/>
        <v>1</v>
      </c>
      <c r="L698" s="93">
        <f t="shared" si="32"/>
        <v>0</v>
      </c>
      <c r="M698" s="93">
        <f t="shared" si="33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30.130191857535941</v>
      </c>
      <c r="H699">
        <v>2.8936406249999991E-3</v>
      </c>
      <c r="I699">
        <v>-0.36628640342083207</v>
      </c>
      <c r="J699">
        <v>-1.0599012173236582E-3</v>
      </c>
      <c r="K699" s="93">
        <f t="shared" si="31"/>
        <v>1</v>
      </c>
      <c r="L699" s="93">
        <f t="shared" si="32"/>
        <v>0</v>
      </c>
      <c r="M699" s="93">
        <f t="shared" si="33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54.929143734746091</v>
      </c>
      <c r="H700">
        <v>1.8275624999999993E-3</v>
      </c>
      <c r="I700">
        <v>-0.16025780842860987</v>
      </c>
      <c r="J700">
        <v>-2.9288116101631122E-4</v>
      </c>
      <c r="K700" s="93">
        <f t="shared" si="31"/>
        <v>1</v>
      </c>
      <c r="L700" s="93">
        <f t="shared" si="32"/>
        <v>0</v>
      </c>
      <c r="M700" s="93">
        <f t="shared" si="33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-17</v>
      </c>
      <c r="H701">
        <v>8.6568749999999992E-4</v>
      </c>
      <c r="I701">
        <v>-1.7623826407286585</v>
      </c>
      <c r="J701">
        <v>-1.5256726222957905E-3</v>
      </c>
      <c r="K701" s="93">
        <f t="shared" si="31"/>
        <v>1</v>
      </c>
      <c r="L701" s="93">
        <f t="shared" si="32"/>
        <v>0</v>
      </c>
      <c r="M701" s="93">
        <f t="shared" si="33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21.811835241858656</v>
      </c>
      <c r="H702">
        <v>1.8275624999999995E-3</v>
      </c>
      <c r="I702">
        <v>-0.4833273194991326</v>
      </c>
      <c r="J702">
        <v>-8.8331088434213327E-4</v>
      </c>
      <c r="K702" s="93">
        <f t="shared" si="31"/>
        <v>1</v>
      </c>
      <c r="L702" s="93">
        <f t="shared" si="32"/>
        <v>0</v>
      </c>
      <c r="M702" s="93">
        <f t="shared" si="33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46.685685953088026</v>
      </c>
      <c r="H703">
        <v>1.1542499999999997E-3</v>
      </c>
      <c r="I703">
        <v>-0.21093831551668235</v>
      </c>
      <c r="J703">
        <v>-2.4347555068513055E-4</v>
      </c>
      <c r="K703" s="93">
        <f t="shared" si="31"/>
        <v>1</v>
      </c>
      <c r="L703" s="93">
        <f t="shared" si="32"/>
        <v>0</v>
      </c>
      <c r="M703" s="93">
        <f t="shared" si="33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7.7663216606651506</v>
      </c>
      <c r="H704">
        <v>3.0754687500000004E-4</v>
      </c>
      <c r="I704">
        <v>-0.77191766307839438</v>
      </c>
      <c r="J704">
        <v>-2.3740086503706311E-4</v>
      </c>
      <c r="K704" s="93">
        <f t="shared" si="31"/>
        <v>1</v>
      </c>
      <c r="L704" s="93">
        <f t="shared" si="32"/>
        <v>0</v>
      </c>
      <c r="M704" s="93">
        <f t="shared" si="33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41.034820764022548</v>
      </c>
      <c r="H705">
        <v>6.4926562499999999E-4</v>
      </c>
      <c r="I705">
        <v>-0.25465964297612242</v>
      </c>
      <c r="J705">
        <v>-1.6534175225916899E-4</v>
      </c>
      <c r="K705" s="93">
        <f t="shared" si="31"/>
        <v>1</v>
      </c>
      <c r="L705" s="93">
        <f t="shared" si="32"/>
        <v>0</v>
      </c>
      <c r="M705" s="93">
        <f t="shared" si="33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65.765194108996766</v>
      </c>
      <c r="H706">
        <v>4.100625E-4</v>
      </c>
      <c r="I706">
        <v>-0.11167380226718866</v>
      </c>
      <c r="J706">
        <v>-4.5793238542189054E-5</v>
      </c>
      <c r="K706" s="93">
        <f t="shared" si="31"/>
        <v>1</v>
      </c>
      <c r="L706" s="93">
        <f t="shared" si="32"/>
        <v>0</v>
      </c>
      <c r="M706" s="93">
        <f t="shared" si="33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-0.96030536397420951</v>
      </c>
      <c r="H707">
        <v>6.4926562499999999E-4</v>
      </c>
      <c r="I707">
        <v>-1.0325280151469025</v>
      </c>
      <c r="J707">
        <v>-6.7038494708436308E-4</v>
      </c>
      <c r="K707" s="93">
        <f t="shared" ref="K707:K730" si="34">IF(A707=3,1,0)</f>
        <v>1</v>
      </c>
      <c r="L707" s="93">
        <f t="shared" ref="L707:L730" si="35">IF(A707=2,1,0)</f>
        <v>0</v>
      </c>
      <c r="M707" s="93">
        <f t="shared" ref="M707:M730" si="36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32.791362982364475</v>
      </c>
      <c r="H708">
        <v>1.3706718749999997E-3</v>
      </c>
      <c r="I708">
        <v>-0.33519412655260761</v>
      </c>
      <c r="J708">
        <v>-4.5944116193084985E-4</v>
      </c>
      <c r="K708" s="93">
        <f t="shared" si="34"/>
        <v>1</v>
      </c>
      <c r="L708" s="93">
        <f t="shared" si="35"/>
        <v>0</v>
      </c>
      <c r="M708" s="93">
        <f t="shared" si="36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57.521736327338687</v>
      </c>
      <c r="H709">
        <v>8.6568749999999992E-4</v>
      </c>
      <c r="I709">
        <v>-0.14698992809500125</v>
      </c>
      <c r="J709">
        <v>-1.2724734337774137E-4</v>
      </c>
      <c r="K709" s="93">
        <f t="shared" si="34"/>
        <v>1</v>
      </c>
      <c r="L709" s="93">
        <f t="shared" si="35"/>
        <v>0</v>
      </c>
      <c r="M709" s="93">
        <f t="shared" si="36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-13</v>
      </c>
      <c r="H710">
        <v>4.100625E-4</v>
      </c>
      <c r="I710">
        <v>-1.5423902651101746</v>
      </c>
      <c r="J710">
        <v>-6.3247640808674103E-4</v>
      </c>
      <c r="K710" s="93">
        <f t="shared" si="34"/>
        <v>1</v>
      </c>
      <c r="L710" s="93">
        <f t="shared" si="35"/>
        <v>0</v>
      </c>
      <c r="M710" s="93">
        <f t="shared" si="36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24.508680234999947</v>
      </c>
      <c r="H711">
        <v>8.6568749999999992E-4</v>
      </c>
      <c r="I711">
        <v>-0.44177436757952165</v>
      </c>
      <c r="J711">
        <v>-3.8243854783399711E-4</v>
      </c>
      <c r="K711" s="93">
        <f t="shared" si="34"/>
        <v>1</v>
      </c>
      <c r="L711" s="93">
        <f t="shared" si="35"/>
        <v>0</v>
      </c>
      <c r="M711" s="93">
        <f t="shared" si="36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49.278278545680621</v>
      </c>
      <c r="H712">
        <v>5.4674999999999993E-4</v>
      </c>
      <c r="I712">
        <v>-0.19347455287390877</v>
      </c>
      <c r="J712">
        <v>-1.057822117838096E-4</v>
      </c>
      <c r="K712" s="93">
        <f t="shared" si="34"/>
        <v>1</v>
      </c>
      <c r="L712" s="93">
        <f t="shared" si="35"/>
        <v>0</v>
      </c>
      <c r="M712" s="93">
        <f t="shared" si="36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6.6852886767591286</v>
      </c>
      <c r="H713">
        <v>6.492656250000001E-4</v>
      </c>
      <c r="I713">
        <v>-0.80024051248445593</v>
      </c>
      <c r="J713">
        <v>-5.195686564885407E-4</v>
      </c>
      <c r="K713" s="93">
        <f t="shared" si="34"/>
        <v>1</v>
      </c>
      <c r="L713" s="93">
        <f t="shared" si="35"/>
        <v>0</v>
      </c>
      <c r="M713" s="93">
        <f t="shared" si="36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40.06259854180032</v>
      </c>
      <c r="H714">
        <v>1.3706718749999999E-3</v>
      </c>
      <c r="I714">
        <v>-0.26304768501550713</v>
      </c>
      <c r="J714">
        <v>-3.6055206363461455E-4</v>
      </c>
      <c r="K714" s="93">
        <f t="shared" si="34"/>
        <v>1</v>
      </c>
      <c r="L714" s="93">
        <f t="shared" si="35"/>
        <v>0</v>
      </c>
      <c r="M714" s="93">
        <f t="shared" si="36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64.792971886774538</v>
      </c>
      <c r="H715">
        <v>8.6568750000000003E-4</v>
      </c>
      <c r="I715">
        <v>-0.11535214146992968</v>
      </c>
      <c r="J715">
        <v>-9.9858906968749756E-5</v>
      </c>
      <c r="K715" s="93">
        <f t="shared" si="34"/>
        <v>1</v>
      </c>
      <c r="L715" s="93">
        <f t="shared" si="35"/>
        <v>0</v>
      </c>
      <c r="M715" s="93">
        <f t="shared" si="36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-2.127715838674793</v>
      </c>
      <c r="H716">
        <v>1.3706718749999999E-3</v>
      </c>
      <c r="I716">
        <v>-1.0734994878895892</v>
      </c>
      <c r="J716">
        <v>-1.4714155558771629E-3</v>
      </c>
      <c r="K716" s="93">
        <f t="shared" si="34"/>
        <v>1</v>
      </c>
      <c r="L716" s="93">
        <f t="shared" si="35"/>
        <v>0</v>
      </c>
      <c r="M716" s="93">
        <f t="shared" si="36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31.815719978249248</v>
      </c>
      <c r="H717">
        <v>2.8936406249999995E-3</v>
      </c>
      <c r="I717">
        <v>-0.34627431529242059</v>
      </c>
      <c r="J717">
        <v>-1.0019934261242067E-3</v>
      </c>
      <c r="K717" s="93">
        <f t="shared" si="34"/>
        <v>1</v>
      </c>
      <c r="L717" s="93">
        <f t="shared" si="35"/>
        <v>0</v>
      </c>
      <c r="M717" s="93">
        <f t="shared" si="36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56.549514105116465</v>
      </c>
      <c r="H718">
        <v>1.8275624999999998E-3</v>
      </c>
      <c r="I718">
        <v>-0.15183151854811672</v>
      </c>
      <c r="J718">
        <v>-2.7748158961659252E-4</v>
      </c>
      <c r="K718" s="93">
        <f t="shared" si="34"/>
        <v>1</v>
      </c>
      <c r="L718" s="93">
        <f t="shared" si="35"/>
        <v>0</v>
      </c>
      <c r="M718" s="93">
        <f t="shared" si="36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-14.5</v>
      </c>
      <c r="H719">
        <v>8.6568749999999992E-4</v>
      </c>
      <c r="I719">
        <v>-1.6214703050420796</v>
      </c>
      <c r="J719">
        <v>-1.403686574696115E-3</v>
      </c>
      <c r="K719" s="93">
        <f t="shared" si="34"/>
        <v>1</v>
      </c>
      <c r="L719" s="93">
        <f t="shared" si="35"/>
        <v>0</v>
      </c>
      <c r="M719" s="93">
        <f t="shared" si="36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23.497363362571964</v>
      </c>
      <c r="H720">
        <v>1.8275624999999998E-3</v>
      </c>
      <c r="I720">
        <v>-0.45692069118218459</v>
      </c>
      <c r="J720">
        <v>-8.3505112067864108E-4</v>
      </c>
      <c r="K720" s="93">
        <f t="shared" si="34"/>
        <v>1</v>
      </c>
      <c r="L720" s="93">
        <f t="shared" si="35"/>
        <v>0</v>
      </c>
      <c r="M720" s="93">
        <f t="shared" si="36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48.306056323458392</v>
      </c>
      <c r="H721">
        <v>1.1542499999999999E-3</v>
      </c>
      <c r="I721">
        <v>-0.19984726534649189</v>
      </c>
      <c r="J721">
        <v>-2.3067370602618823E-4</v>
      </c>
      <c r="K721" s="93">
        <f t="shared" si="34"/>
        <v>1</v>
      </c>
      <c r="L721" s="93">
        <f t="shared" si="35"/>
        <v>0</v>
      </c>
      <c r="M721" s="93">
        <f t="shared" si="36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4.8723522556397576</v>
      </c>
      <c r="H722">
        <v>4.100625E-4</v>
      </c>
      <c r="I722">
        <v>-0.8500911143797294</v>
      </c>
      <c r="J722">
        <v>-3.4859048759033781E-4</v>
      </c>
      <c r="K722" s="93">
        <f t="shared" si="34"/>
        <v>1</v>
      </c>
      <c r="L722" s="93">
        <f t="shared" si="35"/>
        <v>0</v>
      </c>
      <c r="M722" s="93">
        <f t="shared" si="36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38.442228171429953</v>
      </c>
      <c r="H723">
        <v>8.6568749999999992E-4</v>
      </c>
      <c r="I723">
        <v>-0.27764620887622238</v>
      </c>
      <c r="J723">
        <v>-2.4035485244653474E-4</v>
      </c>
      <c r="K723" s="93">
        <f t="shared" si="34"/>
        <v>1</v>
      </c>
      <c r="L723" s="93">
        <f t="shared" si="35"/>
        <v>0</v>
      </c>
      <c r="M723" s="93">
        <f t="shared" si="36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63.172601516404178</v>
      </c>
      <c r="H724">
        <v>5.4674999999999993E-4</v>
      </c>
      <c r="I724">
        <v>-0.12175391227256607</v>
      </c>
      <c r="J724">
        <v>-6.6568951535025486E-5</v>
      </c>
      <c r="K724" s="93">
        <f t="shared" si="34"/>
        <v>1</v>
      </c>
      <c r="L724" s="93">
        <f t="shared" si="35"/>
        <v>0</v>
      </c>
      <c r="M724" s="93">
        <f t="shared" si="36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-4.1171713473951597</v>
      </c>
      <c r="H725">
        <v>8.6568749999999992E-4</v>
      </c>
      <c r="I725">
        <v>-1.1471023247244923</v>
      </c>
      <c r="J725">
        <v>-9.9303214373493371E-4</v>
      </c>
      <c r="K725" s="93">
        <f t="shared" si="34"/>
        <v>1</v>
      </c>
      <c r="L725" s="93">
        <f t="shared" si="35"/>
        <v>0</v>
      </c>
      <c r="M725" s="93">
        <f t="shared" si="36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30.130191857535941</v>
      </c>
      <c r="H726">
        <v>1.8275624999999998E-3</v>
      </c>
      <c r="I726">
        <v>-0.36628640342083207</v>
      </c>
      <c r="J726">
        <v>-6.6941129515178438E-4</v>
      </c>
      <c r="K726" s="93">
        <f t="shared" si="34"/>
        <v>1</v>
      </c>
      <c r="L726" s="93">
        <f t="shared" si="35"/>
        <v>0</v>
      </c>
      <c r="M726" s="93">
        <f t="shared" si="36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54.929143734746091</v>
      </c>
      <c r="H727">
        <v>1.1542499999999999E-3</v>
      </c>
      <c r="I727">
        <v>-0.16025780842860987</v>
      </c>
      <c r="J727">
        <v>-1.8497757537872293E-4</v>
      </c>
      <c r="K727" s="93">
        <f t="shared" si="34"/>
        <v>1</v>
      </c>
      <c r="L727" s="93">
        <f t="shared" si="35"/>
        <v>0</v>
      </c>
      <c r="M727" s="93">
        <f t="shared" si="36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-17</v>
      </c>
      <c r="H728">
        <v>5.4675000000000004E-4</v>
      </c>
      <c r="I728">
        <v>-1.7623826407286585</v>
      </c>
      <c r="J728">
        <v>-9.6358270881839411E-4</v>
      </c>
      <c r="K728" s="93">
        <f t="shared" si="34"/>
        <v>1</v>
      </c>
      <c r="L728" s="93">
        <f t="shared" si="35"/>
        <v>0</v>
      </c>
      <c r="M728" s="93">
        <f t="shared" si="36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21.811835241858656</v>
      </c>
      <c r="H729">
        <v>1.1542499999999999E-3</v>
      </c>
      <c r="I729">
        <v>-0.4833273194991326</v>
      </c>
      <c r="J729">
        <v>-5.5788055853187371E-4</v>
      </c>
      <c r="K729" s="93">
        <f t="shared" si="34"/>
        <v>1</v>
      </c>
      <c r="L729" s="93">
        <f t="shared" si="35"/>
        <v>0</v>
      </c>
      <c r="M729" s="93">
        <f t="shared" si="36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46.685685953088026</v>
      </c>
      <c r="H730">
        <v>7.2899999999999994E-4</v>
      </c>
      <c r="I730">
        <v>-0.21093831551668235</v>
      </c>
      <c r="J730">
        <v>-1.5377403201166141E-4</v>
      </c>
      <c r="K730" s="93">
        <f t="shared" si="34"/>
        <v>1</v>
      </c>
      <c r="L730" s="93">
        <f t="shared" si="35"/>
        <v>0</v>
      </c>
      <c r="M730" s="93">
        <f t="shared" si="36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730"/>
  <sheetViews>
    <sheetView workbookViewId="0">
      <selection activeCell="K2" sqref="K2:S6"/>
    </sheetView>
  </sheetViews>
  <sheetFormatPr defaultRowHeight="14.25" x14ac:dyDescent="0.45"/>
  <sheetData>
    <row r="1" spans="1:19" x14ac:dyDescent="0.45">
      <c r="G1" t="s">
        <v>84</v>
      </c>
      <c r="H1" t="s">
        <v>75</v>
      </c>
      <c r="I1" t="s">
        <v>87</v>
      </c>
      <c r="J1" t="s">
        <v>88</v>
      </c>
      <c r="K1" s="93" t="s">
        <v>89</v>
      </c>
      <c r="L1" s="93" t="s">
        <v>91</v>
      </c>
      <c r="M1" s="93" t="s">
        <v>90</v>
      </c>
      <c r="N1" s="93" t="s">
        <v>89</v>
      </c>
      <c r="O1" s="93" t="s">
        <v>91</v>
      </c>
      <c r="P1" s="93" t="s">
        <v>90</v>
      </c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0.96779825605756109</v>
      </c>
      <c r="H2">
        <v>1.2974633789062504E-4</v>
      </c>
      <c r="I2">
        <v>-0.96825485938656564</v>
      </c>
      <c r="J2">
        <v>-1.2562752215020898E-4</v>
      </c>
      <c r="K2" s="93">
        <f>IF(A2=3,1,0)</f>
        <v>0</v>
      </c>
      <c r="L2" s="93">
        <f>IF(A2=2,1,0)</f>
        <v>0</v>
      </c>
      <c r="M2" s="93">
        <f>IF(A2=1,1,0)</f>
        <v>1</v>
      </c>
      <c r="N2">
        <f>SUMPRODUCT($G$2:$G$730,$H$2:$H$730,K2:K730)</f>
        <v>5.4019034698408328</v>
      </c>
      <c r="O2">
        <f>SUMPRODUCT($G$2:$G$730,$H$2:$H$730,L2:L730)</f>
        <v>5.1978591092784017</v>
      </c>
      <c r="P2">
        <f t="shared" ref="P2" si="0">SUMPRODUCT($G$2:$G$730,$H$2:$H$730,M2:M730)</f>
        <v>0.98044131465982964</v>
      </c>
      <c r="R2" s="94" t="s">
        <v>86</v>
      </c>
      <c r="S2" s="94">
        <f>SUM(J2:J730)</f>
        <v>-0.7067842910100417</v>
      </c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2.9033947681726828</v>
      </c>
      <c r="H3">
        <v>2.7390893554687506E-4</v>
      </c>
      <c r="I3">
        <v>-0.90775584872646908</v>
      </c>
      <c r="J3">
        <v>-2.4864243826111727E-4</v>
      </c>
      <c r="K3" s="93">
        <f t="shared" ref="K3:K66" si="1">IF(A3=3,1,0)</f>
        <v>0</v>
      </c>
      <c r="L3" s="93">
        <f t="shared" ref="L3:L66" si="2">IF(A3=2,1,0)</f>
        <v>0</v>
      </c>
      <c r="M3" s="93">
        <f t="shared" ref="M3:M66" si="3">IF(A3=1,1,0)</f>
        <v>1</v>
      </c>
      <c r="R3" s="94"/>
      <c r="S3" s="94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4.3550921522590267</v>
      </c>
      <c r="H4">
        <v>1.7299511718750005E-4</v>
      </c>
      <c r="I4">
        <v>-0.86487547806370424</v>
      </c>
      <c r="J4">
        <v>-1.4961923468022564E-4</v>
      </c>
      <c r="K4" s="93">
        <f t="shared" si="1"/>
        <v>0</v>
      </c>
      <c r="L4" s="93">
        <f t="shared" si="2"/>
        <v>0</v>
      </c>
      <c r="M4" s="93">
        <f t="shared" si="3"/>
        <v>1</v>
      </c>
      <c r="R4" s="94" t="s">
        <v>93</v>
      </c>
      <c r="S4" s="94">
        <f>-LN(-1*S2)/(1/risk_tol)</f>
        <v>10.410892928785946</v>
      </c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0.48389912802878188</v>
      </c>
      <c r="H5">
        <v>2.73908935546875E-4</v>
      </c>
      <c r="I5">
        <v>-0.98399942041983213</v>
      </c>
      <c r="J5">
        <v>-2.6952623382593818E-4</v>
      </c>
      <c r="K5" s="93">
        <f t="shared" si="1"/>
        <v>0</v>
      </c>
      <c r="L5" s="93">
        <f t="shared" si="2"/>
        <v>0</v>
      </c>
      <c r="M5" s="93">
        <f t="shared" si="3"/>
        <v>1</v>
      </c>
      <c r="R5" s="94"/>
      <c r="S5" s="94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2.4194956401439036</v>
      </c>
      <c r="H6">
        <v>5.7825219726562497E-4</v>
      </c>
      <c r="I6">
        <v>-0.92251664979555259</v>
      </c>
      <c r="J6">
        <v>-5.3344727975840138E-4</v>
      </c>
      <c r="K6" s="93">
        <f t="shared" si="1"/>
        <v>0</v>
      </c>
      <c r="L6" s="93">
        <f t="shared" si="2"/>
        <v>0</v>
      </c>
      <c r="M6" s="93">
        <f t="shared" si="3"/>
        <v>1</v>
      </c>
      <c r="R6" s="94" t="s">
        <v>83</v>
      </c>
      <c r="S6" s="94">
        <f>SUMPRODUCT(G2:G730,H2:H730)</f>
        <v>11.580203893779061</v>
      </c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3.8711930242302457</v>
      </c>
      <c r="H7">
        <v>3.652119140625E-4</v>
      </c>
      <c r="I7">
        <v>-0.87893901166597987</v>
      </c>
      <c r="J7">
        <v>-3.2099899879473455E-4</v>
      </c>
      <c r="K7" s="93">
        <f t="shared" si="1"/>
        <v>0</v>
      </c>
      <c r="L7" s="93">
        <f t="shared" si="2"/>
        <v>0</v>
      </c>
      <c r="M7" s="93">
        <f t="shared" si="3"/>
        <v>1</v>
      </c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1.7299511718750003E-4</v>
      </c>
      <c r="I8">
        <v>-1</v>
      </c>
      <c r="J8">
        <v>-1.7299511718750003E-4</v>
      </c>
      <c r="K8" s="93">
        <f t="shared" si="1"/>
        <v>0</v>
      </c>
      <c r="L8" s="93">
        <f t="shared" si="2"/>
        <v>0</v>
      </c>
      <c r="M8" s="93">
        <f t="shared" si="3"/>
        <v>1</v>
      </c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1.9355965121151222</v>
      </c>
      <c r="H9">
        <v>3.6521191406250006E-4</v>
      </c>
      <c r="I9">
        <v>-0.93751747272569796</v>
      </c>
      <c r="J9">
        <v>-3.4239255068118984E-4</v>
      </c>
      <c r="K9" s="93">
        <f t="shared" si="1"/>
        <v>0</v>
      </c>
      <c r="L9" s="93">
        <f t="shared" si="2"/>
        <v>0</v>
      </c>
      <c r="M9" s="93">
        <f t="shared" si="3"/>
        <v>1</v>
      </c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3.3872938962014643</v>
      </c>
      <c r="H10">
        <v>2.3066015625000002E-4</v>
      </c>
      <c r="I10">
        <v>-0.89323122902955843</v>
      </c>
      <c r="J10">
        <v>-2.0603285485533749E-4</v>
      </c>
      <c r="K10" s="93">
        <f t="shared" si="1"/>
        <v>0</v>
      </c>
      <c r="L10" s="93">
        <f t="shared" si="2"/>
        <v>0</v>
      </c>
      <c r="M10" s="93">
        <f t="shared" si="3"/>
        <v>1</v>
      </c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0.96779825605756109</v>
      </c>
      <c r="H11">
        <v>2.7390893554687506E-4</v>
      </c>
      <c r="I11">
        <v>-0.96825485938656564</v>
      </c>
      <c r="J11">
        <v>-2.6521365787266339E-4</v>
      </c>
      <c r="K11" s="93">
        <f t="shared" si="1"/>
        <v>0</v>
      </c>
      <c r="L11" s="93">
        <f t="shared" si="2"/>
        <v>0</v>
      </c>
      <c r="M11" s="93">
        <f t="shared" si="3"/>
        <v>1</v>
      </c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2.9033947681726828</v>
      </c>
      <c r="H12">
        <v>5.7825219726562508E-4</v>
      </c>
      <c r="I12">
        <v>-0.90775584872646908</v>
      </c>
      <c r="J12">
        <v>-5.2491181410680311E-4</v>
      </c>
      <c r="K12" s="93">
        <f t="shared" si="1"/>
        <v>0</v>
      </c>
      <c r="L12" s="93">
        <f t="shared" si="2"/>
        <v>0</v>
      </c>
      <c r="M12" s="93">
        <f t="shared" si="3"/>
        <v>1</v>
      </c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4.3550921522590267</v>
      </c>
      <c r="H13">
        <v>3.6521191406250006E-4</v>
      </c>
      <c r="I13">
        <v>-0.86487547806370424</v>
      </c>
      <c r="J13">
        <v>-3.1586282876936518E-4</v>
      </c>
      <c r="K13" s="93">
        <f t="shared" si="1"/>
        <v>0</v>
      </c>
      <c r="L13" s="93">
        <f t="shared" si="2"/>
        <v>0</v>
      </c>
      <c r="M13" s="93">
        <f t="shared" si="3"/>
        <v>1</v>
      </c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0.48389912802878188</v>
      </c>
      <c r="H14">
        <v>5.7825219726562508E-4</v>
      </c>
      <c r="I14">
        <v>-0.98399942041983213</v>
      </c>
      <c r="J14">
        <v>-5.6899982696586953E-4</v>
      </c>
      <c r="K14" s="93">
        <f t="shared" si="1"/>
        <v>0</v>
      </c>
      <c r="L14" s="93">
        <f t="shared" si="2"/>
        <v>0</v>
      </c>
      <c r="M14" s="93">
        <f t="shared" si="3"/>
        <v>1</v>
      </c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2.4194956401439036</v>
      </c>
      <c r="H15">
        <v>1.220754638671875E-3</v>
      </c>
      <c r="I15">
        <v>-0.92251664979555259</v>
      </c>
      <c r="J15">
        <v>-1.1261664794899584E-3</v>
      </c>
      <c r="K15" s="93">
        <f t="shared" si="1"/>
        <v>0</v>
      </c>
      <c r="L15" s="93">
        <f t="shared" si="2"/>
        <v>0</v>
      </c>
      <c r="M15" s="93">
        <f t="shared" si="3"/>
        <v>1</v>
      </c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3.8711930242302457</v>
      </c>
      <c r="H16">
        <v>7.7100292968750007E-4</v>
      </c>
      <c r="I16">
        <v>-0.87893901166597987</v>
      </c>
      <c r="J16">
        <v>-6.7766455301110633E-4</v>
      </c>
      <c r="K16" s="93">
        <f t="shared" si="1"/>
        <v>0</v>
      </c>
      <c r="L16" s="93">
        <f t="shared" si="2"/>
        <v>0</v>
      </c>
      <c r="M16" s="93">
        <f t="shared" si="3"/>
        <v>1</v>
      </c>
    </row>
    <row r="17" spans="1:13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3.6521191406250006E-4</v>
      </c>
      <c r="I17">
        <v>-1</v>
      </c>
      <c r="J17">
        <v>-3.6521191406250006E-4</v>
      </c>
      <c r="K17" s="93">
        <f t="shared" si="1"/>
        <v>0</v>
      </c>
      <c r="L17" s="93">
        <f t="shared" si="2"/>
        <v>0</v>
      </c>
      <c r="M17" s="93">
        <f t="shared" si="3"/>
        <v>1</v>
      </c>
    </row>
    <row r="18" spans="1:13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1.9355965121151222</v>
      </c>
      <c r="H18">
        <v>7.7100292968750007E-4</v>
      </c>
      <c r="I18">
        <v>-0.93751747272569796</v>
      </c>
      <c r="J18">
        <v>-7.2282871810473411E-4</v>
      </c>
      <c r="K18" s="93">
        <f t="shared" si="1"/>
        <v>0</v>
      </c>
      <c r="L18" s="93">
        <f t="shared" si="2"/>
        <v>0</v>
      </c>
      <c r="M18" s="93">
        <f t="shared" si="3"/>
        <v>1</v>
      </c>
    </row>
    <row r="19" spans="1:13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3.3872938962014643</v>
      </c>
      <c r="H19">
        <v>4.8694921875000008E-4</v>
      </c>
      <c r="I19">
        <v>-0.89323122902955843</v>
      </c>
      <c r="J19">
        <v>-4.3495824913904587E-4</v>
      </c>
      <c r="K19" s="93">
        <f t="shared" si="1"/>
        <v>0</v>
      </c>
      <c r="L19" s="93">
        <f t="shared" si="2"/>
        <v>0</v>
      </c>
      <c r="M19" s="93">
        <f t="shared" si="3"/>
        <v>1</v>
      </c>
    </row>
    <row r="20" spans="1:13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0.96779825605756109</v>
      </c>
      <c r="H20">
        <v>1.7299511718750003E-4</v>
      </c>
      <c r="I20">
        <v>-0.96825485938656564</v>
      </c>
      <c r="J20">
        <v>-1.6750336286694528E-4</v>
      </c>
      <c r="K20" s="93">
        <f t="shared" si="1"/>
        <v>0</v>
      </c>
      <c r="L20" s="93">
        <f t="shared" si="2"/>
        <v>0</v>
      </c>
      <c r="M20" s="93">
        <f t="shared" si="3"/>
        <v>1</v>
      </c>
    </row>
    <row r="21" spans="1:13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2.9033947681726828</v>
      </c>
      <c r="H21">
        <v>3.6521191406250006E-4</v>
      </c>
      <c r="I21">
        <v>-0.90775584872646908</v>
      </c>
      <c r="J21">
        <v>-3.3152325101482304E-4</v>
      </c>
      <c r="K21" s="93">
        <f t="shared" si="1"/>
        <v>0</v>
      </c>
      <c r="L21" s="93">
        <f t="shared" si="2"/>
        <v>0</v>
      </c>
      <c r="M21" s="93">
        <f t="shared" si="3"/>
        <v>1</v>
      </c>
    </row>
    <row r="22" spans="1:13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4.3550921522590267</v>
      </c>
      <c r="H22">
        <v>2.3066015625000002E-4</v>
      </c>
      <c r="I22">
        <v>-0.86487547806370424</v>
      </c>
      <c r="J22">
        <v>-1.9949231290696749E-4</v>
      </c>
      <c r="K22" s="93">
        <f t="shared" si="1"/>
        <v>0</v>
      </c>
      <c r="L22" s="93">
        <f t="shared" si="2"/>
        <v>0</v>
      </c>
      <c r="M22" s="93">
        <f t="shared" si="3"/>
        <v>1</v>
      </c>
    </row>
    <row r="23" spans="1:13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0.48389912802878188</v>
      </c>
      <c r="H23">
        <v>3.6521191406250006E-4</v>
      </c>
      <c r="I23">
        <v>-0.98399942041983213</v>
      </c>
      <c r="J23">
        <v>-3.5936831176791757E-4</v>
      </c>
      <c r="K23" s="93">
        <f t="shared" si="1"/>
        <v>0</v>
      </c>
      <c r="L23" s="93">
        <f t="shared" si="2"/>
        <v>0</v>
      </c>
      <c r="M23" s="93">
        <f t="shared" si="3"/>
        <v>1</v>
      </c>
    </row>
    <row r="24" spans="1:13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2.4194956401439036</v>
      </c>
      <c r="H24">
        <v>7.7100292968750007E-4</v>
      </c>
      <c r="I24">
        <v>-0.92251664979555259</v>
      </c>
      <c r="J24">
        <v>-7.1126303967786859E-4</v>
      </c>
      <c r="K24" s="93">
        <f t="shared" si="1"/>
        <v>0</v>
      </c>
      <c r="L24" s="93">
        <f t="shared" si="2"/>
        <v>0</v>
      </c>
      <c r="M24" s="93">
        <f t="shared" si="3"/>
        <v>1</v>
      </c>
    </row>
    <row r="25" spans="1:13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3.8711930242302457</v>
      </c>
      <c r="H25">
        <v>4.8694921875000008E-4</v>
      </c>
      <c r="I25">
        <v>-0.87893901166597987</v>
      </c>
      <c r="J25">
        <v>-4.279986650596461E-4</v>
      </c>
      <c r="K25" s="93">
        <f t="shared" si="1"/>
        <v>0</v>
      </c>
      <c r="L25" s="93">
        <f t="shared" si="2"/>
        <v>0</v>
      </c>
      <c r="M25" s="93">
        <f t="shared" si="3"/>
        <v>1</v>
      </c>
    </row>
    <row r="26" spans="1:13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0</v>
      </c>
      <c r="H26">
        <v>2.3066015625000002E-4</v>
      </c>
      <c r="I26">
        <v>-1</v>
      </c>
      <c r="J26">
        <v>-2.3066015625000002E-4</v>
      </c>
      <c r="K26" s="93">
        <f t="shared" si="1"/>
        <v>0</v>
      </c>
      <c r="L26" s="93">
        <f t="shared" si="2"/>
        <v>0</v>
      </c>
      <c r="M26" s="93">
        <f t="shared" si="3"/>
        <v>1</v>
      </c>
    </row>
    <row r="27" spans="1:13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1.9355965121151222</v>
      </c>
      <c r="H27">
        <v>4.8694921874999997E-4</v>
      </c>
      <c r="I27">
        <v>-0.93751747272569796</v>
      </c>
      <c r="J27">
        <v>-4.5652340090825301E-4</v>
      </c>
      <c r="K27" s="93">
        <f t="shared" si="1"/>
        <v>0</v>
      </c>
      <c r="L27" s="93">
        <f t="shared" si="2"/>
        <v>0</v>
      </c>
      <c r="M27" s="93">
        <f t="shared" si="3"/>
        <v>1</v>
      </c>
    </row>
    <row r="28" spans="1:13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3.3872938962014643</v>
      </c>
      <c r="H28">
        <v>3.0754687499999999E-4</v>
      </c>
      <c r="I28">
        <v>-0.89323122902955843</v>
      </c>
      <c r="J28">
        <v>-2.7471047314044995E-4</v>
      </c>
      <c r="K28" s="93">
        <f t="shared" si="1"/>
        <v>0</v>
      </c>
      <c r="L28" s="93">
        <f t="shared" si="2"/>
        <v>0</v>
      </c>
      <c r="M28" s="93">
        <f t="shared" si="3"/>
        <v>1</v>
      </c>
    </row>
    <row r="29" spans="1:13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5.3601134181649543</v>
      </c>
      <c r="H29">
        <v>3.652119140625E-4</v>
      </c>
      <c r="I29">
        <v>-0.83638148578456939</v>
      </c>
      <c r="J29">
        <v>-3.0545648330982024E-4</v>
      </c>
      <c r="K29" s="93">
        <f t="shared" si="1"/>
        <v>0</v>
      </c>
      <c r="L29" s="93">
        <f t="shared" si="2"/>
        <v>0</v>
      </c>
      <c r="M29" s="93">
        <f t="shared" si="3"/>
        <v>1</v>
      </c>
    </row>
    <row r="30" spans="1:13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3.5734089454433042</v>
      </c>
      <c r="H30">
        <v>5.7825219726562497E-4</v>
      </c>
      <c r="I30">
        <v>-0.88770692354824265</v>
      </c>
      <c r="J30">
        <v>-5.1331847906967946E-4</v>
      </c>
      <c r="K30" s="93">
        <f t="shared" si="1"/>
        <v>0</v>
      </c>
      <c r="L30" s="93">
        <f t="shared" si="2"/>
        <v>0</v>
      </c>
      <c r="M30" s="93">
        <f t="shared" si="3"/>
        <v>1</v>
      </c>
    </row>
    <row r="31" spans="1:13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5.3601134181649543</v>
      </c>
      <c r="H31">
        <v>3.652119140625E-4</v>
      </c>
      <c r="I31">
        <v>-0.83638148578456939</v>
      </c>
      <c r="J31">
        <v>-3.0545648330982024E-4</v>
      </c>
      <c r="K31" s="93">
        <f t="shared" si="1"/>
        <v>0</v>
      </c>
      <c r="L31" s="93">
        <f t="shared" si="2"/>
        <v>0</v>
      </c>
      <c r="M31" s="93">
        <f t="shared" si="3"/>
        <v>1</v>
      </c>
    </row>
    <row r="32" spans="1:13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0.59556815757388393</v>
      </c>
      <c r="H32">
        <v>5.7825219726562497E-4</v>
      </c>
      <c r="I32">
        <v>-0.98034348687188644</v>
      </c>
      <c r="J32">
        <v>-5.6688577535871272E-4</v>
      </c>
      <c r="K32" s="93">
        <f t="shared" si="1"/>
        <v>0</v>
      </c>
      <c r="L32" s="93">
        <f t="shared" si="2"/>
        <v>0</v>
      </c>
      <c r="M32" s="93">
        <f t="shared" si="3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2.9778407878694191</v>
      </c>
      <c r="H33">
        <v>1.2207546386718748E-3</v>
      </c>
      <c r="I33">
        <v>-0.90550601440804013</v>
      </c>
      <c r="J33">
        <v>-1.1054006674338964E-3</v>
      </c>
      <c r="K33" s="93">
        <f t="shared" si="1"/>
        <v>0</v>
      </c>
      <c r="L33" s="93">
        <f t="shared" si="2"/>
        <v>0</v>
      </c>
      <c r="M33" s="93">
        <f t="shared" si="3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4.7645452605910714</v>
      </c>
      <c r="H34">
        <v>7.7100292968749996E-4</v>
      </c>
      <c r="I34">
        <v>-0.8531514688319336</v>
      </c>
      <c r="J34">
        <v>-6.5778228193661466E-4</v>
      </c>
      <c r="K34" s="93">
        <f t="shared" si="1"/>
        <v>0</v>
      </c>
      <c r="L34" s="93">
        <f t="shared" si="2"/>
        <v>0</v>
      </c>
      <c r="M34" s="93">
        <f t="shared" si="3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3.652119140625E-4</v>
      </c>
      <c r="I35">
        <v>-1</v>
      </c>
      <c r="J35">
        <v>-3.652119140625E-4</v>
      </c>
      <c r="K35" s="93">
        <f t="shared" si="1"/>
        <v>0</v>
      </c>
      <c r="L35" s="93">
        <f t="shared" si="2"/>
        <v>0</v>
      </c>
      <c r="M35" s="93">
        <f t="shared" si="3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2.3822726302955366</v>
      </c>
      <c r="H36">
        <v>7.7100292968749996E-4</v>
      </c>
      <c r="I36">
        <v>-0.92366198840914393</v>
      </c>
      <c r="J36">
        <v>-7.1214609910443157E-4</v>
      </c>
      <c r="K36" s="93">
        <f t="shared" si="1"/>
        <v>0</v>
      </c>
      <c r="L36" s="93">
        <f t="shared" si="2"/>
        <v>0</v>
      </c>
      <c r="M36" s="93">
        <f t="shared" si="3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4.1689771030171885</v>
      </c>
      <c r="H37">
        <v>4.8694921874999997E-4</v>
      </c>
      <c r="I37">
        <v>-0.87025770075159936</v>
      </c>
      <c r="J37">
        <v>-4.2377130749216257E-4</v>
      </c>
      <c r="K37" s="93">
        <f t="shared" si="1"/>
        <v>0</v>
      </c>
      <c r="L37" s="93">
        <f t="shared" si="2"/>
        <v>0</v>
      </c>
      <c r="M37" s="93">
        <f t="shared" si="3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1.1911363151477687</v>
      </c>
      <c r="H38">
        <v>5.7825219726562497E-4</v>
      </c>
      <c r="I38">
        <v>-0.96107335225212853</v>
      </c>
      <c r="J38">
        <v>-5.5574277767323334E-4</v>
      </c>
      <c r="K38" s="93">
        <f t="shared" si="1"/>
        <v>0</v>
      </c>
      <c r="L38" s="93">
        <f t="shared" si="2"/>
        <v>0</v>
      </c>
      <c r="M38" s="93">
        <f t="shared" si="3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3.5734089454433042</v>
      </c>
      <c r="H39">
        <v>1.2207546386718748E-3</v>
      </c>
      <c r="I39">
        <v>-0.88770692354824265</v>
      </c>
      <c r="J39">
        <v>-1.0836723447026565E-3</v>
      </c>
      <c r="K39" s="93">
        <f t="shared" si="1"/>
        <v>0</v>
      </c>
      <c r="L39" s="93">
        <f t="shared" si="2"/>
        <v>0</v>
      </c>
      <c r="M39" s="93">
        <f t="shared" si="3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5.3601134181649543</v>
      </c>
      <c r="H40">
        <v>7.7100292968749996E-4</v>
      </c>
      <c r="I40">
        <v>-0.83638148578456939</v>
      </c>
      <c r="J40">
        <v>-6.448525758762871E-4</v>
      </c>
      <c r="K40" s="93">
        <f t="shared" si="1"/>
        <v>0</v>
      </c>
      <c r="L40" s="93">
        <f t="shared" si="2"/>
        <v>0</v>
      </c>
      <c r="M40" s="93">
        <f t="shared" si="3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0.59556815757388393</v>
      </c>
      <c r="H41">
        <v>1.2207546386718748E-3</v>
      </c>
      <c r="I41">
        <v>-0.98034348687188644</v>
      </c>
      <c r="J41">
        <v>-1.1967588590906155E-3</v>
      </c>
      <c r="K41" s="93">
        <f t="shared" si="1"/>
        <v>0</v>
      </c>
      <c r="L41" s="93">
        <f t="shared" si="2"/>
        <v>0</v>
      </c>
      <c r="M41" s="93">
        <f t="shared" si="3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2.9778407878694191</v>
      </c>
      <c r="H42">
        <v>2.5771486816406246E-3</v>
      </c>
      <c r="I42">
        <v>-0.90550601440804013</v>
      </c>
      <c r="J42">
        <v>-2.333623631249337E-3</v>
      </c>
      <c r="K42" s="93">
        <f t="shared" si="1"/>
        <v>0</v>
      </c>
      <c r="L42" s="93">
        <f t="shared" si="2"/>
        <v>0</v>
      </c>
      <c r="M42" s="93">
        <f t="shared" si="3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4.7645452605910714</v>
      </c>
      <c r="H43">
        <v>1.6276728515624997E-3</v>
      </c>
      <c r="I43">
        <v>-0.8531514688319336</v>
      </c>
      <c r="J43">
        <v>-1.3886514840884085E-3</v>
      </c>
      <c r="K43" s="93">
        <f t="shared" si="1"/>
        <v>0</v>
      </c>
      <c r="L43" s="93">
        <f t="shared" si="2"/>
        <v>0</v>
      </c>
      <c r="M43" s="93">
        <f t="shared" si="3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7.7100292968749985E-4</v>
      </c>
      <c r="I44">
        <v>-1</v>
      </c>
      <c r="J44">
        <v>-7.7100292968749985E-4</v>
      </c>
      <c r="K44" s="93">
        <f t="shared" si="1"/>
        <v>0</v>
      </c>
      <c r="L44" s="93">
        <f t="shared" si="2"/>
        <v>0</v>
      </c>
      <c r="M44" s="93">
        <f t="shared" si="3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2.3822726302955366</v>
      </c>
      <c r="H45">
        <v>1.6276728515624997E-3</v>
      </c>
      <c r="I45">
        <v>-0.92366198840914393</v>
      </c>
      <c r="J45">
        <v>-1.5034195425537998E-3</v>
      </c>
      <c r="K45" s="93">
        <f t="shared" si="1"/>
        <v>0</v>
      </c>
      <c r="L45" s="93">
        <f t="shared" si="2"/>
        <v>0</v>
      </c>
      <c r="M45" s="93">
        <f t="shared" si="3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4.1689771030171885</v>
      </c>
      <c r="H46">
        <v>1.0280039062499997E-3</v>
      </c>
      <c r="I46">
        <v>-0.87025770075159936</v>
      </c>
      <c r="J46">
        <v>-8.946283158167875E-4</v>
      </c>
      <c r="K46" s="93">
        <f t="shared" si="1"/>
        <v>0</v>
      </c>
      <c r="L46" s="93">
        <f t="shared" si="2"/>
        <v>0</v>
      </c>
      <c r="M46" s="93">
        <f t="shared" si="3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1.1911363151477687</v>
      </c>
      <c r="H47">
        <v>3.6521191406249995E-4</v>
      </c>
      <c r="I47">
        <v>-0.96107335225212853</v>
      </c>
      <c r="J47">
        <v>-3.5099543853046313E-4</v>
      </c>
      <c r="K47" s="93">
        <f t="shared" si="1"/>
        <v>0</v>
      </c>
      <c r="L47" s="93">
        <f t="shared" si="2"/>
        <v>0</v>
      </c>
      <c r="M47" s="93">
        <f t="shared" si="3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3.5734089454433042</v>
      </c>
      <c r="H48">
        <v>7.7100292968749985E-4</v>
      </c>
      <c r="I48">
        <v>-0.88770692354824265</v>
      </c>
      <c r="J48">
        <v>-6.8442463875957257E-4</v>
      </c>
      <c r="K48" s="93">
        <f t="shared" si="1"/>
        <v>0</v>
      </c>
      <c r="L48" s="93">
        <f t="shared" si="2"/>
        <v>0</v>
      </c>
      <c r="M48" s="93">
        <f t="shared" si="3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5.3601134181649543</v>
      </c>
      <c r="H49">
        <v>4.8694921874999991E-4</v>
      </c>
      <c r="I49">
        <v>-0.83638148578456939</v>
      </c>
      <c r="J49">
        <v>-4.0727531107976022E-4</v>
      </c>
      <c r="K49" s="93">
        <f t="shared" si="1"/>
        <v>0</v>
      </c>
      <c r="L49" s="93">
        <f t="shared" si="2"/>
        <v>0</v>
      </c>
      <c r="M49" s="93">
        <f t="shared" si="3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0.59556815757388393</v>
      </c>
      <c r="H50">
        <v>7.7100292968749985E-4</v>
      </c>
      <c r="I50">
        <v>-0.98034348687188644</v>
      </c>
      <c r="J50">
        <v>-7.5584770047828348E-4</v>
      </c>
      <c r="K50" s="93">
        <f t="shared" si="1"/>
        <v>0</v>
      </c>
      <c r="L50" s="93">
        <f t="shared" si="2"/>
        <v>0</v>
      </c>
      <c r="M50" s="93">
        <f t="shared" si="3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2.9778407878694191</v>
      </c>
      <c r="H51">
        <v>1.6276728515624997E-3</v>
      </c>
      <c r="I51">
        <v>-0.90550601440804013</v>
      </c>
      <c r="J51">
        <v>-1.4738675565785285E-3</v>
      </c>
      <c r="K51" s="93">
        <f t="shared" si="1"/>
        <v>0</v>
      </c>
      <c r="L51" s="93">
        <f t="shared" si="2"/>
        <v>0</v>
      </c>
      <c r="M51" s="93">
        <f t="shared" si="3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4.7645452605910714</v>
      </c>
      <c r="H52">
        <v>1.0280039062499997E-3</v>
      </c>
      <c r="I52">
        <v>-0.8531514688319336</v>
      </c>
      <c r="J52">
        <v>-8.7704304258215263E-4</v>
      </c>
      <c r="K52" s="93">
        <f t="shared" si="1"/>
        <v>0</v>
      </c>
      <c r="L52" s="93">
        <f t="shared" si="2"/>
        <v>0</v>
      </c>
      <c r="M52" s="93">
        <f t="shared" si="3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4.8694921874999991E-4</v>
      </c>
      <c r="I53">
        <v>-1</v>
      </c>
      <c r="J53">
        <v>-4.8694921874999991E-4</v>
      </c>
      <c r="K53" s="93">
        <f t="shared" si="1"/>
        <v>0</v>
      </c>
      <c r="L53" s="93">
        <f t="shared" si="2"/>
        <v>0</v>
      </c>
      <c r="M53" s="93">
        <f t="shared" si="3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2.3822726302955366</v>
      </c>
      <c r="H54">
        <v>1.0280039062499997E-3</v>
      </c>
      <c r="I54">
        <v>-0.92366198840914393</v>
      </c>
      <c r="J54">
        <v>-9.4952813213924198E-4</v>
      </c>
      <c r="K54" s="93">
        <f t="shared" si="1"/>
        <v>0</v>
      </c>
      <c r="L54" s="93">
        <f t="shared" si="2"/>
        <v>0</v>
      </c>
      <c r="M54" s="93">
        <f t="shared" si="3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4.1689771030171885</v>
      </c>
      <c r="H55">
        <v>6.4926562499999978E-4</v>
      </c>
      <c r="I55">
        <v>-0.87025770075159936</v>
      </c>
      <c r="J55">
        <v>-5.6502840998954999E-4</v>
      </c>
      <c r="K55" s="93">
        <f t="shared" si="1"/>
        <v>0</v>
      </c>
      <c r="L55" s="93">
        <f t="shared" si="2"/>
        <v>0</v>
      </c>
      <c r="M55" s="93">
        <f t="shared" si="3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1.3400283545412375</v>
      </c>
      <c r="H56">
        <v>1.729951171875E-4</v>
      </c>
      <c r="I56">
        <v>-0.95631529691410599</v>
      </c>
      <c r="J56">
        <v>-1.6543787685785463E-4</v>
      </c>
      <c r="K56" s="93">
        <f t="shared" si="1"/>
        <v>0</v>
      </c>
      <c r="L56" s="93">
        <f t="shared" si="2"/>
        <v>0</v>
      </c>
      <c r="M56" s="93">
        <f t="shared" si="3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4.0200850636237142</v>
      </c>
      <c r="H57">
        <v>3.652119140625E-4</v>
      </c>
      <c r="I57">
        <v>-0.8745875847468445</v>
      </c>
      <c r="J57">
        <v>-3.1940980584069402E-4</v>
      </c>
      <c r="K57" s="93">
        <f t="shared" si="1"/>
        <v>0</v>
      </c>
      <c r="L57" s="93">
        <f t="shared" si="2"/>
        <v>0</v>
      </c>
      <c r="M57" s="93">
        <f t="shared" si="3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6.0301275954355766</v>
      </c>
      <c r="H58">
        <v>2.3066015624999999E-4</v>
      </c>
      <c r="I58">
        <v>-0.81790895283149168</v>
      </c>
      <c r="J58">
        <v>-1.8865900685838575E-4</v>
      </c>
      <c r="K58" s="93">
        <f t="shared" si="1"/>
        <v>0</v>
      </c>
      <c r="L58" s="93">
        <f t="shared" si="2"/>
        <v>0</v>
      </c>
      <c r="M58" s="93">
        <f t="shared" si="3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0.67001417727061796</v>
      </c>
      <c r="H59">
        <v>3.652119140625E-4</v>
      </c>
      <c r="I59">
        <v>-0.97791374717513102</v>
      </c>
      <c r="J59">
        <v>-3.5714575139386131E-4</v>
      </c>
      <c r="K59" s="93">
        <f t="shared" si="1"/>
        <v>0</v>
      </c>
      <c r="L59" s="93">
        <f t="shared" si="2"/>
        <v>0</v>
      </c>
      <c r="M59" s="93">
        <f t="shared" si="3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3.3500708863530968</v>
      </c>
      <c r="H60">
        <v>7.7100292968749996E-4</v>
      </c>
      <c r="I60">
        <v>-0.89434020870781128</v>
      </c>
      <c r="J60">
        <v>-6.8953892105105266E-4</v>
      </c>
      <c r="K60" s="93">
        <f t="shared" si="1"/>
        <v>0</v>
      </c>
      <c r="L60" s="93">
        <f t="shared" si="2"/>
        <v>0</v>
      </c>
      <c r="M60" s="93">
        <f t="shared" si="3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5.3601134181649543</v>
      </c>
      <c r="H61">
        <v>4.8694921874999997E-4</v>
      </c>
      <c r="I61">
        <v>-0.83638148578456939</v>
      </c>
      <c r="J61">
        <v>-4.0727531107976028E-4</v>
      </c>
      <c r="K61" s="93">
        <f t="shared" si="1"/>
        <v>0</v>
      </c>
      <c r="L61" s="93">
        <f t="shared" si="2"/>
        <v>0</v>
      </c>
      <c r="M61" s="93">
        <f t="shared" si="3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2.3066015625000002E-4</v>
      </c>
      <c r="I62">
        <v>-1</v>
      </c>
      <c r="J62">
        <v>-2.3066015625000002E-4</v>
      </c>
      <c r="K62" s="93">
        <f t="shared" si="1"/>
        <v>0</v>
      </c>
      <c r="L62" s="93">
        <f t="shared" si="2"/>
        <v>0</v>
      </c>
      <c r="M62" s="93">
        <f t="shared" si="3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2.6800567090824772</v>
      </c>
      <c r="H63">
        <v>4.8694921874999997E-4</v>
      </c>
      <c r="I63">
        <v>-0.91453894711191464</v>
      </c>
      <c r="J63">
        <v>-4.4533402581259439E-4</v>
      </c>
      <c r="K63" s="93">
        <f t="shared" si="1"/>
        <v>0</v>
      </c>
      <c r="L63" s="93">
        <f t="shared" si="2"/>
        <v>0</v>
      </c>
      <c r="M63" s="93">
        <f t="shared" si="3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4.6900992408943338</v>
      </c>
      <c r="H64">
        <v>3.0754687499999999E-4</v>
      </c>
      <c r="I64">
        <v>-0.85527122223263408</v>
      </c>
      <c r="J64">
        <v>-2.6303599167507713E-4</v>
      </c>
      <c r="K64" s="93">
        <f t="shared" si="1"/>
        <v>0</v>
      </c>
      <c r="L64" s="93">
        <f t="shared" si="2"/>
        <v>0</v>
      </c>
      <c r="M64" s="93">
        <f t="shared" si="3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1.3400283545412375</v>
      </c>
      <c r="H65">
        <v>3.6521191406249995E-4</v>
      </c>
      <c r="I65">
        <v>-0.95631529691410599</v>
      </c>
      <c r="J65">
        <v>-3.4925774003324861E-4</v>
      </c>
      <c r="K65" s="93">
        <f t="shared" si="1"/>
        <v>0</v>
      </c>
      <c r="L65" s="93">
        <f t="shared" si="2"/>
        <v>0</v>
      </c>
      <c r="M65" s="93">
        <f t="shared" si="3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4.0200850636237142</v>
      </c>
      <c r="H66">
        <v>7.7100292968749985E-4</v>
      </c>
      <c r="I66">
        <v>-0.8745875847468445</v>
      </c>
      <c r="J66">
        <v>-6.7430959010813163E-4</v>
      </c>
      <c r="K66" s="93">
        <f t="shared" si="1"/>
        <v>0</v>
      </c>
      <c r="L66" s="93">
        <f t="shared" si="2"/>
        <v>0</v>
      </c>
      <c r="M66" s="93">
        <f t="shared" si="3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6.0301275954355766</v>
      </c>
      <c r="H67">
        <v>4.8694921874999991E-4</v>
      </c>
      <c r="I67">
        <v>-0.81790895283149168</v>
      </c>
      <c r="J67">
        <v>-3.9828012558992538E-4</v>
      </c>
      <c r="K67" s="93">
        <f t="shared" ref="K67:K130" si="4">IF(A67=3,1,0)</f>
        <v>0</v>
      </c>
      <c r="L67" s="93">
        <f t="shared" ref="L67:L130" si="5">IF(A67=2,1,0)</f>
        <v>0</v>
      </c>
      <c r="M67" s="93">
        <f t="shared" ref="M67:M130" si="6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0.67001417727061796</v>
      </c>
      <c r="H68">
        <v>7.7100292968749985E-4</v>
      </c>
      <c r="I68">
        <v>-0.97791374717513102</v>
      </c>
      <c r="J68">
        <v>-7.5397436405370702E-4</v>
      </c>
      <c r="K68" s="93">
        <f t="shared" si="4"/>
        <v>0</v>
      </c>
      <c r="L68" s="93">
        <f t="shared" si="5"/>
        <v>0</v>
      </c>
      <c r="M68" s="93">
        <f t="shared" si="6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3.3500708863530968</v>
      </c>
      <c r="H69">
        <v>1.6276728515624997E-3</v>
      </c>
      <c r="I69">
        <v>-0.89434020870781128</v>
      </c>
      <c r="J69">
        <v>-1.4556932777744444E-3</v>
      </c>
      <c r="K69" s="93">
        <f t="shared" si="4"/>
        <v>0</v>
      </c>
      <c r="L69" s="93">
        <f t="shared" si="5"/>
        <v>0</v>
      </c>
      <c r="M69" s="93">
        <f t="shared" si="6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5.3601134181649543</v>
      </c>
      <c r="H70">
        <v>1.0280039062499997E-3</v>
      </c>
      <c r="I70">
        <v>-0.83638148578456939</v>
      </c>
      <c r="J70">
        <v>-8.5980343450171599E-4</v>
      </c>
      <c r="K70" s="93">
        <f t="shared" si="4"/>
        <v>0</v>
      </c>
      <c r="L70" s="93">
        <f t="shared" si="5"/>
        <v>0</v>
      </c>
      <c r="M70" s="93">
        <f t="shared" si="6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4.8694921874999991E-4</v>
      </c>
      <c r="I71">
        <v>-1</v>
      </c>
      <c r="J71">
        <v>-4.8694921874999991E-4</v>
      </c>
      <c r="K71" s="93">
        <f t="shared" si="4"/>
        <v>0</v>
      </c>
      <c r="L71" s="93">
        <f t="shared" si="5"/>
        <v>0</v>
      </c>
      <c r="M71" s="93">
        <f t="shared" si="6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2.6800567090824772</v>
      </c>
      <c r="H72">
        <v>1.0280039062499997E-3</v>
      </c>
      <c r="I72">
        <v>-0.91453894711191464</v>
      </c>
      <c r="J72">
        <v>-9.4014961004881012E-4</v>
      </c>
      <c r="K72" s="93">
        <f t="shared" si="4"/>
        <v>0</v>
      </c>
      <c r="L72" s="93">
        <f t="shared" si="5"/>
        <v>0</v>
      </c>
      <c r="M72" s="93">
        <f t="shared" si="6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4.6900992408943338</v>
      </c>
      <c r="H73">
        <v>6.4926562499999978E-4</v>
      </c>
      <c r="I73">
        <v>-0.85527122223263408</v>
      </c>
      <c r="J73">
        <v>-5.5529820464738484E-4</v>
      </c>
      <c r="K73" s="93">
        <f t="shared" si="4"/>
        <v>0</v>
      </c>
      <c r="L73" s="93">
        <f t="shared" si="5"/>
        <v>0</v>
      </c>
      <c r="M73" s="93">
        <f t="shared" si="6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1.3400283545412375</v>
      </c>
      <c r="H74">
        <v>2.3066015625000002E-4</v>
      </c>
      <c r="I74">
        <v>-0.95631529691410599</v>
      </c>
      <c r="J74">
        <v>-2.2058383581047286E-4</v>
      </c>
      <c r="K74" s="93">
        <f t="shared" si="4"/>
        <v>0</v>
      </c>
      <c r="L74" s="93">
        <f t="shared" si="5"/>
        <v>0</v>
      </c>
      <c r="M74" s="93">
        <f t="shared" si="6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4.0200850636237142</v>
      </c>
      <c r="H75">
        <v>4.8694921874999997E-4</v>
      </c>
      <c r="I75">
        <v>-0.8745875847468445</v>
      </c>
      <c r="J75">
        <v>-4.2587974112092531E-4</v>
      </c>
      <c r="K75" s="93">
        <f t="shared" si="4"/>
        <v>0</v>
      </c>
      <c r="L75" s="93">
        <f t="shared" si="5"/>
        <v>0</v>
      </c>
      <c r="M75" s="93">
        <f t="shared" si="6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6.0301275954355766</v>
      </c>
      <c r="H76">
        <v>3.0754687499999999E-4</v>
      </c>
      <c r="I76">
        <v>-0.81790895283149168</v>
      </c>
      <c r="J76">
        <v>-2.5154534247784767E-4</v>
      </c>
      <c r="K76" s="93">
        <f t="shared" si="4"/>
        <v>0</v>
      </c>
      <c r="L76" s="93">
        <f t="shared" si="5"/>
        <v>0</v>
      </c>
      <c r="M76" s="93">
        <f t="shared" si="6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0.67001417727061796</v>
      </c>
      <c r="H77">
        <v>4.8694921874999991E-4</v>
      </c>
      <c r="I77">
        <v>-0.97791374717513102</v>
      </c>
      <c r="J77">
        <v>-4.7619433519181499E-4</v>
      </c>
      <c r="K77" s="93">
        <f t="shared" si="4"/>
        <v>0</v>
      </c>
      <c r="L77" s="93">
        <f t="shared" si="5"/>
        <v>0</v>
      </c>
      <c r="M77" s="93">
        <f t="shared" si="6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3.3500708863530968</v>
      </c>
      <c r="H78">
        <v>1.0280039062499997E-3</v>
      </c>
      <c r="I78">
        <v>-0.89434020870781128</v>
      </c>
      <c r="J78">
        <v>-9.1938522806807007E-4</v>
      </c>
      <c r="K78" s="93">
        <f t="shared" si="4"/>
        <v>0</v>
      </c>
      <c r="L78" s="93">
        <f t="shared" si="5"/>
        <v>0</v>
      </c>
      <c r="M78" s="93">
        <f t="shared" si="6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5.3601134181649543</v>
      </c>
      <c r="H79">
        <v>6.4926562499999978E-4</v>
      </c>
      <c r="I79">
        <v>-0.83638148578456939</v>
      </c>
      <c r="J79">
        <v>-5.4303374810634689E-4</v>
      </c>
      <c r="K79" s="93">
        <f t="shared" si="4"/>
        <v>0</v>
      </c>
      <c r="L79" s="93">
        <f t="shared" si="5"/>
        <v>0</v>
      </c>
      <c r="M79" s="93">
        <f t="shared" si="6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3.0754687499999999E-4</v>
      </c>
      <c r="I80">
        <v>-1</v>
      </c>
      <c r="J80">
        <v>-3.0754687499999999E-4</v>
      </c>
      <c r="K80" s="93">
        <f t="shared" si="4"/>
        <v>0</v>
      </c>
      <c r="L80" s="93">
        <f t="shared" si="5"/>
        <v>0</v>
      </c>
      <c r="M80" s="93">
        <f t="shared" si="6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2.6800567090824772</v>
      </c>
      <c r="H81">
        <v>6.4926562499999989E-4</v>
      </c>
      <c r="I81">
        <v>-0.91453894711191464</v>
      </c>
      <c r="J81">
        <v>-5.9377870108345907E-4</v>
      </c>
      <c r="K81" s="93">
        <f t="shared" si="4"/>
        <v>0</v>
      </c>
      <c r="L81" s="93">
        <f t="shared" si="5"/>
        <v>0</v>
      </c>
      <c r="M81" s="93">
        <f t="shared" si="6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4.6900992408943338</v>
      </c>
      <c r="H82">
        <v>4.1006249999999995E-4</v>
      </c>
      <c r="I82">
        <v>-0.85527122223263408</v>
      </c>
      <c r="J82">
        <v>-3.5071465556676945E-4</v>
      </c>
      <c r="K82" s="93">
        <f t="shared" si="4"/>
        <v>0</v>
      </c>
      <c r="L82" s="93">
        <f t="shared" si="5"/>
        <v>0</v>
      </c>
      <c r="M82" s="93">
        <f t="shared" si="6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1.5464651930333067</v>
      </c>
      <c r="H83">
        <v>2.73908935546875E-4</v>
      </c>
      <c r="I83">
        <v>-0.94975726290527751</v>
      </c>
      <c r="J83">
        <v>-2.6014700091029806E-4</v>
      </c>
      <c r="K83" s="93">
        <f t="shared" si="4"/>
        <v>0</v>
      </c>
      <c r="L83" s="93">
        <f t="shared" si="5"/>
        <v>0</v>
      </c>
      <c r="M83" s="93">
        <f t="shared" si="6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4.6393955790999195</v>
      </c>
      <c r="H84">
        <v>5.7825219726562497E-4</v>
      </c>
      <c r="I84">
        <v>-0.85671795722743338</v>
      </c>
      <c r="J84">
        <v>-4.9539904120368108E-4</v>
      </c>
      <c r="K84" s="93">
        <f t="shared" si="4"/>
        <v>0</v>
      </c>
      <c r="L84" s="93">
        <f t="shared" si="5"/>
        <v>0</v>
      </c>
      <c r="M84" s="93">
        <f t="shared" si="6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6.9590933686498788</v>
      </c>
      <c r="H85">
        <v>3.652119140625E-4</v>
      </c>
      <c r="I85">
        <v>-0.79297008732926899</v>
      </c>
      <c r="J85">
        <v>-2.8960212338783009E-4</v>
      </c>
      <c r="K85" s="93">
        <f t="shared" si="4"/>
        <v>0</v>
      </c>
      <c r="L85" s="93">
        <f t="shared" si="5"/>
        <v>0</v>
      </c>
      <c r="M85" s="93">
        <f t="shared" si="6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0.77323259651665233</v>
      </c>
      <c r="H86">
        <v>5.7825219726562497E-4</v>
      </c>
      <c r="I86">
        <v>-0.9745549050234561</v>
      </c>
      <c r="J86">
        <v>-5.6353851518580595E-4</v>
      </c>
      <c r="K86" s="93">
        <f t="shared" si="4"/>
        <v>0</v>
      </c>
      <c r="L86" s="93">
        <f t="shared" si="5"/>
        <v>0</v>
      </c>
      <c r="M86" s="93">
        <f t="shared" si="6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3.8661629825832633</v>
      </c>
      <c r="H87">
        <v>1.2207546386718748E-3</v>
      </c>
      <c r="I87">
        <v>-0.87908639401575173</v>
      </c>
      <c r="J87">
        <v>-1.0731487932880604E-3</v>
      </c>
      <c r="K87" s="93">
        <f t="shared" si="4"/>
        <v>0</v>
      </c>
      <c r="L87" s="93">
        <f t="shared" si="5"/>
        <v>0</v>
      </c>
      <c r="M87" s="93">
        <f t="shared" si="6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6.1858607721332275</v>
      </c>
      <c r="H88">
        <v>7.7100292968749996E-4</v>
      </c>
      <c r="I88">
        <v>-0.81367410213812774</v>
      </c>
      <c r="J88">
        <v>-6.2734511655934255E-4</v>
      </c>
      <c r="K88" s="93">
        <f t="shared" si="4"/>
        <v>0</v>
      </c>
      <c r="L88" s="93">
        <f t="shared" si="5"/>
        <v>0</v>
      </c>
      <c r="M88" s="93">
        <f t="shared" si="6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3.652119140625E-4</v>
      </c>
      <c r="I89">
        <v>-1</v>
      </c>
      <c r="J89">
        <v>-3.652119140625E-4</v>
      </c>
      <c r="K89" s="93">
        <f t="shared" si="4"/>
        <v>0</v>
      </c>
      <c r="L89" s="93">
        <f t="shared" si="5"/>
        <v>0</v>
      </c>
      <c r="M89" s="93">
        <f t="shared" si="6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3.0929303860666124</v>
      </c>
      <c r="H90">
        <v>7.7100292968749996E-4</v>
      </c>
      <c r="I90">
        <v>-0.90203885844132448</v>
      </c>
      <c r="J90">
        <v>-6.9547460255022918E-4</v>
      </c>
      <c r="K90" s="93">
        <f t="shared" si="4"/>
        <v>0</v>
      </c>
      <c r="L90" s="93">
        <f t="shared" si="5"/>
        <v>0</v>
      </c>
      <c r="M90" s="93">
        <f t="shared" si="6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5.4126281756165744</v>
      </c>
      <c r="H91">
        <v>4.8694921874999997E-4</v>
      </c>
      <c r="I91">
        <v>-0.83491868743767061</v>
      </c>
      <c r="J91">
        <v>-4.0656300256754912E-4</v>
      </c>
      <c r="K91" s="93">
        <f t="shared" si="4"/>
        <v>0</v>
      </c>
      <c r="L91" s="93">
        <f t="shared" si="5"/>
        <v>0</v>
      </c>
      <c r="M91" s="93">
        <f t="shared" si="6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1.5464651930333067</v>
      </c>
      <c r="H92">
        <v>5.7825219726562497E-4</v>
      </c>
      <c r="I92">
        <v>-0.94975726290527751</v>
      </c>
      <c r="J92">
        <v>-5.4919922414396261E-4</v>
      </c>
      <c r="K92" s="93">
        <f t="shared" si="4"/>
        <v>0</v>
      </c>
      <c r="L92" s="93">
        <f t="shared" si="5"/>
        <v>0</v>
      </c>
      <c r="M92" s="93">
        <f t="shared" si="6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4.6393955790999195</v>
      </c>
      <c r="H93">
        <v>1.2207546386718748E-3</v>
      </c>
      <c r="I93">
        <v>-0.85671795722743338</v>
      </c>
      <c r="J93">
        <v>-1.0458424203188821E-3</v>
      </c>
      <c r="K93" s="93">
        <f t="shared" si="4"/>
        <v>0</v>
      </c>
      <c r="L93" s="93">
        <f t="shared" si="5"/>
        <v>0</v>
      </c>
      <c r="M93" s="93">
        <f t="shared" si="6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6.9590933686498788</v>
      </c>
      <c r="H94">
        <v>7.7100292968749996E-4</v>
      </c>
      <c r="I94">
        <v>-0.79297008732926899</v>
      </c>
      <c r="J94">
        <v>-6.1138226048541909E-4</v>
      </c>
      <c r="K94" s="93">
        <f t="shared" si="4"/>
        <v>0</v>
      </c>
      <c r="L94" s="93">
        <f t="shared" si="5"/>
        <v>0</v>
      </c>
      <c r="M94" s="93">
        <f t="shared" si="6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0.77323259651665233</v>
      </c>
      <c r="H95">
        <v>1.2207546386718748E-3</v>
      </c>
      <c r="I95">
        <v>-0.9745549050234561</v>
      </c>
      <c r="J95">
        <v>-1.1896924209478124E-3</v>
      </c>
      <c r="K95" s="93">
        <f t="shared" si="4"/>
        <v>0</v>
      </c>
      <c r="L95" s="93">
        <f t="shared" si="5"/>
        <v>0</v>
      </c>
      <c r="M95" s="93">
        <f t="shared" si="6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3.8661629825832633</v>
      </c>
      <c r="H96">
        <v>2.5771486816406246E-3</v>
      </c>
      <c r="I96">
        <v>-0.87908639401575173</v>
      </c>
      <c r="J96">
        <v>-2.2655363413859051E-3</v>
      </c>
      <c r="K96" s="93">
        <f t="shared" si="4"/>
        <v>0</v>
      </c>
      <c r="L96" s="93">
        <f t="shared" si="5"/>
        <v>0</v>
      </c>
      <c r="M96" s="93">
        <f t="shared" si="6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6.1858607721332275</v>
      </c>
      <c r="H97">
        <v>1.6276728515624997E-3</v>
      </c>
      <c r="I97">
        <v>-0.81367410213812774</v>
      </c>
      <c r="J97">
        <v>-1.3243952460697231E-3</v>
      </c>
      <c r="K97" s="93">
        <f t="shared" si="4"/>
        <v>0</v>
      </c>
      <c r="L97" s="93">
        <f t="shared" si="5"/>
        <v>0</v>
      </c>
      <c r="M97" s="93">
        <f t="shared" si="6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7.7100292968749985E-4</v>
      </c>
      <c r="I98">
        <v>-1</v>
      </c>
      <c r="J98">
        <v>-7.7100292968749985E-4</v>
      </c>
      <c r="K98" s="93">
        <f t="shared" si="4"/>
        <v>0</v>
      </c>
      <c r="L98" s="93">
        <f t="shared" si="5"/>
        <v>0</v>
      </c>
      <c r="M98" s="93">
        <f t="shared" si="6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3.0929303860666124</v>
      </c>
      <c r="H99">
        <v>1.6276728515624997E-3</v>
      </c>
      <c r="I99">
        <v>-0.90203885844132448</v>
      </c>
      <c r="J99">
        <v>-1.4682241609393727E-3</v>
      </c>
      <c r="K99" s="93">
        <f t="shared" si="4"/>
        <v>0</v>
      </c>
      <c r="L99" s="93">
        <f t="shared" si="5"/>
        <v>0</v>
      </c>
      <c r="M99" s="93">
        <f t="shared" si="6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5.4126281756165744</v>
      </c>
      <c r="H100">
        <v>1.0280039062499997E-3</v>
      </c>
      <c r="I100">
        <v>-0.83491868743767061</v>
      </c>
      <c r="J100">
        <v>-8.5829967208704799E-4</v>
      </c>
      <c r="K100" s="93">
        <f t="shared" si="4"/>
        <v>0</v>
      </c>
      <c r="L100" s="93">
        <f t="shared" si="5"/>
        <v>0</v>
      </c>
      <c r="M100" s="93">
        <f t="shared" si="6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1.5464651930333067</v>
      </c>
      <c r="H101">
        <v>3.6521191406249995E-4</v>
      </c>
      <c r="I101">
        <v>-0.94975726290527751</v>
      </c>
      <c r="J101">
        <v>-3.4686266788039739E-4</v>
      </c>
      <c r="K101" s="93">
        <f t="shared" si="4"/>
        <v>0</v>
      </c>
      <c r="L101" s="93">
        <f t="shared" si="5"/>
        <v>0</v>
      </c>
      <c r="M101" s="93">
        <f t="shared" si="6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4.6393955790999195</v>
      </c>
      <c r="H102">
        <v>7.7100292968749985E-4</v>
      </c>
      <c r="I102">
        <v>-0.85671795722743338</v>
      </c>
      <c r="J102">
        <v>-6.6053205493824137E-4</v>
      </c>
      <c r="K102" s="93">
        <f t="shared" si="4"/>
        <v>0</v>
      </c>
      <c r="L102" s="93">
        <f t="shared" si="5"/>
        <v>0</v>
      </c>
      <c r="M102" s="93">
        <f t="shared" si="6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6.9590933686498788</v>
      </c>
      <c r="H103">
        <v>4.8694921874999991E-4</v>
      </c>
      <c r="I103">
        <v>-0.79297008732926899</v>
      </c>
      <c r="J103">
        <v>-3.8613616451710673E-4</v>
      </c>
      <c r="K103" s="93">
        <f t="shared" si="4"/>
        <v>0</v>
      </c>
      <c r="L103" s="93">
        <f t="shared" si="5"/>
        <v>0</v>
      </c>
      <c r="M103" s="93">
        <f t="shared" si="6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0.77323259651665233</v>
      </c>
      <c r="H104">
        <v>7.7100292968749985E-4</v>
      </c>
      <c r="I104">
        <v>-0.9745549050234561</v>
      </c>
      <c r="J104">
        <v>-7.5138468691440786E-4</v>
      </c>
      <c r="K104" s="93">
        <f t="shared" si="4"/>
        <v>0</v>
      </c>
      <c r="L104" s="93">
        <f t="shared" si="5"/>
        <v>0</v>
      </c>
      <c r="M104" s="93">
        <f t="shared" si="6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3.8661629825832633</v>
      </c>
      <c r="H105">
        <v>1.6276728515624997E-3</v>
      </c>
      <c r="I105">
        <v>-0.87908639401575173</v>
      </c>
      <c r="J105">
        <v>-1.4308650577174139E-3</v>
      </c>
      <c r="K105" s="93">
        <f t="shared" si="4"/>
        <v>0</v>
      </c>
      <c r="L105" s="93">
        <f t="shared" si="5"/>
        <v>0</v>
      </c>
      <c r="M105" s="93">
        <f t="shared" si="6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6.1858607721332275</v>
      </c>
      <c r="H106">
        <v>1.0280039062499997E-3</v>
      </c>
      <c r="I106">
        <v>-0.81367410213812774</v>
      </c>
      <c r="J106">
        <v>-8.3646015541245658E-4</v>
      </c>
      <c r="K106" s="93">
        <f t="shared" si="4"/>
        <v>0</v>
      </c>
      <c r="L106" s="93">
        <f t="shared" si="5"/>
        <v>0</v>
      </c>
      <c r="M106" s="93">
        <f t="shared" si="6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4.8694921874999991E-4</v>
      </c>
      <c r="I107">
        <v>-1</v>
      </c>
      <c r="J107">
        <v>-4.8694921874999991E-4</v>
      </c>
      <c r="K107" s="93">
        <f t="shared" si="4"/>
        <v>0</v>
      </c>
      <c r="L107" s="93">
        <f t="shared" si="5"/>
        <v>0</v>
      </c>
      <c r="M107" s="93">
        <f t="shared" si="6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3.0929303860666124</v>
      </c>
      <c r="H108">
        <v>1.0280039062499997E-3</v>
      </c>
      <c r="I108">
        <v>-0.90203885844132448</v>
      </c>
      <c r="J108">
        <v>-9.2729947006697214E-4</v>
      </c>
      <c r="K108" s="93">
        <f t="shared" si="4"/>
        <v>0</v>
      </c>
      <c r="L108" s="93">
        <f t="shared" si="5"/>
        <v>0</v>
      </c>
      <c r="M108" s="93">
        <f t="shared" si="6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5.4126281756165744</v>
      </c>
      <c r="H109">
        <v>6.4926562499999978E-4</v>
      </c>
      <c r="I109">
        <v>-0.83491868743767061</v>
      </c>
      <c r="J109">
        <v>-5.4208400342339869E-4</v>
      </c>
      <c r="K109" s="93">
        <f t="shared" si="4"/>
        <v>0</v>
      </c>
      <c r="L109" s="93">
        <f t="shared" si="5"/>
        <v>0</v>
      </c>
      <c r="M109" s="93">
        <f t="shared" si="6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1.9033417760409903</v>
      </c>
      <c r="H110">
        <v>5.7825219726562497E-4</v>
      </c>
      <c r="I110">
        <v>-0.93852599407663528</v>
      </c>
      <c r="J110">
        <v>-5.4270471826571923E-4</v>
      </c>
      <c r="K110" s="93">
        <f t="shared" si="4"/>
        <v>0</v>
      </c>
      <c r="L110" s="93">
        <f t="shared" si="5"/>
        <v>0</v>
      </c>
      <c r="M110" s="93">
        <f t="shared" si="6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5.7100253281229776</v>
      </c>
      <c r="H111">
        <v>1.2207546386718748E-3</v>
      </c>
      <c r="I111">
        <v>-0.82668282889134459</v>
      </c>
      <c r="J111">
        <v>-1.0091768980794967E-3</v>
      </c>
      <c r="K111" s="93">
        <f t="shared" si="4"/>
        <v>0</v>
      </c>
      <c r="L111" s="93">
        <f t="shared" si="5"/>
        <v>0</v>
      </c>
      <c r="M111" s="93">
        <f t="shared" si="6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8.5650379921844646</v>
      </c>
      <c r="H112">
        <v>7.7100292968749996E-4</v>
      </c>
      <c r="I112">
        <v>-0.7516373892995255</v>
      </c>
      <c r="J112">
        <v>-5.7951462921259809E-4</v>
      </c>
      <c r="K112" s="93">
        <f t="shared" si="4"/>
        <v>0</v>
      </c>
      <c r="L112" s="93">
        <f t="shared" si="5"/>
        <v>0</v>
      </c>
      <c r="M112" s="93">
        <f t="shared" si="6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0.9516708880204956</v>
      </c>
      <c r="H113">
        <v>1.2207546386718748E-3</v>
      </c>
      <c r="I113">
        <v>-0.96877551273586349</v>
      </c>
      <c r="J113">
        <v>-1.1826372010040292E-3</v>
      </c>
      <c r="K113" s="93">
        <f t="shared" si="4"/>
        <v>0</v>
      </c>
      <c r="L113" s="93">
        <f t="shared" si="5"/>
        <v>0</v>
      </c>
      <c r="M113" s="93">
        <f t="shared" si="6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4.7583544401024831</v>
      </c>
      <c r="H114">
        <v>2.5771486816406246E-3</v>
      </c>
      <c r="I114">
        <v>-0.8533275439185668</v>
      </c>
      <c r="J114">
        <v>-2.1991519548173665E-3</v>
      </c>
      <c r="K114" s="93">
        <f t="shared" si="4"/>
        <v>0</v>
      </c>
      <c r="L114" s="93">
        <f t="shared" si="5"/>
        <v>0</v>
      </c>
      <c r="M114" s="93">
        <f t="shared" si="6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7.6133671041639683</v>
      </c>
      <c r="H115">
        <v>1.6276728515624997E-3</v>
      </c>
      <c r="I115">
        <v>-0.77586332377133416</v>
      </c>
      <c r="J115">
        <v>-1.2628516686256463E-3</v>
      </c>
      <c r="K115" s="93">
        <f t="shared" si="4"/>
        <v>0</v>
      </c>
      <c r="L115" s="93">
        <f t="shared" si="5"/>
        <v>0</v>
      </c>
      <c r="M115" s="93">
        <f t="shared" si="6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7.7100292968749985E-4</v>
      </c>
      <c r="I116">
        <v>-1</v>
      </c>
      <c r="J116">
        <v>-7.7100292968749985E-4</v>
      </c>
      <c r="K116" s="93">
        <f t="shared" si="4"/>
        <v>0</v>
      </c>
      <c r="L116" s="93">
        <f t="shared" si="5"/>
        <v>0</v>
      </c>
      <c r="M116" s="93">
        <f t="shared" si="6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3.8066835520819877</v>
      </c>
      <c r="H117">
        <v>1.6276728515624997E-3</v>
      </c>
      <c r="I117">
        <v>-0.88083104155753611</v>
      </c>
      <c r="J117">
        <v>-1.4337047731567214E-3</v>
      </c>
      <c r="K117" s="93">
        <f t="shared" si="4"/>
        <v>0</v>
      </c>
      <c r="L117" s="93">
        <f t="shared" si="5"/>
        <v>0</v>
      </c>
      <c r="M117" s="93">
        <f t="shared" si="6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6.6616962161434747</v>
      </c>
      <c r="H118">
        <v>1.0280039062499997E-3</v>
      </c>
      <c r="I118">
        <v>-0.80087008142914651</v>
      </c>
      <c r="J118">
        <v>-8.2329757210791797E-4</v>
      </c>
      <c r="K118" s="93">
        <f t="shared" si="4"/>
        <v>0</v>
      </c>
      <c r="L118" s="93">
        <f t="shared" si="5"/>
        <v>0</v>
      </c>
      <c r="M118" s="93">
        <f t="shared" si="6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1.9033417760409903</v>
      </c>
      <c r="H119">
        <v>1.2207546386718748E-3</v>
      </c>
      <c r="I119">
        <v>-0.93852599407663528</v>
      </c>
      <c r="J119">
        <v>-1.145709960783185E-3</v>
      </c>
      <c r="K119" s="93">
        <f t="shared" si="4"/>
        <v>0</v>
      </c>
      <c r="L119" s="93">
        <f t="shared" si="5"/>
        <v>0</v>
      </c>
      <c r="M119" s="93">
        <f t="shared" si="6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1.9033417760409903</v>
      </c>
      <c r="H120">
        <v>2.5771486816406246E-3</v>
      </c>
      <c r="I120">
        <v>-0.93852599407663528</v>
      </c>
      <c r="J120">
        <v>-2.4187210283200572E-3</v>
      </c>
      <c r="K120" s="93">
        <f t="shared" si="4"/>
        <v>0</v>
      </c>
      <c r="L120" s="93">
        <f t="shared" si="5"/>
        <v>0</v>
      </c>
      <c r="M120" s="93">
        <f t="shared" si="6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8.5650379921844646</v>
      </c>
      <c r="H121">
        <v>1.6276728515624997E-3</v>
      </c>
      <c r="I121">
        <v>-0.7516373892995255</v>
      </c>
      <c r="J121">
        <v>-1.2234197727821513E-3</v>
      </c>
      <c r="K121" s="93">
        <f t="shared" si="4"/>
        <v>0</v>
      </c>
      <c r="L121" s="93">
        <f t="shared" si="5"/>
        <v>0</v>
      </c>
      <c r="M121" s="93">
        <f t="shared" si="6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0.9516708880204956</v>
      </c>
      <c r="H122">
        <v>2.5771486816406246E-3</v>
      </c>
      <c r="I122">
        <v>-0.96877551273586349</v>
      </c>
      <c r="J122">
        <v>-2.4966785354529506E-3</v>
      </c>
      <c r="K122" s="93">
        <f t="shared" si="4"/>
        <v>0</v>
      </c>
      <c r="L122" s="93">
        <f t="shared" si="5"/>
        <v>0</v>
      </c>
      <c r="M122" s="93">
        <f t="shared" si="6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4.7583544401024831</v>
      </c>
      <c r="H123">
        <v>5.4406472167968737E-3</v>
      </c>
      <c r="I123">
        <v>-0.8533275439185668</v>
      </c>
      <c r="J123">
        <v>-4.6426541268366622E-3</v>
      </c>
      <c r="K123" s="93">
        <f t="shared" si="4"/>
        <v>0</v>
      </c>
      <c r="L123" s="93">
        <f t="shared" si="5"/>
        <v>0</v>
      </c>
      <c r="M123" s="93">
        <f t="shared" si="6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7.6133671041639683</v>
      </c>
      <c r="H124">
        <v>3.4361982421874993E-3</v>
      </c>
      <c r="I124">
        <v>-0.77586332377133416</v>
      </c>
      <c r="J124">
        <v>-2.6660201893208093E-3</v>
      </c>
      <c r="K124" s="93">
        <f t="shared" si="4"/>
        <v>0</v>
      </c>
      <c r="L124" s="93">
        <f t="shared" si="5"/>
        <v>0</v>
      </c>
      <c r="M124" s="93">
        <f t="shared" si="6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1.6276728515624997E-3</v>
      </c>
      <c r="I125">
        <v>-1</v>
      </c>
      <c r="J125">
        <v>-1.6276728515624997E-3</v>
      </c>
      <c r="K125" s="93">
        <f t="shared" si="4"/>
        <v>0</v>
      </c>
      <c r="L125" s="93">
        <f t="shared" si="5"/>
        <v>0</v>
      </c>
      <c r="M125" s="93">
        <f t="shared" si="6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3.8066835520819877</v>
      </c>
      <c r="H126">
        <v>3.4361982421874993E-3</v>
      </c>
      <c r="I126">
        <v>-0.88083104155753611</v>
      </c>
      <c r="J126">
        <v>-3.0267100766641899E-3</v>
      </c>
      <c r="K126" s="93">
        <f t="shared" si="4"/>
        <v>0</v>
      </c>
      <c r="L126" s="93">
        <f t="shared" si="5"/>
        <v>0</v>
      </c>
      <c r="M126" s="93">
        <f t="shared" si="6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6.6616962161434747</v>
      </c>
      <c r="H127">
        <v>2.1702304687499993E-3</v>
      </c>
      <c r="I127">
        <v>-0.80087008142914651</v>
      </c>
      <c r="J127">
        <v>-1.7380726522278267E-3</v>
      </c>
      <c r="K127" s="93">
        <f t="shared" si="4"/>
        <v>0</v>
      </c>
      <c r="L127" s="93">
        <f t="shared" si="5"/>
        <v>0</v>
      </c>
      <c r="M127" s="93">
        <f t="shared" si="6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1.9033417760409903</v>
      </c>
      <c r="H128">
        <v>7.7100292968749996E-4</v>
      </c>
      <c r="I128">
        <v>-0.93852599407663528</v>
      </c>
      <c r="J128">
        <v>-7.2360629102095908E-4</v>
      </c>
      <c r="K128" s="93">
        <f t="shared" si="4"/>
        <v>0</v>
      </c>
      <c r="L128" s="93">
        <f t="shared" si="5"/>
        <v>0</v>
      </c>
      <c r="M128" s="93">
        <f t="shared" si="6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5.7100253281229776</v>
      </c>
      <c r="H129">
        <v>1.6276728515624999E-3</v>
      </c>
      <c r="I129">
        <v>-0.82668282889134459</v>
      </c>
      <c r="J129">
        <v>-1.345569197439329E-3</v>
      </c>
      <c r="K129" s="93">
        <f t="shared" si="4"/>
        <v>0</v>
      </c>
      <c r="L129" s="93">
        <f t="shared" si="5"/>
        <v>0</v>
      </c>
      <c r="M129" s="93">
        <f t="shared" si="6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8.5650379921844646</v>
      </c>
      <c r="H130">
        <v>1.0280039062499999E-3</v>
      </c>
      <c r="I130">
        <v>-0.7516373892995255</v>
      </c>
      <c r="J130">
        <v>-7.7268617228346416E-4</v>
      </c>
      <c r="K130" s="93">
        <f t="shared" si="4"/>
        <v>0</v>
      </c>
      <c r="L130" s="93">
        <f t="shared" si="5"/>
        <v>0</v>
      </c>
      <c r="M130" s="93">
        <f t="shared" si="6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0.9516708880204956</v>
      </c>
      <c r="H131">
        <v>1.6276728515624997E-3</v>
      </c>
      <c r="I131">
        <v>-0.96877551273586349</v>
      </c>
      <c r="J131">
        <v>-1.5768496013387056E-3</v>
      </c>
      <c r="K131" s="93">
        <f t="shared" ref="K131:K194" si="7">IF(A131=3,1,0)</f>
        <v>0</v>
      </c>
      <c r="L131" s="93">
        <f t="shared" ref="L131:L194" si="8">IF(A131=2,1,0)</f>
        <v>0</v>
      </c>
      <c r="M131" s="93">
        <f t="shared" ref="M131:M194" si="9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4.7583544401024831</v>
      </c>
      <c r="H132">
        <v>3.4361982421874993E-3</v>
      </c>
      <c r="I132">
        <v>-0.8533275439185668</v>
      </c>
      <c r="J132">
        <v>-2.9322026064231553E-3</v>
      </c>
      <c r="K132" s="93">
        <f t="shared" si="7"/>
        <v>0</v>
      </c>
      <c r="L132" s="93">
        <f t="shared" si="8"/>
        <v>0</v>
      </c>
      <c r="M132" s="93">
        <f t="shared" si="9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7.6133671041639683</v>
      </c>
      <c r="H133">
        <v>2.1702304687499993E-3</v>
      </c>
      <c r="I133">
        <v>-0.77586332377133416</v>
      </c>
      <c r="J133">
        <v>-1.683802224834195E-3</v>
      </c>
      <c r="K133" s="93">
        <f t="shared" si="7"/>
        <v>0</v>
      </c>
      <c r="L133" s="93">
        <f t="shared" si="8"/>
        <v>0</v>
      </c>
      <c r="M133" s="93">
        <f t="shared" si="9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1.0280039062499999E-3</v>
      </c>
      <c r="I134">
        <v>-1</v>
      </c>
      <c r="J134">
        <v>-1.0280039062499999E-3</v>
      </c>
      <c r="K134" s="93">
        <f t="shared" si="7"/>
        <v>0</v>
      </c>
      <c r="L134" s="93">
        <f t="shared" si="8"/>
        <v>0</v>
      </c>
      <c r="M134" s="93">
        <f t="shared" si="9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3.8066835520819877</v>
      </c>
      <c r="H135">
        <v>2.1702304687499993E-3</v>
      </c>
      <c r="I135">
        <v>-0.88083104155753611</v>
      </c>
      <c r="J135">
        <v>-1.9116063642089618E-3</v>
      </c>
      <c r="K135" s="93">
        <f t="shared" si="7"/>
        <v>0</v>
      </c>
      <c r="L135" s="93">
        <f t="shared" si="8"/>
        <v>0</v>
      </c>
      <c r="M135" s="93">
        <f t="shared" si="9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6.6616962161434747</v>
      </c>
      <c r="H136">
        <v>1.3706718749999997E-3</v>
      </c>
      <c r="I136">
        <v>-0.80087008142914651</v>
      </c>
      <c r="J136">
        <v>-1.0977300961438907E-3</v>
      </c>
      <c r="K136" s="93">
        <f t="shared" si="7"/>
        <v>0</v>
      </c>
      <c r="L136" s="93">
        <f t="shared" si="8"/>
        <v>0</v>
      </c>
      <c r="M136" s="93">
        <f t="shared" si="9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2.1412594980461193</v>
      </c>
      <c r="H137">
        <v>3.652119140625E-4</v>
      </c>
      <c r="I137">
        <v>-0.93111236461161995</v>
      </c>
      <c r="J137">
        <v>-3.4005332888707013E-4</v>
      </c>
      <c r="K137" s="93">
        <f t="shared" si="7"/>
        <v>0</v>
      </c>
      <c r="L137" s="93">
        <f t="shared" si="8"/>
        <v>0</v>
      </c>
      <c r="M137" s="93">
        <f t="shared" si="9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6.4237784941383476</v>
      </c>
      <c r="H138">
        <v>7.7100292968749996E-4</v>
      </c>
      <c r="I138">
        <v>-0.80724670605469184</v>
      </c>
      <c r="J138">
        <v>-6.2238957534875149E-4</v>
      </c>
      <c r="K138" s="93">
        <f t="shared" si="7"/>
        <v>0</v>
      </c>
      <c r="L138" s="93">
        <f t="shared" si="8"/>
        <v>0</v>
      </c>
      <c r="M138" s="93">
        <f t="shared" si="9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9.6356677412075218</v>
      </c>
      <c r="H139">
        <v>4.8694921874999997E-4</v>
      </c>
      <c r="I139">
        <v>-0.72528621356034251</v>
      </c>
      <c r="J139">
        <v>-3.5317755506335442E-4</v>
      </c>
      <c r="K139" s="93">
        <f t="shared" si="7"/>
        <v>0</v>
      </c>
      <c r="L139" s="93">
        <f t="shared" si="8"/>
        <v>0</v>
      </c>
      <c r="M139" s="93">
        <f t="shared" si="9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1.0706297490230596</v>
      </c>
      <c r="H140">
        <v>7.7100292968749996E-4</v>
      </c>
      <c r="I140">
        <v>-0.96494163793030507</v>
      </c>
      <c r="J140">
        <v>-7.439728298217201E-4</v>
      </c>
      <c r="K140" s="93">
        <f t="shared" si="7"/>
        <v>0</v>
      </c>
      <c r="L140" s="93">
        <f t="shared" si="8"/>
        <v>0</v>
      </c>
      <c r="M140" s="93">
        <f t="shared" si="9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5.3531487451152904</v>
      </c>
      <c r="H141">
        <v>1.6276728515624999E-3</v>
      </c>
      <c r="I141">
        <v>-0.8365756791116904</v>
      </c>
      <c r="J141">
        <v>-1.3616715211675599E-3</v>
      </c>
      <c r="K141" s="93">
        <f t="shared" si="7"/>
        <v>0</v>
      </c>
      <c r="L141" s="93">
        <f t="shared" si="8"/>
        <v>0</v>
      </c>
      <c r="M141" s="93">
        <f t="shared" si="9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8.5650379921844664</v>
      </c>
      <c r="H142">
        <v>1.0280039062499999E-3</v>
      </c>
      <c r="I142">
        <v>-0.7516373892995255</v>
      </c>
      <c r="J142">
        <v>-7.7268617228346416E-4</v>
      </c>
      <c r="K142" s="93">
        <f t="shared" si="7"/>
        <v>0</v>
      </c>
      <c r="L142" s="93">
        <f t="shared" si="8"/>
        <v>0</v>
      </c>
      <c r="M142" s="93">
        <f t="shared" si="9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4.8694921874999997E-4</v>
      </c>
      <c r="I143">
        <v>-1</v>
      </c>
      <c r="J143">
        <v>-4.8694921874999997E-4</v>
      </c>
      <c r="K143" s="93">
        <f t="shared" si="7"/>
        <v>0</v>
      </c>
      <c r="L143" s="93">
        <f t="shared" si="8"/>
        <v>0</v>
      </c>
      <c r="M143" s="93">
        <f t="shared" si="9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4.2825189960922359</v>
      </c>
      <c r="H144">
        <v>1.0280039062499999E-3</v>
      </c>
      <c r="I144">
        <v>-0.8669702355326423</v>
      </c>
      <c r="J144">
        <v>-8.9124878873003883E-4</v>
      </c>
      <c r="K144" s="93">
        <f t="shared" si="7"/>
        <v>0</v>
      </c>
      <c r="L144" s="93">
        <f t="shared" si="8"/>
        <v>0</v>
      </c>
      <c r="M144" s="93">
        <f t="shared" si="9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7.4944082431614056</v>
      </c>
      <c r="H145">
        <v>6.4926562499999999E-4</v>
      </c>
      <c r="I145">
        <v>-0.77894595875425787</v>
      </c>
      <c r="J145">
        <v>-5.057428347518075E-4</v>
      </c>
      <c r="K145" s="93">
        <f t="shared" si="7"/>
        <v>0</v>
      </c>
      <c r="L145" s="93">
        <f t="shared" si="8"/>
        <v>0</v>
      </c>
      <c r="M145" s="93">
        <f t="shared" si="9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2.1412594980461193</v>
      </c>
      <c r="H146">
        <v>7.7100292968750007E-4</v>
      </c>
      <c r="I146">
        <v>-0.93111236461161995</v>
      </c>
      <c r="J146">
        <v>-7.1789036098381478E-4</v>
      </c>
      <c r="K146" s="93">
        <f t="shared" si="7"/>
        <v>0</v>
      </c>
      <c r="L146" s="93">
        <f t="shared" si="8"/>
        <v>0</v>
      </c>
      <c r="M146" s="93">
        <f t="shared" si="9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6.4237784941383476</v>
      </c>
      <c r="H147">
        <v>1.6276728515625001E-3</v>
      </c>
      <c r="I147">
        <v>-0.80724670605469184</v>
      </c>
      <c r="J147">
        <v>-1.3139335479584757E-3</v>
      </c>
      <c r="K147" s="93">
        <f t="shared" si="7"/>
        <v>0</v>
      </c>
      <c r="L147" s="93">
        <f t="shared" si="8"/>
        <v>0</v>
      </c>
      <c r="M147" s="93">
        <f t="shared" si="9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9.6356677412075218</v>
      </c>
      <c r="H148">
        <v>1.0280039062499999E-3</v>
      </c>
      <c r="I148">
        <v>-0.72528621356034251</v>
      </c>
      <c r="J148">
        <v>-7.4559706068930381E-4</v>
      </c>
      <c r="K148" s="93">
        <f t="shared" si="7"/>
        <v>0</v>
      </c>
      <c r="L148" s="93">
        <f t="shared" si="8"/>
        <v>0</v>
      </c>
      <c r="M148" s="93">
        <f t="shared" si="9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1.0706297490230596</v>
      </c>
      <c r="H149">
        <v>1.6276728515624999E-3</v>
      </c>
      <c r="I149">
        <v>-0.96494163793030507</v>
      </c>
      <c r="J149">
        <v>-1.570609307401409E-3</v>
      </c>
      <c r="K149" s="93">
        <f t="shared" si="7"/>
        <v>0</v>
      </c>
      <c r="L149" s="93">
        <f t="shared" si="8"/>
        <v>0</v>
      </c>
      <c r="M149" s="93">
        <f t="shared" si="9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5.3531487451152904</v>
      </c>
      <c r="H150">
        <v>3.4361982421874998E-3</v>
      </c>
      <c r="I150">
        <v>-0.8365756791116904</v>
      </c>
      <c r="J150">
        <v>-2.8746398780204042E-3</v>
      </c>
      <c r="K150" s="93">
        <f t="shared" si="7"/>
        <v>0</v>
      </c>
      <c r="L150" s="93">
        <f t="shared" si="8"/>
        <v>0</v>
      </c>
      <c r="M150" s="93">
        <f t="shared" si="9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8.5650379921844664</v>
      </c>
      <c r="H151">
        <v>2.1702304687499997E-3</v>
      </c>
      <c r="I151">
        <v>-0.7516373892995255</v>
      </c>
      <c r="J151">
        <v>-1.6312263637095353E-3</v>
      </c>
      <c r="K151" s="93">
        <f t="shared" si="7"/>
        <v>0</v>
      </c>
      <c r="L151" s="93">
        <f t="shared" si="8"/>
        <v>0</v>
      </c>
      <c r="M151" s="93">
        <f t="shared" si="9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1.0280039062499999E-3</v>
      </c>
      <c r="I152">
        <v>-1</v>
      </c>
      <c r="J152">
        <v>-1.0280039062499999E-3</v>
      </c>
      <c r="K152" s="93">
        <f t="shared" si="7"/>
        <v>0</v>
      </c>
      <c r="L152" s="93">
        <f t="shared" si="8"/>
        <v>0</v>
      </c>
      <c r="M152" s="93">
        <f t="shared" si="9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4.2825189960922359</v>
      </c>
      <c r="H153">
        <v>2.1702304687499997E-3</v>
      </c>
      <c r="I153">
        <v>-0.8669702355326423</v>
      </c>
      <c r="J153">
        <v>-1.8815252206523039E-3</v>
      </c>
      <c r="K153" s="93">
        <f t="shared" si="7"/>
        <v>0</v>
      </c>
      <c r="L153" s="93">
        <f t="shared" si="8"/>
        <v>0</v>
      </c>
      <c r="M153" s="93">
        <f t="shared" si="9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7.4944082431614056</v>
      </c>
      <c r="H154">
        <v>1.3706718749999999E-3</v>
      </c>
      <c r="I154">
        <v>-0.77894595875425787</v>
      </c>
      <c r="J154">
        <v>-1.0676793178093712E-3</v>
      </c>
      <c r="K154" s="93">
        <f t="shared" si="7"/>
        <v>0</v>
      </c>
      <c r="L154" s="93">
        <f t="shared" si="8"/>
        <v>0</v>
      </c>
      <c r="M154" s="93">
        <f t="shared" si="9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2.1412594980461193</v>
      </c>
      <c r="H155">
        <v>4.8694921875000008E-4</v>
      </c>
      <c r="I155">
        <v>-0.93111236461161995</v>
      </c>
      <c r="J155">
        <v>-4.5340443851609358E-4</v>
      </c>
      <c r="K155" s="93">
        <f t="shared" si="7"/>
        <v>0</v>
      </c>
      <c r="L155" s="93">
        <f t="shared" si="8"/>
        <v>0</v>
      </c>
      <c r="M155" s="93">
        <f t="shared" si="9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6.4237784941383476</v>
      </c>
      <c r="H156">
        <v>1.0280039062500002E-3</v>
      </c>
      <c r="I156">
        <v>-0.80724670605469184</v>
      </c>
      <c r="J156">
        <v>-8.2985276713166891E-4</v>
      </c>
      <c r="K156" s="93">
        <f t="shared" si="7"/>
        <v>0</v>
      </c>
      <c r="L156" s="93">
        <f t="shared" si="8"/>
        <v>0</v>
      </c>
      <c r="M156" s="93">
        <f t="shared" si="9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9.6356677412075218</v>
      </c>
      <c r="H157">
        <v>6.492656250000001E-4</v>
      </c>
      <c r="I157">
        <v>-0.72528621356034251</v>
      </c>
      <c r="J157">
        <v>-4.7090340675113934E-4</v>
      </c>
      <c r="K157" s="93">
        <f t="shared" si="7"/>
        <v>0</v>
      </c>
      <c r="L157" s="93">
        <f t="shared" si="8"/>
        <v>0</v>
      </c>
      <c r="M157" s="93">
        <f t="shared" si="9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1.0706297490230596</v>
      </c>
      <c r="H158">
        <v>1.0280039062499999E-3</v>
      </c>
      <c r="I158">
        <v>-0.96494163793030507</v>
      </c>
      <c r="J158">
        <v>-9.919637730956268E-4</v>
      </c>
      <c r="K158" s="93">
        <f t="shared" si="7"/>
        <v>0</v>
      </c>
      <c r="L158" s="93">
        <f t="shared" si="8"/>
        <v>0</v>
      </c>
      <c r="M158" s="93">
        <f t="shared" si="9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5.3531487451152904</v>
      </c>
      <c r="H159">
        <v>2.1702304687499997E-3</v>
      </c>
      <c r="I159">
        <v>-0.8365756791116904</v>
      </c>
      <c r="J159">
        <v>-1.8155620282234131E-3</v>
      </c>
      <c r="K159" s="93">
        <f t="shared" si="7"/>
        <v>0</v>
      </c>
      <c r="L159" s="93">
        <f t="shared" si="8"/>
        <v>0</v>
      </c>
      <c r="M159" s="93">
        <f t="shared" si="9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8.5650379921844664</v>
      </c>
      <c r="H160">
        <v>1.3706718749999999E-3</v>
      </c>
      <c r="I160">
        <v>-0.7516373892995255</v>
      </c>
      <c r="J160">
        <v>-1.0302482297112855E-3</v>
      </c>
      <c r="K160" s="93">
        <f t="shared" si="7"/>
        <v>0</v>
      </c>
      <c r="L160" s="93">
        <f t="shared" si="8"/>
        <v>0</v>
      </c>
      <c r="M160" s="93">
        <f t="shared" si="9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6.492656250000001E-4</v>
      </c>
      <c r="I161">
        <v>-1</v>
      </c>
      <c r="J161">
        <v>-6.492656250000001E-4</v>
      </c>
      <c r="K161" s="93">
        <f t="shared" si="7"/>
        <v>0</v>
      </c>
      <c r="L161" s="93">
        <f t="shared" si="8"/>
        <v>0</v>
      </c>
      <c r="M161" s="93">
        <f t="shared" si="9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4.2825189960922359</v>
      </c>
      <c r="H162">
        <v>1.3706718749999999E-3</v>
      </c>
      <c r="I162">
        <v>-0.8669702355326423</v>
      </c>
      <c r="J162">
        <v>-1.1883317183067183E-3</v>
      </c>
      <c r="K162" s="93">
        <f t="shared" si="7"/>
        <v>0</v>
      </c>
      <c r="L162" s="93">
        <f t="shared" si="8"/>
        <v>0</v>
      </c>
      <c r="M162" s="93">
        <f t="shared" si="9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7.4944082431614056</v>
      </c>
      <c r="H163">
        <v>8.6568750000000003E-4</v>
      </c>
      <c r="I163">
        <v>-0.77894595875425787</v>
      </c>
      <c r="J163">
        <v>-6.7432377966907659E-4</v>
      </c>
      <c r="K163" s="93">
        <f t="shared" si="7"/>
        <v>0</v>
      </c>
      <c r="L163" s="93">
        <f t="shared" si="8"/>
        <v>0</v>
      </c>
      <c r="M163" s="93">
        <f t="shared" si="9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1.6808522765925888</v>
      </c>
      <c r="H164">
        <v>1.7299511718750003E-4</v>
      </c>
      <c r="I164">
        <v>-0.94551227424286077</v>
      </c>
      <c r="J164">
        <v>-1.6356900668486338E-4</v>
      </c>
      <c r="K164" s="93">
        <f t="shared" si="7"/>
        <v>0</v>
      </c>
      <c r="L164" s="93">
        <f t="shared" si="8"/>
        <v>0</v>
      </c>
      <c r="M164" s="93">
        <f t="shared" si="9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5.0425568297777739</v>
      </c>
      <c r="H165">
        <v>3.6521191406250006E-4</v>
      </c>
      <c r="I165">
        <v>-0.84528179022621674</v>
      </c>
      <c r="J165">
        <v>-3.0870698053069327E-4</v>
      </c>
      <c r="K165" s="93">
        <f t="shared" si="7"/>
        <v>0</v>
      </c>
      <c r="L165" s="93">
        <f t="shared" si="8"/>
        <v>0</v>
      </c>
      <c r="M165" s="93">
        <f t="shared" si="9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7.5638352446666604</v>
      </c>
      <c r="H166">
        <v>2.3066015625000002E-4</v>
      </c>
      <c r="I166">
        <v>-0.77714538029555869</v>
      </c>
      <c r="J166">
        <v>-1.7925647484793924E-4</v>
      </c>
      <c r="K166" s="93">
        <f t="shared" si="7"/>
        <v>0</v>
      </c>
      <c r="L166" s="93">
        <f t="shared" si="8"/>
        <v>0</v>
      </c>
      <c r="M166" s="93">
        <f t="shared" si="9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0.84042613829629575</v>
      </c>
      <c r="H167">
        <v>3.6521191406250006E-4</v>
      </c>
      <c r="I167">
        <v>-0.97237455450194743</v>
      </c>
      <c r="J167">
        <v>-3.5512277223532699E-4</v>
      </c>
      <c r="K167" s="93">
        <f t="shared" si="7"/>
        <v>0</v>
      </c>
      <c r="L167" s="93">
        <f t="shared" si="8"/>
        <v>0</v>
      </c>
      <c r="M167" s="93">
        <f t="shared" si="9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4.2021306914814804</v>
      </c>
      <c r="H168">
        <v>7.7100292968750007E-4</v>
      </c>
      <c r="I168">
        <v>-0.86929649311851032</v>
      </c>
      <c r="J168">
        <v>-6.7023014296144115E-4</v>
      </c>
      <c r="K168" s="93">
        <f t="shared" si="7"/>
        <v>0</v>
      </c>
      <c r="L168" s="93">
        <f t="shared" si="8"/>
        <v>0</v>
      </c>
      <c r="M168" s="93">
        <f t="shared" si="9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6.7234091063703678</v>
      </c>
      <c r="H169">
        <v>4.8694921875000008E-4</v>
      </c>
      <c r="I169">
        <v>-0.7992243078528668</v>
      </c>
      <c r="J169">
        <v>-3.8918165231496306E-4</v>
      </c>
      <c r="K169" s="93">
        <f t="shared" si="7"/>
        <v>0</v>
      </c>
      <c r="L169" s="93">
        <f t="shared" si="8"/>
        <v>0</v>
      </c>
      <c r="M169" s="93">
        <f t="shared" si="9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2.3066015625000002E-4</v>
      </c>
      <c r="I170">
        <v>-1</v>
      </c>
      <c r="J170">
        <v>-2.3066015625000002E-4</v>
      </c>
      <c r="K170" s="93">
        <f t="shared" si="7"/>
        <v>0</v>
      </c>
      <c r="L170" s="93">
        <f t="shared" si="8"/>
        <v>0</v>
      </c>
      <c r="M170" s="93">
        <f t="shared" si="9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3.3617045531851804</v>
      </c>
      <c r="H171">
        <v>4.8694921874999997E-4</v>
      </c>
      <c r="I171">
        <v>-0.89399346074390662</v>
      </c>
      <c r="J171">
        <v>-4.3532941727685411E-4</v>
      </c>
      <c r="K171" s="93">
        <f t="shared" si="7"/>
        <v>0</v>
      </c>
      <c r="L171" s="93">
        <f t="shared" si="8"/>
        <v>0</v>
      </c>
      <c r="M171" s="93">
        <f t="shared" si="9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5.88298296807407</v>
      </c>
      <c r="H172">
        <v>3.0754687499999999E-4</v>
      </c>
      <c r="I172">
        <v>-0.82193050419982605</v>
      </c>
      <c r="J172">
        <v>-2.5278215803383087E-4</v>
      </c>
      <c r="K172" s="93">
        <f t="shared" si="7"/>
        <v>0</v>
      </c>
      <c r="L172" s="93">
        <f t="shared" si="8"/>
        <v>0</v>
      </c>
      <c r="M172" s="93">
        <f t="shared" si="9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1.6808522765925888</v>
      </c>
      <c r="H173">
        <v>3.652119140625E-4</v>
      </c>
      <c r="I173">
        <v>-0.94551227424286077</v>
      </c>
      <c r="J173">
        <v>-3.4531234744582262E-4</v>
      </c>
      <c r="K173" s="93">
        <f t="shared" si="7"/>
        <v>0</v>
      </c>
      <c r="L173" s="93">
        <f t="shared" si="8"/>
        <v>0</v>
      </c>
      <c r="M173" s="93">
        <f t="shared" si="9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5.0425568297777739</v>
      </c>
      <c r="H174">
        <v>7.7100292968749996E-4</v>
      </c>
      <c r="I174">
        <v>-0.84528179022621674</v>
      </c>
      <c r="J174">
        <v>-6.5171473667590784E-4</v>
      </c>
      <c r="K174" s="93">
        <f t="shared" si="7"/>
        <v>0</v>
      </c>
      <c r="L174" s="93">
        <f t="shared" si="8"/>
        <v>0</v>
      </c>
      <c r="M174" s="93">
        <f t="shared" si="9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7.5638352446666604</v>
      </c>
      <c r="H175">
        <v>4.8694921874999997E-4</v>
      </c>
      <c r="I175">
        <v>-0.77714538029555869</v>
      </c>
      <c r="J175">
        <v>-3.7843033579009394E-4</v>
      </c>
      <c r="K175" s="93">
        <f t="shared" si="7"/>
        <v>0</v>
      </c>
      <c r="L175" s="93">
        <f t="shared" si="8"/>
        <v>0</v>
      </c>
      <c r="M175" s="93">
        <f t="shared" si="9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0.84042613829629575</v>
      </c>
      <c r="H176">
        <v>7.7100292968749996E-4</v>
      </c>
      <c r="I176">
        <v>-0.97237455450194743</v>
      </c>
      <c r="J176">
        <v>-7.4970363027457906E-4</v>
      </c>
      <c r="K176" s="93">
        <f t="shared" si="7"/>
        <v>0</v>
      </c>
      <c r="L176" s="93">
        <f t="shared" si="8"/>
        <v>0</v>
      </c>
      <c r="M176" s="93">
        <f t="shared" si="9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4.2021306914814804</v>
      </c>
      <c r="H177">
        <v>1.6276728515624999E-3</v>
      </c>
      <c r="I177">
        <v>-0.86929649311851032</v>
      </c>
      <c r="J177">
        <v>-1.4149303018074868E-3</v>
      </c>
      <c r="K177" s="93">
        <f t="shared" si="7"/>
        <v>0</v>
      </c>
      <c r="L177" s="93">
        <f t="shared" si="8"/>
        <v>0</v>
      </c>
      <c r="M177" s="93">
        <f t="shared" si="9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6.7234091063703678</v>
      </c>
      <c r="H178">
        <v>1.0280039062499999E-3</v>
      </c>
      <c r="I178">
        <v>-0.7992243078528668</v>
      </c>
      <c r="J178">
        <v>-8.2160571044269956E-4</v>
      </c>
      <c r="K178" s="93">
        <f t="shared" si="7"/>
        <v>0</v>
      </c>
      <c r="L178" s="93">
        <f t="shared" si="8"/>
        <v>0</v>
      </c>
      <c r="M178" s="93">
        <f t="shared" si="9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4.8694921874999997E-4</v>
      </c>
      <c r="I179">
        <v>-1</v>
      </c>
      <c r="J179">
        <v>-4.8694921874999997E-4</v>
      </c>
      <c r="K179" s="93">
        <f t="shared" si="7"/>
        <v>0</v>
      </c>
      <c r="L179" s="93">
        <f t="shared" si="8"/>
        <v>0</v>
      </c>
      <c r="M179" s="93">
        <f t="shared" si="9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3.3617045531851804</v>
      </c>
      <c r="H180">
        <v>1.0280039062499999E-3</v>
      </c>
      <c r="I180">
        <v>-0.89399346074390662</v>
      </c>
      <c r="J180">
        <v>-9.1902876980669203E-4</v>
      </c>
      <c r="K180" s="93">
        <f t="shared" si="7"/>
        <v>0</v>
      </c>
      <c r="L180" s="93">
        <f t="shared" si="8"/>
        <v>0</v>
      </c>
      <c r="M180" s="93">
        <f t="shared" si="9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5.88298296807407</v>
      </c>
      <c r="H181">
        <v>6.4926562499999999E-4</v>
      </c>
      <c r="I181">
        <v>-0.82193050419982605</v>
      </c>
      <c r="J181">
        <v>-5.3365122251586522E-4</v>
      </c>
      <c r="K181" s="93">
        <f t="shared" si="7"/>
        <v>0</v>
      </c>
      <c r="L181" s="93">
        <f t="shared" si="8"/>
        <v>0</v>
      </c>
      <c r="M181" s="93">
        <f t="shared" si="9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1.6808522765925888</v>
      </c>
      <c r="H182">
        <v>2.3066015625000002E-4</v>
      </c>
      <c r="I182">
        <v>-0.94551227424286077</v>
      </c>
      <c r="J182">
        <v>-2.1809200891315114E-4</v>
      </c>
      <c r="K182" s="93">
        <f t="shared" si="7"/>
        <v>0</v>
      </c>
      <c r="L182" s="93">
        <f t="shared" si="8"/>
        <v>0</v>
      </c>
      <c r="M182" s="93">
        <f t="shared" si="9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5.0425568297777739</v>
      </c>
      <c r="H183">
        <v>4.8694921874999997E-4</v>
      </c>
      <c r="I183">
        <v>-0.84528179022621674</v>
      </c>
      <c r="J183">
        <v>-4.1160930737425762E-4</v>
      </c>
      <c r="K183" s="93">
        <f t="shared" si="7"/>
        <v>0</v>
      </c>
      <c r="L183" s="93">
        <f t="shared" si="8"/>
        <v>0</v>
      </c>
      <c r="M183" s="93">
        <f t="shared" si="9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7.5638352446666604</v>
      </c>
      <c r="H184">
        <v>3.0754687499999999E-4</v>
      </c>
      <c r="I184">
        <v>-0.77714538029555869</v>
      </c>
      <c r="J184">
        <v>-2.3900863313058564E-4</v>
      </c>
      <c r="K184" s="93">
        <f t="shared" si="7"/>
        <v>0</v>
      </c>
      <c r="L184" s="93">
        <f t="shared" si="8"/>
        <v>0</v>
      </c>
      <c r="M184" s="93">
        <f t="shared" si="9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0.84042613829629575</v>
      </c>
      <c r="H185">
        <v>4.8694921874999997E-4</v>
      </c>
      <c r="I185">
        <v>-0.97237455450194743</v>
      </c>
      <c r="J185">
        <v>-4.7349702964710256E-4</v>
      </c>
      <c r="K185" s="93">
        <f t="shared" si="7"/>
        <v>0</v>
      </c>
      <c r="L185" s="93">
        <f t="shared" si="8"/>
        <v>0</v>
      </c>
      <c r="M185" s="93">
        <f t="shared" si="9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4.2021306914814804</v>
      </c>
      <c r="H186">
        <v>1.0280039062499999E-3</v>
      </c>
      <c r="I186">
        <v>-0.86929649311851032</v>
      </c>
      <c r="J186">
        <v>-8.9364019061525482E-4</v>
      </c>
      <c r="K186" s="93">
        <f t="shared" si="7"/>
        <v>0</v>
      </c>
      <c r="L186" s="93">
        <f t="shared" si="8"/>
        <v>0</v>
      </c>
      <c r="M186" s="93">
        <f t="shared" si="9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6.7234091063703678</v>
      </c>
      <c r="H187">
        <v>6.4926562499999999E-4</v>
      </c>
      <c r="I187">
        <v>-0.7992243078528668</v>
      </c>
      <c r="J187">
        <v>-5.1890886975328393E-4</v>
      </c>
      <c r="K187" s="93">
        <f t="shared" si="7"/>
        <v>0</v>
      </c>
      <c r="L187" s="93">
        <f t="shared" si="8"/>
        <v>0</v>
      </c>
      <c r="M187" s="93">
        <f t="shared" si="9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3.0754687500000004E-4</v>
      </c>
      <c r="I188">
        <v>-1</v>
      </c>
      <c r="J188">
        <v>-3.0754687500000004E-4</v>
      </c>
      <c r="K188" s="93">
        <f t="shared" si="7"/>
        <v>0</v>
      </c>
      <c r="L188" s="93">
        <f t="shared" si="8"/>
        <v>0</v>
      </c>
      <c r="M188" s="93">
        <f t="shared" si="9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3.3617045531851804</v>
      </c>
      <c r="H189">
        <v>6.4926562499999999E-4</v>
      </c>
      <c r="I189">
        <v>-0.89399346074390662</v>
      </c>
      <c r="J189">
        <v>-5.8043922303580551E-4</v>
      </c>
      <c r="K189" s="93">
        <f t="shared" si="7"/>
        <v>0</v>
      </c>
      <c r="L189" s="93">
        <f t="shared" si="8"/>
        <v>0</v>
      </c>
      <c r="M189" s="93">
        <f t="shared" si="9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5.88298296807407</v>
      </c>
      <c r="H190">
        <v>4.100625E-4</v>
      </c>
      <c r="I190">
        <v>-0.82193050419982605</v>
      </c>
      <c r="J190">
        <v>-3.3704287737844118E-4</v>
      </c>
      <c r="K190" s="93">
        <f t="shared" si="7"/>
        <v>0</v>
      </c>
      <c r="L190" s="93">
        <f t="shared" si="8"/>
        <v>0</v>
      </c>
      <c r="M190" s="93">
        <f t="shared" si="9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2.0687412634985751</v>
      </c>
      <c r="H191">
        <v>3.652119140625E-4</v>
      </c>
      <c r="I191">
        <v>-0.93336584131175637</v>
      </c>
      <c r="J191">
        <v>-3.4087632542602217E-4</v>
      </c>
      <c r="K191" s="93">
        <f t="shared" si="7"/>
        <v>0</v>
      </c>
      <c r="L191" s="93">
        <f t="shared" si="8"/>
        <v>0</v>
      </c>
      <c r="M191" s="93">
        <f t="shared" si="9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6.2062237904957227</v>
      </c>
      <c r="H192">
        <v>7.7100292968749996E-4</v>
      </c>
      <c r="I192">
        <v>-0.81312199417963593</v>
      </c>
      <c r="J192">
        <v>-6.2691943970584159E-4</v>
      </c>
      <c r="K192" s="93">
        <f t="shared" si="7"/>
        <v>0</v>
      </c>
      <c r="L192" s="93">
        <f t="shared" si="8"/>
        <v>0</v>
      </c>
      <c r="M192" s="93">
        <f t="shared" si="9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9.3093356857435818</v>
      </c>
      <c r="H193">
        <v>4.8694921874999997E-4</v>
      </c>
      <c r="I193">
        <v>-0.73321875072394826</v>
      </c>
      <c r="J193">
        <v>-3.5704029783787761E-4</v>
      </c>
      <c r="K193" s="93">
        <f t="shared" si="7"/>
        <v>0</v>
      </c>
      <c r="L193" s="93">
        <f t="shared" si="8"/>
        <v>0</v>
      </c>
      <c r="M193" s="93">
        <f t="shared" si="9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1.0343706317492853</v>
      </c>
      <c r="H194">
        <v>7.7100292968749996E-4</v>
      </c>
      <c r="I194">
        <v>-0.96610860741003468</v>
      </c>
      <c r="J194">
        <v>-7.4487256670944743E-4</v>
      </c>
      <c r="K194" s="93">
        <f t="shared" si="7"/>
        <v>0</v>
      </c>
      <c r="L194" s="93">
        <f t="shared" si="8"/>
        <v>0</v>
      </c>
      <c r="M194" s="93">
        <f t="shared" si="9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5.1718531587464351</v>
      </c>
      <c r="H195">
        <v>1.6276728515624999E-3</v>
      </c>
      <c r="I195">
        <v>-0.84164656845307639</v>
      </c>
      <c r="J195">
        <v>-1.3699252700818117E-3</v>
      </c>
      <c r="K195" s="93">
        <f t="shared" ref="K195:K258" si="10">IF(A195=3,1,0)</f>
        <v>0</v>
      </c>
      <c r="L195" s="93">
        <f t="shared" ref="L195:L258" si="11">IF(A195=2,1,0)</f>
        <v>0</v>
      </c>
      <c r="M195" s="93">
        <f t="shared" ref="M195:M258" si="12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8.2749650539942952</v>
      </c>
      <c r="H196">
        <v>1.0280039062499999E-3</v>
      </c>
      <c r="I196">
        <v>-0.75894029418656905</v>
      </c>
      <c r="J196">
        <v>-7.8019358703431709E-4</v>
      </c>
      <c r="K196" s="93">
        <f t="shared" si="10"/>
        <v>0</v>
      </c>
      <c r="L196" s="93">
        <f t="shared" si="11"/>
        <v>0</v>
      </c>
      <c r="M196" s="93">
        <f t="shared" si="12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4.8694921874999997E-4</v>
      </c>
      <c r="I197">
        <v>-1</v>
      </c>
      <c r="J197">
        <v>-4.8694921874999997E-4</v>
      </c>
      <c r="K197" s="93">
        <f t="shared" si="10"/>
        <v>0</v>
      </c>
      <c r="L197" s="93">
        <f t="shared" si="11"/>
        <v>0</v>
      </c>
      <c r="M197" s="93">
        <f t="shared" si="12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4.1374825269971502</v>
      </c>
      <c r="H198">
        <v>1.0280039062499999E-3</v>
      </c>
      <c r="I198">
        <v>-0.87117179372760278</v>
      </c>
      <c r="J198">
        <v>-8.9556800696679489E-4</v>
      </c>
      <c r="K198" s="93">
        <f t="shared" si="10"/>
        <v>0</v>
      </c>
      <c r="L198" s="93">
        <f t="shared" si="11"/>
        <v>0</v>
      </c>
      <c r="M198" s="93">
        <f t="shared" si="12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7.2405944222450067</v>
      </c>
      <c r="H199">
        <v>6.4926562499999999E-4</v>
      </c>
      <c r="I199">
        <v>-0.78556415745135844</v>
      </c>
      <c r="J199">
        <v>-5.1003980366525468E-4</v>
      </c>
      <c r="K199" s="93">
        <f t="shared" si="10"/>
        <v>0</v>
      </c>
      <c r="L199" s="93">
        <f t="shared" si="11"/>
        <v>0</v>
      </c>
      <c r="M199" s="93">
        <f t="shared" si="12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2.0687412634985751</v>
      </c>
      <c r="H200">
        <v>7.7100292968750007E-4</v>
      </c>
      <c r="I200">
        <v>-0.93336584131175637</v>
      </c>
      <c r="J200">
        <v>-7.1962779812160247E-4</v>
      </c>
      <c r="K200" s="93">
        <f t="shared" si="10"/>
        <v>0</v>
      </c>
      <c r="L200" s="93">
        <f t="shared" si="11"/>
        <v>0</v>
      </c>
      <c r="M200" s="93">
        <f t="shared" si="12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6.2062237904957227</v>
      </c>
      <c r="H201">
        <v>1.6276728515625001E-3</v>
      </c>
      <c r="I201">
        <v>-0.81312199417963593</v>
      </c>
      <c r="J201">
        <v>-1.3234965949345547E-3</v>
      </c>
      <c r="K201" s="93">
        <f t="shared" si="10"/>
        <v>0</v>
      </c>
      <c r="L201" s="93">
        <f t="shared" si="11"/>
        <v>0</v>
      </c>
      <c r="M201" s="93">
        <f t="shared" si="12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9.3093356857435818</v>
      </c>
      <c r="H202">
        <v>1.0280039062499999E-3</v>
      </c>
      <c r="I202">
        <v>-0.73321875072394826</v>
      </c>
      <c r="J202">
        <v>-7.5375173987996381E-4</v>
      </c>
      <c r="K202" s="93">
        <f t="shared" si="10"/>
        <v>0</v>
      </c>
      <c r="L202" s="93">
        <f t="shared" si="11"/>
        <v>0</v>
      </c>
      <c r="M202" s="93">
        <f t="shared" si="12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1.0343706317492853</v>
      </c>
      <c r="H203">
        <v>1.6276728515624999E-3</v>
      </c>
      <c r="I203">
        <v>-0.96610860741003468</v>
      </c>
      <c r="J203">
        <v>-1.572508751942167E-3</v>
      </c>
      <c r="K203" s="93">
        <f t="shared" si="10"/>
        <v>0</v>
      </c>
      <c r="L203" s="93">
        <f t="shared" si="11"/>
        <v>0</v>
      </c>
      <c r="M203" s="93">
        <f t="shared" si="12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5.1718531587464351</v>
      </c>
      <c r="H204">
        <v>3.4361982421874998E-3</v>
      </c>
      <c r="I204">
        <v>-0.84164656845307639</v>
      </c>
      <c r="J204">
        <v>-2.8920644590616023E-3</v>
      </c>
      <c r="K204" s="93">
        <f t="shared" si="10"/>
        <v>0</v>
      </c>
      <c r="L204" s="93">
        <f t="shared" si="11"/>
        <v>0</v>
      </c>
      <c r="M204" s="93">
        <f t="shared" si="12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8.2749650539942952</v>
      </c>
      <c r="H205">
        <v>2.1702304687499997E-3</v>
      </c>
      <c r="I205">
        <v>-0.75894029418656905</v>
      </c>
      <c r="J205">
        <v>-1.6470753504057804E-3</v>
      </c>
      <c r="K205" s="93">
        <f t="shared" si="10"/>
        <v>0</v>
      </c>
      <c r="L205" s="93">
        <f t="shared" si="11"/>
        <v>0</v>
      </c>
      <c r="M205" s="93">
        <f t="shared" si="12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1.0280039062499999E-3</v>
      </c>
      <c r="I206">
        <v>-1</v>
      </c>
      <c r="J206">
        <v>-1.0280039062499999E-3</v>
      </c>
      <c r="K206" s="93">
        <f t="shared" si="10"/>
        <v>0</v>
      </c>
      <c r="L206" s="93">
        <f t="shared" si="11"/>
        <v>0</v>
      </c>
      <c r="M206" s="93">
        <f t="shared" si="12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4.1374825269971502</v>
      </c>
      <c r="H207">
        <v>2.1702304687499997E-3</v>
      </c>
      <c r="I207">
        <v>-0.87117179372760278</v>
      </c>
      <c r="J207">
        <v>-1.8906435702632336E-3</v>
      </c>
      <c r="K207" s="93">
        <f t="shared" si="10"/>
        <v>0</v>
      </c>
      <c r="L207" s="93">
        <f t="shared" si="11"/>
        <v>0</v>
      </c>
      <c r="M207" s="93">
        <f t="shared" si="12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7.2405944222450067</v>
      </c>
      <c r="H208">
        <v>1.3706718749999999E-3</v>
      </c>
      <c r="I208">
        <v>-0.78556415745135844</v>
      </c>
      <c r="J208">
        <v>-1.0767506966266485E-3</v>
      </c>
      <c r="K208" s="93">
        <f t="shared" si="10"/>
        <v>0</v>
      </c>
      <c r="L208" s="93">
        <f t="shared" si="11"/>
        <v>0</v>
      </c>
      <c r="M208" s="93">
        <f t="shared" si="12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2.0687412634985751</v>
      </c>
      <c r="H209">
        <v>4.8694921875000008E-4</v>
      </c>
      <c r="I209">
        <v>-0.93336584131175637</v>
      </c>
      <c r="J209">
        <v>-4.545017672346963E-4</v>
      </c>
      <c r="K209" s="93">
        <f t="shared" si="10"/>
        <v>0</v>
      </c>
      <c r="L209" s="93">
        <f t="shared" si="11"/>
        <v>0</v>
      </c>
      <c r="M209" s="93">
        <f t="shared" si="12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6.2062237904957227</v>
      </c>
      <c r="H210">
        <v>1.0280039062500002E-3</v>
      </c>
      <c r="I210">
        <v>-0.81312199417963593</v>
      </c>
      <c r="J210">
        <v>-8.358925862744556E-4</v>
      </c>
      <c r="K210" s="93">
        <f t="shared" si="10"/>
        <v>0</v>
      </c>
      <c r="L210" s="93">
        <f t="shared" si="11"/>
        <v>0</v>
      </c>
      <c r="M210" s="93">
        <f t="shared" si="12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9.3093356857435818</v>
      </c>
      <c r="H211">
        <v>6.492656250000001E-4</v>
      </c>
      <c r="I211">
        <v>-0.73321875072394826</v>
      </c>
      <c r="J211">
        <v>-4.7605373045050357E-4</v>
      </c>
      <c r="K211" s="93">
        <f t="shared" si="10"/>
        <v>0</v>
      </c>
      <c r="L211" s="93">
        <f t="shared" si="11"/>
        <v>0</v>
      </c>
      <c r="M211" s="93">
        <f t="shared" si="12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1.0343706317492853</v>
      </c>
      <c r="H212">
        <v>1.0280039062499999E-3</v>
      </c>
      <c r="I212">
        <v>-0.96610860741003468</v>
      </c>
      <c r="J212">
        <v>-9.9316342227926324E-4</v>
      </c>
      <c r="K212" s="93">
        <f t="shared" si="10"/>
        <v>0</v>
      </c>
      <c r="L212" s="93">
        <f t="shared" si="11"/>
        <v>0</v>
      </c>
      <c r="M212" s="93">
        <f t="shared" si="12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5.1718531587464351</v>
      </c>
      <c r="H213">
        <v>2.1702304687499997E-3</v>
      </c>
      <c r="I213">
        <v>-0.84164656845307639</v>
      </c>
      <c r="J213">
        <v>-1.8265670267757488E-3</v>
      </c>
      <c r="K213" s="93">
        <f t="shared" si="10"/>
        <v>0</v>
      </c>
      <c r="L213" s="93">
        <f t="shared" si="11"/>
        <v>0</v>
      </c>
      <c r="M213" s="93">
        <f t="shared" si="12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8.2749650539942952</v>
      </c>
      <c r="H214">
        <v>1.3706718749999999E-3</v>
      </c>
      <c r="I214">
        <v>-0.75894029418656905</v>
      </c>
      <c r="J214">
        <v>-1.0402581160457562E-3</v>
      </c>
      <c r="K214" s="93">
        <f t="shared" si="10"/>
        <v>0</v>
      </c>
      <c r="L214" s="93">
        <f t="shared" si="11"/>
        <v>0</v>
      </c>
      <c r="M214" s="93">
        <f t="shared" si="12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6.492656250000001E-4</v>
      </c>
      <c r="I215">
        <v>-1</v>
      </c>
      <c r="J215">
        <v>-6.492656250000001E-4</v>
      </c>
      <c r="K215" s="93">
        <f t="shared" si="10"/>
        <v>0</v>
      </c>
      <c r="L215" s="93">
        <f t="shared" si="11"/>
        <v>0</v>
      </c>
      <c r="M215" s="93">
        <f t="shared" si="12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4.1374825269971502</v>
      </c>
      <c r="H216">
        <v>1.3706718749999999E-3</v>
      </c>
      <c r="I216">
        <v>-0.87117179372760278</v>
      </c>
      <c r="J216">
        <v>-1.1940906759557266E-3</v>
      </c>
      <c r="K216" s="93">
        <f t="shared" si="10"/>
        <v>0</v>
      </c>
      <c r="L216" s="93">
        <f t="shared" si="11"/>
        <v>0</v>
      </c>
      <c r="M216" s="93">
        <f t="shared" si="12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7.2405944222450067</v>
      </c>
      <c r="H217">
        <v>8.6568750000000003E-4</v>
      </c>
      <c r="I217">
        <v>-0.78556415745135844</v>
      </c>
      <c r="J217">
        <v>-6.8005307155367283E-4</v>
      </c>
      <c r="K217" s="93">
        <f t="shared" si="10"/>
        <v>0</v>
      </c>
      <c r="L217" s="93">
        <f t="shared" si="11"/>
        <v>0</v>
      </c>
      <c r="M217" s="93">
        <f t="shared" si="12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2.3273339214358928</v>
      </c>
      <c r="H218">
        <v>2.3066015625000002E-4</v>
      </c>
      <c r="I218">
        <v>-0.92535503139812014</v>
      </c>
      <c r="J218">
        <v>-2.1344253612901406E-4</v>
      </c>
      <c r="K218" s="93">
        <f t="shared" si="10"/>
        <v>0</v>
      </c>
      <c r="L218" s="93">
        <f t="shared" si="11"/>
        <v>0</v>
      </c>
      <c r="M218" s="93">
        <f t="shared" si="12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6.9820017643076868</v>
      </c>
      <c r="H219">
        <v>4.8694921874999997E-4</v>
      </c>
      <c r="I219">
        <v>-0.79236479604603993</v>
      </c>
      <c r="J219">
        <v>-3.8584141839962223E-4</v>
      </c>
      <c r="K219" s="93">
        <f t="shared" si="10"/>
        <v>0</v>
      </c>
      <c r="L219" s="93">
        <f t="shared" si="11"/>
        <v>0</v>
      </c>
      <c r="M219" s="93">
        <f t="shared" si="12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10.473002646461527</v>
      </c>
      <c r="H220">
        <v>3.0754687499999999E-4</v>
      </c>
      <c r="I220">
        <v>-0.70532253226347452</v>
      </c>
      <c r="J220">
        <v>-2.1691974066471827E-4</v>
      </c>
      <c r="K220" s="93">
        <f t="shared" si="10"/>
        <v>0</v>
      </c>
      <c r="L220" s="93">
        <f t="shared" si="11"/>
        <v>0</v>
      </c>
      <c r="M220" s="93">
        <f t="shared" si="12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1.1636669607179451</v>
      </c>
      <c r="H221">
        <v>4.8694921874999997E-4</v>
      </c>
      <c r="I221">
        <v>-0.9619537574115089</v>
      </c>
      <c r="J221">
        <v>-4.6842263064516128E-4</v>
      </c>
      <c r="K221" s="93">
        <f t="shared" si="10"/>
        <v>0</v>
      </c>
      <c r="L221" s="93">
        <f t="shared" si="11"/>
        <v>0</v>
      </c>
      <c r="M221" s="93">
        <f t="shared" si="12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5.8183348035897424</v>
      </c>
      <c r="H222">
        <v>1.0280039062499999E-3</v>
      </c>
      <c r="I222">
        <v>-0.82370362394361807</v>
      </c>
      <c r="J222">
        <v>-8.4677054300632041E-4</v>
      </c>
      <c r="K222" s="93">
        <f t="shared" si="10"/>
        <v>0</v>
      </c>
      <c r="L222" s="93">
        <f t="shared" si="11"/>
        <v>0</v>
      </c>
      <c r="M222" s="93">
        <f t="shared" si="12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9.3093356857435818</v>
      </c>
      <c r="H223">
        <v>6.4926562499999999E-4</v>
      </c>
      <c r="I223">
        <v>-0.73321875072394826</v>
      </c>
      <c r="J223">
        <v>-4.7605373045050346E-4</v>
      </c>
      <c r="K223" s="93">
        <f t="shared" si="10"/>
        <v>0</v>
      </c>
      <c r="L223" s="93">
        <f t="shared" si="11"/>
        <v>0</v>
      </c>
      <c r="M223" s="93">
        <f t="shared" si="12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3.0754687500000004E-4</v>
      </c>
      <c r="I224">
        <v>-1</v>
      </c>
      <c r="J224">
        <v>-3.0754687500000004E-4</v>
      </c>
      <c r="K224" s="93">
        <f t="shared" si="10"/>
        <v>0</v>
      </c>
      <c r="L224" s="93">
        <f t="shared" si="11"/>
        <v>0</v>
      </c>
      <c r="M224" s="93">
        <f t="shared" si="12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4.65466784287179</v>
      </c>
      <c r="H225">
        <v>6.4926562499999999E-4</v>
      </c>
      <c r="I225">
        <v>-0.8562819341338157</v>
      </c>
      <c r="J225">
        <v>-5.5595442514160063E-4</v>
      </c>
      <c r="K225" s="93">
        <f t="shared" si="10"/>
        <v>0</v>
      </c>
      <c r="L225" s="93">
        <f t="shared" si="11"/>
        <v>0</v>
      </c>
      <c r="M225" s="93">
        <f t="shared" si="12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8.1456687250256294</v>
      </c>
      <c r="H226">
        <v>4.100625E-4</v>
      </c>
      <c r="I226">
        <v>-0.76221829279709208</v>
      </c>
      <c r="J226">
        <v>-3.1255713869010756E-4</v>
      </c>
      <c r="K226" s="93">
        <f t="shared" si="10"/>
        <v>0</v>
      </c>
      <c r="L226" s="93">
        <f t="shared" si="11"/>
        <v>0</v>
      </c>
      <c r="M226" s="93">
        <f t="shared" si="12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2.3273339214358928</v>
      </c>
      <c r="H227">
        <v>4.8694921875000008E-4</v>
      </c>
      <c r="I227">
        <v>-0.92535503139812014</v>
      </c>
      <c r="J227">
        <v>-4.5060090960569638E-4</v>
      </c>
      <c r="K227" s="93">
        <f t="shared" si="10"/>
        <v>0</v>
      </c>
      <c r="L227" s="93">
        <f t="shared" si="11"/>
        <v>0</v>
      </c>
      <c r="M227" s="93">
        <f t="shared" si="12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6.9820017643076868</v>
      </c>
      <c r="H228">
        <v>1.0280039062500002E-3</v>
      </c>
      <c r="I228">
        <v>-0.79236479604603993</v>
      </c>
      <c r="J228">
        <v>-8.145541055103137E-4</v>
      </c>
      <c r="K228" s="93">
        <f t="shared" si="10"/>
        <v>0</v>
      </c>
      <c r="L228" s="93">
        <f t="shared" si="11"/>
        <v>0</v>
      </c>
      <c r="M228" s="93">
        <f t="shared" si="12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10.473002646461527</v>
      </c>
      <c r="H229">
        <v>6.492656250000001E-4</v>
      </c>
      <c r="I229">
        <v>-0.70532253226347452</v>
      </c>
      <c r="J229">
        <v>-4.5794167473662753E-4</v>
      </c>
      <c r="K229" s="93">
        <f t="shared" si="10"/>
        <v>0</v>
      </c>
      <c r="L229" s="93">
        <f t="shared" si="11"/>
        <v>0</v>
      </c>
      <c r="M229" s="93">
        <f t="shared" si="12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1.1636669607179451</v>
      </c>
      <c r="H230">
        <v>1.0280039062499999E-3</v>
      </c>
      <c r="I230">
        <v>-0.9619537574115089</v>
      </c>
      <c r="J230">
        <v>-9.8889222025089598E-4</v>
      </c>
      <c r="K230" s="93">
        <f t="shared" si="10"/>
        <v>0</v>
      </c>
      <c r="L230" s="93">
        <f t="shared" si="11"/>
        <v>0</v>
      </c>
      <c r="M230" s="93">
        <f t="shared" si="12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5.8183348035897424</v>
      </c>
      <c r="H231">
        <v>2.1702304687499997E-3</v>
      </c>
      <c r="I231">
        <v>-0.82370362394361807</v>
      </c>
      <c r="J231">
        <v>-1.7876267019022317E-3</v>
      </c>
      <c r="K231" s="93">
        <f t="shared" si="10"/>
        <v>0</v>
      </c>
      <c r="L231" s="93">
        <f t="shared" si="11"/>
        <v>0</v>
      </c>
      <c r="M231" s="93">
        <f t="shared" si="12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9.3093356857435818</v>
      </c>
      <c r="H232">
        <v>1.3706718749999999E-3</v>
      </c>
      <c r="I232">
        <v>-0.73321875072394826</v>
      </c>
      <c r="J232">
        <v>-1.0050023198399517E-3</v>
      </c>
      <c r="K232" s="93">
        <f t="shared" si="10"/>
        <v>0</v>
      </c>
      <c r="L232" s="93">
        <f t="shared" si="11"/>
        <v>0</v>
      </c>
      <c r="M232" s="93">
        <f t="shared" si="12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6.492656250000001E-4</v>
      </c>
      <c r="I233">
        <v>-1</v>
      </c>
      <c r="J233">
        <v>-6.492656250000001E-4</v>
      </c>
      <c r="K233" s="93">
        <f t="shared" si="10"/>
        <v>0</v>
      </c>
      <c r="L233" s="93">
        <f t="shared" si="11"/>
        <v>0</v>
      </c>
      <c r="M233" s="93">
        <f t="shared" si="12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4.65466784287179</v>
      </c>
      <c r="H234">
        <v>1.3706718749999999E-3</v>
      </c>
      <c r="I234">
        <v>-0.8562819341338157</v>
      </c>
      <c r="J234">
        <v>-1.1736815641878236E-3</v>
      </c>
      <c r="K234" s="93">
        <f t="shared" si="10"/>
        <v>0</v>
      </c>
      <c r="L234" s="93">
        <f t="shared" si="11"/>
        <v>0</v>
      </c>
      <c r="M234" s="93">
        <f t="shared" si="12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8.1456687250256294</v>
      </c>
      <c r="H235">
        <v>8.6568750000000003E-4</v>
      </c>
      <c r="I235">
        <v>-0.76221829279709208</v>
      </c>
      <c r="J235">
        <v>-6.5984284834578262E-4</v>
      </c>
      <c r="K235" s="93">
        <f t="shared" si="10"/>
        <v>0</v>
      </c>
      <c r="L235" s="93">
        <f t="shared" si="11"/>
        <v>0</v>
      </c>
      <c r="M235" s="93">
        <f t="shared" si="12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2.3273339214358928</v>
      </c>
      <c r="H236">
        <v>3.0754687500000004E-4</v>
      </c>
      <c r="I236">
        <v>-0.92535503139812014</v>
      </c>
      <c r="J236">
        <v>-2.8459004817201877E-4</v>
      </c>
      <c r="K236" s="93">
        <f t="shared" si="10"/>
        <v>0</v>
      </c>
      <c r="L236" s="93">
        <f t="shared" si="11"/>
        <v>0</v>
      </c>
      <c r="M236" s="93">
        <f t="shared" si="12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6.9820017643076868</v>
      </c>
      <c r="H237">
        <v>6.4926562499999999E-4</v>
      </c>
      <c r="I237">
        <v>-0.79236479604603993</v>
      </c>
      <c r="J237">
        <v>-5.1445522453282965E-4</v>
      </c>
      <c r="K237" s="93">
        <f t="shared" si="10"/>
        <v>0</v>
      </c>
      <c r="L237" s="93">
        <f t="shared" si="11"/>
        <v>0</v>
      </c>
      <c r="M237" s="93">
        <f t="shared" si="12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10.473002646461527</v>
      </c>
      <c r="H238">
        <v>4.100625E-4</v>
      </c>
      <c r="I238">
        <v>-0.70532253226347452</v>
      </c>
      <c r="J238">
        <v>-2.8922632088629102E-4</v>
      </c>
      <c r="K238" s="93">
        <f t="shared" si="10"/>
        <v>0</v>
      </c>
      <c r="L238" s="93">
        <f t="shared" si="11"/>
        <v>0</v>
      </c>
      <c r="M238" s="93">
        <f t="shared" si="12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1.1636669607179451</v>
      </c>
      <c r="H239">
        <v>6.4926562499999999E-4</v>
      </c>
      <c r="I239">
        <v>-0.9619537574115089</v>
      </c>
      <c r="J239">
        <v>-6.245635075268817E-4</v>
      </c>
      <c r="K239" s="93">
        <f t="shared" si="10"/>
        <v>0</v>
      </c>
      <c r="L239" s="93">
        <f t="shared" si="11"/>
        <v>0</v>
      </c>
      <c r="M239" s="93">
        <f t="shared" si="12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5.8183348035897424</v>
      </c>
      <c r="H240">
        <v>1.3706718749999997E-3</v>
      </c>
      <c r="I240">
        <v>-0.82370362394361807</v>
      </c>
      <c r="J240">
        <v>-1.1290273906750937E-3</v>
      </c>
      <c r="K240" s="93">
        <f t="shared" si="10"/>
        <v>0</v>
      </c>
      <c r="L240" s="93">
        <f t="shared" si="11"/>
        <v>0</v>
      </c>
      <c r="M240" s="93">
        <f t="shared" si="12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9.3093356857435818</v>
      </c>
      <c r="H241">
        <v>8.6568749999999992E-4</v>
      </c>
      <c r="I241">
        <v>-0.73321875072394826</v>
      </c>
      <c r="J241">
        <v>-6.3473830726733791E-4</v>
      </c>
      <c r="K241" s="93">
        <f t="shared" si="10"/>
        <v>0</v>
      </c>
      <c r="L241" s="93">
        <f t="shared" si="11"/>
        <v>0</v>
      </c>
      <c r="M241" s="93">
        <f t="shared" si="12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4.100625E-4</v>
      </c>
      <c r="I242">
        <v>-1</v>
      </c>
      <c r="J242">
        <v>-4.100625E-4</v>
      </c>
      <c r="K242" s="93">
        <f t="shared" si="10"/>
        <v>0</v>
      </c>
      <c r="L242" s="93">
        <f t="shared" si="11"/>
        <v>0</v>
      </c>
      <c r="M242" s="93">
        <f t="shared" si="12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4.65466784287179</v>
      </c>
      <c r="H243">
        <v>8.6568749999999992E-4</v>
      </c>
      <c r="I243">
        <v>-0.8562819341338157</v>
      </c>
      <c r="J243">
        <v>-7.4127256685546747E-4</v>
      </c>
      <c r="K243" s="93">
        <f t="shared" si="10"/>
        <v>0</v>
      </c>
      <c r="L243" s="93">
        <f t="shared" si="11"/>
        <v>0</v>
      </c>
      <c r="M243" s="93">
        <f t="shared" si="12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8.1456687250256294</v>
      </c>
      <c r="H244">
        <v>5.4674999999999993E-4</v>
      </c>
      <c r="I244">
        <v>-0.76221829279709208</v>
      </c>
      <c r="J244">
        <v>-4.1674285158681002E-4</v>
      </c>
      <c r="K244" s="93">
        <f t="shared" si="10"/>
        <v>0</v>
      </c>
      <c r="L244" s="93">
        <f t="shared" si="11"/>
        <v>0</v>
      </c>
      <c r="M244" s="93">
        <f t="shared" si="12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2.4194956401439001</v>
      </c>
      <c r="H245">
        <v>2.73908935546875E-4</v>
      </c>
      <c r="I245">
        <v>-0.9225166497955527</v>
      </c>
      <c r="J245">
        <v>-2.5268555356976912E-4</v>
      </c>
      <c r="K245" s="93">
        <f t="shared" si="10"/>
        <v>0</v>
      </c>
      <c r="L245" s="93">
        <f t="shared" si="11"/>
        <v>1</v>
      </c>
      <c r="M245" s="93">
        <f t="shared" si="12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7.2584869204317108</v>
      </c>
      <c r="H246">
        <v>5.7825219726562497E-4</v>
      </c>
      <c r="I246">
        <v>-0.78509577363242855</v>
      </c>
      <c r="J246">
        <v>-4.5398335616690752E-4</v>
      </c>
      <c r="K246" s="93">
        <f t="shared" si="10"/>
        <v>0</v>
      </c>
      <c r="L246" s="93">
        <f t="shared" si="11"/>
        <v>1</v>
      </c>
      <c r="M246" s="93">
        <f t="shared" si="12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10.887730380647568</v>
      </c>
      <c r="H247">
        <v>3.652119140625E-4</v>
      </c>
      <c r="I247">
        <v>-0.69563905937077353</v>
      </c>
      <c r="J247">
        <v>-2.540556723694373E-4</v>
      </c>
      <c r="K247" s="93">
        <f t="shared" si="10"/>
        <v>0</v>
      </c>
      <c r="L247" s="93">
        <f t="shared" si="11"/>
        <v>1</v>
      </c>
      <c r="M247" s="93">
        <f t="shared" si="12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1.2097478200719514</v>
      </c>
      <c r="H248">
        <v>5.7825219726562497E-4</v>
      </c>
      <c r="I248">
        <v>-0.96047730311317225</v>
      </c>
      <c r="J248">
        <v>-5.553981109489535E-4</v>
      </c>
      <c r="K248" s="93">
        <f t="shared" si="10"/>
        <v>0</v>
      </c>
      <c r="L248" s="93">
        <f t="shared" si="11"/>
        <v>1</v>
      </c>
      <c r="M248" s="93">
        <f t="shared" si="12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6.0487391003597581</v>
      </c>
      <c r="H249">
        <v>1.2207546386718748E-3</v>
      </c>
      <c r="I249">
        <v>-0.81740169297880994</v>
      </c>
      <c r="J249">
        <v>-9.978469083621259E-4</v>
      </c>
      <c r="K249" s="93">
        <f t="shared" si="10"/>
        <v>0</v>
      </c>
      <c r="L249" s="93">
        <f t="shared" si="11"/>
        <v>1</v>
      </c>
      <c r="M249" s="93">
        <f t="shared" si="12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9.6779825605756198</v>
      </c>
      <c r="H250">
        <v>7.7100292968749996E-4</v>
      </c>
      <c r="I250">
        <v>-0.72426392286003538</v>
      </c>
      <c r="J250">
        <v>-5.5840960639204872E-4</v>
      </c>
      <c r="K250" s="93">
        <f t="shared" si="10"/>
        <v>0</v>
      </c>
      <c r="L250" s="93">
        <f t="shared" si="11"/>
        <v>1</v>
      </c>
      <c r="M250" s="93">
        <f t="shared" si="12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3.652119140625E-4</v>
      </c>
      <c r="I251">
        <v>-1</v>
      </c>
      <c r="J251">
        <v>-3.652119140625E-4</v>
      </c>
      <c r="K251" s="93">
        <f t="shared" si="10"/>
        <v>0</v>
      </c>
      <c r="L251" s="93">
        <f t="shared" si="11"/>
        <v>1</v>
      </c>
      <c r="M251" s="93">
        <f t="shared" si="12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4.8389912802878055</v>
      </c>
      <c r="H252">
        <v>7.7100292968749996E-4</v>
      </c>
      <c r="I252">
        <v>-0.85103696915001037</v>
      </c>
      <c r="J252">
        <v>-6.5615199648702853E-4</v>
      </c>
      <c r="K252" s="93">
        <f t="shared" si="10"/>
        <v>0</v>
      </c>
      <c r="L252" s="93">
        <f t="shared" si="11"/>
        <v>1</v>
      </c>
      <c r="M252" s="93">
        <f t="shared" si="12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8.4682347405036644</v>
      </c>
      <c r="H253">
        <v>4.8694921874999997E-4</v>
      </c>
      <c r="I253">
        <v>-0.7540666713440245</v>
      </c>
      <c r="J253">
        <v>-3.6719217649638572E-4</v>
      </c>
      <c r="K253" s="93">
        <f t="shared" si="10"/>
        <v>0</v>
      </c>
      <c r="L253" s="93">
        <f t="shared" si="11"/>
        <v>1</v>
      </c>
      <c r="M253" s="93">
        <f t="shared" si="12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2.4194956401439001</v>
      </c>
      <c r="H254">
        <v>5.7825219726562497E-4</v>
      </c>
      <c r="I254">
        <v>-0.9225166497955527</v>
      </c>
      <c r="J254">
        <v>-5.3344727975840138E-4</v>
      </c>
      <c r="K254" s="93">
        <f t="shared" si="10"/>
        <v>0</v>
      </c>
      <c r="L254" s="93">
        <f t="shared" si="11"/>
        <v>1</v>
      </c>
      <c r="M254" s="93">
        <f t="shared" si="12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7.2584869204317108</v>
      </c>
      <c r="H255">
        <v>1.2207546386718748E-3</v>
      </c>
      <c r="I255">
        <v>-0.78509577363242855</v>
      </c>
      <c r="J255">
        <v>-9.5840930746347137E-4</v>
      </c>
      <c r="K255" s="93">
        <f t="shared" si="10"/>
        <v>0</v>
      </c>
      <c r="L255" s="93">
        <f t="shared" si="11"/>
        <v>1</v>
      </c>
      <c r="M255" s="93">
        <f t="shared" si="12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10.887730380647568</v>
      </c>
      <c r="H256">
        <v>7.7100292968749996E-4</v>
      </c>
      <c r="I256">
        <v>-0.69563905937077353</v>
      </c>
      <c r="J256">
        <v>-5.3633975277992308E-4</v>
      </c>
      <c r="K256" s="93">
        <f t="shared" si="10"/>
        <v>0</v>
      </c>
      <c r="L256" s="93">
        <f t="shared" si="11"/>
        <v>1</v>
      </c>
      <c r="M256" s="93">
        <f t="shared" si="12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1.2097478200719514</v>
      </c>
      <c r="H257">
        <v>1.2207546386718748E-3</v>
      </c>
      <c r="I257">
        <v>-0.96047730311317225</v>
      </c>
      <c r="J257">
        <v>-1.1725071231144574E-3</v>
      </c>
      <c r="K257" s="93">
        <f t="shared" si="10"/>
        <v>0</v>
      </c>
      <c r="L257" s="93">
        <f t="shared" si="11"/>
        <v>1</v>
      </c>
      <c r="M257" s="93">
        <f t="shared" si="12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6.0487391003597581</v>
      </c>
      <c r="H258">
        <v>2.5771486816406246E-3</v>
      </c>
      <c r="I258">
        <v>-0.81740169297880994</v>
      </c>
      <c r="J258">
        <v>-2.1065656954311544E-3</v>
      </c>
      <c r="K258" s="93">
        <f t="shared" si="10"/>
        <v>0</v>
      </c>
      <c r="L258" s="93">
        <f t="shared" si="11"/>
        <v>1</v>
      </c>
      <c r="M258" s="93">
        <f t="shared" si="12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9.6779825605756198</v>
      </c>
      <c r="H259">
        <v>1.6276728515624997E-3</v>
      </c>
      <c r="I259">
        <v>-0.72426392286003538</v>
      </c>
      <c r="J259">
        <v>-1.1788647246054362E-3</v>
      </c>
      <c r="K259" s="93">
        <f t="shared" ref="K259:K322" si="13">IF(A259=3,1,0)</f>
        <v>0</v>
      </c>
      <c r="L259" s="93">
        <f t="shared" ref="L259:L322" si="14">IF(A259=2,1,0)</f>
        <v>1</v>
      </c>
      <c r="M259" s="93">
        <f t="shared" ref="M259:M322" si="15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7.7100292968749985E-4</v>
      </c>
      <c r="I260">
        <v>-1</v>
      </c>
      <c r="J260">
        <v>-7.7100292968749985E-4</v>
      </c>
      <c r="K260" s="93">
        <f t="shared" si="13"/>
        <v>0</v>
      </c>
      <c r="L260" s="93">
        <f t="shared" si="14"/>
        <v>1</v>
      </c>
      <c r="M260" s="93">
        <f t="shared" si="15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4.8389912802878055</v>
      </c>
      <c r="H261">
        <v>1.6276728515624997E-3</v>
      </c>
      <c r="I261">
        <v>-0.85103696915001037</v>
      </c>
      <c r="J261">
        <v>-1.3852097703615045E-3</v>
      </c>
      <c r="K261" s="93">
        <f t="shared" si="13"/>
        <v>0</v>
      </c>
      <c r="L261" s="93">
        <f t="shared" si="14"/>
        <v>1</v>
      </c>
      <c r="M261" s="93">
        <f t="shared" si="15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8.4682347405036644</v>
      </c>
      <c r="H262">
        <v>1.0280039062499997E-3</v>
      </c>
      <c r="I262">
        <v>-0.7540666713440245</v>
      </c>
      <c r="J262">
        <v>-7.7518348371459196E-4</v>
      </c>
      <c r="K262" s="93">
        <f t="shared" si="13"/>
        <v>0</v>
      </c>
      <c r="L262" s="93">
        <f t="shared" si="14"/>
        <v>1</v>
      </c>
      <c r="M262" s="93">
        <f t="shared" si="15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2.4194956401439001</v>
      </c>
      <c r="H263">
        <v>3.6521191406249995E-4</v>
      </c>
      <c r="I263">
        <v>-0.9225166497955527</v>
      </c>
      <c r="J263">
        <v>-3.3691407142635876E-4</v>
      </c>
      <c r="K263" s="93">
        <f t="shared" si="13"/>
        <v>0</v>
      </c>
      <c r="L263" s="93">
        <f t="shared" si="14"/>
        <v>1</v>
      </c>
      <c r="M263" s="93">
        <f t="shared" si="15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7.2584869204317108</v>
      </c>
      <c r="H264">
        <v>7.7100292968749985E-4</v>
      </c>
      <c r="I264">
        <v>-0.78509577363242855</v>
      </c>
      <c r="J264">
        <v>-6.0531114155587659E-4</v>
      </c>
      <c r="K264" s="93">
        <f t="shared" si="13"/>
        <v>0</v>
      </c>
      <c r="L264" s="93">
        <f t="shared" si="14"/>
        <v>1</v>
      </c>
      <c r="M264" s="93">
        <f t="shared" si="15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10.887730380647568</v>
      </c>
      <c r="H265">
        <v>4.8694921874999991E-4</v>
      </c>
      <c r="I265">
        <v>-0.69563905937077353</v>
      </c>
      <c r="J265">
        <v>-3.3874089649258299E-4</v>
      </c>
      <c r="K265" s="93">
        <f t="shared" si="13"/>
        <v>0</v>
      </c>
      <c r="L265" s="93">
        <f t="shared" si="14"/>
        <v>1</v>
      </c>
      <c r="M265" s="93">
        <f t="shared" si="15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1.2097478200719514</v>
      </c>
      <c r="H266">
        <v>7.7100292968749985E-4</v>
      </c>
      <c r="I266">
        <v>-0.96047730311317225</v>
      </c>
      <c r="J266">
        <v>-7.4053081459860459E-4</v>
      </c>
      <c r="K266" s="93">
        <f t="shared" si="13"/>
        <v>0</v>
      </c>
      <c r="L266" s="93">
        <f t="shared" si="14"/>
        <v>1</v>
      </c>
      <c r="M266" s="93">
        <f t="shared" si="15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6.0487391003597581</v>
      </c>
      <c r="H267">
        <v>1.6276728515624997E-3</v>
      </c>
      <c r="I267">
        <v>-0.81740169297880994</v>
      </c>
      <c r="J267">
        <v>-1.3304625444828344E-3</v>
      </c>
      <c r="K267" s="93">
        <f t="shared" si="13"/>
        <v>0</v>
      </c>
      <c r="L267" s="93">
        <f t="shared" si="14"/>
        <v>1</v>
      </c>
      <c r="M267" s="93">
        <f t="shared" si="15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9.6779825605756198</v>
      </c>
      <c r="H268">
        <v>1.0280039062499997E-3</v>
      </c>
      <c r="I268">
        <v>-0.72426392286003538</v>
      </c>
      <c r="J268">
        <v>-7.4454614185606488E-4</v>
      </c>
      <c r="K268" s="93">
        <f t="shared" si="13"/>
        <v>0</v>
      </c>
      <c r="L268" s="93">
        <f t="shared" si="14"/>
        <v>1</v>
      </c>
      <c r="M268" s="93">
        <f t="shared" si="15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4.8694921874999991E-4</v>
      </c>
      <c r="I269">
        <v>-1</v>
      </c>
      <c r="J269">
        <v>-4.8694921874999991E-4</v>
      </c>
      <c r="K269" s="93">
        <f t="shared" si="13"/>
        <v>0</v>
      </c>
      <c r="L269" s="93">
        <f t="shared" si="14"/>
        <v>1</v>
      </c>
      <c r="M269" s="93">
        <f t="shared" si="15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4.8389912802878055</v>
      </c>
      <c r="H270">
        <v>1.0280039062499997E-3</v>
      </c>
      <c r="I270">
        <v>-0.85103696915001037</v>
      </c>
      <c r="J270">
        <v>-8.7486932864937119E-4</v>
      </c>
      <c r="K270" s="93">
        <f t="shared" si="13"/>
        <v>0</v>
      </c>
      <c r="L270" s="93">
        <f t="shared" si="14"/>
        <v>1</v>
      </c>
      <c r="M270" s="93">
        <f t="shared" si="15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8.4682347405036644</v>
      </c>
      <c r="H271">
        <v>6.4926562499999978E-4</v>
      </c>
      <c r="I271">
        <v>-0.7540666713440245</v>
      </c>
      <c r="J271">
        <v>-4.8958956866184745E-4</v>
      </c>
      <c r="K271" s="93">
        <f t="shared" si="13"/>
        <v>0</v>
      </c>
      <c r="L271" s="93">
        <f t="shared" si="14"/>
        <v>1</v>
      </c>
      <c r="M271" s="93">
        <f t="shared" si="15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2.9778407878694204</v>
      </c>
      <c r="H272">
        <v>5.7825219726562497E-4</v>
      </c>
      <c r="I272">
        <v>-0.90550601440804013</v>
      </c>
      <c r="J272">
        <v>-5.2361084246868789E-4</v>
      </c>
      <c r="K272" s="93">
        <f t="shared" si="13"/>
        <v>0</v>
      </c>
      <c r="L272" s="93">
        <f t="shared" si="14"/>
        <v>1</v>
      </c>
      <c r="M272" s="93">
        <f t="shared" si="15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8.9335223636082564</v>
      </c>
      <c r="H273">
        <v>1.2207546386718748E-3</v>
      </c>
      <c r="I273">
        <v>-0.74246163565852841</v>
      </c>
      <c r="J273">
        <v>-9.0636348576605605E-4</v>
      </c>
      <c r="K273" s="93">
        <f t="shared" si="13"/>
        <v>0</v>
      </c>
      <c r="L273" s="93">
        <f t="shared" si="14"/>
        <v>1</v>
      </c>
      <c r="M273" s="93">
        <f t="shared" si="15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8.9335223636082564</v>
      </c>
      <c r="H274">
        <v>1.2207546386718748E-3</v>
      </c>
      <c r="I274">
        <v>-0.74246163565852841</v>
      </c>
      <c r="J274">
        <v>-9.0636348576605605E-4</v>
      </c>
      <c r="K274" s="93">
        <f t="shared" si="13"/>
        <v>0</v>
      </c>
      <c r="L274" s="93">
        <f t="shared" si="14"/>
        <v>1</v>
      </c>
      <c r="M274" s="93">
        <f t="shared" si="15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1.4889203939347078</v>
      </c>
      <c r="H275">
        <v>1.2207546386718748E-3</v>
      </c>
      <c r="I275">
        <v>-0.9515807976246895</v>
      </c>
      <c r="J275">
        <v>-1.1616466727714222E-3</v>
      </c>
      <c r="K275" s="93">
        <f t="shared" si="13"/>
        <v>0</v>
      </c>
      <c r="L275" s="93">
        <f t="shared" si="14"/>
        <v>1</v>
      </c>
      <c r="M275" s="93">
        <f t="shared" si="15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7.444601969673549</v>
      </c>
      <c r="H276">
        <v>2.5771486816406246E-3</v>
      </c>
      <c r="I276">
        <v>-0.78024024603253994</v>
      </c>
      <c r="J276">
        <v>-2.0107951214257168E-3</v>
      </c>
      <c r="K276" s="93">
        <f t="shared" si="13"/>
        <v>0</v>
      </c>
      <c r="L276" s="93">
        <f t="shared" si="14"/>
        <v>1</v>
      </c>
      <c r="M276" s="93">
        <f t="shared" si="15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11.91136315147768</v>
      </c>
      <c r="H277">
        <v>1.6276728515624997E-3</v>
      </c>
      <c r="I277">
        <v>-0.67230347655602829</v>
      </c>
      <c r="J277">
        <v>-1.0942901168013326E-3</v>
      </c>
      <c r="K277" s="93">
        <f t="shared" si="13"/>
        <v>0</v>
      </c>
      <c r="L277" s="93">
        <f t="shared" si="14"/>
        <v>1</v>
      </c>
      <c r="M277" s="93">
        <f t="shared" si="15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7.7100292968749985E-4</v>
      </c>
      <c r="I278">
        <v>-1</v>
      </c>
      <c r="J278">
        <v>-7.7100292968749985E-4</v>
      </c>
      <c r="K278" s="93">
        <f t="shared" si="13"/>
        <v>0</v>
      </c>
      <c r="L278" s="93">
        <f t="shared" si="14"/>
        <v>1</v>
      </c>
      <c r="M278" s="93">
        <f t="shared" si="15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5.9556815757388426</v>
      </c>
      <c r="H279">
        <v>1.6276728515624997E-3</v>
      </c>
      <c r="I279">
        <v>-0.81994114212913372</v>
      </c>
      <c r="J279">
        <v>-1.33459593692274E-3</v>
      </c>
      <c r="K279" s="93">
        <f t="shared" si="13"/>
        <v>0</v>
      </c>
      <c r="L279" s="93">
        <f t="shared" si="14"/>
        <v>1</v>
      </c>
      <c r="M279" s="93">
        <f t="shared" si="15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10.422442757542964</v>
      </c>
      <c r="H280">
        <v>1.0280039062499997E-3</v>
      </c>
      <c r="I280">
        <v>-0.70651223546567399</v>
      </c>
      <c r="J280">
        <v>-7.262973378721325E-4</v>
      </c>
      <c r="K280" s="93">
        <f t="shared" si="13"/>
        <v>0</v>
      </c>
      <c r="L280" s="93">
        <f t="shared" si="14"/>
        <v>1</v>
      </c>
      <c r="M280" s="93">
        <f t="shared" si="15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2.9778407878694204</v>
      </c>
      <c r="H281">
        <v>1.2207546386718748E-3</v>
      </c>
      <c r="I281">
        <v>-0.90550601440804013</v>
      </c>
      <c r="J281">
        <v>-1.1054006674338964E-3</v>
      </c>
      <c r="K281" s="93">
        <f t="shared" si="13"/>
        <v>0</v>
      </c>
      <c r="L281" s="93">
        <f t="shared" si="14"/>
        <v>1</v>
      </c>
      <c r="M281" s="93">
        <f t="shared" si="15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8.9335223636082564</v>
      </c>
      <c r="H282">
        <v>2.5771486816406246E-3</v>
      </c>
      <c r="I282">
        <v>-0.74246163565852841</v>
      </c>
      <c r="J282">
        <v>-1.9134340255061181E-3</v>
      </c>
      <c r="K282" s="93">
        <f t="shared" si="13"/>
        <v>0</v>
      </c>
      <c r="L282" s="93">
        <f t="shared" si="14"/>
        <v>1</v>
      </c>
      <c r="M282" s="93">
        <f t="shared" si="15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13.400283545412396</v>
      </c>
      <c r="H283">
        <v>1.6276728515624997E-3</v>
      </c>
      <c r="I283">
        <v>-0.63975107846703694</v>
      </c>
      <c r="J283">
        <v>-1.0413054621786265E-3</v>
      </c>
      <c r="K283" s="93">
        <f t="shared" si="13"/>
        <v>0</v>
      </c>
      <c r="L283" s="93">
        <f t="shared" si="14"/>
        <v>1</v>
      </c>
      <c r="M283" s="93">
        <f t="shared" si="15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1.4889203939347078</v>
      </c>
      <c r="H284">
        <v>2.5771486816406246E-3</v>
      </c>
      <c r="I284">
        <v>-0.9515807976246895</v>
      </c>
      <c r="J284">
        <v>-2.4523651980730026E-3</v>
      </c>
      <c r="K284" s="93">
        <f t="shared" si="13"/>
        <v>0</v>
      </c>
      <c r="L284" s="93">
        <f t="shared" si="14"/>
        <v>1</v>
      </c>
      <c r="M284" s="93">
        <f t="shared" si="15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7.444601969673549</v>
      </c>
      <c r="H285">
        <v>5.4406472167968737E-3</v>
      </c>
      <c r="I285">
        <v>-0.78024024603253994</v>
      </c>
      <c r="J285">
        <v>-4.2450119230098464E-3</v>
      </c>
      <c r="K285" s="93">
        <f t="shared" si="13"/>
        <v>0</v>
      </c>
      <c r="L285" s="93">
        <f t="shared" si="14"/>
        <v>1</v>
      </c>
      <c r="M285" s="93">
        <f t="shared" si="15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11.91136315147768</v>
      </c>
      <c r="H286">
        <v>3.4361982421874993E-3</v>
      </c>
      <c r="I286">
        <v>-0.67230347655602829</v>
      </c>
      <c r="J286">
        <v>-2.3101680243583691E-3</v>
      </c>
      <c r="K286" s="93">
        <f t="shared" si="13"/>
        <v>0</v>
      </c>
      <c r="L286" s="93">
        <f t="shared" si="14"/>
        <v>1</v>
      </c>
      <c r="M286" s="93">
        <f t="shared" si="15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1.6276728515624997E-3</v>
      </c>
      <c r="I287">
        <v>-1</v>
      </c>
      <c r="J287">
        <v>-1.6276728515624997E-3</v>
      </c>
      <c r="K287" s="93">
        <f t="shared" si="13"/>
        <v>0</v>
      </c>
      <c r="L287" s="93">
        <f t="shared" si="14"/>
        <v>1</v>
      </c>
      <c r="M287" s="93">
        <f t="shared" si="15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5.9556815757388426</v>
      </c>
      <c r="H288">
        <v>3.4361982421874993E-3</v>
      </c>
      <c r="I288">
        <v>-0.81994114212913372</v>
      </c>
      <c r="J288">
        <v>-2.8174803112813399E-3</v>
      </c>
      <c r="K288" s="93">
        <f t="shared" si="13"/>
        <v>0</v>
      </c>
      <c r="L288" s="93">
        <f t="shared" si="14"/>
        <v>1</v>
      </c>
      <c r="M288" s="93">
        <f t="shared" si="15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10.422442757542964</v>
      </c>
      <c r="H289">
        <v>2.1702304687499993E-3</v>
      </c>
      <c r="I289">
        <v>-0.70651223546567399</v>
      </c>
      <c r="J289">
        <v>-1.5332943799522796E-3</v>
      </c>
      <c r="K289" s="93">
        <f t="shared" si="13"/>
        <v>0</v>
      </c>
      <c r="L289" s="93">
        <f t="shared" si="14"/>
        <v>1</v>
      </c>
      <c r="M289" s="93">
        <f t="shared" si="15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2.9778407878694204</v>
      </c>
      <c r="H290">
        <v>7.7100292968749996E-4</v>
      </c>
      <c r="I290">
        <v>-0.90550601440804013</v>
      </c>
      <c r="J290">
        <v>-6.9814778995825049E-4</v>
      </c>
      <c r="K290" s="93">
        <f t="shared" si="13"/>
        <v>0</v>
      </c>
      <c r="L290" s="93">
        <f t="shared" si="14"/>
        <v>1</v>
      </c>
      <c r="M290" s="93">
        <f t="shared" si="15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8.9335223636082564</v>
      </c>
      <c r="H291">
        <v>1.6276728515624999E-3</v>
      </c>
      <c r="I291">
        <v>-0.74246163565852841</v>
      </c>
      <c r="J291">
        <v>-1.2084846476880747E-3</v>
      </c>
      <c r="K291" s="93">
        <f t="shared" si="13"/>
        <v>0</v>
      </c>
      <c r="L291" s="93">
        <f t="shared" si="14"/>
        <v>1</v>
      </c>
      <c r="M291" s="93">
        <f t="shared" si="15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13.400283545412396</v>
      </c>
      <c r="H292">
        <v>1.0280039062499999E-3</v>
      </c>
      <c r="I292">
        <v>-0.63975107846703694</v>
      </c>
      <c r="J292">
        <v>-6.5766660769176421E-4</v>
      </c>
      <c r="K292" s="93">
        <f t="shared" si="13"/>
        <v>0</v>
      </c>
      <c r="L292" s="93">
        <f t="shared" si="14"/>
        <v>1</v>
      </c>
      <c r="M292" s="93">
        <f t="shared" si="15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1.4889203939347078</v>
      </c>
      <c r="H293">
        <v>1.6276728515624997E-3</v>
      </c>
      <c r="I293">
        <v>-0.9515807976246895</v>
      </c>
      <c r="J293">
        <v>-1.5488622303618963E-3</v>
      </c>
      <c r="K293" s="93">
        <f t="shared" si="13"/>
        <v>0</v>
      </c>
      <c r="L293" s="93">
        <f t="shared" si="14"/>
        <v>1</v>
      </c>
      <c r="M293" s="93">
        <f t="shared" si="15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7.444601969673549</v>
      </c>
      <c r="H294">
        <v>3.4361982421874993E-3</v>
      </c>
      <c r="I294">
        <v>-0.78024024603253994</v>
      </c>
      <c r="J294">
        <v>-2.6810601619009556E-3</v>
      </c>
      <c r="K294" s="93">
        <f t="shared" si="13"/>
        <v>0</v>
      </c>
      <c r="L294" s="93">
        <f t="shared" si="14"/>
        <v>1</v>
      </c>
      <c r="M294" s="93">
        <f t="shared" si="15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11.91136315147768</v>
      </c>
      <c r="H295">
        <v>2.1702304687499993E-3</v>
      </c>
      <c r="I295">
        <v>-0.67230347655602829</v>
      </c>
      <c r="J295">
        <v>-1.4590534890684434E-3</v>
      </c>
      <c r="K295" s="93">
        <f t="shared" si="13"/>
        <v>0</v>
      </c>
      <c r="L295" s="93">
        <f t="shared" si="14"/>
        <v>1</v>
      </c>
      <c r="M295" s="93">
        <f t="shared" si="15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1.0280039062499999E-3</v>
      </c>
      <c r="I296">
        <v>-1</v>
      </c>
      <c r="J296">
        <v>-1.0280039062499999E-3</v>
      </c>
      <c r="K296" s="93">
        <f t="shared" si="13"/>
        <v>0</v>
      </c>
      <c r="L296" s="93">
        <f t="shared" si="14"/>
        <v>1</v>
      </c>
      <c r="M296" s="93">
        <f t="shared" si="15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5.9556815757388426</v>
      </c>
      <c r="H297">
        <v>2.1702304687499993E-3</v>
      </c>
      <c r="I297">
        <v>-0.81994114212913372</v>
      </c>
      <c r="J297">
        <v>-1.7794612492303197E-3</v>
      </c>
      <c r="K297" s="93">
        <f t="shared" si="13"/>
        <v>0</v>
      </c>
      <c r="L297" s="93">
        <f t="shared" si="14"/>
        <v>1</v>
      </c>
      <c r="M297" s="93">
        <f t="shared" si="15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10.422442757542964</v>
      </c>
      <c r="H298">
        <v>1.3706718749999997E-3</v>
      </c>
      <c r="I298">
        <v>-0.70651223546567399</v>
      </c>
      <c r="J298">
        <v>-9.6839645049617666E-4</v>
      </c>
      <c r="K298" s="93">
        <f t="shared" si="13"/>
        <v>0</v>
      </c>
      <c r="L298" s="93">
        <f t="shared" si="14"/>
        <v>1</v>
      </c>
      <c r="M298" s="93">
        <f t="shared" si="15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3.3500708863530946</v>
      </c>
      <c r="H299">
        <v>3.652119140625E-4</v>
      </c>
      <c r="I299">
        <v>-0.89434020870781139</v>
      </c>
      <c r="J299">
        <v>-3.2662369944523552E-4</v>
      </c>
      <c r="K299" s="93">
        <f t="shared" si="13"/>
        <v>0</v>
      </c>
      <c r="L299" s="93">
        <f t="shared" si="14"/>
        <v>1</v>
      </c>
      <c r="M299" s="93">
        <f t="shared" si="15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10.0502126590593</v>
      </c>
      <c r="H300">
        <v>7.7100292968749996E-4</v>
      </c>
      <c r="I300">
        <v>-0.71533301559971485</v>
      </c>
      <c r="J300">
        <v>-5.515238507295743E-4</v>
      </c>
      <c r="K300" s="93">
        <f t="shared" si="13"/>
        <v>0</v>
      </c>
      <c r="L300" s="93">
        <f t="shared" si="14"/>
        <v>1</v>
      </c>
      <c r="M300" s="93">
        <f t="shared" si="15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15.075318988588934</v>
      </c>
      <c r="H301">
        <v>4.8694921874999997E-4</v>
      </c>
      <c r="I301">
        <v>-0.60500979381826125</v>
      </c>
      <c r="J301">
        <v>-2.946090464359009E-4</v>
      </c>
      <c r="K301" s="93">
        <f t="shared" si="13"/>
        <v>0</v>
      </c>
      <c r="L301" s="93">
        <f t="shared" si="14"/>
        <v>1</v>
      </c>
      <c r="M301" s="93">
        <f t="shared" si="15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1.6750354431765495</v>
      </c>
      <c r="H302">
        <v>7.7100292968749996E-4</v>
      </c>
      <c r="I302">
        <v>-0.94569562159703968</v>
      </c>
      <c r="J302">
        <v>-7.2913409484395896E-4</v>
      </c>
      <c r="K302" s="93">
        <f t="shared" si="13"/>
        <v>0</v>
      </c>
      <c r="L302" s="93">
        <f t="shared" si="14"/>
        <v>1</v>
      </c>
      <c r="M302" s="93">
        <f t="shared" si="15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8.3751772158827436</v>
      </c>
      <c r="H303">
        <v>1.6276728515624999E-3</v>
      </c>
      <c r="I303">
        <v>-0.75640935546650756</v>
      </c>
      <c r="J303">
        <v>-1.2311869725607229E-3</v>
      </c>
      <c r="K303" s="93">
        <f t="shared" si="13"/>
        <v>0</v>
      </c>
      <c r="L303" s="93">
        <f t="shared" si="14"/>
        <v>1</v>
      </c>
      <c r="M303" s="93">
        <f t="shared" si="15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13.400283545412396</v>
      </c>
      <c r="H304">
        <v>1.0280039062499999E-3</v>
      </c>
      <c r="I304">
        <v>-0.63975107846703694</v>
      </c>
      <c r="J304">
        <v>-6.5766660769176421E-4</v>
      </c>
      <c r="K304" s="93">
        <f t="shared" si="13"/>
        <v>0</v>
      </c>
      <c r="L304" s="93">
        <f t="shared" si="14"/>
        <v>1</v>
      </c>
      <c r="M304" s="93">
        <f t="shared" si="15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4.8694921874999997E-4</v>
      </c>
      <c r="I305">
        <v>-1</v>
      </c>
      <c r="J305">
        <v>-4.8694921874999997E-4</v>
      </c>
      <c r="K305" s="93">
        <f t="shared" si="13"/>
        <v>0</v>
      </c>
      <c r="L305" s="93">
        <f t="shared" si="14"/>
        <v>1</v>
      </c>
      <c r="M305" s="93">
        <f t="shared" si="15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6.7001417727061927</v>
      </c>
      <c r="H306">
        <v>1.0280039062499999E-3</v>
      </c>
      <c r="I306">
        <v>-0.79984440891153152</v>
      </c>
      <c r="J306">
        <v>-8.2224317675327668E-4</v>
      </c>
      <c r="K306" s="93">
        <f t="shared" si="13"/>
        <v>0</v>
      </c>
      <c r="L306" s="93">
        <f t="shared" si="14"/>
        <v>1</v>
      </c>
      <c r="M306" s="93">
        <f t="shared" si="15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11.725248102235838</v>
      </c>
      <c r="H307">
        <v>6.4926562499999999E-4</v>
      </c>
      <c r="I307">
        <v>-0.67648730083645736</v>
      </c>
      <c r="J307">
        <v>-4.392199501821455E-4</v>
      </c>
      <c r="K307" s="93">
        <f t="shared" si="13"/>
        <v>0</v>
      </c>
      <c r="L307" s="93">
        <f t="shared" si="14"/>
        <v>1</v>
      </c>
      <c r="M307" s="93">
        <f t="shared" si="15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3.3500708863530946</v>
      </c>
      <c r="H308">
        <v>7.7100292968750007E-4</v>
      </c>
      <c r="I308">
        <v>-0.89434020870781139</v>
      </c>
      <c r="J308">
        <v>-6.8953892105105287E-4</v>
      </c>
      <c r="K308" s="93">
        <f t="shared" si="13"/>
        <v>0</v>
      </c>
      <c r="L308" s="93">
        <f t="shared" si="14"/>
        <v>1</v>
      </c>
      <c r="M308" s="93">
        <f t="shared" si="15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10.0502126590593</v>
      </c>
      <c r="H309">
        <v>1.6276728515625001E-3</v>
      </c>
      <c r="I309">
        <v>-0.71533301559971485</v>
      </c>
      <c r="J309">
        <v>-1.1643281293179902E-3</v>
      </c>
      <c r="K309" s="93">
        <f t="shared" si="13"/>
        <v>0</v>
      </c>
      <c r="L309" s="93">
        <f t="shared" si="14"/>
        <v>1</v>
      </c>
      <c r="M309" s="93">
        <f t="shared" si="15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15.075318988588934</v>
      </c>
      <c r="H310">
        <v>1.0280039062499999E-3</v>
      </c>
      <c r="I310">
        <v>-0.60500979381826125</v>
      </c>
      <c r="J310">
        <v>-6.219524313646796E-4</v>
      </c>
      <c r="K310" s="93">
        <f t="shared" si="13"/>
        <v>0</v>
      </c>
      <c r="L310" s="93">
        <f t="shared" si="14"/>
        <v>1</v>
      </c>
      <c r="M310" s="93">
        <f t="shared" si="15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1.6750354431765495</v>
      </c>
      <c r="H311">
        <v>1.6276728515624999E-3</v>
      </c>
      <c r="I311">
        <v>-0.94569562159703968</v>
      </c>
      <c r="J311">
        <v>-1.5392830891150244E-3</v>
      </c>
      <c r="K311" s="93">
        <f t="shared" si="13"/>
        <v>0</v>
      </c>
      <c r="L311" s="93">
        <f t="shared" si="14"/>
        <v>1</v>
      </c>
      <c r="M311" s="93">
        <f t="shared" si="15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8.3751772158827436</v>
      </c>
      <c r="H312">
        <v>3.4361982421874998E-3</v>
      </c>
      <c r="I312">
        <v>-0.75640935546650756</v>
      </c>
      <c r="J312">
        <v>-2.5991724976281928E-3</v>
      </c>
      <c r="K312" s="93">
        <f t="shared" si="13"/>
        <v>0</v>
      </c>
      <c r="L312" s="93">
        <f t="shared" si="14"/>
        <v>1</v>
      </c>
      <c r="M312" s="93">
        <f t="shared" si="15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13.400283545412396</v>
      </c>
      <c r="H313">
        <v>2.1702304687499997E-3</v>
      </c>
      <c r="I313">
        <v>-0.63975107846703694</v>
      </c>
      <c r="J313">
        <v>-1.3884072829048355E-3</v>
      </c>
      <c r="K313" s="93">
        <f t="shared" si="13"/>
        <v>0</v>
      </c>
      <c r="L313" s="93">
        <f t="shared" si="14"/>
        <v>1</v>
      </c>
      <c r="M313" s="93">
        <f t="shared" si="15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1.0280039062499999E-3</v>
      </c>
      <c r="I314">
        <v>-1</v>
      </c>
      <c r="J314">
        <v>-1.0280039062499999E-3</v>
      </c>
      <c r="K314" s="93">
        <f t="shared" si="13"/>
        <v>0</v>
      </c>
      <c r="L314" s="93">
        <f t="shared" si="14"/>
        <v>1</v>
      </c>
      <c r="M314" s="93">
        <f t="shared" si="15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6.7001417727061927</v>
      </c>
      <c r="H315">
        <v>2.1702304687499997E-3</v>
      </c>
      <c r="I315">
        <v>-0.79984440891153152</v>
      </c>
      <c r="J315">
        <v>-1.7358467064791396E-3</v>
      </c>
      <c r="K315" s="93">
        <f t="shared" si="13"/>
        <v>0</v>
      </c>
      <c r="L315" s="93">
        <f t="shared" si="14"/>
        <v>1</v>
      </c>
      <c r="M315" s="93">
        <f t="shared" si="15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11.725248102235838</v>
      </c>
      <c r="H316">
        <v>1.3706718749999999E-3</v>
      </c>
      <c r="I316">
        <v>-0.67648730083645736</v>
      </c>
      <c r="J316">
        <v>-9.2724211705119599E-4</v>
      </c>
      <c r="K316" s="93">
        <f t="shared" si="13"/>
        <v>0</v>
      </c>
      <c r="L316" s="93">
        <f t="shared" si="14"/>
        <v>1</v>
      </c>
      <c r="M316" s="93">
        <f t="shared" si="15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3.3500708863530946</v>
      </c>
      <c r="H317">
        <v>4.8694921875000008E-4</v>
      </c>
      <c r="I317">
        <v>-0.89434020870781139</v>
      </c>
      <c r="J317">
        <v>-4.3549826592698078E-4</v>
      </c>
      <c r="K317" s="93">
        <f t="shared" si="13"/>
        <v>0</v>
      </c>
      <c r="L317" s="93">
        <f t="shared" si="14"/>
        <v>1</v>
      </c>
      <c r="M317" s="93">
        <f t="shared" si="15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10.0502126590593</v>
      </c>
      <c r="H318">
        <v>1.0280039062500002E-3</v>
      </c>
      <c r="I318">
        <v>-0.71533301559971485</v>
      </c>
      <c r="J318">
        <v>-7.3536513430609921E-4</v>
      </c>
      <c r="K318" s="93">
        <f t="shared" si="13"/>
        <v>0</v>
      </c>
      <c r="L318" s="93">
        <f t="shared" si="14"/>
        <v>1</v>
      </c>
      <c r="M318" s="93">
        <f t="shared" si="15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15.075318988588934</v>
      </c>
      <c r="H319">
        <v>6.492656250000001E-4</v>
      </c>
      <c r="I319">
        <v>-0.60500979381826125</v>
      </c>
      <c r="J319">
        <v>-3.9281206191453457E-4</v>
      </c>
      <c r="K319" s="93">
        <f t="shared" si="13"/>
        <v>0</v>
      </c>
      <c r="L319" s="93">
        <f t="shared" si="14"/>
        <v>1</v>
      </c>
      <c r="M319" s="93">
        <f t="shared" si="15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1.6750354431765495</v>
      </c>
      <c r="H320">
        <v>1.0280039062499999E-3</v>
      </c>
      <c r="I320">
        <v>-0.94569562159703968</v>
      </c>
      <c r="J320">
        <v>-9.7217879312527864E-4</v>
      </c>
      <c r="K320" s="93">
        <f t="shared" si="13"/>
        <v>0</v>
      </c>
      <c r="L320" s="93">
        <f t="shared" si="14"/>
        <v>1</v>
      </c>
      <c r="M320" s="93">
        <f t="shared" si="15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8.3751772158827436</v>
      </c>
      <c r="H321">
        <v>2.1702304687499997E-3</v>
      </c>
      <c r="I321">
        <v>-0.75640935546650756</v>
      </c>
      <c r="J321">
        <v>-1.6415826300809639E-3</v>
      </c>
      <c r="K321" s="93">
        <f t="shared" si="13"/>
        <v>0</v>
      </c>
      <c r="L321" s="93">
        <f t="shared" si="14"/>
        <v>1</v>
      </c>
      <c r="M321" s="93">
        <f t="shared" si="15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8.3751772158827436</v>
      </c>
      <c r="H322">
        <v>1.3706718749999999E-3</v>
      </c>
      <c r="I322">
        <v>-0.75640935546650756</v>
      </c>
      <c r="J322">
        <v>-1.0367890295248194E-3</v>
      </c>
      <c r="K322" s="93">
        <f t="shared" si="13"/>
        <v>0</v>
      </c>
      <c r="L322" s="93">
        <f t="shared" si="14"/>
        <v>1</v>
      </c>
      <c r="M322" s="93">
        <f t="shared" si="15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6.492656250000001E-4</v>
      </c>
      <c r="I323">
        <v>-1</v>
      </c>
      <c r="J323">
        <v>-6.492656250000001E-4</v>
      </c>
      <c r="K323" s="93">
        <f t="shared" ref="K323:K386" si="16">IF(A323=3,1,0)</f>
        <v>0</v>
      </c>
      <c r="L323" s="93">
        <f t="shared" ref="L323:L386" si="17">IF(A323=2,1,0)</f>
        <v>1</v>
      </c>
      <c r="M323" s="93">
        <f t="shared" ref="M323:M386" si="18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6.7001417727061927</v>
      </c>
      <c r="H324">
        <v>1.3706718749999999E-3</v>
      </c>
      <c r="I324">
        <v>-0.79984440891153152</v>
      </c>
      <c r="J324">
        <v>-1.0963242356710355E-3</v>
      </c>
      <c r="K324" s="93">
        <f t="shared" si="16"/>
        <v>0</v>
      </c>
      <c r="L324" s="93">
        <f t="shared" si="17"/>
        <v>1</v>
      </c>
      <c r="M324" s="93">
        <f t="shared" si="18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11.725248102235838</v>
      </c>
      <c r="H325">
        <v>8.6568750000000003E-4</v>
      </c>
      <c r="I325">
        <v>-0.67648730083645736</v>
      </c>
      <c r="J325">
        <v>-5.8562660024286074E-4</v>
      </c>
      <c r="K325" s="93">
        <f t="shared" si="16"/>
        <v>0</v>
      </c>
      <c r="L325" s="93">
        <f t="shared" si="17"/>
        <v>1</v>
      </c>
      <c r="M325" s="93">
        <f t="shared" si="18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3.8661629825832646</v>
      </c>
      <c r="H326">
        <v>5.7825219726562508E-4</v>
      </c>
      <c r="I326">
        <v>-0.87908639401575173</v>
      </c>
      <c r="J326">
        <v>-5.0833363892592348E-4</v>
      </c>
      <c r="K326" s="93">
        <f t="shared" si="16"/>
        <v>0</v>
      </c>
      <c r="L326" s="93">
        <f t="shared" si="17"/>
        <v>1</v>
      </c>
      <c r="M326" s="93">
        <f t="shared" si="18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11.5984889477498</v>
      </c>
      <c r="H327">
        <v>1.220754638671875E-3</v>
      </c>
      <c r="I327">
        <v>-0.67935171335919076</v>
      </c>
      <c r="J327">
        <v>-8.2932175537291813E-4</v>
      </c>
      <c r="K327" s="93">
        <f t="shared" si="16"/>
        <v>0</v>
      </c>
      <c r="L327" s="93">
        <f t="shared" si="17"/>
        <v>1</v>
      </c>
      <c r="M327" s="93">
        <f t="shared" si="18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17.397733421624689</v>
      </c>
      <c r="H328">
        <v>7.7100292968750007E-4</v>
      </c>
      <c r="I328">
        <v>-0.5599406699477818</v>
      </c>
      <c r="J328">
        <v>-4.3171589698092128E-4</v>
      </c>
      <c r="K328" s="93">
        <f t="shared" si="16"/>
        <v>0</v>
      </c>
      <c r="L328" s="93">
        <f t="shared" si="17"/>
        <v>1</v>
      </c>
      <c r="M328" s="93">
        <f t="shared" si="18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1.933081491291633</v>
      </c>
      <c r="H329">
        <v>1.220754638671875E-3</v>
      </c>
      <c r="I329">
        <v>-0.93759607188583705</v>
      </c>
      <c r="J329">
        <v>-1.1445747539551643E-3</v>
      </c>
      <c r="K329" s="93">
        <f t="shared" si="16"/>
        <v>0</v>
      </c>
      <c r="L329" s="93">
        <f t="shared" si="17"/>
        <v>1</v>
      </c>
      <c r="M329" s="93">
        <f t="shared" si="18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9.6654074564581656</v>
      </c>
      <c r="H330">
        <v>2.577148681640625E-3</v>
      </c>
      <c r="I330">
        <v>-0.72456757630476676</v>
      </c>
      <c r="J330">
        <v>-1.8673183740333726E-3</v>
      </c>
      <c r="K330" s="93">
        <f t="shared" si="16"/>
        <v>0</v>
      </c>
      <c r="L330" s="93">
        <f t="shared" si="17"/>
        <v>1</v>
      </c>
      <c r="M330" s="93">
        <f t="shared" si="18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15.464651930333066</v>
      </c>
      <c r="H331">
        <v>1.6276728515624999E-3</v>
      </c>
      <c r="I331">
        <v>-0.59720884796535356</v>
      </c>
      <c r="J331">
        <v>-9.7206062854612255E-4</v>
      </c>
      <c r="K331" s="93">
        <f t="shared" si="16"/>
        <v>0</v>
      </c>
      <c r="L331" s="93">
        <f t="shared" si="17"/>
        <v>1</v>
      </c>
      <c r="M331" s="93">
        <f t="shared" si="18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7.7100292968750007E-4</v>
      </c>
      <c r="I332">
        <v>-1</v>
      </c>
      <c r="J332">
        <v>-7.7100292968750007E-4</v>
      </c>
      <c r="K332" s="93">
        <f t="shared" si="16"/>
        <v>0</v>
      </c>
      <c r="L332" s="93">
        <f t="shared" si="17"/>
        <v>1</v>
      </c>
      <c r="M332" s="93">
        <f t="shared" si="18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7.7323259651665301</v>
      </c>
      <c r="H333">
        <v>1.6276728515625001E-3</v>
      </c>
      <c r="I333">
        <v>-0.77279288814361746</v>
      </c>
      <c r="J333">
        <v>-1.257854003911942E-3</v>
      </c>
      <c r="K333" s="93">
        <f t="shared" si="16"/>
        <v>0</v>
      </c>
      <c r="L333" s="93">
        <f t="shared" si="17"/>
        <v>1</v>
      </c>
      <c r="M333" s="93">
        <f t="shared" si="18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13.531570439041428</v>
      </c>
      <c r="H334">
        <v>1.0280039062499999E-3</v>
      </c>
      <c r="I334">
        <v>-0.63695749787449052</v>
      </c>
      <c r="J334">
        <v>-6.5479479593020227E-4</v>
      </c>
      <c r="K334" s="93">
        <f t="shared" si="16"/>
        <v>0</v>
      </c>
      <c r="L334" s="93">
        <f t="shared" si="17"/>
        <v>1</v>
      </c>
      <c r="M334" s="93">
        <f t="shared" si="18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3.8661629825832646</v>
      </c>
      <c r="H335">
        <v>1.220754638671875E-3</v>
      </c>
      <c r="I335">
        <v>-0.87908639401575173</v>
      </c>
      <c r="J335">
        <v>-1.0731487932880606E-3</v>
      </c>
      <c r="K335" s="93">
        <f t="shared" si="16"/>
        <v>0</v>
      </c>
      <c r="L335" s="93">
        <f t="shared" si="17"/>
        <v>1</v>
      </c>
      <c r="M335" s="93">
        <f t="shared" si="18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11.5984889477498</v>
      </c>
      <c r="H336">
        <v>2.577148681640625E-3</v>
      </c>
      <c r="I336">
        <v>-0.67935171335919076</v>
      </c>
      <c r="J336">
        <v>-1.7507903724539382E-3</v>
      </c>
      <c r="K336" s="93">
        <f t="shared" si="16"/>
        <v>0</v>
      </c>
      <c r="L336" s="93">
        <f t="shared" si="17"/>
        <v>1</v>
      </c>
      <c r="M336" s="93">
        <f t="shared" si="18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17.397733421624689</v>
      </c>
      <c r="H337">
        <v>1.6276728515624999E-3</v>
      </c>
      <c r="I337">
        <v>-0.5599406699477818</v>
      </c>
      <c r="J337">
        <v>-9.1140022695972264E-4</v>
      </c>
      <c r="K337" s="93">
        <f t="shared" si="16"/>
        <v>0</v>
      </c>
      <c r="L337" s="93">
        <f t="shared" si="17"/>
        <v>1</v>
      </c>
      <c r="M337" s="93">
        <f t="shared" si="18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1.933081491291633</v>
      </c>
      <c r="H338">
        <v>2.577148681640625E-3</v>
      </c>
      <c r="I338">
        <v>-0.93759607188583705</v>
      </c>
      <c r="J338">
        <v>-2.4163244805720137E-3</v>
      </c>
      <c r="K338" s="93">
        <f t="shared" si="16"/>
        <v>0</v>
      </c>
      <c r="L338" s="93">
        <f t="shared" si="17"/>
        <v>1</v>
      </c>
      <c r="M338" s="93">
        <f t="shared" si="18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9.6654074564581656</v>
      </c>
      <c r="H339">
        <v>5.4406472167968746E-3</v>
      </c>
      <c r="I339">
        <v>-0.72456757630476676</v>
      </c>
      <c r="J339">
        <v>-3.9421165674037861E-3</v>
      </c>
      <c r="K339" s="93">
        <f t="shared" si="16"/>
        <v>0</v>
      </c>
      <c r="L339" s="93">
        <f t="shared" si="17"/>
        <v>1</v>
      </c>
      <c r="M339" s="93">
        <f t="shared" si="18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15.464651930333066</v>
      </c>
      <c r="H340">
        <v>3.4361982421874998E-3</v>
      </c>
      <c r="I340">
        <v>-0.59720884796535356</v>
      </c>
      <c r="J340">
        <v>-2.0521279935973697E-3</v>
      </c>
      <c r="K340" s="93">
        <f t="shared" si="16"/>
        <v>0</v>
      </c>
      <c r="L340" s="93">
        <f t="shared" si="17"/>
        <v>1</v>
      </c>
      <c r="M340" s="93">
        <f t="shared" si="18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1.6276728515624999E-3</v>
      </c>
      <c r="I341">
        <v>-1</v>
      </c>
      <c r="J341">
        <v>-1.6276728515624999E-3</v>
      </c>
      <c r="K341" s="93">
        <f t="shared" si="16"/>
        <v>0</v>
      </c>
      <c r="L341" s="93">
        <f t="shared" si="17"/>
        <v>1</v>
      </c>
      <c r="M341" s="93">
        <f t="shared" si="18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7.7323259651665301</v>
      </c>
      <c r="H342">
        <v>3.4361982421874998E-3</v>
      </c>
      <c r="I342">
        <v>-0.77279288814361746</v>
      </c>
      <c r="J342">
        <v>-2.6554695638140993E-3</v>
      </c>
      <c r="K342" s="93">
        <f t="shared" si="16"/>
        <v>0</v>
      </c>
      <c r="L342" s="93">
        <f t="shared" si="17"/>
        <v>1</v>
      </c>
      <c r="M342" s="93">
        <f t="shared" si="18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13.531570439041428</v>
      </c>
      <c r="H343">
        <v>2.1702304687499997E-3</v>
      </c>
      <c r="I343">
        <v>-0.63695749787449052</v>
      </c>
      <c r="J343">
        <v>-1.3823445691859826E-3</v>
      </c>
      <c r="K343" s="93">
        <f t="shared" si="16"/>
        <v>0</v>
      </c>
      <c r="L343" s="93">
        <f t="shared" si="17"/>
        <v>1</v>
      </c>
      <c r="M343" s="93">
        <f t="shared" si="18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3.8661629825832646</v>
      </c>
      <c r="H344">
        <v>7.7100292968750007E-4</v>
      </c>
      <c r="I344">
        <v>-0.87908639401575173</v>
      </c>
      <c r="J344">
        <v>-6.7777818523456464E-4</v>
      </c>
      <c r="K344" s="93">
        <f t="shared" si="16"/>
        <v>0</v>
      </c>
      <c r="L344" s="93">
        <f t="shared" si="17"/>
        <v>1</v>
      </c>
      <c r="M344" s="93">
        <f t="shared" si="18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11.5984889477498</v>
      </c>
      <c r="H345">
        <v>1.6276728515625001E-3</v>
      </c>
      <c r="I345">
        <v>-0.67935171335919076</v>
      </c>
      <c r="J345">
        <v>-1.1057623404972243E-3</v>
      </c>
      <c r="K345" s="93">
        <f t="shared" si="16"/>
        <v>0</v>
      </c>
      <c r="L345" s="93">
        <f t="shared" si="17"/>
        <v>1</v>
      </c>
      <c r="M345" s="93">
        <f t="shared" si="18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17.397733421624689</v>
      </c>
      <c r="H346">
        <v>1.0280039062499999E-3</v>
      </c>
      <c r="I346">
        <v>-0.5599406699477818</v>
      </c>
      <c r="J346">
        <v>-5.7562119597456168E-4</v>
      </c>
      <c r="K346" s="93">
        <f t="shared" si="16"/>
        <v>0</v>
      </c>
      <c r="L346" s="93">
        <f t="shared" si="17"/>
        <v>1</v>
      </c>
      <c r="M346" s="93">
        <f t="shared" si="18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1.933081491291633</v>
      </c>
      <c r="H347">
        <v>1.6276728515624999E-3</v>
      </c>
      <c r="I347">
        <v>-0.93759607188583705</v>
      </c>
      <c r="J347">
        <v>-1.5260996719402191E-3</v>
      </c>
      <c r="K347" s="93">
        <f t="shared" si="16"/>
        <v>0</v>
      </c>
      <c r="L347" s="93">
        <f t="shared" si="17"/>
        <v>1</v>
      </c>
      <c r="M347" s="93">
        <f t="shared" si="18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9.6654074564581656</v>
      </c>
      <c r="H348">
        <v>3.4361982421874998E-3</v>
      </c>
      <c r="I348">
        <v>-0.72456757630476676</v>
      </c>
      <c r="J348">
        <v>-2.4897578320444967E-3</v>
      </c>
      <c r="K348" s="93">
        <f t="shared" si="16"/>
        <v>0</v>
      </c>
      <c r="L348" s="93">
        <f t="shared" si="17"/>
        <v>1</v>
      </c>
      <c r="M348" s="93">
        <f t="shared" si="18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15.464651930333066</v>
      </c>
      <c r="H349">
        <v>2.1702304687499997E-3</v>
      </c>
      <c r="I349">
        <v>-0.59720884796535356</v>
      </c>
      <c r="J349">
        <v>-1.2960808380614965E-3</v>
      </c>
      <c r="K349" s="93">
        <f t="shared" si="16"/>
        <v>0</v>
      </c>
      <c r="L349" s="93">
        <f t="shared" si="17"/>
        <v>1</v>
      </c>
      <c r="M349" s="93">
        <f t="shared" si="18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1.0280039062499999E-3</v>
      </c>
      <c r="I350">
        <v>-1</v>
      </c>
      <c r="J350">
        <v>-1.0280039062499999E-3</v>
      </c>
      <c r="K350" s="93">
        <f t="shared" si="16"/>
        <v>0</v>
      </c>
      <c r="L350" s="93">
        <f t="shared" si="17"/>
        <v>1</v>
      </c>
      <c r="M350" s="93">
        <f t="shared" si="18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7.7323259651665301</v>
      </c>
      <c r="H351">
        <v>2.1702304687499997E-3</v>
      </c>
      <c r="I351">
        <v>-0.77279288814361746</v>
      </c>
      <c r="J351">
        <v>-1.677138671882589E-3</v>
      </c>
      <c r="K351" s="93">
        <f t="shared" si="16"/>
        <v>0</v>
      </c>
      <c r="L351" s="93">
        <f t="shared" si="17"/>
        <v>1</v>
      </c>
      <c r="M351" s="93">
        <f t="shared" si="18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13.531570439041428</v>
      </c>
      <c r="H352">
        <v>1.3706718749999999E-3</v>
      </c>
      <c r="I352">
        <v>-0.63695749787449052</v>
      </c>
      <c r="J352">
        <v>-8.7305972790693636E-4</v>
      </c>
      <c r="K352" s="93">
        <f t="shared" si="16"/>
        <v>0</v>
      </c>
      <c r="L352" s="93">
        <f t="shared" si="17"/>
        <v>1</v>
      </c>
      <c r="M352" s="93">
        <f t="shared" si="18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4.7583544401024813</v>
      </c>
      <c r="H353">
        <v>1.2207546386718748E-3</v>
      </c>
      <c r="I353">
        <v>-0.8533275439185668</v>
      </c>
      <c r="J353">
        <v>-1.0417035575450684E-3</v>
      </c>
      <c r="K353" s="93">
        <f t="shared" si="16"/>
        <v>0</v>
      </c>
      <c r="L353" s="93">
        <f t="shared" si="17"/>
        <v>1</v>
      </c>
      <c r="M353" s="93">
        <f t="shared" si="18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14.275063320307433</v>
      </c>
      <c r="H354">
        <v>2.5771486816406246E-3</v>
      </c>
      <c r="I354">
        <v>-0.62136572328663675</v>
      </c>
      <c r="J354">
        <v>-1.6013518545848291E-3</v>
      </c>
      <c r="K354" s="93">
        <f t="shared" si="16"/>
        <v>0</v>
      </c>
      <c r="L354" s="93">
        <f t="shared" si="17"/>
        <v>1</v>
      </c>
      <c r="M354" s="93">
        <f t="shared" si="18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21.412594980461172</v>
      </c>
      <c r="H355">
        <v>1.6276728515624997E-3</v>
      </c>
      <c r="I355">
        <v>-0.48980243355221742</v>
      </c>
      <c r="J355">
        <v>-7.9723812372218953E-4</v>
      </c>
      <c r="K355" s="93">
        <f t="shared" si="16"/>
        <v>0</v>
      </c>
      <c r="L355" s="93">
        <f t="shared" si="17"/>
        <v>1</v>
      </c>
      <c r="M355" s="93">
        <f t="shared" si="18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2.3791772200512344</v>
      </c>
      <c r="H356">
        <v>2.5771486816406246E-3</v>
      </c>
      <c r="I356">
        <v>-0.92375729708542342</v>
      </c>
      <c r="J356">
        <v>-2.3806599003396056E-3</v>
      </c>
      <c r="K356" s="93">
        <f t="shared" si="16"/>
        <v>0</v>
      </c>
      <c r="L356" s="93">
        <f t="shared" si="17"/>
        <v>1</v>
      </c>
      <c r="M356" s="93">
        <f t="shared" si="18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11.895886100256199</v>
      </c>
      <c r="H357">
        <v>5.4406472167968737E-3</v>
      </c>
      <c r="I357">
        <v>-0.67265040855117242</v>
      </c>
      <c r="J357">
        <v>-3.6596535731612161E-3</v>
      </c>
      <c r="K357" s="93">
        <f t="shared" si="16"/>
        <v>0</v>
      </c>
      <c r="L357" s="93">
        <f t="shared" si="17"/>
        <v>1</v>
      </c>
      <c r="M357" s="93">
        <f t="shared" si="18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19.033417760409929</v>
      </c>
      <c r="H358">
        <v>3.4361982421874993E-3</v>
      </c>
      <c r="I358">
        <v>-0.53022848652736942</v>
      </c>
      <c r="J358">
        <v>-1.8219701933630849E-3</v>
      </c>
      <c r="K358" s="93">
        <f t="shared" si="16"/>
        <v>0</v>
      </c>
      <c r="L358" s="93">
        <f t="shared" si="17"/>
        <v>1</v>
      </c>
      <c r="M358" s="93">
        <f t="shared" si="18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1.6276728515624997E-3</v>
      </c>
      <c r="I359">
        <v>-1</v>
      </c>
      <c r="J359">
        <v>-1.6276728515624997E-3</v>
      </c>
      <c r="K359" s="93">
        <f t="shared" si="16"/>
        <v>0</v>
      </c>
      <c r="L359" s="93">
        <f t="shared" si="17"/>
        <v>1</v>
      </c>
      <c r="M359" s="93">
        <f t="shared" si="18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9.5167088802049662</v>
      </c>
      <c r="H360">
        <v>3.4361982421874993E-3</v>
      </c>
      <c r="I360">
        <v>-0.72816789721009356</v>
      </c>
      <c r="J360">
        <v>-2.5021292484106914E-3</v>
      </c>
      <c r="K360" s="93">
        <f t="shared" si="16"/>
        <v>0</v>
      </c>
      <c r="L360" s="93">
        <f t="shared" si="17"/>
        <v>1</v>
      </c>
      <c r="M360" s="93">
        <f t="shared" si="18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16.654240540358682</v>
      </c>
      <c r="H361">
        <v>2.1702304687499993E-3</v>
      </c>
      <c r="I361">
        <v>-0.57399112104479244</v>
      </c>
      <c r="J361">
        <v>-1.2456930196833775E-3</v>
      </c>
      <c r="K361" s="93">
        <f t="shared" si="16"/>
        <v>0</v>
      </c>
      <c r="L361" s="93">
        <f t="shared" si="17"/>
        <v>1</v>
      </c>
      <c r="M361" s="93">
        <f t="shared" si="18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4.7583544401024813</v>
      </c>
      <c r="H362">
        <v>2.5771486816406246E-3</v>
      </c>
      <c r="I362">
        <v>-0.8533275439185668</v>
      </c>
      <c r="J362">
        <v>-2.1991519548173665E-3</v>
      </c>
      <c r="K362" s="93">
        <f t="shared" si="16"/>
        <v>0</v>
      </c>
      <c r="L362" s="93">
        <f t="shared" si="17"/>
        <v>1</v>
      </c>
      <c r="M362" s="93">
        <f t="shared" si="18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14.275063320307433</v>
      </c>
      <c r="H363">
        <v>5.4406472167968737E-3</v>
      </c>
      <c r="I363">
        <v>-0.62136572328663675</v>
      </c>
      <c r="J363">
        <v>-3.3806316930124168E-3</v>
      </c>
      <c r="K363" s="93">
        <f t="shared" si="16"/>
        <v>0</v>
      </c>
      <c r="L363" s="93">
        <f t="shared" si="17"/>
        <v>1</v>
      </c>
      <c r="M363" s="93">
        <f t="shared" si="18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21.412594980461172</v>
      </c>
      <c r="H364">
        <v>3.4361982421874993E-3</v>
      </c>
      <c r="I364">
        <v>-0.48980243355221742</v>
      </c>
      <c r="J364">
        <v>-1.6830582611912889E-3</v>
      </c>
      <c r="K364" s="93">
        <f t="shared" si="16"/>
        <v>0</v>
      </c>
      <c r="L364" s="93">
        <f t="shared" si="17"/>
        <v>1</v>
      </c>
      <c r="M364" s="93">
        <f t="shared" si="18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2.3791772200512344</v>
      </c>
      <c r="H365">
        <v>5.4406472167968746E-3</v>
      </c>
      <c r="I365">
        <v>-0.92375729708542342</v>
      </c>
      <c r="J365">
        <v>-5.0258375673836123E-3</v>
      </c>
      <c r="K365" s="93">
        <f t="shared" si="16"/>
        <v>0</v>
      </c>
      <c r="L365" s="93">
        <f t="shared" si="17"/>
        <v>1</v>
      </c>
      <c r="M365" s="93">
        <f t="shared" si="18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11.895886100256199</v>
      </c>
      <c r="H366">
        <v>1.1485810791015622E-2</v>
      </c>
      <c r="I366">
        <v>-0.67265040855117242</v>
      </c>
      <c r="J366">
        <v>-7.7259353211181232E-3</v>
      </c>
      <c r="K366" s="93">
        <f t="shared" si="16"/>
        <v>0</v>
      </c>
      <c r="L366" s="93">
        <f t="shared" si="17"/>
        <v>1</v>
      </c>
      <c r="M366" s="93">
        <f t="shared" si="18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19.033417760409929</v>
      </c>
      <c r="H367">
        <v>7.2541962890624988E-3</v>
      </c>
      <c r="I367">
        <v>-0.53022848652736942</v>
      </c>
      <c r="J367">
        <v>-3.8463815193220683E-3</v>
      </c>
      <c r="K367" s="93">
        <f t="shared" si="16"/>
        <v>0</v>
      </c>
      <c r="L367" s="93">
        <f t="shared" si="17"/>
        <v>1</v>
      </c>
      <c r="M367" s="93">
        <f t="shared" si="18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3.4361982421874993E-3</v>
      </c>
      <c r="I368">
        <v>-1</v>
      </c>
      <c r="J368">
        <v>-3.4361982421874993E-3</v>
      </c>
      <c r="K368" s="93">
        <f t="shared" si="16"/>
        <v>0</v>
      </c>
      <c r="L368" s="93">
        <f t="shared" si="17"/>
        <v>1</v>
      </c>
      <c r="M368" s="93">
        <f t="shared" si="18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9.5167088802049662</v>
      </c>
      <c r="H369">
        <v>7.254196289062498E-3</v>
      </c>
      <c r="I369">
        <v>-0.72816789721009356</v>
      </c>
      <c r="J369">
        <v>-5.2822728577559029E-3</v>
      </c>
      <c r="K369" s="93">
        <f t="shared" si="16"/>
        <v>0</v>
      </c>
      <c r="L369" s="93">
        <f t="shared" si="17"/>
        <v>1</v>
      </c>
      <c r="M369" s="93">
        <f t="shared" si="18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16.654240540358682</v>
      </c>
      <c r="H370">
        <v>4.5815976562499985E-3</v>
      </c>
      <c r="I370">
        <v>-0.57399112104479244</v>
      </c>
      <c r="J370">
        <v>-2.6297963748871302E-3</v>
      </c>
      <c r="K370" s="93">
        <f t="shared" si="16"/>
        <v>0</v>
      </c>
      <c r="L370" s="93">
        <f t="shared" si="17"/>
        <v>1</v>
      </c>
      <c r="M370" s="93">
        <f t="shared" si="18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4.7583544401024813</v>
      </c>
      <c r="H371">
        <v>1.6276728515624997E-3</v>
      </c>
      <c r="I371">
        <v>-0.8533275439185668</v>
      </c>
      <c r="J371">
        <v>-1.3889380767267579E-3</v>
      </c>
      <c r="K371" s="93">
        <f t="shared" si="16"/>
        <v>0</v>
      </c>
      <c r="L371" s="93">
        <f t="shared" si="17"/>
        <v>1</v>
      </c>
      <c r="M371" s="93">
        <f t="shared" si="18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14.275063320307433</v>
      </c>
      <c r="H372">
        <v>3.4361982421874993E-3</v>
      </c>
      <c r="I372">
        <v>-0.62136572328663675</v>
      </c>
      <c r="J372">
        <v>-2.1351358061131053E-3</v>
      </c>
      <c r="K372" s="93">
        <f t="shared" si="16"/>
        <v>0</v>
      </c>
      <c r="L372" s="93">
        <f t="shared" si="17"/>
        <v>1</v>
      </c>
      <c r="M372" s="93">
        <f t="shared" si="18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21.412594980461172</v>
      </c>
      <c r="H373">
        <v>2.1702304687499993E-3</v>
      </c>
      <c r="I373">
        <v>-0.48980243355221742</v>
      </c>
      <c r="J373">
        <v>-1.0629841649629193E-3</v>
      </c>
      <c r="K373" s="93">
        <f t="shared" si="16"/>
        <v>0</v>
      </c>
      <c r="L373" s="93">
        <f t="shared" si="17"/>
        <v>1</v>
      </c>
      <c r="M373" s="93">
        <f t="shared" si="18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2.3791772200512344</v>
      </c>
      <c r="H374">
        <v>3.4361982421874993E-3</v>
      </c>
      <c r="I374">
        <v>-0.92375729708542342</v>
      </c>
      <c r="J374">
        <v>-3.1742132004528075E-3</v>
      </c>
      <c r="K374" s="93">
        <f t="shared" si="16"/>
        <v>0</v>
      </c>
      <c r="L374" s="93">
        <f t="shared" si="17"/>
        <v>1</v>
      </c>
      <c r="M374" s="93">
        <f t="shared" si="18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11.895886100256199</v>
      </c>
      <c r="H375">
        <v>7.254196289062498E-3</v>
      </c>
      <c r="I375">
        <v>-0.67265040855117242</v>
      </c>
      <c r="J375">
        <v>-4.8795380975482881E-3</v>
      </c>
      <c r="K375" s="93">
        <f t="shared" si="16"/>
        <v>0</v>
      </c>
      <c r="L375" s="93">
        <f t="shared" si="17"/>
        <v>1</v>
      </c>
      <c r="M375" s="93">
        <f t="shared" si="18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19.033417760409929</v>
      </c>
      <c r="H376">
        <v>4.5815976562499985E-3</v>
      </c>
      <c r="I376">
        <v>-0.53022848652736942</v>
      </c>
      <c r="J376">
        <v>-2.4292935911507797E-3</v>
      </c>
      <c r="K376" s="93">
        <f t="shared" si="16"/>
        <v>0</v>
      </c>
      <c r="L376" s="93">
        <f t="shared" si="17"/>
        <v>1</v>
      </c>
      <c r="M376" s="93">
        <f t="shared" si="18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2.1702304687499997E-3</v>
      </c>
      <c r="I377">
        <v>-1</v>
      </c>
      <c r="J377">
        <v>-2.1702304687499997E-3</v>
      </c>
      <c r="K377" s="93">
        <f t="shared" si="16"/>
        <v>0</v>
      </c>
      <c r="L377" s="93">
        <f t="shared" si="17"/>
        <v>1</v>
      </c>
      <c r="M377" s="93">
        <f t="shared" si="18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9.5167088802049662</v>
      </c>
      <c r="H378">
        <v>4.5815976562499994E-3</v>
      </c>
      <c r="I378">
        <v>-0.72816789721009356</v>
      </c>
      <c r="J378">
        <v>-3.3361723312142553E-3</v>
      </c>
      <c r="K378" s="93">
        <f t="shared" si="16"/>
        <v>0</v>
      </c>
      <c r="L378" s="93">
        <f t="shared" si="17"/>
        <v>1</v>
      </c>
      <c r="M378" s="93">
        <f t="shared" si="18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16.654240540358682</v>
      </c>
      <c r="H379">
        <v>2.8936406249999995E-3</v>
      </c>
      <c r="I379">
        <v>-0.57399112104479244</v>
      </c>
      <c r="J379">
        <v>-1.6609240262445036E-3</v>
      </c>
      <c r="K379" s="93">
        <f t="shared" si="16"/>
        <v>0</v>
      </c>
      <c r="L379" s="93">
        <f t="shared" si="17"/>
        <v>1</v>
      </c>
      <c r="M379" s="93">
        <f t="shared" si="18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5.353148745115285</v>
      </c>
      <c r="H380">
        <v>7.7100292968750007E-4</v>
      </c>
      <c r="I380">
        <v>-0.83657567911169051</v>
      </c>
      <c r="J380">
        <v>-6.4500229950042337E-4</v>
      </c>
      <c r="K380" s="93">
        <f t="shared" si="16"/>
        <v>0</v>
      </c>
      <c r="L380" s="93">
        <f t="shared" si="17"/>
        <v>1</v>
      </c>
      <c r="M380" s="93">
        <f t="shared" si="18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16.059446235345884</v>
      </c>
      <c r="H381">
        <v>1.6276728515625001E-3</v>
      </c>
      <c r="I381">
        <v>-0.58548490684346599</v>
      </c>
      <c r="J381">
        <v>-9.5297788786870904E-4</v>
      </c>
      <c r="K381" s="93">
        <f t="shared" si="16"/>
        <v>0</v>
      </c>
      <c r="L381" s="93">
        <f t="shared" si="17"/>
        <v>1</v>
      </c>
      <c r="M381" s="93">
        <f t="shared" si="18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24.089169353018811</v>
      </c>
      <c r="H382">
        <v>1.0280039062499999E-3</v>
      </c>
      <c r="I382">
        <v>-0.44799540121394027</v>
      </c>
      <c r="J382">
        <v>-4.6054102242996654E-4</v>
      </c>
      <c r="K382" s="93">
        <f t="shared" si="16"/>
        <v>0</v>
      </c>
      <c r="L382" s="93">
        <f t="shared" si="17"/>
        <v>1</v>
      </c>
      <c r="M382" s="93">
        <f t="shared" si="18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2.6765743725576416</v>
      </c>
      <c r="H383">
        <v>1.6276728515624999E-3</v>
      </c>
      <c r="I383">
        <v>-0.91464511101940005</v>
      </c>
      <c r="J383">
        <v>-1.4887430160206462E-3</v>
      </c>
      <c r="K383" s="93">
        <f t="shared" si="16"/>
        <v>0</v>
      </c>
      <c r="L383" s="93">
        <f t="shared" si="17"/>
        <v>1</v>
      </c>
      <c r="M383" s="93">
        <f t="shared" si="18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13.382871862788226</v>
      </c>
      <c r="H384">
        <v>3.4361982421874998E-3</v>
      </c>
      <c r="I384">
        <v>-0.6401224909964538</v>
      </c>
      <c r="J384">
        <v>-2.1995877783466981E-3</v>
      </c>
      <c r="K384" s="93">
        <f t="shared" si="16"/>
        <v>0</v>
      </c>
      <c r="L384" s="93">
        <f t="shared" si="17"/>
        <v>1</v>
      </c>
      <c r="M384" s="93">
        <f t="shared" si="18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21.412594980461172</v>
      </c>
      <c r="H385">
        <v>2.1702304687499997E-3</v>
      </c>
      <c r="I385">
        <v>-0.48980243355221742</v>
      </c>
      <c r="J385">
        <v>-1.0629841649629195E-3</v>
      </c>
      <c r="K385" s="93">
        <f t="shared" si="16"/>
        <v>0</v>
      </c>
      <c r="L385" s="93">
        <f t="shared" si="17"/>
        <v>1</v>
      </c>
      <c r="M385" s="93">
        <f t="shared" si="18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1.0280039062499999E-3</v>
      </c>
      <c r="I386">
        <v>-1</v>
      </c>
      <c r="J386">
        <v>-1.0280039062499999E-3</v>
      </c>
      <c r="K386" s="93">
        <f t="shared" si="16"/>
        <v>0</v>
      </c>
      <c r="L386" s="93">
        <f t="shared" si="17"/>
        <v>1</v>
      </c>
      <c r="M386" s="93">
        <f t="shared" si="18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10.706297490230577</v>
      </c>
      <c r="H387">
        <v>2.1702304687499997E-3</v>
      </c>
      <c r="I387">
        <v>-0.69985886688118604</v>
      </c>
      <c r="J387">
        <v>-1.5188550367304001E-3</v>
      </c>
      <c r="K387" s="93">
        <f t="shared" ref="K387:K450" si="19">IF(A387=3,1,0)</f>
        <v>0</v>
      </c>
      <c r="L387" s="93">
        <f t="shared" ref="L387:L450" si="20">IF(A387=2,1,0)</f>
        <v>1</v>
      </c>
      <c r="M387" s="93">
        <f t="shared" ref="M387:M450" si="21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18.736020607903523</v>
      </c>
      <c r="H388">
        <v>1.3706718749999999E-3</v>
      </c>
      <c r="I388">
        <v>-0.53551090762002518</v>
      </c>
      <c r="J388">
        <v>-7.3400973983049167E-4</v>
      </c>
      <c r="K388" s="93">
        <f t="shared" si="19"/>
        <v>0</v>
      </c>
      <c r="L388" s="93">
        <f t="shared" si="20"/>
        <v>1</v>
      </c>
      <c r="M388" s="93">
        <f t="shared" si="21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5.353148745115285</v>
      </c>
      <c r="H389">
        <v>1.6276728515624997E-3</v>
      </c>
      <c r="I389">
        <v>-0.83657567911169051</v>
      </c>
      <c r="J389">
        <v>-1.3616715211675599E-3</v>
      </c>
      <c r="K389" s="93">
        <f t="shared" si="19"/>
        <v>0</v>
      </c>
      <c r="L389" s="93">
        <f t="shared" si="20"/>
        <v>1</v>
      </c>
      <c r="M389" s="93">
        <f t="shared" si="21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16.059446235345884</v>
      </c>
      <c r="H390">
        <v>3.4361982421874993E-3</v>
      </c>
      <c r="I390">
        <v>-0.58548490684346599</v>
      </c>
      <c r="J390">
        <v>-2.0118422077228296E-3</v>
      </c>
      <c r="K390" s="93">
        <f t="shared" si="19"/>
        <v>0</v>
      </c>
      <c r="L390" s="93">
        <f t="shared" si="20"/>
        <v>1</v>
      </c>
      <c r="M390" s="93">
        <f t="shared" si="21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24.089169353018811</v>
      </c>
      <c r="H391">
        <v>2.1702304687499993E-3</v>
      </c>
      <c r="I391">
        <v>-0.44799540121394027</v>
      </c>
      <c r="J391">
        <v>-9.7225326957437364E-4</v>
      </c>
      <c r="K391" s="93">
        <f t="shared" si="19"/>
        <v>0</v>
      </c>
      <c r="L391" s="93">
        <f t="shared" si="20"/>
        <v>1</v>
      </c>
      <c r="M391" s="93">
        <f t="shared" si="21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2.6765743725576416</v>
      </c>
      <c r="H392">
        <v>3.4361982421874993E-3</v>
      </c>
      <c r="I392">
        <v>-0.91464511101940005</v>
      </c>
      <c r="J392">
        <v>-3.1429019227102524E-3</v>
      </c>
      <c r="K392" s="93">
        <f t="shared" si="19"/>
        <v>0</v>
      </c>
      <c r="L392" s="93">
        <f t="shared" si="20"/>
        <v>1</v>
      </c>
      <c r="M392" s="93">
        <f t="shared" si="21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13.382871862788226</v>
      </c>
      <c r="H393">
        <v>7.254196289062498E-3</v>
      </c>
      <c r="I393">
        <v>-0.6401224909964538</v>
      </c>
      <c r="J393">
        <v>-4.6435741987319173E-3</v>
      </c>
      <c r="K393" s="93">
        <f t="shared" si="19"/>
        <v>0</v>
      </c>
      <c r="L393" s="93">
        <f t="shared" si="20"/>
        <v>1</v>
      </c>
      <c r="M393" s="93">
        <f t="shared" si="21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21.412594980461172</v>
      </c>
      <c r="H394">
        <v>4.5815976562499985E-3</v>
      </c>
      <c r="I394">
        <v>-0.48980243355221742</v>
      </c>
      <c r="J394">
        <v>-2.2440776815883848E-3</v>
      </c>
      <c r="K394" s="93">
        <f t="shared" si="19"/>
        <v>0</v>
      </c>
      <c r="L394" s="93">
        <f t="shared" si="20"/>
        <v>1</v>
      </c>
      <c r="M394" s="93">
        <f t="shared" si="21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2.1702304687499997E-3</v>
      </c>
      <c r="I395">
        <v>-1</v>
      </c>
      <c r="J395">
        <v>-2.1702304687499997E-3</v>
      </c>
      <c r="K395" s="93">
        <f t="shared" si="19"/>
        <v>0</v>
      </c>
      <c r="L395" s="93">
        <f t="shared" si="20"/>
        <v>1</v>
      </c>
      <c r="M395" s="93">
        <f t="shared" si="21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10.706297490230577</v>
      </c>
      <c r="H396">
        <v>4.5815976562499994E-3</v>
      </c>
      <c r="I396">
        <v>-0.69985886688118604</v>
      </c>
      <c r="J396">
        <v>-3.2064717442086225E-3</v>
      </c>
      <c r="K396" s="93">
        <f t="shared" si="19"/>
        <v>0</v>
      </c>
      <c r="L396" s="93">
        <f t="shared" si="20"/>
        <v>1</v>
      </c>
      <c r="M396" s="93">
        <f t="shared" si="21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18.736020607903523</v>
      </c>
      <c r="H397">
        <v>2.8936406249999995E-3</v>
      </c>
      <c r="I397">
        <v>-0.53551090762002518</v>
      </c>
      <c r="J397">
        <v>-1.5495761174199266E-3</v>
      </c>
      <c r="K397" s="93">
        <f t="shared" si="19"/>
        <v>0</v>
      </c>
      <c r="L397" s="93">
        <f t="shared" si="20"/>
        <v>1</v>
      </c>
      <c r="M397" s="93">
        <f t="shared" si="21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5.353148745115285</v>
      </c>
      <c r="H398">
        <v>1.0280039062499999E-3</v>
      </c>
      <c r="I398">
        <v>-0.83657567911169051</v>
      </c>
      <c r="J398">
        <v>-8.6000306600056431E-4</v>
      </c>
      <c r="K398" s="93">
        <f t="shared" si="19"/>
        <v>0</v>
      </c>
      <c r="L398" s="93">
        <f t="shared" si="20"/>
        <v>1</v>
      </c>
      <c r="M398" s="93">
        <f t="shared" si="21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16.059446235345884</v>
      </c>
      <c r="H399">
        <v>2.1702304687499997E-3</v>
      </c>
      <c r="I399">
        <v>-0.58548490684346599</v>
      </c>
      <c r="J399">
        <v>-1.2706371838249451E-3</v>
      </c>
      <c r="K399" s="93">
        <f t="shared" si="19"/>
        <v>0</v>
      </c>
      <c r="L399" s="93">
        <f t="shared" si="20"/>
        <v>1</v>
      </c>
      <c r="M399" s="93">
        <f t="shared" si="21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24.089169353018811</v>
      </c>
      <c r="H400">
        <v>1.3706718749999999E-3</v>
      </c>
      <c r="I400">
        <v>-0.44799540121394027</v>
      </c>
      <c r="J400">
        <v>-6.140546965732888E-4</v>
      </c>
      <c r="K400" s="93">
        <f t="shared" si="19"/>
        <v>0</v>
      </c>
      <c r="L400" s="93">
        <f t="shared" si="20"/>
        <v>1</v>
      </c>
      <c r="M400" s="93">
        <f t="shared" si="21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2.6765743725576416</v>
      </c>
      <c r="H401">
        <v>2.1702304687499997E-3</v>
      </c>
      <c r="I401">
        <v>-0.91464511101940005</v>
      </c>
      <c r="J401">
        <v>-1.984990688027528E-3</v>
      </c>
      <c r="K401" s="93">
        <f t="shared" si="19"/>
        <v>0</v>
      </c>
      <c r="L401" s="93">
        <f t="shared" si="20"/>
        <v>1</v>
      </c>
      <c r="M401" s="93">
        <f t="shared" si="21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13.382871862788226</v>
      </c>
      <c r="H402">
        <v>4.5815976562499994E-3</v>
      </c>
      <c r="I402">
        <v>-0.6401224909964538</v>
      </c>
      <c r="J402">
        <v>-2.9327837044622641E-3</v>
      </c>
      <c r="K402" s="93">
        <f t="shared" si="19"/>
        <v>0</v>
      </c>
      <c r="L402" s="93">
        <f t="shared" si="20"/>
        <v>1</v>
      </c>
      <c r="M402" s="93">
        <f t="shared" si="21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21.412594980461172</v>
      </c>
      <c r="H403">
        <v>2.8936406249999995E-3</v>
      </c>
      <c r="I403">
        <v>-0.48980243355221742</v>
      </c>
      <c r="J403">
        <v>-1.4173122199505591E-3</v>
      </c>
      <c r="K403" s="93">
        <f t="shared" si="19"/>
        <v>0</v>
      </c>
      <c r="L403" s="93">
        <f t="shared" si="20"/>
        <v>1</v>
      </c>
      <c r="M403" s="93">
        <f t="shared" si="21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1.3706718749999999E-3</v>
      </c>
      <c r="I404">
        <v>-1</v>
      </c>
      <c r="J404">
        <v>-1.3706718749999999E-3</v>
      </c>
      <c r="K404" s="93">
        <f t="shared" si="19"/>
        <v>0</v>
      </c>
      <c r="L404" s="93">
        <f t="shared" si="20"/>
        <v>1</v>
      </c>
      <c r="M404" s="93">
        <f t="shared" si="21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10.706297490230577</v>
      </c>
      <c r="H405">
        <v>2.8936406249999995E-3</v>
      </c>
      <c r="I405">
        <v>-0.69985886688118604</v>
      </c>
      <c r="J405">
        <v>-2.0251400489738666E-3</v>
      </c>
      <c r="K405" s="93">
        <f t="shared" si="19"/>
        <v>0</v>
      </c>
      <c r="L405" s="93">
        <f t="shared" si="20"/>
        <v>1</v>
      </c>
      <c r="M405" s="93">
        <f t="shared" si="21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18.736020607903523</v>
      </c>
      <c r="H406">
        <v>1.8275624999999998E-3</v>
      </c>
      <c r="I406">
        <v>-0.53551090762002518</v>
      </c>
      <c r="J406">
        <v>-9.7867965310732222E-4</v>
      </c>
      <c r="K406" s="93">
        <f t="shared" si="19"/>
        <v>0</v>
      </c>
      <c r="L406" s="93">
        <f t="shared" si="20"/>
        <v>1</v>
      </c>
      <c r="M406" s="93">
        <f t="shared" si="21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4.2021306914814778</v>
      </c>
      <c r="H407">
        <v>3.652119140625E-4</v>
      </c>
      <c r="I407">
        <v>-0.86929649311851043</v>
      </c>
      <c r="J407">
        <v>-3.1747743613963004E-4</v>
      </c>
      <c r="K407" s="93">
        <f t="shared" si="19"/>
        <v>0</v>
      </c>
      <c r="L407" s="93">
        <f t="shared" si="20"/>
        <v>1</v>
      </c>
      <c r="M407" s="93">
        <f t="shared" si="21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12.606392074444438</v>
      </c>
      <c r="H408">
        <v>7.7100292968749996E-4</v>
      </c>
      <c r="I408">
        <v>-0.65690683832226382</v>
      </c>
      <c r="J408">
        <v>-5.0647709687821831E-4</v>
      </c>
      <c r="K408" s="93">
        <f t="shared" si="19"/>
        <v>0</v>
      </c>
      <c r="L408" s="93">
        <f t="shared" si="20"/>
        <v>1</v>
      </c>
      <c r="M408" s="93">
        <f t="shared" si="21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18.909588111666647</v>
      </c>
      <c r="H409">
        <v>4.8694921874999997E-4</v>
      </c>
      <c r="I409">
        <v>-0.53242160988317777</v>
      </c>
      <c r="J409">
        <v>-2.5926228697823069E-4</v>
      </c>
      <c r="K409" s="93">
        <f t="shared" si="19"/>
        <v>0</v>
      </c>
      <c r="L409" s="93">
        <f t="shared" si="20"/>
        <v>1</v>
      </c>
      <c r="M409" s="93">
        <f t="shared" si="21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2.1010653457407376</v>
      </c>
      <c r="H410">
        <v>7.7100292968749996E-4</v>
      </c>
      <c r="I410">
        <v>-0.93236070976768992</v>
      </c>
      <c r="J410">
        <v>-7.1885283875640577E-4</v>
      </c>
      <c r="K410" s="93">
        <f t="shared" si="19"/>
        <v>0</v>
      </c>
      <c r="L410" s="93">
        <f t="shared" si="20"/>
        <v>1</v>
      </c>
      <c r="M410" s="93">
        <f t="shared" si="21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10.50532672870369</v>
      </c>
      <c r="H411">
        <v>1.6276728515624999E-3</v>
      </c>
      <c r="I411">
        <v>-0.70456297808381596</v>
      </c>
      <c r="J411">
        <v>-1.1467980316430518E-3</v>
      </c>
      <c r="K411" s="93">
        <f t="shared" si="19"/>
        <v>0</v>
      </c>
      <c r="L411" s="93">
        <f t="shared" si="20"/>
        <v>1</v>
      </c>
      <c r="M411" s="93">
        <f t="shared" si="21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16.808522765925922</v>
      </c>
      <c r="H412">
        <v>1.0280039062499999E-3</v>
      </c>
      <c r="I412">
        <v>-0.57104681085911202</v>
      </c>
      <c r="J412">
        <v>-5.8703835221477201E-4</v>
      </c>
      <c r="K412" s="93">
        <f t="shared" si="19"/>
        <v>0</v>
      </c>
      <c r="L412" s="93">
        <f t="shared" si="20"/>
        <v>1</v>
      </c>
      <c r="M412" s="93">
        <f t="shared" si="21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4.8694921874999997E-4</v>
      </c>
      <c r="I413">
        <v>-1</v>
      </c>
      <c r="J413">
        <v>-4.8694921874999997E-4</v>
      </c>
      <c r="K413" s="93">
        <f t="shared" si="19"/>
        <v>0</v>
      </c>
      <c r="L413" s="93">
        <f t="shared" si="20"/>
        <v>1</v>
      </c>
      <c r="M413" s="93">
        <f t="shared" si="21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8.4042613829629573</v>
      </c>
      <c r="H414">
        <v>1.0280039062499999E-3</v>
      </c>
      <c r="I414">
        <v>-0.75567639294814037</v>
      </c>
      <c r="J414">
        <v>-7.7683828381159821E-4</v>
      </c>
      <c r="K414" s="93">
        <f t="shared" si="19"/>
        <v>0</v>
      </c>
      <c r="L414" s="93">
        <f t="shared" si="20"/>
        <v>1</v>
      </c>
      <c r="M414" s="93">
        <f t="shared" si="21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14.707457420185172</v>
      </c>
      <c r="H415">
        <v>6.4926562499999999E-4</v>
      </c>
      <c r="I415">
        <v>-0.61247412602939499</v>
      </c>
      <c r="J415">
        <v>-3.976583962328039E-4</v>
      </c>
      <c r="K415" s="93">
        <f t="shared" si="19"/>
        <v>0</v>
      </c>
      <c r="L415" s="93">
        <f t="shared" si="20"/>
        <v>1</v>
      </c>
      <c r="M415" s="93">
        <f t="shared" si="21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4.2021306914814778</v>
      </c>
      <c r="H416">
        <v>7.7100292968750007E-4</v>
      </c>
      <c r="I416">
        <v>-0.86929649311851043</v>
      </c>
      <c r="J416">
        <v>-6.7023014296144125E-4</v>
      </c>
      <c r="K416" s="93">
        <f t="shared" si="19"/>
        <v>0</v>
      </c>
      <c r="L416" s="93">
        <f t="shared" si="20"/>
        <v>1</v>
      </c>
      <c r="M416" s="93">
        <f t="shared" si="21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12.606392074444438</v>
      </c>
      <c r="H417">
        <v>1.6276728515625001E-3</v>
      </c>
      <c r="I417">
        <v>-0.65690683832226382</v>
      </c>
      <c r="J417">
        <v>-1.0692294267429054E-3</v>
      </c>
      <c r="K417" s="93">
        <f t="shared" si="19"/>
        <v>0</v>
      </c>
      <c r="L417" s="93">
        <f t="shared" si="20"/>
        <v>1</v>
      </c>
      <c r="M417" s="93">
        <f t="shared" si="21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18.909588111666647</v>
      </c>
      <c r="H418">
        <v>1.0280039062499999E-3</v>
      </c>
      <c r="I418">
        <v>-0.53242160988317777</v>
      </c>
      <c r="J418">
        <v>-5.4733149473182037E-4</v>
      </c>
      <c r="K418" s="93">
        <f t="shared" si="19"/>
        <v>0</v>
      </c>
      <c r="L418" s="93">
        <f t="shared" si="20"/>
        <v>1</v>
      </c>
      <c r="M418" s="93">
        <f t="shared" si="21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2.1010653457407376</v>
      </c>
      <c r="H419">
        <v>1.6276728515624999E-3</v>
      </c>
      <c r="I419">
        <v>-0.93236070976768992</v>
      </c>
      <c r="J419">
        <v>-1.5175782151524123E-3</v>
      </c>
      <c r="K419" s="93">
        <f t="shared" si="19"/>
        <v>0</v>
      </c>
      <c r="L419" s="93">
        <f t="shared" si="20"/>
        <v>1</v>
      </c>
      <c r="M419" s="93">
        <f t="shared" si="21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10.50532672870369</v>
      </c>
      <c r="H420">
        <v>3.4361982421874998E-3</v>
      </c>
      <c r="I420">
        <v>-0.70456297808381596</v>
      </c>
      <c r="J420">
        <v>-2.4210180668019984E-3</v>
      </c>
      <c r="K420" s="93">
        <f t="shared" si="19"/>
        <v>0</v>
      </c>
      <c r="L420" s="93">
        <f t="shared" si="20"/>
        <v>1</v>
      </c>
      <c r="M420" s="93">
        <f t="shared" si="21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16.808522765925922</v>
      </c>
      <c r="H421">
        <v>2.1702304687499997E-3</v>
      </c>
      <c r="I421">
        <v>-0.57104681085911202</v>
      </c>
      <c r="J421">
        <v>-1.2393031880089632E-3</v>
      </c>
      <c r="K421" s="93">
        <f t="shared" si="19"/>
        <v>0</v>
      </c>
      <c r="L421" s="93">
        <f t="shared" si="20"/>
        <v>1</v>
      </c>
      <c r="M421" s="93">
        <f t="shared" si="21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1.0280039062499999E-3</v>
      </c>
      <c r="I422">
        <v>-1</v>
      </c>
      <c r="J422">
        <v>-1.0280039062499999E-3</v>
      </c>
      <c r="K422" s="93">
        <f t="shared" si="19"/>
        <v>0</v>
      </c>
      <c r="L422" s="93">
        <f t="shared" si="20"/>
        <v>1</v>
      </c>
      <c r="M422" s="93">
        <f t="shared" si="21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8.4042613829629573</v>
      </c>
      <c r="H423">
        <v>2.1702304687499997E-3</v>
      </c>
      <c r="I423">
        <v>-0.75567639294814037</v>
      </c>
      <c r="J423">
        <v>-1.6399919324911517E-3</v>
      </c>
      <c r="K423" s="93">
        <f t="shared" si="19"/>
        <v>0</v>
      </c>
      <c r="L423" s="93">
        <f t="shared" si="20"/>
        <v>1</v>
      </c>
      <c r="M423" s="93">
        <f t="shared" si="21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14.707457420185172</v>
      </c>
      <c r="H424">
        <v>1.3706718749999999E-3</v>
      </c>
      <c r="I424">
        <v>-0.61247412602939499</v>
      </c>
      <c r="J424">
        <v>-8.3950105871369708E-4</v>
      </c>
      <c r="K424" s="93">
        <f t="shared" si="19"/>
        <v>0</v>
      </c>
      <c r="L424" s="93">
        <f t="shared" si="20"/>
        <v>1</v>
      </c>
      <c r="M424" s="93">
        <f t="shared" si="21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4.2021306914814778</v>
      </c>
      <c r="H425">
        <v>4.8694921875000008E-4</v>
      </c>
      <c r="I425">
        <v>-0.86929649311851043</v>
      </c>
      <c r="J425">
        <v>-4.2330324818617347E-4</v>
      </c>
      <c r="K425" s="93">
        <f t="shared" si="19"/>
        <v>0</v>
      </c>
      <c r="L425" s="93">
        <f t="shared" si="20"/>
        <v>1</v>
      </c>
      <c r="M425" s="93">
        <f t="shared" si="21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12.606392074444438</v>
      </c>
      <c r="H426">
        <v>1.0280039062500002E-3</v>
      </c>
      <c r="I426">
        <v>-0.65690683832226382</v>
      </c>
      <c r="J426">
        <v>-6.7530279583762455E-4</v>
      </c>
      <c r="K426" s="93">
        <f t="shared" si="19"/>
        <v>0</v>
      </c>
      <c r="L426" s="93">
        <f t="shared" si="20"/>
        <v>1</v>
      </c>
      <c r="M426" s="93">
        <f t="shared" si="21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18.909588111666647</v>
      </c>
      <c r="H427">
        <v>6.492656250000001E-4</v>
      </c>
      <c r="I427">
        <v>-0.53242160988317777</v>
      </c>
      <c r="J427">
        <v>-3.4568304930430766E-4</v>
      </c>
      <c r="K427" s="93">
        <f t="shared" si="19"/>
        <v>0</v>
      </c>
      <c r="L427" s="93">
        <f t="shared" si="20"/>
        <v>1</v>
      </c>
      <c r="M427" s="93">
        <f t="shared" si="21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2.1010653457407376</v>
      </c>
      <c r="H428">
        <v>1.0280039062499999E-3</v>
      </c>
      <c r="I428">
        <v>-0.93236070976768992</v>
      </c>
      <c r="J428">
        <v>-9.5847045167520776E-4</v>
      </c>
      <c r="K428" s="93">
        <f t="shared" si="19"/>
        <v>0</v>
      </c>
      <c r="L428" s="93">
        <f t="shared" si="20"/>
        <v>1</v>
      </c>
      <c r="M428" s="93">
        <f t="shared" si="21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10.50532672870369</v>
      </c>
      <c r="H429">
        <v>2.1702304687499997E-3</v>
      </c>
      <c r="I429">
        <v>-0.70456297808381596</v>
      </c>
      <c r="J429">
        <v>-1.5290640421907356E-3</v>
      </c>
      <c r="K429" s="93">
        <f t="shared" si="19"/>
        <v>0</v>
      </c>
      <c r="L429" s="93">
        <f t="shared" si="20"/>
        <v>1</v>
      </c>
      <c r="M429" s="93">
        <f t="shared" si="21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16.808522765925922</v>
      </c>
      <c r="H430">
        <v>1.3706718749999999E-3</v>
      </c>
      <c r="I430">
        <v>-0.57104681085911202</v>
      </c>
      <c r="J430">
        <v>-7.8271780295302942E-4</v>
      </c>
      <c r="K430" s="93">
        <f t="shared" si="19"/>
        <v>0</v>
      </c>
      <c r="L430" s="93">
        <f t="shared" si="20"/>
        <v>1</v>
      </c>
      <c r="M430" s="93">
        <f t="shared" si="21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6.492656250000001E-4</v>
      </c>
      <c r="I431">
        <v>-1</v>
      </c>
      <c r="J431">
        <v>-6.492656250000001E-4</v>
      </c>
      <c r="K431" s="93">
        <f t="shared" si="19"/>
        <v>0</v>
      </c>
      <c r="L431" s="93">
        <f t="shared" si="20"/>
        <v>1</v>
      </c>
      <c r="M431" s="93">
        <f t="shared" si="21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8.4042613829629573</v>
      </c>
      <c r="H432">
        <v>1.3706718749999999E-3</v>
      </c>
      <c r="I432">
        <v>-0.75567639294814037</v>
      </c>
      <c r="J432">
        <v>-1.0357843784154642E-3</v>
      </c>
      <c r="K432" s="93">
        <f t="shared" si="19"/>
        <v>0</v>
      </c>
      <c r="L432" s="93">
        <f t="shared" si="20"/>
        <v>1</v>
      </c>
      <c r="M432" s="93">
        <f t="shared" si="21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14.707457420185172</v>
      </c>
      <c r="H433">
        <v>8.6568750000000003E-4</v>
      </c>
      <c r="I433">
        <v>-0.61247412602939499</v>
      </c>
      <c r="J433">
        <v>-5.3021119497707186E-4</v>
      </c>
      <c r="K433" s="93">
        <f t="shared" si="19"/>
        <v>0</v>
      </c>
      <c r="L433" s="93">
        <f t="shared" si="20"/>
        <v>1</v>
      </c>
      <c r="M433" s="93">
        <f t="shared" si="21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5.1602178347016467</v>
      </c>
      <c r="H434">
        <v>7.7100292968750007E-4</v>
      </c>
      <c r="I434">
        <v>-0.84197305944796363</v>
      </c>
      <c r="J434">
        <v>-6.4916369555232767E-4</v>
      </c>
      <c r="K434" s="93">
        <f t="shared" si="19"/>
        <v>0</v>
      </c>
      <c r="L434" s="93">
        <f t="shared" si="20"/>
        <v>1</v>
      </c>
      <c r="M434" s="93">
        <f t="shared" si="21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15.480653504104936</v>
      </c>
      <c r="H435">
        <v>1.6276728515625001E-3</v>
      </c>
      <c r="I435">
        <v>-0.5968903901887328</v>
      </c>
      <c r="J435">
        <v>-9.7154228346874808E-4</v>
      </c>
      <c r="K435" s="93">
        <f t="shared" si="19"/>
        <v>0</v>
      </c>
      <c r="L435" s="93">
        <f t="shared" si="20"/>
        <v>1</v>
      </c>
      <c r="M435" s="93">
        <f t="shared" si="21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23.220980256157414</v>
      </c>
      <c r="H436">
        <v>1.0280039062499999E-3</v>
      </c>
      <c r="I436">
        <v>-0.46114964680311926</v>
      </c>
      <c r="J436">
        <v>-4.7406363827941439E-4</v>
      </c>
      <c r="K436" s="93">
        <f t="shared" si="19"/>
        <v>0</v>
      </c>
      <c r="L436" s="93">
        <f t="shared" si="20"/>
        <v>1</v>
      </c>
      <c r="M436" s="93">
        <f t="shared" si="21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2.5801089173508185</v>
      </c>
      <c r="H437">
        <v>1.6276728515624999E-3</v>
      </c>
      <c r="I437">
        <v>-0.91759089982843878</v>
      </c>
      <c r="J437">
        <v>-1.4935377964915551E-3</v>
      </c>
      <c r="K437" s="93">
        <f t="shared" si="19"/>
        <v>0</v>
      </c>
      <c r="L437" s="93">
        <f t="shared" si="20"/>
        <v>1</v>
      </c>
      <c r="M437" s="93">
        <f t="shared" si="21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12.900544586754114</v>
      </c>
      <c r="H438">
        <v>3.4361982421874998E-3</v>
      </c>
      <c r="I438">
        <v>-0.65049728620928227</v>
      </c>
      <c r="J438">
        <v>-2.2352376314200748E-3</v>
      </c>
      <c r="K438" s="93">
        <f t="shared" si="19"/>
        <v>0</v>
      </c>
      <c r="L438" s="93">
        <f t="shared" si="20"/>
        <v>1</v>
      </c>
      <c r="M438" s="93">
        <f t="shared" si="21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20.640871338806591</v>
      </c>
      <c r="H439">
        <v>2.1702304687499997E-3</v>
      </c>
      <c r="I439">
        <v>-0.50256562798229598</v>
      </c>
      <c r="J439">
        <v>-1.0906832383936562E-3</v>
      </c>
      <c r="K439" s="93">
        <f t="shared" si="19"/>
        <v>0</v>
      </c>
      <c r="L439" s="93">
        <f t="shared" si="20"/>
        <v>1</v>
      </c>
      <c r="M439" s="93">
        <f t="shared" si="21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1.0280039062499999E-3</v>
      </c>
      <c r="I440">
        <v>-1</v>
      </c>
      <c r="J440">
        <v>-1.0280039062499999E-3</v>
      </c>
      <c r="K440" s="93">
        <f t="shared" si="19"/>
        <v>0</v>
      </c>
      <c r="L440" s="93">
        <f t="shared" si="20"/>
        <v>1</v>
      </c>
      <c r="M440" s="93">
        <f t="shared" si="21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10.320435669403297</v>
      </c>
      <c r="H441">
        <v>2.1702304687499997E-3</v>
      </c>
      <c r="I441">
        <v>-0.70891863283616396</v>
      </c>
      <c r="J441">
        <v>-1.5385168168456371E-3</v>
      </c>
      <c r="K441" s="93">
        <f t="shared" si="19"/>
        <v>0</v>
      </c>
      <c r="L441" s="93">
        <f t="shared" si="20"/>
        <v>1</v>
      </c>
      <c r="M441" s="93">
        <f t="shared" si="21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18.060762421455756</v>
      </c>
      <c r="H442">
        <v>1.3706718749999999E-3</v>
      </c>
      <c r="I442">
        <v>-0.54770119023222719</v>
      </c>
      <c r="J442">
        <v>-7.5071861735533844E-4</v>
      </c>
      <c r="K442" s="93">
        <f t="shared" si="19"/>
        <v>0</v>
      </c>
      <c r="L442" s="93">
        <f t="shared" si="20"/>
        <v>1</v>
      </c>
      <c r="M442" s="93">
        <f t="shared" si="21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5.1602178347016467</v>
      </c>
      <c r="H443">
        <v>1.6276728515624997E-3</v>
      </c>
      <c r="I443">
        <v>-0.84197305944796363</v>
      </c>
      <c r="J443">
        <v>-1.3704566906104691E-3</v>
      </c>
      <c r="K443" s="93">
        <f t="shared" si="19"/>
        <v>0</v>
      </c>
      <c r="L443" s="93">
        <f t="shared" si="20"/>
        <v>1</v>
      </c>
      <c r="M443" s="93">
        <f t="shared" si="21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15.480653504104936</v>
      </c>
      <c r="H444">
        <v>3.4361982421874993E-3</v>
      </c>
      <c r="I444">
        <v>-0.5968903901887328</v>
      </c>
      <c r="J444">
        <v>-2.0510337095451343E-3</v>
      </c>
      <c r="K444" s="93">
        <f t="shared" si="19"/>
        <v>0</v>
      </c>
      <c r="L444" s="93">
        <f t="shared" si="20"/>
        <v>1</v>
      </c>
      <c r="M444" s="93">
        <f t="shared" si="21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23.220980256157414</v>
      </c>
      <c r="H445">
        <v>2.1702304687499993E-3</v>
      </c>
      <c r="I445">
        <v>-0.46114964680311926</v>
      </c>
      <c r="J445">
        <v>-1.0008010141454302E-3</v>
      </c>
      <c r="K445" s="93">
        <f t="shared" si="19"/>
        <v>0</v>
      </c>
      <c r="L445" s="93">
        <f t="shared" si="20"/>
        <v>1</v>
      </c>
      <c r="M445" s="93">
        <f t="shared" si="21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2.5801089173508185</v>
      </c>
      <c r="H446">
        <v>3.4361982421874993E-3</v>
      </c>
      <c r="I446">
        <v>-0.91759089982843878</v>
      </c>
      <c r="J446">
        <v>-3.1530242370377271E-3</v>
      </c>
      <c r="K446" s="93">
        <f t="shared" si="19"/>
        <v>0</v>
      </c>
      <c r="L446" s="93">
        <f t="shared" si="20"/>
        <v>1</v>
      </c>
      <c r="M446" s="93">
        <f t="shared" si="21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12.900544586754114</v>
      </c>
      <c r="H447">
        <v>7.254196289062498E-3</v>
      </c>
      <c r="I447">
        <v>-0.65049728620928227</v>
      </c>
      <c r="J447">
        <v>-4.718834999664601E-3</v>
      </c>
      <c r="K447" s="93">
        <f t="shared" si="19"/>
        <v>0</v>
      </c>
      <c r="L447" s="93">
        <f t="shared" si="20"/>
        <v>1</v>
      </c>
      <c r="M447" s="93">
        <f t="shared" si="21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20.640871338806591</v>
      </c>
      <c r="H448">
        <v>4.5815976562499985E-3</v>
      </c>
      <c r="I448">
        <v>-0.50256562798229598</v>
      </c>
      <c r="J448">
        <v>-2.3025535032754961E-3</v>
      </c>
      <c r="K448" s="93">
        <f t="shared" si="19"/>
        <v>0</v>
      </c>
      <c r="L448" s="93">
        <f t="shared" si="20"/>
        <v>1</v>
      </c>
      <c r="M448" s="93">
        <f t="shared" si="21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2.1702304687499997E-3</v>
      </c>
      <c r="I449">
        <v>-1</v>
      </c>
      <c r="J449">
        <v>-2.1702304687499997E-3</v>
      </c>
      <c r="K449" s="93">
        <f t="shared" si="19"/>
        <v>0</v>
      </c>
      <c r="L449" s="93">
        <f t="shared" si="20"/>
        <v>1</v>
      </c>
      <c r="M449" s="93">
        <f t="shared" si="21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10.320435669403297</v>
      </c>
      <c r="H450">
        <v>4.5815976562499994E-3</v>
      </c>
      <c r="I450">
        <v>-0.70891863283616396</v>
      </c>
      <c r="J450">
        <v>-3.2479799466741226E-3</v>
      </c>
      <c r="K450" s="93">
        <f t="shared" si="19"/>
        <v>0</v>
      </c>
      <c r="L450" s="93">
        <f t="shared" si="20"/>
        <v>1</v>
      </c>
      <c r="M450" s="93">
        <f t="shared" si="21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18.060762421455756</v>
      </c>
      <c r="H451">
        <v>2.8936406249999995E-3</v>
      </c>
      <c r="I451">
        <v>-0.54770119023222719</v>
      </c>
      <c r="J451">
        <v>-1.5848504144168256E-3</v>
      </c>
      <c r="K451" s="93">
        <f t="shared" ref="K451:K514" si="22">IF(A451=3,1,0)</f>
        <v>0</v>
      </c>
      <c r="L451" s="93">
        <f t="shared" ref="L451:L514" si="23">IF(A451=2,1,0)</f>
        <v>1</v>
      </c>
      <c r="M451" s="93">
        <f t="shared" ref="M451:M514" si="24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5.1602178347016467</v>
      </c>
      <c r="H452">
        <v>1.0280039062499999E-3</v>
      </c>
      <c r="I452">
        <v>-0.84197305944796363</v>
      </c>
      <c r="J452">
        <v>-8.6555159406977004E-4</v>
      </c>
      <c r="K452" s="93">
        <f t="shared" si="22"/>
        <v>0</v>
      </c>
      <c r="L452" s="93">
        <f t="shared" si="23"/>
        <v>1</v>
      </c>
      <c r="M452" s="93">
        <f t="shared" si="24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15.480653504104936</v>
      </c>
      <c r="H453">
        <v>2.1702304687499997E-3</v>
      </c>
      <c r="I453">
        <v>-0.5968903901887328</v>
      </c>
      <c r="J453">
        <v>-1.2953897112916639E-3</v>
      </c>
      <c r="K453" s="93">
        <f t="shared" si="22"/>
        <v>0</v>
      </c>
      <c r="L453" s="93">
        <f t="shared" si="23"/>
        <v>1</v>
      </c>
      <c r="M453" s="93">
        <f t="shared" si="24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23.220980256157414</v>
      </c>
      <c r="H454">
        <v>1.3706718749999999E-3</v>
      </c>
      <c r="I454">
        <v>-0.46114964680311926</v>
      </c>
      <c r="J454">
        <v>-6.3208485103921923E-4</v>
      </c>
      <c r="K454" s="93">
        <f t="shared" si="22"/>
        <v>0</v>
      </c>
      <c r="L454" s="93">
        <f t="shared" si="23"/>
        <v>1</v>
      </c>
      <c r="M454" s="93">
        <f t="shared" si="24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2.5801089173508185</v>
      </c>
      <c r="H455">
        <v>2.1702304687499997E-3</v>
      </c>
      <c r="I455">
        <v>-0.91759089982843878</v>
      </c>
      <c r="J455">
        <v>-1.9913837286554066E-3</v>
      </c>
      <c r="K455" s="93">
        <f t="shared" si="22"/>
        <v>0</v>
      </c>
      <c r="L455" s="93">
        <f t="shared" si="23"/>
        <v>1</v>
      </c>
      <c r="M455" s="93">
        <f t="shared" si="24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12.900544586754114</v>
      </c>
      <c r="H456">
        <v>4.5815976562499994E-3</v>
      </c>
      <c r="I456">
        <v>-0.65049728620928227</v>
      </c>
      <c r="J456">
        <v>-2.9803168418934328E-3</v>
      </c>
      <c r="K456" s="93">
        <f t="shared" si="22"/>
        <v>0</v>
      </c>
      <c r="L456" s="93">
        <f t="shared" si="23"/>
        <v>1</v>
      </c>
      <c r="M456" s="93">
        <f t="shared" si="24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20.640871338806591</v>
      </c>
      <c r="H457">
        <v>2.8936406249999995E-3</v>
      </c>
      <c r="I457">
        <v>-0.50256562798229598</v>
      </c>
      <c r="J457">
        <v>-1.4542443178582082E-3</v>
      </c>
      <c r="K457" s="93">
        <f t="shared" si="22"/>
        <v>0</v>
      </c>
      <c r="L457" s="93">
        <f t="shared" si="23"/>
        <v>1</v>
      </c>
      <c r="M457" s="93">
        <f t="shared" si="24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1.3706718749999999E-3</v>
      </c>
      <c r="I458">
        <v>-1</v>
      </c>
      <c r="J458">
        <v>-1.3706718749999999E-3</v>
      </c>
      <c r="K458" s="93">
        <f t="shared" si="22"/>
        <v>0</v>
      </c>
      <c r="L458" s="93">
        <f t="shared" si="23"/>
        <v>1</v>
      </c>
      <c r="M458" s="93">
        <f t="shared" si="24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10.320435669403297</v>
      </c>
      <c r="H459">
        <v>2.8936406249999995E-3</v>
      </c>
      <c r="I459">
        <v>-0.70891863283616396</v>
      </c>
      <c r="J459">
        <v>-2.0513557557941828E-3</v>
      </c>
      <c r="K459" s="93">
        <f t="shared" si="22"/>
        <v>0</v>
      </c>
      <c r="L459" s="93">
        <f t="shared" si="23"/>
        <v>1</v>
      </c>
      <c r="M459" s="93">
        <f t="shared" si="24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18.060762421455756</v>
      </c>
      <c r="H460">
        <v>1.8275624999999998E-3</v>
      </c>
      <c r="I460">
        <v>-0.54770119023222719</v>
      </c>
      <c r="J460">
        <v>-1.0009581564737846E-3</v>
      </c>
      <c r="K460" s="93">
        <f t="shared" si="22"/>
        <v>0</v>
      </c>
      <c r="L460" s="93">
        <f t="shared" si="23"/>
        <v>1</v>
      </c>
      <c r="M460" s="93">
        <f t="shared" si="24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5.7080827324696122</v>
      </c>
      <c r="H461">
        <v>4.8694921874999997E-4</v>
      </c>
      <c r="I461">
        <v>-0.82673636097351633</v>
      </c>
      <c r="J461">
        <v>-4.0257862508827173E-4</v>
      </c>
      <c r="K461" s="93">
        <f t="shared" si="22"/>
        <v>0</v>
      </c>
      <c r="L461" s="93">
        <f t="shared" si="23"/>
        <v>1</v>
      </c>
      <c r="M461" s="93">
        <f t="shared" si="24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17.124248197408818</v>
      </c>
      <c r="H462">
        <v>1.0280039062499999E-3</v>
      </c>
      <c r="I462">
        <v>-0.56506852429767962</v>
      </c>
      <c r="J462">
        <v>-5.8089265027693761E-4</v>
      </c>
      <c r="K462" s="93">
        <f t="shared" si="22"/>
        <v>0</v>
      </c>
      <c r="L462" s="93">
        <f t="shared" si="23"/>
        <v>1</v>
      </c>
      <c r="M462" s="93">
        <f t="shared" si="24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25.686372296113241</v>
      </c>
      <c r="H463">
        <v>6.4926562499999999E-4</v>
      </c>
      <c r="I463">
        <v>-0.4247678859872871</v>
      </c>
      <c r="J463">
        <v>-2.7578718697546467E-4</v>
      </c>
      <c r="K463" s="93">
        <f t="shared" si="22"/>
        <v>0</v>
      </c>
      <c r="L463" s="93">
        <f t="shared" si="23"/>
        <v>1</v>
      </c>
      <c r="M463" s="93">
        <f t="shared" si="24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2.8540413662347963</v>
      </c>
      <c r="H464">
        <v>1.0280039062499999E-3</v>
      </c>
      <c r="I464">
        <v>-0.90925043908348857</v>
      </c>
      <c r="J464">
        <v>-9.3471300313735387E-4</v>
      </c>
      <c r="K464" s="93">
        <f t="shared" si="22"/>
        <v>0</v>
      </c>
      <c r="L464" s="93">
        <f t="shared" si="23"/>
        <v>1</v>
      </c>
      <c r="M464" s="93">
        <f t="shared" si="24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14.27020683117402</v>
      </c>
      <c r="H465">
        <v>2.1702304687499993E-3</v>
      </c>
      <c r="I465">
        <v>-0.62146631995829504</v>
      </c>
      <c r="J465">
        <v>-1.3487251428754277E-3</v>
      </c>
      <c r="K465" s="93">
        <f t="shared" si="22"/>
        <v>0</v>
      </c>
      <c r="L465" s="93">
        <f t="shared" si="23"/>
        <v>1</v>
      </c>
      <c r="M465" s="93">
        <f t="shared" si="24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22.832330929878431</v>
      </c>
      <c r="H466">
        <v>1.3706718749999997E-3</v>
      </c>
      <c r="I466">
        <v>-0.46716269547853861</v>
      </c>
      <c r="J466">
        <v>-6.4032676774162243E-4</v>
      </c>
      <c r="K466" s="93">
        <f t="shared" si="22"/>
        <v>0</v>
      </c>
      <c r="L466" s="93">
        <f t="shared" si="23"/>
        <v>1</v>
      </c>
      <c r="M466" s="93">
        <f t="shared" si="24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6.4926562499999999E-4</v>
      </c>
      <c r="I467">
        <v>-1</v>
      </c>
      <c r="J467">
        <v>-6.4926562499999999E-4</v>
      </c>
      <c r="K467" s="93">
        <f t="shared" si="22"/>
        <v>0</v>
      </c>
      <c r="L467" s="93">
        <f t="shared" si="23"/>
        <v>1</v>
      </c>
      <c r="M467" s="93">
        <f t="shared" si="24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11.416165464939224</v>
      </c>
      <c r="H468">
        <v>1.3706718749999997E-3</v>
      </c>
      <c r="I468">
        <v>-0.68349301055573231</v>
      </c>
      <c r="J468">
        <v>-9.3684464632782019E-4</v>
      </c>
      <c r="K468" s="93">
        <f t="shared" si="22"/>
        <v>0</v>
      </c>
      <c r="L468" s="93">
        <f t="shared" si="23"/>
        <v>1</v>
      </c>
      <c r="M468" s="93">
        <f t="shared" si="24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19.978289563643632</v>
      </c>
      <c r="H469">
        <v>8.6568749999999992E-4</v>
      </c>
      <c r="I469">
        <v>-0.51378880382992387</v>
      </c>
      <c r="J469">
        <v>-4.4478054511551716E-4</v>
      </c>
      <c r="K469" s="93">
        <f t="shared" si="22"/>
        <v>0</v>
      </c>
      <c r="L469" s="93">
        <f t="shared" si="23"/>
        <v>1</v>
      </c>
      <c r="M469" s="93">
        <f t="shared" si="24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5.7080827324696122</v>
      </c>
      <c r="H470">
        <v>1.0280039062499999E-3</v>
      </c>
      <c r="I470">
        <v>-0.82673636097351633</v>
      </c>
      <c r="J470">
        <v>-8.4988820851968484E-4</v>
      </c>
      <c r="K470" s="93">
        <f t="shared" si="22"/>
        <v>0</v>
      </c>
      <c r="L470" s="93">
        <f t="shared" si="23"/>
        <v>1</v>
      </c>
      <c r="M470" s="93">
        <f t="shared" si="24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17.124248197408818</v>
      </c>
      <c r="H471">
        <v>2.1702304687499997E-3</v>
      </c>
      <c r="I471">
        <v>-0.56506852429767962</v>
      </c>
      <c r="J471">
        <v>-1.2263289283624239E-3</v>
      </c>
      <c r="K471" s="93">
        <f t="shared" si="22"/>
        <v>0</v>
      </c>
      <c r="L471" s="93">
        <f t="shared" si="23"/>
        <v>1</v>
      </c>
      <c r="M471" s="93">
        <f t="shared" si="24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25.686372296113241</v>
      </c>
      <c r="H472">
        <v>1.3706718749999999E-3</v>
      </c>
      <c r="I472">
        <v>-0.4247678859872871</v>
      </c>
      <c r="J472">
        <v>-5.8221739472598096E-4</v>
      </c>
      <c r="K472" s="93">
        <f t="shared" si="22"/>
        <v>0</v>
      </c>
      <c r="L472" s="93">
        <f t="shared" si="23"/>
        <v>1</v>
      </c>
      <c r="M472" s="93">
        <f t="shared" si="24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2.8540413662347963</v>
      </c>
      <c r="H473">
        <v>2.1702304687499997E-3</v>
      </c>
      <c r="I473">
        <v>-0.90925043908348857</v>
      </c>
      <c r="J473">
        <v>-1.9732830066233023E-3</v>
      </c>
      <c r="K473" s="93">
        <f t="shared" si="22"/>
        <v>0</v>
      </c>
      <c r="L473" s="93">
        <f t="shared" si="23"/>
        <v>1</v>
      </c>
      <c r="M473" s="93">
        <f t="shared" si="24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14.27020683117402</v>
      </c>
      <c r="H474">
        <v>4.5815976562499994E-3</v>
      </c>
      <c r="I474">
        <v>-0.62146631995829504</v>
      </c>
      <c r="J474">
        <v>-2.8473086349592369E-3</v>
      </c>
      <c r="K474" s="93">
        <f t="shared" si="22"/>
        <v>0</v>
      </c>
      <c r="L474" s="93">
        <f t="shared" si="23"/>
        <v>1</v>
      </c>
      <c r="M474" s="93">
        <f t="shared" si="24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22.832330929878431</v>
      </c>
      <c r="H475">
        <v>2.8936406249999995E-3</v>
      </c>
      <c r="I475">
        <v>-0.46716269547853861</v>
      </c>
      <c r="J475">
        <v>-1.3518009541212028E-3</v>
      </c>
      <c r="K475" s="93">
        <f t="shared" si="22"/>
        <v>0</v>
      </c>
      <c r="L475" s="93">
        <f t="shared" si="23"/>
        <v>1</v>
      </c>
      <c r="M475" s="93">
        <f t="shared" si="24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1.3706718749999999E-3</v>
      </c>
      <c r="I476">
        <v>-1</v>
      </c>
      <c r="J476">
        <v>-1.3706718749999999E-3</v>
      </c>
      <c r="K476" s="93">
        <f t="shared" si="22"/>
        <v>0</v>
      </c>
      <c r="L476" s="93">
        <f t="shared" si="23"/>
        <v>1</v>
      </c>
      <c r="M476" s="93">
        <f t="shared" si="24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11.416165464939224</v>
      </c>
      <c r="H477">
        <v>2.8936406249999995E-3</v>
      </c>
      <c r="I477">
        <v>-0.68349301055573231</v>
      </c>
      <c r="J477">
        <v>-1.9777831422476207E-3</v>
      </c>
      <c r="K477" s="93">
        <f t="shared" si="22"/>
        <v>0</v>
      </c>
      <c r="L477" s="93">
        <f t="shared" si="23"/>
        <v>1</v>
      </c>
      <c r="M477" s="93">
        <f t="shared" si="24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19.978289563643632</v>
      </c>
      <c r="H478">
        <v>1.8275624999999998E-3</v>
      </c>
      <c r="I478">
        <v>-0.51378880382992387</v>
      </c>
      <c r="J478">
        <v>-9.3898115079942511E-4</v>
      </c>
      <c r="K478" s="93">
        <f t="shared" si="22"/>
        <v>0</v>
      </c>
      <c r="L478" s="93">
        <f t="shared" si="23"/>
        <v>1</v>
      </c>
      <c r="M478" s="93">
        <f t="shared" si="24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5.7080827324696122</v>
      </c>
      <c r="H479">
        <v>6.4926562499999999E-4</v>
      </c>
      <c r="I479">
        <v>-0.82673636097351633</v>
      </c>
      <c r="J479">
        <v>-5.3677150011769564E-4</v>
      </c>
      <c r="K479" s="93">
        <f t="shared" si="22"/>
        <v>0</v>
      </c>
      <c r="L479" s="93">
        <f t="shared" si="23"/>
        <v>1</v>
      </c>
      <c r="M479" s="93">
        <f t="shared" si="24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17.124248197408818</v>
      </c>
      <c r="H480">
        <v>1.3706718749999997E-3</v>
      </c>
      <c r="I480">
        <v>-0.56506852429767962</v>
      </c>
      <c r="J480">
        <v>-7.7452353370258337E-4</v>
      </c>
      <c r="K480" s="93">
        <f t="shared" si="22"/>
        <v>0</v>
      </c>
      <c r="L480" s="93">
        <f t="shared" si="23"/>
        <v>1</v>
      </c>
      <c r="M480" s="93">
        <f t="shared" si="24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25.686372296113241</v>
      </c>
      <c r="H481">
        <v>8.6568749999999992E-4</v>
      </c>
      <c r="I481">
        <v>-0.4247678859872871</v>
      </c>
      <c r="J481">
        <v>-3.6771624930061956E-4</v>
      </c>
      <c r="K481" s="93">
        <f t="shared" si="22"/>
        <v>0</v>
      </c>
      <c r="L481" s="93">
        <f t="shared" si="23"/>
        <v>1</v>
      </c>
      <c r="M481" s="93">
        <f t="shared" si="24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2.8540413662347963</v>
      </c>
      <c r="H482">
        <v>1.3706718749999997E-3</v>
      </c>
      <c r="I482">
        <v>-0.90925043908348857</v>
      </c>
      <c r="J482">
        <v>-1.2462840041831383E-3</v>
      </c>
      <c r="K482" s="93">
        <f t="shared" si="22"/>
        <v>0</v>
      </c>
      <c r="L482" s="93">
        <f t="shared" si="23"/>
        <v>1</v>
      </c>
      <c r="M482" s="93">
        <f t="shared" si="24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14.27020683117402</v>
      </c>
      <c r="H483">
        <v>2.8936406249999991E-3</v>
      </c>
      <c r="I483">
        <v>-0.62146631995829504</v>
      </c>
      <c r="J483">
        <v>-1.7983001905005703E-3</v>
      </c>
      <c r="K483" s="93">
        <f t="shared" si="22"/>
        <v>0</v>
      </c>
      <c r="L483" s="93">
        <f t="shared" si="23"/>
        <v>1</v>
      </c>
      <c r="M483" s="93">
        <f t="shared" si="24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22.832330929878431</v>
      </c>
      <c r="H484">
        <v>1.8275624999999993E-3</v>
      </c>
      <c r="I484">
        <v>-0.46716269547853861</v>
      </c>
      <c r="J484">
        <v>-8.5376902365549639E-4</v>
      </c>
      <c r="K484" s="93">
        <f t="shared" si="22"/>
        <v>0</v>
      </c>
      <c r="L484" s="93">
        <f t="shared" si="23"/>
        <v>1</v>
      </c>
      <c r="M484" s="93">
        <f t="shared" si="24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8.6568749999999992E-4</v>
      </c>
      <c r="I485">
        <v>-1</v>
      </c>
      <c r="J485">
        <v>-8.6568749999999992E-4</v>
      </c>
      <c r="K485" s="93">
        <f t="shared" si="22"/>
        <v>0</v>
      </c>
      <c r="L485" s="93">
        <f t="shared" si="23"/>
        <v>1</v>
      </c>
      <c r="M485" s="93">
        <f t="shared" si="24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11.416165464939224</v>
      </c>
      <c r="H486">
        <v>1.8275624999999995E-3</v>
      </c>
      <c r="I486">
        <v>-0.68349301055573231</v>
      </c>
      <c r="J486">
        <v>-1.2491261951037601E-3</v>
      </c>
      <c r="K486" s="93">
        <f t="shared" si="22"/>
        <v>0</v>
      </c>
      <c r="L486" s="93">
        <f t="shared" si="23"/>
        <v>1</v>
      </c>
      <c r="M486" s="93">
        <f t="shared" si="24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19.978289563643632</v>
      </c>
      <c r="H487">
        <v>1.1542499999999997E-3</v>
      </c>
      <c r="I487">
        <v>-0.51378880382992387</v>
      </c>
      <c r="J487">
        <v>-5.9304072682068944E-4</v>
      </c>
      <c r="K487" s="93">
        <f t="shared" si="22"/>
        <v>0</v>
      </c>
      <c r="L487" s="93">
        <f t="shared" si="23"/>
        <v>1</v>
      </c>
      <c r="M487" s="93">
        <f t="shared" si="24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5.3228904083165913</v>
      </c>
      <c r="H488">
        <v>1.7299511718750003E-4</v>
      </c>
      <c r="I488">
        <v>-0.83741988439946058</v>
      </c>
      <c r="J488">
        <v>-1.4486955103682741E-4</v>
      </c>
      <c r="K488" s="93">
        <f t="shared" si="22"/>
        <v>1</v>
      </c>
      <c r="L488" s="93">
        <f t="shared" si="23"/>
        <v>0</v>
      </c>
      <c r="M488" s="93">
        <f t="shared" si="24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15.968671224949766</v>
      </c>
      <c r="H489">
        <v>3.6521191406250006E-4</v>
      </c>
      <c r="I489">
        <v>-0.58725916975216841</v>
      </c>
      <c r="J489">
        <v>-2.1447404543594405E-4</v>
      </c>
      <c r="K489" s="93">
        <f t="shared" si="22"/>
        <v>1</v>
      </c>
      <c r="L489" s="93">
        <f t="shared" si="23"/>
        <v>0</v>
      </c>
      <c r="M489" s="93">
        <f t="shared" si="24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23.953006837424645</v>
      </c>
      <c r="H490">
        <v>2.3066015625000002E-4</v>
      </c>
      <c r="I490">
        <v>-0.45003336197325672</v>
      </c>
      <c r="J490">
        <v>-1.038047655904642E-4</v>
      </c>
      <c r="K490" s="93">
        <f t="shared" si="22"/>
        <v>1</v>
      </c>
      <c r="L490" s="93">
        <f t="shared" si="23"/>
        <v>0</v>
      </c>
      <c r="M490" s="93">
        <f t="shared" si="24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2.6614452041582859</v>
      </c>
      <c r="H491">
        <v>3.6521191406250006E-4</v>
      </c>
      <c r="I491">
        <v>-0.91510648801080041</v>
      </c>
      <c r="J491">
        <v>-3.3420779205743667E-4</v>
      </c>
      <c r="K491" s="93">
        <f t="shared" si="22"/>
        <v>1</v>
      </c>
      <c r="L491" s="93">
        <f t="shared" si="23"/>
        <v>0</v>
      </c>
      <c r="M491" s="93">
        <f t="shared" si="24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13.307226020791473</v>
      </c>
      <c r="H492">
        <v>7.7100292968750007E-4</v>
      </c>
      <c r="I492">
        <v>-0.64173861451765546</v>
      </c>
      <c r="J492">
        <v>-4.9478235188670958E-4</v>
      </c>
      <c r="K492" s="93">
        <f t="shared" si="22"/>
        <v>1</v>
      </c>
      <c r="L492" s="93">
        <f t="shared" si="23"/>
        <v>0</v>
      </c>
      <c r="M492" s="93">
        <f t="shared" si="24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21.291561633266344</v>
      </c>
      <c r="H493">
        <v>4.8694921875000008E-4</v>
      </c>
      <c r="I493">
        <v>-0.49178250604638429</v>
      </c>
      <c r="J493">
        <v>-2.3947310711420401E-4</v>
      </c>
      <c r="K493" s="93">
        <f t="shared" si="22"/>
        <v>1</v>
      </c>
      <c r="L493" s="93">
        <f t="shared" si="23"/>
        <v>0</v>
      </c>
      <c r="M493" s="93">
        <f t="shared" si="24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2.3066015625000002E-4</v>
      </c>
      <c r="I494">
        <v>-1</v>
      </c>
      <c r="J494">
        <v>-2.3066015625000002E-4</v>
      </c>
      <c r="K494" s="93">
        <f t="shared" si="22"/>
        <v>1</v>
      </c>
      <c r="L494" s="93">
        <f t="shared" si="23"/>
        <v>0</v>
      </c>
      <c r="M494" s="93">
        <f t="shared" si="24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10.645780816633172</v>
      </c>
      <c r="H495">
        <v>4.8694921874999997E-4</v>
      </c>
      <c r="I495">
        <v>-0.70127206278760623</v>
      </c>
      <c r="J495">
        <v>-3.414838831056258E-4</v>
      </c>
      <c r="K495" s="93">
        <f t="shared" si="22"/>
        <v>1</v>
      </c>
      <c r="L495" s="93">
        <f t="shared" si="23"/>
        <v>0</v>
      </c>
      <c r="M495" s="93">
        <f t="shared" si="24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18.63011642910806</v>
      </c>
      <c r="H496">
        <v>3.0754687499999999E-4</v>
      </c>
      <c r="I496">
        <v>-0.5374046763840451</v>
      </c>
      <c r="J496">
        <v>-1.6527712883229937E-4</v>
      </c>
      <c r="K496" s="93">
        <f t="shared" si="22"/>
        <v>1</v>
      </c>
      <c r="L496" s="93">
        <f t="shared" si="23"/>
        <v>0</v>
      </c>
      <c r="M496" s="93">
        <f t="shared" si="24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5.3228904083165913</v>
      </c>
      <c r="H497">
        <v>3.652119140625E-4</v>
      </c>
      <c r="I497">
        <v>-0.83741988439946058</v>
      </c>
      <c r="J497">
        <v>-3.0583571885552449E-4</v>
      </c>
      <c r="K497" s="93">
        <f t="shared" si="22"/>
        <v>1</v>
      </c>
      <c r="L497" s="93">
        <f t="shared" si="23"/>
        <v>0</v>
      </c>
      <c r="M497" s="93">
        <f t="shared" si="24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15.968671224949766</v>
      </c>
      <c r="H498">
        <v>7.7100292968749996E-4</v>
      </c>
      <c r="I498">
        <v>-0.58725916975216841</v>
      </c>
      <c r="J498">
        <v>-4.527785403647707E-4</v>
      </c>
      <c r="K498" s="93">
        <f t="shared" si="22"/>
        <v>1</v>
      </c>
      <c r="L498" s="93">
        <f t="shared" si="23"/>
        <v>0</v>
      </c>
      <c r="M498" s="93">
        <f t="shared" si="24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23.953006837424645</v>
      </c>
      <c r="H499">
        <v>4.8694921874999997E-4</v>
      </c>
      <c r="I499">
        <v>-0.45003336197325672</v>
      </c>
      <c r="J499">
        <v>-2.191433940243133E-4</v>
      </c>
      <c r="K499" s="93">
        <f t="shared" si="22"/>
        <v>1</v>
      </c>
      <c r="L499" s="93">
        <f t="shared" si="23"/>
        <v>0</v>
      </c>
      <c r="M499" s="93">
        <f t="shared" si="24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2.6614452041582859</v>
      </c>
      <c r="H500">
        <v>7.7100292968749996E-4</v>
      </c>
      <c r="I500">
        <v>-0.91510648801080041</v>
      </c>
      <c r="J500">
        <v>-7.055497832323662E-4</v>
      </c>
      <c r="K500" s="93">
        <f t="shared" si="22"/>
        <v>1</v>
      </c>
      <c r="L500" s="93">
        <f t="shared" si="23"/>
        <v>0</v>
      </c>
      <c r="M500" s="93">
        <f t="shared" si="24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13.307226020791473</v>
      </c>
      <c r="H501">
        <v>1.6276728515624999E-3</v>
      </c>
      <c r="I501">
        <v>-0.64173861451765546</v>
      </c>
      <c r="J501">
        <v>-1.0445405206497202E-3</v>
      </c>
      <c r="K501" s="93">
        <f t="shared" si="22"/>
        <v>1</v>
      </c>
      <c r="L501" s="93">
        <f t="shared" si="23"/>
        <v>0</v>
      </c>
      <c r="M501" s="93">
        <f t="shared" si="24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21.291561633266344</v>
      </c>
      <c r="H502">
        <v>1.0280039062499999E-3</v>
      </c>
      <c r="I502">
        <v>-0.49178250604638429</v>
      </c>
      <c r="J502">
        <v>-5.0555433724109732E-4</v>
      </c>
      <c r="K502" s="93">
        <f t="shared" si="22"/>
        <v>1</v>
      </c>
      <c r="L502" s="93">
        <f t="shared" si="23"/>
        <v>0</v>
      </c>
      <c r="M502" s="93">
        <f t="shared" si="24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4.8694921874999997E-4</v>
      </c>
      <c r="I503">
        <v>-1</v>
      </c>
      <c r="J503">
        <v>-4.8694921874999997E-4</v>
      </c>
      <c r="K503" s="93">
        <f t="shared" si="22"/>
        <v>1</v>
      </c>
      <c r="L503" s="93">
        <f t="shared" si="23"/>
        <v>0</v>
      </c>
      <c r="M503" s="93">
        <f t="shared" si="24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10.645780816633172</v>
      </c>
      <c r="H504">
        <v>1.0280039062499999E-3</v>
      </c>
      <c r="I504">
        <v>-0.70127206278760623</v>
      </c>
      <c r="J504">
        <v>-7.2091041988965447E-4</v>
      </c>
      <c r="K504" s="93">
        <f t="shared" si="22"/>
        <v>1</v>
      </c>
      <c r="L504" s="93">
        <f t="shared" si="23"/>
        <v>0</v>
      </c>
      <c r="M504" s="93">
        <f t="shared" si="24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18.63011642910806</v>
      </c>
      <c r="H505">
        <v>6.4926562499999999E-4</v>
      </c>
      <c r="I505">
        <v>-0.5374046763840451</v>
      </c>
      <c r="J505">
        <v>-3.489183830904098E-4</v>
      </c>
      <c r="K505" s="93">
        <f t="shared" si="22"/>
        <v>1</v>
      </c>
      <c r="L505" s="93">
        <f t="shared" si="23"/>
        <v>0</v>
      </c>
      <c r="M505" s="93">
        <f t="shared" si="24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5.3228904083165913</v>
      </c>
      <c r="H506">
        <v>2.3066015625000002E-4</v>
      </c>
      <c r="I506">
        <v>-0.83741988439946058</v>
      </c>
      <c r="J506">
        <v>-1.9315940138243652E-4</v>
      </c>
      <c r="K506" s="93">
        <f t="shared" si="22"/>
        <v>1</v>
      </c>
      <c r="L506" s="93">
        <f t="shared" si="23"/>
        <v>0</v>
      </c>
      <c r="M506" s="93">
        <f t="shared" si="24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15.968671224949766</v>
      </c>
      <c r="H507">
        <v>4.8694921874999997E-4</v>
      </c>
      <c r="I507">
        <v>-0.58725916975216841</v>
      </c>
      <c r="J507">
        <v>-2.8596539391459203E-4</v>
      </c>
      <c r="K507" s="93">
        <f t="shared" si="22"/>
        <v>1</v>
      </c>
      <c r="L507" s="93">
        <f t="shared" si="23"/>
        <v>0</v>
      </c>
      <c r="M507" s="93">
        <f t="shared" si="24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23.953006837424645</v>
      </c>
      <c r="H508">
        <v>3.0754687499999999E-4</v>
      </c>
      <c r="I508">
        <v>-0.45003336197325672</v>
      </c>
      <c r="J508">
        <v>-1.3840635412061894E-4</v>
      </c>
      <c r="K508" s="93">
        <f t="shared" si="22"/>
        <v>1</v>
      </c>
      <c r="L508" s="93">
        <f t="shared" si="23"/>
        <v>0</v>
      </c>
      <c r="M508" s="93">
        <f t="shared" si="24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2.6614452041582859</v>
      </c>
      <c r="H509">
        <v>4.8694921874999997E-4</v>
      </c>
      <c r="I509">
        <v>-0.91510648801080041</v>
      </c>
      <c r="J509">
        <v>-4.4561038940991548E-4</v>
      </c>
      <c r="K509" s="93">
        <f t="shared" si="22"/>
        <v>1</v>
      </c>
      <c r="L509" s="93">
        <f t="shared" si="23"/>
        <v>0</v>
      </c>
      <c r="M509" s="93">
        <f t="shared" si="24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13.307226020791473</v>
      </c>
      <c r="H510">
        <v>1.0280039062499999E-3</v>
      </c>
      <c r="I510">
        <v>-0.64173861451765546</v>
      </c>
      <c r="J510">
        <v>-6.5970980251561274E-4</v>
      </c>
      <c r="K510" s="93">
        <f t="shared" si="22"/>
        <v>1</v>
      </c>
      <c r="L510" s="93">
        <f t="shared" si="23"/>
        <v>0</v>
      </c>
      <c r="M510" s="93">
        <f t="shared" si="24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21.291561633266344</v>
      </c>
      <c r="H511">
        <v>6.4926562499999999E-4</v>
      </c>
      <c r="I511">
        <v>-0.49178250604638429</v>
      </c>
      <c r="J511">
        <v>-3.1929747615227198E-4</v>
      </c>
      <c r="K511" s="93">
        <f t="shared" si="22"/>
        <v>1</v>
      </c>
      <c r="L511" s="93">
        <f t="shared" si="23"/>
        <v>0</v>
      </c>
      <c r="M511" s="93">
        <f t="shared" si="24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3.0754687500000004E-4</v>
      </c>
      <c r="I512">
        <v>-1</v>
      </c>
      <c r="J512">
        <v>-3.0754687500000004E-4</v>
      </c>
      <c r="K512" s="93">
        <f t="shared" si="22"/>
        <v>1</v>
      </c>
      <c r="L512" s="93">
        <f t="shared" si="23"/>
        <v>0</v>
      </c>
      <c r="M512" s="93">
        <f t="shared" si="24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10.645780816633172</v>
      </c>
      <c r="H513">
        <v>6.4926562499999999E-4</v>
      </c>
      <c r="I513">
        <v>-0.70127206278760623</v>
      </c>
      <c r="J513">
        <v>-4.553118441408344E-4</v>
      </c>
      <c r="K513" s="93">
        <f t="shared" si="22"/>
        <v>1</v>
      </c>
      <c r="L513" s="93">
        <f t="shared" si="23"/>
        <v>0</v>
      </c>
      <c r="M513" s="93">
        <f t="shared" si="24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18.63011642910806</v>
      </c>
      <c r="H514">
        <v>4.100625E-4</v>
      </c>
      <c r="I514">
        <v>-0.5374046763840451</v>
      </c>
      <c r="J514">
        <v>-2.2036950510973249E-4</v>
      </c>
      <c r="K514" s="93">
        <f t="shared" si="22"/>
        <v>1</v>
      </c>
      <c r="L514" s="93">
        <f t="shared" si="23"/>
        <v>0</v>
      </c>
      <c r="M514" s="93">
        <f t="shared" si="24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6.5140497333127207</v>
      </c>
      <c r="H515">
        <v>3.652119140625E-4</v>
      </c>
      <c r="I515">
        <v>-0.80482131824825975</v>
      </c>
      <c r="J515">
        <v>-2.9393033411575142E-4</v>
      </c>
      <c r="K515" s="93">
        <f t="shared" ref="K515:K578" si="25">IF(A515=3,1,0)</f>
        <v>1</v>
      </c>
      <c r="L515" s="93">
        <f t="shared" ref="L515:L578" si="26">IF(A515=2,1,0)</f>
        <v>0</v>
      </c>
      <c r="M515" s="93">
        <f t="shared" ref="M515:M578" si="27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19.542149199938162</v>
      </c>
      <c r="H516">
        <v>7.7100292968749996E-4</v>
      </c>
      <c r="I516">
        <v>-0.52131283137189255</v>
      </c>
      <c r="J516">
        <v>-4.0193372027141482E-4</v>
      </c>
      <c r="K516" s="93">
        <f t="shared" si="25"/>
        <v>1</v>
      </c>
      <c r="L516" s="93">
        <f t="shared" si="26"/>
        <v>0</v>
      </c>
      <c r="M516" s="93">
        <f t="shared" si="27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29.313223799907266</v>
      </c>
      <c r="H517">
        <v>4.8694921874999997E-4</v>
      </c>
      <c r="I517">
        <v>-0.37639827280749777</v>
      </c>
      <c r="J517">
        <v>-1.8328684488246039E-4</v>
      </c>
      <c r="K517" s="93">
        <f t="shared" si="25"/>
        <v>1</v>
      </c>
      <c r="L517" s="93">
        <f t="shared" si="26"/>
        <v>0</v>
      </c>
      <c r="M517" s="93">
        <f t="shared" si="27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3.2570248666563648</v>
      </c>
      <c r="H518">
        <v>7.7100292968749996E-4</v>
      </c>
      <c r="I518">
        <v>-0.89711834127291123</v>
      </c>
      <c r="J518">
        <v>-6.9168086939780501E-4</v>
      </c>
      <c r="K518" s="93">
        <f t="shared" si="25"/>
        <v>1</v>
      </c>
      <c r="L518" s="93">
        <f t="shared" si="26"/>
        <v>0</v>
      </c>
      <c r="M518" s="93">
        <f t="shared" si="27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16.285124333281807</v>
      </c>
      <c r="H519">
        <v>1.6276728515624999E-3</v>
      </c>
      <c r="I519">
        <v>-0.58109706087628021</v>
      </c>
      <c r="J519">
        <v>-9.4583591011108265E-4</v>
      </c>
      <c r="K519" s="93">
        <f t="shared" si="25"/>
        <v>1</v>
      </c>
      <c r="L519" s="93">
        <f t="shared" si="26"/>
        <v>0</v>
      </c>
      <c r="M519" s="93">
        <f t="shared" si="27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26.056198933250901</v>
      </c>
      <c r="H520">
        <v>1.0280039062499999E-3</v>
      </c>
      <c r="I520">
        <v>-0.41956368016445911</v>
      </c>
      <c r="J520">
        <v>-4.3131310212968959E-4</v>
      </c>
      <c r="K520" s="93">
        <f t="shared" si="25"/>
        <v>1</v>
      </c>
      <c r="L520" s="93">
        <f t="shared" si="26"/>
        <v>0</v>
      </c>
      <c r="M520" s="93">
        <f t="shared" si="27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4.8694921874999997E-4</v>
      </c>
      <c r="I521">
        <v>-1</v>
      </c>
      <c r="J521">
        <v>-4.8694921874999997E-4</v>
      </c>
      <c r="K521" s="93">
        <f t="shared" si="25"/>
        <v>1</v>
      </c>
      <c r="L521" s="93">
        <f t="shared" si="26"/>
        <v>0</v>
      </c>
      <c r="M521" s="93">
        <f t="shared" si="27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13.028099466625456</v>
      </c>
      <c r="H522">
        <v>1.0280039062499999E-3</v>
      </c>
      <c r="I522">
        <v>-0.64773735430686641</v>
      </c>
      <c r="J522">
        <v>-6.6587653045149895E-4</v>
      </c>
      <c r="K522" s="93">
        <f t="shared" si="25"/>
        <v>1</v>
      </c>
      <c r="L522" s="93">
        <f t="shared" si="26"/>
        <v>0</v>
      </c>
      <c r="M522" s="93">
        <f t="shared" si="27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22.799174066594546</v>
      </c>
      <c r="H523">
        <v>6.4926562499999999E-4</v>
      </c>
      <c r="I523">
        <v>-0.46767930256463686</v>
      </c>
      <c r="J523">
        <v>-3.0364809467919304E-4</v>
      </c>
      <c r="K523" s="93">
        <f t="shared" si="25"/>
        <v>1</v>
      </c>
      <c r="L523" s="93">
        <f t="shared" si="26"/>
        <v>0</v>
      </c>
      <c r="M523" s="93">
        <f t="shared" si="27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6.5140497333127207</v>
      </c>
      <c r="H524">
        <v>7.7100292968750007E-4</v>
      </c>
      <c r="I524">
        <v>-0.80482131824825975</v>
      </c>
      <c r="J524">
        <v>-6.2051959424436415E-4</v>
      </c>
      <c r="K524" s="93">
        <f t="shared" si="25"/>
        <v>1</v>
      </c>
      <c r="L524" s="93">
        <f t="shared" si="26"/>
        <v>0</v>
      </c>
      <c r="M524" s="93">
        <f t="shared" si="27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19.542149199938162</v>
      </c>
      <c r="H525">
        <v>1.6276728515625001E-3</v>
      </c>
      <c r="I525">
        <v>-0.52131283137189255</v>
      </c>
      <c r="J525">
        <v>-8.4852674279520908E-4</v>
      </c>
      <c r="K525" s="93">
        <f t="shared" si="25"/>
        <v>1</v>
      </c>
      <c r="L525" s="93">
        <f t="shared" si="26"/>
        <v>0</v>
      </c>
      <c r="M525" s="93">
        <f t="shared" si="27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29.313223799907266</v>
      </c>
      <c r="H526">
        <v>1.0280039062499999E-3</v>
      </c>
      <c r="I526">
        <v>-0.37639827280749777</v>
      </c>
      <c r="J526">
        <v>-3.8693889475186085E-4</v>
      </c>
      <c r="K526" s="93">
        <f t="shared" si="25"/>
        <v>1</v>
      </c>
      <c r="L526" s="93">
        <f t="shared" si="26"/>
        <v>0</v>
      </c>
      <c r="M526" s="93">
        <f t="shared" si="27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3.2570248666563648</v>
      </c>
      <c r="H527">
        <v>1.6276728515624999E-3</v>
      </c>
      <c r="I527">
        <v>-0.89711834127291123</v>
      </c>
      <c r="J527">
        <v>-1.4602151687286994E-3</v>
      </c>
      <c r="K527" s="93">
        <f t="shared" si="25"/>
        <v>1</v>
      </c>
      <c r="L527" s="93">
        <f t="shared" si="26"/>
        <v>0</v>
      </c>
      <c r="M527" s="93">
        <f t="shared" si="27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16.285124333281807</v>
      </c>
      <c r="H528">
        <v>3.4361982421874998E-3</v>
      </c>
      <c r="I528">
        <v>-0.58109706087628021</v>
      </c>
      <c r="J528">
        <v>-1.9967646991233966E-3</v>
      </c>
      <c r="K528" s="93">
        <f t="shared" si="25"/>
        <v>1</v>
      </c>
      <c r="L528" s="93">
        <f t="shared" si="26"/>
        <v>0</v>
      </c>
      <c r="M528" s="93">
        <f t="shared" si="27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26.056198933250901</v>
      </c>
      <c r="H529">
        <v>2.1702304687499997E-3</v>
      </c>
      <c r="I529">
        <v>-0.41956368016445911</v>
      </c>
      <c r="J529">
        <v>-9.1054988227378905E-4</v>
      </c>
      <c r="K529" s="93">
        <f t="shared" si="25"/>
        <v>1</v>
      </c>
      <c r="L529" s="93">
        <f t="shared" si="26"/>
        <v>0</v>
      </c>
      <c r="M529" s="93">
        <f t="shared" si="27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1.0280039062499999E-3</v>
      </c>
      <c r="I530">
        <v>-1</v>
      </c>
      <c r="J530">
        <v>-1.0280039062499999E-3</v>
      </c>
      <c r="K530" s="93">
        <f t="shared" si="25"/>
        <v>1</v>
      </c>
      <c r="L530" s="93">
        <f t="shared" si="26"/>
        <v>0</v>
      </c>
      <c r="M530" s="93">
        <f t="shared" si="27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13.028099466625456</v>
      </c>
      <c r="H531">
        <v>2.1702304687499997E-3</v>
      </c>
      <c r="I531">
        <v>-0.64773735430686641</v>
      </c>
      <c r="J531">
        <v>-1.4057393420642754E-3</v>
      </c>
      <c r="K531" s="93">
        <f t="shared" si="25"/>
        <v>1</v>
      </c>
      <c r="L531" s="93">
        <f t="shared" si="26"/>
        <v>0</v>
      </c>
      <c r="M531" s="93">
        <f t="shared" si="27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22.799174066594546</v>
      </c>
      <c r="H532">
        <v>1.3706718749999999E-3</v>
      </c>
      <c r="I532">
        <v>-0.46767930256463686</v>
      </c>
      <c r="J532">
        <v>-6.4103486654496303E-4</v>
      </c>
      <c r="K532" s="93">
        <f t="shared" si="25"/>
        <v>1</v>
      </c>
      <c r="L532" s="93">
        <f t="shared" si="26"/>
        <v>0</v>
      </c>
      <c r="M532" s="93">
        <f t="shared" si="27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6.5140497333127207</v>
      </c>
      <c r="H533">
        <v>4.8694921875000008E-4</v>
      </c>
      <c r="I533">
        <v>-0.80482131824825975</v>
      </c>
      <c r="J533">
        <v>-3.9190711215433528E-4</v>
      </c>
      <c r="K533" s="93">
        <f t="shared" si="25"/>
        <v>1</v>
      </c>
      <c r="L533" s="93">
        <f t="shared" si="26"/>
        <v>0</v>
      </c>
      <c r="M533" s="93">
        <f t="shared" si="27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19.542149199938162</v>
      </c>
      <c r="H534">
        <v>1.0280039062500002E-3</v>
      </c>
      <c r="I534">
        <v>-0.52131283137189255</v>
      </c>
      <c r="J534">
        <v>-5.3591162702855313E-4</v>
      </c>
      <c r="K534" s="93">
        <f t="shared" si="25"/>
        <v>1</v>
      </c>
      <c r="L534" s="93">
        <f t="shared" si="26"/>
        <v>0</v>
      </c>
      <c r="M534" s="93">
        <f t="shared" si="27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29.313223799907266</v>
      </c>
      <c r="H535">
        <v>6.492656250000001E-4</v>
      </c>
      <c r="I535">
        <v>-0.37639827280749777</v>
      </c>
      <c r="J535">
        <v>-2.4438245984328061E-4</v>
      </c>
      <c r="K535" s="93">
        <f t="shared" si="25"/>
        <v>1</v>
      </c>
      <c r="L535" s="93">
        <f t="shared" si="26"/>
        <v>0</v>
      </c>
      <c r="M535" s="93">
        <f t="shared" si="27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3.2570248666563648</v>
      </c>
      <c r="H536">
        <v>1.0280039062499999E-3</v>
      </c>
      <c r="I536">
        <v>-0.89711834127291123</v>
      </c>
      <c r="J536">
        <v>-9.2224115919707335E-4</v>
      </c>
      <c r="K536" s="93">
        <f t="shared" si="25"/>
        <v>1</v>
      </c>
      <c r="L536" s="93">
        <f t="shared" si="26"/>
        <v>0</v>
      </c>
      <c r="M536" s="93">
        <f t="shared" si="27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16.285124333281807</v>
      </c>
      <c r="H537">
        <v>2.1702304687499997E-3</v>
      </c>
      <c r="I537">
        <v>-0.58109706087628021</v>
      </c>
      <c r="J537">
        <v>-1.2611145468147766E-3</v>
      </c>
      <c r="K537" s="93">
        <f t="shared" si="25"/>
        <v>1</v>
      </c>
      <c r="L537" s="93">
        <f t="shared" si="26"/>
        <v>0</v>
      </c>
      <c r="M537" s="93">
        <f t="shared" si="27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26.056198933250901</v>
      </c>
      <c r="H538">
        <v>1.3706718749999999E-3</v>
      </c>
      <c r="I538">
        <v>-0.41956368016445911</v>
      </c>
      <c r="J538">
        <v>-5.7508413617291942E-4</v>
      </c>
      <c r="K538" s="93">
        <f t="shared" si="25"/>
        <v>1</v>
      </c>
      <c r="L538" s="93">
        <f t="shared" si="26"/>
        <v>0</v>
      </c>
      <c r="M538" s="93">
        <f t="shared" si="27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6.492656250000001E-4</v>
      </c>
      <c r="I539">
        <v>-1</v>
      </c>
      <c r="J539">
        <v>-6.492656250000001E-4</v>
      </c>
      <c r="K539" s="93">
        <f t="shared" si="25"/>
        <v>1</v>
      </c>
      <c r="L539" s="93">
        <f t="shared" si="26"/>
        <v>0</v>
      </c>
      <c r="M539" s="93">
        <f t="shared" si="27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13.028099466625456</v>
      </c>
      <c r="H540">
        <v>1.3706718749999999E-3</v>
      </c>
      <c r="I540">
        <v>-0.64773735430686641</v>
      </c>
      <c r="J540">
        <v>-8.8783537393533182E-4</v>
      </c>
      <c r="K540" s="93">
        <f t="shared" si="25"/>
        <v>1</v>
      </c>
      <c r="L540" s="93">
        <f t="shared" si="26"/>
        <v>0</v>
      </c>
      <c r="M540" s="93">
        <f t="shared" si="27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22.799174066594546</v>
      </c>
      <c r="H541">
        <v>8.6568750000000003E-4</v>
      </c>
      <c r="I541">
        <v>-0.46767930256463686</v>
      </c>
      <c r="J541">
        <v>-4.048641262389241E-4</v>
      </c>
      <c r="K541" s="93">
        <f t="shared" si="25"/>
        <v>1</v>
      </c>
      <c r="L541" s="93">
        <f t="shared" si="26"/>
        <v>0</v>
      </c>
      <c r="M541" s="93">
        <f t="shared" si="27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7.0464302641057577</v>
      </c>
      <c r="H542">
        <v>2.3066015625000002E-4</v>
      </c>
      <c r="I542">
        <v>-0.79066492619706163</v>
      </c>
      <c r="J542">
        <v>-1.8237489541800896E-4</v>
      </c>
      <c r="K542" s="93">
        <f t="shared" si="25"/>
        <v>1</v>
      </c>
      <c r="L542" s="93">
        <f t="shared" si="26"/>
        <v>0</v>
      </c>
      <c r="M542" s="93">
        <f t="shared" si="27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21.139290792317265</v>
      </c>
      <c r="H543">
        <v>4.8694921874999997E-4</v>
      </c>
      <c r="I543">
        <v>-0.49428498945336902</v>
      </c>
      <c r="J543">
        <v>-2.4069168945417001E-4</v>
      </c>
      <c r="K543" s="93">
        <f t="shared" si="25"/>
        <v>1</v>
      </c>
      <c r="L543" s="93">
        <f t="shared" si="26"/>
        <v>0</v>
      </c>
      <c r="M543" s="93">
        <f t="shared" si="27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31.708936188475928</v>
      </c>
      <c r="H544">
        <v>3.0754687499999999E-4</v>
      </c>
      <c r="I544">
        <v>-0.34750906095872436</v>
      </c>
      <c r="J544">
        <v>-1.0687532573204017E-4</v>
      </c>
      <c r="K544" s="93">
        <f t="shared" si="25"/>
        <v>1</v>
      </c>
      <c r="L544" s="93">
        <f t="shared" si="26"/>
        <v>0</v>
      </c>
      <c r="M544" s="93">
        <f t="shared" si="27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3.5232151320528735</v>
      </c>
      <c r="H545">
        <v>4.8694921874999997E-4</v>
      </c>
      <c r="I545">
        <v>-0.8891934132667999</v>
      </c>
      <c r="J545">
        <v>-4.3299203790791405E-4</v>
      </c>
      <c r="K545" s="93">
        <f t="shared" si="25"/>
        <v>1</v>
      </c>
      <c r="L545" s="93">
        <f t="shared" si="26"/>
        <v>0</v>
      </c>
      <c r="M545" s="93">
        <f t="shared" si="27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17.616075660264386</v>
      </c>
      <c r="H546">
        <v>1.0280039062499999E-3</v>
      </c>
      <c r="I546">
        <v>-0.55588017418777302</v>
      </c>
      <c r="J546">
        <v>-5.7144699047196104E-4</v>
      </c>
      <c r="K546" s="93">
        <f t="shared" si="25"/>
        <v>1</v>
      </c>
      <c r="L546" s="93">
        <f t="shared" si="26"/>
        <v>0</v>
      </c>
      <c r="M546" s="93">
        <f t="shared" si="27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28.185721056423024</v>
      </c>
      <c r="H547">
        <v>6.4926562499999999E-4</v>
      </c>
      <c r="I547">
        <v>-0.39081380470646343</v>
      </c>
      <c r="J547">
        <v>-2.5374196917136993E-4</v>
      </c>
      <c r="K547" s="93">
        <f t="shared" si="25"/>
        <v>1</v>
      </c>
      <c r="L547" s="93">
        <f t="shared" si="26"/>
        <v>0</v>
      </c>
      <c r="M547" s="93">
        <f t="shared" si="27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3.0754687500000004E-4</v>
      </c>
      <c r="I548">
        <v>-1</v>
      </c>
      <c r="J548">
        <v>-3.0754687500000004E-4</v>
      </c>
      <c r="K548" s="93">
        <f t="shared" si="25"/>
        <v>1</v>
      </c>
      <c r="L548" s="93">
        <f t="shared" si="26"/>
        <v>0</v>
      </c>
      <c r="M548" s="93">
        <f t="shared" si="27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14.092860528211519</v>
      </c>
      <c r="H549">
        <v>6.4926562499999999E-4</v>
      </c>
      <c r="I549">
        <v>-0.62515102551820489</v>
      </c>
      <c r="J549">
        <v>-4.0588907130246826E-4</v>
      </c>
      <c r="K549" s="93">
        <f t="shared" si="25"/>
        <v>1</v>
      </c>
      <c r="L549" s="93">
        <f t="shared" si="26"/>
        <v>0</v>
      </c>
      <c r="M549" s="93">
        <f t="shared" si="27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24.662505924370151</v>
      </c>
      <c r="H550">
        <v>4.100625E-4</v>
      </c>
      <c r="I550">
        <v>-0.43951495689858516</v>
      </c>
      <c r="J550">
        <v>-1.8022860201322608E-4</v>
      </c>
      <c r="K550" s="93">
        <f t="shared" si="25"/>
        <v>1</v>
      </c>
      <c r="L550" s="93">
        <f t="shared" si="26"/>
        <v>0</v>
      </c>
      <c r="M550" s="93">
        <f t="shared" si="27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7.0464302641057577</v>
      </c>
      <c r="H551">
        <v>4.8694921875000008E-4</v>
      </c>
      <c r="I551">
        <v>-0.79066492619706163</v>
      </c>
      <c r="J551">
        <v>-3.8501366810468564E-4</v>
      </c>
      <c r="K551" s="93">
        <f t="shared" si="25"/>
        <v>1</v>
      </c>
      <c r="L551" s="93">
        <f t="shared" si="26"/>
        <v>0</v>
      </c>
      <c r="M551" s="93">
        <f t="shared" si="27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21.139290792317265</v>
      </c>
      <c r="H552">
        <v>1.0280039062500002E-3</v>
      </c>
      <c r="I552">
        <v>-0.49428498945336902</v>
      </c>
      <c r="J552">
        <v>-5.0812689995880346E-4</v>
      </c>
      <c r="K552" s="93">
        <f t="shared" si="25"/>
        <v>1</v>
      </c>
      <c r="L552" s="93">
        <f t="shared" si="26"/>
        <v>0</v>
      </c>
      <c r="M552" s="93">
        <f t="shared" si="27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31.708936188475928</v>
      </c>
      <c r="H553">
        <v>6.492656250000001E-4</v>
      </c>
      <c r="I553">
        <v>-0.34750906095872436</v>
      </c>
      <c r="J553">
        <v>-2.2562568765652932E-4</v>
      </c>
      <c r="K553" s="93">
        <f t="shared" si="25"/>
        <v>1</v>
      </c>
      <c r="L553" s="93">
        <f t="shared" si="26"/>
        <v>0</v>
      </c>
      <c r="M553" s="93">
        <f t="shared" si="27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3.5232151320528735</v>
      </c>
      <c r="H554">
        <v>1.0280039062499999E-3</v>
      </c>
      <c r="I554">
        <v>-0.8891934132667999</v>
      </c>
      <c r="J554">
        <v>-9.1409430225004081E-4</v>
      </c>
      <c r="K554" s="93">
        <f t="shared" si="25"/>
        <v>1</v>
      </c>
      <c r="L554" s="93">
        <f t="shared" si="26"/>
        <v>0</v>
      </c>
      <c r="M554" s="93">
        <f t="shared" si="27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17.616075660264386</v>
      </c>
      <c r="H555">
        <v>2.1702304687499997E-3</v>
      </c>
      <c r="I555">
        <v>-0.55588017418777302</v>
      </c>
      <c r="J555">
        <v>-1.2063880909963622E-3</v>
      </c>
      <c r="K555" s="93">
        <f t="shared" si="25"/>
        <v>1</v>
      </c>
      <c r="L555" s="93">
        <f t="shared" si="26"/>
        <v>0</v>
      </c>
      <c r="M555" s="93">
        <f t="shared" si="27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28.185721056423024</v>
      </c>
      <c r="H556">
        <v>1.3706718749999999E-3</v>
      </c>
      <c r="I556">
        <v>-0.39081380470646343</v>
      </c>
      <c r="J556">
        <v>-5.3567749047289204E-4</v>
      </c>
      <c r="K556" s="93">
        <f t="shared" si="25"/>
        <v>1</v>
      </c>
      <c r="L556" s="93">
        <f t="shared" si="26"/>
        <v>0</v>
      </c>
      <c r="M556" s="93">
        <f t="shared" si="27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6.492656250000001E-4</v>
      </c>
      <c r="I557">
        <v>-1</v>
      </c>
      <c r="J557">
        <v>-6.492656250000001E-4</v>
      </c>
      <c r="K557" s="93">
        <f t="shared" si="25"/>
        <v>1</v>
      </c>
      <c r="L557" s="93">
        <f t="shared" si="26"/>
        <v>0</v>
      </c>
      <c r="M557" s="93">
        <f t="shared" si="27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14.092860528211519</v>
      </c>
      <c r="H558">
        <v>1.3706718749999999E-3</v>
      </c>
      <c r="I558">
        <v>-0.62515102551820489</v>
      </c>
      <c r="J558">
        <v>-8.5687692830521071E-4</v>
      </c>
      <c r="K558" s="93">
        <f t="shared" si="25"/>
        <v>1</v>
      </c>
      <c r="L558" s="93">
        <f t="shared" si="26"/>
        <v>0</v>
      </c>
      <c r="M558" s="93">
        <f t="shared" si="27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24.662505924370151</v>
      </c>
      <c r="H559">
        <v>8.6568750000000003E-4</v>
      </c>
      <c r="I559">
        <v>-0.43951495689858516</v>
      </c>
      <c r="J559">
        <v>-3.8048260425014397E-4</v>
      </c>
      <c r="K559" s="93">
        <f t="shared" si="25"/>
        <v>1</v>
      </c>
      <c r="L559" s="93">
        <f t="shared" si="26"/>
        <v>0</v>
      </c>
      <c r="M559" s="93">
        <f t="shared" si="27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7.0464302641057577</v>
      </c>
      <c r="H560">
        <v>3.0754687500000004E-4</v>
      </c>
      <c r="I560">
        <v>-0.79066492619706163</v>
      </c>
      <c r="J560">
        <v>-2.4316652722401196E-4</v>
      </c>
      <c r="K560" s="93">
        <f t="shared" si="25"/>
        <v>1</v>
      </c>
      <c r="L560" s="93">
        <f t="shared" si="26"/>
        <v>0</v>
      </c>
      <c r="M560" s="93">
        <f t="shared" si="27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21.139290792317265</v>
      </c>
      <c r="H561">
        <v>6.4926562499999999E-4</v>
      </c>
      <c r="I561">
        <v>-0.49428498945336902</v>
      </c>
      <c r="J561">
        <v>-3.2092225260556002E-4</v>
      </c>
      <c r="K561" s="93">
        <f t="shared" si="25"/>
        <v>1</v>
      </c>
      <c r="L561" s="93">
        <f t="shared" si="26"/>
        <v>0</v>
      </c>
      <c r="M561" s="93">
        <f t="shared" si="27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31.708936188475928</v>
      </c>
      <c r="H562">
        <v>4.100625E-4</v>
      </c>
      <c r="I562">
        <v>-0.34750906095872436</v>
      </c>
      <c r="J562">
        <v>-1.425004343093869E-4</v>
      </c>
      <c r="K562" s="93">
        <f t="shared" si="25"/>
        <v>1</v>
      </c>
      <c r="L562" s="93">
        <f t="shared" si="26"/>
        <v>0</v>
      </c>
      <c r="M562" s="93">
        <f t="shared" si="27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3.5232151320528735</v>
      </c>
      <c r="H563">
        <v>6.4926562499999999E-4</v>
      </c>
      <c r="I563">
        <v>-0.8891934132667999</v>
      </c>
      <c r="J563">
        <v>-5.7732271721055214E-4</v>
      </c>
      <c r="K563" s="93">
        <f t="shared" si="25"/>
        <v>1</v>
      </c>
      <c r="L563" s="93">
        <f t="shared" si="26"/>
        <v>0</v>
      </c>
      <c r="M563" s="93">
        <f t="shared" si="27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17.616075660264386</v>
      </c>
      <c r="H564">
        <v>1.3706718749999997E-3</v>
      </c>
      <c r="I564">
        <v>-0.55588017418777302</v>
      </c>
      <c r="J564">
        <v>-7.6192932062928132E-4</v>
      </c>
      <c r="K564" s="93">
        <f t="shared" si="25"/>
        <v>1</v>
      </c>
      <c r="L564" s="93">
        <f t="shared" si="26"/>
        <v>0</v>
      </c>
      <c r="M564" s="93">
        <f t="shared" si="27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28.185721056423024</v>
      </c>
      <c r="H565">
        <v>8.6568749999999992E-4</v>
      </c>
      <c r="I565">
        <v>-0.39081380470646343</v>
      </c>
      <c r="J565">
        <v>-3.3832262556182652E-4</v>
      </c>
      <c r="K565" s="93">
        <f t="shared" si="25"/>
        <v>1</v>
      </c>
      <c r="L565" s="93">
        <f t="shared" si="26"/>
        <v>0</v>
      </c>
      <c r="M565" s="93">
        <f t="shared" si="27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4.100625E-4</v>
      </c>
      <c r="I566">
        <v>-1</v>
      </c>
      <c r="J566">
        <v>-4.100625E-4</v>
      </c>
      <c r="K566" s="93">
        <f t="shared" si="25"/>
        <v>1</v>
      </c>
      <c r="L566" s="93">
        <f t="shared" si="26"/>
        <v>0</v>
      </c>
      <c r="M566" s="93">
        <f t="shared" si="27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14.092860528211519</v>
      </c>
      <c r="H567">
        <v>8.6568749999999992E-4</v>
      </c>
      <c r="I567">
        <v>-0.62515102551820489</v>
      </c>
      <c r="J567">
        <v>-5.4118542840329094E-4</v>
      </c>
      <c r="K567" s="93">
        <f t="shared" si="25"/>
        <v>1</v>
      </c>
      <c r="L567" s="93">
        <f t="shared" si="26"/>
        <v>0</v>
      </c>
      <c r="M567" s="93">
        <f t="shared" si="27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24.662505924370151</v>
      </c>
      <c r="H568">
        <v>5.4674999999999993E-4</v>
      </c>
      <c r="I568">
        <v>-0.43951495689858516</v>
      </c>
      <c r="J568">
        <v>-2.403048026843014E-4</v>
      </c>
      <c r="K568" s="93">
        <f t="shared" si="25"/>
        <v>1</v>
      </c>
      <c r="L568" s="93">
        <f t="shared" si="26"/>
        <v>0</v>
      </c>
      <c r="M568" s="93">
        <f t="shared" si="27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7.3399070494010648</v>
      </c>
      <c r="H569">
        <v>3.652119140625E-4</v>
      </c>
      <c r="I569">
        <v>-0.78296790915047809</v>
      </c>
      <c r="J569">
        <v>-2.8594920875035974E-4</v>
      </c>
      <c r="K569" s="93">
        <f t="shared" si="25"/>
        <v>1</v>
      </c>
      <c r="L569" s="93">
        <f t="shared" si="26"/>
        <v>0</v>
      </c>
      <c r="M569" s="93">
        <f t="shared" si="27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22.019721148203125</v>
      </c>
      <c r="H570">
        <v>7.7100292968749996E-4</v>
      </c>
      <c r="I570">
        <v>-0.47998966577849378</v>
      </c>
      <c r="J570">
        <v>-3.7007343853494263E-4</v>
      </c>
      <c r="K570" s="93">
        <f t="shared" si="25"/>
        <v>1</v>
      </c>
      <c r="L570" s="93">
        <f t="shared" si="26"/>
        <v>0</v>
      </c>
      <c r="M570" s="93">
        <f t="shared" si="27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33.029581722304734</v>
      </c>
      <c r="H571">
        <v>4.8694921874999997E-4</v>
      </c>
      <c r="I571">
        <v>-0.33254301547300597</v>
      </c>
      <c r="J571">
        <v>-1.6193156158534941E-4</v>
      </c>
      <c r="K571" s="93">
        <f t="shared" si="25"/>
        <v>1</v>
      </c>
      <c r="L571" s="93">
        <f t="shared" si="26"/>
        <v>0</v>
      </c>
      <c r="M571" s="93">
        <f t="shared" si="27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3.6699535247005088</v>
      </c>
      <c r="H572">
        <v>7.7100292968749996E-4</v>
      </c>
      <c r="I572">
        <v>-0.88485473901114375</v>
      </c>
      <c r="J572">
        <v>-6.8222559612546004E-4</v>
      </c>
      <c r="K572" s="93">
        <f t="shared" si="25"/>
        <v>1</v>
      </c>
      <c r="L572" s="93">
        <f t="shared" si="26"/>
        <v>0</v>
      </c>
      <c r="M572" s="93">
        <f t="shared" si="27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18.349767623502622</v>
      </c>
      <c r="H573">
        <v>1.6276728515624999E-3</v>
      </c>
      <c r="I573">
        <v>-0.54245024026757094</v>
      </c>
      <c r="J573">
        <v>-8.8293152940708045E-4</v>
      </c>
      <c r="K573" s="93">
        <f t="shared" si="25"/>
        <v>1</v>
      </c>
      <c r="L573" s="93">
        <f t="shared" si="26"/>
        <v>0</v>
      </c>
      <c r="M573" s="93">
        <f t="shared" si="27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29.359628197604181</v>
      </c>
      <c r="H574">
        <v>1.0280039062499999E-3</v>
      </c>
      <c r="I574">
        <v>-0.37581650502842417</v>
      </c>
      <c r="J574">
        <v>-3.8634083520244279E-4</v>
      </c>
      <c r="K574" s="93">
        <f t="shared" si="25"/>
        <v>1</v>
      </c>
      <c r="L574" s="93">
        <f t="shared" si="26"/>
        <v>0</v>
      </c>
      <c r="M574" s="93">
        <f t="shared" si="27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4.8694921874999997E-4</v>
      </c>
      <c r="I575">
        <v>-1</v>
      </c>
      <c r="J575">
        <v>-4.8694921874999997E-4</v>
      </c>
      <c r="K575" s="93">
        <f t="shared" si="25"/>
        <v>1</v>
      </c>
      <c r="L575" s="93">
        <f t="shared" si="26"/>
        <v>0</v>
      </c>
      <c r="M575" s="93">
        <f t="shared" si="27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14.679814098802112</v>
      </c>
      <c r="H576">
        <v>1.0280039062499999E-3</v>
      </c>
      <c r="I576">
        <v>-0.61303874675947168</v>
      </c>
      <c r="J576">
        <v>-6.3020622635134133E-4</v>
      </c>
      <c r="K576" s="93">
        <f t="shared" si="25"/>
        <v>1</v>
      </c>
      <c r="L576" s="93">
        <f t="shared" si="26"/>
        <v>0</v>
      </c>
      <c r="M576" s="93">
        <f t="shared" si="27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25.689674672903667</v>
      </c>
      <c r="H577">
        <v>6.4926562499999999E-4</v>
      </c>
      <c r="I577">
        <v>-0.42472113044047477</v>
      </c>
      <c r="J577">
        <v>-2.7575683020614135E-4</v>
      </c>
      <c r="K577" s="93">
        <f t="shared" si="25"/>
        <v>1</v>
      </c>
      <c r="L577" s="93">
        <f t="shared" si="26"/>
        <v>0</v>
      </c>
      <c r="M577" s="93">
        <f t="shared" si="27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7.3399070494010648</v>
      </c>
      <c r="H578">
        <v>7.7100292968750007E-4</v>
      </c>
      <c r="I578">
        <v>-0.78296790915047809</v>
      </c>
      <c r="J578">
        <v>-6.03670551806315E-4</v>
      </c>
      <c r="K578" s="93">
        <f t="shared" si="25"/>
        <v>1</v>
      </c>
      <c r="L578" s="93">
        <f t="shared" si="26"/>
        <v>0</v>
      </c>
      <c r="M578" s="93">
        <f t="shared" si="27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22.019721148203125</v>
      </c>
      <c r="H579">
        <v>1.6276728515625001E-3</v>
      </c>
      <c r="I579">
        <v>-0.47998966577849378</v>
      </c>
      <c r="J579">
        <v>-7.8126614801821235E-4</v>
      </c>
      <c r="K579" s="93">
        <f t="shared" ref="K579:K642" si="28">IF(A579=3,1,0)</f>
        <v>1</v>
      </c>
      <c r="L579" s="93">
        <f t="shared" ref="L579:L642" si="29">IF(A579=2,1,0)</f>
        <v>0</v>
      </c>
      <c r="M579" s="93">
        <f t="shared" ref="M579:M642" si="30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33.029581722304734</v>
      </c>
      <c r="H580">
        <v>1.0280039062499999E-3</v>
      </c>
      <c r="I580">
        <v>-0.33254301547300597</v>
      </c>
      <c r="J580">
        <v>-3.4185551890240429E-4</v>
      </c>
      <c r="K580" s="93">
        <f t="shared" si="28"/>
        <v>1</v>
      </c>
      <c r="L580" s="93">
        <f t="shared" si="29"/>
        <v>0</v>
      </c>
      <c r="M580" s="93">
        <f t="shared" si="30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3.6699535247005088</v>
      </c>
      <c r="H581">
        <v>1.6276728515624999E-3</v>
      </c>
      <c r="I581">
        <v>-0.88485473901114375</v>
      </c>
      <c r="J581">
        <v>-1.44025403626486E-3</v>
      </c>
      <c r="K581" s="93">
        <f t="shared" si="28"/>
        <v>1</v>
      </c>
      <c r="L581" s="93">
        <f t="shared" si="29"/>
        <v>0</v>
      </c>
      <c r="M581" s="93">
        <f t="shared" si="30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18.349767623502622</v>
      </c>
      <c r="H582">
        <v>3.4361982421874998E-3</v>
      </c>
      <c r="I582">
        <v>-0.54245024026757094</v>
      </c>
      <c r="J582">
        <v>-1.8639665620816142E-3</v>
      </c>
      <c r="K582" s="93">
        <f t="shared" si="28"/>
        <v>1</v>
      </c>
      <c r="L582" s="93">
        <f t="shared" si="29"/>
        <v>0</v>
      </c>
      <c r="M582" s="93">
        <f t="shared" si="30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29.359628197604181</v>
      </c>
      <c r="H583">
        <v>2.1702304687499997E-3</v>
      </c>
      <c r="I583">
        <v>-0.37581650502842417</v>
      </c>
      <c r="J583">
        <v>-8.1560842987182369E-4</v>
      </c>
      <c r="K583" s="93">
        <f t="shared" si="28"/>
        <v>1</v>
      </c>
      <c r="L583" s="93">
        <f t="shared" si="29"/>
        <v>0</v>
      </c>
      <c r="M583" s="93">
        <f t="shared" si="30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1.0280039062499999E-3</v>
      </c>
      <c r="I584">
        <v>-1</v>
      </c>
      <c r="J584">
        <v>-1.0280039062499999E-3</v>
      </c>
      <c r="K584" s="93">
        <f t="shared" si="28"/>
        <v>1</v>
      </c>
      <c r="L584" s="93">
        <f t="shared" si="29"/>
        <v>0</v>
      </c>
      <c r="M584" s="93">
        <f t="shared" si="30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14.679814098802112</v>
      </c>
      <c r="H585">
        <v>2.1702304687499997E-3</v>
      </c>
      <c r="I585">
        <v>-0.61303874675947168</v>
      </c>
      <c r="J585">
        <v>-1.3304353667417206E-3</v>
      </c>
      <c r="K585" s="93">
        <f t="shared" si="28"/>
        <v>1</v>
      </c>
      <c r="L585" s="93">
        <f t="shared" si="29"/>
        <v>0</v>
      </c>
      <c r="M585" s="93">
        <f t="shared" si="30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25.689674672903667</v>
      </c>
      <c r="H586">
        <v>1.3706718749999999E-3</v>
      </c>
      <c r="I586">
        <v>-0.42472113044047477</v>
      </c>
      <c r="J586">
        <v>-5.821533082129651E-4</v>
      </c>
      <c r="K586" s="93">
        <f t="shared" si="28"/>
        <v>1</v>
      </c>
      <c r="L586" s="93">
        <f t="shared" si="29"/>
        <v>0</v>
      </c>
      <c r="M586" s="93">
        <f t="shared" si="30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7.3399070494010648</v>
      </c>
      <c r="H587">
        <v>4.8694921875000008E-4</v>
      </c>
      <c r="I587">
        <v>-0.78296790915047809</v>
      </c>
      <c r="J587">
        <v>-3.8126561166714634E-4</v>
      </c>
      <c r="K587" s="93">
        <f t="shared" si="28"/>
        <v>1</v>
      </c>
      <c r="L587" s="93">
        <f t="shared" si="29"/>
        <v>0</v>
      </c>
      <c r="M587" s="93">
        <f t="shared" si="30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22.019721148203125</v>
      </c>
      <c r="H588">
        <v>1.0280039062500002E-3</v>
      </c>
      <c r="I588">
        <v>-0.47998966577849378</v>
      </c>
      <c r="J588">
        <v>-4.9343125137992362E-4</v>
      </c>
      <c r="K588" s="93">
        <f t="shared" si="28"/>
        <v>1</v>
      </c>
      <c r="L588" s="93">
        <f t="shared" si="29"/>
        <v>0</v>
      </c>
      <c r="M588" s="93">
        <f t="shared" si="30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33.029581722304734</v>
      </c>
      <c r="H589">
        <v>6.492656250000001E-4</v>
      </c>
      <c r="I589">
        <v>-0.33254301547300597</v>
      </c>
      <c r="J589">
        <v>-2.1590874878046592E-4</v>
      </c>
      <c r="K589" s="93">
        <f t="shared" si="28"/>
        <v>1</v>
      </c>
      <c r="L589" s="93">
        <f t="shared" si="29"/>
        <v>0</v>
      </c>
      <c r="M589" s="93">
        <f t="shared" si="30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3.6699535247005088</v>
      </c>
      <c r="H590">
        <v>1.0280039062499999E-3</v>
      </c>
      <c r="I590">
        <v>-0.88485473901114375</v>
      </c>
      <c r="J590">
        <v>-9.0963412816727994E-4</v>
      </c>
      <c r="K590" s="93">
        <f t="shared" si="28"/>
        <v>1</v>
      </c>
      <c r="L590" s="93">
        <f t="shared" si="29"/>
        <v>0</v>
      </c>
      <c r="M590" s="93">
        <f t="shared" si="30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18.349767623502622</v>
      </c>
      <c r="H591">
        <v>2.1702304687499997E-3</v>
      </c>
      <c r="I591">
        <v>-0.54245024026757094</v>
      </c>
      <c r="J591">
        <v>-1.1772420392094404E-3</v>
      </c>
      <c r="K591" s="93">
        <f t="shared" si="28"/>
        <v>1</v>
      </c>
      <c r="L591" s="93">
        <f t="shared" si="29"/>
        <v>0</v>
      </c>
      <c r="M591" s="93">
        <f t="shared" si="30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29.359628197604181</v>
      </c>
      <c r="H592">
        <v>1.3706718749999999E-3</v>
      </c>
      <c r="I592">
        <v>-0.37581650502842417</v>
      </c>
      <c r="J592">
        <v>-5.1512111360325701E-4</v>
      </c>
      <c r="K592" s="93">
        <f t="shared" si="28"/>
        <v>1</v>
      </c>
      <c r="L592" s="93">
        <f t="shared" si="29"/>
        <v>0</v>
      </c>
      <c r="M592" s="93">
        <f t="shared" si="30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6.492656250000001E-4</v>
      </c>
      <c r="I593">
        <v>-1</v>
      </c>
      <c r="J593">
        <v>-6.492656250000001E-4</v>
      </c>
      <c r="K593" s="93">
        <f t="shared" si="28"/>
        <v>1</v>
      </c>
      <c r="L593" s="93">
        <f t="shared" si="29"/>
        <v>0</v>
      </c>
      <c r="M593" s="93">
        <f t="shared" si="30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14.679814098802112</v>
      </c>
      <c r="H594">
        <v>1.3706718749999999E-3</v>
      </c>
      <c r="I594">
        <v>-0.61303874675947168</v>
      </c>
      <c r="J594">
        <v>-8.4027496846845518E-4</v>
      </c>
      <c r="K594" s="93">
        <f t="shared" si="28"/>
        <v>1</v>
      </c>
      <c r="L594" s="93">
        <f t="shared" si="29"/>
        <v>0</v>
      </c>
      <c r="M594" s="93">
        <f t="shared" si="30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25.689674672903667</v>
      </c>
      <c r="H595">
        <v>8.6568750000000003E-4</v>
      </c>
      <c r="I595">
        <v>-0.42472113044047477</v>
      </c>
      <c r="J595">
        <v>-3.676757736081885E-4</v>
      </c>
      <c r="K595" s="93">
        <f t="shared" si="28"/>
        <v>1</v>
      </c>
      <c r="L595" s="93">
        <f t="shared" si="29"/>
        <v>0</v>
      </c>
      <c r="M595" s="93">
        <f t="shared" si="30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7.6382198580430352</v>
      </c>
      <c r="H596">
        <v>7.7100292968750007E-4</v>
      </c>
      <c r="I596">
        <v>-0.7752208452564352</v>
      </c>
      <c r="J596">
        <v>-5.9769754284753169E-4</v>
      </c>
      <c r="K596" s="93">
        <f t="shared" si="28"/>
        <v>1</v>
      </c>
      <c r="L596" s="93">
        <f t="shared" si="29"/>
        <v>0</v>
      </c>
      <c r="M596" s="93">
        <f t="shared" si="30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22.914659574129047</v>
      </c>
      <c r="H597">
        <v>1.6276728515625001E-3</v>
      </c>
      <c r="I597">
        <v>-0.46588242395356971</v>
      </c>
      <c r="J597">
        <v>-7.5830417348935646E-4</v>
      </c>
      <c r="K597" s="93">
        <f t="shared" si="28"/>
        <v>1</v>
      </c>
      <c r="L597" s="93">
        <f t="shared" si="29"/>
        <v>0</v>
      </c>
      <c r="M597" s="93">
        <f t="shared" si="30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34.371989361193634</v>
      </c>
      <c r="H598">
        <v>1.0280039062499999E-3</v>
      </c>
      <c r="I598">
        <v>-0.31799075189805043</v>
      </c>
      <c r="J598">
        <v>-3.268957351025704E-4</v>
      </c>
      <c r="K598" s="93">
        <f t="shared" si="28"/>
        <v>1</v>
      </c>
      <c r="L598" s="93">
        <f t="shared" si="29"/>
        <v>0</v>
      </c>
      <c r="M598" s="93">
        <f t="shared" si="30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3.819109929021486</v>
      </c>
      <c r="H599">
        <v>1.6276728515624999E-3</v>
      </c>
      <c r="I599">
        <v>-0.88046626582535048</v>
      </c>
      <c r="J599">
        <v>-1.4331110376005344E-3</v>
      </c>
      <c r="K599" s="93">
        <f t="shared" si="28"/>
        <v>1</v>
      </c>
      <c r="L599" s="93">
        <f t="shared" si="29"/>
        <v>0</v>
      </c>
      <c r="M599" s="93">
        <f t="shared" si="30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19.09554964510756</v>
      </c>
      <c r="H600">
        <v>3.4361982421874998E-3</v>
      </c>
      <c r="I600">
        <v>-0.52913148639130514</v>
      </c>
      <c r="J600">
        <v>-1.8182006834238616E-3</v>
      </c>
      <c r="K600" s="93">
        <f t="shared" si="28"/>
        <v>1</v>
      </c>
      <c r="L600" s="93">
        <f t="shared" si="29"/>
        <v>0</v>
      </c>
      <c r="M600" s="93">
        <f t="shared" si="30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30.552879432172077</v>
      </c>
      <c r="H601">
        <v>2.1702304687499997E-3</v>
      </c>
      <c r="I601">
        <v>-0.36116176648740328</v>
      </c>
      <c r="J601">
        <v>-7.8380426977853516E-4</v>
      </c>
      <c r="K601" s="93">
        <f t="shared" si="28"/>
        <v>1</v>
      </c>
      <c r="L601" s="93">
        <f t="shared" si="29"/>
        <v>0</v>
      </c>
      <c r="M601" s="93">
        <f t="shared" si="30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1.0280039062499999E-3</v>
      </c>
      <c r="I602">
        <v>-1</v>
      </c>
      <c r="J602">
        <v>-1.0280039062499999E-3</v>
      </c>
      <c r="K602" s="93">
        <f t="shared" si="28"/>
        <v>1</v>
      </c>
      <c r="L602" s="93">
        <f t="shared" si="29"/>
        <v>0</v>
      </c>
      <c r="M602" s="93">
        <f t="shared" si="30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15.27643971608607</v>
      </c>
      <c r="H603">
        <v>2.1702304687499997E-3</v>
      </c>
      <c r="I603">
        <v>-0.60096735892010189</v>
      </c>
      <c r="J603">
        <v>-1.3042376730526221E-3</v>
      </c>
      <c r="K603" s="93">
        <f t="shared" si="28"/>
        <v>1</v>
      </c>
      <c r="L603" s="93">
        <f t="shared" si="29"/>
        <v>0</v>
      </c>
      <c r="M603" s="93">
        <f t="shared" si="30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26.733769503150594</v>
      </c>
      <c r="H604">
        <v>1.3706718749999999E-3</v>
      </c>
      <c r="I604">
        <v>-0.4101937581320616</v>
      </c>
      <c r="J604">
        <v>-5.6224104757216929E-4</v>
      </c>
      <c r="K604" s="93">
        <f t="shared" si="28"/>
        <v>1</v>
      </c>
      <c r="L604" s="93">
        <f t="shared" si="29"/>
        <v>0</v>
      </c>
      <c r="M604" s="93">
        <f t="shared" si="30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7.6382198580430352</v>
      </c>
      <c r="H605">
        <v>1.6276728515624997E-3</v>
      </c>
      <c r="I605">
        <v>-0.7752208452564352</v>
      </c>
      <c r="J605">
        <v>-1.2618059237892332E-3</v>
      </c>
      <c r="K605" s="93">
        <f t="shared" si="28"/>
        <v>1</v>
      </c>
      <c r="L605" s="93">
        <f t="shared" si="29"/>
        <v>0</v>
      </c>
      <c r="M605" s="93">
        <f t="shared" si="30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22.914659574129047</v>
      </c>
      <c r="H606">
        <v>3.4361982421874993E-3</v>
      </c>
      <c r="I606">
        <v>-0.46588242395356971</v>
      </c>
      <c r="J606">
        <v>-1.6008643662553076E-3</v>
      </c>
      <c r="K606" s="93">
        <f t="shared" si="28"/>
        <v>1</v>
      </c>
      <c r="L606" s="93">
        <f t="shared" si="29"/>
        <v>0</v>
      </c>
      <c r="M606" s="93">
        <f t="shared" si="30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34.371989361193634</v>
      </c>
      <c r="H607">
        <v>2.1702304687499993E-3</v>
      </c>
      <c r="I607">
        <v>-0.31799075189805043</v>
      </c>
      <c r="J607">
        <v>-6.901132185498707E-4</v>
      </c>
      <c r="K607" s="93">
        <f t="shared" si="28"/>
        <v>1</v>
      </c>
      <c r="L607" s="93">
        <f t="shared" si="29"/>
        <v>0</v>
      </c>
      <c r="M607" s="93">
        <f t="shared" si="30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3.819109929021486</v>
      </c>
      <c r="H608">
        <v>3.4361982421874993E-3</v>
      </c>
      <c r="I608">
        <v>-0.88046626582535048</v>
      </c>
      <c r="J608">
        <v>-3.0254566349344606E-3</v>
      </c>
      <c r="K608" s="93">
        <f t="shared" si="28"/>
        <v>1</v>
      </c>
      <c r="L608" s="93">
        <f t="shared" si="29"/>
        <v>0</v>
      </c>
      <c r="M608" s="93">
        <f t="shared" si="30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19.09554964510756</v>
      </c>
      <c r="H609">
        <v>7.254196289062498E-3</v>
      </c>
      <c r="I609">
        <v>-0.52913148639130514</v>
      </c>
      <c r="J609">
        <v>-3.8384236650059293E-3</v>
      </c>
      <c r="K609" s="93">
        <f t="shared" si="28"/>
        <v>1</v>
      </c>
      <c r="L609" s="93">
        <f t="shared" si="29"/>
        <v>0</v>
      </c>
      <c r="M609" s="93">
        <f t="shared" si="30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30.552879432172077</v>
      </c>
      <c r="H610">
        <v>4.5815976562499985E-3</v>
      </c>
      <c r="I610">
        <v>-0.36116176648740328</v>
      </c>
      <c r="J610">
        <v>-1.6546979028657961E-3</v>
      </c>
      <c r="K610" s="93">
        <f t="shared" si="28"/>
        <v>1</v>
      </c>
      <c r="L610" s="93">
        <f t="shared" si="29"/>
        <v>0</v>
      </c>
      <c r="M610" s="93">
        <f t="shared" si="30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2.1702304687499997E-3</v>
      </c>
      <c r="I611">
        <v>-1</v>
      </c>
      <c r="J611">
        <v>-2.1702304687499997E-3</v>
      </c>
      <c r="K611" s="93">
        <f t="shared" si="28"/>
        <v>1</v>
      </c>
      <c r="L611" s="93">
        <f t="shared" si="29"/>
        <v>0</v>
      </c>
      <c r="M611" s="93">
        <f t="shared" si="30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15.27643971608607</v>
      </c>
      <c r="H612">
        <v>4.5815976562499994E-3</v>
      </c>
      <c r="I612">
        <v>-0.60096735892010189</v>
      </c>
      <c r="J612">
        <v>-2.7533906431110909E-3</v>
      </c>
      <c r="K612" s="93">
        <f t="shared" si="28"/>
        <v>1</v>
      </c>
      <c r="L612" s="93">
        <f t="shared" si="29"/>
        <v>0</v>
      </c>
      <c r="M612" s="93">
        <f t="shared" si="30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26.733769503150594</v>
      </c>
      <c r="H613">
        <v>2.8936406249999995E-3</v>
      </c>
      <c r="I613">
        <v>-0.4101937581320616</v>
      </c>
      <c r="J613">
        <v>-1.1869533226523574E-3</v>
      </c>
      <c r="K613" s="93">
        <f t="shared" si="28"/>
        <v>1</v>
      </c>
      <c r="L613" s="93">
        <f t="shared" si="29"/>
        <v>0</v>
      </c>
      <c r="M613" s="93">
        <f t="shared" si="30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7.6382198580430352</v>
      </c>
      <c r="H614">
        <v>1.0280039062499999E-3</v>
      </c>
      <c r="I614">
        <v>-0.7752208452564352</v>
      </c>
      <c r="J614">
        <v>-7.9693005713004207E-4</v>
      </c>
      <c r="K614" s="93">
        <f t="shared" si="28"/>
        <v>1</v>
      </c>
      <c r="L614" s="93">
        <f t="shared" si="29"/>
        <v>0</v>
      </c>
      <c r="M614" s="93">
        <f t="shared" si="30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22.914659574129047</v>
      </c>
      <c r="H615">
        <v>2.1702304687499997E-3</v>
      </c>
      <c r="I615">
        <v>-0.46588242395356971</v>
      </c>
      <c r="J615">
        <v>-1.0110722313191418E-3</v>
      </c>
      <c r="K615" s="93">
        <f t="shared" si="28"/>
        <v>1</v>
      </c>
      <c r="L615" s="93">
        <f t="shared" si="29"/>
        <v>0</v>
      </c>
      <c r="M615" s="93">
        <f t="shared" si="30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34.371989361193634</v>
      </c>
      <c r="H616">
        <v>1.3706718749999999E-3</v>
      </c>
      <c r="I616">
        <v>-0.31799075189805043</v>
      </c>
      <c r="J616">
        <v>-4.3586098013676059E-4</v>
      </c>
      <c r="K616" s="93">
        <f t="shared" si="28"/>
        <v>1</v>
      </c>
      <c r="L616" s="93">
        <f t="shared" si="29"/>
        <v>0</v>
      </c>
      <c r="M616" s="93">
        <f t="shared" si="30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3.819109929021486</v>
      </c>
      <c r="H617">
        <v>2.1702304687499997E-3</v>
      </c>
      <c r="I617">
        <v>-0.88046626582535048</v>
      </c>
      <c r="J617">
        <v>-1.9108147168007121E-3</v>
      </c>
      <c r="K617" s="93">
        <f t="shared" si="28"/>
        <v>1</v>
      </c>
      <c r="L617" s="93">
        <f t="shared" si="29"/>
        <v>0</v>
      </c>
      <c r="M617" s="93">
        <f t="shared" si="30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19.09554964510756</v>
      </c>
      <c r="H618">
        <v>4.5815976562499994E-3</v>
      </c>
      <c r="I618">
        <v>-0.52913148639130514</v>
      </c>
      <c r="J618">
        <v>-2.424267577898482E-3</v>
      </c>
      <c r="K618" s="93">
        <f t="shared" si="28"/>
        <v>1</v>
      </c>
      <c r="L618" s="93">
        <f t="shared" si="29"/>
        <v>0</v>
      </c>
      <c r="M618" s="93">
        <f t="shared" si="30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30.552879432172077</v>
      </c>
      <c r="H619">
        <v>2.8936406249999995E-3</v>
      </c>
      <c r="I619">
        <v>-0.36116176648740328</v>
      </c>
      <c r="J619">
        <v>-1.0450723597047135E-3</v>
      </c>
      <c r="K619" s="93">
        <f t="shared" si="28"/>
        <v>1</v>
      </c>
      <c r="L619" s="93">
        <f t="shared" si="29"/>
        <v>0</v>
      </c>
      <c r="M619" s="93">
        <f t="shared" si="30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1.3706718749999999E-3</v>
      </c>
      <c r="I620">
        <v>-1</v>
      </c>
      <c r="J620">
        <v>-1.3706718749999999E-3</v>
      </c>
      <c r="K620" s="93">
        <f t="shared" si="28"/>
        <v>1</v>
      </c>
      <c r="L620" s="93">
        <f t="shared" si="29"/>
        <v>0</v>
      </c>
      <c r="M620" s="93">
        <f t="shared" si="30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15.27643971608607</v>
      </c>
      <c r="H621">
        <v>2.8936406249999995E-3</v>
      </c>
      <c r="I621">
        <v>-0.60096735892010189</v>
      </c>
      <c r="J621">
        <v>-1.7389835640701627E-3</v>
      </c>
      <c r="K621" s="93">
        <f t="shared" si="28"/>
        <v>1</v>
      </c>
      <c r="L621" s="93">
        <f t="shared" si="29"/>
        <v>0</v>
      </c>
      <c r="M621" s="93">
        <f t="shared" si="30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26.733769503150594</v>
      </c>
      <c r="H622">
        <v>1.8275624999999998E-3</v>
      </c>
      <c r="I622">
        <v>-0.4101937581320616</v>
      </c>
      <c r="J622">
        <v>-7.4965473009622576E-4</v>
      </c>
      <c r="K622" s="93">
        <f t="shared" si="28"/>
        <v>1</v>
      </c>
      <c r="L622" s="93">
        <f t="shared" si="29"/>
        <v>0</v>
      </c>
      <c r="M622" s="93">
        <f t="shared" si="30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7.6382198580430352</v>
      </c>
      <c r="H623">
        <v>4.8694921874999997E-4</v>
      </c>
      <c r="I623">
        <v>-0.7752208452564352</v>
      </c>
      <c r="J623">
        <v>-3.7749318495633574E-4</v>
      </c>
      <c r="K623" s="93">
        <f t="shared" si="28"/>
        <v>1</v>
      </c>
      <c r="L623" s="93">
        <f t="shared" si="29"/>
        <v>0</v>
      </c>
      <c r="M623" s="93">
        <f t="shared" si="30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22.914659574129047</v>
      </c>
      <c r="H624">
        <v>1.0280039062499999E-3</v>
      </c>
      <c r="I624">
        <v>-0.46588242395356971</v>
      </c>
      <c r="J624">
        <v>-4.7892895167748822E-4</v>
      </c>
      <c r="K624" s="93">
        <f t="shared" si="28"/>
        <v>1</v>
      </c>
      <c r="L624" s="93">
        <f t="shared" si="29"/>
        <v>0</v>
      </c>
      <c r="M624" s="93">
        <f t="shared" si="30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34.371989361193634</v>
      </c>
      <c r="H625">
        <v>6.4926562499999999E-4</v>
      </c>
      <c r="I625">
        <v>-0.31799075189805043</v>
      </c>
      <c r="J625">
        <v>-2.0646046427530765E-4</v>
      </c>
      <c r="K625" s="93">
        <f t="shared" si="28"/>
        <v>1</v>
      </c>
      <c r="L625" s="93">
        <f t="shared" si="29"/>
        <v>0</v>
      </c>
      <c r="M625" s="93">
        <f t="shared" si="30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3.819109929021486</v>
      </c>
      <c r="H626">
        <v>1.0280039062499999E-3</v>
      </c>
      <c r="I626">
        <v>-0.88046626582535048</v>
      </c>
      <c r="J626">
        <v>-9.0512276058981114E-4</v>
      </c>
      <c r="K626" s="93">
        <f t="shared" si="28"/>
        <v>1</v>
      </c>
      <c r="L626" s="93">
        <f t="shared" si="29"/>
        <v>0</v>
      </c>
      <c r="M626" s="93">
        <f t="shared" si="30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19.09554964510756</v>
      </c>
      <c r="H627">
        <v>2.1702304687499993E-3</v>
      </c>
      <c r="I627">
        <v>-0.52913148639130514</v>
      </c>
      <c r="J627">
        <v>-1.148337273741386E-3</v>
      </c>
      <c r="K627" s="93">
        <f t="shared" si="28"/>
        <v>1</v>
      </c>
      <c r="L627" s="93">
        <f t="shared" si="29"/>
        <v>0</v>
      </c>
      <c r="M627" s="93">
        <f t="shared" si="30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30.552879432172077</v>
      </c>
      <c r="H628">
        <v>1.3706718749999997E-3</v>
      </c>
      <c r="I628">
        <v>-0.36116176648740328</v>
      </c>
      <c r="J628">
        <v>-4.9503427564960112E-4</v>
      </c>
      <c r="K628" s="93">
        <f t="shared" si="28"/>
        <v>1</v>
      </c>
      <c r="L628" s="93">
        <f t="shared" si="29"/>
        <v>0</v>
      </c>
      <c r="M628" s="93">
        <f t="shared" si="30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6.4926562499999999E-4</v>
      </c>
      <c r="I629">
        <v>-1</v>
      </c>
      <c r="J629">
        <v>-6.4926562499999999E-4</v>
      </c>
      <c r="K629" s="93">
        <f t="shared" si="28"/>
        <v>1</v>
      </c>
      <c r="L629" s="93">
        <f t="shared" si="29"/>
        <v>0</v>
      </c>
      <c r="M629" s="93">
        <f t="shared" si="30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15.27643971608607</v>
      </c>
      <c r="H630">
        <v>1.3706718749999997E-3</v>
      </c>
      <c r="I630">
        <v>-0.60096735892010189</v>
      </c>
      <c r="J630">
        <v>-8.2372905666481383E-4</v>
      </c>
      <c r="K630" s="93">
        <f t="shared" si="28"/>
        <v>1</v>
      </c>
      <c r="L630" s="93">
        <f t="shared" si="29"/>
        <v>0</v>
      </c>
      <c r="M630" s="93">
        <f t="shared" si="30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26.733769503150594</v>
      </c>
      <c r="H631">
        <v>8.6568749999999992E-4</v>
      </c>
      <c r="I631">
        <v>-0.4101937581320616</v>
      </c>
      <c r="J631">
        <v>-3.5509960899294906E-4</v>
      </c>
      <c r="K631" s="93">
        <f t="shared" si="28"/>
        <v>1</v>
      </c>
      <c r="L631" s="93">
        <f t="shared" si="29"/>
        <v>0</v>
      </c>
      <c r="M631" s="93">
        <f t="shared" si="30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7.6382198580430352</v>
      </c>
      <c r="H632">
        <v>1.0280039062499999E-3</v>
      </c>
      <c r="I632">
        <v>-0.7752208452564352</v>
      </c>
      <c r="J632">
        <v>-7.9693005713004207E-4</v>
      </c>
      <c r="K632" s="93">
        <f t="shared" si="28"/>
        <v>1</v>
      </c>
      <c r="L632" s="93">
        <f t="shared" si="29"/>
        <v>0</v>
      </c>
      <c r="M632" s="93">
        <f t="shared" si="30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22.914659574129047</v>
      </c>
      <c r="H633">
        <v>2.1702304687499997E-3</v>
      </c>
      <c r="I633">
        <v>-0.46588242395356971</v>
      </c>
      <c r="J633">
        <v>-1.0110722313191418E-3</v>
      </c>
      <c r="K633" s="93">
        <f t="shared" si="28"/>
        <v>1</v>
      </c>
      <c r="L633" s="93">
        <f t="shared" si="29"/>
        <v>0</v>
      </c>
      <c r="M633" s="93">
        <f t="shared" si="30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34.371989361193634</v>
      </c>
      <c r="H634">
        <v>1.3706718749999999E-3</v>
      </c>
      <c r="I634">
        <v>-0.31799075189805043</v>
      </c>
      <c r="J634">
        <v>-4.3586098013676059E-4</v>
      </c>
      <c r="K634" s="93">
        <f t="shared" si="28"/>
        <v>1</v>
      </c>
      <c r="L634" s="93">
        <f t="shared" si="29"/>
        <v>0</v>
      </c>
      <c r="M634" s="93">
        <f t="shared" si="30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3.819109929021486</v>
      </c>
      <c r="H635">
        <v>2.1702304687499997E-3</v>
      </c>
      <c r="I635">
        <v>-0.88046626582535048</v>
      </c>
      <c r="J635">
        <v>-1.9108147168007121E-3</v>
      </c>
      <c r="K635" s="93">
        <f t="shared" si="28"/>
        <v>1</v>
      </c>
      <c r="L635" s="93">
        <f t="shared" si="29"/>
        <v>0</v>
      </c>
      <c r="M635" s="93">
        <f t="shared" si="30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19.09554964510756</v>
      </c>
      <c r="H636">
        <v>4.5815976562499994E-3</v>
      </c>
      <c r="I636">
        <v>-0.52913148639130514</v>
      </c>
      <c r="J636">
        <v>-2.424267577898482E-3</v>
      </c>
      <c r="K636" s="93">
        <f t="shared" si="28"/>
        <v>1</v>
      </c>
      <c r="L636" s="93">
        <f t="shared" si="29"/>
        <v>0</v>
      </c>
      <c r="M636" s="93">
        <f t="shared" si="30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30.552879432172077</v>
      </c>
      <c r="H637">
        <v>2.8936406249999995E-3</v>
      </c>
      <c r="I637">
        <v>-0.36116176648740328</v>
      </c>
      <c r="J637">
        <v>-1.0450723597047135E-3</v>
      </c>
      <c r="K637" s="93">
        <f t="shared" si="28"/>
        <v>1</v>
      </c>
      <c r="L637" s="93">
        <f t="shared" si="29"/>
        <v>0</v>
      </c>
      <c r="M637" s="93">
        <f t="shared" si="30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1.3706718749999999E-3</v>
      </c>
      <c r="I638">
        <v>-1</v>
      </c>
      <c r="J638">
        <v>-1.3706718749999999E-3</v>
      </c>
      <c r="K638" s="93">
        <f t="shared" si="28"/>
        <v>1</v>
      </c>
      <c r="L638" s="93">
        <f t="shared" si="29"/>
        <v>0</v>
      </c>
      <c r="M638" s="93">
        <f t="shared" si="30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15.27643971608607</v>
      </c>
      <c r="H639">
        <v>2.8936406249999995E-3</v>
      </c>
      <c r="I639">
        <v>-0.60096735892010189</v>
      </c>
      <c r="J639">
        <v>-1.7389835640701627E-3</v>
      </c>
      <c r="K639" s="93">
        <f t="shared" si="28"/>
        <v>1</v>
      </c>
      <c r="L639" s="93">
        <f t="shared" si="29"/>
        <v>0</v>
      </c>
      <c r="M639" s="93">
        <f t="shared" si="30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26.733769503150594</v>
      </c>
      <c r="H640">
        <v>1.8275624999999998E-3</v>
      </c>
      <c r="I640">
        <v>-0.4101937581320616</v>
      </c>
      <c r="J640">
        <v>-7.4965473009622576E-4</v>
      </c>
      <c r="K640" s="93">
        <f t="shared" si="28"/>
        <v>1</v>
      </c>
      <c r="L640" s="93">
        <f t="shared" si="29"/>
        <v>0</v>
      </c>
      <c r="M640" s="93">
        <f t="shared" si="30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7.6382198580430352</v>
      </c>
      <c r="H641">
        <v>6.4926562499999999E-4</v>
      </c>
      <c r="I641">
        <v>-0.7752208452564352</v>
      </c>
      <c r="J641">
        <v>-5.0332424660844773E-4</v>
      </c>
      <c r="K641" s="93">
        <f t="shared" si="28"/>
        <v>1</v>
      </c>
      <c r="L641" s="93">
        <f t="shared" si="29"/>
        <v>0</v>
      </c>
      <c r="M641" s="93">
        <f t="shared" si="30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22.914659574129047</v>
      </c>
      <c r="H642">
        <v>1.3706718749999997E-3</v>
      </c>
      <c r="I642">
        <v>-0.46588242395356971</v>
      </c>
      <c r="J642">
        <v>-6.3857193556998422E-4</v>
      </c>
      <c r="K642" s="93">
        <f t="shared" si="28"/>
        <v>1</v>
      </c>
      <c r="L642" s="93">
        <f t="shared" si="29"/>
        <v>0</v>
      </c>
      <c r="M642" s="93">
        <f t="shared" si="30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34.371989361193634</v>
      </c>
      <c r="H643">
        <v>8.6568749999999992E-4</v>
      </c>
      <c r="I643">
        <v>-0.31799075189805043</v>
      </c>
      <c r="J643">
        <v>-2.7528061903374352E-4</v>
      </c>
      <c r="K643" s="93">
        <f t="shared" ref="K643:K706" si="31">IF(A643=3,1,0)</f>
        <v>1</v>
      </c>
      <c r="L643" s="93">
        <f t="shared" ref="L643:L706" si="32">IF(A643=2,1,0)</f>
        <v>0</v>
      </c>
      <c r="M643" s="93">
        <f t="shared" ref="M643:M706" si="33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3.819109929021486</v>
      </c>
      <c r="H644">
        <v>1.3706718749999997E-3</v>
      </c>
      <c r="I644">
        <v>-0.88046626582535048</v>
      </c>
      <c r="J644">
        <v>-1.2068303474530814E-3</v>
      </c>
      <c r="K644" s="93">
        <f t="shared" si="31"/>
        <v>1</v>
      </c>
      <c r="L644" s="93">
        <f t="shared" si="32"/>
        <v>0</v>
      </c>
      <c r="M644" s="93">
        <f t="shared" si="33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19.09554964510756</v>
      </c>
      <c r="H645">
        <v>2.8936406249999991E-3</v>
      </c>
      <c r="I645">
        <v>-0.52913148639130514</v>
      </c>
      <c r="J645">
        <v>-1.5311163649885148E-3</v>
      </c>
      <c r="K645" s="93">
        <f t="shared" si="31"/>
        <v>1</v>
      </c>
      <c r="L645" s="93">
        <f t="shared" si="32"/>
        <v>0</v>
      </c>
      <c r="M645" s="93">
        <f t="shared" si="33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30.552879432172077</v>
      </c>
      <c r="H646">
        <v>1.8275624999999993E-3</v>
      </c>
      <c r="I646">
        <v>-0.36116176648740328</v>
      </c>
      <c r="J646">
        <v>-6.6004570086613471E-4</v>
      </c>
      <c r="K646" s="93">
        <f t="shared" si="31"/>
        <v>1</v>
      </c>
      <c r="L646" s="93">
        <f t="shared" si="32"/>
        <v>0</v>
      </c>
      <c r="M646" s="93">
        <f t="shared" si="33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8.6568749999999992E-4</v>
      </c>
      <c r="I647">
        <v>-1</v>
      </c>
      <c r="J647">
        <v>-8.6568749999999992E-4</v>
      </c>
      <c r="K647" s="93">
        <f t="shared" si="31"/>
        <v>1</v>
      </c>
      <c r="L647" s="93">
        <f t="shared" si="32"/>
        <v>0</v>
      </c>
      <c r="M647" s="93">
        <f t="shared" si="33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15.27643971608607</v>
      </c>
      <c r="H648">
        <v>1.8275624999999995E-3</v>
      </c>
      <c r="I648">
        <v>-0.60096735892010189</v>
      </c>
      <c r="J648">
        <v>-1.0983054088864184E-3</v>
      </c>
      <c r="K648" s="93">
        <f t="shared" si="31"/>
        <v>1</v>
      </c>
      <c r="L648" s="93">
        <f t="shared" si="32"/>
        <v>0</v>
      </c>
      <c r="M648" s="93">
        <f t="shared" si="33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26.733769503150594</v>
      </c>
      <c r="H649">
        <v>1.1542499999999997E-3</v>
      </c>
      <c r="I649">
        <v>-0.4101937581320616</v>
      </c>
      <c r="J649">
        <v>-4.7346614532393195E-4</v>
      </c>
      <c r="K649" s="93">
        <f t="shared" si="31"/>
        <v>1</v>
      </c>
      <c r="L649" s="93">
        <f t="shared" si="32"/>
        <v>0</v>
      </c>
      <c r="M649" s="93">
        <f t="shared" si="33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7.3891626049566161</v>
      </c>
      <c r="H650">
        <v>2.3066015625000002E-4</v>
      </c>
      <c r="I650">
        <v>-0.78168344657606847</v>
      </c>
      <c r="J650">
        <v>-1.8030322592527449E-4</v>
      </c>
      <c r="K650" s="93">
        <f t="shared" si="31"/>
        <v>1</v>
      </c>
      <c r="L650" s="93">
        <f t="shared" si="32"/>
        <v>0</v>
      </c>
      <c r="M650" s="93">
        <f t="shared" si="33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22.167487814869794</v>
      </c>
      <c r="H651">
        <v>4.8694921874999997E-4</v>
      </c>
      <c r="I651">
        <v>-0.47763126300367215</v>
      </c>
      <c r="J651">
        <v>-2.3258217037021393E-4</v>
      </c>
      <c r="K651" s="93">
        <f t="shared" si="31"/>
        <v>1</v>
      </c>
      <c r="L651" s="93">
        <f t="shared" si="32"/>
        <v>0</v>
      </c>
      <c r="M651" s="93">
        <f t="shared" si="33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33.25123172230473</v>
      </c>
      <c r="H652">
        <v>3.0754687499999999E-4</v>
      </c>
      <c r="I652">
        <v>-0.33009513085608405</v>
      </c>
      <c r="J652">
        <v>-1.0151972594750472E-4</v>
      </c>
      <c r="K652" s="93">
        <f t="shared" si="31"/>
        <v>1</v>
      </c>
      <c r="L652" s="93">
        <f t="shared" si="32"/>
        <v>0</v>
      </c>
      <c r="M652" s="93">
        <f t="shared" si="33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3.6945813024782841</v>
      </c>
      <c r="H653">
        <v>4.8694921874999997E-4</v>
      </c>
      <c r="I653">
        <v>-0.88412863689401544</v>
      </c>
      <c r="J653">
        <v>-4.3052574901004324E-4</v>
      </c>
      <c r="K653" s="93">
        <f t="shared" si="31"/>
        <v>1</v>
      </c>
      <c r="L653" s="93">
        <f t="shared" si="32"/>
        <v>0</v>
      </c>
      <c r="M653" s="93">
        <f t="shared" si="33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18.472906512391507</v>
      </c>
      <c r="H654">
        <v>1.0280039062499999E-3</v>
      </c>
      <c r="I654">
        <v>-0.5402282462896042</v>
      </c>
      <c r="J654">
        <v>-5.5535674745230015E-4</v>
      </c>
      <c r="K654" s="93">
        <f t="shared" si="31"/>
        <v>1</v>
      </c>
      <c r="L654" s="93">
        <f t="shared" si="32"/>
        <v>0</v>
      </c>
      <c r="M654" s="93">
        <f t="shared" si="33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29.556650419826404</v>
      </c>
      <c r="H655">
        <v>6.4926562499999999E-4</v>
      </c>
      <c r="I655">
        <v>-0.37335645185719118</v>
      </c>
      <c r="J655">
        <v>-2.4240751006284164E-4</v>
      </c>
      <c r="K655" s="93">
        <f t="shared" si="31"/>
        <v>1</v>
      </c>
      <c r="L655" s="93">
        <f t="shared" si="32"/>
        <v>0</v>
      </c>
      <c r="M655" s="93">
        <f t="shared" si="33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3.0754687500000004E-4</v>
      </c>
      <c r="I656">
        <v>-1</v>
      </c>
      <c r="J656">
        <v>-3.0754687500000004E-4</v>
      </c>
      <c r="K656" s="93">
        <f t="shared" si="31"/>
        <v>1</v>
      </c>
      <c r="L656" s="93">
        <f t="shared" si="32"/>
        <v>0</v>
      </c>
      <c r="M656" s="93">
        <f t="shared" si="33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14.778325209913223</v>
      </c>
      <c r="H657">
        <v>6.4926562499999999E-4</v>
      </c>
      <c r="I657">
        <v>-0.61102901065104154</v>
      </c>
      <c r="J657">
        <v>-3.9672013249348015E-4</v>
      </c>
      <c r="K657" s="93">
        <f t="shared" si="31"/>
        <v>1</v>
      </c>
      <c r="L657" s="93">
        <f t="shared" si="32"/>
        <v>0</v>
      </c>
      <c r="M657" s="93">
        <f t="shared" si="33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25.862069117348113</v>
      </c>
      <c r="H658">
        <v>4.100625E-4</v>
      </c>
      <c r="I658">
        <v>-0.42228747749740314</v>
      </c>
      <c r="J658">
        <v>-1.7316425874127887E-4</v>
      </c>
      <c r="K658" s="93">
        <f t="shared" si="31"/>
        <v>1</v>
      </c>
      <c r="L658" s="93">
        <f t="shared" si="32"/>
        <v>0</v>
      </c>
      <c r="M658" s="93">
        <f t="shared" si="33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7.3891626049566161</v>
      </c>
      <c r="H659">
        <v>4.8694921875000008E-4</v>
      </c>
      <c r="I659">
        <v>-0.78168344657606847</v>
      </c>
      <c r="J659">
        <v>-3.8064014362002398E-4</v>
      </c>
      <c r="K659" s="93">
        <f t="shared" si="31"/>
        <v>1</v>
      </c>
      <c r="L659" s="93">
        <f t="shared" si="32"/>
        <v>0</v>
      </c>
      <c r="M659" s="93">
        <f t="shared" si="33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22.167487814869794</v>
      </c>
      <c r="H660">
        <v>1.0280039062500002E-3</v>
      </c>
      <c r="I660">
        <v>-0.47763126300367215</v>
      </c>
      <c r="J660">
        <v>-4.9100680411489619E-4</v>
      </c>
      <c r="K660" s="93">
        <f t="shared" si="31"/>
        <v>1</v>
      </c>
      <c r="L660" s="93">
        <f t="shared" si="32"/>
        <v>0</v>
      </c>
      <c r="M660" s="93">
        <f t="shared" si="33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33.25123172230473</v>
      </c>
      <c r="H661">
        <v>6.492656250000001E-4</v>
      </c>
      <c r="I661">
        <v>-0.33009513085608405</v>
      </c>
      <c r="J661">
        <v>-2.1431942144473223E-4</v>
      </c>
      <c r="K661" s="93">
        <f t="shared" si="31"/>
        <v>1</v>
      </c>
      <c r="L661" s="93">
        <f t="shared" si="32"/>
        <v>0</v>
      </c>
      <c r="M661" s="93">
        <f t="shared" si="33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3.6945813024782841</v>
      </c>
      <c r="H662">
        <v>1.0280039062499999E-3</v>
      </c>
      <c r="I662">
        <v>-0.88412863689401544</v>
      </c>
      <c r="J662">
        <v>-9.0888769235453572E-4</v>
      </c>
      <c r="K662" s="93">
        <f t="shared" si="31"/>
        <v>1</v>
      </c>
      <c r="L662" s="93">
        <f t="shared" si="32"/>
        <v>0</v>
      </c>
      <c r="M662" s="93">
        <f t="shared" si="33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18.472906512391507</v>
      </c>
      <c r="H663">
        <v>2.1702304687499997E-3</v>
      </c>
      <c r="I663">
        <v>-0.5402282462896042</v>
      </c>
      <c r="J663">
        <v>-1.1724198001770781E-3</v>
      </c>
      <c r="K663" s="93">
        <f t="shared" si="31"/>
        <v>1</v>
      </c>
      <c r="L663" s="93">
        <f t="shared" si="32"/>
        <v>0</v>
      </c>
      <c r="M663" s="93">
        <f t="shared" si="33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29.556650419826404</v>
      </c>
      <c r="H664">
        <v>1.3706718749999999E-3</v>
      </c>
      <c r="I664">
        <v>-0.37335645185719118</v>
      </c>
      <c r="J664">
        <v>-5.1174918791044343E-4</v>
      </c>
      <c r="K664" s="93">
        <f t="shared" si="31"/>
        <v>1</v>
      </c>
      <c r="L664" s="93">
        <f t="shared" si="32"/>
        <v>0</v>
      </c>
      <c r="M664" s="93">
        <f t="shared" si="33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6.492656250000001E-4</v>
      </c>
      <c r="I665">
        <v>-1</v>
      </c>
      <c r="J665">
        <v>-6.492656250000001E-4</v>
      </c>
      <c r="K665" s="93">
        <f t="shared" si="31"/>
        <v>1</v>
      </c>
      <c r="L665" s="93">
        <f t="shared" si="32"/>
        <v>0</v>
      </c>
      <c r="M665" s="93">
        <f t="shared" si="33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14.778325209913223</v>
      </c>
      <c r="H666">
        <v>1.3706718749999999E-3</v>
      </c>
      <c r="I666">
        <v>-0.61102901065104154</v>
      </c>
      <c r="J666">
        <v>-8.3752027970845802E-4</v>
      </c>
      <c r="K666" s="93">
        <f t="shared" si="31"/>
        <v>1</v>
      </c>
      <c r="L666" s="93">
        <f t="shared" si="32"/>
        <v>0</v>
      </c>
      <c r="M666" s="93">
        <f t="shared" si="33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25.862069117348113</v>
      </c>
      <c r="H667">
        <v>8.6568750000000003E-4</v>
      </c>
      <c r="I667">
        <v>-0.42228747749740314</v>
      </c>
      <c r="J667">
        <v>-3.6556899067603321E-4</v>
      </c>
      <c r="K667" s="93">
        <f t="shared" si="31"/>
        <v>1</v>
      </c>
      <c r="L667" s="93">
        <f t="shared" si="32"/>
        <v>0</v>
      </c>
      <c r="M667" s="93">
        <f t="shared" si="33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7.3891626049566161</v>
      </c>
      <c r="H668">
        <v>3.0754687500000004E-4</v>
      </c>
      <c r="I668">
        <v>-0.78168344657606847</v>
      </c>
      <c r="J668">
        <v>-2.4040430123369933E-4</v>
      </c>
      <c r="K668" s="93">
        <f t="shared" si="31"/>
        <v>1</v>
      </c>
      <c r="L668" s="93">
        <f t="shared" si="32"/>
        <v>0</v>
      </c>
      <c r="M668" s="93">
        <f t="shared" si="33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22.167487814869794</v>
      </c>
      <c r="H669">
        <v>6.4926562499999999E-4</v>
      </c>
      <c r="I669">
        <v>-0.47763126300367215</v>
      </c>
      <c r="J669">
        <v>-3.1010956049361857E-4</v>
      </c>
      <c r="K669" s="93">
        <f t="shared" si="31"/>
        <v>1</v>
      </c>
      <c r="L669" s="93">
        <f t="shared" si="32"/>
        <v>0</v>
      </c>
      <c r="M669" s="93">
        <f t="shared" si="33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33.25123172230473</v>
      </c>
      <c r="H670">
        <v>4.100625E-4</v>
      </c>
      <c r="I670">
        <v>-0.33009513085608405</v>
      </c>
      <c r="J670">
        <v>-1.3535963459667297E-4</v>
      </c>
      <c r="K670" s="93">
        <f t="shared" si="31"/>
        <v>1</v>
      </c>
      <c r="L670" s="93">
        <f t="shared" si="32"/>
        <v>0</v>
      </c>
      <c r="M670" s="93">
        <f t="shared" si="33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3.6945813024782841</v>
      </c>
      <c r="H671">
        <v>6.4926562499999999E-4</v>
      </c>
      <c r="I671">
        <v>-0.88412863689401544</v>
      </c>
      <c r="J671">
        <v>-5.7403433201339102E-4</v>
      </c>
      <c r="K671" s="93">
        <f t="shared" si="31"/>
        <v>1</v>
      </c>
      <c r="L671" s="93">
        <f t="shared" si="32"/>
        <v>0</v>
      </c>
      <c r="M671" s="93">
        <f t="shared" si="33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18.472906512391507</v>
      </c>
      <c r="H672">
        <v>1.3706718749999997E-3</v>
      </c>
      <c r="I672">
        <v>-0.5402282462896042</v>
      </c>
      <c r="J672">
        <v>-7.4047566326973339E-4</v>
      </c>
      <c r="K672" s="93">
        <f t="shared" si="31"/>
        <v>1</v>
      </c>
      <c r="L672" s="93">
        <f t="shared" si="32"/>
        <v>0</v>
      </c>
      <c r="M672" s="93">
        <f t="shared" si="33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29.556650419826404</v>
      </c>
      <c r="H673">
        <v>8.6568749999999992E-4</v>
      </c>
      <c r="I673">
        <v>-0.37335645185719118</v>
      </c>
      <c r="J673">
        <v>-3.2321001341712217E-4</v>
      </c>
      <c r="K673" s="93">
        <f t="shared" si="31"/>
        <v>1</v>
      </c>
      <c r="L673" s="93">
        <f t="shared" si="32"/>
        <v>0</v>
      </c>
      <c r="M673" s="93">
        <f t="shared" si="33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4.100625E-4</v>
      </c>
      <c r="I674">
        <v>-1</v>
      </c>
      <c r="J674">
        <v>-4.100625E-4</v>
      </c>
      <c r="K674" s="93">
        <f t="shared" si="31"/>
        <v>1</v>
      </c>
      <c r="L674" s="93">
        <f t="shared" si="32"/>
        <v>0</v>
      </c>
      <c r="M674" s="93">
        <f t="shared" si="33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14.778325209913223</v>
      </c>
      <c r="H675">
        <v>8.6568749999999992E-4</v>
      </c>
      <c r="I675">
        <v>-0.61102901065104154</v>
      </c>
      <c r="J675">
        <v>-5.2896017665797349E-4</v>
      </c>
      <c r="K675" s="93">
        <f t="shared" si="31"/>
        <v>1</v>
      </c>
      <c r="L675" s="93">
        <f t="shared" si="32"/>
        <v>0</v>
      </c>
      <c r="M675" s="93">
        <f t="shared" si="33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25.862069117348113</v>
      </c>
      <c r="H676">
        <v>5.4674999999999993E-4</v>
      </c>
      <c r="I676">
        <v>-0.42228747749740314</v>
      </c>
      <c r="J676">
        <v>-2.3088567832170513E-4</v>
      </c>
      <c r="K676" s="93">
        <f t="shared" si="31"/>
        <v>1</v>
      </c>
      <c r="L676" s="93">
        <f t="shared" si="32"/>
        <v>0</v>
      </c>
      <c r="M676" s="93">
        <f t="shared" si="33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7.6382198580430352</v>
      </c>
      <c r="H677">
        <v>4.8694921874999997E-4</v>
      </c>
      <c r="I677">
        <v>-0.7752208452564352</v>
      </c>
      <c r="J677">
        <v>-3.7749318495633574E-4</v>
      </c>
      <c r="K677" s="93">
        <f t="shared" si="31"/>
        <v>1</v>
      </c>
      <c r="L677" s="93">
        <f t="shared" si="32"/>
        <v>0</v>
      </c>
      <c r="M677" s="93">
        <f t="shared" si="33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22.914659574129047</v>
      </c>
      <c r="H678">
        <v>1.0280039062499999E-3</v>
      </c>
      <c r="I678">
        <v>-0.46588242395356971</v>
      </c>
      <c r="J678">
        <v>-4.7892895167748822E-4</v>
      </c>
      <c r="K678" s="93">
        <f t="shared" si="31"/>
        <v>1</v>
      </c>
      <c r="L678" s="93">
        <f t="shared" si="32"/>
        <v>0</v>
      </c>
      <c r="M678" s="93">
        <f t="shared" si="33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34.371989361193634</v>
      </c>
      <c r="H679">
        <v>6.4926562499999999E-4</v>
      </c>
      <c r="I679">
        <v>-0.31799075189805043</v>
      </c>
      <c r="J679">
        <v>-2.0646046427530765E-4</v>
      </c>
      <c r="K679" s="93">
        <f t="shared" si="31"/>
        <v>1</v>
      </c>
      <c r="L679" s="93">
        <f t="shared" si="32"/>
        <v>0</v>
      </c>
      <c r="M679" s="93">
        <f t="shared" si="33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3.819109929021486</v>
      </c>
      <c r="H680">
        <v>1.0280039062499999E-3</v>
      </c>
      <c r="I680">
        <v>-0.88046626582535048</v>
      </c>
      <c r="J680">
        <v>-9.0512276058981114E-4</v>
      </c>
      <c r="K680" s="93">
        <f t="shared" si="31"/>
        <v>1</v>
      </c>
      <c r="L680" s="93">
        <f t="shared" si="32"/>
        <v>0</v>
      </c>
      <c r="M680" s="93">
        <f t="shared" si="33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19.09554964510756</v>
      </c>
      <c r="H681">
        <v>2.1702304687499993E-3</v>
      </c>
      <c r="I681">
        <v>-0.52913148639130514</v>
      </c>
      <c r="J681">
        <v>-1.148337273741386E-3</v>
      </c>
      <c r="K681" s="93">
        <f t="shared" si="31"/>
        <v>1</v>
      </c>
      <c r="L681" s="93">
        <f t="shared" si="32"/>
        <v>0</v>
      </c>
      <c r="M681" s="93">
        <f t="shared" si="33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30.552879432172077</v>
      </c>
      <c r="H682">
        <v>1.3706718749999997E-3</v>
      </c>
      <c r="I682">
        <v>-0.36116176648740328</v>
      </c>
      <c r="J682">
        <v>-4.9503427564960112E-4</v>
      </c>
      <c r="K682" s="93">
        <f t="shared" si="31"/>
        <v>1</v>
      </c>
      <c r="L682" s="93">
        <f t="shared" si="32"/>
        <v>0</v>
      </c>
      <c r="M682" s="93">
        <f t="shared" si="33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6.4926562499999999E-4</v>
      </c>
      <c r="I683">
        <v>-1</v>
      </c>
      <c r="J683">
        <v>-6.4926562499999999E-4</v>
      </c>
      <c r="K683" s="93">
        <f t="shared" si="31"/>
        <v>1</v>
      </c>
      <c r="L683" s="93">
        <f t="shared" si="32"/>
        <v>0</v>
      </c>
      <c r="M683" s="93">
        <f t="shared" si="33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15.27643971608607</v>
      </c>
      <c r="H684">
        <v>1.3706718749999997E-3</v>
      </c>
      <c r="I684">
        <v>-0.60096735892010189</v>
      </c>
      <c r="J684">
        <v>-8.2372905666481383E-4</v>
      </c>
      <c r="K684" s="93">
        <f t="shared" si="31"/>
        <v>1</v>
      </c>
      <c r="L684" s="93">
        <f t="shared" si="32"/>
        <v>0</v>
      </c>
      <c r="M684" s="93">
        <f t="shared" si="33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26.733769503150594</v>
      </c>
      <c r="H685">
        <v>8.6568749999999992E-4</v>
      </c>
      <c r="I685">
        <v>-0.4101937581320616</v>
      </c>
      <c r="J685">
        <v>-3.5509960899294906E-4</v>
      </c>
      <c r="K685" s="93">
        <f t="shared" si="31"/>
        <v>1</v>
      </c>
      <c r="L685" s="93">
        <f t="shared" si="32"/>
        <v>0</v>
      </c>
      <c r="M685" s="93">
        <f t="shared" si="33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7.6382198580430352</v>
      </c>
      <c r="H686">
        <v>1.0280039062499999E-3</v>
      </c>
      <c r="I686">
        <v>-0.7752208452564352</v>
      </c>
      <c r="J686">
        <v>-7.9693005713004207E-4</v>
      </c>
      <c r="K686" s="93">
        <f t="shared" si="31"/>
        <v>1</v>
      </c>
      <c r="L686" s="93">
        <f t="shared" si="32"/>
        <v>0</v>
      </c>
      <c r="M686" s="93">
        <f t="shared" si="33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22.914659574129047</v>
      </c>
      <c r="H687">
        <v>2.1702304687499997E-3</v>
      </c>
      <c r="I687">
        <v>-0.46588242395356971</v>
      </c>
      <c r="J687">
        <v>-1.0110722313191418E-3</v>
      </c>
      <c r="K687" s="93">
        <f t="shared" si="31"/>
        <v>1</v>
      </c>
      <c r="L687" s="93">
        <f t="shared" si="32"/>
        <v>0</v>
      </c>
      <c r="M687" s="93">
        <f t="shared" si="33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34.371989361193634</v>
      </c>
      <c r="H688">
        <v>1.3706718749999999E-3</v>
      </c>
      <c r="I688">
        <v>-0.31799075189805043</v>
      </c>
      <c r="J688">
        <v>-4.3586098013676059E-4</v>
      </c>
      <c r="K688" s="93">
        <f t="shared" si="31"/>
        <v>1</v>
      </c>
      <c r="L688" s="93">
        <f t="shared" si="32"/>
        <v>0</v>
      </c>
      <c r="M688" s="93">
        <f t="shared" si="33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3.819109929021486</v>
      </c>
      <c r="H689">
        <v>2.1702304687499997E-3</v>
      </c>
      <c r="I689">
        <v>-0.88046626582535048</v>
      </c>
      <c r="J689">
        <v>-1.9108147168007121E-3</v>
      </c>
      <c r="K689" s="93">
        <f t="shared" si="31"/>
        <v>1</v>
      </c>
      <c r="L689" s="93">
        <f t="shared" si="32"/>
        <v>0</v>
      </c>
      <c r="M689" s="93">
        <f t="shared" si="33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19.09554964510756</v>
      </c>
      <c r="H690">
        <v>4.5815976562499994E-3</v>
      </c>
      <c r="I690">
        <v>-0.52913148639130514</v>
      </c>
      <c r="J690">
        <v>-2.424267577898482E-3</v>
      </c>
      <c r="K690" s="93">
        <f t="shared" si="31"/>
        <v>1</v>
      </c>
      <c r="L690" s="93">
        <f t="shared" si="32"/>
        <v>0</v>
      </c>
      <c r="M690" s="93">
        <f t="shared" si="33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30.552879432172077</v>
      </c>
      <c r="H691">
        <v>2.8936406249999995E-3</v>
      </c>
      <c r="I691">
        <v>-0.36116176648740328</v>
      </c>
      <c r="J691">
        <v>-1.0450723597047135E-3</v>
      </c>
      <c r="K691" s="93">
        <f t="shared" si="31"/>
        <v>1</v>
      </c>
      <c r="L691" s="93">
        <f t="shared" si="32"/>
        <v>0</v>
      </c>
      <c r="M691" s="93">
        <f t="shared" si="33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1.3706718749999999E-3</v>
      </c>
      <c r="I692">
        <v>-1</v>
      </c>
      <c r="J692">
        <v>-1.3706718749999999E-3</v>
      </c>
      <c r="K692" s="93">
        <f t="shared" si="31"/>
        <v>1</v>
      </c>
      <c r="L692" s="93">
        <f t="shared" si="32"/>
        <v>0</v>
      </c>
      <c r="M692" s="93">
        <f t="shared" si="33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15.27643971608607</v>
      </c>
      <c r="H693">
        <v>2.8936406249999995E-3</v>
      </c>
      <c r="I693">
        <v>-0.60096735892010189</v>
      </c>
      <c r="J693">
        <v>-1.7389835640701627E-3</v>
      </c>
      <c r="K693" s="93">
        <f t="shared" si="31"/>
        <v>1</v>
      </c>
      <c r="L693" s="93">
        <f t="shared" si="32"/>
        <v>0</v>
      </c>
      <c r="M693" s="93">
        <f t="shared" si="33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26.733769503150594</v>
      </c>
      <c r="H694">
        <v>1.8275624999999998E-3</v>
      </c>
      <c r="I694">
        <v>-0.4101937581320616</v>
      </c>
      <c r="J694">
        <v>-7.4965473009622576E-4</v>
      </c>
      <c r="K694" s="93">
        <f t="shared" si="31"/>
        <v>1</v>
      </c>
      <c r="L694" s="93">
        <f t="shared" si="32"/>
        <v>0</v>
      </c>
      <c r="M694" s="93">
        <f t="shared" si="33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7.6382198580430352</v>
      </c>
      <c r="H695">
        <v>6.4926562499999999E-4</v>
      </c>
      <c r="I695">
        <v>-0.7752208452564352</v>
      </c>
      <c r="J695">
        <v>-5.0332424660844773E-4</v>
      </c>
      <c r="K695" s="93">
        <f t="shared" si="31"/>
        <v>1</v>
      </c>
      <c r="L695" s="93">
        <f t="shared" si="32"/>
        <v>0</v>
      </c>
      <c r="M695" s="93">
        <f t="shared" si="33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22.914659574129047</v>
      </c>
      <c r="H696">
        <v>1.3706718749999997E-3</v>
      </c>
      <c r="I696">
        <v>-0.46588242395356971</v>
      </c>
      <c r="J696">
        <v>-6.3857193556998422E-4</v>
      </c>
      <c r="K696" s="93">
        <f t="shared" si="31"/>
        <v>1</v>
      </c>
      <c r="L696" s="93">
        <f t="shared" si="32"/>
        <v>0</v>
      </c>
      <c r="M696" s="93">
        <f t="shared" si="33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34.371989361193634</v>
      </c>
      <c r="H697">
        <v>8.6568749999999992E-4</v>
      </c>
      <c r="I697">
        <v>-0.31799075189805043</v>
      </c>
      <c r="J697">
        <v>-2.7528061903374352E-4</v>
      </c>
      <c r="K697" s="93">
        <f t="shared" si="31"/>
        <v>1</v>
      </c>
      <c r="L697" s="93">
        <f t="shared" si="32"/>
        <v>0</v>
      </c>
      <c r="M697" s="93">
        <f t="shared" si="33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3.819109929021486</v>
      </c>
      <c r="H698">
        <v>1.3706718749999997E-3</v>
      </c>
      <c r="I698">
        <v>-0.88046626582535048</v>
      </c>
      <c r="J698">
        <v>-1.2068303474530814E-3</v>
      </c>
      <c r="K698" s="93">
        <f t="shared" si="31"/>
        <v>1</v>
      </c>
      <c r="L698" s="93">
        <f t="shared" si="32"/>
        <v>0</v>
      </c>
      <c r="M698" s="93">
        <f t="shared" si="33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19.09554964510756</v>
      </c>
      <c r="H699">
        <v>2.8936406249999991E-3</v>
      </c>
      <c r="I699">
        <v>-0.52913148639130514</v>
      </c>
      <c r="J699">
        <v>-1.5311163649885148E-3</v>
      </c>
      <c r="K699" s="93">
        <f t="shared" si="31"/>
        <v>1</v>
      </c>
      <c r="L699" s="93">
        <f t="shared" si="32"/>
        <v>0</v>
      </c>
      <c r="M699" s="93">
        <f t="shared" si="33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30.552879432172077</v>
      </c>
      <c r="H700">
        <v>1.8275624999999993E-3</v>
      </c>
      <c r="I700">
        <v>-0.36116176648740328</v>
      </c>
      <c r="J700">
        <v>-6.6004570086613471E-4</v>
      </c>
      <c r="K700" s="93">
        <f t="shared" si="31"/>
        <v>1</v>
      </c>
      <c r="L700" s="93">
        <f t="shared" si="32"/>
        <v>0</v>
      </c>
      <c r="M700" s="93">
        <f t="shared" si="33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8.6568749999999992E-4</v>
      </c>
      <c r="I701">
        <v>-1</v>
      </c>
      <c r="J701">
        <v>-8.6568749999999992E-4</v>
      </c>
      <c r="K701" s="93">
        <f t="shared" si="31"/>
        <v>1</v>
      </c>
      <c r="L701" s="93">
        <f t="shared" si="32"/>
        <v>0</v>
      </c>
      <c r="M701" s="93">
        <f t="shared" si="33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15.27643971608607</v>
      </c>
      <c r="H702">
        <v>1.8275624999999995E-3</v>
      </c>
      <c r="I702">
        <v>-0.60096735892010189</v>
      </c>
      <c r="J702">
        <v>-1.0983054088864184E-3</v>
      </c>
      <c r="K702" s="93">
        <f t="shared" si="31"/>
        <v>1</v>
      </c>
      <c r="L702" s="93">
        <f t="shared" si="32"/>
        <v>0</v>
      </c>
      <c r="M702" s="93">
        <f t="shared" si="33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26.733769503150594</v>
      </c>
      <c r="H703">
        <v>1.1542499999999997E-3</v>
      </c>
      <c r="I703">
        <v>-0.4101937581320616</v>
      </c>
      <c r="J703">
        <v>-4.7346614532393195E-4</v>
      </c>
      <c r="K703" s="93">
        <f t="shared" si="31"/>
        <v>1</v>
      </c>
      <c r="L703" s="93">
        <f t="shared" si="32"/>
        <v>0</v>
      </c>
      <c r="M703" s="93">
        <f t="shared" si="33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7.6382198580430352</v>
      </c>
      <c r="H704">
        <v>3.0754687500000004E-4</v>
      </c>
      <c r="I704">
        <v>-0.7752208452564352</v>
      </c>
      <c r="J704">
        <v>-2.3841674839347526E-4</v>
      </c>
      <c r="K704" s="93">
        <f t="shared" si="31"/>
        <v>1</v>
      </c>
      <c r="L704" s="93">
        <f t="shared" si="32"/>
        <v>0</v>
      </c>
      <c r="M704" s="93">
        <f t="shared" si="33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22.914659574129047</v>
      </c>
      <c r="H705">
        <v>6.4926562499999999E-4</v>
      </c>
      <c r="I705">
        <v>-0.46588242395356971</v>
      </c>
      <c r="J705">
        <v>-3.0248144316472942E-4</v>
      </c>
      <c r="K705" s="93">
        <f t="shared" si="31"/>
        <v>1</v>
      </c>
      <c r="L705" s="93">
        <f t="shared" si="32"/>
        <v>0</v>
      </c>
      <c r="M705" s="93">
        <f t="shared" si="33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34.371989361193634</v>
      </c>
      <c r="H706">
        <v>4.100625E-4</v>
      </c>
      <c r="I706">
        <v>-0.31799075189805043</v>
      </c>
      <c r="J706">
        <v>-1.3039608270019431E-4</v>
      </c>
      <c r="K706" s="93">
        <f t="shared" si="31"/>
        <v>1</v>
      </c>
      <c r="L706" s="93">
        <f t="shared" si="32"/>
        <v>0</v>
      </c>
      <c r="M706" s="93">
        <f t="shared" si="33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3.819109929021486</v>
      </c>
      <c r="H707">
        <v>6.4926562499999999E-4</v>
      </c>
      <c r="I707">
        <v>-0.88046626582535048</v>
      </c>
      <c r="J707">
        <v>-5.7165648037251231E-4</v>
      </c>
      <c r="K707" s="93">
        <f t="shared" ref="K707:K730" si="34">IF(A707=3,1,0)</f>
        <v>1</v>
      </c>
      <c r="L707" s="93">
        <f t="shared" ref="L707:L730" si="35">IF(A707=2,1,0)</f>
        <v>0</v>
      </c>
      <c r="M707" s="93">
        <f t="shared" ref="M707:M730" si="36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19.09554964510756</v>
      </c>
      <c r="H708">
        <v>1.3706718749999997E-3</v>
      </c>
      <c r="I708">
        <v>-0.52913148639130514</v>
      </c>
      <c r="J708">
        <v>-7.2526564657350709E-4</v>
      </c>
      <c r="K708" s="93">
        <f t="shared" si="34"/>
        <v>1</v>
      </c>
      <c r="L708" s="93">
        <f t="shared" si="35"/>
        <v>0</v>
      </c>
      <c r="M708" s="93">
        <f t="shared" si="36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30.552879432172077</v>
      </c>
      <c r="H709">
        <v>8.6568749999999992E-4</v>
      </c>
      <c r="I709">
        <v>-0.36116176648740328</v>
      </c>
      <c r="J709">
        <v>-3.126532267260639E-4</v>
      </c>
      <c r="K709" s="93">
        <f t="shared" si="34"/>
        <v>1</v>
      </c>
      <c r="L709" s="93">
        <f t="shared" si="35"/>
        <v>0</v>
      </c>
      <c r="M709" s="93">
        <f t="shared" si="36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4.100625E-4</v>
      </c>
      <c r="I710">
        <v>-1</v>
      </c>
      <c r="J710">
        <v>-4.100625E-4</v>
      </c>
      <c r="K710" s="93">
        <f t="shared" si="34"/>
        <v>1</v>
      </c>
      <c r="L710" s="93">
        <f t="shared" si="35"/>
        <v>0</v>
      </c>
      <c r="M710" s="93">
        <f t="shared" si="36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15.27643971608607</v>
      </c>
      <c r="H711">
        <v>8.6568749999999992E-4</v>
      </c>
      <c r="I711">
        <v>-0.60096735892010189</v>
      </c>
      <c r="J711">
        <v>-5.2024993052514562E-4</v>
      </c>
      <c r="K711" s="93">
        <f t="shared" si="34"/>
        <v>1</v>
      </c>
      <c r="L711" s="93">
        <f t="shared" si="35"/>
        <v>0</v>
      </c>
      <c r="M711" s="93">
        <f t="shared" si="36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26.733769503150594</v>
      </c>
      <c r="H712">
        <v>5.4674999999999993E-4</v>
      </c>
      <c r="I712">
        <v>-0.4101937581320616</v>
      </c>
      <c r="J712">
        <v>-2.2427343725870465E-4</v>
      </c>
      <c r="K712" s="93">
        <f t="shared" si="34"/>
        <v>1</v>
      </c>
      <c r="L712" s="93">
        <f t="shared" si="35"/>
        <v>0</v>
      </c>
      <c r="M712" s="93">
        <f t="shared" si="36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7.6382198580430352</v>
      </c>
      <c r="H713">
        <v>6.492656250000001E-4</v>
      </c>
      <c r="I713">
        <v>-0.7752208452564352</v>
      </c>
      <c r="J713">
        <v>-5.0332424660844773E-4</v>
      </c>
      <c r="K713" s="93">
        <f t="shared" si="34"/>
        <v>1</v>
      </c>
      <c r="L713" s="93">
        <f t="shared" si="35"/>
        <v>0</v>
      </c>
      <c r="M713" s="93">
        <f t="shared" si="36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22.914659574129047</v>
      </c>
      <c r="H714">
        <v>1.3706718749999999E-3</v>
      </c>
      <c r="I714">
        <v>-0.46588242395356971</v>
      </c>
      <c r="J714">
        <v>-6.3857193556998433E-4</v>
      </c>
      <c r="K714" s="93">
        <f t="shared" si="34"/>
        <v>1</v>
      </c>
      <c r="L714" s="93">
        <f t="shared" si="35"/>
        <v>0</v>
      </c>
      <c r="M714" s="93">
        <f t="shared" si="36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34.371989361193634</v>
      </c>
      <c r="H715">
        <v>8.6568750000000003E-4</v>
      </c>
      <c r="I715">
        <v>-0.31799075189805043</v>
      </c>
      <c r="J715">
        <v>-2.7528061903374352E-4</v>
      </c>
      <c r="K715" s="93">
        <f t="shared" si="34"/>
        <v>1</v>
      </c>
      <c r="L715" s="93">
        <f t="shared" si="35"/>
        <v>0</v>
      </c>
      <c r="M715" s="93">
        <f t="shared" si="36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3.819109929021486</v>
      </c>
      <c r="H716">
        <v>1.3706718749999999E-3</v>
      </c>
      <c r="I716">
        <v>-0.88046626582535048</v>
      </c>
      <c r="J716">
        <v>-1.2068303474530816E-3</v>
      </c>
      <c r="K716" s="93">
        <f t="shared" si="34"/>
        <v>1</v>
      </c>
      <c r="L716" s="93">
        <f t="shared" si="35"/>
        <v>0</v>
      </c>
      <c r="M716" s="93">
        <f t="shared" si="36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19.09554964510756</v>
      </c>
      <c r="H717">
        <v>2.8936406249999995E-3</v>
      </c>
      <c r="I717">
        <v>-0.52913148639130514</v>
      </c>
      <c r="J717">
        <v>-1.531116364988515E-3</v>
      </c>
      <c r="K717" s="93">
        <f t="shared" si="34"/>
        <v>1</v>
      </c>
      <c r="L717" s="93">
        <f t="shared" si="35"/>
        <v>0</v>
      </c>
      <c r="M717" s="93">
        <f t="shared" si="36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30.552879432172077</v>
      </c>
      <c r="H718">
        <v>1.8275624999999998E-3</v>
      </c>
      <c r="I718">
        <v>-0.36116176648740328</v>
      </c>
      <c r="J718">
        <v>-6.6004570086613482E-4</v>
      </c>
      <c r="K718" s="93">
        <f t="shared" si="34"/>
        <v>1</v>
      </c>
      <c r="L718" s="93">
        <f t="shared" si="35"/>
        <v>0</v>
      </c>
      <c r="M718" s="93">
        <f t="shared" si="36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8.6568749999999992E-4</v>
      </c>
      <c r="I719">
        <v>-1</v>
      </c>
      <c r="J719">
        <v>-8.6568749999999992E-4</v>
      </c>
      <c r="K719" s="93">
        <f t="shared" si="34"/>
        <v>1</v>
      </c>
      <c r="L719" s="93">
        <f t="shared" si="35"/>
        <v>0</v>
      </c>
      <c r="M719" s="93">
        <f t="shared" si="36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15.27643971608607</v>
      </c>
      <c r="H720">
        <v>1.8275624999999998E-3</v>
      </c>
      <c r="I720">
        <v>-0.60096735892010189</v>
      </c>
      <c r="J720">
        <v>-1.0983054088864186E-3</v>
      </c>
      <c r="K720" s="93">
        <f t="shared" si="34"/>
        <v>1</v>
      </c>
      <c r="L720" s="93">
        <f t="shared" si="35"/>
        <v>0</v>
      </c>
      <c r="M720" s="93">
        <f t="shared" si="36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26.733769503150594</v>
      </c>
      <c r="H721">
        <v>1.1542499999999999E-3</v>
      </c>
      <c r="I721">
        <v>-0.4101937581320616</v>
      </c>
      <c r="J721">
        <v>-4.7346614532393206E-4</v>
      </c>
      <c r="K721" s="93">
        <f t="shared" si="34"/>
        <v>1</v>
      </c>
      <c r="L721" s="93">
        <f t="shared" si="35"/>
        <v>0</v>
      </c>
      <c r="M721" s="93">
        <f t="shared" si="36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7.6382198580430352</v>
      </c>
      <c r="H722">
        <v>4.100625E-4</v>
      </c>
      <c r="I722">
        <v>-0.7752208452564352</v>
      </c>
      <c r="J722">
        <v>-3.1788899785796694E-4</v>
      </c>
      <c r="K722" s="93">
        <f t="shared" si="34"/>
        <v>1</v>
      </c>
      <c r="L722" s="93">
        <f t="shared" si="35"/>
        <v>0</v>
      </c>
      <c r="M722" s="93">
        <f t="shared" si="36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22.914659574129047</v>
      </c>
      <c r="H723">
        <v>8.6568749999999992E-4</v>
      </c>
      <c r="I723">
        <v>-0.46588242395356971</v>
      </c>
      <c r="J723">
        <v>-4.0330859088630582E-4</v>
      </c>
      <c r="K723" s="93">
        <f t="shared" si="34"/>
        <v>1</v>
      </c>
      <c r="L723" s="93">
        <f t="shared" si="35"/>
        <v>0</v>
      </c>
      <c r="M723" s="93">
        <f t="shared" si="36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34.371989361193634</v>
      </c>
      <c r="H724">
        <v>5.4674999999999993E-4</v>
      </c>
      <c r="I724">
        <v>-0.31799075189805043</v>
      </c>
      <c r="J724">
        <v>-1.7386144360025905E-4</v>
      </c>
      <c r="K724" s="93">
        <f t="shared" si="34"/>
        <v>1</v>
      </c>
      <c r="L724" s="93">
        <f t="shared" si="35"/>
        <v>0</v>
      </c>
      <c r="M724" s="93">
        <f t="shared" si="36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3.819109929021486</v>
      </c>
      <c r="H725">
        <v>8.6568749999999992E-4</v>
      </c>
      <c r="I725">
        <v>-0.88046626582535048</v>
      </c>
      <c r="J725">
        <v>-7.6220864049668304E-4</v>
      </c>
      <c r="K725" s="93">
        <f t="shared" si="34"/>
        <v>1</v>
      </c>
      <c r="L725" s="93">
        <f t="shared" si="35"/>
        <v>0</v>
      </c>
      <c r="M725" s="93">
        <f t="shared" si="36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19.09554964510756</v>
      </c>
      <c r="H726">
        <v>1.8275624999999998E-3</v>
      </c>
      <c r="I726">
        <v>-0.52913148639130514</v>
      </c>
      <c r="J726">
        <v>-9.6702086209800948E-4</v>
      </c>
      <c r="K726" s="93">
        <f t="shared" si="34"/>
        <v>1</v>
      </c>
      <c r="L726" s="93">
        <f t="shared" si="35"/>
        <v>0</v>
      </c>
      <c r="M726" s="93">
        <f t="shared" si="36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30.552879432172077</v>
      </c>
      <c r="H727">
        <v>1.1542499999999999E-3</v>
      </c>
      <c r="I727">
        <v>-0.36116176648740328</v>
      </c>
      <c r="J727">
        <v>-4.168709689680852E-4</v>
      </c>
      <c r="K727" s="93">
        <f t="shared" si="34"/>
        <v>1</v>
      </c>
      <c r="L727" s="93">
        <f t="shared" si="35"/>
        <v>0</v>
      </c>
      <c r="M727" s="93">
        <f t="shared" si="36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5.4675000000000004E-4</v>
      </c>
      <c r="I728">
        <v>-1</v>
      </c>
      <c r="J728">
        <v>-5.4675000000000004E-4</v>
      </c>
      <c r="K728" s="93">
        <f t="shared" si="34"/>
        <v>1</v>
      </c>
      <c r="L728" s="93">
        <f t="shared" si="35"/>
        <v>0</v>
      </c>
      <c r="M728" s="93">
        <f t="shared" si="36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15.27643971608607</v>
      </c>
      <c r="H729">
        <v>1.1542499999999999E-3</v>
      </c>
      <c r="I729">
        <v>-0.60096735892010189</v>
      </c>
      <c r="J729">
        <v>-6.9366657403352754E-4</v>
      </c>
      <c r="K729" s="93">
        <f t="shared" si="34"/>
        <v>1</v>
      </c>
      <c r="L729" s="93">
        <f t="shared" si="35"/>
        <v>0</v>
      </c>
      <c r="M729" s="93">
        <f t="shared" si="36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26.733769503150594</v>
      </c>
      <c r="H730">
        <v>7.2899999999999994E-4</v>
      </c>
      <c r="I730">
        <v>-0.4101937581320616</v>
      </c>
      <c r="J730">
        <v>-2.9903124967827291E-4</v>
      </c>
      <c r="K730" s="93">
        <f t="shared" si="34"/>
        <v>1</v>
      </c>
      <c r="L730" s="93">
        <f t="shared" si="35"/>
        <v>0</v>
      </c>
      <c r="M730" s="93">
        <f t="shared" si="36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730"/>
  <sheetViews>
    <sheetView workbookViewId="0">
      <selection activeCell="N2" sqref="N2"/>
    </sheetView>
  </sheetViews>
  <sheetFormatPr defaultRowHeight="14.25" x14ac:dyDescent="0.45"/>
  <sheetData>
    <row r="1" spans="1:19" x14ac:dyDescent="0.45">
      <c r="G1" t="s">
        <v>84</v>
      </c>
      <c r="H1" t="s">
        <v>75</v>
      </c>
      <c r="I1" t="s">
        <v>87</v>
      </c>
      <c r="J1" t="s">
        <v>88</v>
      </c>
      <c r="K1" s="93" t="s">
        <v>89</v>
      </c>
      <c r="L1" s="93" t="s">
        <v>91</v>
      </c>
      <c r="M1" s="93" t="s">
        <v>90</v>
      </c>
      <c r="N1" s="93" t="s">
        <v>89</v>
      </c>
      <c r="O1" s="93" t="s">
        <v>91</v>
      </c>
      <c r="P1" s="93" t="s">
        <v>90</v>
      </c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1.4154049494841852</v>
      </c>
      <c r="H2">
        <v>1.2974633789062504E-4</v>
      </c>
      <c r="I2">
        <v>-0.95391551993442103</v>
      </c>
      <c r="J2">
        <v>-1.2376704536852266E-4</v>
      </c>
      <c r="K2" s="93">
        <f>IF(A2=3,1,0)</f>
        <v>0</v>
      </c>
      <c r="L2" s="93">
        <f>IF(A2=2,1,0)</f>
        <v>0</v>
      </c>
      <c r="M2" s="93">
        <f>IF(A2=1,1,0)</f>
        <v>1</v>
      </c>
      <c r="N2">
        <f>SUMPRODUCT($G$2:$G$730,$H$2:$H$730,K2:K730)</f>
        <v>4.7456364723917899</v>
      </c>
      <c r="O2">
        <f>SUMPRODUCT($G$2:$G$730,$H$2:$H$730,L2:L730)</f>
        <v>3.4171684357036471</v>
      </c>
      <c r="P2">
        <f t="shared" ref="P2" si="0">SUMPRODUCT($G$2:$G$730,$H$2:$H$730,M2:M730)</f>
        <v>0.6485037902870957</v>
      </c>
      <c r="R2" s="94" t="s">
        <v>86</v>
      </c>
      <c r="S2" s="94">
        <f>SUM(J2:J730)</f>
        <v>-0.75745821094300025</v>
      </c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1.5605746878928177</v>
      </c>
      <c r="H3">
        <v>2.7390893554687506E-4</v>
      </c>
      <c r="I3">
        <v>-0.94931068142353658</v>
      </c>
      <c r="J3">
        <v>-2.6002467825199952E-4</v>
      </c>
      <c r="K3" s="93">
        <f t="shared" ref="K3:K66" si="1">IF(A3=3,1,0)</f>
        <v>0</v>
      </c>
      <c r="L3" s="93">
        <f t="shared" ref="L3:L66" si="2">IF(A3=2,1,0)</f>
        <v>0</v>
      </c>
      <c r="M3" s="93">
        <f t="shared" ref="M3:M66" si="3">IF(A3=1,1,0)</f>
        <v>1</v>
      </c>
      <c r="R3" s="94"/>
      <c r="S3" s="94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1.6694519916992943</v>
      </c>
      <c r="H4">
        <v>1.7299511718750005E-4</v>
      </c>
      <c r="I4">
        <v>-0.94587164616412334</v>
      </c>
      <c r="J4">
        <v>-1.636311762724961E-4</v>
      </c>
      <c r="K4" s="93">
        <f t="shared" si="1"/>
        <v>0</v>
      </c>
      <c r="L4" s="93">
        <f t="shared" si="2"/>
        <v>0</v>
      </c>
      <c r="M4" s="93">
        <f t="shared" si="3"/>
        <v>1</v>
      </c>
      <c r="R4" s="94" t="s">
        <v>93</v>
      </c>
      <c r="S4" s="94">
        <f>-LN(-1*S2)/(1/risk_tol)</f>
        <v>8.3336073057695579</v>
      </c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1.4154049494841852</v>
      </c>
      <c r="H5">
        <v>2.73908935546875E-4</v>
      </c>
      <c r="I5">
        <v>-0.95391551993442103</v>
      </c>
      <c r="J5">
        <v>-2.6128598466688106E-4</v>
      </c>
      <c r="K5" s="93">
        <f t="shared" si="1"/>
        <v>0</v>
      </c>
      <c r="L5" s="93">
        <f t="shared" si="2"/>
        <v>0</v>
      </c>
      <c r="M5" s="93">
        <f t="shared" si="3"/>
        <v>1</v>
      </c>
      <c r="R5" s="94"/>
      <c r="S5" s="94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1.5605746878928177</v>
      </c>
      <c r="H6">
        <v>5.7825219726562497E-4</v>
      </c>
      <c r="I6">
        <v>-0.94931068142353658</v>
      </c>
      <c r="J6">
        <v>-5.4894098742088772E-4</v>
      </c>
      <c r="K6" s="93">
        <f t="shared" si="1"/>
        <v>0</v>
      </c>
      <c r="L6" s="93">
        <f t="shared" si="2"/>
        <v>0</v>
      </c>
      <c r="M6" s="93">
        <f t="shared" si="3"/>
        <v>1</v>
      </c>
      <c r="R6" s="94" t="s">
        <v>83</v>
      </c>
      <c r="S6" s="94">
        <f>SUMPRODUCT(G2:G730,H2:H730)</f>
        <v>8.8113086983825326</v>
      </c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1.6694519916992943</v>
      </c>
      <c r="H7">
        <v>3.652119140625E-4</v>
      </c>
      <c r="I7">
        <v>-0.94587164616412334</v>
      </c>
      <c r="J7">
        <v>-3.4544359435304721E-4</v>
      </c>
      <c r="K7" s="93">
        <f t="shared" si="1"/>
        <v>0</v>
      </c>
      <c r="L7" s="93">
        <f t="shared" si="2"/>
        <v>0</v>
      </c>
      <c r="M7" s="93">
        <f t="shared" si="3"/>
        <v>1</v>
      </c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1.4154049494841852</v>
      </c>
      <c r="H8">
        <v>1.7299511718750003E-4</v>
      </c>
      <c r="I8">
        <v>-0.95391551993442103</v>
      </c>
      <c r="J8">
        <v>-1.6502272715803018E-4</v>
      </c>
      <c r="K8" s="93">
        <f t="shared" si="1"/>
        <v>0</v>
      </c>
      <c r="L8" s="93">
        <f t="shared" si="2"/>
        <v>0</v>
      </c>
      <c r="M8" s="93">
        <f t="shared" si="3"/>
        <v>1</v>
      </c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1.5605746878928177</v>
      </c>
      <c r="H9">
        <v>3.6521191406250006E-4</v>
      </c>
      <c r="I9">
        <v>-0.94931068142353658</v>
      </c>
      <c r="J9">
        <v>-3.46699571002666E-4</v>
      </c>
      <c r="K9" s="93">
        <f t="shared" si="1"/>
        <v>0</v>
      </c>
      <c r="L9" s="93">
        <f t="shared" si="2"/>
        <v>0</v>
      </c>
      <c r="M9" s="93">
        <f t="shared" si="3"/>
        <v>1</v>
      </c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1.6694519916992943</v>
      </c>
      <c r="H10">
        <v>2.3066015625000002E-4</v>
      </c>
      <c r="I10">
        <v>-0.94587164616412334</v>
      </c>
      <c r="J10">
        <v>-2.1817490169666142E-4</v>
      </c>
      <c r="K10" s="93">
        <f t="shared" si="1"/>
        <v>0</v>
      </c>
      <c r="L10" s="93">
        <f t="shared" si="2"/>
        <v>0</v>
      </c>
      <c r="M10" s="93">
        <f t="shared" si="3"/>
        <v>1</v>
      </c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1.4154049494841852</v>
      </c>
      <c r="H11">
        <v>2.7390893554687506E-4</v>
      </c>
      <c r="I11">
        <v>-0.95391551993442103</v>
      </c>
      <c r="J11">
        <v>-2.6128598466688112E-4</v>
      </c>
      <c r="K11" s="93">
        <f t="shared" si="1"/>
        <v>0</v>
      </c>
      <c r="L11" s="93">
        <f t="shared" si="2"/>
        <v>0</v>
      </c>
      <c r="M11" s="93">
        <f t="shared" si="3"/>
        <v>1</v>
      </c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1.5605746878928177</v>
      </c>
      <c r="H12">
        <v>5.7825219726562508E-4</v>
      </c>
      <c r="I12">
        <v>-0.94931068142353658</v>
      </c>
      <c r="J12">
        <v>-5.4894098742088782E-4</v>
      </c>
      <c r="K12" s="93">
        <f t="shared" si="1"/>
        <v>0</v>
      </c>
      <c r="L12" s="93">
        <f t="shared" si="2"/>
        <v>0</v>
      </c>
      <c r="M12" s="93">
        <f t="shared" si="3"/>
        <v>1</v>
      </c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1.6694519916992943</v>
      </c>
      <c r="H13">
        <v>3.6521191406250006E-4</v>
      </c>
      <c r="I13">
        <v>-0.94587164616412334</v>
      </c>
      <c r="J13">
        <v>-3.4544359435304727E-4</v>
      </c>
      <c r="K13" s="93">
        <f t="shared" si="1"/>
        <v>0</v>
      </c>
      <c r="L13" s="93">
        <f t="shared" si="2"/>
        <v>0</v>
      </c>
      <c r="M13" s="93">
        <f t="shared" si="3"/>
        <v>1</v>
      </c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1.4154049494841852</v>
      </c>
      <c r="H14">
        <v>5.7825219726562508E-4</v>
      </c>
      <c r="I14">
        <v>-0.95391551993442103</v>
      </c>
      <c r="J14">
        <v>-5.5160374540786012E-4</v>
      </c>
      <c r="K14" s="93">
        <f t="shared" si="1"/>
        <v>0</v>
      </c>
      <c r="L14" s="93">
        <f t="shared" si="2"/>
        <v>0</v>
      </c>
      <c r="M14" s="93">
        <f t="shared" si="3"/>
        <v>1</v>
      </c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1.5605746878928177</v>
      </c>
      <c r="H15">
        <v>1.220754638671875E-3</v>
      </c>
      <c r="I15">
        <v>-0.94931068142353658</v>
      </c>
      <c r="J15">
        <v>-1.1588754178885408E-3</v>
      </c>
      <c r="K15" s="93">
        <f t="shared" si="1"/>
        <v>0</v>
      </c>
      <c r="L15" s="93">
        <f t="shared" si="2"/>
        <v>0</v>
      </c>
      <c r="M15" s="93">
        <f t="shared" si="3"/>
        <v>1</v>
      </c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1.6694519916992943</v>
      </c>
      <c r="H16">
        <v>7.7100292968750007E-4</v>
      </c>
      <c r="I16">
        <v>-0.94587164616412334</v>
      </c>
      <c r="J16">
        <v>-7.2926981030087756E-4</v>
      </c>
      <c r="K16" s="93">
        <f t="shared" si="1"/>
        <v>0</v>
      </c>
      <c r="L16" s="93">
        <f t="shared" si="2"/>
        <v>0</v>
      </c>
      <c r="M16" s="93">
        <f t="shared" si="3"/>
        <v>1</v>
      </c>
    </row>
    <row r="17" spans="1:13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1.4154049494841852</v>
      </c>
      <c r="H17">
        <v>3.6521191406250006E-4</v>
      </c>
      <c r="I17">
        <v>-0.95391551993442103</v>
      </c>
      <c r="J17">
        <v>-3.4838131288917484E-4</v>
      </c>
      <c r="K17" s="93">
        <f t="shared" si="1"/>
        <v>0</v>
      </c>
      <c r="L17" s="93">
        <f t="shared" si="2"/>
        <v>0</v>
      </c>
      <c r="M17" s="93">
        <f t="shared" si="3"/>
        <v>1</v>
      </c>
    </row>
    <row r="18" spans="1:13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1.5605746878928177</v>
      </c>
      <c r="H18">
        <v>7.7100292968750007E-4</v>
      </c>
      <c r="I18">
        <v>-0.94931068142353658</v>
      </c>
      <c r="J18">
        <v>-7.319213165611838E-4</v>
      </c>
      <c r="K18" s="93">
        <f t="shared" si="1"/>
        <v>0</v>
      </c>
      <c r="L18" s="93">
        <f t="shared" si="2"/>
        <v>0</v>
      </c>
      <c r="M18" s="93">
        <f t="shared" si="3"/>
        <v>1</v>
      </c>
    </row>
    <row r="19" spans="1:13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1.6694519916992943</v>
      </c>
      <c r="H19">
        <v>4.8694921875000008E-4</v>
      </c>
      <c r="I19">
        <v>-0.94587164616412334</v>
      </c>
      <c r="J19">
        <v>-4.6059145913739639E-4</v>
      </c>
      <c r="K19" s="93">
        <f t="shared" si="1"/>
        <v>0</v>
      </c>
      <c r="L19" s="93">
        <f t="shared" si="2"/>
        <v>0</v>
      </c>
      <c r="M19" s="93">
        <f t="shared" si="3"/>
        <v>1</v>
      </c>
    </row>
    <row r="20" spans="1:13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1.4154049494841852</v>
      </c>
      <c r="H20">
        <v>1.7299511718750003E-4</v>
      </c>
      <c r="I20">
        <v>-0.95391551993442103</v>
      </c>
      <c r="J20">
        <v>-1.6502272715803018E-4</v>
      </c>
      <c r="K20" s="93">
        <f t="shared" si="1"/>
        <v>0</v>
      </c>
      <c r="L20" s="93">
        <f t="shared" si="2"/>
        <v>0</v>
      </c>
      <c r="M20" s="93">
        <f t="shared" si="3"/>
        <v>1</v>
      </c>
    </row>
    <row r="21" spans="1:13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1.5605746878928177</v>
      </c>
      <c r="H21">
        <v>3.6521191406250006E-4</v>
      </c>
      <c r="I21">
        <v>-0.94931068142353658</v>
      </c>
      <c r="J21">
        <v>-3.46699571002666E-4</v>
      </c>
      <c r="K21" s="93">
        <f t="shared" si="1"/>
        <v>0</v>
      </c>
      <c r="L21" s="93">
        <f t="shared" si="2"/>
        <v>0</v>
      </c>
      <c r="M21" s="93">
        <f t="shared" si="3"/>
        <v>1</v>
      </c>
    </row>
    <row r="22" spans="1:13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1.6694519916992943</v>
      </c>
      <c r="H22">
        <v>2.3066015625000002E-4</v>
      </c>
      <c r="I22">
        <v>-0.94587164616412334</v>
      </c>
      <c r="J22">
        <v>-2.1817490169666142E-4</v>
      </c>
      <c r="K22" s="93">
        <f t="shared" si="1"/>
        <v>0</v>
      </c>
      <c r="L22" s="93">
        <f t="shared" si="2"/>
        <v>0</v>
      </c>
      <c r="M22" s="93">
        <f t="shared" si="3"/>
        <v>1</v>
      </c>
    </row>
    <row r="23" spans="1:13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1.4154049494841852</v>
      </c>
      <c r="H23">
        <v>3.6521191406250006E-4</v>
      </c>
      <c r="I23">
        <v>-0.95391551993442103</v>
      </c>
      <c r="J23">
        <v>-3.4838131288917484E-4</v>
      </c>
      <c r="K23" s="93">
        <f t="shared" si="1"/>
        <v>0</v>
      </c>
      <c r="L23" s="93">
        <f t="shared" si="2"/>
        <v>0</v>
      </c>
      <c r="M23" s="93">
        <f t="shared" si="3"/>
        <v>1</v>
      </c>
    </row>
    <row r="24" spans="1:13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1.5605746878928177</v>
      </c>
      <c r="H24">
        <v>7.7100292968750007E-4</v>
      </c>
      <c r="I24">
        <v>-0.94931068142353658</v>
      </c>
      <c r="J24">
        <v>-7.319213165611838E-4</v>
      </c>
      <c r="K24" s="93">
        <f t="shared" si="1"/>
        <v>0</v>
      </c>
      <c r="L24" s="93">
        <f t="shared" si="2"/>
        <v>0</v>
      </c>
      <c r="M24" s="93">
        <f t="shared" si="3"/>
        <v>1</v>
      </c>
    </row>
    <row r="25" spans="1:13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1.6694519916992943</v>
      </c>
      <c r="H25">
        <v>4.8694921875000008E-4</v>
      </c>
      <c r="I25">
        <v>-0.94587164616412334</v>
      </c>
      <c r="J25">
        <v>-4.6059145913739639E-4</v>
      </c>
      <c r="K25" s="93">
        <f t="shared" si="1"/>
        <v>0</v>
      </c>
      <c r="L25" s="93">
        <f t="shared" si="2"/>
        <v>0</v>
      </c>
      <c r="M25" s="93">
        <f t="shared" si="3"/>
        <v>1</v>
      </c>
    </row>
    <row r="26" spans="1:13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1.4154049494841852</v>
      </c>
      <c r="H26">
        <v>2.3066015625000002E-4</v>
      </c>
      <c r="I26">
        <v>-0.95391551993442103</v>
      </c>
      <c r="J26">
        <v>-2.2003030287737356E-4</v>
      </c>
      <c r="K26" s="93">
        <f t="shared" si="1"/>
        <v>0</v>
      </c>
      <c r="L26" s="93">
        <f t="shared" si="2"/>
        <v>0</v>
      </c>
      <c r="M26" s="93">
        <f t="shared" si="3"/>
        <v>1</v>
      </c>
    </row>
    <row r="27" spans="1:13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1.5605746878928177</v>
      </c>
      <c r="H27">
        <v>4.8694921874999997E-4</v>
      </c>
      <c r="I27">
        <v>-0.94931068142353658</v>
      </c>
      <c r="J27">
        <v>-4.6226609467022123E-4</v>
      </c>
      <c r="K27" s="93">
        <f t="shared" si="1"/>
        <v>0</v>
      </c>
      <c r="L27" s="93">
        <f t="shared" si="2"/>
        <v>0</v>
      </c>
      <c r="M27" s="93">
        <f t="shared" si="3"/>
        <v>1</v>
      </c>
    </row>
    <row r="28" spans="1:13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1.6694519916992943</v>
      </c>
      <c r="H28">
        <v>3.0754687499999999E-4</v>
      </c>
      <c r="I28">
        <v>-0.94587164616412334</v>
      </c>
      <c r="J28">
        <v>-2.9089986892888187E-4</v>
      </c>
      <c r="K28" s="93">
        <f t="shared" si="1"/>
        <v>0</v>
      </c>
      <c r="L28" s="93">
        <f t="shared" si="2"/>
        <v>0</v>
      </c>
      <c r="M28" s="93">
        <f t="shared" si="3"/>
        <v>1</v>
      </c>
    </row>
    <row r="29" spans="1:13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1.7420368609036128</v>
      </c>
      <c r="H29">
        <v>2.73908935546875E-4</v>
      </c>
      <c r="I29">
        <v>-0.94358588015560441</v>
      </c>
      <c r="J29">
        <v>-2.5845660403048276E-4</v>
      </c>
      <c r="K29" s="93">
        <f t="shared" si="1"/>
        <v>0</v>
      </c>
      <c r="L29" s="93">
        <f t="shared" si="2"/>
        <v>0</v>
      </c>
      <c r="M29" s="93">
        <f t="shared" si="3"/>
        <v>1</v>
      </c>
    </row>
    <row r="30" spans="1:13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1.9207073081757775</v>
      </c>
      <c r="H30">
        <v>5.7825219726562497E-4</v>
      </c>
      <c r="I30">
        <v>-0.93798288450459655</v>
      </c>
      <c r="J30">
        <v>-5.4239066396233185E-4</v>
      </c>
      <c r="K30" s="93">
        <f t="shared" si="1"/>
        <v>0</v>
      </c>
      <c r="L30" s="93">
        <f t="shared" si="2"/>
        <v>0</v>
      </c>
      <c r="M30" s="93">
        <f t="shared" si="3"/>
        <v>1</v>
      </c>
    </row>
    <row r="31" spans="1:13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2.0547101436299009</v>
      </c>
      <c r="H31">
        <v>3.652119140625E-4</v>
      </c>
      <c r="I31">
        <v>-0.93380248234653429</v>
      </c>
      <c r="J31">
        <v>-3.4103579193409166E-4</v>
      </c>
      <c r="K31" s="93">
        <f t="shared" si="1"/>
        <v>0</v>
      </c>
      <c r="L31" s="93">
        <f t="shared" si="2"/>
        <v>0</v>
      </c>
      <c r="M31" s="93">
        <f t="shared" si="3"/>
        <v>1</v>
      </c>
    </row>
    <row r="32" spans="1:13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1.7420368609036128</v>
      </c>
      <c r="H32">
        <v>5.7825219726562497E-4</v>
      </c>
      <c r="I32">
        <v>-0.94358588015560441</v>
      </c>
      <c r="J32">
        <v>-5.4563060850879692E-4</v>
      </c>
      <c r="K32" s="93">
        <f t="shared" si="1"/>
        <v>0</v>
      </c>
      <c r="L32" s="93">
        <f t="shared" si="2"/>
        <v>0</v>
      </c>
      <c r="M32" s="93">
        <f t="shared" si="3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1.9207073081757775</v>
      </c>
      <c r="H33">
        <v>1.2207546386718748E-3</v>
      </c>
      <c r="I33">
        <v>-0.93798288450459655</v>
      </c>
      <c r="J33">
        <v>-1.1450469572538116E-3</v>
      </c>
      <c r="K33" s="93">
        <f t="shared" si="1"/>
        <v>0</v>
      </c>
      <c r="L33" s="93">
        <f t="shared" si="2"/>
        <v>0</v>
      </c>
      <c r="M33" s="93">
        <f t="shared" si="3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2.0547101436299009</v>
      </c>
      <c r="H34">
        <v>7.7100292968749996E-4</v>
      </c>
      <c r="I34">
        <v>-0.93380248234653429</v>
      </c>
      <c r="J34">
        <v>-7.1996444963863787E-4</v>
      </c>
      <c r="K34" s="93">
        <f t="shared" si="1"/>
        <v>0</v>
      </c>
      <c r="L34" s="93">
        <f t="shared" si="2"/>
        <v>0</v>
      </c>
      <c r="M34" s="93">
        <f t="shared" si="3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1.7420368609036128</v>
      </c>
      <c r="H35">
        <v>3.652119140625E-4</v>
      </c>
      <c r="I35">
        <v>-0.94358588015560441</v>
      </c>
      <c r="J35">
        <v>-3.4460880537397703E-4</v>
      </c>
      <c r="K35" s="93">
        <f t="shared" si="1"/>
        <v>0</v>
      </c>
      <c r="L35" s="93">
        <f t="shared" si="2"/>
        <v>0</v>
      </c>
      <c r="M35" s="93">
        <f t="shared" si="3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1.9207073081757775</v>
      </c>
      <c r="H36">
        <v>7.7100292968749996E-4</v>
      </c>
      <c r="I36">
        <v>-0.93798288450459655</v>
      </c>
      <c r="J36">
        <v>-7.2318755194977584E-4</v>
      </c>
      <c r="K36" s="93">
        <f t="shared" si="1"/>
        <v>0</v>
      </c>
      <c r="L36" s="93">
        <f t="shared" si="2"/>
        <v>0</v>
      </c>
      <c r="M36" s="93">
        <f t="shared" si="3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2.0547101436299009</v>
      </c>
      <c r="H37">
        <v>4.8694921874999997E-4</v>
      </c>
      <c r="I37">
        <v>-0.93380248234653429</v>
      </c>
      <c r="J37">
        <v>-4.5471438924545553E-4</v>
      </c>
      <c r="K37" s="93">
        <f t="shared" si="1"/>
        <v>0</v>
      </c>
      <c r="L37" s="93">
        <f t="shared" si="2"/>
        <v>0</v>
      </c>
      <c r="M37" s="93">
        <f t="shared" si="3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1.7420368609036128</v>
      </c>
      <c r="H38">
        <v>5.7825219726562497E-4</v>
      </c>
      <c r="I38">
        <v>-0.94358588015560441</v>
      </c>
      <c r="J38">
        <v>-5.4563060850879692E-4</v>
      </c>
      <c r="K38" s="93">
        <f t="shared" si="1"/>
        <v>0</v>
      </c>
      <c r="L38" s="93">
        <f t="shared" si="2"/>
        <v>0</v>
      </c>
      <c r="M38" s="93">
        <f t="shared" si="3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1.9207073081757775</v>
      </c>
      <c r="H39">
        <v>1.2207546386718748E-3</v>
      </c>
      <c r="I39">
        <v>-0.93798288450459655</v>
      </c>
      <c r="J39">
        <v>-1.1450469572538116E-3</v>
      </c>
      <c r="K39" s="93">
        <f t="shared" si="1"/>
        <v>0</v>
      </c>
      <c r="L39" s="93">
        <f t="shared" si="2"/>
        <v>0</v>
      </c>
      <c r="M39" s="93">
        <f t="shared" si="3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2.0547101436299009</v>
      </c>
      <c r="H40">
        <v>7.7100292968749996E-4</v>
      </c>
      <c r="I40">
        <v>-0.93380248234653429</v>
      </c>
      <c r="J40">
        <v>-7.1996444963863787E-4</v>
      </c>
      <c r="K40" s="93">
        <f t="shared" si="1"/>
        <v>0</v>
      </c>
      <c r="L40" s="93">
        <f t="shared" si="2"/>
        <v>0</v>
      </c>
      <c r="M40" s="93">
        <f t="shared" si="3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2.0547101436299009</v>
      </c>
      <c r="H41">
        <v>1.6276728515624997E-3</v>
      </c>
      <c r="I41">
        <v>-0.93380248234653429</v>
      </c>
      <c r="J41">
        <v>-1.5199249492371242E-3</v>
      </c>
      <c r="K41" s="93">
        <f t="shared" si="1"/>
        <v>0</v>
      </c>
      <c r="L41" s="93">
        <f t="shared" si="2"/>
        <v>0</v>
      </c>
      <c r="M41" s="93">
        <f t="shared" si="3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1.9207073081757775</v>
      </c>
      <c r="H42">
        <v>2.5771486816406246E-3</v>
      </c>
      <c r="I42">
        <v>-0.93798288450459655</v>
      </c>
      <c r="J42">
        <v>-2.4173213542024912E-3</v>
      </c>
      <c r="K42" s="93">
        <f t="shared" si="1"/>
        <v>0</v>
      </c>
      <c r="L42" s="93">
        <f t="shared" si="2"/>
        <v>0</v>
      </c>
      <c r="M42" s="93">
        <f t="shared" si="3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2.0547101436299009</v>
      </c>
      <c r="H43">
        <v>1.6276728515624997E-3</v>
      </c>
      <c r="I43">
        <v>-0.93380248234653429</v>
      </c>
      <c r="J43">
        <v>-1.5199249492371242E-3</v>
      </c>
      <c r="K43" s="93">
        <f t="shared" si="1"/>
        <v>0</v>
      </c>
      <c r="L43" s="93">
        <f t="shared" si="2"/>
        <v>0</v>
      </c>
      <c r="M43" s="93">
        <f t="shared" si="3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1.7420368609036128</v>
      </c>
      <c r="H44">
        <v>7.7100292968749985E-4</v>
      </c>
      <c r="I44">
        <v>-0.94358588015560441</v>
      </c>
      <c r="J44">
        <v>-7.2750747801172912E-4</v>
      </c>
      <c r="K44" s="93">
        <f t="shared" si="1"/>
        <v>0</v>
      </c>
      <c r="L44" s="93">
        <f t="shared" si="2"/>
        <v>0</v>
      </c>
      <c r="M44" s="93">
        <f t="shared" si="3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1.9207073081757775</v>
      </c>
      <c r="H45">
        <v>1.6276728515624997E-3</v>
      </c>
      <c r="I45">
        <v>-0.93798288450459655</v>
      </c>
      <c r="J45">
        <v>-1.5267292763384156E-3</v>
      </c>
      <c r="K45" s="93">
        <f t="shared" si="1"/>
        <v>0</v>
      </c>
      <c r="L45" s="93">
        <f t="shared" si="2"/>
        <v>0</v>
      </c>
      <c r="M45" s="93">
        <f t="shared" si="3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2.0547101436299009</v>
      </c>
      <c r="H46">
        <v>1.0280039062499997E-3</v>
      </c>
      <c r="I46">
        <v>-0.93380248234653429</v>
      </c>
      <c r="J46">
        <v>-9.5995259951818371E-4</v>
      </c>
      <c r="K46" s="93">
        <f t="shared" si="1"/>
        <v>0</v>
      </c>
      <c r="L46" s="93">
        <f t="shared" si="2"/>
        <v>0</v>
      </c>
      <c r="M46" s="93">
        <f t="shared" si="3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1.7420368609036128</v>
      </c>
      <c r="H47">
        <v>3.6521191406249995E-4</v>
      </c>
      <c r="I47">
        <v>-0.94358588015560441</v>
      </c>
      <c r="J47">
        <v>-3.4460880537397697E-4</v>
      </c>
      <c r="K47" s="93">
        <f t="shared" si="1"/>
        <v>0</v>
      </c>
      <c r="L47" s="93">
        <f t="shared" si="2"/>
        <v>0</v>
      </c>
      <c r="M47" s="93">
        <f t="shared" si="3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1.9207073081757775</v>
      </c>
      <c r="H48">
        <v>7.7100292968749985E-4</v>
      </c>
      <c r="I48">
        <v>-0.93798288450459655</v>
      </c>
      <c r="J48">
        <v>-7.2318755194977573E-4</v>
      </c>
      <c r="K48" s="93">
        <f t="shared" si="1"/>
        <v>0</v>
      </c>
      <c r="L48" s="93">
        <f t="shared" si="2"/>
        <v>0</v>
      </c>
      <c r="M48" s="93">
        <f t="shared" si="3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2.0547101436299009</v>
      </c>
      <c r="H49">
        <v>4.8694921874999991E-4</v>
      </c>
      <c r="I49">
        <v>-0.93380248234653429</v>
      </c>
      <c r="J49">
        <v>-4.5471438924545547E-4</v>
      </c>
      <c r="K49" s="93">
        <f t="shared" si="1"/>
        <v>0</v>
      </c>
      <c r="L49" s="93">
        <f t="shared" si="2"/>
        <v>0</v>
      </c>
      <c r="M49" s="93">
        <f t="shared" si="3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1.7420368609036128</v>
      </c>
      <c r="H50">
        <v>7.7100292968749985E-4</v>
      </c>
      <c r="I50">
        <v>-0.94358588015560441</v>
      </c>
      <c r="J50">
        <v>-7.2750747801172912E-4</v>
      </c>
      <c r="K50" s="93">
        <f t="shared" si="1"/>
        <v>0</v>
      </c>
      <c r="L50" s="93">
        <f t="shared" si="2"/>
        <v>0</v>
      </c>
      <c r="M50" s="93">
        <f t="shared" si="3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1.9207073081757775</v>
      </c>
      <c r="H51">
        <v>1.6276728515624997E-3</v>
      </c>
      <c r="I51">
        <v>-0.93798288450459655</v>
      </c>
      <c r="J51">
        <v>-1.5267292763384156E-3</v>
      </c>
      <c r="K51" s="93">
        <f t="shared" si="1"/>
        <v>0</v>
      </c>
      <c r="L51" s="93">
        <f t="shared" si="2"/>
        <v>0</v>
      </c>
      <c r="M51" s="93">
        <f t="shared" si="3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2.0547101436299009</v>
      </c>
      <c r="H52">
        <v>1.0280039062499997E-3</v>
      </c>
      <c r="I52">
        <v>-0.93380248234653429</v>
      </c>
      <c r="J52">
        <v>-9.5995259951818371E-4</v>
      </c>
      <c r="K52" s="93">
        <f t="shared" si="1"/>
        <v>0</v>
      </c>
      <c r="L52" s="93">
        <f t="shared" si="2"/>
        <v>0</v>
      </c>
      <c r="M52" s="93">
        <f t="shared" si="3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1.7420368609036128</v>
      </c>
      <c r="H53">
        <v>4.8694921874999991E-4</v>
      </c>
      <c r="I53">
        <v>-0.94358588015560441</v>
      </c>
      <c r="J53">
        <v>-4.5947840716530259E-4</v>
      </c>
      <c r="K53" s="93">
        <f t="shared" si="1"/>
        <v>0</v>
      </c>
      <c r="L53" s="93">
        <f t="shared" si="2"/>
        <v>0</v>
      </c>
      <c r="M53" s="93">
        <f t="shared" si="3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1.9207073081757775</v>
      </c>
      <c r="H54">
        <v>1.0280039062499997E-3</v>
      </c>
      <c r="I54">
        <v>-0.93798288450459655</v>
      </c>
      <c r="J54">
        <v>-9.6425006926636764E-4</v>
      </c>
      <c r="K54" s="93">
        <f t="shared" si="1"/>
        <v>0</v>
      </c>
      <c r="L54" s="93">
        <f t="shared" si="2"/>
        <v>0</v>
      </c>
      <c r="M54" s="93">
        <f t="shared" si="3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2.0547101436299009</v>
      </c>
      <c r="H55">
        <v>6.4926562499999978E-4</v>
      </c>
      <c r="I55">
        <v>-0.93380248234653429</v>
      </c>
      <c r="J55">
        <v>-6.0628585232727389E-4</v>
      </c>
      <c r="K55" s="93">
        <f t="shared" si="1"/>
        <v>0</v>
      </c>
      <c r="L55" s="93">
        <f t="shared" si="2"/>
        <v>0</v>
      </c>
      <c r="M55" s="93">
        <f t="shared" si="3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1.9597914685165641</v>
      </c>
      <c r="H56">
        <v>1.729951171875E-4</v>
      </c>
      <c r="I56">
        <v>-0.93676167106386299</v>
      </c>
      <c r="J56">
        <v>-1.620551950624513E-4</v>
      </c>
      <c r="K56" s="93">
        <f t="shared" si="1"/>
        <v>0</v>
      </c>
      <c r="L56" s="93">
        <f t="shared" si="2"/>
        <v>0</v>
      </c>
      <c r="M56" s="93">
        <f t="shared" si="3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2.1607957216977498</v>
      </c>
      <c r="H57">
        <v>3.652119140625E-4</v>
      </c>
      <c r="I57">
        <v>-0.93050621468438821</v>
      </c>
      <c r="J57">
        <v>-3.3983195571193696E-4</v>
      </c>
      <c r="K57" s="93">
        <f t="shared" si="1"/>
        <v>0</v>
      </c>
      <c r="L57" s="93">
        <f t="shared" si="2"/>
        <v>0</v>
      </c>
      <c r="M57" s="93">
        <f t="shared" si="3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2.3115489115836398</v>
      </c>
      <c r="H58">
        <v>2.3066015624999999E-4</v>
      </c>
      <c r="I58">
        <v>-0.92584205078989745</v>
      </c>
      <c r="J58">
        <v>-2.1355487209801817E-4</v>
      </c>
      <c r="K58" s="93">
        <f t="shared" si="1"/>
        <v>0</v>
      </c>
      <c r="L58" s="93">
        <f t="shared" si="2"/>
        <v>0</v>
      </c>
      <c r="M58" s="93">
        <f t="shared" si="3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1.9597914685165641</v>
      </c>
      <c r="H59">
        <v>3.652119140625E-4</v>
      </c>
      <c r="I59">
        <v>-0.93676167106386299</v>
      </c>
      <c r="J59">
        <v>-3.4211652290961942E-4</v>
      </c>
      <c r="K59" s="93">
        <f t="shared" si="1"/>
        <v>0</v>
      </c>
      <c r="L59" s="93">
        <f t="shared" si="2"/>
        <v>0</v>
      </c>
      <c r="M59" s="93">
        <f t="shared" si="3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2.1607957216977498</v>
      </c>
      <c r="H60">
        <v>7.7100292968749996E-4</v>
      </c>
      <c r="I60">
        <v>-0.93050621468438821</v>
      </c>
      <c r="J60">
        <v>-7.1742301761408913E-4</v>
      </c>
      <c r="K60" s="93">
        <f t="shared" si="1"/>
        <v>0</v>
      </c>
      <c r="L60" s="93">
        <f t="shared" si="2"/>
        <v>0</v>
      </c>
      <c r="M60" s="93">
        <f t="shared" si="3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2.3115489115836398</v>
      </c>
      <c r="H61">
        <v>4.8694921874999997E-4</v>
      </c>
      <c r="I61">
        <v>-0.92584205078989745</v>
      </c>
      <c r="J61">
        <v>-4.5083806331803838E-4</v>
      </c>
      <c r="K61" s="93">
        <f t="shared" si="1"/>
        <v>0</v>
      </c>
      <c r="L61" s="93">
        <f t="shared" si="2"/>
        <v>0</v>
      </c>
      <c r="M61" s="93">
        <f t="shared" si="3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1.9597914685165641</v>
      </c>
      <c r="H62">
        <v>2.3066015625000002E-4</v>
      </c>
      <c r="I62">
        <v>-0.93676167106386299</v>
      </c>
      <c r="J62">
        <v>-2.1607359341660175E-4</v>
      </c>
      <c r="K62" s="93">
        <f t="shared" si="1"/>
        <v>0</v>
      </c>
      <c r="L62" s="93">
        <f t="shared" si="2"/>
        <v>0</v>
      </c>
      <c r="M62" s="93">
        <f t="shared" si="3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2.1607957216977498</v>
      </c>
      <c r="H63">
        <v>4.8694921874999997E-4</v>
      </c>
      <c r="I63">
        <v>-0.93050621468438821</v>
      </c>
      <c r="J63">
        <v>-4.5310927428258258E-4</v>
      </c>
      <c r="K63" s="93">
        <f t="shared" si="1"/>
        <v>0</v>
      </c>
      <c r="L63" s="93">
        <f t="shared" si="2"/>
        <v>0</v>
      </c>
      <c r="M63" s="93">
        <f t="shared" si="3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2.3115489115836398</v>
      </c>
      <c r="H64">
        <v>3.0754687499999999E-4</v>
      </c>
      <c r="I64">
        <v>-0.92584205078989745</v>
      </c>
      <c r="J64">
        <v>-2.8473982946402421E-4</v>
      </c>
      <c r="K64" s="93">
        <f t="shared" si="1"/>
        <v>0</v>
      </c>
      <c r="L64" s="93">
        <f t="shared" si="2"/>
        <v>0</v>
      </c>
      <c r="M64" s="93">
        <f t="shared" si="3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1.9597914685165641</v>
      </c>
      <c r="H65">
        <v>3.6521191406249995E-4</v>
      </c>
      <c r="I65">
        <v>-0.93676167106386299</v>
      </c>
      <c r="J65">
        <v>-3.4211652290961936E-4</v>
      </c>
      <c r="K65" s="93">
        <f t="shared" si="1"/>
        <v>0</v>
      </c>
      <c r="L65" s="93">
        <f t="shared" si="2"/>
        <v>0</v>
      </c>
      <c r="M65" s="93">
        <f t="shared" si="3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2.1607957216977498</v>
      </c>
      <c r="H66">
        <v>7.7100292968749985E-4</v>
      </c>
      <c r="I66">
        <v>-0.93050621468438821</v>
      </c>
      <c r="J66">
        <v>-7.1742301761408903E-4</v>
      </c>
      <c r="K66" s="93">
        <f t="shared" si="1"/>
        <v>0</v>
      </c>
      <c r="L66" s="93">
        <f t="shared" si="2"/>
        <v>0</v>
      </c>
      <c r="M66" s="93">
        <f t="shared" si="3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2.3115489115836398</v>
      </c>
      <c r="H67">
        <v>4.8694921874999991E-4</v>
      </c>
      <c r="I67">
        <v>-0.92584205078989745</v>
      </c>
      <c r="J67">
        <v>-4.5083806331803832E-4</v>
      </c>
      <c r="K67" s="93">
        <f t="shared" ref="K67:K130" si="4">IF(A67=3,1,0)</f>
        <v>0</v>
      </c>
      <c r="L67" s="93">
        <f t="shared" ref="L67:L130" si="5">IF(A67=2,1,0)</f>
        <v>0</v>
      </c>
      <c r="M67" s="93">
        <f t="shared" ref="M67:M130" si="6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1.9597914685165641</v>
      </c>
      <c r="H68">
        <v>7.7100292968749985E-4</v>
      </c>
      <c r="I68">
        <v>-0.93676167106386299</v>
      </c>
      <c r="J68">
        <v>-7.2224599280919645E-4</v>
      </c>
      <c r="K68" s="93">
        <f t="shared" si="4"/>
        <v>0</v>
      </c>
      <c r="L68" s="93">
        <f t="shared" si="5"/>
        <v>0</v>
      </c>
      <c r="M68" s="93">
        <f t="shared" si="6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2.1607957216977498</v>
      </c>
      <c r="H69">
        <v>1.6276728515624997E-3</v>
      </c>
      <c r="I69">
        <v>-0.93050621468438821</v>
      </c>
      <c r="J69">
        <v>-1.5145597038519656E-3</v>
      </c>
      <c r="K69" s="93">
        <f t="shared" si="4"/>
        <v>0</v>
      </c>
      <c r="L69" s="93">
        <f t="shared" si="5"/>
        <v>0</v>
      </c>
      <c r="M69" s="93">
        <f t="shared" si="6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2.3115489115836398</v>
      </c>
      <c r="H70">
        <v>1.0280039062499997E-3</v>
      </c>
      <c r="I70">
        <v>-0.92584205078989745</v>
      </c>
      <c r="J70">
        <v>-9.5176924478252518E-4</v>
      </c>
      <c r="K70" s="93">
        <f t="shared" si="4"/>
        <v>0</v>
      </c>
      <c r="L70" s="93">
        <f t="shared" si="5"/>
        <v>0</v>
      </c>
      <c r="M70" s="93">
        <f t="shared" si="6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1.9597914685165641</v>
      </c>
      <c r="H71">
        <v>4.8694921874999991E-4</v>
      </c>
      <c r="I71">
        <v>-0.93676167106386299</v>
      </c>
      <c r="J71">
        <v>-4.5615536387949248E-4</v>
      </c>
      <c r="K71" s="93">
        <f t="shared" si="4"/>
        <v>0</v>
      </c>
      <c r="L71" s="93">
        <f t="shared" si="5"/>
        <v>0</v>
      </c>
      <c r="M71" s="93">
        <f t="shared" si="6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2.1607957216977498</v>
      </c>
      <c r="H72">
        <v>1.0280039062499997E-3</v>
      </c>
      <c r="I72">
        <v>-0.93050621468438821</v>
      </c>
      <c r="J72">
        <v>-9.5656402348545189E-4</v>
      </c>
      <c r="K72" s="93">
        <f t="shared" si="4"/>
        <v>0</v>
      </c>
      <c r="L72" s="93">
        <f t="shared" si="5"/>
        <v>0</v>
      </c>
      <c r="M72" s="93">
        <f t="shared" si="6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2.3115489115836398</v>
      </c>
      <c r="H73">
        <v>6.4926562499999978E-4</v>
      </c>
      <c r="I73">
        <v>-0.92584205078989745</v>
      </c>
      <c r="J73">
        <v>-6.0111741775738432E-4</v>
      </c>
      <c r="K73" s="93">
        <f t="shared" si="4"/>
        <v>0</v>
      </c>
      <c r="L73" s="93">
        <f t="shared" si="5"/>
        <v>0</v>
      </c>
      <c r="M73" s="93">
        <f t="shared" si="6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1.9597914685165641</v>
      </c>
      <c r="H74">
        <v>2.3066015625000002E-4</v>
      </c>
      <c r="I74">
        <v>-0.93676167106386299</v>
      </c>
      <c r="J74">
        <v>-2.1607359341660175E-4</v>
      </c>
      <c r="K74" s="93">
        <f t="shared" si="4"/>
        <v>0</v>
      </c>
      <c r="L74" s="93">
        <f t="shared" si="5"/>
        <v>0</v>
      </c>
      <c r="M74" s="93">
        <f t="shared" si="6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2.1607957216977498</v>
      </c>
      <c r="H75">
        <v>4.8694921874999997E-4</v>
      </c>
      <c r="I75">
        <v>-0.93050621468438821</v>
      </c>
      <c r="J75">
        <v>-4.5310927428258258E-4</v>
      </c>
      <c r="K75" s="93">
        <f t="shared" si="4"/>
        <v>0</v>
      </c>
      <c r="L75" s="93">
        <f t="shared" si="5"/>
        <v>0</v>
      </c>
      <c r="M75" s="93">
        <f t="shared" si="6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2.3115489115836398</v>
      </c>
      <c r="H76">
        <v>3.0754687499999999E-4</v>
      </c>
      <c r="I76">
        <v>-0.92584205078989745</v>
      </c>
      <c r="J76">
        <v>-2.8473982946402421E-4</v>
      </c>
      <c r="K76" s="93">
        <f t="shared" si="4"/>
        <v>0</v>
      </c>
      <c r="L76" s="93">
        <f t="shared" si="5"/>
        <v>0</v>
      </c>
      <c r="M76" s="93">
        <f t="shared" si="6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1.9597914685165641</v>
      </c>
      <c r="H77">
        <v>4.8694921874999991E-4</v>
      </c>
      <c r="I77">
        <v>-0.93676167106386299</v>
      </c>
      <c r="J77">
        <v>-4.5615536387949248E-4</v>
      </c>
      <c r="K77" s="93">
        <f t="shared" si="4"/>
        <v>0</v>
      </c>
      <c r="L77" s="93">
        <f t="shared" si="5"/>
        <v>0</v>
      </c>
      <c r="M77" s="93">
        <f t="shared" si="6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2.1607957216977498</v>
      </c>
      <c r="H78">
        <v>1.0280039062499997E-3</v>
      </c>
      <c r="I78">
        <v>-0.93050621468438821</v>
      </c>
      <c r="J78">
        <v>-9.5656402348545189E-4</v>
      </c>
      <c r="K78" s="93">
        <f t="shared" si="4"/>
        <v>0</v>
      </c>
      <c r="L78" s="93">
        <f t="shared" si="5"/>
        <v>0</v>
      </c>
      <c r="M78" s="93">
        <f t="shared" si="6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2.3115489115836398</v>
      </c>
      <c r="H79">
        <v>6.4926562499999978E-4</v>
      </c>
      <c r="I79">
        <v>-0.92584205078989745</v>
      </c>
      <c r="J79">
        <v>-6.0111741775738432E-4</v>
      </c>
      <c r="K79" s="93">
        <f t="shared" si="4"/>
        <v>0</v>
      </c>
      <c r="L79" s="93">
        <f t="shared" si="5"/>
        <v>0</v>
      </c>
      <c r="M79" s="93">
        <f t="shared" si="6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1.9597914685165641</v>
      </c>
      <c r="H80">
        <v>3.0754687499999999E-4</v>
      </c>
      <c r="I80">
        <v>-0.93676167106386299</v>
      </c>
      <c r="J80">
        <v>-2.88098124555469E-4</v>
      </c>
      <c r="K80" s="93">
        <f t="shared" si="4"/>
        <v>0</v>
      </c>
      <c r="L80" s="93">
        <f t="shared" si="5"/>
        <v>0</v>
      </c>
      <c r="M80" s="93">
        <f t="shared" si="6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2.1607957216977498</v>
      </c>
      <c r="H81">
        <v>6.4926562499999989E-4</v>
      </c>
      <c r="I81">
        <v>-0.93050621468438821</v>
      </c>
      <c r="J81">
        <v>-6.0414569904344341E-4</v>
      </c>
      <c r="K81" s="93">
        <f t="shared" si="4"/>
        <v>0</v>
      </c>
      <c r="L81" s="93">
        <f t="shared" si="5"/>
        <v>0</v>
      </c>
      <c r="M81" s="93">
        <f t="shared" si="6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2.3115489115836398</v>
      </c>
      <c r="H82">
        <v>4.1006249999999995E-4</v>
      </c>
      <c r="I82">
        <v>-0.92584205078989745</v>
      </c>
      <c r="J82">
        <v>-3.7965310595203228E-4</v>
      </c>
      <c r="K82" s="93">
        <f t="shared" si="4"/>
        <v>0</v>
      </c>
      <c r="L82" s="93">
        <f t="shared" si="5"/>
        <v>0</v>
      </c>
      <c r="M82" s="93">
        <f t="shared" si="6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2.2617053448112117</v>
      </c>
      <c r="H83">
        <v>2.73908935546875E-4</v>
      </c>
      <c r="I83">
        <v>-0.92738157169194357</v>
      </c>
      <c r="J83">
        <v>-2.5401809914792821E-4</v>
      </c>
      <c r="K83" s="93">
        <f t="shared" si="4"/>
        <v>0</v>
      </c>
      <c r="L83" s="93">
        <f t="shared" si="5"/>
        <v>0</v>
      </c>
      <c r="M83" s="93">
        <f t="shared" si="6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2.4936751237662054</v>
      </c>
      <c r="H84">
        <v>5.7825219726562497E-4</v>
      </c>
      <c r="I84">
        <v>-0.9202384073133375</v>
      </c>
      <c r="J84">
        <v>-5.3212988103715653E-4</v>
      </c>
      <c r="K84" s="93">
        <f t="shared" si="4"/>
        <v>0</v>
      </c>
      <c r="L84" s="93">
        <f t="shared" si="5"/>
        <v>0</v>
      </c>
      <c r="M84" s="93">
        <f t="shared" si="6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2.6676524579824568</v>
      </c>
      <c r="H85">
        <v>3.652119140625E-4</v>
      </c>
      <c r="I85">
        <v>-0.9149171643229046</v>
      </c>
      <c r="J85">
        <v>-3.3413864879100285E-4</v>
      </c>
      <c r="K85" s="93">
        <f t="shared" si="4"/>
        <v>0</v>
      </c>
      <c r="L85" s="93">
        <f t="shared" si="5"/>
        <v>0</v>
      </c>
      <c r="M85" s="93">
        <f t="shared" si="6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2.2617053448112117</v>
      </c>
      <c r="H86">
        <v>5.7825219726562497E-4</v>
      </c>
      <c r="I86">
        <v>-0.92738157169194357</v>
      </c>
      <c r="J86">
        <v>-5.3626043153451504E-4</v>
      </c>
      <c r="K86" s="93">
        <f t="shared" si="4"/>
        <v>0</v>
      </c>
      <c r="L86" s="93">
        <f t="shared" si="5"/>
        <v>0</v>
      </c>
      <c r="M86" s="93">
        <f t="shared" si="6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2.4936751237662054</v>
      </c>
      <c r="H87">
        <v>1.2207546386718748E-3</v>
      </c>
      <c r="I87">
        <v>-0.9202384073133375</v>
      </c>
      <c r="J87">
        <v>-1.1233853044117748E-3</v>
      </c>
      <c r="K87" s="93">
        <f t="shared" si="4"/>
        <v>0</v>
      </c>
      <c r="L87" s="93">
        <f t="shared" si="5"/>
        <v>0</v>
      </c>
      <c r="M87" s="93">
        <f t="shared" si="6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2.6676524579824568</v>
      </c>
      <c r="H88">
        <v>7.7100292968749996E-4</v>
      </c>
      <c r="I88">
        <v>-0.9149171643229046</v>
      </c>
      <c r="J88">
        <v>-7.0540381411433927E-4</v>
      </c>
      <c r="K88" s="93">
        <f t="shared" si="4"/>
        <v>0</v>
      </c>
      <c r="L88" s="93">
        <f t="shared" si="5"/>
        <v>0</v>
      </c>
      <c r="M88" s="93">
        <f t="shared" si="6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2.2617053448112117</v>
      </c>
      <c r="H89">
        <v>3.652119140625E-4</v>
      </c>
      <c r="I89">
        <v>-0.92738157169194357</v>
      </c>
      <c r="J89">
        <v>-3.3869079886390428E-4</v>
      </c>
      <c r="K89" s="93">
        <f t="shared" si="4"/>
        <v>0</v>
      </c>
      <c r="L89" s="93">
        <f t="shared" si="5"/>
        <v>0</v>
      </c>
      <c r="M89" s="93">
        <f t="shared" si="6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2.4936751237662054</v>
      </c>
      <c r="H90">
        <v>7.7100292968749996E-4</v>
      </c>
      <c r="I90">
        <v>-0.9202384073133375</v>
      </c>
      <c r="J90">
        <v>-7.0950650804954215E-4</v>
      </c>
      <c r="K90" s="93">
        <f t="shared" si="4"/>
        <v>0</v>
      </c>
      <c r="L90" s="93">
        <f t="shared" si="5"/>
        <v>0</v>
      </c>
      <c r="M90" s="93">
        <f t="shared" si="6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2.6676524579824568</v>
      </c>
      <c r="H91">
        <v>4.8694921874999997E-4</v>
      </c>
      <c r="I91">
        <v>-0.9149171643229046</v>
      </c>
      <c r="J91">
        <v>-4.4551819838800372E-4</v>
      </c>
      <c r="K91" s="93">
        <f t="shared" si="4"/>
        <v>0</v>
      </c>
      <c r="L91" s="93">
        <f t="shared" si="5"/>
        <v>0</v>
      </c>
      <c r="M91" s="93">
        <f t="shared" si="6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2.2617053448112117</v>
      </c>
      <c r="H92">
        <v>5.7825219726562497E-4</v>
      </c>
      <c r="I92">
        <v>-0.92738157169194357</v>
      </c>
      <c r="J92">
        <v>-5.3626043153451504E-4</v>
      </c>
      <c r="K92" s="93">
        <f t="shared" si="4"/>
        <v>0</v>
      </c>
      <c r="L92" s="93">
        <f t="shared" si="5"/>
        <v>0</v>
      </c>
      <c r="M92" s="93">
        <f t="shared" si="6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2.4936751237662054</v>
      </c>
      <c r="H93">
        <v>1.2207546386718748E-3</v>
      </c>
      <c r="I93">
        <v>-0.9202384073133375</v>
      </c>
      <c r="J93">
        <v>-1.1233853044117748E-3</v>
      </c>
      <c r="K93" s="93">
        <f t="shared" si="4"/>
        <v>0</v>
      </c>
      <c r="L93" s="93">
        <f t="shared" si="5"/>
        <v>0</v>
      </c>
      <c r="M93" s="93">
        <f t="shared" si="6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2.6676524579824568</v>
      </c>
      <c r="H94">
        <v>7.7100292968749996E-4</v>
      </c>
      <c r="I94">
        <v>-0.9149171643229046</v>
      </c>
      <c r="J94">
        <v>-7.0540381411433927E-4</v>
      </c>
      <c r="K94" s="93">
        <f t="shared" si="4"/>
        <v>0</v>
      </c>
      <c r="L94" s="93">
        <f t="shared" si="5"/>
        <v>0</v>
      </c>
      <c r="M94" s="93">
        <f t="shared" si="6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2.2617053448112117</v>
      </c>
      <c r="H95">
        <v>1.2207546386718748E-3</v>
      </c>
      <c r="I95">
        <v>-0.92738157169194357</v>
      </c>
      <c r="J95">
        <v>-1.132105355461754E-3</v>
      </c>
      <c r="K95" s="93">
        <f t="shared" si="4"/>
        <v>0</v>
      </c>
      <c r="L95" s="93">
        <f t="shared" si="5"/>
        <v>0</v>
      </c>
      <c r="M95" s="93">
        <f t="shared" si="6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2.4936751237662054</v>
      </c>
      <c r="H96">
        <v>2.5771486816406246E-3</v>
      </c>
      <c r="I96">
        <v>-0.9202384073133375</v>
      </c>
      <c r="J96">
        <v>-2.3715911982026359E-3</v>
      </c>
      <c r="K96" s="93">
        <f t="shared" si="4"/>
        <v>0</v>
      </c>
      <c r="L96" s="93">
        <f t="shared" si="5"/>
        <v>0</v>
      </c>
      <c r="M96" s="93">
        <f t="shared" si="6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2.6676524579824568</v>
      </c>
      <c r="H97">
        <v>1.6276728515624997E-3</v>
      </c>
      <c r="I97">
        <v>-0.9149171643229046</v>
      </c>
      <c r="J97">
        <v>-1.4891858297969383E-3</v>
      </c>
      <c r="K97" s="93">
        <f t="shared" si="4"/>
        <v>0</v>
      </c>
      <c r="L97" s="93">
        <f t="shared" si="5"/>
        <v>0</v>
      </c>
      <c r="M97" s="93">
        <f t="shared" si="6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2.2617053448112117</v>
      </c>
      <c r="H98">
        <v>7.7100292968749985E-4</v>
      </c>
      <c r="I98">
        <v>-0.92738157169194357</v>
      </c>
      <c r="J98">
        <v>-7.1501390871268672E-4</v>
      </c>
      <c r="K98" s="93">
        <f t="shared" si="4"/>
        <v>0</v>
      </c>
      <c r="L98" s="93">
        <f t="shared" si="5"/>
        <v>0</v>
      </c>
      <c r="M98" s="93">
        <f t="shared" si="6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2.4936751237662054</v>
      </c>
      <c r="H99">
        <v>1.6276728515624997E-3</v>
      </c>
      <c r="I99">
        <v>-0.9202384073133375</v>
      </c>
      <c r="J99">
        <v>-1.497847072549033E-3</v>
      </c>
      <c r="K99" s="93">
        <f t="shared" si="4"/>
        <v>0</v>
      </c>
      <c r="L99" s="93">
        <f t="shared" si="5"/>
        <v>0</v>
      </c>
      <c r="M99" s="93">
        <f t="shared" si="6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2.6676524579824568</v>
      </c>
      <c r="H100">
        <v>1.0280039062499997E-3</v>
      </c>
      <c r="I100">
        <v>-0.9149171643229046</v>
      </c>
      <c r="J100">
        <v>-9.405384188191188E-4</v>
      </c>
      <c r="K100" s="93">
        <f t="shared" si="4"/>
        <v>0</v>
      </c>
      <c r="L100" s="93">
        <f t="shared" si="5"/>
        <v>0</v>
      </c>
      <c r="M100" s="93">
        <f t="shared" si="6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2.2617053448112117</v>
      </c>
      <c r="H101">
        <v>3.6521191406249995E-4</v>
      </c>
      <c r="I101">
        <v>-0.92738157169194357</v>
      </c>
      <c r="J101">
        <v>-3.3869079886390423E-4</v>
      </c>
      <c r="K101" s="93">
        <f t="shared" si="4"/>
        <v>0</v>
      </c>
      <c r="L101" s="93">
        <f t="shared" si="5"/>
        <v>0</v>
      </c>
      <c r="M101" s="93">
        <f t="shared" si="6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2.4936751237662054</v>
      </c>
      <c r="H102">
        <v>7.7100292968749985E-4</v>
      </c>
      <c r="I102">
        <v>-0.9202384073133375</v>
      </c>
      <c r="J102">
        <v>-7.0950650804954205E-4</v>
      </c>
      <c r="K102" s="93">
        <f t="shared" si="4"/>
        <v>0</v>
      </c>
      <c r="L102" s="93">
        <f t="shared" si="5"/>
        <v>0</v>
      </c>
      <c r="M102" s="93">
        <f t="shared" si="6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2.4936751237662054</v>
      </c>
      <c r="H103">
        <v>4.8694921874999991E-4</v>
      </c>
      <c r="I103">
        <v>-0.9202384073133375</v>
      </c>
      <c r="J103">
        <v>-4.4810937350497389E-4</v>
      </c>
      <c r="K103" s="93">
        <f t="shared" si="4"/>
        <v>0</v>
      </c>
      <c r="L103" s="93">
        <f t="shared" si="5"/>
        <v>0</v>
      </c>
      <c r="M103" s="93">
        <f t="shared" si="6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2.2617053448112117</v>
      </c>
      <c r="H104">
        <v>7.7100292968749985E-4</v>
      </c>
      <c r="I104">
        <v>-0.92738157169194357</v>
      </c>
      <c r="J104">
        <v>-7.1501390871268672E-4</v>
      </c>
      <c r="K104" s="93">
        <f t="shared" si="4"/>
        <v>0</v>
      </c>
      <c r="L104" s="93">
        <f t="shared" si="5"/>
        <v>0</v>
      </c>
      <c r="M104" s="93">
        <f t="shared" si="6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2.4936751237662054</v>
      </c>
      <c r="H105">
        <v>1.6276728515624997E-3</v>
      </c>
      <c r="I105">
        <v>-0.9202384073133375</v>
      </c>
      <c r="J105">
        <v>-1.497847072549033E-3</v>
      </c>
      <c r="K105" s="93">
        <f t="shared" si="4"/>
        <v>0</v>
      </c>
      <c r="L105" s="93">
        <f t="shared" si="5"/>
        <v>0</v>
      </c>
      <c r="M105" s="93">
        <f t="shared" si="6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2.6676524579824568</v>
      </c>
      <c r="H106">
        <v>1.0280039062499997E-3</v>
      </c>
      <c r="I106">
        <v>-0.9149171643229046</v>
      </c>
      <c r="J106">
        <v>-9.405384188191188E-4</v>
      </c>
      <c r="K106" s="93">
        <f t="shared" si="4"/>
        <v>0</v>
      </c>
      <c r="L106" s="93">
        <f t="shared" si="5"/>
        <v>0</v>
      </c>
      <c r="M106" s="93">
        <f t="shared" si="6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2.2617053448112117</v>
      </c>
      <c r="H107">
        <v>4.8694921874999991E-4</v>
      </c>
      <c r="I107">
        <v>-0.92738157169194357</v>
      </c>
      <c r="J107">
        <v>-4.5158773181853897E-4</v>
      </c>
      <c r="K107" s="93">
        <f t="shared" si="4"/>
        <v>0</v>
      </c>
      <c r="L107" s="93">
        <f t="shared" si="5"/>
        <v>0</v>
      </c>
      <c r="M107" s="93">
        <f t="shared" si="6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2.4936751237662054</v>
      </c>
      <c r="H108">
        <v>1.0280039062499997E-3</v>
      </c>
      <c r="I108">
        <v>-0.9202384073133375</v>
      </c>
      <c r="J108">
        <v>-9.4600867739938932E-4</v>
      </c>
      <c r="K108" s="93">
        <f t="shared" si="4"/>
        <v>0</v>
      </c>
      <c r="L108" s="93">
        <f t="shared" si="5"/>
        <v>0</v>
      </c>
      <c r="M108" s="93">
        <f t="shared" si="6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2.6676524579824568</v>
      </c>
      <c r="H109">
        <v>6.4926562499999978E-4</v>
      </c>
      <c r="I109">
        <v>-0.9149171643229046</v>
      </c>
      <c r="J109">
        <v>-5.9402426451733812E-4</v>
      </c>
      <c r="K109" s="93">
        <f t="shared" si="4"/>
        <v>0</v>
      </c>
      <c r="L109" s="93">
        <f t="shared" si="5"/>
        <v>0</v>
      </c>
      <c r="M109" s="93">
        <f t="shared" si="6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2.7836373474599538</v>
      </c>
      <c r="H110">
        <v>5.7825219726562497E-4</v>
      </c>
      <c r="I110">
        <v>-0.91138677437898441</v>
      </c>
      <c r="J110">
        <v>-5.2701140484347816E-4</v>
      </c>
      <c r="K110" s="93">
        <f t="shared" si="4"/>
        <v>0</v>
      </c>
      <c r="L110" s="93">
        <f t="shared" si="5"/>
        <v>0</v>
      </c>
      <c r="M110" s="93">
        <f t="shared" si="6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3.0691386138661052</v>
      </c>
      <c r="H111">
        <v>1.2207546386718748E-3</v>
      </c>
      <c r="I111">
        <v>-0.90275451228290327</v>
      </c>
      <c r="J111">
        <v>-1.1020417584513202E-3</v>
      </c>
      <c r="K111" s="93">
        <f t="shared" si="4"/>
        <v>0</v>
      </c>
      <c r="L111" s="93">
        <f t="shared" si="5"/>
        <v>0</v>
      </c>
      <c r="M111" s="93">
        <f t="shared" si="6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3.2832645636707141</v>
      </c>
      <c r="H112">
        <v>7.7100292968749996E-4</v>
      </c>
      <c r="I112">
        <v>-0.89633401388276435</v>
      </c>
      <c r="J112">
        <v>-6.9107615068216758E-4</v>
      </c>
      <c r="K112" s="93">
        <f t="shared" si="4"/>
        <v>0</v>
      </c>
      <c r="L112" s="93">
        <f t="shared" si="5"/>
        <v>0</v>
      </c>
      <c r="M112" s="93">
        <f t="shared" si="6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2.7836373474599538</v>
      </c>
      <c r="H113">
        <v>1.2207546386718748E-3</v>
      </c>
      <c r="I113">
        <v>-0.91138677437898441</v>
      </c>
      <c r="J113">
        <v>-1.1125796324473426E-3</v>
      </c>
      <c r="K113" s="93">
        <f t="shared" si="4"/>
        <v>0</v>
      </c>
      <c r="L113" s="93">
        <f t="shared" si="5"/>
        <v>0</v>
      </c>
      <c r="M113" s="93">
        <f t="shared" si="6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3.0691386138661052</v>
      </c>
      <c r="H114">
        <v>2.5771486816406246E-3</v>
      </c>
      <c r="I114">
        <v>-0.90275451228290327</v>
      </c>
      <c r="J114">
        <v>-2.3265326011750092E-3</v>
      </c>
      <c r="K114" s="93">
        <f t="shared" si="4"/>
        <v>0</v>
      </c>
      <c r="L114" s="93">
        <f t="shared" si="5"/>
        <v>0</v>
      </c>
      <c r="M114" s="93">
        <f t="shared" si="6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3.2832645636707141</v>
      </c>
      <c r="H115">
        <v>1.6276728515624997E-3</v>
      </c>
      <c r="I115">
        <v>-0.89633401388276435</v>
      </c>
      <c r="J115">
        <v>-1.4589385403290201E-3</v>
      </c>
      <c r="K115" s="93">
        <f t="shared" si="4"/>
        <v>0</v>
      </c>
      <c r="L115" s="93">
        <f t="shared" si="5"/>
        <v>0</v>
      </c>
      <c r="M115" s="93">
        <f t="shared" si="6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2.7836373474599538</v>
      </c>
      <c r="H116">
        <v>7.7100292968749985E-4</v>
      </c>
      <c r="I116">
        <v>-0.91138677437898441</v>
      </c>
      <c r="J116">
        <v>-7.026818731246374E-4</v>
      </c>
      <c r="K116" s="93">
        <f t="shared" si="4"/>
        <v>0</v>
      </c>
      <c r="L116" s="93">
        <f t="shared" si="5"/>
        <v>0</v>
      </c>
      <c r="M116" s="93">
        <f t="shared" si="6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3.0691386138661052</v>
      </c>
      <c r="H117">
        <v>1.6276728515624997E-3</v>
      </c>
      <c r="I117">
        <v>-0.90275451228290327</v>
      </c>
      <c r="J117">
        <v>-1.4693890112684267E-3</v>
      </c>
      <c r="K117" s="93">
        <f t="shared" si="4"/>
        <v>0</v>
      </c>
      <c r="L117" s="93">
        <f t="shared" si="5"/>
        <v>0</v>
      </c>
      <c r="M117" s="93">
        <f t="shared" si="6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3.2832645636707141</v>
      </c>
      <c r="H118">
        <v>1.0280039062499997E-3</v>
      </c>
      <c r="I118">
        <v>-0.89633401388276435</v>
      </c>
      <c r="J118">
        <v>-9.2143486757622327E-4</v>
      </c>
      <c r="K118" s="93">
        <f t="shared" si="4"/>
        <v>0</v>
      </c>
      <c r="L118" s="93">
        <f t="shared" si="5"/>
        <v>0</v>
      </c>
      <c r="M118" s="93">
        <f t="shared" si="6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2.7836373474599538</v>
      </c>
      <c r="H119">
        <v>1.2207546386718748E-3</v>
      </c>
      <c r="I119">
        <v>-0.91138677437898441</v>
      </c>
      <c r="J119">
        <v>-1.1125796324473426E-3</v>
      </c>
      <c r="K119" s="93">
        <f t="shared" si="4"/>
        <v>0</v>
      </c>
      <c r="L119" s="93">
        <f t="shared" si="5"/>
        <v>0</v>
      </c>
      <c r="M119" s="93">
        <f t="shared" si="6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3.0691386138661052</v>
      </c>
      <c r="H120">
        <v>2.5771486816406246E-3</v>
      </c>
      <c r="I120">
        <v>-0.90275451228290327</v>
      </c>
      <c r="J120">
        <v>-2.3265326011750092E-3</v>
      </c>
      <c r="K120" s="93">
        <f t="shared" si="4"/>
        <v>0</v>
      </c>
      <c r="L120" s="93">
        <f t="shared" si="5"/>
        <v>0</v>
      </c>
      <c r="M120" s="93">
        <f t="shared" si="6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3.2832645636707141</v>
      </c>
      <c r="H121">
        <v>1.6276728515624997E-3</v>
      </c>
      <c r="I121">
        <v>-0.89633401388276435</v>
      </c>
      <c r="J121">
        <v>-1.4589385403290201E-3</v>
      </c>
      <c r="K121" s="93">
        <f t="shared" si="4"/>
        <v>0</v>
      </c>
      <c r="L121" s="93">
        <f t="shared" si="5"/>
        <v>0</v>
      </c>
      <c r="M121" s="93">
        <f t="shared" si="6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2.7836373474599538</v>
      </c>
      <c r="H122">
        <v>2.5771486816406246E-3</v>
      </c>
      <c r="I122">
        <v>-0.91138677437898441</v>
      </c>
      <c r="J122">
        <v>-2.3487792240555012E-3</v>
      </c>
      <c r="K122" s="93">
        <f t="shared" si="4"/>
        <v>0</v>
      </c>
      <c r="L122" s="93">
        <f t="shared" si="5"/>
        <v>0</v>
      </c>
      <c r="M122" s="93">
        <f t="shared" si="6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3.0691386138661052</v>
      </c>
      <c r="H123">
        <v>5.4406472167968737E-3</v>
      </c>
      <c r="I123">
        <v>-0.90275451228290327</v>
      </c>
      <c r="J123">
        <v>-4.9115688247027972E-3</v>
      </c>
      <c r="K123" s="93">
        <f t="shared" si="4"/>
        <v>0</v>
      </c>
      <c r="L123" s="93">
        <f t="shared" si="5"/>
        <v>0</v>
      </c>
      <c r="M123" s="93">
        <f t="shared" si="6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3.2832645636707141</v>
      </c>
      <c r="H124">
        <v>3.4361982421874993E-3</v>
      </c>
      <c r="I124">
        <v>-0.89633401388276435</v>
      </c>
      <c r="J124">
        <v>-3.0799813629168206E-3</v>
      </c>
      <c r="K124" s="93">
        <f t="shared" si="4"/>
        <v>0</v>
      </c>
      <c r="L124" s="93">
        <f t="shared" si="5"/>
        <v>0</v>
      </c>
      <c r="M124" s="93">
        <f t="shared" si="6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2.7836373474599538</v>
      </c>
      <c r="H125">
        <v>1.6276728515624997E-3</v>
      </c>
      <c r="I125">
        <v>-0.91138677437898441</v>
      </c>
      <c r="J125">
        <v>-1.48343950992979E-3</v>
      </c>
      <c r="K125" s="93">
        <f t="shared" si="4"/>
        <v>0</v>
      </c>
      <c r="L125" s="93">
        <f t="shared" si="5"/>
        <v>0</v>
      </c>
      <c r="M125" s="93">
        <f t="shared" si="6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3.0691386138661052</v>
      </c>
      <c r="H126">
        <v>3.4361982421874993E-3</v>
      </c>
      <c r="I126">
        <v>-0.90275451228290327</v>
      </c>
      <c r="J126">
        <v>-3.1020434682333454E-3</v>
      </c>
      <c r="K126" s="93">
        <f t="shared" si="4"/>
        <v>0</v>
      </c>
      <c r="L126" s="93">
        <f t="shared" si="5"/>
        <v>0</v>
      </c>
      <c r="M126" s="93">
        <f t="shared" si="6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3.2832645636707141</v>
      </c>
      <c r="H127">
        <v>2.1702304687499993E-3</v>
      </c>
      <c r="I127">
        <v>-0.89633401388276435</v>
      </c>
      <c r="J127">
        <v>-1.94525138710536E-3</v>
      </c>
      <c r="K127" s="93">
        <f t="shared" si="4"/>
        <v>0</v>
      </c>
      <c r="L127" s="93">
        <f t="shared" si="5"/>
        <v>0</v>
      </c>
      <c r="M127" s="93">
        <f t="shared" si="6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2.7836373474599538</v>
      </c>
      <c r="H128">
        <v>7.7100292968749996E-4</v>
      </c>
      <c r="I128">
        <v>-0.91138677437898441</v>
      </c>
      <c r="J128">
        <v>-7.0268187312463751E-4</v>
      </c>
      <c r="K128" s="93">
        <f t="shared" si="4"/>
        <v>0</v>
      </c>
      <c r="L128" s="93">
        <f t="shared" si="5"/>
        <v>0</v>
      </c>
      <c r="M128" s="93">
        <f t="shared" si="6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3.0691386138661052</v>
      </c>
      <c r="H129">
        <v>1.6276728515624999E-3</v>
      </c>
      <c r="I129">
        <v>-0.90275451228290327</v>
      </c>
      <c r="J129">
        <v>-1.4693890112684269E-3</v>
      </c>
      <c r="K129" s="93">
        <f t="shared" si="4"/>
        <v>0</v>
      </c>
      <c r="L129" s="93">
        <f t="shared" si="5"/>
        <v>0</v>
      </c>
      <c r="M129" s="93">
        <f t="shared" si="6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3.2832645636707141</v>
      </c>
      <c r="H130">
        <v>1.0280039062499999E-3</v>
      </c>
      <c r="I130">
        <v>-0.89633401388276435</v>
      </c>
      <c r="J130">
        <v>-9.2143486757622348E-4</v>
      </c>
      <c r="K130" s="93">
        <f t="shared" si="4"/>
        <v>0</v>
      </c>
      <c r="L130" s="93">
        <f t="shared" si="5"/>
        <v>0</v>
      </c>
      <c r="M130" s="93">
        <f t="shared" si="6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2.7836373474599538</v>
      </c>
      <c r="H131">
        <v>1.6276728515624997E-3</v>
      </c>
      <c r="I131">
        <v>-0.91138677437898441</v>
      </c>
      <c r="J131">
        <v>-1.48343950992979E-3</v>
      </c>
      <c r="K131" s="93">
        <f t="shared" ref="K131:K194" si="7">IF(A131=3,1,0)</f>
        <v>0</v>
      </c>
      <c r="L131" s="93">
        <f t="shared" ref="L131:L194" si="8">IF(A131=2,1,0)</f>
        <v>0</v>
      </c>
      <c r="M131" s="93">
        <f t="shared" ref="M131:M194" si="9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3.0691386138661052</v>
      </c>
      <c r="H132">
        <v>3.4361982421874993E-3</v>
      </c>
      <c r="I132">
        <v>-0.90275451228290327</v>
      </c>
      <c r="J132">
        <v>-3.1020434682333454E-3</v>
      </c>
      <c r="K132" s="93">
        <f t="shared" si="7"/>
        <v>0</v>
      </c>
      <c r="L132" s="93">
        <f t="shared" si="8"/>
        <v>0</v>
      </c>
      <c r="M132" s="93">
        <f t="shared" si="9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3.2832645636707141</v>
      </c>
      <c r="H133">
        <v>2.1702304687499993E-3</v>
      </c>
      <c r="I133">
        <v>-0.89633401388276435</v>
      </c>
      <c r="J133">
        <v>-1.94525138710536E-3</v>
      </c>
      <c r="K133" s="93">
        <f t="shared" si="7"/>
        <v>0</v>
      </c>
      <c r="L133" s="93">
        <f t="shared" si="8"/>
        <v>0</v>
      </c>
      <c r="M133" s="93">
        <f t="shared" si="9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2.7836373474599538</v>
      </c>
      <c r="H134">
        <v>1.0280039062499999E-3</v>
      </c>
      <c r="I134">
        <v>-0.91138677437898441</v>
      </c>
      <c r="J134">
        <v>-9.3690916416618334E-4</v>
      </c>
      <c r="K134" s="93">
        <f t="shared" si="7"/>
        <v>0</v>
      </c>
      <c r="L134" s="93">
        <f t="shared" si="8"/>
        <v>0</v>
      </c>
      <c r="M134" s="93">
        <f t="shared" si="9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3.0691386138661052</v>
      </c>
      <c r="H135">
        <v>2.1702304687499993E-3</v>
      </c>
      <c r="I135">
        <v>-0.90275451228290327</v>
      </c>
      <c r="J135">
        <v>-1.959185348357902E-3</v>
      </c>
      <c r="K135" s="93">
        <f t="shared" si="7"/>
        <v>0</v>
      </c>
      <c r="L135" s="93">
        <f t="shared" si="8"/>
        <v>0</v>
      </c>
      <c r="M135" s="93">
        <f t="shared" si="9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3.2832645636707141</v>
      </c>
      <c r="H136">
        <v>1.3706718749999997E-3</v>
      </c>
      <c r="I136">
        <v>-0.89633401388276435</v>
      </c>
      <c r="J136">
        <v>-1.2285798234349644E-3</v>
      </c>
      <c r="K136" s="93">
        <f t="shared" si="7"/>
        <v>0</v>
      </c>
      <c r="L136" s="93">
        <f t="shared" si="8"/>
        <v>0</v>
      </c>
      <c r="M136" s="93">
        <f t="shared" si="9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3.1315920158924504</v>
      </c>
      <c r="H137">
        <v>3.652119140625E-4</v>
      </c>
      <c r="I137">
        <v>-0.90087713075908193</v>
      </c>
      <c r="J137">
        <v>-3.2901106125965743E-4</v>
      </c>
      <c r="K137" s="93">
        <f t="shared" si="7"/>
        <v>0</v>
      </c>
      <c r="L137" s="93">
        <f t="shared" si="8"/>
        <v>0</v>
      </c>
      <c r="M137" s="93">
        <f t="shared" si="9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3.4527809405993679</v>
      </c>
      <c r="H138">
        <v>7.7100292968749996E-4</v>
      </c>
      <c r="I138">
        <v>-0.89128351985981691</v>
      </c>
      <c r="J138">
        <v>-6.8718220499410594E-4</v>
      </c>
      <c r="K138" s="93">
        <f t="shared" si="7"/>
        <v>0</v>
      </c>
      <c r="L138" s="93">
        <f t="shared" si="8"/>
        <v>0</v>
      </c>
      <c r="M138" s="93">
        <f t="shared" si="9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3.6936726341295558</v>
      </c>
      <c r="H139">
        <v>4.8694921874999997E-4</v>
      </c>
      <c r="I139">
        <v>-0.88415541662319652</v>
      </c>
      <c r="J139">
        <v>-4.3053878937824626E-4</v>
      </c>
      <c r="K139" s="93">
        <f t="shared" si="7"/>
        <v>0</v>
      </c>
      <c r="L139" s="93">
        <f t="shared" si="8"/>
        <v>0</v>
      </c>
      <c r="M139" s="93">
        <f t="shared" si="9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3.1315920158924504</v>
      </c>
      <c r="H140">
        <v>7.7100292968749996E-4</v>
      </c>
      <c r="I140">
        <v>-0.90087713075908193</v>
      </c>
      <c r="J140">
        <v>-6.9457890710372119E-4</v>
      </c>
      <c r="K140" s="93">
        <f t="shared" si="7"/>
        <v>0</v>
      </c>
      <c r="L140" s="93">
        <f t="shared" si="8"/>
        <v>0</v>
      </c>
      <c r="M140" s="93">
        <f t="shared" si="9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3.4527809405993679</v>
      </c>
      <c r="H141">
        <v>1.6276728515624999E-3</v>
      </c>
      <c r="I141">
        <v>-0.89128351985981691</v>
      </c>
      <c r="J141">
        <v>-1.4507179883208902E-3</v>
      </c>
      <c r="K141" s="93">
        <f t="shared" si="7"/>
        <v>0</v>
      </c>
      <c r="L141" s="93">
        <f t="shared" si="8"/>
        <v>0</v>
      </c>
      <c r="M141" s="93">
        <f t="shared" si="9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3.6936726341295558</v>
      </c>
      <c r="H142">
        <v>1.0280039062499999E-3</v>
      </c>
      <c r="I142">
        <v>-0.88415541662319652</v>
      </c>
      <c r="J142">
        <v>-9.0891522202074212E-4</v>
      </c>
      <c r="K142" s="93">
        <f t="shared" si="7"/>
        <v>0</v>
      </c>
      <c r="L142" s="93">
        <f t="shared" si="8"/>
        <v>0</v>
      </c>
      <c r="M142" s="93">
        <f t="shared" si="9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3.1315920158924504</v>
      </c>
      <c r="H143">
        <v>4.8694921874999997E-4</v>
      </c>
      <c r="I143">
        <v>-0.90087713075908193</v>
      </c>
      <c r="J143">
        <v>-4.3868141501287651E-4</v>
      </c>
      <c r="K143" s="93">
        <f t="shared" si="7"/>
        <v>0</v>
      </c>
      <c r="L143" s="93">
        <f t="shared" si="8"/>
        <v>0</v>
      </c>
      <c r="M143" s="93">
        <f t="shared" si="9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3.4527809405993679</v>
      </c>
      <c r="H144">
        <v>1.0280039062499999E-3</v>
      </c>
      <c r="I144">
        <v>-0.89128351985981691</v>
      </c>
      <c r="J144">
        <v>-9.1624293999214115E-4</v>
      </c>
      <c r="K144" s="93">
        <f t="shared" si="7"/>
        <v>0</v>
      </c>
      <c r="L144" s="93">
        <f t="shared" si="8"/>
        <v>0</v>
      </c>
      <c r="M144" s="93">
        <f t="shared" si="9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3.6936726341295558</v>
      </c>
      <c r="H145">
        <v>6.4926562499999999E-4</v>
      </c>
      <c r="I145">
        <v>-0.88415541662319652</v>
      </c>
      <c r="J145">
        <v>-5.7405171917099512E-4</v>
      </c>
      <c r="K145" s="93">
        <f t="shared" si="7"/>
        <v>0</v>
      </c>
      <c r="L145" s="93">
        <f t="shared" si="8"/>
        <v>0</v>
      </c>
      <c r="M145" s="93">
        <f t="shared" si="9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3.1315920158924504</v>
      </c>
      <c r="H146">
        <v>7.7100292968750007E-4</v>
      </c>
      <c r="I146">
        <v>-0.90087713075908193</v>
      </c>
      <c r="J146">
        <v>-6.945789071037213E-4</v>
      </c>
      <c r="K146" s="93">
        <f t="shared" si="7"/>
        <v>0</v>
      </c>
      <c r="L146" s="93">
        <f t="shared" si="8"/>
        <v>0</v>
      </c>
      <c r="M146" s="93">
        <f t="shared" si="9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3.4527809405993679</v>
      </c>
      <c r="H147">
        <v>1.6276728515625001E-3</v>
      </c>
      <c r="I147">
        <v>-0.89128351985981691</v>
      </c>
      <c r="J147">
        <v>-1.4507179883208904E-3</v>
      </c>
      <c r="K147" s="93">
        <f t="shared" si="7"/>
        <v>0</v>
      </c>
      <c r="L147" s="93">
        <f t="shared" si="8"/>
        <v>0</v>
      </c>
      <c r="M147" s="93">
        <f t="shared" si="9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3.6936726341295558</v>
      </c>
      <c r="H148">
        <v>1.0280039062499999E-3</v>
      </c>
      <c r="I148">
        <v>-0.88415541662319652</v>
      </c>
      <c r="J148">
        <v>-9.0891522202074212E-4</v>
      </c>
      <c r="K148" s="93">
        <f t="shared" si="7"/>
        <v>0</v>
      </c>
      <c r="L148" s="93">
        <f t="shared" si="8"/>
        <v>0</v>
      </c>
      <c r="M148" s="93">
        <f t="shared" si="9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3.1315920158924504</v>
      </c>
      <c r="H149">
        <v>1.6276728515624999E-3</v>
      </c>
      <c r="I149">
        <v>-0.90087713075908193</v>
      </c>
      <c r="J149">
        <v>-1.4663332483300781E-3</v>
      </c>
      <c r="K149" s="93">
        <f t="shared" si="7"/>
        <v>0</v>
      </c>
      <c r="L149" s="93">
        <f t="shared" si="8"/>
        <v>0</v>
      </c>
      <c r="M149" s="93">
        <f t="shared" si="9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3.4527809405993679</v>
      </c>
      <c r="H150">
        <v>3.4361982421874998E-3</v>
      </c>
      <c r="I150">
        <v>-0.89128351985981691</v>
      </c>
      <c r="J150">
        <v>-3.0626268642329904E-3</v>
      </c>
      <c r="K150" s="93">
        <f t="shared" si="7"/>
        <v>0</v>
      </c>
      <c r="L150" s="93">
        <f t="shared" si="8"/>
        <v>0</v>
      </c>
      <c r="M150" s="93">
        <f t="shared" si="9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3.6936726341295558</v>
      </c>
      <c r="H151">
        <v>2.1702304687499997E-3</v>
      </c>
      <c r="I151">
        <v>-0.88415541662319652</v>
      </c>
      <c r="J151">
        <v>-1.9188210242660111E-3</v>
      </c>
      <c r="K151" s="93">
        <f t="shared" si="7"/>
        <v>0</v>
      </c>
      <c r="L151" s="93">
        <f t="shared" si="8"/>
        <v>0</v>
      </c>
      <c r="M151" s="93">
        <f t="shared" si="9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3.1315920158924504</v>
      </c>
      <c r="H152">
        <v>1.0280039062499999E-3</v>
      </c>
      <c r="I152">
        <v>-0.90087713075908193</v>
      </c>
      <c r="J152">
        <v>-9.2610520947162818E-4</v>
      </c>
      <c r="K152" s="93">
        <f t="shared" si="7"/>
        <v>0</v>
      </c>
      <c r="L152" s="93">
        <f t="shared" si="8"/>
        <v>0</v>
      </c>
      <c r="M152" s="93">
        <f t="shared" si="9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3.4527809405993679</v>
      </c>
      <c r="H153">
        <v>2.1702304687499997E-3</v>
      </c>
      <c r="I153">
        <v>-0.89128351985981691</v>
      </c>
      <c r="J153">
        <v>-1.9342906510945201E-3</v>
      </c>
      <c r="K153" s="93">
        <f t="shared" si="7"/>
        <v>0</v>
      </c>
      <c r="L153" s="93">
        <f t="shared" si="8"/>
        <v>0</v>
      </c>
      <c r="M153" s="93">
        <f t="shared" si="9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3.6936726341295558</v>
      </c>
      <c r="H154">
        <v>1.3706718749999999E-3</v>
      </c>
      <c r="I154">
        <v>-0.88415541662319652</v>
      </c>
      <c r="J154">
        <v>-1.2118869626943228E-3</v>
      </c>
      <c r="K154" s="93">
        <f t="shared" si="7"/>
        <v>0</v>
      </c>
      <c r="L154" s="93">
        <f t="shared" si="8"/>
        <v>0</v>
      </c>
      <c r="M154" s="93">
        <f t="shared" si="9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3.1315920158924504</v>
      </c>
      <c r="H155">
        <v>4.8694921875000008E-4</v>
      </c>
      <c r="I155">
        <v>-0.90087713075908193</v>
      </c>
      <c r="J155">
        <v>-4.3868141501287661E-4</v>
      </c>
      <c r="K155" s="93">
        <f t="shared" si="7"/>
        <v>0</v>
      </c>
      <c r="L155" s="93">
        <f t="shared" si="8"/>
        <v>0</v>
      </c>
      <c r="M155" s="93">
        <f t="shared" si="9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3.4527809405993679</v>
      </c>
      <c r="H156">
        <v>1.0280039062500002E-3</v>
      </c>
      <c r="I156">
        <v>-0.89128351985981691</v>
      </c>
      <c r="J156">
        <v>-9.1624293999214136E-4</v>
      </c>
      <c r="K156" s="93">
        <f t="shared" si="7"/>
        <v>0</v>
      </c>
      <c r="L156" s="93">
        <f t="shared" si="8"/>
        <v>0</v>
      </c>
      <c r="M156" s="93">
        <f t="shared" si="9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3.6936726341295558</v>
      </c>
      <c r="H157">
        <v>6.492656250000001E-4</v>
      </c>
      <c r="I157">
        <v>-0.88415541662319652</v>
      </c>
      <c r="J157">
        <v>-5.7405171917099512E-4</v>
      </c>
      <c r="K157" s="93">
        <f t="shared" si="7"/>
        <v>0</v>
      </c>
      <c r="L157" s="93">
        <f t="shared" si="8"/>
        <v>0</v>
      </c>
      <c r="M157" s="93">
        <f t="shared" si="9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3.1315920158924504</v>
      </c>
      <c r="H158">
        <v>1.0280039062499999E-3</v>
      </c>
      <c r="I158">
        <v>-0.90087713075908193</v>
      </c>
      <c r="J158">
        <v>-9.2610520947162818E-4</v>
      </c>
      <c r="K158" s="93">
        <f t="shared" si="7"/>
        <v>0</v>
      </c>
      <c r="L158" s="93">
        <f t="shared" si="8"/>
        <v>0</v>
      </c>
      <c r="M158" s="93">
        <f t="shared" si="9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3.4527809405993679</v>
      </c>
      <c r="H159">
        <v>2.1702304687499997E-3</v>
      </c>
      <c r="I159">
        <v>-0.89128351985981691</v>
      </c>
      <c r="J159">
        <v>-1.9342906510945201E-3</v>
      </c>
      <c r="K159" s="93">
        <f t="shared" si="7"/>
        <v>0</v>
      </c>
      <c r="L159" s="93">
        <f t="shared" si="8"/>
        <v>0</v>
      </c>
      <c r="M159" s="93">
        <f t="shared" si="9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3.6936726341295558</v>
      </c>
      <c r="H160">
        <v>1.3706718749999999E-3</v>
      </c>
      <c r="I160">
        <v>-0.88415541662319652</v>
      </c>
      <c r="J160">
        <v>-1.2118869626943228E-3</v>
      </c>
      <c r="K160" s="93">
        <f t="shared" si="7"/>
        <v>0</v>
      </c>
      <c r="L160" s="93">
        <f t="shared" si="8"/>
        <v>0</v>
      </c>
      <c r="M160" s="93">
        <f t="shared" si="9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3.1315920158924504</v>
      </c>
      <c r="H161">
        <v>6.492656250000001E-4</v>
      </c>
      <c r="I161">
        <v>-0.90087713075908193</v>
      </c>
      <c r="J161">
        <v>-5.8490855335050212E-4</v>
      </c>
      <c r="K161" s="93">
        <f t="shared" si="7"/>
        <v>0</v>
      </c>
      <c r="L161" s="93">
        <f t="shared" si="8"/>
        <v>0</v>
      </c>
      <c r="M161" s="93">
        <f t="shared" si="9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3.4527809405993679</v>
      </c>
      <c r="H162">
        <v>1.3706718749999999E-3</v>
      </c>
      <c r="I162">
        <v>-0.89128351985981691</v>
      </c>
      <c r="J162">
        <v>-1.221657253322855E-3</v>
      </c>
      <c r="K162" s="93">
        <f t="shared" si="7"/>
        <v>0</v>
      </c>
      <c r="L162" s="93">
        <f t="shared" si="8"/>
        <v>0</v>
      </c>
      <c r="M162" s="93">
        <f t="shared" si="9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3.6936726341295558</v>
      </c>
      <c r="H163">
        <v>8.6568750000000003E-4</v>
      </c>
      <c r="I163">
        <v>-0.88415541662319652</v>
      </c>
      <c r="J163">
        <v>-7.6540229222799342E-4</v>
      </c>
      <c r="K163" s="93">
        <f t="shared" si="7"/>
        <v>0</v>
      </c>
      <c r="L163" s="93">
        <f t="shared" si="8"/>
        <v>0</v>
      </c>
      <c r="M163" s="93">
        <f t="shared" si="9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2.4582464545166651</v>
      </c>
      <c r="H164">
        <v>1.7299511718750003E-4</v>
      </c>
      <c r="I164">
        <v>-0.92132581001291536</v>
      </c>
      <c r="J164">
        <v>-1.5938486647105267E-4</v>
      </c>
      <c r="K164" s="93">
        <f t="shared" si="7"/>
        <v>0</v>
      </c>
      <c r="L164" s="93">
        <f t="shared" si="8"/>
        <v>0</v>
      </c>
      <c r="M164" s="93">
        <f t="shared" si="9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2.7103742960055541</v>
      </c>
      <c r="H165">
        <v>3.6521191406250006E-4</v>
      </c>
      <c r="I165">
        <v>-0.91361519348942477</v>
      </c>
      <c r="J165">
        <v>-3.3366315353085415E-4</v>
      </c>
      <c r="K165" s="93">
        <f t="shared" si="7"/>
        <v>0</v>
      </c>
      <c r="L165" s="93">
        <f t="shared" si="8"/>
        <v>0</v>
      </c>
      <c r="M165" s="93">
        <f t="shared" si="9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2.8994701771222213</v>
      </c>
      <c r="H166">
        <v>2.3066015625000002E-4</v>
      </c>
      <c r="I166">
        <v>-0.90787460884371185</v>
      </c>
      <c r="J166">
        <v>-2.0941049913129821E-4</v>
      </c>
      <c r="K166" s="93">
        <f t="shared" si="7"/>
        <v>0</v>
      </c>
      <c r="L166" s="93">
        <f t="shared" si="8"/>
        <v>0</v>
      </c>
      <c r="M166" s="93">
        <f t="shared" si="9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2.4582464545166651</v>
      </c>
      <c r="H167">
        <v>3.6521191406250006E-4</v>
      </c>
      <c r="I167">
        <v>-0.92132581001291536</v>
      </c>
      <c r="J167">
        <v>-3.3647916255000009E-4</v>
      </c>
      <c r="K167" s="93">
        <f t="shared" si="7"/>
        <v>0</v>
      </c>
      <c r="L167" s="93">
        <f t="shared" si="8"/>
        <v>0</v>
      </c>
      <c r="M167" s="93">
        <f t="shared" si="9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2.7103742960055541</v>
      </c>
      <c r="H168">
        <v>7.7100292968750007E-4</v>
      </c>
      <c r="I168">
        <v>-0.91361519348942477</v>
      </c>
      <c r="J168">
        <v>-7.0439999078735871E-4</v>
      </c>
      <c r="K168" s="93">
        <f t="shared" si="7"/>
        <v>0</v>
      </c>
      <c r="L168" s="93">
        <f t="shared" si="8"/>
        <v>0</v>
      </c>
      <c r="M168" s="93">
        <f t="shared" si="9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2.8994701771222213</v>
      </c>
      <c r="H169">
        <v>4.8694921875000008E-4</v>
      </c>
      <c r="I169">
        <v>-0.90787460884371185</v>
      </c>
      <c r="J169">
        <v>-4.420888314994074E-4</v>
      </c>
      <c r="K169" s="93">
        <f t="shared" si="7"/>
        <v>0</v>
      </c>
      <c r="L169" s="93">
        <f t="shared" si="8"/>
        <v>0</v>
      </c>
      <c r="M169" s="93">
        <f t="shared" si="9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2.4582464545166651</v>
      </c>
      <c r="H170">
        <v>2.3066015625000002E-4</v>
      </c>
      <c r="I170">
        <v>-0.92132581001291536</v>
      </c>
      <c r="J170">
        <v>-2.125131552947369E-4</v>
      </c>
      <c r="K170" s="93">
        <f t="shared" si="7"/>
        <v>0</v>
      </c>
      <c r="L170" s="93">
        <f t="shared" si="8"/>
        <v>0</v>
      </c>
      <c r="M170" s="93">
        <f t="shared" si="9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2.7103742960055541</v>
      </c>
      <c r="H171">
        <v>4.8694921874999997E-4</v>
      </c>
      <c r="I171">
        <v>-0.91361519348942477</v>
      </c>
      <c r="J171">
        <v>-4.4488420470780544E-4</v>
      </c>
      <c r="K171" s="93">
        <f t="shared" si="7"/>
        <v>0</v>
      </c>
      <c r="L171" s="93">
        <f t="shared" si="8"/>
        <v>0</v>
      </c>
      <c r="M171" s="93">
        <f t="shared" si="9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2.8994701771222213</v>
      </c>
      <c r="H172">
        <v>3.0754687499999999E-4</v>
      </c>
      <c r="I172">
        <v>-0.90787460884371185</v>
      </c>
      <c r="J172">
        <v>-2.7921399884173095E-4</v>
      </c>
      <c r="K172" s="93">
        <f t="shared" si="7"/>
        <v>0</v>
      </c>
      <c r="L172" s="93">
        <f t="shared" si="8"/>
        <v>0</v>
      </c>
      <c r="M172" s="93">
        <f t="shared" si="9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2.4582464545166651</v>
      </c>
      <c r="H173">
        <v>3.652119140625E-4</v>
      </c>
      <c r="I173">
        <v>-0.92132581001291536</v>
      </c>
      <c r="J173">
        <v>-3.3647916255000003E-4</v>
      </c>
      <c r="K173" s="93">
        <f t="shared" si="7"/>
        <v>0</v>
      </c>
      <c r="L173" s="93">
        <f t="shared" si="8"/>
        <v>0</v>
      </c>
      <c r="M173" s="93">
        <f t="shared" si="9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2.7103742960055541</v>
      </c>
      <c r="H174">
        <v>7.7100292968749996E-4</v>
      </c>
      <c r="I174">
        <v>-0.91361519348942477</v>
      </c>
      <c r="J174">
        <v>-7.043999907873586E-4</v>
      </c>
      <c r="K174" s="93">
        <f t="shared" si="7"/>
        <v>0</v>
      </c>
      <c r="L174" s="93">
        <f t="shared" si="8"/>
        <v>0</v>
      </c>
      <c r="M174" s="93">
        <f t="shared" si="9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2.8994701771222213</v>
      </c>
      <c r="H175">
        <v>4.8694921874999997E-4</v>
      </c>
      <c r="I175">
        <v>-0.90787460884371185</v>
      </c>
      <c r="J175">
        <v>-4.4208883149940729E-4</v>
      </c>
      <c r="K175" s="93">
        <f t="shared" si="7"/>
        <v>0</v>
      </c>
      <c r="L175" s="93">
        <f t="shared" si="8"/>
        <v>0</v>
      </c>
      <c r="M175" s="93">
        <f t="shared" si="9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2.4582464545166651</v>
      </c>
      <c r="H176">
        <v>7.7100292968749996E-4</v>
      </c>
      <c r="I176">
        <v>-0.92132581001291536</v>
      </c>
      <c r="J176">
        <v>-7.1034489871666675E-4</v>
      </c>
      <c r="K176" s="93">
        <f t="shared" si="7"/>
        <v>0</v>
      </c>
      <c r="L176" s="93">
        <f t="shared" si="8"/>
        <v>0</v>
      </c>
      <c r="M176" s="93">
        <f t="shared" si="9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2.7103742960055541</v>
      </c>
      <c r="H177">
        <v>1.6276728515624999E-3</v>
      </c>
      <c r="I177">
        <v>-0.91361519348942477</v>
      </c>
      <c r="J177">
        <v>-1.487066647217757E-3</v>
      </c>
      <c r="K177" s="93">
        <f t="shared" si="7"/>
        <v>0</v>
      </c>
      <c r="L177" s="93">
        <f t="shared" si="8"/>
        <v>0</v>
      </c>
      <c r="M177" s="93">
        <f t="shared" si="9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2.8994701771222213</v>
      </c>
      <c r="H178">
        <v>1.0280039062499999E-3</v>
      </c>
      <c r="I178">
        <v>-0.90787460884371185</v>
      </c>
      <c r="J178">
        <v>-9.3329864427652649E-4</v>
      </c>
      <c r="K178" s="93">
        <f t="shared" si="7"/>
        <v>0</v>
      </c>
      <c r="L178" s="93">
        <f t="shared" si="8"/>
        <v>0</v>
      </c>
      <c r="M178" s="93">
        <f t="shared" si="9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2.4582464545166651</v>
      </c>
      <c r="H179">
        <v>4.8694921874999997E-4</v>
      </c>
      <c r="I179">
        <v>-0.92132581001291536</v>
      </c>
      <c r="J179">
        <v>-4.4863888340000003E-4</v>
      </c>
      <c r="K179" s="93">
        <f t="shared" si="7"/>
        <v>0</v>
      </c>
      <c r="L179" s="93">
        <f t="shared" si="8"/>
        <v>0</v>
      </c>
      <c r="M179" s="93">
        <f t="shared" si="9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2.7103742960055541</v>
      </c>
      <c r="H180">
        <v>1.0280039062499999E-3</v>
      </c>
      <c r="I180">
        <v>-0.91361519348942477</v>
      </c>
      <c r="J180">
        <v>-9.391999877164782E-4</v>
      </c>
      <c r="K180" s="93">
        <f t="shared" si="7"/>
        <v>0</v>
      </c>
      <c r="L180" s="93">
        <f t="shared" si="8"/>
        <v>0</v>
      </c>
      <c r="M180" s="93">
        <f t="shared" si="9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2.8994701771222213</v>
      </c>
      <c r="H181">
        <v>6.4926562499999999E-4</v>
      </c>
      <c r="I181">
        <v>-0.90787460884371185</v>
      </c>
      <c r="J181">
        <v>-5.8945177533254313E-4</v>
      </c>
      <c r="K181" s="93">
        <f t="shared" si="7"/>
        <v>0</v>
      </c>
      <c r="L181" s="93">
        <f t="shared" si="8"/>
        <v>0</v>
      </c>
      <c r="M181" s="93">
        <f t="shared" si="9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2.4582464545166651</v>
      </c>
      <c r="H182">
        <v>2.3066015625000002E-4</v>
      </c>
      <c r="I182">
        <v>-0.92132581001291536</v>
      </c>
      <c r="J182">
        <v>-2.125131552947369E-4</v>
      </c>
      <c r="K182" s="93">
        <f t="shared" si="7"/>
        <v>0</v>
      </c>
      <c r="L182" s="93">
        <f t="shared" si="8"/>
        <v>0</v>
      </c>
      <c r="M182" s="93">
        <f t="shared" si="9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2.7103742960055541</v>
      </c>
      <c r="H183">
        <v>4.8694921874999997E-4</v>
      </c>
      <c r="I183">
        <v>-0.91361519348942477</v>
      </c>
      <c r="J183">
        <v>-4.4488420470780544E-4</v>
      </c>
      <c r="K183" s="93">
        <f t="shared" si="7"/>
        <v>0</v>
      </c>
      <c r="L183" s="93">
        <f t="shared" si="8"/>
        <v>0</v>
      </c>
      <c r="M183" s="93">
        <f t="shared" si="9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2.8994701771222213</v>
      </c>
      <c r="H184">
        <v>3.0754687499999999E-4</v>
      </c>
      <c r="I184">
        <v>-0.90787460884371185</v>
      </c>
      <c r="J184">
        <v>-2.7921399884173095E-4</v>
      </c>
      <c r="K184" s="93">
        <f t="shared" si="7"/>
        <v>0</v>
      </c>
      <c r="L184" s="93">
        <f t="shared" si="8"/>
        <v>0</v>
      </c>
      <c r="M184" s="93">
        <f t="shared" si="9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2.4582464545166651</v>
      </c>
      <c r="H185">
        <v>4.8694921874999997E-4</v>
      </c>
      <c r="I185">
        <v>-0.92132581001291536</v>
      </c>
      <c r="J185">
        <v>-4.4863888340000003E-4</v>
      </c>
      <c r="K185" s="93">
        <f t="shared" si="7"/>
        <v>0</v>
      </c>
      <c r="L185" s="93">
        <f t="shared" si="8"/>
        <v>0</v>
      </c>
      <c r="M185" s="93">
        <f t="shared" si="9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2.7103742960055541</v>
      </c>
      <c r="H186">
        <v>1.0280039062499999E-3</v>
      </c>
      <c r="I186">
        <v>-0.91361519348942477</v>
      </c>
      <c r="J186">
        <v>-9.391999877164782E-4</v>
      </c>
      <c r="K186" s="93">
        <f t="shared" si="7"/>
        <v>0</v>
      </c>
      <c r="L186" s="93">
        <f t="shared" si="8"/>
        <v>0</v>
      </c>
      <c r="M186" s="93">
        <f t="shared" si="9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2.8994701771222213</v>
      </c>
      <c r="H187">
        <v>6.4926562499999999E-4</v>
      </c>
      <c r="I187">
        <v>-0.90787460884371185</v>
      </c>
      <c r="J187">
        <v>-5.8945177533254313E-4</v>
      </c>
      <c r="K187" s="93">
        <f t="shared" si="7"/>
        <v>0</v>
      </c>
      <c r="L187" s="93">
        <f t="shared" si="8"/>
        <v>0</v>
      </c>
      <c r="M187" s="93">
        <f t="shared" si="9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2.4582464545166651</v>
      </c>
      <c r="H188">
        <v>3.0754687500000004E-4</v>
      </c>
      <c r="I188">
        <v>-0.92132581001291536</v>
      </c>
      <c r="J188">
        <v>-2.8335087372631588E-4</v>
      </c>
      <c r="K188" s="93">
        <f t="shared" si="7"/>
        <v>0</v>
      </c>
      <c r="L188" s="93">
        <f t="shared" si="8"/>
        <v>0</v>
      </c>
      <c r="M188" s="93">
        <f t="shared" si="9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2.7103742960055541</v>
      </c>
      <c r="H189">
        <v>6.4926562499999999E-4</v>
      </c>
      <c r="I189">
        <v>-0.91361519348942477</v>
      </c>
      <c r="J189">
        <v>-5.9317893961040725E-4</v>
      </c>
      <c r="K189" s="93">
        <f t="shared" si="7"/>
        <v>0</v>
      </c>
      <c r="L189" s="93">
        <f t="shared" si="8"/>
        <v>0</v>
      </c>
      <c r="M189" s="93">
        <f t="shared" si="9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2.8994701771222213</v>
      </c>
      <c r="H190">
        <v>4.100625E-4</v>
      </c>
      <c r="I190">
        <v>-0.90787460884371185</v>
      </c>
      <c r="J190">
        <v>-3.7228533178897458E-4</v>
      </c>
      <c r="K190" s="93">
        <f t="shared" si="7"/>
        <v>0</v>
      </c>
      <c r="L190" s="93">
        <f t="shared" si="8"/>
        <v>0</v>
      </c>
      <c r="M190" s="93">
        <f t="shared" si="9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3.0255340978666676</v>
      </c>
      <c r="H191">
        <v>3.652119140625E-4</v>
      </c>
      <c r="I191">
        <v>-0.90406760545074583</v>
      </c>
      <c r="J191">
        <v>-3.3017626062856794E-4</v>
      </c>
      <c r="K191" s="93">
        <f t="shared" si="7"/>
        <v>0</v>
      </c>
      <c r="L191" s="93">
        <f t="shared" si="8"/>
        <v>0</v>
      </c>
      <c r="M191" s="93">
        <f t="shared" si="9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3.3358452873914528</v>
      </c>
      <c r="H192">
        <v>7.7100292968749996E-4</v>
      </c>
      <c r="I192">
        <v>-0.89476439344270675</v>
      </c>
      <c r="J192">
        <v>-6.8986596872438577E-4</v>
      </c>
      <c r="K192" s="93">
        <f t="shared" si="7"/>
        <v>0</v>
      </c>
      <c r="L192" s="93">
        <f t="shared" si="8"/>
        <v>0</v>
      </c>
      <c r="M192" s="93">
        <f t="shared" si="9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3.5685786795350425</v>
      </c>
      <c r="H193">
        <v>4.8694921874999997E-4</v>
      </c>
      <c r="I193">
        <v>-0.88784986373823072</v>
      </c>
      <c r="J193">
        <v>-4.3233779751462539E-4</v>
      </c>
      <c r="K193" s="93">
        <f t="shared" si="7"/>
        <v>0</v>
      </c>
      <c r="L193" s="93">
        <f t="shared" si="8"/>
        <v>0</v>
      </c>
      <c r="M193" s="93">
        <f t="shared" si="9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3.0255340978666676</v>
      </c>
      <c r="H194">
        <v>7.7100292968749996E-4</v>
      </c>
      <c r="I194">
        <v>-0.90406760545074583</v>
      </c>
      <c r="J194">
        <v>-6.9703877243808786E-4</v>
      </c>
      <c r="K194" s="93">
        <f t="shared" si="7"/>
        <v>0</v>
      </c>
      <c r="L194" s="93">
        <f t="shared" si="8"/>
        <v>0</v>
      </c>
      <c r="M194" s="93">
        <f t="shared" si="9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3.3358452873914528</v>
      </c>
      <c r="H195">
        <v>1.6276728515624999E-3</v>
      </c>
      <c r="I195">
        <v>-0.89476439344270675</v>
      </c>
      <c r="J195">
        <v>-1.456383711751481E-3</v>
      </c>
      <c r="K195" s="93">
        <f t="shared" ref="K195:K258" si="10">IF(A195=3,1,0)</f>
        <v>0</v>
      </c>
      <c r="L195" s="93">
        <f t="shared" ref="L195:L258" si="11">IF(A195=2,1,0)</f>
        <v>0</v>
      </c>
      <c r="M195" s="93">
        <f t="shared" ref="M195:M258" si="12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3.5685786795350425</v>
      </c>
      <c r="H196">
        <v>1.0280039062499999E-3</v>
      </c>
      <c r="I196">
        <v>-0.88784986373823072</v>
      </c>
      <c r="J196">
        <v>-9.1271312808643133E-4</v>
      </c>
      <c r="K196" s="93">
        <f t="shared" si="10"/>
        <v>0</v>
      </c>
      <c r="L196" s="93">
        <f t="shared" si="11"/>
        <v>0</v>
      </c>
      <c r="M196" s="93">
        <f t="shared" si="12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3.0255340978666676</v>
      </c>
      <c r="H197">
        <v>4.8694921874999997E-4</v>
      </c>
      <c r="I197">
        <v>-0.90406760545074583</v>
      </c>
      <c r="J197">
        <v>-4.4023501417142388E-4</v>
      </c>
      <c r="K197" s="93">
        <f t="shared" si="10"/>
        <v>0</v>
      </c>
      <c r="L197" s="93">
        <f t="shared" si="11"/>
        <v>0</v>
      </c>
      <c r="M197" s="93">
        <f t="shared" si="12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3.3358452873914528</v>
      </c>
      <c r="H198">
        <v>1.0280039062499999E-3</v>
      </c>
      <c r="I198">
        <v>-0.89476439344270675</v>
      </c>
      <c r="J198">
        <v>-9.1982129163251439E-4</v>
      </c>
      <c r="K198" s="93">
        <f t="shared" si="10"/>
        <v>0</v>
      </c>
      <c r="L198" s="93">
        <f t="shared" si="11"/>
        <v>0</v>
      </c>
      <c r="M198" s="93">
        <f t="shared" si="12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3.5685786795350425</v>
      </c>
      <c r="H199">
        <v>6.4926562499999999E-4</v>
      </c>
      <c r="I199">
        <v>-0.88784986373823072</v>
      </c>
      <c r="J199">
        <v>-5.7645039668616715E-4</v>
      </c>
      <c r="K199" s="93">
        <f t="shared" si="10"/>
        <v>0</v>
      </c>
      <c r="L199" s="93">
        <f t="shared" si="11"/>
        <v>0</v>
      </c>
      <c r="M199" s="93">
        <f t="shared" si="12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3.0255340978666676</v>
      </c>
      <c r="H200">
        <v>7.7100292968750007E-4</v>
      </c>
      <c r="I200">
        <v>-0.90406760545074583</v>
      </c>
      <c r="J200">
        <v>-6.9703877243808797E-4</v>
      </c>
      <c r="K200" s="93">
        <f t="shared" si="10"/>
        <v>0</v>
      </c>
      <c r="L200" s="93">
        <f t="shared" si="11"/>
        <v>0</v>
      </c>
      <c r="M200" s="93">
        <f t="shared" si="12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3.3358452873914528</v>
      </c>
      <c r="H201">
        <v>1.6276728515625001E-3</v>
      </c>
      <c r="I201">
        <v>-0.89476439344270675</v>
      </c>
      <c r="J201">
        <v>-1.4563837117514812E-3</v>
      </c>
      <c r="K201" s="93">
        <f t="shared" si="10"/>
        <v>0</v>
      </c>
      <c r="L201" s="93">
        <f t="shared" si="11"/>
        <v>0</v>
      </c>
      <c r="M201" s="93">
        <f t="shared" si="12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3.5685786795350425</v>
      </c>
      <c r="H202">
        <v>1.0280039062499999E-3</v>
      </c>
      <c r="I202">
        <v>-0.88784986373823072</v>
      </c>
      <c r="J202">
        <v>-9.1271312808643133E-4</v>
      </c>
      <c r="K202" s="93">
        <f t="shared" si="10"/>
        <v>0</v>
      </c>
      <c r="L202" s="93">
        <f t="shared" si="11"/>
        <v>0</v>
      </c>
      <c r="M202" s="93">
        <f t="shared" si="12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3.0255340978666676</v>
      </c>
      <c r="H203">
        <v>1.6276728515624999E-3</v>
      </c>
      <c r="I203">
        <v>-0.90406760545074583</v>
      </c>
      <c r="J203">
        <v>-1.4715262973692966E-3</v>
      </c>
      <c r="K203" s="93">
        <f t="shared" si="10"/>
        <v>0</v>
      </c>
      <c r="L203" s="93">
        <f t="shared" si="11"/>
        <v>0</v>
      </c>
      <c r="M203" s="93">
        <f t="shared" si="12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3.3358452873914528</v>
      </c>
      <c r="H204">
        <v>3.4361982421874998E-3</v>
      </c>
      <c r="I204">
        <v>-0.89476439344270675</v>
      </c>
      <c r="J204">
        <v>-3.0745878359197932E-3</v>
      </c>
      <c r="K204" s="93">
        <f t="shared" si="10"/>
        <v>0</v>
      </c>
      <c r="L204" s="93">
        <f t="shared" si="11"/>
        <v>0</v>
      </c>
      <c r="M204" s="93">
        <f t="shared" si="12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3.5685786795350425</v>
      </c>
      <c r="H205">
        <v>2.1702304687499997E-3</v>
      </c>
      <c r="I205">
        <v>-0.88784986373823072</v>
      </c>
      <c r="J205">
        <v>-1.9268388259602439E-3</v>
      </c>
      <c r="K205" s="93">
        <f t="shared" si="10"/>
        <v>0</v>
      </c>
      <c r="L205" s="93">
        <f t="shared" si="11"/>
        <v>0</v>
      </c>
      <c r="M205" s="93">
        <f t="shared" si="12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3.0255340978666676</v>
      </c>
      <c r="H206">
        <v>1.0280039062499999E-3</v>
      </c>
      <c r="I206">
        <v>-0.90406760545074583</v>
      </c>
      <c r="J206">
        <v>-9.2938502991745048E-4</v>
      </c>
      <c r="K206" s="93">
        <f t="shared" si="10"/>
        <v>0</v>
      </c>
      <c r="L206" s="93">
        <f t="shared" si="11"/>
        <v>0</v>
      </c>
      <c r="M206" s="93">
        <f t="shared" si="12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3.3358452873914528</v>
      </c>
      <c r="H207">
        <v>2.1702304687499997E-3</v>
      </c>
      <c r="I207">
        <v>-0.89476439344270675</v>
      </c>
      <c r="J207">
        <v>-1.9418449490019747E-3</v>
      </c>
      <c r="K207" s="93">
        <f t="shared" si="10"/>
        <v>0</v>
      </c>
      <c r="L207" s="93">
        <f t="shared" si="11"/>
        <v>0</v>
      </c>
      <c r="M207" s="93">
        <f t="shared" si="12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3.5685786795350425</v>
      </c>
      <c r="H208">
        <v>1.3706718749999999E-3</v>
      </c>
      <c r="I208">
        <v>-0.88784986373823072</v>
      </c>
      <c r="J208">
        <v>-1.2169508374485752E-3</v>
      </c>
      <c r="K208" s="93">
        <f t="shared" si="10"/>
        <v>0</v>
      </c>
      <c r="L208" s="93">
        <f t="shared" si="11"/>
        <v>0</v>
      </c>
      <c r="M208" s="93">
        <f t="shared" si="12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3.0255340978666676</v>
      </c>
      <c r="H209">
        <v>4.8694921875000008E-4</v>
      </c>
      <c r="I209">
        <v>-0.90406760545074583</v>
      </c>
      <c r="J209">
        <v>-4.4023501417142399E-4</v>
      </c>
      <c r="K209" s="93">
        <f t="shared" si="10"/>
        <v>0</v>
      </c>
      <c r="L209" s="93">
        <f t="shared" si="11"/>
        <v>0</v>
      </c>
      <c r="M209" s="93">
        <f t="shared" si="12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3.3358452873914528</v>
      </c>
      <c r="H210">
        <v>1.0280039062500002E-3</v>
      </c>
      <c r="I210">
        <v>-0.89476439344270675</v>
      </c>
      <c r="J210">
        <v>-9.1982129163251461E-4</v>
      </c>
      <c r="K210" s="93">
        <f t="shared" si="10"/>
        <v>0</v>
      </c>
      <c r="L210" s="93">
        <f t="shared" si="11"/>
        <v>0</v>
      </c>
      <c r="M210" s="93">
        <f t="shared" si="12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3.5685786795350425</v>
      </c>
      <c r="H211">
        <v>6.492656250000001E-4</v>
      </c>
      <c r="I211">
        <v>-0.88784986373823072</v>
      </c>
      <c r="J211">
        <v>-5.7645039668616726E-4</v>
      </c>
      <c r="K211" s="93">
        <f t="shared" si="10"/>
        <v>0</v>
      </c>
      <c r="L211" s="93">
        <f t="shared" si="11"/>
        <v>0</v>
      </c>
      <c r="M211" s="93">
        <f t="shared" si="12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3.0255340978666676</v>
      </c>
      <c r="H212">
        <v>1.0280039062499999E-3</v>
      </c>
      <c r="I212">
        <v>-0.90406760545074583</v>
      </c>
      <c r="J212">
        <v>-9.2938502991745048E-4</v>
      </c>
      <c r="K212" s="93">
        <f t="shared" si="10"/>
        <v>0</v>
      </c>
      <c r="L212" s="93">
        <f t="shared" si="11"/>
        <v>0</v>
      </c>
      <c r="M212" s="93">
        <f t="shared" si="12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3.3358452873914528</v>
      </c>
      <c r="H213">
        <v>2.1702304687499997E-3</v>
      </c>
      <c r="I213">
        <v>-0.89476439344270675</v>
      </c>
      <c r="J213">
        <v>-1.9418449490019747E-3</v>
      </c>
      <c r="K213" s="93">
        <f t="shared" si="10"/>
        <v>0</v>
      </c>
      <c r="L213" s="93">
        <f t="shared" si="11"/>
        <v>0</v>
      </c>
      <c r="M213" s="93">
        <f t="shared" si="12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3.5685786795350425</v>
      </c>
      <c r="H214">
        <v>1.3706718749999999E-3</v>
      </c>
      <c r="I214">
        <v>-0.88784986373823072</v>
      </c>
      <c r="J214">
        <v>-1.2169508374485752E-3</v>
      </c>
      <c r="K214" s="93">
        <f t="shared" si="10"/>
        <v>0</v>
      </c>
      <c r="L214" s="93">
        <f t="shared" si="11"/>
        <v>0</v>
      </c>
      <c r="M214" s="93">
        <f t="shared" si="12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3.0255340978666676</v>
      </c>
      <c r="H215">
        <v>6.492656250000001E-4</v>
      </c>
      <c r="I215">
        <v>-0.90406760545074583</v>
      </c>
      <c r="J215">
        <v>-5.8698001889523203E-4</v>
      </c>
      <c r="K215" s="93">
        <f t="shared" si="10"/>
        <v>0</v>
      </c>
      <c r="L215" s="93">
        <f t="shared" si="11"/>
        <v>0</v>
      </c>
      <c r="M215" s="93">
        <f t="shared" si="12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3.3358452873914528</v>
      </c>
      <c r="H216">
        <v>1.3706718749999999E-3</v>
      </c>
      <c r="I216">
        <v>-0.89476439344270675</v>
      </c>
      <c r="J216">
        <v>-1.2264283888433526E-3</v>
      </c>
      <c r="K216" s="93">
        <f t="shared" si="10"/>
        <v>0</v>
      </c>
      <c r="L216" s="93">
        <f t="shared" si="11"/>
        <v>0</v>
      </c>
      <c r="M216" s="93">
        <f t="shared" si="12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3.5685786795350425</v>
      </c>
      <c r="H217">
        <v>8.6568750000000003E-4</v>
      </c>
      <c r="I217">
        <v>-0.88784986373823072</v>
      </c>
      <c r="J217">
        <v>-7.6860052891488968E-4</v>
      </c>
      <c r="K217" s="93">
        <f t="shared" si="10"/>
        <v>0</v>
      </c>
      <c r="L217" s="93">
        <f t="shared" si="11"/>
        <v>0</v>
      </c>
      <c r="M217" s="93">
        <f t="shared" si="12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3.403725860100002</v>
      </c>
      <c r="H218">
        <v>2.3066015625000002E-4</v>
      </c>
      <c r="I218">
        <v>-0.8927421115508507</v>
      </c>
      <c r="J218">
        <v>-2.0592003494127417E-4</v>
      </c>
      <c r="K218" s="93">
        <f t="shared" si="10"/>
        <v>0</v>
      </c>
      <c r="L218" s="93">
        <f t="shared" si="11"/>
        <v>0</v>
      </c>
      <c r="M218" s="93">
        <f t="shared" si="12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3.7528259483153876</v>
      </c>
      <c r="H219">
        <v>4.8694921874999997E-4</v>
      </c>
      <c r="I219">
        <v>-0.88241377681196942</v>
      </c>
      <c r="J219">
        <v>-4.2969069923282533E-4</v>
      </c>
      <c r="K219" s="93">
        <f t="shared" si="10"/>
        <v>0</v>
      </c>
      <c r="L219" s="93">
        <f t="shared" si="11"/>
        <v>0</v>
      </c>
      <c r="M219" s="93">
        <f t="shared" si="12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4.0146510144769225</v>
      </c>
      <c r="H220">
        <v>3.0754687499999999E-4</v>
      </c>
      <c r="I220">
        <v>-0.87474601749255632</v>
      </c>
      <c r="J220">
        <v>-2.69025404098531E-4</v>
      </c>
      <c r="K220" s="93">
        <f t="shared" si="10"/>
        <v>0</v>
      </c>
      <c r="L220" s="93">
        <f t="shared" si="11"/>
        <v>0</v>
      </c>
      <c r="M220" s="93">
        <f t="shared" si="12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3.403725860100002</v>
      </c>
      <c r="H221">
        <v>4.8694921874999997E-4</v>
      </c>
      <c r="I221">
        <v>-0.8927421115508507</v>
      </c>
      <c r="J221">
        <v>-4.3472007376491208E-4</v>
      </c>
      <c r="K221" s="93">
        <f t="shared" si="10"/>
        <v>0</v>
      </c>
      <c r="L221" s="93">
        <f t="shared" si="11"/>
        <v>0</v>
      </c>
      <c r="M221" s="93">
        <f t="shared" si="12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3.7528259483153876</v>
      </c>
      <c r="H222">
        <v>1.0280039062499999E-3</v>
      </c>
      <c r="I222">
        <v>-0.88241377681196942</v>
      </c>
      <c r="J222">
        <v>-9.0712480949152019E-4</v>
      </c>
      <c r="K222" s="93">
        <f t="shared" si="10"/>
        <v>0</v>
      </c>
      <c r="L222" s="93">
        <f t="shared" si="11"/>
        <v>0</v>
      </c>
      <c r="M222" s="93">
        <f t="shared" si="12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4.0146510144769225</v>
      </c>
      <c r="H223">
        <v>6.4926562499999999E-4</v>
      </c>
      <c r="I223">
        <v>-0.87474601749255632</v>
      </c>
      <c r="J223">
        <v>-5.6794251976356551E-4</v>
      </c>
      <c r="K223" s="93">
        <f t="shared" si="10"/>
        <v>0</v>
      </c>
      <c r="L223" s="93">
        <f t="shared" si="11"/>
        <v>0</v>
      </c>
      <c r="M223" s="93">
        <f t="shared" si="12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3.403725860100002</v>
      </c>
      <c r="H224">
        <v>3.0754687500000004E-4</v>
      </c>
      <c r="I224">
        <v>-0.8927421115508507</v>
      </c>
      <c r="J224">
        <v>-2.7456004658836557E-4</v>
      </c>
      <c r="K224" s="93">
        <f t="shared" si="10"/>
        <v>0</v>
      </c>
      <c r="L224" s="93">
        <f t="shared" si="11"/>
        <v>0</v>
      </c>
      <c r="M224" s="93">
        <f t="shared" si="12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3.7528259483153876</v>
      </c>
      <c r="H225">
        <v>6.4926562499999999E-4</v>
      </c>
      <c r="I225">
        <v>-0.88241377681196942</v>
      </c>
      <c r="J225">
        <v>-5.7292093231043381E-4</v>
      </c>
      <c r="K225" s="93">
        <f t="shared" si="10"/>
        <v>0</v>
      </c>
      <c r="L225" s="93">
        <f t="shared" si="11"/>
        <v>0</v>
      </c>
      <c r="M225" s="93">
        <f t="shared" si="12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4.0146510144769225</v>
      </c>
      <c r="H226">
        <v>4.100625E-4</v>
      </c>
      <c r="I226">
        <v>-0.87474601749255632</v>
      </c>
      <c r="J226">
        <v>-3.5870053879804138E-4</v>
      </c>
      <c r="K226" s="93">
        <f t="shared" si="10"/>
        <v>0</v>
      </c>
      <c r="L226" s="93">
        <f t="shared" si="11"/>
        <v>0</v>
      </c>
      <c r="M226" s="93">
        <f t="shared" si="12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3.403725860100002</v>
      </c>
      <c r="H227">
        <v>4.8694921875000008E-4</v>
      </c>
      <c r="I227">
        <v>-0.8927421115508507</v>
      </c>
      <c r="J227">
        <v>-4.3472007376491219E-4</v>
      </c>
      <c r="K227" s="93">
        <f t="shared" si="10"/>
        <v>0</v>
      </c>
      <c r="L227" s="93">
        <f t="shared" si="11"/>
        <v>0</v>
      </c>
      <c r="M227" s="93">
        <f t="shared" si="12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3.7528259483153876</v>
      </c>
      <c r="H228">
        <v>1.0280039062500002E-3</v>
      </c>
      <c r="I228">
        <v>-0.88241377681196942</v>
      </c>
      <c r="J228">
        <v>-9.071248094915204E-4</v>
      </c>
      <c r="K228" s="93">
        <f t="shared" si="10"/>
        <v>0</v>
      </c>
      <c r="L228" s="93">
        <f t="shared" si="11"/>
        <v>0</v>
      </c>
      <c r="M228" s="93">
        <f t="shared" si="12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4.0146510144769225</v>
      </c>
      <c r="H229">
        <v>6.492656250000001E-4</v>
      </c>
      <c r="I229">
        <v>-0.87474601749255632</v>
      </c>
      <c r="J229">
        <v>-5.6794251976356562E-4</v>
      </c>
      <c r="K229" s="93">
        <f t="shared" si="10"/>
        <v>0</v>
      </c>
      <c r="L229" s="93">
        <f t="shared" si="11"/>
        <v>0</v>
      </c>
      <c r="M229" s="93">
        <f t="shared" si="12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3.403725860100002</v>
      </c>
      <c r="H230">
        <v>1.0280039062499999E-3</v>
      </c>
      <c r="I230">
        <v>-0.8927421115508507</v>
      </c>
      <c r="J230">
        <v>-9.1774237794814775E-4</v>
      </c>
      <c r="K230" s="93">
        <f t="shared" si="10"/>
        <v>0</v>
      </c>
      <c r="L230" s="93">
        <f t="shared" si="11"/>
        <v>0</v>
      </c>
      <c r="M230" s="93">
        <f t="shared" si="12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3.7528259483153876</v>
      </c>
      <c r="H231">
        <v>2.1702304687499997E-3</v>
      </c>
      <c r="I231">
        <v>-0.88241377681196942</v>
      </c>
      <c r="J231">
        <v>-1.915041264482098E-3</v>
      </c>
      <c r="K231" s="93">
        <f t="shared" si="10"/>
        <v>0</v>
      </c>
      <c r="L231" s="93">
        <f t="shared" si="11"/>
        <v>0</v>
      </c>
      <c r="M231" s="93">
        <f t="shared" si="12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4.0146510144769225</v>
      </c>
      <c r="H232">
        <v>1.3706718749999999E-3</v>
      </c>
      <c r="I232">
        <v>-0.87474601749255632</v>
      </c>
      <c r="J232">
        <v>-1.1989897639453049E-3</v>
      </c>
      <c r="K232" s="93">
        <f t="shared" si="10"/>
        <v>0</v>
      </c>
      <c r="L232" s="93">
        <f t="shared" si="11"/>
        <v>0</v>
      </c>
      <c r="M232" s="93">
        <f t="shared" si="12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3.403725860100002</v>
      </c>
      <c r="H233">
        <v>6.492656250000001E-4</v>
      </c>
      <c r="I233">
        <v>-0.8927421115508507</v>
      </c>
      <c r="J233">
        <v>-5.7962676501988292E-4</v>
      </c>
      <c r="K233" s="93">
        <f t="shared" si="10"/>
        <v>0</v>
      </c>
      <c r="L233" s="93">
        <f t="shared" si="11"/>
        <v>0</v>
      </c>
      <c r="M233" s="93">
        <f t="shared" si="12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3.7528259483153876</v>
      </c>
      <c r="H234">
        <v>1.3706718749999999E-3</v>
      </c>
      <c r="I234">
        <v>-0.88241377681196942</v>
      </c>
      <c r="J234">
        <v>-1.2094997459886935E-3</v>
      </c>
      <c r="K234" s="93">
        <f t="shared" si="10"/>
        <v>0</v>
      </c>
      <c r="L234" s="93">
        <f t="shared" si="11"/>
        <v>0</v>
      </c>
      <c r="M234" s="93">
        <f t="shared" si="12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4.0146510144769225</v>
      </c>
      <c r="H235">
        <v>8.6568750000000003E-4</v>
      </c>
      <c r="I235">
        <v>-0.87474601749255632</v>
      </c>
      <c r="J235">
        <v>-7.5725669301808735E-4</v>
      </c>
      <c r="K235" s="93">
        <f t="shared" si="10"/>
        <v>0</v>
      </c>
      <c r="L235" s="93">
        <f t="shared" si="11"/>
        <v>0</v>
      </c>
      <c r="M235" s="93">
        <f t="shared" si="12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3.403725860100002</v>
      </c>
      <c r="H236">
        <v>3.0754687500000004E-4</v>
      </c>
      <c r="I236">
        <v>-0.8927421115508507</v>
      </c>
      <c r="J236">
        <v>-2.7456004658836557E-4</v>
      </c>
      <c r="K236" s="93">
        <f t="shared" si="10"/>
        <v>0</v>
      </c>
      <c r="L236" s="93">
        <f t="shared" si="11"/>
        <v>0</v>
      </c>
      <c r="M236" s="93">
        <f t="shared" si="12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3.7528259483153876</v>
      </c>
      <c r="H237">
        <v>6.4926562499999999E-4</v>
      </c>
      <c r="I237">
        <v>-0.88241377681196942</v>
      </c>
      <c r="J237">
        <v>-5.7292093231043381E-4</v>
      </c>
      <c r="K237" s="93">
        <f t="shared" si="10"/>
        <v>0</v>
      </c>
      <c r="L237" s="93">
        <f t="shared" si="11"/>
        <v>0</v>
      </c>
      <c r="M237" s="93">
        <f t="shared" si="12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4.0146510144769225</v>
      </c>
      <c r="H238">
        <v>4.100625E-4</v>
      </c>
      <c r="I238">
        <v>-0.87474601749255632</v>
      </c>
      <c r="J238">
        <v>-3.5870053879804138E-4</v>
      </c>
      <c r="K238" s="93">
        <f t="shared" si="10"/>
        <v>0</v>
      </c>
      <c r="L238" s="93">
        <f t="shared" si="11"/>
        <v>0</v>
      </c>
      <c r="M238" s="93">
        <f t="shared" si="12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3.403725860100002</v>
      </c>
      <c r="H239">
        <v>6.4926562499999999E-4</v>
      </c>
      <c r="I239">
        <v>-0.8927421115508507</v>
      </c>
      <c r="J239">
        <v>-5.7962676501988281E-4</v>
      </c>
      <c r="K239" s="93">
        <f t="shared" si="10"/>
        <v>0</v>
      </c>
      <c r="L239" s="93">
        <f t="shared" si="11"/>
        <v>0</v>
      </c>
      <c r="M239" s="93">
        <f t="shared" si="12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3.7528259483153876</v>
      </c>
      <c r="H240">
        <v>1.3706718749999997E-3</v>
      </c>
      <c r="I240">
        <v>-0.88241377681196942</v>
      </c>
      <c r="J240">
        <v>-1.2094997459886933E-3</v>
      </c>
      <c r="K240" s="93">
        <f t="shared" si="10"/>
        <v>0</v>
      </c>
      <c r="L240" s="93">
        <f t="shared" si="11"/>
        <v>0</v>
      </c>
      <c r="M240" s="93">
        <f t="shared" si="12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4.0146510144769225</v>
      </c>
      <c r="H241">
        <v>8.6568749999999992E-4</v>
      </c>
      <c r="I241">
        <v>-0.87474601749255632</v>
      </c>
      <c r="J241">
        <v>-7.5725669301808724E-4</v>
      </c>
      <c r="K241" s="93">
        <f t="shared" si="10"/>
        <v>0</v>
      </c>
      <c r="L241" s="93">
        <f t="shared" si="11"/>
        <v>0</v>
      </c>
      <c r="M241" s="93">
        <f t="shared" si="12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3.403725860100002</v>
      </c>
      <c r="H242">
        <v>4.100625E-4</v>
      </c>
      <c r="I242">
        <v>-0.8927421115508507</v>
      </c>
      <c r="J242">
        <v>-3.6608006211782073E-4</v>
      </c>
      <c r="K242" s="93">
        <f t="shared" si="10"/>
        <v>0</v>
      </c>
      <c r="L242" s="93">
        <f t="shared" si="11"/>
        <v>0</v>
      </c>
      <c r="M242" s="93">
        <f t="shared" si="12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3.7528259483153876</v>
      </c>
      <c r="H243">
        <v>8.6568749999999992E-4</v>
      </c>
      <c r="I243">
        <v>-0.88241377681196942</v>
      </c>
      <c r="J243">
        <v>-7.6389457641391171E-4</v>
      </c>
      <c r="K243" s="93">
        <f t="shared" si="10"/>
        <v>0</v>
      </c>
      <c r="L243" s="93">
        <f t="shared" si="11"/>
        <v>0</v>
      </c>
      <c r="M243" s="93">
        <f t="shared" si="12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4.0146510144769225</v>
      </c>
      <c r="H244">
        <v>5.4674999999999993E-4</v>
      </c>
      <c r="I244">
        <v>-0.87474601749255632</v>
      </c>
      <c r="J244">
        <v>-4.7826738506405513E-4</v>
      </c>
      <c r="K244" s="93">
        <f t="shared" si="10"/>
        <v>0</v>
      </c>
      <c r="L244" s="93">
        <f t="shared" si="11"/>
        <v>0</v>
      </c>
      <c r="M244" s="93">
        <f t="shared" si="12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3.5385123737104625</v>
      </c>
      <c r="H245">
        <v>2.73908935546875E-4</v>
      </c>
      <c r="I245">
        <v>-0.88874012196096286</v>
      </c>
      <c r="J245">
        <v>-2.434338607841272E-4</v>
      </c>
      <c r="K245" s="93">
        <f t="shared" si="10"/>
        <v>0</v>
      </c>
      <c r="L245" s="93">
        <f t="shared" si="11"/>
        <v>1</v>
      </c>
      <c r="M245" s="93">
        <f t="shared" si="12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3.901436719732045</v>
      </c>
      <c r="H246">
        <v>5.7825219726562497E-4</v>
      </c>
      <c r="I246">
        <v>-0.87805337935976702</v>
      </c>
      <c r="J246">
        <v>-5.0773629593129266E-4</v>
      </c>
      <c r="K246" s="93">
        <f t="shared" si="10"/>
        <v>0</v>
      </c>
      <c r="L246" s="93">
        <f t="shared" si="11"/>
        <v>1</v>
      </c>
      <c r="M246" s="93">
        <f t="shared" si="12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4.173629979248239</v>
      </c>
      <c r="H247">
        <v>3.652119140625E-4</v>
      </c>
      <c r="I247">
        <v>-0.87012273783894145</v>
      </c>
      <c r="J247">
        <v>-3.1777919055546271E-4</v>
      </c>
      <c r="K247" s="93">
        <f t="shared" si="10"/>
        <v>0</v>
      </c>
      <c r="L247" s="93">
        <f t="shared" si="11"/>
        <v>1</v>
      </c>
      <c r="M247" s="93">
        <f t="shared" si="12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3.5385123737104625</v>
      </c>
      <c r="H248">
        <v>5.7825219726562497E-4</v>
      </c>
      <c r="I248">
        <v>-0.88874012196096286</v>
      </c>
      <c r="J248">
        <v>-5.1391592832204628E-4</v>
      </c>
      <c r="K248" s="93">
        <f t="shared" si="10"/>
        <v>0</v>
      </c>
      <c r="L248" s="93">
        <f t="shared" si="11"/>
        <v>1</v>
      </c>
      <c r="M248" s="93">
        <f t="shared" si="12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3.901436719732045</v>
      </c>
      <c r="H249">
        <v>1.2207546386718748E-3</v>
      </c>
      <c r="I249">
        <v>-0.87805337935976702</v>
      </c>
      <c r="J249">
        <v>-1.0718877358549511E-3</v>
      </c>
      <c r="K249" s="93">
        <f t="shared" si="10"/>
        <v>0</v>
      </c>
      <c r="L249" s="93">
        <f t="shared" si="11"/>
        <v>1</v>
      </c>
      <c r="M249" s="93">
        <f t="shared" si="12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4.173629979248239</v>
      </c>
      <c r="H250">
        <v>7.7100292968749996E-4</v>
      </c>
      <c r="I250">
        <v>-0.87012273783894145</v>
      </c>
      <c r="J250">
        <v>-6.7086718006153232E-4</v>
      </c>
      <c r="K250" s="93">
        <f t="shared" si="10"/>
        <v>0</v>
      </c>
      <c r="L250" s="93">
        <f t="shared" si="11"/>
        <v>1</v>
      </c>
      <c r="M250" s="93">
        <f t="shared" si="12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3.5385123737104625</v>
      </c>
      <c r="H251">
        <v>3.652119140625E-4</v>
      </c>
      <c r="I251">
        <v>-0.88874012196096286</v>
      </c>
      <c r="J251">
        <v>-3.2457848104550292E-4</v>
      </c>
      <c r="K251" s="93">
        <f t="shared" si="10"/>
        <v>0</v>
      </c>
      <c r="L251" s="93">
        <f t="shared" si="11"/>
        <v>1</v>
      </c>
      <c r="M251" s="93">
        <f t="shared" si="12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3.901436719732045</v>
      </c>
      <c r="H252">
        <v>7.7100292968749996E-4</v>
      </c>
      <c r="I252">
        <v>-0.87805337935976702</v>
      </c>
      <c r="J252">
        <v>-6.7698172790839014E-4</v>
      </c>
      <c r="K252" s="93">
        <f t="shared" si="10"/>
        <v>0</v>
      </c>
      <c r="L252" s="93">
        <f t="shared" si="11"/>
        <v>1</v>
      </c>
      <c r="M252" s="93">
        <f t="shared" si="12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4.173629979248239</v>
      </c>
      <c r="H253">
        <v>4.8694921874999997E-4</v>
      </c>
      <c r="I253">
        <v>-0.87012273783894145</v>
      </c>
      <c r="J253">
        <v>-4.2370558740728359E-4</v>
      </c>
      <c r="K253" s="93">
        <f t="shared" si="10"/>
        <v>0</v>
      </c>
      <c r="L253" s="93">
        <f t="shared" si="11"/>
        <v>1</v>
      </c>
      <c r="M253" s="93">
        <f t="shared" si="12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3.5385123737104625</v>
      </c>
      <c r="H254">
        <v>5.7825219726562497E-4</v>
      </c>
      <c r="I254">
        <v>-0.88874012196096286</v>
      </c>
      <c r="J254">
        <v>-5.1391592832204628E-4</v>
      </c>
      <c r="K254" s="93">
        <f t="shared" si="10"/>
        <v>0</v>
      </c>
      <c r="L254" s="93">
        <f t="shared" si="11"/>
        <v>1</v>
      </c>
      <c r="M254" s="93">
        <f t="shared" si="12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3.901436719732045</v>
      </c>
      <c r="H255">
        <v>1.2207546386718748E-3</v>
      </c>
      <c r="I255">
        <v>-0.87805337935976702</v>
      </c>
      <c r="J255">
        <v>-1.0718877358549511E-3</v>
      </c>
      <c r="K255" s="93">
        <f t="shared" si="10"/>
        <v>0</v>
      </c>
      <c r="L255" s="93">
        <f t="shared" si="11"/>
        <v>1</v>
      </c>
      <c r="M255" s="93">
        <f t="shared" si="12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4.173629979248239</v>
      </c>
      <c r="H256">
        <v>7.7100292968749996E-4</v>
      </c>
      <c r="I256">
        <v>-0.87012273783894145</v>
      </c>
      <c r="J256">
        <v>-6.7086718006153232E-4</v>
      </c>
      <c r="K256" s="93">
        <f t="shared" si="10"/>
        <v>0</v>
      </c>
      <c r="L256" s="93">
        <f t="shared" si="11"/>
        <v>1</v>
      </c>
      <c r="M256" s="93">
        <f t="shared" si="12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3.5385123737104625</v>
      </c>
      <c r="H257">
        <v>1.2207546386718748E-3</v>
      </c>
      <c r="I257">
        <v>-0.88874012196096286</v>
      </c>
      <c r="J257">
        <v>-1.0849336264576533E-3</v>
      </c>
      <c r="K257" s="93">
        <f t="shared" si="10"/>
        <v>0</v>
      </c>
      <c r="L257" s="93">
        <f t="shared" si="11"/>
        <v>1</v>
      </c>
      <c r="M257" s="93">
        <f t="shared" si="12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3.901436719732045</v>
      </c>
      <c r="H258">
        <v>2.5771486816406246E-3</v>
      </c>
      <c r="I258">
        <v>-0.87805337935976702</v>
      </c>
      <c r="J258">
        <v>-2.2628741090271187E-3</v>
      </c>
      <c r="K258" s="93">
        <f t="shared" si="10"/>
        <v>0</v>
      </c>
      <c r="L258" s="93">
        <f t="shared" si="11"/>
        <v>1</v>
      </c>
      <c r="M258" s="93">
        <f t="shared" si="12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4.173629979248239</v>
      </c>
      <c r="H259">
        <v>1.6276728515624997E-3</v>
      </c>
      <c r="I259">
        <v>-0.87012273783894145</v>
      </c>
      <c r="J259">
        <v>-1.4162751579076792E-3</v>
      </c>
      <c r="K259" s="93">
        <f t="shared" ref="K259:K322" si="13">IF(A259=3,1,0)</f>
        <v>0</v>
      </c>
      <c r="L259" s="93">
        <f t="shared" ref="L259:L322" si="14">IF(A259=2,1,0)</f>
        <v>1</v>
      </c>
      <c r="M259" s="93">
        <f t="shared" ref="M259:M322" si="15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4.173629979248239</v>
      </c>
      <c r="H260">
        <v>7.7100292968749985E-4</v>
      </c>
      <c r="I260">
        <v>-0.87012273783894145</v>
      </c>
      <c r="J260">
        <v>-6.7086718006153221E-4</v>
      </c>
      <c r="K260" s="93">
        <f t="shared" si="13"/>
        <v>0</v>
      </c>
      <c r="L260" s="93">
        <f t="shared" si="14"/>
        <v>1</v>
      </c>
      <c r="M260" s="93">
        <f t="shared" si="15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3.901436719732045</v>
      </c>
      <c r="H261">
        <v>1.6276728515624997E-3</v>
      </c>
      <c r="I261">
        <v>-0.87805337935976702</v>
      </c>
      <c r="J261">
        <v>-1.4291836478066012E-3</v>
      </c>
      <c r="K261" s="93">
        <f t="shared" si="13"/>
        <v>0</v>
      </c>
      <c r="L261" s="93">
        <f t="shared" si="14"/>
        <v>1</v>
      </c>
      <c r="M261" s="93">
        <f t="shared" si="15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4.173629979248239</v>
      </c>
      <c r="H262">
        <v>1.0280039062499997E-3</v>
      </c>
      <c r="I262">
        <v>-0.87012273783894145</v>
      </c>
      <c r="J262">
        <v>-8.9448957341537621E-4</v>
      </c>
      <c r="K262" s="93">
        <f t="shared" si="13"/>
        <v>0</v>
      </c>
      <c r="L262" s="93">
        <f t="shared" si="14"/>
        <v>1</v>
      </c>
      <c r="M262" s="93">
        <f t="shared" si="15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3.5385123737104625</v>
      </c>
      <c r="H263">
        <v>3.6521191406249995E-4</v>
      </c>
      <c r="I263">
        <v>-0.88874012196096286</v>
      </c>
      <c r="J263">
        <v>-3.2457848104550286E-4</v>
      </c>
      <c r="K263" s="93">
        <f t="shared" si="13"/>
        <v>0</v>
      </c>
      <c r="L263" s="93">
        <f t="shared" si="14"/>
        <v>1</v>
      </c>
      <c r="M263" s="93">
        <f t="shared" si="15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3.901436719732045</v>
      </c>
      <c r="H264">
        <v>7.7100292968749985E-4</v>
      </c>
      <c r="I264">
        <v>-0.87805337935976702</v>
      </c>
      <c r="J264">
        <v>-6.7698172790839003E-4</v>
      </c>
      <c r="K264" s="93">
        <f t="shared" si="13"/>
        <v>0</v>
      </c>
      <c r="L264" s="93">
        <f t="shared" si="14"/>
        <v>1</v>
      </c>
      <c r="M264" s="93">
        <f t="shared" si="15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4.173629979248239</v>
      </c>
      <c r="H265">
        <v>4.8694921874999991E-4</v>
      </c>
      <c r="I265">
        <v>-0.87012273783894145</v>
      </c>
      <c r="J265">
        <v>-4.2370558740728354E-4</v>
      </c>
      <c r="K265" s="93">
        <f t="shared" si="13"/>
        <v>0</v>
      </c>
      <c r="L265" s="93">
        <f t="shared" si="14"/>
        <v>1</v>
      </c>
      <c r="M265" s="93">
        <f t="shared" si="15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3.5385123737104625</v>
      </c>
      <c r="H266">
        <v>7.7100292968749985E-4</v>
      </c>
      <c r="I266">
        <v>-0.88874012196096286</v>
      </c>
      <c r="J266">
        <v>-6.8522123776272831E-4</v>
      </c>
      <c r="K266" s="93">
        <f t="shared" si="13"/>
        <v>0</v>
      </c>
      <c r="L266" s="93">
        <f t="shared" si="14"/>
        <v>1</v>
      </c>
      <c r="M266" s="93">
        <f t="shared" si="15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3.901436719732045</v>
      </c>
      <c r="H267">
        <v>1.6276728515624997E-3</v>
      </c>
      <c r="I267">
        <v>-0.87805337935976702</v>
      </c>
      <c r="J267">
        <v>-1.4291836478066012E-3</v>
      </c>
      <c r="K267" s="93">
        <f t="shared" si="13"/>
        <v>0</v>
      </c>
      <c r="L267" s="93">
        <f t="shared" si="14"/>
        <v>1</v>
      </c>
      <c r="M267" s="93">
        <f t="shared" si="15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4.173629979248239</v>
      </c>
      <c r="H268">
        <v>1.0280039062499997E-3</v>
      </c>
      <c r="I268">
        <v>-0.87012273783894145</v>
      </c>
      <c r="J268">
        <v>-8.9448957341537621E-4</v>
      </c>
      <c r="K268" s="93">
        <f t="shared" si="13"/>
        <v>0</v>
      </c>
      <c r="L268" s="93">
        <f t="shared" si="14"/>
        <v>1</v>
      </c>
      <c r="M268" s="93">
        <f t="shared" si="15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3.5385123737104625</v>
      </c>
      <c r="H269">
        <v>4.8694921874999991E-4</v>
      </c>
      <c r="I269">
        <v>-0.88874012196096286</v>
      </c>
      <c r="J269">
        <v>-4.3277130806067049E-4</v>
      </c>
      <c r="K269" s="93">
        <f t="shared" si="13"/>
        <v>0</v>
      </c>
      <c r="L269" s="93">
        <f t="shared" si="14"/>
        <v>1</v>
      </c>
      <c r="M269" s="93">
        <f t="shared" si="15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3.901436719732045</v>
      </c>
      <c r="H270">
        <v>1.0280039062499997E-3</v>
      </c>
      <c r="I270">
        <v>-0.87805337935976702</v>
      </c>
      <c r="J270">
        <v>-9.0264230387785338E-4</v>
      </c>
      <c r="K270" s="93">
        <f t="shared" si="13"/>
        <v>0</v>
      </c>
      <c r="L270" s="93">
        <f t="shared" si="14"/>
        <v>1</v>
      </c>
      <c r="M270" s="93">
        <f t="shared" si="15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4.173629979248239</v>
      </c>
      <c r="H271">
        <v>6.4926562499999978E-4</v>
      </c>
      <c r="I271">
        <v>-0.87012273783894145</v>
      </c>
      <c r="J271">
        <v>-5.6494078320971127E-4</v>
      </c>
      <c r="K271" s="93">
        <f t="shared" si="13"/>
        <v>0</v>
      </c>
      <c r="L271" s="93">
        <f t="shared" si="14"/>
        <v>1</v>
      </c>
      <c r="M271" s="93">
        <f t="shared" si="15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4.3550921522590311</v>
      </c>
      <c r="H272">
        <v>5.7825219726562497E-4</v>
      </c>
      <c r="I272">
        <v>-0.86487547806370413</v>
      </c>
      <c r="J272">
        <v>-5.0011614555149479E-4</v>
      </c>
      <c r="K272" s="93">
        <f t="shared" si="13"/>
        <v>0</v>
      </c>
      <c r="L272" s="93">
        <f t="shared" si="14"/>
        <v>1</v>
      </c>
      <c r="M272" s="93">
        <f t="shared" si="15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4.8017682704394451</v>
      </c>
      <c r="H273">
        <v>1.2207546386718748E-3</v>
      </c>
      <c r="I273">
        <v>-0.85209356309070183</v>
      </c>
      <c r="J273">
        <v>-1.04019716972542E-3</v>
      </c>
      <c r="K273" s="93">
        <f t="shared" si="13"/>
        <v>0</v>
      </c>
      <c r="L273" s="93">
        <f t="shared" si="14"/>
        <v>1</v>
      </c>
      <c r="M273" s="93">
        <f t="shared" si="15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5.1367753590747496</v>
      </c>
      <c r="H274">
        <v>7.7100292968749996E-4</v>
      </c>
      <c r="I274">
        <v>-0.8426312476713157</v>
      </c>
      <c r="J274">
        <v>-6.4967116060081779E-4</v>
      </c>
      <c r="K274" s="93">
        <f t="shared" si="13"/>
        <v>0</v>
      </c>
      <c r="L274" s="93">
        <f t="shared" si="14"/>
        <v>1</v>
      </c>
      <c r="M274" s="93">
        <f t="shared" si="15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4.3550921522590311</v>
      </c>
      <c r="H275">
        <v>1.2207546386718748E-3</v>
      </c>
      <c r="I275">
        <v>-0.86487547806370413</v>
      </c>
      <c r="J275">
        <v>-1.0558007517198222E-3</v>
      </c>
      <c r="K275" s="93">
        <f t="shared" si="13"/>
        <v>0</v>
      </c>
      <c r="L275" s="93">
        <f t="shared" si="14"/>
        <v>1</v>
      </c>
      <c r="M275" s="93">
        <f t="shared" si="15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4.8017682704394451</v>
      </c>
      <c r="H276">
        <v>2.5771486816406246E-3</v>
      </c>
      <c r="I276">
        <v>-0.85209356309070183</v>
      </c>
      <c r="J276">
        <v>-2.1959718027536644E-3</v>
      </c>
      <c r="K276" s="93">
        <f t="shared" si="13"/>
        <v>0</v>
      </c>
      <c r="L276" s="93">
        <f t="shared" si="14"/>
        <v>1</v>
      </c>
      <c r="M276" s="93">
        <f t="shared" si="15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5.1367753590747496</v>
      </c>
      <c r="H277">
        <v>1.6276728515624997E-3</v>
      </c>
      <c r="I277">
        <v>-0.8426312476713157</v>
      </c>
      <c r="J277">
        <v>-1.3715280057128374E-3</v>
      </c>
      <c r="K277" s="93">
        <f t="shared" si="13"/>
        <v>0</v>
      </c>
      <c r="L277" s="93">
        <f t="shared" si="14"/>
        <v>1</v>
      </c>
      <c r="M277" s="93">
        <f t="shared" si="15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4.3550921522590311</v>
      </c>
      <c r="H278">
        <v>7.7100292968749985E-4</v>
      </c>
      <c r="I278">
        <v>-0.86487547806370413</v>
      </c>
      <c r="J278">
        <v>-6.668215274019929E-4</v>
      </c>
      <c r="K278" s="93">
        <f t="shared" si="13"/>
        <v>0</v>
      </c>
      <c r="L278" s="93">
        <f t="shared" si="14"/>
        <v>1</v>
      </c>
      <c r="M278" s="93">
        <f t="shared" si="15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4.8017682704394451</v>
      </c>
      <c r="H279">
        <v>1.6276728515624997E-3</v>
      </c>
      <c r="I279">
        <v>-0.85209356309070183</v>
      </c>
      <c r="J279">
        <v>-1.3869295596338933E-3</v>
      </c>
      <c r="K279" s="93">
        <f t="shared" si="13"/>
        <v>0</v>
      </c>
      <c r="L279" s="93">
        <f t="shared" si="14"/>
        <v>1</v>
      </c>
      <c r="M279" s="93">
        <f t="shared" si="15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5.1367753590747496</v>
      </c>
      <c r="H280">
        <v>1.0280039062499997E-3</v>
      </c>
      <c r="I280">
        <v>-0.8426312476713157</v>
      </c>
      <c r="J280">
        <v>-8.6622821413442355E-4</v>
      </c>
      <c r="K280" s="93">
        <f t="shared" si="13"/>
        <v>0</v>
      </c>
      <c r="L280" s="93">
        <f t="shared" si="14"/>
        <v>1</v>
      </c>
      <c r="M280" s="93">
        <f t="shared" si="15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4.3550921522590311</v>
      </c>
      <c r="H281">
        <v>1.2207546386718748E-3</v>
      </c>
      <c r="I281">
        <v>-0.86487547806370413</v>
      </c>
      <c r="J281">
        <v>-1.0558007517198222E-3</v>
      </c>
      <c r="K281" s="93">
        <f t="shared" si="13"/>
        <v>0</v>
      </c>
      <c r="L281" s="93">
        <f t="shared" si="14"/>
        <v>1</v>
      </c>
      <c r="M281" s="93">
        <f t="shared" si="15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4.8017682704394451</v>
      </c>
      <c r="H282">
        <v>2.5771486816406246E-3</v>
      </c>
      <c r="I282">
        <v>-0.85209356309070183</v>
      </c>
      <c r="J282">
        <v>-2.1959718027536644E-3</v>
      </c>
      <c r="K282" s="93">
        <f t="shared" si="13"/>
        <v>0</v>
      </c>
      <c r="L282" s="93">
        <f t="shared" si="14"/>
        <v>1</v>
      </c>
      <c r="M282" s="93">
        <f t="shared" si="15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5.1367753590747496</v>
      </c>
      <c r="H283">
        <v>1.6276728515624997E-3</v>
      </c>
      <c r="I283">
        <v>-0.8426312476713157</v>
      </c>
      <c r="J283">
        <v>-1.3715280057128374E-3</v>
      </c>
      <c r="K283" s="93">
        <f t="shared" si="13"/>
        <v>0</v>
      </c>
      <c r="L283" s="93">
        <f t="shared" si="14"/>
        <v>1</v>
      </c>
      <c r="M283" s="93">
        <f t="shared" si="15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4.3550921522590311</v>
      </c>
      <c r="H284">
        <v>2.5771486816406246E-3</v>
      </c>
      <c r="I284">
        <v>-0.86487547806370413</v>
      </c>
      <c r="J284">
        <v>-2.2289126980751801E-3</v>
      </c>
      <c r="K284" s="93">
        <f t="shared" si="13"/>
        <v>0</v>
      </c>
      <c r="L284" s="93">
        <f t="shared" si="14"/>
        <v>1</v>
      </c>
      <c r="M284" s="93">
        <f t="shared" si="15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4.8017682704394451</v>
      </c>
      <c r="H285">
        <v>5.4406472167968737E-3</v>
      </c>
      <c r="I285">
        <v>-0.85209356309070183</v>
      </c>
      <c r="J285">
        <v>-4.6359404724799587E-3</v>
      </c>
      <c r="K285" s="93">
        <f t="shared" si="13"/>
        <v>0</v>
      </c>
      <c r="L285" s="93">
        <f t="shared" si="14"/>
        <v>1</v>
      </c>
      <c r="M285" s="93">
        <f t="shared" si="15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5.1367753590747496</v>
      </c>
      <c r="H286">
        <v>3.4361982421874993E-3</v>
      </c>
      <c r="I286">
        <v>-0.8426312476713157</v>
      </c>
      <c r="J286">
        <v>-2.8954480120604344E-3</v>
      </c>
      <c r="K286" s="93">
        <f t="shared" si="13"/>
        <v>0</v>
      </c>
      <c r="L286" s="93">
        <f t="shared" si="14"/>
        <v>1</v>
      </c>
      <c r="M286" s="93">
        <f t="shared" si="15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4.3550921522590311</v>
      </c>
      <c r="H287">
        <v>1.6276728515624997E-3</v>
      </c>
      <c r="I287">
        <v>-0.86487547806370413</v>
      </c>
      <c r="J287">
        <v>-1.4077343356264295E-3</v>
      </c>
      <c r="K287" s="93">
        <f t="shared" si="13"/>
        <v>0</v>
      </c>
      <c r="L287" s="93">
        <f t="shared" si="14"/>
        <v>1</v>
      </c>
      <c r="M287" s="93">
        <f t="shared" si="15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4.8017682704394451</v>
      </c>
      <c r="H288">
        <v>3.4361982421874993E-3</v>
      </c>
      <c r="I288">
        <v>-0.85209356309070183</v>
      </c>
      <c r="J288">
        <v>-2.9279624036715529E-3</v>
      </c>
      <c r="K288" s="93">
        <f t="shared" si="13"/>
        <v>0</v>
      </c>
      <c r="L288" s="93">
        <f t="shared" si="14"/>
        <v>1</v>
      </c>
      <c r="M288" s="93">
        <f t="shared" si="15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5.1367753590747496</v>
      </c>
      <c r="H289">
        <v>2.1702304687499993E-3</v>
      </c>
      <c r="I289">
        <v>-0.8426312476713157</v>
      </c>
      <c r="J289">
        <v>-1.8287040076171161E-3</v>
      </c>
      <c r="K289" s="93">
        <f t="shared" si="13"/>
        <v>0</v>
      </c>
      <c r="L289" s="93">
        <f t="shared" si="14"/>
        <v>1</v>
      </c>
      <c r="M289" s="93">
        <f t="shared" si="15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4.3550921522590311</v>
      </c>
      <c r="H290">
        <v>7.7100292968749996E-4</v>
      </c>
      <c r="I290">
        <v>-0.86487547806370413</v>
      </c>
      <c r="J290">
        <v>-6.6682152740199301E-4</v>
      </c>
      <c r="K290" s="93">
        <f t="shared" si="13"/>
        <v>0</v>
      </c>
      <c r="L290" s="93">
        <f t="shared" si="14"/>
        <v>1</v>
      </c>
      <c r="M290" s="93">
        <f t="shared" si="15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4.8017682704394451</v>
      </c>
      <c r="H291">
        <v>1.6276728515624999E-3</v>
      </c>
      <c r="I291">
        <v>-0.85209356309070183</v>
      </c>
      <c r="J291">
        <v>-1.3869295596338935E-3</v>
      </c>
      <c r="K291" s="93">
        <f t="shared" si="13"/>
        <v>0</v>
      </c>
      <c r="L291" s="93">
        <f t="shared" si="14"/>
        <v>1</v>
      </c>
      <c r="M291" s="93">
        <f t="shared" si="15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5.1367753590747496</v>
      </c>
      <c r="H292">
        <v>1.0280039062499999E-3</v>
      </c>
      <c r="I292">
        <v>-0.8426312476713157</v>
      </c>
      <c r="J292">
        <v>-8.6622821413442365E-4</v>
      </c>
      <c r="K292" s="93">
        <f t="shared" si="13"/>
        <v>0</v>
      </c>
      <c r="L292" s="93">
        <f t="shared" si="14"/>
        <v>1</v>
      </c>
      <c r="M292" s="93">
        <f t="shared" si="15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4.3550921522590311</v>
      </c>
      <c r="H293">
        <v>1.6276728515624997E-3</v>
      </c>
      <c r="I293">
        <v>-0.86487547806370413</v>
      </c>
      <c r="J293">
        <v>-1.4077343356264295E-3</v>
      </c>
      <c r="K293" s="93">
        <f t="shared" si="13"/>
        <v>0</v>
      </c>
      <c r="L293" s="93">
        <f t="shared" si="14"/>
        <v>1</v>
      </c>
      <c r="M293" s="93">
        <f t="shared" si="15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4.8017682704394451</v>
      </c>
      <c r="H294">
        <v>3.4361982421874993E-3</v>
      </c>
      <c r="I294">
        <v>-0.85209356309070183</v>
      </c>
      <c r="J294">
        <v>-2.9279624036715529E-3</v>
      </c>
      <c r="K294" s="93">
        <f t="shared" si="13"/>
        <v>0</v>
      </c>
      <c r="L294" s="93">
        <f t="shared" si="14"/>
        <v>1</v>
      </c>
      <c r="M294" s="93">
        <f t="shared" si="15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5.1367753590747496</v>
      </c>
      <c r="H295">
        <v>2.1702304687499993E-3</v>
      </c>
      <c r="I295">
        <v>-0.8426312476713157</v>
      </c>
      <c r="J295">
        <v>-1.8287040076171161E-3</v>
      </c>
      <c r="K295" s="93">
        <f t="shared" si="13"/>
        <v>0</v>
      </c>
      <c r="L295" s="93">
        <f t="shared" si="14"/>
        <v>1</v>
      </c>
      <c r="M295" s="93">
        <f t="shared" si="15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4.3550921522590311</v>
      </c>
      <c r="H296">
        <v>1.0280039062499999E-3</v>
      </c>
      <c r="I296">
        <v>-0.86487547806370413</v>
      </c>
      <c r="J296">
        <v>-8.8909536986932398E-4</v>
      </c>
      <c r="K296" s="93">
        <f t="shared" si="13"/>
        <v>0</v>
      </c>
      <c r="L296" s="93">
        <f t="shared" si="14"/>
        <v>1</v>
      </c>
      <c r="M296" s="93">
        <f t="shared" si="15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4.8017682704394451</v>
      </c>
      <c r="H297">
        <v>2.1702304687499993E-3</v>
      </c>
      <c r="I297">
        <v>-0.85209356309070183</v>
      </c>
      <c r="J297">
        <v>-1.8492394128451909E-3</v>
      </c>
      <c r="K297" s="93">
        <f t="shared" si="13"/>
        <v>0</v>
      </c>
      <c r="L297" s="93">
        <f t="shared" si="14"/>
        <v>1</v>
      </c>
      <c r="M297" s="93">
        <f t="shared" si="15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5.1367753590747496</v>
      </c>
      <c r="H298">
        <v>1.3706718749999997E-3</v>
      </c>
      <c r="I298">
        <v>-0.8426312476713157</v>
      </c>
      <c r="J298">
        <v>-1.1549709521792315E-3</v>
      </c>
      <c r="K298" s="93">
        <f t="shared" si="13"/>
        <v>0</v>
      </c>
      <c r="L298" s="93">
        <f t="shared" si="14"/>
        <v>1</v>
      </c>
      <c r="M298" s="93">
        <f t="shared" si="15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4.8994786712914102</v>
      </c>
      <c r="H299">
        <v>3.652119140625E-4</v>
      </c>
      <c r="I299">
        <v>-0.8493227976297214</v>
      </c>
      <c r="J299">
        <v>-3.1018280457926789E-4</v>
      </c>
      <c r="K299" s="93">
        <f t="shared" si="13"/>
        <v>0</v>
      </c>
      <c r="L299" s="93">
        <f t="shared" si="14"/>
        <v>1</v>
      </c>
      <c r="M299" s="93">
        <f t="shared" si="15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5.4019893042443732</v>
      </c>
      <c r="H300">
        <v>7.7100292968749996E-4</v>
      </c>
      <c r="I300">
        <v>-0.83521482636169553</v>
      </c>
      <c r="J300">
        <v>-6.4395307804330387E-4</v>
      </c>
      <c r="K300" s="93">
        <f t="shared" si="13"/>
        <v>0</v>
      </c>
      <c r="L300" s="93">
        <f t="shared" si="14"/>
        <v>1</v>
      </c>
      <c r="M300" s="93">
        <f t="shared" si="15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5.7788722789590938</v>
      </c>
      <c r="H301">
        <v>4.8694921874999997E-4</v>
      </c>
      <c r="I301">
        <v>-0.82478785104453167</v>
      </c>
      <c r="J301">
        <v>-4.0162979970062606E-4</v>
      </c>
      <c r="K301" s="93">
        <f t="shared" si="13"/>
        <v>0</v>
      </c>
      <c r="L301" s="93">
        <f t="shared" si="14"/>
        <v>1</v>
      </c>
      <c r="M301" s="93">
        <f t="shared" si="15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4.8994786712914102</v>
      </c>
      <c r="H302">
        <v>7.7100292968749996E-4</v>
      </c>
      <c r="I302">
        <v>-0.8493227976297214</v>
      </c>
      <c r="J302">
        <v>-6.5483036522289882E-4</v>
      </c>
      <c r="K302" s="93">
        <f t="shared" si="13"/>
        <v>0</v>
      </c>
      <c r="L302" s="93">
        <f t="shared" si="14"/>
        <v>1</v>
      </c>
      <c r="M302" s="93">
        <f t="shared" si="15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5.4019893042443732</v>
      </c>
      <c r="H303">
        <v>1.6276728515624999E-3</v>
      </c>
      <c r="I303">
        <v>-0.83521482636169553</v>
      </c>
      <c r="J303">
        <v>-1.3594564980914192E-3</v>
      </c>
      <c r="K303" s="93">
        <f t="shared" si="13"/>
        <v>0</v>
      </c>
      <c r="L303" s="93">
        <f t="shared" si="14"/>
        <v>1</v>
      </c>
      <c r="M303" s="93">
        <f t="shared" si="15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5.7788722789590938</v>
      </c>
      <c r="H304">
        <v>1.0280039062499999E-3</v>
      </c>
      <c r="I304">
        <v>-0.82478785104453167</v>
      </c>
      <c r="J304">
        <v>-8.4788513270132166E-4</v>
      </c>
      <c r="K304" s="93">
        <f t="shared" si="13"/>
        <v>0</v>
      </c>
      <c r="L304" s="93">
        <f t="shared" si="14"/>
        <v>1</v>
      </c>
      <c r="M304" s="93">
        <f t="shared" si="15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4.8994786712914102</v>
      </c>
      <c r="H305">
        <v>4.8694921874999997E-4</v>
      </c>
      <c r="I305">
        <v>-0.8493227976297214</v>
      </c>
      <c r="J305">
        <v>-4.1357707277235714E-4</v>
      </c>
      <c r="K305" s="93">
        <f t="shared" si="13"/>
        <v>0</v>
      </c>
      <c r="L305" s="93">
        <f t="shared" si="14"/>
        <v>1</v>
      </c>
      <c r="M305" s="93">
        <f t="shared" si="15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5.4019893042443732</v>
      </c>
      <c r="H306">
        <v>1.0280039062499999E-3</v>
      </c>
      <c r="I306">
        <v>-0.83521482636169553</v>
      </c>
      <c r="J306">
        <v>-8.5860410405773845E-4</v>
      </c>
      <c r="K306" s="93">
        <f t="shared" si="13"/>
        <v>0</v>
      </c>
      <c r="L306" s="93">
        <f t="shared" si="14"/>
        <v>1</v>
      </c>
      <c r="M306" s="93">
        <f t="shared" si="15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5.7788722789590938</v>
      </c>
      <c r="H307">
        <v>6.4926562499999999E-4</v>
      </c>
      <c r="I307">
        <v>-0.82478785104453167</v>
      </c>
      <c r="J307">
        <v>-5.3550639960083478E-4</v>
      </c>
      <c r="K307" s="93">
        <f t="shared" si="13"/>
        <v>0</v>
      </c>
      <c r="L307" s="93">
        <f t="shared" si="14"/>
        <v>1</v>
      </c>
      <c r="M307" s="93">
        <f t="shared" si="15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4.8994786712914102</v>
      </c>
      <c r="H308">
        <v>7.7100292968750007E-4</v>
      </c>
      <c r="I308">
        <v>-0.8493227976297214</v>
      </c>
      <c r="J308">
        <v>-6.5483036522289892E-4</v>
      </c>
      <c r="K308" s="93">
        <f t="shared" si="13"/>
        <v>0</v>
      </c>
      <c r="L308" s="93">
        <f t="shared" si="14"/>
        <v>1</v>
      </c>
      <c r="M308" s="93">
        <f t="shared" si="15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5.4019893042443732</v>
      </c>
      <c r="H309">
        <v>1.6276728515625001E-3</v>
      </c>
      <c r="I309">
        <v>-0.83521482636169553</v>
      </c>
      <c r="J309">
        <v>-1.3594564980914194E-3</v>
      </c>
      <c r="K309" s="93">
        <f t="shared" si="13"/>
        <v>0</v>
      </c>
      <c r="L309" s="93">
        <f t="shared" si="14"/>
        <v>1</v>
      </c>
      <c r="M309" s="93">
        <f t="shared" si="15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5.7788722789590938</v>
      </c>
      <c r="H310">
        <v>1.0280039062499999E-3</v>
      </c>
      <c r="I310">
        <v>-0.82478785104453167</v>
      </c>
      <c r="J310">
        <v>-8.4788513270132166E-4</v>
      </c>
      <c r="K310" s="93">
        <f t="shared" si="13"/>
        <v>0</v>
      </c>
      <c r="L310" s="93">
        <f t="shared" si="14"/>
        <v>1</v>
      </c>
      <c r="M310" s="93">
        <f t="shared" si="15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4.8994786712914102</v>
      </c>
      <c r="H311">
        <v>1.6276728515624999E-3</v>
      </c>
      <c r="I311">
        <v>-0.8493227976297214</v>
      </c>
      <c r="J311">
        <v>-1.3824196599150087E-3</v>
      </c>
      <c r="K311" s="93">
        <f t="shared" si="13"/>
        <v>0</v>
      </c>
      <c r="L311" s="93">
        <f t="shared" si="14"/>
        <v>1</v>
      </c>
      <c r="M311" s="93">
        <f t="shared" si="15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5.4019893042443732</v>
      </c>
      <c r="H312">
        <v>3.4361982421874998E-3</v>
      </c>
      <c r="I312">
        <v>-0.83521482636169553</v>
      </c>
      <c r="J312">
        <v>-2.8699637181929961E-3</v>
      </c>
      <c r="K312" s="93">
        <f t="shared" si="13"/>
        <v>0</v>
      </c>
      <c r="L312" s="93">
        <f t="shared" si="14"/>
        <v>1</v>
      </c>
      <c r="M312" s="93">
        <f t="shared" si="15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5.7788722789590938</v>
      </c>
      <c r="H313">
        <v>2.1702304687499997E-3</v>
      </c>
      <c r="I313">
        <v>-0.82478785104453167</v>
      </c>
      <c r="J313">
        <v>-1.7899797245916789E-3</v>
      </c>
      <c r="K313" s="93">
        <f t="shared" si="13"/>
        <v>0</v>
      </c>
      <c r="L313" s="93">
        <f t="shared" si="14"/>
        <v>1</v>
      </c>
      <c r="M313" s="93">
        <f t="shared" si="15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4.8994786712914102</v>
      </c>
      <c r="H314">
        <v>1.0280039062499999E-3</v>
      </c>
      <c r="I314">
        <v>-0.8493227976297214</v>
      </c>
      <c r="J314">
        <v>-8.7310715363053183E-4</v>
      </c>
      <c r="K314" s="93">
        <f t="shared" si="13"/>
        <v>0</v>
      </c>
      <c r="L314" s="93">
        <f t="shared" si="14"/>
        <v>1</v>
      </c>
      <c r="M314" s="93">
        <f t="shared" si="15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5.4019893042443732</v>
      </c>
      <c r="H315">
        <v>2.1702304687499997E-3</v>
      </c>
      <c r="I315">
        <v>-0.83521482636169553</v>
      </c>
      <c r="J315">
        <v>-1.8126086641218921E-3</v>
      </c>
      <c r="K315" s="93">
        <f t="shared" si="13"/>
        <v>0</v>
      </c>
      <c r="L315" s="93">
        <f t="shared" si="14"/>
        <v>1</v>
      </c>
      <c r="M315" s="93">
        <f t="shared" si="15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5.7788722789590938</v>
      </c>
      <c r="H316">
        <v>1.3706718749999999E-3</v>
      </c>
      <c r="I316">
        <v>-0.82478785104453167</v>
      </c>
      <c r="J316">
        <v>-1.1305135102684289E-3</v>
      </c>
      <c r="K316" s="93">
        <f t="shared" si="13"/>
        <v>0</v>
      </c>
      <c r="L316" s="93">
        <f t="shared" si="14"/>
        <v>1</v>
      </c>
      <c r="M316" s="93">
        <f t="shared" si="15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4.8994786712914102</v>
      </c>
      <c r="H317">
        <v>4.8694921875000008E-4</v>
      </c>
      <c r="I317">
        <v>-0.8493227976297214</v>
      </c>
      <c r="J317">
        <v>-4.1357707277235725E-4</v>
      </c>
      <c r="K317" s="93">
        <f t="shared" si="13"/>
        <v>0</v>
      </c>
      <c r="L317" s="93">
        <f t="shared" si="14"/>
        <v>1</v>
      </c>
      <c r="M317" s="93">
        <f t="shared" si="15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5.4019893042443732</v>
      </c>
      <c r="H318">
        <v>1.0280039062500002E-3</v>
      </c>
      <c r="I318">
        <v>-0.83521482636169553</v>
      </c>
      <c r="J318">
        <v>-8.5860410405773856E-4</v>
      </c>
      <c r="K318" s="93">
        <f t="shared" si="13"/>
        <v>0</v>
      </c>
      <c r="L318" s="93">
        <f t="shared" si="14"/>
        <v>1</v>
      </c>
      <c r="M318" s="93">
        <f t="shared" si="15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5.7788722789590938</v>
      </c>
      <c r="H319">
        <v>6.492656250000001E-4</v>
      </c>
      <c r="I319">
        <v>-0.82478785104453167</v>
      </c>
      <c r="J319">
        <v>-5.3550639960083489E-4</v>
      </c>
      <c r="K319" s="93">
        <f t="shared" si="13"/>
        <v>0</v>
      </c>
      <c r="L319" s="93">
        <f t="shared" si="14"/>
        <v>1</v>
      </c>
      <c r="M319" s="93">
        <f t="shared" si="15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4.8994786712914102</v>
      </c>
      <c r="H320">
        <v>1.0280039062499999E-3</v>
      </c>
      <c r="I320">
        <v>-0.8493227976297214</v>
      </c>
      <c r="J320">
        <v>-8.7310715363053183E-4</v>
      </c>
      <c r="K320" s="93">
        <f t="shared" si="13"/>
        <v>0</v>
      </c>
      <c r="L320" s="93">
        <f t="shared" si="14"/>
        <v>1</v>
      </c>
      <c r="M320" s="93">
        <f t="shared" si="15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5.4019893042443732</v>
      </c>
      <c r="H321">
        <v>2.1702304687499997E-3</v>
      </c>
      <c r="I321">
        <v>-0.83521482636169553</v>
      </c>
      <c r="J321">
        <v>-1.8126086641218921E-3</v>
      </c>
      <c r="K321" s="93">
        <f t="shared" si="13"/>
        <v>0</v>
      </c>
      <c r="L321" s="93">
        <f t="shared" si="14"/>
        <v>1</v>
      </c>
      <c r="M321" s="93">
        <f t="shared" si="15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5.7788722789590938</v>
      </c>
      <c r="H322">
        <v>1.3706718749999999E-3</v>
      </c>
      <c r="I322">
        <v>-0.82478785104453167</v>
      </c>
      <c r="J322">
        <v>-1.1305135102684289E-3</v>
      </c>
      <c r="K322" s="93">
        <f t="shared" si="13"/>
        <v>0</v>
      </c>
      <c r="L322" s="93">
        <f t="shared" si="14"/>
        <v>1</v>
      </c>
      <c r="M322" s="93">
        <f t="shared" si="15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4.8994786712914102</v>
      </c>
      <c r="H323">
        <v>6.492656250000001E-4</v>
      </c>
      <c r="I323">
        <v>-0.8493227976297214</v>
      </c>
      <c r="J323">
        <v>-5.5143609702980963E-4</v>
      </c>
      <c r="K323" s="93">
        <f t="shared" ref="K323:K386" si="16">IF(A323=3,1,0)</f>
        <v>0</v>
      </c>
      <c r="L323" s="93">
        <f t="shared" ref="L323:L386" si="17">IF(A323=2,1,0)</f>
        <v>1</v>
      </c>
      <c r="M323" s="93">
        <f t="shared" ref="M323:M386" si="18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5.4019893042443732</v>
      </c>
      <c r="H324">
        <v>1.3706718749999999E-3</v>
      </c>
      <c r="I324">
        <v>-0.83521482636169553</v>
      </c>
      <c r="J324">
        <v>-1.1448054720769845E-3</v>
      </c>
      <c r="K324" s="93">
        <f t="shared" si="16"/>
        <v>0</v>
      </c>
      <c r="L324" s="93">
        <f t="shared" si="17"/>
        <v>1</v>
      </c>
      <c r="M324" s="93">
        <f t="shared" si="18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5.7788722789590938</v>
      </c>
      <c r="H325">
        <v>8.6568750000000003E-4</v>
      </c>
      <c r="I325">
        <v>-0.82478785104453167</v>
      </c>
      <c r="J325">
        <v>-7.1400853280111304E-4</v>
      </c>
      <c r="K325" s="93">
        <f t="shared" si="16"/>
        <v>0</v>
      </c>
      <c r="L325" s="93">
        <f t="shared" si="17"/>
        <v>1</v>
      </c>
      <c r="M325" s="93">
        <f t="shared" si="18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5.6542633620280318</v>
      </c>
      <c r="H326">
        <v>5.7825219726562508E-4</v>
      </c>
      <c r="I326">
        <v>-0.82822083981962469</v>
      </c>
      <c r="J326">
        <v>-4.7892052044687931E-4</v>
      </c>
      <c r="K326" s="93">
        <f t="shared" si="16"/>
        <v>0</v>
      </c>
      <c r="L326" s="93">
        <f t="shared" si="17"/>
        <v>1</v>
      </c>
      <c r="M326" s="93">
        <f t="shared" si="18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6.2341878094155181</v>
      </c>
      <c r="H327">
        <v>1.220754638671875E-3</v>
      </c>
      <c r="I327">
        <v>-0.81236440869242676</v>
      </c>
      <c r="J327">
        <v>-9.9169762020321489E-4</v>
      </c>
      <c r="K327" s="93">
        <f t="shared" si="16"/>
        <v>0</v>
      </c>
      <c r="L327" s="93">
        <f t="shared" si="17"/>
        <v>1</v>
      </c>
      <c r="M327" s="93">
        <f t="shared" si="18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6.6691311449561415</v>
      </c>
      <c r="H328">
        <v>7.7100292968750007E-4</v>
      </c>
      <c r="I328">
        <v>-0.80067162562045502</v>
      </c>
      <c r="J328">
        <v>-6.1732016907102409E-4</v>
      </c>
      <c r="K328" s="93">
        <f t="shared" si="16"/>
        <v>0</v>
      </c>
      <c r="L328" s="93">
        <f t="shared" si="17"/>
        <v>1</v>
      </c>
      <c r="M328" s="93">
        <f t="shared" si="18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5.6542633620280318</v>
      </c>
      <c r="H329">
        <v>1.220754638671875E-3</v>
      </c>
      <c r="I329">
        <v>-0.82822083981962469</v>
      </c>
      <c r="J329">
        <v>-1.0110544320545227E-3</v>
      </c>
      <c r="K329" s="93">
        <f t="shared" si="16"/>
        <v>0</v>
      </c>
      <c r="L329" s="93">
        <f t="shared" si="17"/>
        <v>1</v>
      </c>
      <c r="M329" s="93">
        <f t="shared" si="18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6.2341878094155181</v>
      </c>
      <c r="H330">
        <v>2.577148681640625E-3</v>
      </c>
      <c r="I330">
        <v>-0.81236440869242676</v>
      </c>
      <c r="J330">
        <v>-2.0935838648734537E-3</v>
      </c>
      <c r="K330" s="93">
        <f t="shared" si="16"/>
        <v>0</v>
      </c>
      <c r="L330" s="93">
        <f t="shared" si="17"/>
        <v>1</v>
      </c>
      <c r="M330" s="93">
        <f t="shared" si="18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6.6691311449561415</v>
      </c>
      <c r="H331">
        <v>1.6276728515624999E-3</v>
      </c>
      <c r="I331">
        <v>-0.80067162562045502</v>
      </c>
      <c r="J331">
        <v>-1.3032314680388284E-3</v>
      </c>
      <c r="K331" s="93">
        <f t="shared" si="16"/>
        <v>0</v>
      </c>
      <c r="L331" s="93">
        <f t="shared" si="17"/>
        <v>1</v>
      </c>
      <c r="M331" s="93">
        <f t="shared" si="18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5.6542633620280318</v>
      </c>
      <c r="H332">
        <v>7.7100292968750007E-4</v>
      </c>
      <c r="I332">
        <v>-0.82822083981962469</v>
      </c>
      <c r="J332">
        <v>-6.385606939291723E-4</v>
      </c>
      <c r="K332" s="93">
        <f t="shared" si="16"/>
        <v>0</v>
      </c>
      <c r="L332" s="93">
        <f t="shared" si="17"/>
        <v>1</v>
      </c>
      <c r="M332" s="93">
        <f t="shared" si="18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6.2341878094155181</v>
      </c>
      <c r="H333">
        <v>1.6276728515625001E-3</v>
      </c>
      <c r="I333">
        <v>-0.81236440869242676</v>
      </c>
      <c r="J333">
        <v>-1.3222634936042865E-3</v>
      </c>
      <c r="K333" s="93">
        <f t="shared" si="16"/>
        <v>0</v>
      </c>
      <c r="L333" s="93">
        <f t="shared" si="17"/>
        <v>1</v>
      </c>
      <c r="M333" s="93">
        <f t="shared" si="18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6.6691311449561415</v>
      </c>
      <c r="H334">
        <v>1.0280039062499999E-3</v>
      </c>
      <c r="I334">
        <v>-0.80067162562045502</v>
      </c>
      <c r="J334">
        <v>-8.230935587613653E-4</v>
      </c>
      <c r="K334" s="93">
        <f t="shared" si="16"/>
        <v>0</v>
      </c>
      <c r="L334" s="93">
        <f t="shared" si="17"/>
        <v>1</v>
      </c>
      <c r="M334" s="93">
        <f t="shared" si="18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5.6542633620280318</v>
      </c>
      <c r="H335">
        <v>1.220754638671875E-3</v>
      </c>
      <c r="I335">
        <v>-0.82822083981962469</v>
      </c>
      <c r="J335">
        <v>-1.0110544320545227E-3</v>
      </c>
      <c r="K335" s="93">
        <f t="shared" si="16"/>
        <v>0</v>
      </c>
      <c r="L335" s="93">
        <f t="shared" si="17"/>
        <v>1</v>
      </c>
      <c r="M335" s="93">
        <f t="shared" si="18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6.2341878094155181</v>
      </c>
      <c r="H336">
        <v>2.577148681640625E-3</v>
      </c>
      <c r="I336">
        <v>-0.81236440869242676</v>
      </c>
      <c r="J336">
        <v>-2.0935838648734537E-3</v>
      </c>
      <c r="K336" s="93">
        <f t="shared" si="16"/>
        <v>0</v>
      </c>
      <c r="L336" s="93">
        <f t="shared" si="17"/>
        <v>1</v>
      </c>
      <c r="M336" s="93">
        <f t="shared" si="18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6.6691311449561415</v>
      </c>
      <c r="H337">
        <v>1.6276728515624999E-3</v>
      </c>
      <c r="I337">
        <v>-0.80067162562045502</v>
      </c>
      <c r="J337">
        <v>-1.3032314680388284E-3</v>
      </c>
      <c r="K337" s="93">
        <f t="shared" si="16"/>
        <v>0</v>
      </c>
      <c r="L337" s="93">
        <f t="shared" si="17"/>
        <v>1</v>
      </c>
      <c r="M337" s="93">
        <f t="shared" si="18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5.6542633620280318</v>
      </c>
      <c r="H338">
        <v>2.577148681640625E-3</v>
      </c>
      <c r="I338">
        <v>-0.82822083981962469</v>
      </c>
      <c r="J338">
        <v>-2.1344482454484369E-3</v>
      </c>
      <c r="K338" s="93">
        <f t="shared" si="16"/>
        <v>0</v>
      </c>
      <c r="L338" s="93">
        <f t="shared" si="17"/>
        <v>1</v>
      </c>
      <c r="M338" s="93">
        <f t="shared" si="18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6.2341878094155181</v>
      </c>
      <c r="H339">
        <v>5.4406472167968746E-3</v>
      </c>
      <c r="I339">
        <v>-0.81236440869242676</v>
      </c>
      <c r="J339">
        <v>-4.4197881591772903E-3</v>
      </c>
      <c r="K339" s="93">
        <f t="shared" si="16"/>
        <v>0</v>
      </c>
      <c r="L339" s="93">
        <f t="shared" si="17"/>
        <v>1</v>
      </c>
      <c r="M339" s="93">
        <f t="shared" si="18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6.6691311449561415</v>
      </c>
      <c r="H340">
        <v>3.4361982421874998E-3</v>
      </c>
      <c r="I340">
        <v>-0.80067162562045502</v>
      </c>
      <c r="J340">
        <v>-2.7512664325264153E-3</v>
      </c>
      <c r="K340" s="93">
        <f t="shared" si="16"/>
        <v>0</v>
      </c>
      <c r="L340" s="93">
        <f t="shared" si="17"/>
        <v>1</v>
      </c>
      <c r="M340" s="93">
        <f t="shared" si="18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5.6542633620280318</v>
      </c>
      <c r="H341">
        <v>1.6276728515624999E-3</v>
      </c>
      <c r="I341">
        <v>-0.82822083981962469</v>
      </c>
      <c r="J341">
        <v>-1.348072576072697E-3</v>
      </c>
      <c r="K341" s="93">
        <f t="shared" si="16"/>
        <v>0</v>
      </c>
      <c r="L341" s="93">
        <f t="shared" si="17"/>
        <v>1</v>
      </c>
      <c r="M341" s="93">
        <f t="shared" si="18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6.2341878094155181</v>
      </c>
      <c r="H342">
        <v>3.4361982421874998E-3</v>
      </c>
      <c r="I342">
        <v>-0.81236440869242676</v>
      </c>
      <c r="J342">
        <v>-2.7914451531646043E-3</v>
      </c>
      <c r="K342" s="93">
        <f t="shared" si="16"/>
        <v>0</v>
      </c>
      <c r="L342" s="93">
        <f t="shared" si="17"/>
        <v>1</v>
      </c>
      <c r="M342" s="93">
        <f t="shared" si="18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6.6691311449561415</v>
      </c>
      <c r="H343">
        <v>2.1702304687499997E-3</v>
      </c>
      <c r="I343">
        <v>-0.80067162562045502</v>
      </c>
      <c r="J343">
        <v>-1.7376419573851044E-3</v>
      </c>
      <c r="K343" s="93">
        <f t="shared" si="16"/>
        <v>0</v>
      </c>
      <c r="L343" s="93">
        <f t="shared" si="17"/>
        <v>1</v>
      </c>
      <c r="M343" s="93">
        <f t="shared" si="18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5.6542633620280318</v>
      </c>
      <c r="H344">
        <v>7.7100292968750007E-4</v>
      </c>
      <c r="I344">
        <v>-0.82822083981962469</v>
      </c>
      <c r="J344">
        <v>-6.385606939291723E-4</v>
      </c>
      <c r="K344" s="93">
        <f t="shared" si="16"/>
        <v>0</v>
      </c>
      <c r="L344" s="93">
        <f t="shared" si="17"/>
        <v>1</v>
      </c>
      <c r="M344" s="93">
        <f t="shared" si="18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6.2341878094155181</v>
      </c>
      <c r="H345">
        <v>1.6276728515625001E-3</v>
      </c>
      <c r="I345">
        <v>-0.81236440869242676</v>
      </c>
      <c r="J345">
        <v>-1.3222634936042865E-3</v>
      </c>
      <c r="K345" s="93">
        <f t="shared" si="16"/>
        <v>0</v>
      </c>
      <c r="L345" s="93">
        <f t="shared" si="17"/>
        <v>1</v>
      </c>
      <c r="M345" s="93">
        <f t="shared" si="18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6.6691311449561415</v>
      </c>
      <c r="H346">
        <v>1.0280039062499999E-3</v>
      </c>
      <c r="I346">
        <v>-0.80067162562045502</v>
      </c>
      <c r="J346">
        <v>-8.230935587613653E-4</v>
      </c>
      <c r="K346" s="93">
        <f t="shared" si="16"/>
        <v>0</v>
      </c>
      <c r="L346" s="93">
        <f t="shared" si="17"/>
        <v>1</v>
      </c>
      <c r="M346" s="93">
        <f t="shared" si="18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5.6542633620280318</v>
      </c>
      <c r="H347">
        <v>1.6276728515624999E-3</v>
      </c>
      <c r="I347">
        <v>-0.82822083981962469</v>
      </c>
      <c r="J347">
        <v>-1.348072576072697E-3</v>
      </c>
      <c r="K347" s="93">
        <f t="shared" si="16"/>
        <v>0</v>
      </c>
      <c r="L347" s="93">
        <f t="shared" si="17"/>
        <v>1</v>
      </c>
      <c r="M347" s="93">
        <f t="shared" si="18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6.2341878094155181</v>
      </c>
      <c r="H348">
        <v>3.4361982421874998E-3</v>
      </c>
      <c r="I348">
        <v>-0.81236440869242676</v>
      </c>
      <c r="J348">
        <v>-2.7914451531646043E-3</v>
      </c>
      <c r="K348" s="93">
        <f t="shared" si="16"/>
        <v>0</v>
      </c>
      <c r="L348" s="93">
        <f t="shared" si="17"/>
        <v>1</v>
      </c>
      <c r="M348" s="93">
        <f t="shared" si="18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6.6691311449561415</v>
      </c>
      <c r="H349">
        <v>2.1702304687499997E-3</v>
      </c>
      <c r="I349">
        <v>-0.80067162562045502</v>
      </c>
      <c r="J349">
        <v>-1.7376419573851044E-3</v>
      </c>
      <c r="K349" s="93">
        <f t="shared" si="16"/>
        <v>0</v>
      </c>
      <c r="L349" s="93">
        <f t="shared" si="17"/>
        <v>1</v>
      </c>
      <c r="M349" s="93">
        <f t="shared" si="18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5.6542633620280318</v>
      </c>
      <c r="H350">
        <v>1.0280039062499999E-3</v>
      </c>
      <c r="I350">
        <v>-0.82822083981962469</v>
      </c>
      <c r="J350">
        <v>-8.514142585722297E-4</v>
      </c>
      <c r="K350" s="93">
        <f t="shared" si="16"/>
        <v>0</v>
      </c>
      <c r="L350" s="93">
        <f t="shared" si="17"/>
        <v>1</v>
      </c>
      <c r="M350" s="93">
        <f t="shared" si="18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6.2341878094155181</v>
      </c>
      <c r="H351">
        <v>2.1702304687499997E-3</v>
      </c>
      <c r="I351">
        <v>-0.81236440869242676</v>
      </c>
      <c r="J351">
        <v>-1.7630179914723816E-3</v>
      </c>
      <c r="K351" s="93">
        <f t="shared" si="16"/>
        <v>0</v>
      </c>
      <c r="L351" s="93">
        <f t="shared" si="17"/>
        <v>1</v>
      </c>
      <c r="M351" s="93">
        <f t="shared" si="18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6.6691311449561415</v>
      </c>
      <c r="H352">
        <v>1.3706718749999999E-3</v>
      </c>
      <c r="I352">
        <v>-0.80067162562045502</v>
      </c>
      <c r="J352">
        <v>-1.0974580783484871E-3</v>
      </c>
      <c r="K352" s="93">
        <f t="shared" si="16"/>
        <v>0</v>
      </c>
      <c r="L352" s="93">
        <f t="shared" si="17"/>
        <v>1</v>
      </c>
      <c r="M352" s="93">
        <f t="shared" si="18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6.9590933686498833</v>
      </c>
      <c r="H353">
        <v>1.2207546386718748E-3</v>
      </c>
      <c r="I353">
        <v>-0.79297008732926888</v>
      </c>
      <c r="J353">
        <v>-9.6802191243524661E-4</v>
      </c>
      <c r="K353" s="93">
        <f t="shared" si="16"/>
        <v>0</v>
      </c>
      <c r="L353" s="93">
        <f t="shared" si="17"/>
        <v>1</v>
      </c>
      <c r="M353" s="93">
        <f t="shared" si="18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7.6728465346652532</v>
      </c>
      <c r="H354">
        <v>2.5771486816406246E-3</v>
      </c>
      <c r="I354">
        <v>-0.77432658405995325</v>
      </c>
      <c r="J354">
        <v>-1.9955547352693967E-3</v>
      </c>
      <c r="K354" s="93">
        <f t="shared" si="16"/>
        <v>0</v>
      </c>
      <c r="L354" s="93">
        <f t="shared" si="17"/>
        <v>1</v>
      </c>
      <c r="M354" s="93">
        <f t="shared" si="18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8.2081614091767889</v>
      </c>
      <c r="H355">
        <v>1.6276728515624997E-3</v>
      </c>
      <c r="I355">
        <v>-0.76063217648087267</v>
      </c>
      <c r="J355">
        <v>-1.2380603436828125E-3</v>
      </c>
      <c r="K355" s="93">
        <f t="shared" si="16"/>
        <v>0</v>
      </c>
      <c r="L355" s="93">
        <f t="shared" si="17"/>
        <v>1</v>
      </c>
      <c r="M355" s="93">
        <f t="shared" si="18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6.9590933686498833</v>
      </c>
      <c r="H356">
        <v>2.5771486816406246E-3</v>
      </c>
      <c r="I356">
        <v>-0.79297008732926888</v>
      </c>
      <c r="J356">
        <v>-2.0436018151410761E-3</v>
      </c>
      <c r="K356" s="93">
        <f t="shared" si="16"/>
        <v>0</v>
      </c>
      <c r="L356" s="93">
        <f t="shared" si="17"/>
        <v>1</v>
      </c>
      <c r="M356" s="93">
        <f t="shared" si="18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7.6728465346652532</v>
      </c>
      <c r="H357">
        <v>5.4406472167968737E-3</v>
      </c>
      <c r="I357">
        <v>-0.77432658405995325</v>
      </c>
      <c r="J357">
        <v>-4.2128377744576149E-3</v>
      </c>
      <c r="K357" s="93">
        <f t="shared" si="16"/>
        <v>0</v>
      </c>
      <c r="L357" s="93">
        <f t="shared" si="17"/>
        <v>1</v>
      </c>
      <c r="M357" s="93">
        <f t="shared" si="18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8.2081614091767889</v>
      </c>
      <c r="H358">
        <v>3.4361982421874993E-3</v>
      </c>
      <c r="I358">
        <v>-0.76063217648087267</v>
      </c>
      <c r="J358">
        <v>-2.6136829477748265E-3</v>
      </c>
      <c r="K358" s="93">
        <f t="shared" si="16"/>
        <v>0</v>
      </c>
      <c r="L358" s="93">
        <f t="shared" si="17"/>
        <v>1</v>
      </c>
      <c r="M358" s="93">
        <f t="shared" si="18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6.9590933686498833</v>
      </c>
      <c r="H359">
        <v>1.6276728515624997E-3</v>
      </c>
      <c r="I359">
        <v>-0.79297008732926888</v>
      </c>
      <c r="J359">
        <v>-1.2906958832469954E-3</v>
      </c>
      <c r="K359" s="93">
        <f t="shared" si="16"/>
        <v>0</v>
      </c>
      <c r="L359" s="93">
        <f t="shared" si="17"/>
        <v>1</v>
      </c>
      <c r="M359" s="93">
        <f t="shared" si="18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7.6728465346652532</v>
      </c>
      <c r="H360">
        <v>3.4361982421874993E-3</v>
      </c>
      <c r="I360">
        <v>-0.77432658405995325</v>
      </c>
      <c r="J360">
        <v>-2.6607396470258622E-3</v>
      </c>
      <c r="K360" s="93">
        <f t="shared" si="16"/>
        <v>0</v>
      </c>
      <c r="L360" s="93">
        <f t="shared" si="17"/>
        <v>1</v>
      </c>
      <c r="M360" s="93">
        <f t="shared" si="18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8.2081614091767889</v>
      </c>
      <c r="H361">
        <v>2.1702304687499993E-3</v>
      </c>
      <c r="I361">
        <v>-0.76063217648087267</v>
      </c>
      <c r="J361">
        <v>-1.6507471249104166E-3</v>
      </c>
      <c r="K361" s="93">
        <f t="shared" si="16"/>
        <v>0</v>
      </c>
      <c r="L361" s="93">
        <f t="shared" si="17"/>
        <v>1</v>
      </c>
      <c r="M361" s="93">
        <f t="shared" si="18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6.9590933686498833</v>
      </c>
      <c r="H362">
        <v>2.5771486816406246E-3</v>
      </c>
      <c r="I362">
        <v>-0.79297008732926888</v>
      </c>
      <c r="J362">
        <v>-2.0436018151410761E-3</v>
      </c>
      <c r="K362" s="93">
        <f t="shared" si="16"/>
        <v>0</v>
      </c>
      <c r="L362" s="93">
        <f t="shared" si="17"/>
        <v>1</v>
      </c>
      <c r="M362" s="93">
        <f t="shared" si="18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7.6728465346652532</v>
      </c>
      <c r="H363">
        <v>5.4406472167968737E-3</v>
      </c>
      <c r="I363">
        <v>-0.77432658405995325</v>
      </c>
      <c r="J363">
        <v>-4.2128377744576149E-3</v>
      </c>
      <c r="K363" s="93">
        <f t="shared" si="16"/>
        <v>0</v>
      </c>
      <c r="L363" s="93">
        <f t="shared" si="17"/>
        <v>1</v>
      </c>
      <c r="M363" s="93">
        <f t="shared" si="18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8.2081614091767889</v>
      </c>
      <c r="H364">
        <v>3.4361982421874993E-3</v>
      </c>
      <c r="I364">
        <v>-0.76063217648087267</v>
      </c>
      <c r="J364">
        <v>-2.6136829477748265E-3</v>
      </c>
      <c r="K364" s="93">
        <f t="shared" si="16"/>
        <v>0</v>
      </c>
      <c r="L364" s="93">
        <f t="shared" si="17"/>
        <v>1</v>
      </c>
      <c r="M364" s="93">
        <f t="shared" si="18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6.9590933686498833</v>
      </c>
      <c r="H365">
        <v>5.4406472167968746E-3</v>
      </c>
      <c r="I365">
        <v>-0.79297008732926888</v>
      </c>
      <c r="J365">
        <v>-4.3142704986311609E-3</v>
      </c>
      <c r="K365" s="93">
        <f t="shared" si="16"/>
        <v>0</v>
      </c>
      <c r="L365" s="93">
        <f t="shared" si="17"/>
        <v>1</v>
      </c>
      <c r="M365" s="93">
        <f t="shared" si="18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7.6728465346652532</v>
      </c>
      <c r="H366">
        <v>1.1485810791015622E-2</v>
      </c>
      <c r="I366">
        <v>-0.77432658405995325</v>
      </c>
      <c r="J366">
        <v>-8.8937686349660761E-3</v>
      </c>
      <c r="K366" s="93">
        <f t="shared" si="16"/>
        <v>0</v>
      </c>
      <c r="L366" s="93">
        <f t="shared" si="17"/>
        <v>1</v>
      </c>
      <c r="M366" s="93">
        <f t="shared" si="18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8.2081614091767889</v>
      </c>
      <c r="H367">
        <v>7.2541962890624988E-3</v>
      </c>
      <c r="I367">
        <v>-0.76063217648087267</v>
      </c>
      <c r="J367">
        <v>-5.517775111969078E-3</v>
      </c>
      <c r="K367" s="93">
        <f t="shared" si="16"/>
        <v>0</v>
      </c>
      <c r="L367" s="93">
        <f t="shared" si="17"/>
        <v>1</v>
      </c>
      <c r="M367" s="93">
        <f t="shared" si="18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6.9590933686498833</v>
      </c>
      <c r="H368">
        <v>3.4361982421874993E-3</v>
      </c>
      <c r="I368">
        <v>-0.79297008732926888</v>
      </c>
      <c r="J368">
        <v>-2.7248024201881015E-3</v>
      </c>
      <c r="K368" s="93">
        <f t="shared" si="16"/>
        <v>0</v>
      </c>
      <c r="L368" s="93">
        <f t="shared" si="17"/>
        <v>1</v>
      </c>
      <c r="M368" s="93">
        <f t="shared" si="18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7.6728465346652532</v>
      </c>
      <c r="H369">
        <v>7.254196289062498E-3</v>
      </c>
      <c r="I369">
        <v>-0.77432658405995325</v>
      </c>
      <c r="J369">
        <v>-5.6171170326101529E-3</v>
      </c>
      <c r="K369" s="93">
        <f t="shared" si="16"/>
        <v>0</v>
      </c>
      <c r="L369" s="93">
        <f t="shared" si="17"/>
        <v>1</v>
      </c>
      <c r="M369" s="93">
        <f t="shared" si="18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8.2081614091767889</v>
      </c>
      <c r="H370">
        <v>4.5815976562499985E-3</v>
      </c>
      <c r="I370">
        <v>-0.76063217648087267</v>
      </c>
      <c r="J370">
        <v>-3.4849105970331017E-3</v>
      </c>
      <c r="K370" s="93">
        <f t="shared" si="16"/>
        <v>0</v>
      </c>
      <c r="L370" s="93">
        <f t="shared" si="17"/>
        <v>1</v>
      </c>
      <c r="M370" s="93">
        <f t="shared" si="18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6.9590933686498833</v>
      </c>
      <c r="H371">
        <v>1.6276728515624997E-3</v>
      </c>
      <c r="I371">
        <v>-0.79297008732926888</v>
      </c>
      <c r="J371">
        <v>-1.2906958832469954E-3</v>
      </c>
      <c r="K371" s="93">
        <f t="shared" si="16"/>
        <v>0</v>
      </c>
      <c r="L371" s="93">
        <f t="shared" si="17"/>
        <v>1</v>
      </c>
      <c r="M371" s="93">
        <f t="shared" si="18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7.6728465346652532</v>
      </c>
      <c r="H372">
        <v>3.4361982421874993E-3</v>
      </c>
      <c r="I372">
        <v>-0.77432658405995325</v>
      </c>
      <c r="J372">
        <v>-2.6607396470258622E-3</v>
      </c>
      <c r="K372" s="93">
        <f t="shared" si="16"/>
        <v>0</v>
      </c>
      <c r="L372" s="93">
        <f t="shared" si="17"/>
        <v>1</v>
      </c>
      <c r="M372" s="93">
        <f t="shared" si="18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8.2081614091767889</v>
      </c>
      <c r="H373">
        <v>2.1702304687499993E-3</v>
      </c>
      <c r="I373">
        <v>-0.76063217648087267</v>
      </c>
      <c r="J373">
        <v>-1.6507471249104166E-3</v>
      </c>
      <c r="K373" s="93">
        <f t="shared" si="16"/>
        <v>0</v>
      </c>
      <c r="L373" s="93">
        <f t="shared" si="17"/>
        <v>1</v>
      </c>
      <c r="M373" s="93">
        <f t="shared" si="18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6.9590933686498833</v>
      </c>
      <c r="H374">
        <v>3.4361982421874993E-3</v>
      </c>
      <c r="I374">
        <v>-0.79297008732926888</v>
      </c>
      <c r="J374">
        <v>-2.7248024201881015E-3</v>
      </c>
      <c r="K374" s="93">
        <f t="shared" si="16"/>
        <v>0</v>
      </c>
      <c r="L374" s="93">
        <f t="shared" si="17"/>
        <v>1</v>
      </c>
      <c r="M374" s="93">
        <f t="shared" si="18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7.6728465346652532</v>
      </c>
      <c r="H375">
        <v>7.254196289062498E-3</v>
      </c>
      <c r="I375">
        <v>-0.77432658405995325</v>
      </c>
      <c r="J375">
        <v>-5.6171170326101529E-3</v>
      </c>
      <c r="K375" s="93">
        <f t="shared" si="16"/>
        <v>0</v>
      </c>
      <c r="L375" s="93">
        <f t="shared" si="17"/>
        <v>1</v>
      </c>
      <c r="M375" s="93">
        <f t="shared" si="18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8.2081614091767889</v>
      </c>
      <c r="H376">
        <v>4.5815976562499985E-3</v>
      </c>
      <c r="I376">
        <v>-0.76063217648087267</v>
      </c>
      <c r="J376">
        <v>-3.4849105970331017E-3</v>
      </c>
      <c r="K376" s="93">
        <f t="shared" si="16"/>
        <v>0</v>
      </c>
      <c r="L376" s="93">
        <f t="shared" si="17"/>
        <v>1</v>
      </c>
      <c r="M376" s="93">
        <f t="shared" si="18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6.9590933686498833</v>
      </c>
      <c r="H377">
        <v>2.1702304687499997E-3</v>
      </c>
      <c r="I377">
        <v>-0.79297008732926888</v>
      </c>
      <c r="J377">
        <v>-1.7209278443293275E-3</v>
      </c>
      <c r="K377" s="93">
        <f t="shared" si="16"/>
        <v>0</v>
      </c>
      <c r="L377" s="93">
        <f t="shared" si="17"/>
        <v>1</v>
      </c>
      <c r="M377" s="93">
        <f t="shared" si="18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7.6728465346652532</v>
      </c>
      <c r="H378">
        <v>4.5815976562499994E-3</v>
      </c>
      <c r="I378">
        <v>-0.77432658405995325</v>
      </c>
      <c r="J378">
        <v>-3.5476528627011498E-3</v>
      </c>
      <c r="K378" s="93">
        <f t="shared" si="16"/>
        <v>0</v>
      </c>
      <c r="L378" s="93">
        <f t="shared" si="17"/>
        <v>1</v>
      </c>
      <c r="M378" s="93">
        <f t="shared" si="18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8.2081614091767889</v>
      </c>
      <c r="H379">
        <v>2.8936406249999995E-3</v>
      </c>
      <c r="I379">
        <v>-0.76063217648087267</v>
      </c>
      <c r="J379">
        <v>-2.2009961665472224E-3</v>
      </c>
      <c r="K379" s="93">
        <f t="shared" si="16"/>
        <v>0</v>
      </c>
      <c r="L379" s="93">
        <f t="shared" si="17"/>
        <v>1</v>
      </c>
      <c r="M379" s="93">
        <f t="shared" si="18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7.8289800397311256</v>
      </c>
      <c r="H380">
        <v>7.7100292968750007E-4</v>
      </c>
      <c r="I380">
        <v>-0.77030710859140117</v>
      </c>
      <c r="J380">
        <v>-5.9390903748307751E-4</v>
      </c>
      <c r="K380" s="93">
        <f t="shared" si="16"/>
        <v>0</v>
      </c>
      <c r="L380" s="93">
        <f t="shared" si="17"/>
        <v>1</v>
      </c>
      <c r="M380" s="93">
        <f t="shared" si="18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8.631952351498418</v>
      </c>
      <c r="H381">
        <v>1.6276728515625001E-3</v>
      </c>
      <c r="I381">
        <v>-0.74996274647662253</v>
      </c>
      <c r="J381">
        <v>-1.2206940021232484E-3</v>
      </c>
      <c r="K381" s="93">
        <f t="shared" si="16"/>
        <v>0</v>
      </c>
      <c r="L381" s="93">
        <f t="shared" si="17"/>
        <v>1</v>
      </c>
      <c r="M381" s="93">
        <f t="shared" si="18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9.2341815853238813</v>
      </c>
      <c r="H382">
        <v>1.0280039062499999E-3</v>
      </c>
      <c r="I382">
        <v>-0.73505786656779926</v>
      </c>
      <c r="J382">
        <v>-7.5564235815148888E-4</v>
      </c>
      <c r="K382" s="93">
        <f t="shared" si="16"/>
        <v>0</v>
      </c>
      <c r="L382" s="93">
        <f t="shared" si="17"/>
        <v>1</v>
      </c>
      <c r="M382" s="93">
        <f t="shared" si="18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7.8289800397311256</v>
      </c>
      <c r="H383">
        <v>1.6276728515624999E-3</v>
      </c>
      <c r="I383">
        <v>-0.77030710859140117</v>
      </c>
      <c r="J383">
        <v>-1.2538079680198303E-3</v>
      </c>
      <c r="K383" s="93">
        <f t="shared" si="16"/>
        <v>0</v>
      </c>
      <c r="L383" s="93">
        <f t="shared" si="17"/>
        <v>1</v>
      </c>
      <c r="M383" s="93">
        <f t="shared" si="18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8.631952351498418</v>
      </c>
      <c r="H384">
        <v>3.4361982421874998E-3</v>
      </c>
      <c r="I384">
        <v>-0.74996274647662253</v>
      </c>
      <c r="J384">
        <v>-2.5770206711490801E-3</v>
      </c>
      <c r="K384" s="93">
        <f t="shared" si="16"/>
        <v>0</v>
      </c>
      <c r="L384" s="93">
        <f t="shared" si="17"/>
        <v>1</v>
      </c>
      <c r="M384" s="93">
        <f t="shared" si="18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9.2341815853238813</v>
      </c>
      <c r="H385">
        <v>2.1702304687499997E-3</v>
      </c>
      <c r="I385">
        <v>-0.73505786656779926</v>
      </c>
      <c r="J385">
        <v>-1.5952449783198097E-3</v>
      </c>
      <c r="K385" s="93">
        <f t="shared" si="16"/>
        <v>0</v>
      </c>
      <c r="L385" s="93">
        <f t="shared" si="17"/>
        <v>1</v>
      </c>
      <c r="M385" s="93">
        <f t="shared" si="18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7.8289800397311256</v>
      </c>
      <c r="H386">
        <v>1.0280039062499999E-3</v>
      </c>
      <c r="I386">
        <v>-0.77030710859140117</v>
      </c>
      <c r="J386">
        <v>-7.9187871664410331E-4</v>
      </c>
      <c r="K386" s="93">
        <f t="shared" si="16"/>
        <v>0</v>
      </c>
      <c r="L386" s="93">
        <f t="shared" si="17"/>
        <v>1</v>
      </c>
      <c r="M386" s="93">
        <f t="shared" si="18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8.631952351498418</v>
      </c>
      <c r="H387">
        <v>2.1702304687499997E-3</v>
      </c>
      <c r="I387">
        <v>-0.74996274647662253</v>
      </c>
      <c r="J387">
        <v>-1.6275920028309978E-3</v>
      </c>
      <c r="K387" s="93">
        <f t="shared" ref="K387:K450" si="19">IF(A387=3,1,0)</f>
        <v>0</v>
      </c>
      <c r="L387" s="93">
        <f t="shared" ref="L387:L450" si="20">IF(A387=2,1,0)</f>
        <v>1</v>
      </c>
      <c r="M387" s="93">
        <f t="shared" ref="M387:M450" si="21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9.2341815853238813</v>
      </c>
      <c r="H388">
        <v>1.3706718749999999E-3</v>
      </c>
      <c r="I388">
        <v>-0.73505786656779926</v>
      </c>
      <c r="J388">
        <v>-1.0075231442019852E-3</v>
      </c>
      <c r="K388" s="93">
        <f t="shared" si="19"/>
        <v>0</v>
      </c>
      <c r="L388" s="93">
        <f t="shared" si="20"/>
        <v>1</v>
      </c>
      <c r="M388" s="93">
        <f t="shared" si="21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7.8289800397311256</v>
      </c>
      <c r="H389">
        <v>1.6276728515624997E-3</v>
      </c>
      <c r="I389">
        <v>-0.77030710859140117</v>
      </c>
      <c r="J389">
        <v>-1.2538079680198301E-3</v>
      </c>
      <c r="K389" s="93">
        <f t="shared" si="19"/>
        <v>0</v>
      </c>
      <c r="L389" s="93">
        <f t="shared" si="20"/>
        <v>1</v>
      </c>
      <c r="M389" s="93">
        <f t="shared" si="21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8.631952351498418</v>
      </c>
      <c r="H390">
        <v>3.4361982421874993E-3</v>
      </c>
      <c r="I390">
        <v>-0.74996274647662253</v>
      </c>
      <c r="J390">
        <v>-2.5770206711490796E-3</v>
      </c>
      <c r="K390" s="93">
        <f t="shared" si="19"/>
        <v>0</v>
      </c>
      <c r="L390" s="93">
        <f t="shared" si="20"/>
        <v>1</v>
      </c>
      <c r="M390" s="93">
        <f t="shared" si="21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9.2341815853238813</v>
      </c>
      <c r="H391">
        <v>2.1702304687499993E-3</v>
      </c>
      <c r="I391">
        <v>-0.73505786656779926</v>
      </c>
      <c r="J391">
        <v>-1.5952449783198095E-3</v>
      </c>
      <c r="K391" s="93">
        <f t="shared" si="19"/>
        <v>0</v>
      </c>
      <c r="L391" s="93">
        <f t="shared" si="20"/>
        <v>1</v>
      </c>
      <c r="M391" s="93">
        <f t="shared" si="21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7.8289800397311256</v>
      </c>
      <c r="H392">
        <v>3.4361982421874993E-3</v>
      </c>
      <c r="I392">
        <v>-0.77030710859140117</v>
      </c>
      <c r="J392">
        <v>-2.6469279324863077E-3</v>
      </c>
      <c r="K392" s="93">
        <f t="shared" si="19"/>
        <v>0</v>
      </c>
      <c r="L392" s="93">
        <f t="shared" si="20"/>
        <v>1</v>
      </c>
      <c r="M392" s="93">
        <f t="shared" si="21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8.631952351498418</v>
      </c>
      <c r="H393">
        <v>7.254196289062498E-3</v>
      </c>
      <c r="I393">
        <v>-0.74996274647662253</v>
      </c>
      <c r="J393">
        <v>-5.4403769724258345E-3</v>
      </c>
      <c r="K393" s="93">
        <f t="shared" si="19"/>
        <v>0</v>
      </c>
      <c r="L393" s="93">
        <f t="shared" si="20"/>
        <v>1</v>
      </c>
      <c r="M393" s="93">
        <f t="shared" si="21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9.2341815853238813</v>
      </c>
      <c r="H394">
        <v>4.5815976562499985E-3</v>
      </c>
      <c r="I394">
        <v>-0.73505786656779926</v>
      </c>
      <c r="J394">
        <v>-3.367739398675153E-3</v>
      </c>
      <c r="K394" s="93">
        <f t="shared" si="19"/>
        <v>0</v>
      </c>
      <c r="L394" s="93">
        <f t="shared" si="20"/>
        <v>1</v>
      </c>
      <c r="M394" s="93">
        <f t="shared" si="21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7.8289800397311256</v>
      </c>
      <c r="H395">
        <v>2.1702304687499997E-3</v>
      </c>
      <c r="I395">
        <v>-0.77030710859140117</v>
      </c>
      <c r="J395">
        <v>-1.6717439573597735E-3</v>
      </c>
      <c r="K395" s="93">
        <f t="shared" si="19"/>
        <v>0</v>
      </c>
      <c r="L395" s="93">
        <f t="shared" si="20"/>
        <v>1</v>
      </c>
      <c r="M395" s="93">
        <f t="shared" si="21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8.631952351498418</v>
      </c>
      <c r="H396">
        <v>4.5815976562499994E-3</v>
      </c>
      <c r="I396">
        <v>-0.74996274647662253</v>
      </c>
      <c r="J396">
        <v>-3.4360275615321063E-3</v>
      </c>
      <c r="K396" s="93">
        <f t="shared" si="19"/>
        <v>0</v>
      </c>
      <c r="L396" s="93">
        <f t="shared" si="20"/>
        <v>1</v>
      </c>
      <c r="M396" s="93">
        <f t="shared" si="21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9.2341815853238813</v>
      </c>
      <c r="H397">
        <v>2.8936406249999995E-3</v>
      </c>
      <c r="I397">
        <v>-0.73505786656779926</v>
      </c>
      <c r="J397">
        <v>-2.1269933044264131E-3</v>
      </c>
      <c r="K397" s="93">
        <f t="shared" si="19"/>
        <v>0</v>
      </c>
      <c r="L397" s="93">
        <f t="shared" si="20"/>
        <v>1</v>
      </c>
      <c r="M397" s="93">
        <f t="shared" si="21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7.8289800397311256</v>
      </c>
      <c r="H398">
        <v>1.0280039062499999E-3</v>
      </c>
      <c r="I398">
        <v>-0.77030710859140117</v>
      </c>
      <c r="J398">
        <v>-7.9187871664410331E-4</v>
      </c>
      <c r="K398" s="93">
        <f t="shared" si="19"/>
        <v>0</v>
      </c>
      <c r="L398" s="93">
        <f t="shared" si="20"/>
        <v>1</v>
      </c>
      <c r="M398" s="93">
        <f t="shared" si="21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8.631952351498418</v>
      </c>
      <c r="H399">
        <v>2.1702304687499997E-3</v>
      </c>
      <c r="I399">
        <v>-0.74996274647662253</v>
      </c>
      <c r="J399">
        <v>-1.6275920028309978E-3</v>
      </c>
      <c r="K399" s="93">
        <f t="shared" si="19"/>
        <v>0</v>
      </c>
      <c r="L399" s="93">
        <f t="shared" si="20"/>
        <v>1</v>
      </c>
      <c r="M399" s="93">
        <f t="shared" si="21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9.2341815853238813</v>
      </c>
      <c r="H400">
        <v>1.3706718749999999E-3</v>
      </c>
      <c r="I400">
        <v>-0.73505786656779926</v>
      </c>
      <c r="J400">
        <v>-1.0075231442019852E-3</v>
      </c>
      <c r="K400" s="93">
        <f t="shared" si="19"/>
        <v>0</v>
      </c>
      <c r="L400" s="93">
        <f t="shared" si="20"/>
        <v>1</v>
      </c>
      <c r="M400" s="93">
        <f t="shared" si="21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7.8289800397311256</v>
      </c>
      <c r="H401">
        <v>2.1702304687499997E-3</v>
      </c>
      <c r="I401">
        <v>-0.77030710859140117</v>
      </c>
      <c r="J401">
        <v>-1.6717439573597735E-3</v>
      </c>
      <c r="K401" s="93">
        <f t="shared" si="19"/>
        <v>0</v>
      </c>
      <c r="L401" s="93">
        <f t="shared" si="20"/>
        <v>1</v>
      </c>
      <c r="M401" s="93">
        <f t="shared" si="21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8.631952351498418</v>
      </c>
      <c r="H402">
        <v>4.5815976562499994E-3</v>
      </c>
      <c r="I402">
        <v>-0.74996274647662253</v>
      </c>
      <c r="J402">
        <v>-3.4360275615321063E-3</v>
      </c>
      <c r="K402" s="93">
        <f t="shared" si="19"/>
        <v>0</v>
      </c>
      <c r="L402" s="93">
        <f t="shared" si="20"/>
        <v>1</v>
      </c>
      <c r="M402" s="93">
        <f t="shared" si="21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9.2341815853238813</v>
      </c>
      <c r="H403">
        <v>2.8936406249999995E-3</v>
      </c>
      <c r="I403">
        <v>-0.73505786656779926</v>
      </c>
      <c r="J403">
        <v>-2.1269933044264131E-3</v>
      </c>
      <c r="K403" s="93">
        <f t="shared" si="19"/>
        <v>0</v>
      </c>
      <c r="L403" s="93">
        <f t="shared" si="20"/>
        <v>1</v>
      </c>
      <c r="M403" s="93">
        <f t="shared" si="21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7.8289800397311256</v>
      </c>
      <c r="H404">
        <v>1.3706718749999999E-3</v>
      </c>
      <c r="I404">
        <v>-0.77030710859140117</v>
      </c>
      <c r="J404">
        <v>-1.0558382888588044E-3</v>
      </c>
      <c r="K404" s="93">
        <f t="shared" si="19"/>
        <v>0</v>
      </c>
      <c r="L404" s="93">
        <f t="shared" si="20"/>
        <v>1</v>
      </c>
      <c r="M404" s="93">
        <f t="shared" si="21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8.631952351498418</v>
      </c>
      <c r="H405">
        <v>2.8936406249999995E-3</v>
      </c>
      <c r="I405">
        <v>-0.74996274647662253</v>
      </c>
      <c r="J405">
        <v>-2.1701226704413301E-3</v>
      </c>
      <c r="K405" s="93">
        <f t="shared" si="19"/>
        <v>0</v>
      </c>
      <c r="L405" s="93">
        <f t="shared" si="20"/>
        <v>1</v>
      </c>
      <c r="M405" s="93">
        <f t="shared" si="21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9.2341815853238813</v>
      </c>
      <c r="H406">
        <v>1.8275624999999998E-3</v>
      </c>
      <c r="I406">
        <v>-0.73505786656779926</v>
      </c>
      <c r="J406">
        <v>-1.3433641922693134E-3</v>
      </c>
      <c r="K406" s="93">
        <f t="shared" si="19"/>
        <v>0</v>
      </c>
      <c r="L406" s="93">
        <f t="shared" si="20"/>
        <v>1</v>
      </c>
      <c r="M406" s="93">
        <f t="shared" si="21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6.1456161362916664</v>
      </c>
      <c r="H407">
        <v>3.652119140625E-4</v>
      </c>
      <c r="I407">
        <v>-0.81476636853652451</v>
      </c>
      <c r="J407">
        <v>-2.975623849669764E-4</v>
      </c>
      <c r="K407" s="93">
        <f t="shared" si="19"/>
        <v>0</v>
      </c>
      <c r="L407" s="93">
        <f t="shared" si="20"/>
        <v>1</v>
      </c>
      <c r="M407" s="93">
        <f t="shared" si="21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6.7759357400138889</v>
      </c>
      <c r="H408">
        <v>7.7100292968749996E-4</v>
      </c>
      <c r="I408">
        <v>-0.79782618011185058</v>
      </c>
      <c r="J408">
        <v>-6.1512632224762379E-4</v>
      </c>
      <c r="K408" s="93">
        <f t="shared" si="19"/>
        <v>0</v>
      </c>
      <c r="L408" s="93">
        <f t="shared" si="20"/>
        <v>1</v>
      </c>
      <c r="M408" s="93">
        <f t="shared" si="21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7.2486754428055598</v>
      </c>
      <c r="H409">
        <v>4.8694921874999997E-4</v>
      </c>
      <c r="I409">
        <v>-0.78535258061165103</v>
      </c>
      <c r="J409">
        <v>-3.8242682557213984E-4</v>
      </c>
      <c r="K409" s="93">
        <f t="shared" si="19"/>
        <v>0</v>
      </c>
      <c r="L409" s="93">
        <f t="shared" si="20"/>
        <v>1</v>
      </c>
      <c r="M409" s="93">
        <f t="shared" si="21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6.1456161362916664</v>
      </c>
      <c r="H410">
        <v>7.7100292968749996E-4</v>
      </c>
      <c r="I410">
        <v>-0.81476636853652451</v>
      </c>
      <c r="J410">
        <v>-6.2818725715250566E-4</v>
      </c>
      <c r="K410" s="93">
        <f t="shared" si="19"/>
        <v>0</v>
      </c>
      <c r="L410" s="93">
        <f t="shared" si="20"/>
        <v>1</v>
      </c>
      <c r="M410" s="93">
        <f t="shared" si="21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6.7759357400138889</v>
      </c>
      <c r="H411">
        <v>1.6276728515624999E-3</v>
      </c>
      <c r="I411">
        <v>-0.79782618011185058</v>
      </c>
      <c r="J411">
        <v>-1.2986000136338725E-3</v>
      </c>
      <c r="K411" s="93">
        <f t="shared" si="19"/>
        <v>0</v>
      </c>
      <c r="L411" s="93">
        <f t="shared" si="20"/>
        <v>1</v>
      </c>
      <c r="M411" s="93">
        <f t="shared" si="21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7.2486754428055598</v>
      </c>
      <c r="H412">
        <v>1.0280039062499999E-3</v>
      </c>
      <c r="I412">
        <v>-0.78535258061165103</v>
      </c>
      <c r="J412">
        <v>-8.0734552065229526E-4</v>
      </c>
      <c r="K412" s="93">
        <f t="shared" si="19"/>
        <v>0</v>
      </c>
      <c r="L412" s="93">
        <f t="shared" si="20"/>
        <v>1</v>
      </c>
      <c r="M412" s="93">
        <f t="shared" si="21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6.1456161362916664</v>
      </c>
      <c r="H413">
        <v>4.8694921874999997E-4</v>
      </c>
      <c r="I413">
        <v>-0.81476636853652451</v>
      </c>
      <c r="J413">
        <v>-3.9674984662263518E-4</v>
      </c>
      <c r="K413" s="93">
        <f t="shared" si="19"/>
        <v>0</v>
      </c>
      <c r="L413" s="93">
        <f t="shared" si="20"/>
        <v>1</v>
      </c>
      <c r="M413" s="93">
        <f t="shared" si="21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6.7759357400138889</v>
      </c>
      <c r="H414">
        <v>1.0280039062499999E-3</v>
      </c>
      <c r="I414">
        <v>-0.79782618011185058</v>
      </c>
      <c r="J414">
        <v>-8.2016842966349838E-4</v>
      </c>
      <c r="K414" s="93">
        <f t="shared" si="19"/>
        <v>0</v>
      </c>
      <c r="L414" s="93">
        <f t="shared" si="20"/>
        <v>1</v>
      </c>
      <c r="M414" s="93">
        <f t="shared" si="21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7.2486754428055598</v>
      </c>
      <c r="H415">
        <v>6.4926562499999999E-4</v>
      </c>
      <c r="I415">
        <v>-0.78535258061165103</v>
      </c>
      <c r="J415">
        <v>-5.0990243409618653E-4</v>
      </c>
      <c r="K415" s="93">
        <f t="shared" si="19"/>
        <v>0</v>
      </c>
      <c r="L415" s="93">
        <f t="shared" si="20"/>
        <v>1</v>
      </c>
      <c r="M415" s="93">
        <f t="shared" si="21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6.1456161362916664</v>
      </c>
      <c r="H416">
        <v>7.7100292968750007E-4</v>
      </c>
      <c r="I416">
        <v>-0.81476636853652451</v>
      </c>
      <c r="J416">
        <v>-6.2818725715250577E-4</v>
      </c>
      <c r="K416" s="93">
        <f t="shared" si="19"/>
        <v>0</v>
      </c>
      <c r="L416" s="93">
        <f t="shared" si="20"/>
        <v>1</v>
      </c>
      <c r="M416" s="93">
        <f t="shared" si="21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6.7759357400138889</v>
      </c>
      <c r="H417">
        <v>1.6276728515625001E-3</v>
      </c>
      <c r="I417">
        <v>-0.79782618011185058</v>
      </c>
      <c r="J417">
        <v>-1.2986000136338727E-3</v>
      </c>
      <c r="K417" s="93">
        <f t="shared" si="19"/>
        <v>0</v>
      </c>
      <c r="L417" s="93">
        <f t="shared" si="20"/>
        <v>1</v>
      </c>
      <c r="M417" s="93">
        <f t="shared" si="21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7.2486754428055598</v>
      </c>
      <c r="H418">
        <v>1.0280039062499999E-3</v>
      </c>
      <c r="I418">
        <v>-0.78535258061165103</v>
      </c>
      <c r="J418">
        <v>-8.0734552065229526E-4</v>
      </c>
      <c r="K418" s="93">
        <f t="shared" si="19"/>
        <v>0</v>
      </c>
      <c r="L418" s="93">
        <f t="shared" si="20"/>
        <v>1</v>
      </c>
      <c r="M418" s="93">
        <f t="shared" si="21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6.1456161362916664</v>
      </c>
      <c r="H419">
        <v>1.6276728515624999E-3</v>
      </c>
      <c r="I419">
        <v>-0.81476636853652451</v>
      </c>
      <c r="J419">
        <v>-1.3261730984330676E-3</v>
      </c>
      <c r="K419" s="93">
        <f t="shared" si="19"/>
        <v>0</v>
      </c>
      <c r="L419" s="93">
        <f t="shared" si="20"/>
        <v>1</v>
      </c>
      <c r="M419" s="93">
        <f t="shared" si="21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6.7759357400138889</v>
      </c>
      <c r="H420">
        <v>3.4361982421874998E-3</v>
      </c>
      <c r="I420">
        <v>-0.79782618011185058</v>
      </c>
      <c r="J420">
        <v>-2.7414889176715085E-3</v>
      </c>
      <c r="K420" s="93">
        <f t="shared" si="19"/>
        <v>0</v>
      </c>
      <c r="L420" s="93">
        <f t="shared" si="20"/>
        <v>1</v>
      </c>
      <c r="M420" s="93">
        <f t="shared" si="21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7.2486754428055598</v>
      </c>
      <c r="H421">
        <v>2.1702304687499997E-3</v>
      </c>
      <c r="I421">
        <v>-0.78535258061165103</v>
      </c>
      <c r="J421">
        <v>-1.7043960991548453E-3</v>
      </c>
      <c r="K421" s="93">
        <f t="shared" si="19"/>
        <v>0</v>
      </c>
      <c r="L421" s="93">
        <f t="shared" si="20"/>
        <v>1</v>
      </c>
      <c r="M421" s="93">
        <f t="shared" si="21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6.1456161362916664</v>
      </c>
      <c r="H422">
        <v>1.0280039062499999E-3</v>
      </c>
      <c r="I422">
        <v>-0.81476636853652451</v>
      </c>
      <c r="J422">
        <v>-8.3758300953667422E-4</v>
      </c>
      <c r="K422" s="93">
        <f t="shared" si="19"/>
        <v>0</v>
      </c>
      <c r="L422" s="93">
        <f t="shared" si="20"/>
        <v>1</v>
      </c>
      <c r="M422" s="93">
        <f t="shared" si="21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6.7759357400138889</v>
      </c>
      <c r="H423">
        <v>2.1702304687499997E-3</v>
      </c>
      <c r="I423">
        <v>-0.79782618011185058</v>
      </c>
      <c r="J423">
        <v>-1.7314666848451633E-3</v>
      </c>
      <c r="K423" s="93">
        <f t="shared" si="19"/>
        <v>0</v>
      </c>
      <c r="L423" s="93">
        <f t="shared" si="20"/>
        <v>1</v>
      </c>
      <c r="M423" s="93">
        <f t="shared" si="21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7.2486754428055598</v>
      </c>
      <c r="H424">
        <v>1.3706718749999999E-3</v>
      </c>
      <c r="I424">
        <v>-0.78535258061165103</v>
      </c>
      <c r="J424">
        <v>-1.0764606942030603E-3</v>
      </c>
      <c r="K424" s="93">
        <f t="shared" si="19"/>
        <v>0</v>
      </c>
      <c r="L424" s="93">
        <f t="shared" si="20"/>
        <v>1</v>
      </c>
      <c r="M424" s="93">
        <f t="shared" si="21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6.1456161362916664</v>
      </c>
      <c r="H425">
        <v>4.8694921875000008E-4</v>
      </c>
      <c r="I425">
        <v>-0.81476636853652451</v>
      </c>
      <c r="J425">
        <v>-3.9674984662263523E-4</v>
      </c>
      <c r="K425" s="93">
        <f t="shared" si="19"/>
        <v>0</v>
      </c>
      <c r="L425" s="93">
        <f t="shared" si="20"/>
        <v>1</v>
      </c>
      <c r="M425" s="93">
        <f t="shared" si="21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6.7759357400138889</v>
      </c>
      <c r="H426">
        <v>1.0280039062500002E-3</v>
      </c>
      <c r="I426">
        <v>-0.79782618011185058</v>
      </c>
      <c r="J426">
        <v>-8.201684296634986E-4</v>
      </c>
      <c r="K426" s="93">
        <f t="shared" si="19"/>
        <v>0</v>
      </c>
      <c r="L426" s="93">
        <f t="shared" si="20"/>
        <v>1</v>
      </c>
      <c r="M426" s="93">
        <f t="shared" si="21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7.2486754428055598</v>
      </c>
      <c r="H427">
        <v>6.492656250000001E-4</v>
      </c>
      <c r="I427">
        <v>-0.78535258061165103</v>
      </c>
      <c r="J427">
        <v>-5.0990243409618653E-4</v>
      </c>
      <c r="K427" s="93">
        <f t="shared" si="19"/>
        <v>0</v>
      </c>
      <c r="L427" s="93">
        <f t="shared" si="20"/>
        <v>1</v>
      </c>
      <c r="M427" s="93">
        <f t="shared" si="21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6.1456161362916664</v>
      </c>
      <c r="H428">
        <v>1.0280039062499999E-3</v>
      </c>
      <c r="I428">
        <v>-0.81476636853652451</v>
      </c>
      <c r="J428">
        <v>-8.3758300953667422E-4</v>
      </c>
      <c r="K428" s="93">
        <f t="shared" si="19"/>
        <v>0</v>
      </c>
      <c r="L428" s="93">
        <f t="shared" si="20"/>
        <v>1</v>
      </c>
      <c r="M428" s="93">
        <f t="shared" si="21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6.7759357400138889</v>
      </c>
      <c r="H429">
        <v>2.1702304687499997E-3</v>
      </c>
      <c r="I429">
        <v>-0.79782618011185058</v>
      </c>
      <c r="J429">
        <v>-1.7314666848451633E-3</v>
      </c>
      <c r="K429" s="93">
        <f t="shared" si="19"/>
        <v>0</v>
      </c>
      <c r="L429" s="93">
        <f t="shared" si="20"/>
        <v>1</v>
      </c>
      <c r="M429" s="93">
        <f t="shared" si="21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7.2486754428055598</v>
      </c>
      <c r="H430">
        <v>1.3706718749999999E-3</v>
      </c>
      <c r="I430">
        <v>-0.78535258061165103</v>
      </c>
      <c r="J430">
        <v>-1.0764606942030603E-3</v>
      </c>
      <c r="K430" s="93">
        <f t="shared" si="19"/>
        <v>0</v>
      </c>
      <c r="L430" s="93">
        <f t="shared" si="20"/>
        <v>1</v>
      </c>
      <c r="M430" s="93">
        <f t="shared" si="21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6.1456161362916664</v>
      </c>
      <c r="H431">
        <v>6.492656250000001E-4</v>
      </c>
      <c r="I431">
        <v>-0.81476636853652451</v>
      </c>
      <c r="J431">
        <v>-5.2899979549684705E-4</v>
      </c>
      <c r="K431" s="93">
        <f t="shared" si="19"/>
        <v>0</v>
      </c>
      <c r="L431" s="93">
        <f t="shared" si="20"/>
        <v>1</v>
      </c>
      <c r="M431" s="93">
        <f t="shared" si="21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6.7759357400138889</v>
      </c>
      <c r="H432">
        <v>1.3706718749999999E-3</v>
      </c>
      <c r="I432">
        <v>-0.79782618011185058</v>
      </c>
      <c r="J432">
        <v>-1.093557906217998E-3</v>
      </c>
      <c r="K432" s="93">
        <f t="shared" si="19"/>
        <v>0</v>
      </c>
      <c r="L432" s="93">
        <f t="shared" si="20"/>
        <v>1</v>
      </c>
      <c r="M432" s="93">
        <f t="shared" si="21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7.2486754428055598</v>
      </c>
      <c r="H433">
        <v>8.6568750000000003E-4</v>
      </c>
      <c r="I433">
        <v>-0.78535258061165103</v>
      </c>
      <c r="J433">
        <v>-6.7986991212824863E-4</v>
      </c>
      <c r="K433" s="93">
        <f t="shared" si="19"/>
        <v>0</v>
      </c>
      <c r="L433" s="93">
        <f t="shared" si="20"/>
        <v>1</v>
      </c>
      <c r="M433" s="93">
        <f t="shared" si="21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7.5638352446666657</v>
      </c>
      <c r="H434">
        <v>7.7100292968750007E-4</v>
      </c>
      <c r="I434">
        <v>-0.77714538029555857</v>
      </c>
      <c r="J434">
        <v>-5.9918136500098208E-4</v>
      </c>
      <c r="K434" s="93">
        <f t="shared" si="19"/>
        <v>0</v>
      </c>
      <c r="L434" s="93">
        <f t="shared" si="20"/>
        <v>1</v>
      </c>
      <c r="M434" s="93">
        <f t="shared" si="21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8.3396132184786271</v>
      </c>
      <c r="H435">
        <v>1.6276728515625001E-3</v>
      </c>
      <c r="I435">
        <v>-0.75730658519116745</v>
      </c>
      <c r="J435">
        <v>-1.2326473690251669E-3</v>
      </c>
      <c r="K435" s="93">
        <f t="shared" si="19"/>
        <v>0</v>
      </c>
      <c r="L435" s="93">
        <f t="shared" si="20"/>
        <v>1</v>
      </c>
      <c r="M435" s="93">
        <f t="shared" si="21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8.9214466988376042</v>
      </c>
      <c r="H436">
        <v>1.0280039062499999E-3</v>
      </c>
      <c r="I436">
        <v>-0.74276055307551048</v>
      </c>
      <c r="J436">
        <v>-7.6356074997003523E-4</v>
      </c>
      <c r="K436" s="93">
        <f t="shared" si="19"/>
        <v>0</v>
      </c>
      <c r="L436" s="93">
        <f t="shared" si="20"/>
        <v>1</v>
      </c>
      <c r="M436" s="93">
        <f t="shared" si="21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7.5638352446666657</v>
      </c>
      <c r="H437">
        <v>1.6276728515624999E-3</v>
      </c>
      <c r="I437">
        <v>-0.77714538029555857</v>
      </c>
      <c r="J437">
        <v>-1.2649384372242954E-3</v>
      </c>
      <c r="K437" s="93">
        <f t="shared" si="19"/>
        <v>0</v>
      </c>
      <c r="L437" s="93">
        <f t="shared" si="20"/>
        <v>1</v>
      </c>
      <c r="M437" s="93">
        <f t="shared" si="21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8.3396132184786271</v>
      </c>
      <c r="H438">
        <v>3.4361982421874998E-3</v>
      </c>
      <c r="I438">
        <v>-0.75730658519116745</v>
      </c>
      <c r="J438">
        <v>-2.6022555568309077E-3</v>
      </c>
      <c r="K438" s="93">
        <f t="shared" si="19"/>
        <v>0</v>
      </c>
      <c r="L438" s="93">
        <f t="shared" si="20"/>
        <v>1</v>
      </c>
      <c r="M438" s="93">
        <f t="shared" si="21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8.9214466988376042</v>
      </c>
      <c r="H439">
        <v>2.1702304687499997E-3</v>
      </c>
      <c r="I439">
        <v>-0.74276055307551048</v>
      </c>
      <c r="J439">
        <v>-1.6119615832700742E-3</v>
      </c>
      <c r="K439" s="93">
        <f t="shared" si="19"/>
        <v>0</v>
      </c>
      <c r="L439" s="93">
        <f t="shared" si="20"/>
        <v>1</v>
      </c>
      <c r="M439" s="93">
        <f t="shared" si="21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7.5638352446666657</v>
      </c>
      <c r="H440">
        <v>1.0280039062499999E-3</v>
      </c>
      <c r="I440">
        <v>-0.77714538029555857</v>
      </c>
      <c r="J440">
        <v>-7.9890848666797597E-4</v>
      </c>
      <c r="K440" s="93">
        <f t="shared" si="19"/>
        <v>0</v>
      </c>
      <c r="L440" s="93">
        <f t="shared" si="20"/>
        <v>1</v>
      </c>
      <c r="M440" s="93">
        <f t="shared" si="21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8.3396132184786271</v>
      </c>
      <c r="H441">
        <v>2.1702304687499997E-3</v>
      </c>
      <c r="I441">
        <v>-0.75730658519116745</v>
      </c>
      <c r="J441">
        <v>-1.6435298253668889E-3</v>
      </c>
      <c r="K441" s="93">
        <f t="shared" si="19"/>
        <v>0</v>
      </c>
      <c r="L441" s="93">
        <f t="shared" si="20"/>
        <v>1</v>
      </c>
      <c r="M441" s="93">
        <f t="shared" si="21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8.9214466988376042</v>
      </c>
      <c r="H442">
        <v>1.3706718749999999E-3</v>
      </c>
      <c r="I442">
        <v>-0.74276055307551048</v>
      </c>
      <c r="J442">
        <v>-1.0180809999600468E-3</v>
      </c>
      <c r="K442" s="93">
        <f t="shared" si="19"/>
        <v>0</v>
      </c>
      <c r="L442" s="93">
        <f t="shared" si="20"/>
        <v>1</v>
      </c>
      <c r="M442" s="93">
        <f t="shared" si="21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7.5638352446666657</v>
      </c>
      <c r="H443">
        <v>1.6276728515624997E-3</v>
      </c>
      <c r="I443">
        <v>-0.77714538029555857</v>
      </c>
      <c r="J443">
        <v>-1.2649384372242951E-3</v>
      </c>
      <c r="K443" s="93">
        <f t="shared" si="19"/>
        <v>0</v>
      </c>
      <c r="L443" s="93">
        <f t="shared" si="20"/>
        <v>1</v>
      </c>
      <c r="M443" s="93">
        <f t="shared" si="21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8.3396132184786271</v>
      </c>
      <c r="H444">
        <v>3.4361982421874993E-3</v>
      </c>
      <c r="I444">
        <v>-0.75730658519116745</v>
      </c>
      <c r="J444">
        <v>-2.6022555568309073E-3</v>
      </c>
      <c r="K444" s="93">
        <f t="shared" si="19"/>
        <v>0</v>
      </c>
      <c r="L444" s="93">
        <f t="shared" si="20"/>
        <v>1</v>
      </c>
      <c r="M444" s="93">
        <f t="shared" si="21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8.9214466988376042</v>
      </c>
      <c r="H445">
        <v>2.1702304687499993E-3</v>
      </c>
      <c r="I445">
        <v>-0.74276055307551048</v>
      </c>
      <c r="J445">
        <v>-1.6119615832700738E-3</v>
      </c>
      <c r="K445" s="93">
        <f t="shared" si="19"/>
        <v>0</v>
      </c>
      <c r="L445" s="93">
        <f t="shared" si="20"/>
        <v>1</v>
      </c>
      <c r="M445" s="93">
        <f t="shared" si="21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7.5638352446666657</v>
      </c>
      <c r="H446">
        <v>3.4361982421874993E-3</v>
      </c>
      <c r="I446">
        <v>-0.77714538029555857</v>
      </c>
      <c r="J446">
        <v>-2.6704255896957342E-3</v>
      </c>
      <c r="K446" s="93">
        <f t="shared" si="19"/>
        <v>0</v>
      </c>
      <c r="L446" s="93">
        <f t="shared" si="20"/>
        <v>1</v>
      </c>
      <c r="M446" s="93">
        <f t="shared" si="21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8.3396132184786271</v>
      </c>
      <c r="H447">
        <v>7.254196289062498E-3</v>
      </c>
      <c r="I447">
        <v>-0.75730658519116745</v>
      </c>
      <c r="J447">
        <v>-5.4936506199763594E-3</v>
      </c>
      <c r="K447" s="93">
        <f t="shared" si="19"/>
        <v>0</v>
      </c>
      <c r="L447" s="93">
        <f t="shared" si="20"/>
        <v>1</v>
      </c>
      <c r="M447" s="93">
        <f t="shared" si="21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8.9214466988376042</v>
      </c>
      <c r="H448">
        <v>4.5815976562499985E-3</v>
      </c>
      <c r="I448">
        <v>-0.74276055307551048</v>
      </c>
      <c r="J448">
        <v>-3.4030300091257115E-3</v>
      </c>
      <c r="K448" s="93">
        <f t="shared" si="19"/>
        <v>0</v>
      </c>
      <c r="L448" s="93">
        <f t="shared" si="20"/>
        <v>1</v>
      </c>
      <c r="M448" s="93">
        <f t="shared" si="21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7.5638352446666657</v>
      </c>
      <c r="H449">
        <v>2.1702304687499997E-3</v>
      </c>
      <c r="I449">
        <v>-0.77714538029555857</v>
      </c>
      <c r="J449">
        <v>-1.686584582965727E-3</v>
      </c>
      <c r="K449" s="93">
        <f t="shared" si="19"/>
        <v>0</v>
      </c>
      <c r="L449" s="93">
        <f t="shared" si="20"/>
        <v>1</v>
      </c>
      <c r="M449" s="93">
        <f t="shared" si="21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8.3396132184786271</v>
      </c>
      <c r="H450">
        <v>4.5815976562499994E-3</v>
      </c>
      <c r="I450">
        <v>-0.75730658519116745</v>
      </c>
      <c r="J450">
        <v>-3.4696740757745432E-3</v>
      </c>
      <c r="K450" s="93">
        <f t="shared" si="19"/>
        <v>0</v>
      </c>
      <c r="L450" s="93">
        <f t="shared" si="20"/>
        <v>1</v>
      </c>
      <c r="M450" s="93">
        <f t="shared" si="21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8.9214466988376042</v>
      </c>
      <c r="H451">
        <v>2.8936406249999995E-3</v>
      </c>
      <c r="I451">
        <v>-0.74276055307551048</v>
      </c>
      <c r="J451">
        <v>-2.1492821110267657E-3</v>
      </c>
      <c r="K451" s="93">
        <f t="shared" ref="K451:K514" si="22">IF(A451=3,1,0)</f>
        <v>0</v>
      </c>
      <c r="L451" s="93">
        <f t="shared" ref="L451:L514" si="23">IF(A451=2,1,0)</f>
        <v>1</v>
      </c>
      <c r="M451" s="93">
        <f t="shared" ref="M451:M514" si="24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7.5638352446666657</v>
      </c>
      <c r="H452">
        <v>1.0280039062499999E-3</v>
      </c>
      <c r="I452">
        <v>-0.77714538029555857</v>
      </c>
      <c r="J452">
        <v>-7.9890848666797597E-4</v>
      </c>
      <c r="K452" s="93">
        <f t="shared" si="22"/>
        <v>0</v>
      </c>
      <c r="L452" s="93">
        <f t="shared" si="23"/>
        <v>1</v>
      </c>
      <c r="M452" s="93">
        <f t="shared" si="24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8.3396132184786271</v>
      </c>
      <c r="H453">
        <v>2.1702304687499997E-3</v>
      </c>
      <c r="I453">
        <v>-0.75730658519116745</v>
      </c>
      <c r="J453">
        <v>-1.6435298253668889E-3</v>
      </c>
      <c r="K453" s="93">
        <f t="shared" si="22"/>
        <v>0</v>
      </c>
      <c r="L453" s="93">
        <f t="shared" si="23"/>
        <v>1</v>
      </c>
      <c r="M453" s="93">
        <f t="shared" si="24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8.9214466988376042</v>
      </c>
      <c r="H454">
        <v>1.3706718749999999E-3</v>
      </c>
      <c r="I454">
        <v>-0.74276055307551048</v>
      </c>
      <c r="J454">
        <v>-1.0180809999600468E-3</v>
      </c>
      <c r="K454" s="93">
        <f t="shared" si="22"/>
        <v>0</v>
      </c>
      <c r="L454" s="93">
        <f t="shared" si="23"/>
        <v>1</v>
      </c>
      <c r="M454" s="93">
        <f t="shared" si="24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7.5638352446666657</v>
      </c>
      <c r="H455">
        <v>2.1702304687499997E-3</v>
      </c>
      <c r="I455">
        <v>-0.77714538029555857</v>
      </c>
      <c r="J455">
        <v>-1.686584582965727E-3</v>
      </c>
      <c r="K455" s="93">
        <f t="shared" si="22"/>
        <v>0</v>
      </c>
      <c r="L455" s="93">
        <f t="shared" si="23"/>
        <v>1</v>
      </c>
      <c r="M455" s="93">
        <f t="shared" si="24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8.3396132184786271</v>
      </c>
      <c r="H456">
        <v>4.5815976562499994E-3</v>
      </c>
      <c r="I456">
        <v>-0.75730658519116745</v>
      </c>
      <c r="J456">
        <v>-3.4696740757745432E-3</v>
      </c>
      <c r="K456" s="93">
        <f t="shared" si="22"/>
        <v>0</v>
      </c>
      <c r="L456" s="93">
        <f t="shared" si="23"/>
        <v>1</v>
      </c>
      <c r="M456" s="93">
        <f t="shared" si="24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8.9214466988376042</v>
      </c>
      <c r="H457">
        <v>2.8936406249999995E-3</v>
      </c>
      <c r="I457">
        <v>-0.74276055307551048</v>
      </c>
      <c r="J457">
        <v>-2.1492821110267657E-3</v>
      </c>
      <c r="K457" s="93">
        <f t="shared" si="22"/>
        <v>0</v>
      </c>
      <c r="L457" s="93">
        <f t="shared" si="23"/>
        <v>1</v>
      </c>
      <c r="M457" s="93">
        <f t="shared" si="24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7.5638352446666657</v>
      </c>
      <c r="H458">
        <v>1.3706718749999999E-3</v>
      </c>
      <c r="I458">
        <v>-0.77714538029555857</v>
      </c>
      <c r="J458">
        <v>-1.0652113155573014E-3</v>
      </c>
      <c r="K458" s="93">
        <f t="shared" si="22"/>
        <v>0</v>
      </c>
      <c r="L458" s="93">
        <f t="shared" si="23"/>
        <v>1</v>
      </c>
      <c r="M458" s="93">
        <f t="shared" si="24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8.3396132184786271</v>
      </c>
      <c r="H459">
        <v>2.8936406249999995E-3</v>
      </c>
      <c r="I459">
        <v>-0.75730658519116745</v>
      </c>
      <c r="J459">
        <v>-2.191373100489185E-3</v>
      </c>
      <c r="K459" s="93">
        <f t="shared" si="22"/>
        <v>0</v>
      </c>
      <c r="L459" s="93">
        <f t="shared" si="23"/>
        <v>1</v>
      </c>
      <c r="M459" s="93">
        <f t="shared" si="24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8.9214466988376042</v>
      </c>
      <c r="H460">
        <v>1.8275624999999998E-3</v>
      </c>
      <c r="I460">
        <v>-0.74276055307551048</v>
      </c>
      <c r="J460">
        <v>-1.3574413332800624E-3</v>
      </c>
      <c r="K460" s="93">
        <f t="shared" si="22"/>
        <v>0</v>
      </c>
      <c r="L460" s="93">
        <f t="shared" si="23"/>
        <v>1</v>
      </c>
      <c r="M460" s="93">
        <f t="shared" si="24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8.5093146502500066</v>
      </c>
      <c r="H461">
        <v>4.8694921874999997E-4</v>
      </c>
      <c r="I461">
        <v>-0.75303481162361008</v>
      </c>
      <c r="J461">
        <v>-3.6668971321167034E-4</v>
      </c>
      <c r="K461" s="93">
        <f t="shared" si="22"/>
        <v>0</v>
      </c>
      <c r="L461" s="93">
        <f t="shared" si="23"/>
        <v>1</v>
      </c>
      <c r="M461" s="93">
        <f t="shared" si="24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9.3820648707884615</v>
      </c>
      <c r="H462">
        <v>1.0280039062499999E-3</v>
      </c>
      <c r="I462">
        <v>-0.73144335690258921</v>
      </c>
      <c r="J462">
        <v>-7.5192662809647455E-4</v>
      </c>
      <c r="K462" s="93">
        <f t="shared" si="22"/>
        <v>0</v>
      </c>
      <c r="L462" s="93">
        <f t="shared" si="23"/>
        <v>1</v>
      </c>
      <c r="M462" s="93">
        <f t="shared" si="24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10.036627536192313</v>
      </c>
      <c r="H463">
        <v>6.4926562499999999E-4</v>
      </c>
      <c r="I463">
        <v>-0.71565701851809349</v>
      </c>
      <c r="J463">
        <v>-4.6465150141378653E-4</v>
      </c>
      <c r="K463" s="93">
        <f t="shared" si="22"/>
        <v>0</v>
      </c>
      <c r="L463" s="93">
        <f t="shared" si="23"/>
        <v>1</v>
      </c>
      <c r="M463" s="93">
        <f t="shared" si="24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8.5093146502500066</v>
      </c>
      <c r="H464">
        <v>1.0280039062499999E-3</v>
      </c>
      <c r="I464">
        <v>-0.75303481162361008</v>
      </c>
      <c r="J464">
        <v>-7.7412272789130401E-4</v>
      </c>
      <c r="K464" s="93">
        <f t="shared" si="22"/>
        <v>0</v>
      </c>
      <c r="L464" s="93">
        <f t="shared" si="23"/>
        <v>1</v>
      </c>
      <c r="M464" s="93">
        <f t="shared" si="24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9.3820648707884615</v>
      </c>
      <c r="H465">
        <v>2.1702304687499993E-3</v>
      </c>
      <c r="I465">
        <v>-0.73144335690258921</v>
      </c>
      <c r="J465">
        <v>-1.5874006593147793E-3</v>
      </c>
      <c r="K465" s="93">
        <f t="shared" si="22"/>
        <v>0</v>
      </c>
      <c r="L465" s="93">
        <f t="shared" si="23"/>
        <v>1</v>
      </c>
      <c r="M465" s="93">
        <f t="shared" si="24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10.036627536192313</v>
      </c>
      <c r="H466">
        <v>1.3706718749999997E-3</v>
      </c>
      <c r="I466">
        <v>-0.71565701851809349</v>
      </c>
      <c r="J466">
        <v>-9.8093094742910465E-4</v>
      </c>
      <c r="K466" s="93">
        <f t="shared" si="22"/>
        <v>0</v>
      </c>
      <c r="L466" s="93">
        <f t="shared" si="23"/>
        <v>1</v>
      </c>
      <c r="M466" s="93">
        <f t="shared" si="24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8.5093146502500066</v>
      </c>
      <c r="H467">
        <v>6.4926562499999999E-4</v>
      </c>
      <c r="I467">
        <v>-0.75303481162361008</v>
      </c>
      <c r="J467">
        <v>-4.8891961761556046E-4</v>
      </c>
      <c r="K467" s="93">
        <f t="shared" si="22"/>
        <v>0</v>
      </c>
      <c r="L467" s="93">
        <f t="shared" si="23"/>
        <v>1</v>
      </c>
      <c r="M467" s="93">
        <f t="shared" si="24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9.3820648707884615</v>
      </c>
      <c r="H468">
        <v>1.3706718749999997E-3</v>
      </c>
      <c r="I468">
        <v>-0.73144335690258921</v>
      </c>
      <c r="J468">
        <v>-1.002568837461966E-3</v>
      </c>
      <c r="K468" s="93">
        <f t="shared" si="22"/>
        <v>0</v>
      </c>
      <c r="L468" s="93">
        <f t="shared" si="23"/>
        <v>1</v>
      </c>
      <c r="M468" s="93">
        <f t="shared" si="24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10.036627536192313</v>
      </c>
      <c r="H469">
        <v>8.6568749999999992E-4</v>
      </c>
      <c r="I469">
        <v>-0.71565701851809349</v>
      </c>
      <c r="J469">
        <v>-6.1953533521838197E-4</v>
      </c>
      <c r="K469" s="93">
        <f t="shared" si="22"/>
        <v>0</v>
      </c>
      <c r="L469" s="93">
        <f t="shared" si="23"/>
        <v>1</v>
      </c>
      <c r="M469" s="93">
        <f t="shared" si="24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8.5093146502500066</v>
      </c>
      <c r="H470">
        <v>1.0280039062499999E-3</v>
      </c>
      <c r="I470">
        <v>-0.75303481162361008</v>
      </c>
      <c r="J470">
        <v>-7.7412272789130401E-4</v>
      </c>
      <c r="K470" s="93">
        <f t="shared" si="22"/>
        <v>0</v>
      </c>
      <c r="L470" s="93">
        <f t="shared" si="23"/>
        <v>1</v>
      </c>
      <c r="M470" s="93">
        <f t="shared" si="24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9.3820648707884615</v>
      </c>
      <c r="H471">
        <v>2.1702304687499997E-3</v>
      </c>
      <c r="I471">
        <v>-0.73144335690258921</v>
      </c>
      <c r="J471">
        <v>-1.5874006593147795E-3</v>
      </c>
      <c r="K471" s="93">
        <f t="shared" si="22"/>
        <v>0</v>
      </c>
      <c r="L471" s="93">
        <f t="shared" si="23"/>
        <v>1</v>
      </c>
      <c r="M471" s="93">
        <f t="shared" si="24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10.036627536192313</v>
      </c>
      <c r="H472">
        <v>1.3706718749999999E-3</v>
      </c>
      <c r="I472">
        <v>-0.71565701851809349</v>
      </c>
      <c r="J472">
        <v>-9.8093094742910487E-4</v>
      </c>
      <c r="K472" s="93">
        <f t="shared" si="22"/>
        <v>0</v>
      </c>
      <c r="L472" s="93">
        <f t="shared" si="23"/>
        <v>1</v>
      </c>
      <c r="M472" s="93">
        <f t="shared" si="24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8.5093146502500066</v>
      </c>
      <c r="H473">
        <v>2.1702304687499997E-3</v>
      </c>
      <c r="I473">
        <v>-0.75303481162361008</v>
      </c>
      <c r="J473">
        <v>-1.6342590922149751E-3</v>
      </c>
      <c r="K473" s="93">
        <f t="shared" si="22"/>
        <v>0</v>
      </c>
      <c r="L473" s="93">
        <f t="shared" si="23"/>
        <v>1</v>
      </c>
      <c r="M473" s="93">
        <f t="shared" si="24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9.3820648707884615</v>
      </c>
      <c r="H474">
        <v>4.5815976562499994E-3</v>
      </c>
      <c r="I474">
        <v>-0.73144335690258921</v>
      </c>
      <c r="J474">
        <v>-3.3511791696645347E-3</v>
      </c>
      <c r="K474" s="93">
        <f t="shared" si="22"/>
        <v>0</v>
      </c>
      <c r="L474" s="93">
        <f t="shared" si="23"/>
        <v>1</v>
      </c>
      <c r="M474" s="93">
        <f t="shared" si="24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10.036627536192313</v>
      </c>
      <c r="H475">
        <v>2.8936406249999995E-3</v>
      </c>
      <c r="I475">
        <v>-0.71565701851809349</v>
      </c>
      <c r="J475">
        <v>-2.0708542223503322E-3</v>
      </c>
      <c r="K475" s="93">
        <f t="shared" si="22"/>
        <v>0</v>
      </c>
      <c r="L475" s="93">
        <f t="shared" si="23"/>
        <v>1</v>
      </c>
      <c r="M475" s="93">
        <f t="shared" si="24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8.5093146502500066</v>
      </c>
      <c r="H476">
        <v>1.3706718749999999E-3</v>
      </c>
      <c r="I476">
        <v>-0.75303481162361008</v>
      </c>
      <c r="J476">
        <v>-1.0321636371884053E-3</v>
      </c>
      <c r="K476" s="93">
        <f t="shared" si="22"/>
        <v>0</v>
      </c>
      <c r="L476" s="93">
        <f t="shared" si="23"/>
        <v>1</v>
      </c>
      <c r="M476" s="93">
        <f t="shared" si="24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9.3820648707884615</v>
      </c>
      <c r="H477">
        <v>2.8936406249999995E-3</v>
      </c>
      <c r="I477">
        <v>-0.73144335690258921</v>
      </c>
      <c r="J477">
        <v>-2.1165342124197062E-3</v>
      </c>
      <c r="K477" s="93">
        <f t="shared" si="22"/>
        <v>0</v>
      </c>
      <c r="L477" s="93">
        <f t="shared" si="23"/>
        <v>1</v>
      </c>
      <c r="M477" s="93">
        <f t="shared" si="24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10.036627536192313</v>
      </c>
      <c r="H478">
        <v>1.8275624999999998E-3</v>
      </c>
      <c r="I478">
        <v>-0.71565701851809349</v>
      </c>
      <c r="J478">
        <v>-1.307907929905473E-3</v>
      </c>
      <c r="K478" s="93">
        <f t="shared" si="22"/>
        <v>0</v>
      </c>
      <c r="L478" s="93">
        <f t="shared" si="23"/>
        <v>1</v>
      </c>
      <c r="M478" s="93">
        <f t="shared" si="24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8.5093146502500066</v>
      </c>
      <c r="H479">
        <v>6.4926562499999999E-4</v>
      </c>
      <c r="I479">
        <v>-0.75303481162361008</v>
      </c>
      <c r="J479">
        <v>-4.8891961761556046E-4</v>
      </c>
      <c r="K479" s="93">
        <f t="shared" si="22"/>
        <v>0</v>
      </c>
      <c r="L479" s="93">
        <f t="shared" si="23"/>
        <v>1</v>
      </c>
      <c r="M479" s="93">
        <f t="shared" si="24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9.3820648707884615</v>
      </c>
      <c r="H480">
        <v>1.3706718749999997E-3</v>
      </c>
      <c r="I480">
        <v>-0.73144335690258921</v>
      </c>
      <c r="J480">
        <v>-1.002568837461966E-3</v>
      </c>
      <c r="K480" s="93">
        <f t="shared" si="22"/>
        <v>0</v>
      </c>
      <c r="L480" s="93">
        <f t="shared" si="23"/>
        <v>1</v>
      </c>
      <c r="M480" s="93">
        <f t="shared" si="24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10.036627536192313</v>
      </c>
      <c r="H481">
        <v>8.6568749999999992E-4</v>
      </c>
      <c r="I481">
        <v>-0.71565701851809349</v>
      </c>
      <c r="J481">
        <v>-6.1953533521838197E-4</v>
      </c>
      <c r="K481" s="93">
        <f t="shared" si="22"/>
        <v>0</v>
      </c>
      <c r="L481" s="93">
        <f t="shared" si="23"/>
        <v>1</v>
      </c>
      <c r="M481" s="93">
        <f t="shared" si="24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8.5093146502500066</v>
      </c>
      <c r="H482">
        <v>1.3706718749999997E-3</v>
      </c>
      <c r="I482">
        <v>-0.75303481162361008</v>
      </c>
      <c r="J482">
        <v>-1.0321636371884051E-3</v>
      </c>
      <c r="K482" s="93">
        <f t="shared" si="22"/>
        <v>0</v>
      </c>
      <c r="L482" s="93">
        <f t="shared" si="23"/>
        <v>1</v>
      </c>
      <c r="M482" s="93">
        <f t="shared" si="24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9.3820648707884615</v>
      </c>
      <c r="H483">
        <v>2.8936406249999991E-3</v>
      </c>
      <c r="I483">
        <v>-0.73144335690258921</v>
      </c>
      <c r="J483">
        <v>-2.1165342124197057E-3</v>
      </c>
      <c r="K483" s="93">
        <f t="shared" si="22"/>
        <v>0</v>
      </c>
      <c r="L483" s="93">
        <f t="shared" si="23"/>
        <v>1</v>
      </c>
      <c r="M483" s="93">
        <f t="shared" si="24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10.036627536192313</v>
      </c>
      <c r="H484">
        <v>1.8275624999999993E-3</v>
      </c>
      <c r="I484">
        <v>-0.71565701851809349</v>
      </c>
      <c r="J484">
        <v>-1.3079079299054728E-3</v>
      </c>
      <c r="K484" s="93">
        <f t="shared" si="22"/>
        <v>0</v>
      </c>
      <c r="L484" s="93">
        <f t="shared" si="23"/>
        <v>1</v>
      </c>
      <c r="M484" s="93">
        <f t="shared" si="24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8.5093146502500066</v>
      </c>
      <c r="H485">
        <v>8.6568749999999992E-4</v>
      </c>
      <c r="I485">
        <v>-0.75303481162361008</v>
      </c>
      <c r="J485">
        <v>-6.5189282348741384E-4</v>
      </c>
      <c r="K485" s="93">
        <f t="shared" si="22"/>
        <v>0</v>
      </c>
      <c r="L485" s="93">
        <f t="shared" si="23"/>
        <v>1</v>
      </c>
      <c r="M485" s="93">
        <f t="shared" si="24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9.3820648707884615</v>
      </c>
      <c r="H486">
        <v>1.8275624999999995E-3</v>
      </c>
      <c r="I486">
        <v>-0.73144335690258921</v>
      </c>
      <c r="J486">
        <v>-1.3367584499492879E-3</v>
      </c>
      <c r="K486" s="93">
        <f t="shared" si="22"/>
        <v>0</v>
      </c>
      <c r="L486" s="93">
        <f t="shared" si="23"/>
        <v>1</v>
      </c>
      <c r="M486" s="93">
        <f t="shared" si="24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10.036627536192313</v>
      </c>
      <c r="H487">
        <v>1.1542499999999997E-3</v>
      </c>
      <c r="I487">
        <v>-0.71565701851809349</v>
      </c>
      <c r="J487">
        <v>-8.2604711362450922E-4</v>
      </c>
      <c r="K487" s="93">
        <f t="shared" si="22"/>
        <v>0</v>
      </c>
      <c r="L487" s="93">
        <f t="shared" si="23"/>
        <v>1</v>
      </c>
      <c r="M487" s="93">
        <f t="shared" si="24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7.7847272221630144</v>
      </c>
      <c r="H488">
        <v>1.7299511718750003E-4</v>
      </c>
      <c r="I488">
        <v>-0.7714442223916369</v>
      </c>
      <c r="J488">
        <v>-1.3345608365626107E-4</v>
      </c>
      <c r="K488" s="93">
        <f t="shared" si="22"/>
        <v>1</v>
      </c>
      <c r="L488" s="93">
        <f t="shared" si="23"/>
        <v>0</v>
      </c>
      <c r="M488" s="93">
        <f t="shared" si="24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8.5831607834105093</v>
      </c>
      <c r="H489">
        <v>3.6521191406250006E-4</v>
      </c>
      <c r="I489">
        <v>-0.75118346750269671</v>
      </c>
      <c r="J489">
        <v>-2.7434115197876567E-4</v>
      </c>
      <c r="K489" s="93">
        <f t="shared" si="22"/>
        <v>1</v>
      </c>
      <c r="L489" s="93">
        <f t="shared" si="23"/>
        <v>0</v>
      </c>
      <c r="M489" s="93">
        <f t="shared" si="24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9.1819859543461195</v>
      </c>
      <c r="H490">
        <v>2.3066015625000002E-4</v>
      </c>
      <c r="I490">
        <v>-0.73633787339599766</v>
      </c>
      <c r="J490">
        <v>-1.6984380893031356E-4</v>
      </c>
      <c r="K490" s="93">
        <f t="shared" si="22"/>
        <v>1</v>
      </c>
      <c r="L490" s="93">
        <f t="shared" si="23"/>
        <v>0</v>
      </c>
      <c r="M490" s="93">
        <f t="shared" si="24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7.7847272221630144</v>
      </c>
      <c r="H491">
        <v>3.6521191406250006E-4</v>
      </c>
      <c r="I491">
        <v>-0.7714442223916369</v>
      </c>
      <c r="J491">
        <v>-2.8174062105210666E-4</v>
      </c>
      <c r="K491" s="93">
        <f t="shared" si="22"/>
        <v>1</v>
      </c>
      <c r="L491" s="93">
        <f t="shared" si="23"/>
        <v>0</v>
      </c>
      <c r="M491" s="93">
        <f t="shared" si="24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8.5831607834105093</v>
      </c>
      <c r="H492">
        <v>7.7100292968750007E-4</v>
      </c>
      <c r="I492">
        <v>-0.75118346750269671</v>
      </c>
      <c r="J492">
        <v>-5.7916465417739418E-4</v>
      </c>
      <c r="K492" s="93">
        <f t="shared" si="22"/>
        <v>1</v>
      </c>
      <c r="L492" s="93">
        <f t="shared" si="23"/>
        <v>0</v>
      </c>
      <c r="M492" s="93">
        <f t="shared" si="24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9.1819859543461195</v>
      </c>
      <c r="H493">
        <v>4.8694921875000008E-4</v>
      </c>
      <c r="I493">
        <v>-0.73633787339599766</v>
      </c>
      <c r="J493">
        <v>-3.5855915218621751E-4</v>
      </c>
      <c r="K493" s="93">
        <f t="shared" si="22"/>
        <v>1</v>
      </c>
      <c r="L493" s="93">
        <f t="shared" si="23"/>
        <v>0</v>
      </c>
      <c r="M493" s="93">
        <f t="shared" si="24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7.7847272221630144</v>
      </c>
      <c r="H494">
        <v>2.3066015625000002E-4</v>
      </c>
      <c r="I494">
        <v>-0.7714442223916369</v>
      </c>
      <c r="J494">
        <v>-1.7794144487501474E-4</v>
      </c>
      <c r="K494" s="93">
        <f t="shared" si="22"/>
        <v>1</v>
      </c>
      <c r="L494" s="93">
        <f t="shared" si="23"/>
        <v>0</v>
      </c>
      <c r="M494" s="93">
        <f t="shared" si="24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8.5831607834105093</v>
      </c>
      <c r="H495">
        <v>4.8694921874999997E-4</v>
      </c>
      <c r="I495">
        <v>-0.75118346750269671</v>
      </c>
      <c r="J495">
        <v>-3.6578820263835415E-4</v>
      </c>
      <c r="K495" s="93">
        <f t="shared" si="22"/>
        <v>1</v>
      </c>
      <c r="L495" s="93">
        <f t="shared" si="23"/>
        <v>0</v>
      </c>
      <c r="M495" s="93">
        <f t="shared" si="24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9.1819859543461195</v>
      </c>
      <c r="H496">
        <v>3.0754687499999999E-4</v>
      </c>
      <c r="I496">
        <v>-0.73633787339599766</v>
      </c>
      <c r="J496">
        <v>-2.2645841190708471E-4</v>
      </c>
      <c r="K496" s="93">
        <f t="shared" si="22"/>
        <v>1</v>
      </c>
      <c r="L496" s="93">
        <f t="shared" si="23"/>
        <v>0</v>
      </c>
      <c r="M496" s="93">
        <f t="shared" si="24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7.7847272221630144</v>
      </c>
      <c r="H497">
        <v>3.652119140625E-4</v>
      </c>
      <c r="I497">
        <v>-0.7714442223916369</v>
      </c>
      <c r="J497">
        <v>-2.8174062105210666E-4</v>
      </c>
      <c r="K497" s="93">
        <f t="shared" si="22"/>
        <v>1</v>
      </c>
      <c r="L497" s="93">
        <f t="shared" si="23"/>
        <v>0</v>
      </c>
      <c r="M497" s="93">
        <f t="shared" si="24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8.5831607834105093</v>
      </c>
      <c r="H498">
        <v>7.7100292968749996E-4</v>
      </c>
      <c r="I498">
        <v>-0.75118346750269671</v>
      </c>
      <c r="J498">
        <v>-5.7916465417739407E-4</v>
      </c>
      <c r="K498" s="93">
        <f t="shared" si="22"/>
        <v>1</v>
      </c>
      <c r="L498" s="93">
        <f t="shared" si="23"/>
        <v>0</v>
      </c>
      <c r="M498" s="93">
        <f t="shared" si="24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9.1819859543461195</v>
      </c>
      <c r="H499">
        <v>4.8694921874999997E-4</v>
      </c>
      <c r="I499">
        <v>-0.73633787339599766</v>
      </c>
      <c r="J499">
        <v>-3.5855915218621745E-4</v>
      </c>
      <c r="K499" s="93">
        <f t="shared" si="22"/>
        <v>1</v>
      </c>
      <c r="L499" s="93">
        <f t="shared" si="23"/>
        <v>0</v>
      </c>
      <c r="M499" s="93">
        <f t="shared" si="24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7.7847272221630144</v>
      </c>
      <c r="H500">
        <v>7.7100292968749996E-4</v>
      </c>
      <c r="I500">
        <v>-0.7714442223916369</v>
      </c>
      <c r="J500">
        <v>-5.9478575555444726E-4</v>
      </c>
      <c r="K500" s="93">
        <f t="shared" si="22"/>
        <v>1</v>
      </c>
      <c r="L500" s="93">
        <f t="shared" si="23"/>
        <v>0</v>
      </c>
      <c r="M500" s="93">
        <f t="shared" si="24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8.5831607834105093</v>
      </c>
      <c r="H501">
        <v>1.6276728515624999E-3</v>
      </c>
      <c r="I501">
        <v>-0.75118346750269671</v>
      </c>
      <c r="J501">
        <v>-1.2226809365967208E-3</v>
      </c>
      <c r="K501" s="93">
        <f t="shared" si="22"/>
        <v>1</v>
      </c>
      <c r="L501" s="93">
        <f t="shared" si="23"/>
        <v>0</v>
      </c>
      <c r="M501" s="93">
        <f t="shared" si="24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9.1819859543461195</v>
      </c>
      <c r="H502">
        <v>1.0280039062499999E-3</v>
      </c>
      <c r="I502">
        <v>-0.73633787339599766</v>
      </c>
      <c r="J502">
        <v>-7.5695821017090353E-4</v>
      </c>
      <c r="K502" s="93">
        <f t="shared" si="22"/>
        <v>1</v>
      </c>
      <c r="L502" s="93">
        <f t="shared" si="23"/>
        <v>0</v>
      </c>
      <c r="M502" s="93">
        <f t="shared" si="24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7.7847272221630144</v>
      </c>
      <c r="H503">
        <v>4.8694921874999997E-4</v>
      </c>
      <c r="I503">
        <v>-0.7714442223916369</v>
      </c>
      <c r="J503">
        <v>-3.7565416140280882E-4</v>
      </c>
      <c r="K503" s="93">
        <f t="shared" si="22"/>
        <v>1</v>
      </c>
      <c r="L503" s="93">
        <f t="shared" si="23"/>
        <v>0</v>
      </c>
      <c r="M503" s="93">
        <f t="shared" si="24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8.5831607834105093</v>
      </c>
      <c r="H504">
        <v>1.0280039062499999E-3</v>
      </c>
      <c r="I504">
        <v>-0.75118346750269671</v>
      </c>
      <c r="J504">
        <v>-7.7221953890319213E-4</v>
      </c>
      <c r="K504" s="93">
        <f t="shared" si="22"/>
        <v>1</v>
      </c>
      <c r="L504" s="93">
        <f t="shared" si="23"/>
        <v>0</v>
      </c>
      <c r="M504" s="93">
        <f t="shared" si="24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9.1819859543461195</v>
      </c>
      <c r="H505">
        <v>6.4926562499999999E-4</v>
      </c>
      <c r="I505">
        <v>-0.73633787339599766</v>
      </c>
      <c r="J505">
        <v>-4.7807886958162329E-4</v>
      </c>
      <c r="K505" s="93">
        <f t="shared" si="22"/>
        <v>1</v>
      </c>
      <c r="L505" s="93">
        <f t="shared" si="23"/>
        <v>0</v>
      </c>
      <c r="M505" s="93">
        <f t="shared" si="24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7.7847272221630144</v>
      </c>
      <c r="H506">
        <v>2.3066015625000002E-4</v>
      </c>
      <c r="I506">
        <v>-0.7714442223916369</v>
      </c>
      <c r="J506">
        <v>-1.7794144487501474E-4</v>
      </c>
      <c r="K506" s="93">
        <f t="shared" si="22"/>
        <v>1</v>
      </c>
      <c r="L506" s="93">
        <f t="shared" si="23"/>
        <v>0</v>
      </c>
      <c r="M506" s="93">
        <f t="shared" si="24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8.5831607834105093</v>
      </c>
      <c r="H507">
        <v>4.8694921874999997E-4</v>
      </c>
      <c r="I507">
        <v>-0.75118346750269671</v>
      </c>
      <c r="J507">
        <v>-3.6578820263835415E-4</v>
      </c>
      <c r="K507" s="93">
        <f t="shared" si="22"/>
        <v>1</v>
      </c>
      <c r="L507" s="93">
        <f t="shared" si="23"/>
        <v>0</v>
      </c>
      <c r="M507" s="93">
        <f t="shared" si="24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9.1819859543461195</v>
      </c>
      <c r="H508">
        <v>3.0754687499999999E-4</v>
      </c>
      <c r="I508">
        <v>-0.73633787339599766</v>
      </c>
      <c r="J508">
        <v>-2.2645841190708471E-4</v>
      </c>
      <c r="K508" s="93">
        <f t="shared" si="22"/>
        <v>1</v>
      </c>
      <c r="L508" s="93">
        <f t="shared" si="23"/>
        <v>0</v>
      </c>
      <c r="M508" s="93">
        <f t="shared" si="24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7.7847272221630144</v>
      </c>
      <c r="H509">
        <v>4.8694921874999997E-4</v>
      </c>
      <c r="I509">
        <v>-0.7714442223916369</v>
      </c>
      <c r="J509">
        <v>-3.7565416140280882E-4</v>
      </c>
      <c r="K509" s="93">
        <f t="shared" si="22"/>
        <v>1</v>
      </c>
      <c r="L509" s="93">
        <f t="shared" si="23"/>
        <v>0</v>
      </c>
      <c r="M509" s="93">
        <f t="shared" si="24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8.5831607834105093</v>
      </c>
      <c r="H510">
        <v>1.0280039062499999E-3</v>
      </c>
      <c r="I510">
        <v>-0.75118346750269671</v>
      </c>
      <c r="J510">
        <v>-7.7221953890319213E-4</v>
      </c>
      <c r="K510" s="93">
        <f t="shared" si="22"/>
        <v>1</v>
      </c>
      <c r="L510" s="93">
        <f t="shared" si="23"/>
        <v>0</v>
      </c>
      <c r="M510" s="93">
        <f t="shared" si="24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9.1819859543461195</v>
      </c>
      <c r="H511">
        <v>6.4926562499999999E-4</v>
      </c>
      <c r="I511">
        <v>-0.73633787339599766</v>
      </c>
      <c r="J511">
        <v>-4.7807886958162329E-4</v>
      </c>
      <c r="K511" s="93">
        <f t="shared" si="22"/>
        <v>1</v>
      </c>
      <c r="L511" s="93">
        <f t="shared" si="23"/>
        <v>0</v>
      </c>
      <c r="M511" s="93">
        <f t="shared" si="24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7.7847272221630144</v>
      </c>
      <c r="H512">
        <v>3.0754687500000004E-4</v>
      </c>
      <c r="I512">
        <v>-0.7714442223916369</v>
      </c>
      <c r="J512">
        <v>-2.3725525983335299E-4</v>
      </c>
      <c r="K512" s="93">
        <f t="shared" si="22"/>
        <v>1</v>
      </c>
      <c r="L512" s="93">
        <f t="shared" si="23"/>
        <v>0</v>
      </c>
      <c r="M512" s="93">
        <f t="shared" si="24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8.5831607834105093</v>
      </c>
      <c r="H513">
        <v>6.4926562499999999E-4</v>
      </c>
      <c r="I513">
        <v>-0.75118346750269671</v>
      </c>
      <c r="J513">
        <v>-4.8771760351780559E-4</v>
      </c>
      <c r="K513" s="93">
        <f t="shared" si="22"/>
        <v>1</v>
      </c>
      <c r="L513" s="93">
        <f t="shared" si="23"/>
        <v>0</v>
      </c>
      <c r="M513" s="93">
        <f t="shared" si="24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9.1819859543461195</v>
      </c>
      <c r="H514">
        <v>4.100625E-4</v>
      </c>
      <c r="I514">
        <v>-0.73633787339599766</v>
      </c>
      <c r="J514">
        <v>-3.0194454920944627E-4</v>
      </c>
      <c r="K514" s="93">
        <f t="shared" si="22"/>
        <v>1</v>
      </c>
      <c r="L514" s="93">
        <f t="shared" si="23"/>
        <v>0</v>
      </c>
      <c r="M514" s="93">
        <f t="shared" si="24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9.5812027349698674</v>
      </c>
      <c r="H515">
        <v>3.652119140625E-4</v>
      </c>
      <c r="I515">
        <v>-0.72660416684209039</v>
      </c>
      <c r="J515">
        <v>-2.6536449853818792E-4</v>
      </c>
      <c r="K515" s="93">
        <f t="shared" ref="K515:K578" si="25">IF(A515=3,1,0)</f>
        <v>1</v>
      </c>
      <c r="L515" s="93">
        <f t="shared" ref="L515:L578" si="26">IF(A515=2,1,0)</f>
        <v>0</v>
      </c>
      <c r="M515" s="93">
        <f t="shared" ref="M515:M578" si="27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10.563890194966778</v>
      </c>
      <c r="H516">
        <v>7.7100292968749996E-4</v>
      </c>
      <c r="I516">
        <v>-0.70318893132926708</v>
      </c>
      <c r="J516">
        <v>-5.4216072617868714E-4</v>
      </c>
      <c r="K516" s="93">
        <f t="shared" si="25"/>
        <v>1</v>
      </c>
      <c r="L516" s="93">
        <f t="shared" si="26"/>
        <v>0</v>
      </c>
      <c r="M516" s="93">
        <f t="shared" si="27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11.300905789964462</v>
      </c>
      <c r="H517">
        <v>4.8694921874999997E-4</v>
      </c>
      <c r="I517">
        <v>-0.68612403424310431</v>
      </c>
      <c r="J517">
        <v>-3.3410756244027788E-4</v>
      </c>
      <c r="K517" s="93">
        <f t="shared" si="25"/>
        <v>1</v>
      </c>
      <c r="L517" s="93">
        <f t="shared" si="26"/>
        <v>0</v>
      </c>
      <c r="M517" s="93">
        <f t="shared" si="27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9.5812027349698674</v>
      </c>
      <c r="H518">
        <v>7.7100292968749996E-4</v>
      </c>
      <c r="I518">
        <v>-0.72660416684209039</v>
      </c>
      <c r="J518">
        <v>-5.6021394135839667E-4</v>
      </c>
      <c r="K518" s="93">
        <f t="shared" si="25"/>
        <v>1</v>
      </c>
      <c r="L518" s="93">
        <f t="shared" si="26"/>
        <v>0</v>
      </c>
      <c r="M518" s="93">
        <f t="shared" si="27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10.563890194966778</v>
      </c>
      <c r="H519">
        <v>1.6276728515624999E-3</v>
      </c>
      <c r="I519">
        <v>-0.70318893132926708</v>
      </c>
      <c r="J519">
        <v>-1.1445615330438952E-3</v>
      </c>
      <c r="K519" s="93">
        <f t="shared" si="25"/>
        <v>1</v>
      </c>
      <c r="L519" s="93">
        <f t="shared" si="26"/>
        <v>0</v>
      </c>
      <c r="M519" s="93">
        <f t="shared" si="27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11.300905789964462</v>
      </c>
      <c r="H520">
        <v>1.0280039062499999E-3</v>
      </c>
      <c r="I520">
        <v>-0.68612403424310431</v>
      </c>
      <c r="J520">
        <v>-7.0533818737392E-4</v>
      </c>
      <c r="K520" s="93">
        <f t="shared" si="25"/>
        <v>1</v>
      </c>
      <c r="L520" s="93">
        <f t="shared" si="26"/>
        <v>0</v>
      </c>
      <c r="M520" s="93">
        <f t="shared" si="27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9.5812027349698674</v>
      </c>
      <c r="H521">
        <v>4.8694921874999997E-4</v>
      </c>
      <c r="I521">
        <v>-0.72660416684209039</v>
      </c>
      <c r="J521">
        <v>-3.5381933138425056E-4</v>
      </c>
      <c r="K521" s="93">
        <f t="shared" si="25"/>
        <v>1</v>
      </c>
      <c r="L521" s="93">
        <f t="shared" si="26"/>
        <v>0</v>
      </c>
      <c r="M521" s="93">
        <f t="shared" si="27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10.563890194966778</v>
      </c>
      <c r="H522">
        <v>1.0280039062499999E-3</v>
      </c>
      <c r="I522">
        <v>-0.70318893132926708</v>
      </c>
      <c r="J522">
        <v>-7.2288096823824952E-4</v>
      </c>
      <c r="K522" s="93">
        <f t="shared" si="25"/>
        <v>1</v>
      </c>
      <c r="L522" s="93">
        <f t="shared" si="26"/>
        <v>0</v>
      </c>
      <c r="M522" s="93">
        <f t="shared" si="27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11.300905789964462</v>
      </c>
      <c r="H523">
        <v>6.4926562499999999E-4</v>
      </c>
      <c r="I523">
        <v>-0.68612403424310431</v>
      </c>
      <c r="J523">
        <v>-4.4547674992037053E-4</v>
      </c>
      <c r="K523" s="93">
        <f t="shared" si="25"/>
        <v>1</v>
      </c>
      <c r="L523" s="93">
        <f t="shared" si="26"/>
        <v>0</v>
      </c>
      <c r="M523" s="93">
        <f t="shared" si="27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9.5812027349698674</v>
      </c>
      <c r="H524">
        <v>7.7100292968750007E-4</v>
      </c>
      <c r="I524">
        <v>-0.72660416684209039</v>
      </c>
      <c r="J524">
        <v>-5.6021394135839678E-4</v>
      </c>
      <c r="K524" s="93">
        <f t="shared" si="25"/>
        <v>1</v>
      </c>
      <c r="L524" s="93">
        <f t="shared" si="26"/>
        <v>0</v>
      </c>
      <c r="M524" s="93">
        <f t="shared" si="27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10.563890194966778</v>
      </c>
      <c r="H525">
        <v>1.6276728515625001E-3</v>
      </c>
      <c r="I525">
        <v>-0.70318893132926708</v>
      </c>
      <c r="J525">
        <v>-1.1445615330438952E-3</v>
      </c>
      <c r="K525" s="93">
        <f t="shared" si="25"/>
        <v>1</v>
      </c>
      <c r="L525" s="93">
        <f t="shared" si="26"/>
        <v>0</v>
      </c>
      <c r="M525" s="93">
        <f t="shared" si="27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11.300905789964462</v>
      </c>
      <c r="H526">
        <v>1.0280039062499999E-3</v>
      </c>
      <c r="I526">
        <v>-0.68612403424310431</v>
      </c>
      <c r="J526">
        <v>-7.0533818737392E-4</v>
      </c>
      <c r="K526" s="93">
        <f t="shared" si="25"/>
        <v>1</v>
      </c>
      <c r="L526" s="93">
        <f t="shared" si="26"/>
        <v>0</v>
      </c>
      <c r="M526" s="93">
        <f t="shared" si="27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9.5812027349698674</v>
      </c>
      <c r="H527">
        <v>1.6276728515624999E-3</v>
      </c>
      <c r="I527">
        <v>-0.72660416684209039</v>
      </c>
      <c r="J527">
        <v>-1.1826738762010598E-3</v>
      </c>
      <c r="K527" s="93">
        <f t="shared" si="25"/>
        <v>1</v>
      </c>
      <c r="L527" s="93">
        <f t="shared" si="26"/>
        <v>0</v>
      </c>
      <c r="M527" s="93">
        <f t="shared" si="27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10.563890194966778</v>
      </c>
      <c r="H528">
        <v>3.4361982421874998E-3</v>
      </c>
      <c r="I528">
        <v>-0.70318893132926708</v>
      </c>
      <c r="J528">
        <v>-2.416296569759334E-3</v>
      </c>
      <c r="K528" s="93">
        <f t="shared" si="25"/>
        <v>1</v>
      </c>
      <c r="L528" s="93">
        <f t="shared" si="26"/>
        <v>0</v>
      </c>
      <c r="M528" s="93">
        <f t="shared" si="27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11.300905789964462</v>
      </c>
      <c r="H529">
        <v>2.1702304687499997E-3</v>
      </c>
      <c r="I529">
        <v>-0.68612403424310431</v>
      </c>
      <c r="J529">
        <v>-1.4890472844560532E-3</v>
      </c>
      <c r="K529" s="93">
        <f t="shared" si="25"/>
        <v>1</v>
      </c>
      <c r="L529" s="93">
        <f t="shared" si="26"/>
        <v>0</v>
      </c>
      <c r="M529" s="93">
        <f t="shared" si="27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9.5812027349698674</v>
      </c>
      <c r="H530">
        <v>1.0280039062499999E-3</v>
      </c>
      <c r="I530">
        <v>-0.72660416684209039</v>
      </c>
      <c r="J530">
        <v>-7.4695192181119566E-4</v>
      </c>
      <c r="K530" s="93">
        <f t="shared" si="25"/>
        <v>1</v>
      </c>
      <c r="L530" s="93">
        <f t="shared" si="26"/>
        <v>0</v>
      </c>
      <c r="M530" s="93">
        <f t="shared" si="27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10.563890194966778</v>
      </c>
      <c r="H531">
        <v>2.1702304687499997E-3</v>
      </c>
      <c r="I531">
        <v>-0.70318893132926708</v>
      </c>
      <c r="J531">
        <v>-1.5260820440585266E-3</v>
      </c>
      <c r="K531" s="93">
        <f t="shared" si="25"/>
        <v>1</v>
      </c>
      <c r="L531" s="93">
        <f t="shared" si="26"/>
        <v>0</v>
      </c>
      <c r="M531" s="93">
        <f t="shared" si="27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11.300905789964462</v>
      </c>
      <c r="H532">
        <v>1.3706718749999999E-3</v>
      </c>
      <c r="I532">
        <v>-0.68612403424310431</v>
      </c>
      <c r="J532">
        <v>-9.4045091649855989E-4</v>
      </c>
      <c r="K532" s="93">
        <f t="shared" si="25"/>
        <v>1</v>
      </c>
      <c r="L532" s="93">
        <f t="shared" si="26"/>
        <v>0</v>
      </c>
      <c r="M532" s="93">
        <f t="shared" si="27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9.5812027349698674</v>
      </c>
      <c r="H533">
        <v>4.8694921875000008E-4</v>
      </c>
      <c r="I533">
        <v>-0.72660416684209039</v>
      </c>
      <c r="J533">
        <v>-3.5381933138425062E-4</v>
      </c>
      <c r="K533" s="93">
        <f t="shared" si="25"/>
        <v>1</v>
      </c>
      <c r="L533" s="93">
        <f t="shared" si="26"/>
        <v>0</v>
      </c>
      <c r="M533" s="93">
        <f t="shared" si="27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10.563890194966778</v>
      </c>
      <c r="H534">
        <v>1.0280039062500002E-3</v>
      </c>
      <c r="I534">
        <v>-0.70318893132926708</v>
      </c>
      <c r="J534">
        <v>-7.2288096823824963E-4</v>
      </c>
      <c r="K534" s="93">
        <f t="shared" si="25"/>
        <v>1</v>
      </c>
      <c r="L534" s="93">
        <f t="shared" si="26"/>
        <v>0</v>
      </c>
      <c r="M534" s="93">
        <f t="shared" si="27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11.300905789964462</v>
      </c>
      <c r="H535">
        <v>6.492656250000001E-4</v>
      </c>
      <c r="I535">
        <v>-0.68612403424310431</v>
      </c>
      <c r="J535">
        <v>-4.4547674992037058E-4</v>
      </c>
      <c r="K535" s="93">
        <f t="shared" si="25"/>
        <v>1</v>
      </c>
      <c r="L535" s="93">
        <f t="shared" si="26"/>
        <v>0</v>
      </c>
      <c r="M535" s="93">
        <f t="shared" si="27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9.5812027349698674</v>
      </c>
      <c r="H536">
        <v>1.0280039062499999E-3</v>
      </c>
      <c r="I536">
        <v>-0.72660416684209039</v>
      </c>
      <c r="J536">
        <v>-7.4695192181119566E-4</v>
      </c>
      <c r="K536" s="93">
        <f t="shared" si="25"/>
        <v>1</v>
      </c>
      <c r="L536" s="93">
        <f t="shared" si="26"/>
        <v>0</v>
      </c>
      <c r="M536" s="93">
        <f t="shared" si="27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10.563890194966778</v>
      </c>
      <c r="H537">
        <v>2.1702304687499997E-3</v>
      </c>
      <c r="I537">
        <v>-0.70318893132926708</v>
      </c>
      <c r="J537">
        <v>-1.5260820440585266E-3</v>
      </c>
      <c r="K537" s="93">
        <f t="shared" si="25"/>
        <v>1</v>
      </c>
      <c r="L537" s="93">
        <f t="shared" si="26"/>
        <v>0</v>
      </c>
      <c r="M537" s="93">
        <f t="shared" si="27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11.300905789964462</v>
      </c>
      <c r="H538">
        <v>1.3706718749999999E-3</v>
      </c>
      <c r="I538">
        <v>-0.68612403424310431</v>
      </c>
      <c r="J538">
        <v>-9.4045091649855989E-4</v>
      </c>
      <c r="K538" s="93">
        <f t="shared" si="25"/>
        <v>1</v>
      </c>
      <c r="L538" s="93">
        <f t="shared" si="26"/>
        <v>0</v>
      </c>
      <c r="M538" s="93">
        <f t="shared" si="27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9.5812027349698674</v>
      </c>
      <c r="H539">
        <v>6.492656250000001E-4</v>
      </c>
      <c r="I539">
        <v>-0.72660416684209039</v>
      </c>
      <c r="J539">
        <v>-4.7175910851233419E-4</v>
      </c>
      <c r="K539" s="93">
        <f t="shared" si="25"/>
        <v>1</v>
      </c>
      <c r="L539" s="93">
        <f t="shared" si="26"/>
        <v>0</v>
      </c>
      <c r="M539" s="93">
        <f t="shared" si="27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10.563890194966778</v>
      </c>
      <c r="H540">
        <v>1.3706718749999999E-3</v>
      </c>
      <c r="I540">
        <v>-0.70318893132926708</v>
      </c>
      <c r="J540">
        <v>-9.6384129098433266E-4</v>
      </c>
      <c r="K540" s="93">
        <f t="shared" si="25"/>
        <v>1</v>
      </c>
      <c r="L540" s="93">
        <f t="shared" si="26"/>
        <v>0</v>
      </c>
      <c r="M540" s="93">
        <f t="shared" si="27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11.300905789964462</v>
      </c>
      <c r="H541">
        <v>8.6568750000000003E-4</v>
      </c>
      <c r="I541">
        <v>-0.68612403424310431</v>
      </c>
      <c r="J541">
        <v>-5.9396899989382741E-4</v>
      </c>
      <c r="K541" s="93">
        <f t="shared" si="25"/>
        <v>1</v>
      </c>
      <c r="L541" s="93">
        <f t="shared" si="26"/>
        <v>0</v>
      </c>
      <c r="M541" s="93">
        <f t="shared" si="27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10.778853076841109</v>
      </c>
      <c r="H542">
        <v>2.3066015625000002E-4</v>
      </c>
      <c r="I542">
        <v>-0.69816828969785072</v>
      </c>
      <c r="J542">
        <v>-1.6103960679050153E-4</v>
      </c>
      <c r="K542" s="93">
        <f t="shared" si="25"/>
        <v>1</v>
      </c>
      <c r="L542" s="93">
        <f t="shared" si="26"/>
        <v>0</v>
      </c>
      <c r="M542" s="93">
        <f t="shared" si="27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11.884376469337615</v>
      </c>
      <c r="H543">
        <v>4.8694921874999997E-4</v>
      </c>
      <c r="I543">
        <v>-0.67290852332609163</v>
      </c>
      <c r="J543">
        <v>-3.2767227972385643E-4</v>
      </c>
      <c r="K543" s="93">
        <f t="shared" si="25"/>
        <v>1</v>
      </c>
      <c r="L543" s="93">
        <f t="shared" si="26"/>
        <v>0</v>
      </c>
      <c r="M543" s="93">
        <f t="shared" si="27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12.713519013710021</v>
      </c>
      <c r="H544">
        <v>3.0754687499999999E-4</v>
      </c>
      <c r="I544">
        <v>-0.6545652742545558</v>
      </c>
      <c r="J544">
        <v>-2.0130950458050658E-4</v>
      </c>
      <c r="K544" s="93">
        <f t="shared" si="25"/>
        <v>1</v>
      </c>
      <c r="L544" s="93">
        <f t="shared" si="26"/>
        <v>0</v>
      </c>
      <c r="M544" s="93">
        <f t="shared" si="27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10.778853076841109</v>
      </c>
      <c r="H545">
        <v>4.8694921874999997E-4</v>
      </c>
      <c r="I545">
        <v>-0.69816828969785072</v>
      </c>
      <c r="J545">
        <v>-3.3997250322439208E-4</v>
      </c>
      <c r="K545" s="93">
        <f t="shared" si="25"/>
        <v>1</v>
      </c>
      <c r="L545" s="93">
        <f t="shared" si="26"/>
        <v>0</v>
      </c>
      <c r="M545" s="93">
        <f t="shared" si="27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11.884376469337615</v>
      </c>
      <c r="H546">
        <v>1.0280039062499999E-3</v>
      </c>
      <c r="I546">
        <v>-0.67290852332609163</v>
      </c>
      <c r="J546">
        <v>-6.9175259052814137E-4</v>
      </c>
      <c r="K546" s="93">
        <f t="shared" si="25"/>
        <v>1</v>
      </c>
      <c r="L546" s="93">
        <f t="shared" si="26"/>
        <v>0</v>
      </c>
      <c r="M546" s="93">
        <f t="shared" si="27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12.713519013710021</v>
      </c>
      <c r="H547">
        <v>6.4926562499999999E-4</v>
      </c>
      <c r="I547">
        <v>-0.6545652742545558</v>
      </c>
      <c r="J547">
        <v>-4.2498673189218057E-4</v>
      </c>
      <c r="K547" s="93">
        <f t="shared" si="25"/>
        <v>1</v>
      </c>
      <c r="L547" s="93">
        <f t="shared" si="26"/>
        <v>0</v>
      </c>
      <c r="M547" s="93">
        <f t="shared" si="27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10.778853076841109</v>
      </c>
      <c r="H548">
        <v>3.0754687500000004E-4</v>
      </c>
      <c r="I548">
        <v>-0.69816828969785072</v>
      </c>
      <c r="J548">
        <v>-2.1471947572066871E-4</v>
      </c>
      <c r="K548" s="93">
        <f t="shared" si="25"/>
        <v>1</v>
      </c>
      <c r="L548" s="93">
        <f t="shared" si="26"/>
        <v>0</v>
      </c>
      <c r="M548" s="93">
        <f t="shared" si="27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11.884376469337615</v>
      </c>
      <c r="H549">
        <v>6.4926562499999999E-4</v>
      </c>
      <c r="I549">
        <v>-0.67290852332609163</v>
      </c>
      <c r="J549">
        <v>-4.3689637296514194E-4</v>
      </c>
      <c r="K549" s="93">
        <f t="shared" si="25"/>
        <v>1</v>
      </c>
      <c r="L549" s="93">
        <f t="shared" si="26"/>
        <v>0</v>
      </c>
      <c r="M549" s="93">
        <f t="shared" si="27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12.713519013710021</v>
      </c>
      <c r="H550">
        <v>4.100625E-4</v>
      </c>
      <c r="I550">
        <v>-0.6545652742545558</v>
      </c>
      <c r="J550">
        <v>-2.684126727740088E-4</v>
      </c>
      <c r="K550" s="93">
        <f t="shared" si="25"/>
        <v>1</v>
      </c>
      <c r="L550" s="93">
        <f t="shared" si="26"/>
        <v>0</v>
      </c>
      <c r="M550" s="93">
        <f t="shared" si="27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10.778853076841109</v>
      </c>
      <c r="H551">
        <v>4.8694921875000008E-4</v>
      </c>
      <c r="I551">
        <v>-0.69816828969785072</v>
      </c>
      <c r="J551">
        <v>-3.3997250322439213E-4</v>
      </c>
      <c r="K551" s="93">
        <f t="shared" si="25"/>
        <v>1</v>
      </c>
      <c r="L551" s="93">
        <f t="shared" si="26"/>
        <v>0</v>
      </c>
      <c r="M551" s="93">
        <f t="shared" si="27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11.884376469337615</v>
      </c>
      <c r="H552">
        <v>1.0280039062500002E-3</v>
      </c>
      <c r="I552">
        <v>-0.67290852332609163</v>
      </c>
      <c r="J552">
        <v>-6.9175259052814159E-4</v>
      </c>
      <c r="K552" s="93">
        <f t="shared" si="25"/>
        <v>1</v>
      </c>
      <c r="L552" s="93">
        <f t="shared" si="26"/>
        <v>0</v>
      </c>
      <c r="M552" s="93">
        <f t="shared" si="27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12.713519013710021</v>
      </c>
      <c r="H553">
        <v>6.492656250000001E-4</v>
      </c>
      <c r="I553">
        <v>-0.6545652742545558</v>
      </c>
      <c r="J553">
        <v>-4.2498673189218062E-4</v>
      </c>
      <c r="K553" s="93">
        <f t="shared" si="25"/>
        <v>1</v>
      </c>
      <c r="L553" s="93">
        <f t="shared" si="26"/>
        <v>0</v>
      </c>
      <c r="M553" s="93">
        <f t="shared" si="27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10.778853076841109</v>
      </c>
      <c r="H554">
        <v>1.0280039062499999E-3</v>
      </c>
      <c r="I554">
        <v>-0.69816828969785072</v>
      </c>
      <c r="J554">
        <v>-7.1771972902927208E-4</v>
      </c>
      <c r="K554" s="93">
        <f t="shared" si="25"/>
        <v>1</v>
      </c>
      <c r="L554" s="93">
        <f t="shared" si="26"/>
        <v>0</v>
      </c>
      <c r="M554" s="93">
        <f t="shared" si="27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11.884376469337615</v>
      </c>
      <c r="H555">
        <v>2.1702304687499997E-3</v>
      </c>
      <c r="I555">
        <v>-0.67290852332609163</v>
      </c>
      <c r="J555">
        <v>-1.460366580003854E-3</v>
      </c>
      <c r="K555" s="93">
        <f t="shared" si="25"/>
        <v>1</v>
      </c>
      <c r="L555" s="93">
        <f t="shared" si="26"/>
        <v>0</v>
      </c>
      <c r="M555" s="93">
        <f t="shared" si="27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12.713519013710021</v>
      </c>
      <c r="H556">
        <v>1.3706718749999999E-3</v>
      </c>
      <c r="I556">
        <v>-0.6545652742545558</v>
      </c>
      <c r="J556">
        <v>-8.9719421177238113E-4</v>
      </c>
      <c r="K556" s="93">
        <f t="shared" si="25"/>
        <v>1</v>
      </c>
      <c r="L556" s="93">
        <f t="shared" si="26"/>
        <v>0</v>
      </c>
      <c r="M556" s="93">
        <f t="shared" si="27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10.778853076841109</v>
      </c>
      <c r="H557">
        <v>6.492656250000001E-4</v>
      </c>
      <c r="I557">
        <v>-0.69816828969785072</v>
      </c>
      <c r="J557">
        <v>-4.5329667096585618E-4</v>
      </c>
      <c r="K557" s="93">
        <f t="shared" si="25"/>
        <v>1</v>
      </c>
      <c r="L557" s="93">
        <f t="shared" si="26"/>
        <v>0</v>
      </c>
      <c r="M557" s="93">
        <f t="shared" si="27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11.884376469337615</v>
      </c>
      <c r="H558">
        <v>1.3706718749999999E-3</v>
      </c>
      <c r="I558">
        <v>-0.67290852332609163</v>
      </c>
      <c r="J558">
        <v>-9.223367873708552E-4</v>
      </c>
      <c r="K558" s="93">
        <f t="shared" si="25"/>
        <v>1</v>
      </c>
      <c r="L558" s="93">
        <f t="shared" si="26"/>
        <v>0</v>
      </c>
      <c r="M558" s="93">
        <f t="shared" si="27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12.713519013710021</v>
      </c>
      <c r="H559">
        <v>8.6568750000000003E-4</v>
      </c>
      <c r="I559">
        <v>-0.6545652742545558</v>
      </c>
      <c r="J559">
        <v>-5.6664897585624076E-4</v>
      </c>
      <c r="K559" s="93">
        <f t="shared" si="25"/>
        <v>1</v>
      </c>
      <c r="L559" s="93">
        <f t="shared" si="26"/>
        <v>0</v>
      </c>
      <c r="M559" s="93">
        <f t="shared" si="27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10.778853076841109</v>
      </c>
      <c r="H560">
        <v>3.0754687500000004E-4</v>
      </c>
      <c r="I560">
        <v>-0.69816828969785072</v>
      </c>
      <c r="J560">
        <v>-2.1471947572066871E-4</v>
      </c>
      <c r="K560" s="93">
        <f t="shared" si="25"/>
        <v>1</v>
      </c>
      <c r="L560" s="93">
        <f t="shared" si="26"/>
        <v>0</v>
      </c>
      <c r="M560" s="93">
        <f t="shared" si="27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11.884376469337615</v>
      </c>
      <c r="H561">
        <v>6.4926562499999999E-4</v>
      </c>
      <c r="I561">
        <v>-0.67290852332609163</v>
      </c>
      <c r="J561">
        <v>-4.3689637296514194E-4</v>
      </c>
      <c r="K561" s="93">
        <f t="shared" si="25"/>
        <v>1</v>
      </c>
      <c r="L561" s="93">
        <f t="shared" si="26"/>
        <v>0</v>
      </c>
      <c r="M561" s="93">
        <f t="shared" si="27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12.713519013710021</v>
      </c>
      <c r="H562">
        <v>4.100625E-4</v>
      </c>
      <c r="I562">
        <v>-0.6545652742545558</v>
      </c>
      <c r="J562">
        <v>-2.684126727740088E-4</v>
      </c>
      <c r="K562" s="93">
        <f t="shared" si="25"/>
        <v>1</v>
      </c>
      <c r="L562" s="93">
        <f t="shared" si="26"/>
        <v>0</v>
      </c>
      <c r="M562" s="93">
        <f t="shared" si="27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10.778853076841109</v>
      </c>
      <c r="H563">
        <v>6.4926562499999999E-4</v>
      </c>
      <c r="I563">
        <v>-0.69816828969785072</v>
      </c>
      <c r="J563">
        <v>-4.5329667096585612E-4</v>
      </c>
      <c r="K563" s="93">
        <f t="shared" si="25"/>
        <v>1</v>
      </c>
      <c r="L563" s="93">
        <f t="shared" si="26"/>
        <v>0</v>
      </c>
      <c r="M563" s="93">
        <f t="shared" si="27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11.884376469337615</v>
      </c>
      <c r="H564">
        <v>1.3706718749999997E-3</v>
      </c>
      <c r="I564">
        <v>-0.67290852332609163</v>
      </c>
      <c r="J564">
        <v>-9.2233678737085509E-4</v>
      </c>
      <c r="K564" s="93">
        <f t="shared" si="25"/>
        <v>1</v>
      </c>
      <c r="L564" s="93">
        <f t="shared" si="26"/>
        <v>0</v>
      </c>
      <c r="M564" s="93">
        <f t="shared" si="27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12.713519013710021</v>
      </c>
      <c r="H565">
        <v>8.6568749999999992E-4</v>
      </c>
      <c r="I565">
        <v>-0.6545652742545558</v>
      </c>
      <c r="J565">
        <v>-5.6664897585624076E-4</v>
      </c>
      <c r="K565" s="93">
        <f t="shared" si="25"/>
        <v>1</v>
      </c>
      <c r="L565" s="93">
        <f t="shared" si="26"/>
        <v>0</v>
      </c>
      <c r="M565" s="93">
        <f t="shared" si="27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10.778853076841109</v>
      </c>
      <c r="H566">
        <v>4.100625E-4</v>
      </c>
      <c r="I566">
        <v>-0.69816828969785072</v>
      </c>
      <c r="J566">
        <v>-2.8629263429422489E-4</v>
      </c>
      <c r="K566" s="93">
        <f t="shared" si="25"/>
        <v>1</v>
      </c>
      <c r="L566" s="93">
        <f t="shared" si="26"/>
        <v>0</v>
      </c>
      <c r="M566" s="93">
        <f t="shared" si="27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11.884376469337615</v>
      </c>
      <c r="H567">
        <v>8.6568749999999992E-4</v>
      </c>
      <c r="I567">
        <v>-0.67290852332609163</v>
      </c>
      <c r="J567">
        <v>-5.8252849728685592E-4</v>
      </c>
      <c r="K567" s="93">
        <f t="shared" si="25"/>
        <v>1</v>
      </c>
      <c r="L567" s="93">
        <f t="shared" si="26"/>
        <v>0</v>
      </c>
      <c r="M567" s="93">
        <f t="shared" si="27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12.713519013710021</v>
      </c>
      <c r="H568">
        <v>5.4674999999999993E-4</v>
      </c>
      <c r="I568">
        <v>-0.6545652742545558</v>
      </c>
      <c r="J568">
        <v>-3.5788356369867831E-4</v>
      </c>
      <c r="K568" s="93">
        <f t="shared" si="25"/>
        <v>1</v>
      </c>
      <c r="L568" s="93">
        <f t="shared" si="26"/>
        <v>0</v>
      </c>
      <c r="M568" s="93">
        <f t="shared" si="27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12.439379396461669</v>
      </c>
      <c r="H569">
        <v>3.652119140625E-4</v>
      </c>
      <c r="I569">
        <v>-0.66057409583422932</v>
      </c>
      <c r="J569">
        <v>-2.412495299197242E-4</v>
      </c>
      <c r="K569" s="93">
        <f t="shared" si="25"/>
        <v>1</v>
      </c>
      <c r="L569" s="93">
        <f t="shared" si="26"/>
        <v>0</v>
      </c>
      <c r="M569" s="93">
        <f t="shared" si="27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13.715213180714144</v>
      </c>
      <c r="H570">
        <v>7.7100292968749996E-4</v>
      </c>
      <c r="I570">
        <v>-0.63307032017101661</v>
      </c>
      <c r="J570">
        <v>-4.8809907155005741E-4</v>
      </c>
      <c r="K570" s="93">
        <f t="shared" si="25"/>
        <v>1</v>
      </c>
      <c r="L570" s="93">
        <f t="shared" si="26"/>
        <v>0</v>
      </c>
      <c r="M570" s="93">
        <f t="shared" si="27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14.672088518903514</v>
      </c>
      <c r="H571">
        <v>4.8694921874999997E-4</v>
      </c>
      <c r="I571">
        <v>-0.6131966364157192</v>
      </c>
      <c r="J571">
        <v>-2.9859562304276226E-4</v>
      </c>
      <c r="K571" s="93">
        <f t="shared" si="25"/>
        <v>1</v>
      </c>
      <c r="L571" s="93">
        <f t="shared" si="26"/>
        <v>0</v>
      </c>
      <c r="M571" s="93">
        <f t="shared" si="27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12.439379396461669</v>
      </c>
      <c r="H572">
        <v>7.7100292968749996E-4</v>
      </c>
      <c r="I572">
        <v>-0.66057409583422932</v>
      </c>
      <c r="J572">
        <v>-5.0930456316386214E-4</v>
      </c>
      <c r="K572" s="93">
        <f t="shared" si="25"/>
        <v>1</v>
      </c>
      <c r="L572" s="93">
        <f t="shared" si="26"/>
        <v>0</v>
      </c>
      <c r="M572" s="93">
        <f t="shared" si="27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13.715213180714144</v>
      </c>
      <c r="H573">
        <v>1.6276728515624999E-3</v>
      </c>
      <c r="I573">
        <v>-0.63307032017101661</v>
      </c>
      <c r="J573">
        <v>-1.0304313732723434E-3</v>
      </c>
      <c r="K573" s="93">
        <f t="shared" si="25"/>
        <v>1</v>
      </c>
      <c r="L573" s="93">
        <f t="shared" si="26"/>
        <v>0</v>
      </c>
      <c r="M573" s="93">
        <f t="shared" si="27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14.672088518903514</v>
      </c>
      <c r="H574">
        <v>1.0280039062499999E-3</v>
      </c>
      <c r="I574">
        <v>-0.6131966364157192</v>
      </c>
      <c r="J574">
        <v>-6.3036853753472026E-4</v>
      </c>
      <c r="K574" s="93">
        <f t="shared" si="25"/>
        <v>1</v>
      </c>
      <c r="L574" s="93">
        <f t="shared" si="26"/>
        <v>0</v>
      </c>
      <c r="M574" s="93">
        <f t="shared" si="27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12.439379396461669</v>
      </c>
      <c r="H575">
        <v>4.8694921874999997E-4</v>
      </c>
      <c r="I575">
        <v>-0.66057409583422932</v>
      </c>
      <c r="J575">
        <v>-3.2166603989296558E-4</v>
      </c>
      <c r="K575" s="93">
        <f t="shared" si="25"/>
        <v>1</v>
      </c>
      <c r="L575" s="93">
        <f t="shared" si="26"/>
        <v>0</v>
      </c>
      <c r="M575" s="93">
        <f t="shared" si="27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13.715213180714144</v>
      </c>
      <c r="H576">
        <v>1.0280039062499999E-3</v>
      </c>
      <c r="I576">
        <v>-0.63307032017101661</v>
      </c>
      <c r="J576">
        <v>-6.5079876206674322E-4</v>
      </c>
      <c r="K576" s="93">
        <f t="shared" si="25"/>
        <v>1</v>
      </c>
      <c r="L576" s="93">
        <f t="shared" si="26"/>
        <v>0</v>
      </c>
      <c r="M576" s="93">
        <f t="shared" si="27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14.672088518903514</v>
      </c>
      <c r="H577">
        <v>6.4926562499999999E-4</v>
      </c>
      <c r="I577">
        <v>-0.6131966364157192</v>
      </c>
      <c r="J577">
        <v>-3.9812749739034968E-4</v>
      </c>
      <c r="K577" s="93">
        <f t="shared" si="25"/>
        <v>1</v>
      </c>
      <c r="L577" s="93">
        <f t="shared" si="26"/>
        <v>0</v>
      </c>
      <c r="M577" s="93">
        <f t="shared" si="27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12.439379396461669</v>
      </c>
      <c r="H578">
        <v>7.7100292968750007E-4</v>
      </c>
      <c r="I578">
        <v>-0.66057409583422932</v>
      </c>
      <c r="J578">
        <v>-5.0930456316386225E-4</v>
      </c>
      <c r="K578" s="93">
        <f t="shared" si="25"/>
        <v>1</v>
      </c>
      <c r="L578" s="93">
        <f t="shared" si="26"/>
        <v>0</v>
      </c>
      <c r="M578" s="93">
        <f t="shared" si="27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13.715213180714144</v>
      </c>
      <c r="H579">
        <v>1.6276728515625001E-3</v>
      </c>
      <c r="I579">
        <v>-0.63307032017101661</v>
      </c>
      <c r="J579">
        <v>-1.0304313732723436E-3</v>
      </c>
      <c r="K579" s="93">
        <f t="shared" ref="K579:K642" si="28">IF(A579=3,1,0)</f>
        <v>1</v>
      </c>
      <c r="L579" s="93">
        <f t="shared" ref="L579:L642" si="29">IF(A579=2,1,0)</f>
        <v>0</v>
      </c>
      <c r="M579" s="93">
        <f t="shared" ref="M579:M642" si="30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14.672088518903514</v>
      </c>
      <c r="H580">
        <v>1.0280039062499999E-3</v>
      </c>
      <c r="I580">
        <v>-0.6131966364157192</v>
      </c>
      <c r="J580">
        <v>-6.3036853753472026E-4</v>
      </c>
      <c r="K580" s="93">
        <f t="shared" si="28"/>
        <v>1</v>
      </c>
      <c r="L580" s="93">
        <f t="shared" si="29"/>
        <v>0</v>
      </c>
      <c r="M580" s="93">
        <f t="shared" si="30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12.439379396461669</v>
      </c>
      <c r="H581">
        <v>1.6276728515624999E-3</v>
      </c>
      <c r="I581">
        <v>-0.66057409583422932</v>
      </c>
      <c r="J581">
        <v>-1.0751985222348201E-3</v>
      </c>
      <c r="K581" s="93">
        <f t="shared" si="28"/>
        <v>1</v>
      </c>
      <c r="L581" s="93">
        <f t="shared" si="29"/>
        <v>0</v>
      </c>
      <c r="M581" s="93">
        <f t="shared" si="30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13.715213180714144</v>
      </c>
      <c r="H582">
        <v>3.4361982421874998E-3</v>
      </c>
      <c r="I582">
        <v>-0.63307032017101661</v>
      </c>
      <c r="J582">
        <v>-2.1753551213527251E-3</v>
      </c>
      <c r="K582" s="93">
        <f t="shared" si="28"/>
        <v>1</v>
      </c>
      <c r="L582" s="93">
        <f t="shared" si="29"/>
        <v>0</v>
      </c>
      <c r="M582" s="93">
        <f t="shared" si="30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14.672088518903514</v>
      </c>
      <c r="H583">
        <v>2.1702304687499997E-3</v>
      </c>
      <c r="I583">
        <v>-0.6131966364157192</v>
      </c>
      <c r="J583">
        <v>-1.3307780236844094E-3</v>
      </c>
      <c r="K583" s="93">
        <f t="shared" si="28"/>
        <v>1</v>
      </c>
      <c r="L583" s="93">
        <f t="shared" si="29"/>
        <v>0</v>
      </c>
      <c r="M583" s="93">
        <f t="shared" si="30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12.439379396461669</v>
      </c>
      <c r="H584">
        <v>1.0280039062499999E-3</v>
      </c>
      <c r="I584">
        <v>-0.66057409583422932</v>
      </c>
      <c r="J584">
        <v>-6.790727508851496E-4</v>
      </c>
      <c r="K584" s="93">
        <f t="shared" si="28"/>
        <v>1</v>
      </c>
      <c r="L584" s="93">
        <f t="shared" si="29"/>
        <v>0</v>
      </c>
      <c r="M584" s="93">
        <f t="shared" si="30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13.715213180714144</v>
      </c>
      <c r="H585">
        <v>2.1702304687499997E-3</v>
      </c>
      <c r="I585">
        <v>-0.63307032017101661</v>
      </c>
      <c r="J585">
        <v>-1.3739084976964577E-3</v>
      </c>
      <c r="K585" s="93">
        <f t="shared" si="28"/>
        <v>1</v>
      </c>
      <c r="L585" s="93">
        <f t="shared" si="29"/>
        <v>0</v>
      </c>
      <c r="M585" s="93">
        <f t="shared" si="30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14.672088518903514</v>
      </c>
      <c r="H586">
        <v>1.3706718749999999E-3</v>
      </c>
      <c r="I586">
        <v>-0.6131966364157192</v>
      </c>
      <c r="J586">
        <v>-8.4049138337962705E-4</v>
      </c>
      <c r="K586" s="93">
        <f t="shared" si="28"/>
        <v>1</v>
      </c>
      <c r="L586" s="93">
        <f t="shared" si="29"/>
        <v>0</v>
      </c>
      <c r="M586" s="93">
        <f t="shared" si="30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12.439379396461669</v>
      </c>
      <c r="H587">
        <v>4.8694921875000008E-4</v>
      </c>
      <c r="I587">
        <v>-0.66057409583422932</v>
      </c>
      <c r="J587">
        <v>-3.2166603989296563E-4</v>
      </c>
      <c r="K587" s="93">
        <f t="shared" si="28"/>
        <v>1</v>
      </c>
      <c r="L587" s="93">
        <f t="shared" si="29"/>
        <v>0</v>
      </c>
      <c r="M587" s="93">
        <f t="shared" si="30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13.715213180714144</v>
      </c>
      <c r="H588">
        <v>1.0280039062500002E-3</v>
      </c>
      <c r="I588">
        <v>-0.63307032017101661</v>
      </c>
      <c r="J588">
        <v>-6.5079876206674333E-4</v>
      </c>
      <c r="K588" s="93">
        <f t="shared" si="28"/>
        <v>1</v>
      </c>
      <c r="L588" s="93">
        <f t="shared" si="29"/>
        <v>0</v>
      </c>
      <c r="M588" s="93">
        <f t="shared" si="30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14.672088518903514</v>
      </c>
      <c r="H589">
        <v>6.492656250000001E-4</v>
      </c>
      <c r="I589">
        <v>-0.6131966364157192</v>
      </c>
      <c r="J589">
        <v>-3.9812749739034974E-4</v>
      </c>
      <c r="K589" s="93">
        <f t="shared" si="28"/>
        <v>1</v>
      </c>
      <c r="L589" s="93">
        <f t="shared" si="29"/>
        <v>0</v>
      </c>
      <c r="M589" s="93">
        <f t="shared" si="30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12.439379396461669</v>
      </c>
      <c r="H590">
        <v>1.0280039062499999E-3</v>
      </c>
      <c r="I590">
        <v>-0.66057409583422932</v>
      </c>
      <c r="J590">
        <v>-6.790727508851496E-4</v>
      </c>
      <c r="K590" s="93">
        <f t="shared" si="28"/>
        <v>1</v>
      </c>
      <c r="L590" s="93">
        <f t="shared" si="29"/>
        <v>0</v>
      </c>
      <c r="M590" s="93">
        <f t="shared" si="30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13.715213180714144</v>
      </c>
      <c r="H591">
        <v>2.1702304687499997E-3</v>
      </c>
      <c r="I591">
        <v>-0.63307032017101661</v>
      </c>
      <c r="J591">
        <v>-1.3739084976964577E-3</v>
      </c>
      <c r="K591" s="93">
        <f t="shared" si="28"/>
        <v>1</v>
      </c>
      <c r="L591" s="93">
        <f t="shared" si="29"/>
        <v>0</v>
      </c>
      <c r="M591" s="93">
        <f t="shared" si="30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14.672088518903514</v>
      </c>
      <c r="H592">
        <v>1.3706718749999999E-3</v>
      </c>
      <c r="I592">
        <v>-0.6131966364157192</v>
      </c>
      <c r="J592">
        <v>-8.4049138337962705E-4</v>
      </c>
      <c r="K592" s="93">
        <f t="shared" si="28"/>
        <v>1</v>
      </c>
      <c r="L592" s="93">
        <f t="shared" si="29"/>
        <v>0</v>
      </c>
      <c r="M592" s="93">
        <f t="shared" si="30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12.439379396461669</v>
      </c>
      <c r="H593">
        <v>6.492656250000001E-4</v>
      </c>
      <c r="I593">
        <v>-0.66057409583422932</v>
      </c>
      <c r="J593">
        <v>-4.2888805319062084E-4</v>
      </c>
      <c r="K593" s="93">
        <f t="shared" si="28"/>
        <v>1</v>
      </c>
      <c r="L593" s="93">
        <f t="shared" si="29"/>
        <v>0</v>
      </c>
      <c r="M593" s="93">
        <f t="shared" si="30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12.439379396461669</v>
      </c>
      <c r="H594">
        <v>1.3706718749999999E-3</v>
      </c>
      <c r="I594">
        <v>-0.66057409583422932</v>
      </c>
      <c r="J594">
        <v>-9.054303345135328E-4</v>
      </c>
      <c r="K594" s="93">
        <f t="shared" si="28"/>
        <v>1</v>
      </c>
      <c r="L594" s="93">
        <f t="shared" si="29"/>
        <v>0</v>
      </c>
      <c r="M594" s="93">
        <f t="shared" si="30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14.672088518903514</v>
      </c>
      <c r="H595">
        <v>8.6568750000000003E-4</v>
      </c>
      <c r="I595">
        <v>-0.6131966364157192</v>
      </c>
      <c r="J595">
        <v>-5.3083666318713295E-4</v>
      </c>
      <c r="K595" s="93">
        <f t="shared" si="28"/>
        <v>1</v>
      </c>
      <c r="L595" s="93">
        <f t="shared" si="29"/>
        <v>0</v>
      </c>
      <c r="M595" s="93">
        <f t="shared" si="30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15.310005411029751</v>
      </c>
      <c r="H596">
        <v>7.7100292968750007E-4</v>
      </c>
      <c r="I596">
        <v>-0.6002953387026132</v>
      </c>
      <c r="J596">
        <v>-4.6282946481746495E-4</v>
      </c>
      <c r="K596" s="93">
        <f t="shared" si="28"/>
        <v>1</v>
      </c>
      <c r="L596" s="93">
        <f t="shared" si="29"/>
        <v>0</v>
      </c>
      <c r="M596" s="93">
        <f t="shared" si="30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16.880262376263577</v>
      </c>
      <c r="H597">
        <v>1.6276728515625001E-3</v>
      </c>
      <c r="I597">
        <v>-0.56968288644265186</v>
      </c>
      <c r="J597">
        <v>-9.2725736826246709E-4</v>
      </c>
      <c r="K597" s="93">
        <f t="shared" si="28"/>
        <v>1</v>
      </c>
      <c r="L597" s="93">
        <f t="shared" si="29"/>
        <v>0</v>
      </c>
      <c r="M597" s="93">
        <f t="shared" si="30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18.057955100188927</v>
      </c>
      <c r="H598">
        <v>1.0280039062499999E-3</v>
      </c>
      <c r="I598">
        <v>-0.54775244507030985</v>
      </c>
      <c r="J598">
        <v>-5.63091653190267E-4</v>
      </c>
      <c r="K598" s="93">
        <f t="shared" si="28"/>
        <v>1</v>
      </c>
      <c r="L598" s="93">
        <f t="shared" si="29"/>
        <v>0</v>
      </c>
      <c r="M598" s="93">
        <f t="shared" si="30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15.310005411029751</v>
      </c>
      <c r="H599">
        <v>1.6276728515624999E-3</v>
      </c>
      <c r="I599">
        <v>-0.6002953387026132</v>
      </c>
      <c r="J599">
        <v>-9.7708442572575914E-4</v>
      </c>
      <c r="K599" s="93">
        <f t="shared" si="28"/>
        <v>1</v>
      </c>
      <c r="L599" s="93">
        <f t="shared" si="29"/>
        <v>0</v>
      </c>
      <c r="M599" s="93">
        <f t="shared" si="30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16.880262376263577</v>
      </c>
      <c r="H600">
        <v>3.4361982421874998E-3</v>
      </c>
      <c r="I600">
        <v>-0.56968288644265186</v>
      </c>
      <c r="J600">
        <v>-1.9575433329985415E-3</v>
      </c>
      <c r="K600" s="93">
        <f t="shared" si="28"/>
        <v>1</v>
      </c>
      <c r="L600" s="93">
        <f t="shared" si="29"/>
        <v>0</v>
      </c>
      <c r="M600" s="93">
        <f t="shared" si="30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18.057955100188927</v>
      </c>
      <c r="H601">
        <v>2.1702304687499997E-3</v>
      </c>
      <c r="I601">
        <v>-0.54775244507030985</v>
      </c>
      <c r="J601">
        <v>-1.188749045623897E-3</v>
      </c>
      <c r="K601" s="93">
        <f t="shared" si="28"/>
        <v>1</v>
      </c>
      <c r="L601" s="93">
        <f t="shared" si="29"/>
        <v>0</v>
      </c>
      <c r="M601" s="93">
        <f t="shared" si="30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15.310005411029751</v>
      </c>
      <c r="H602">
        <v>1.0280039062499999E-3</v>
      </c>
      <c r="I602">
        <v>-0.6002953387026132</v>
      </c>
      <c r="J602">
        <v>-6.1710595308995316E-4</v>
      </c>
      <c r="K602" s="93">
        <f t="shared" si="28"/>
        <v>1</v>
      </c>
      <c r="L602" s="93">
        <f t="shared" si="29"/>
        <v>0</v>
      </c>
      <c r="M602" s="93">
        <f t="shared" si="30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16.880262376263577</v>
      </c>
      <c r="H603">
        <v>2.1702304687499997E-3</v>
      </c>
      <c r="I603">
        <v>-0.56968288644265186</v>
      </c>
      <c r="J603">
        <v>-1.2363431576832892E-3</v>
      </c>
      <c r="K603" s="93">
        <f t="shared" si="28"/>
        <v>1</v>
      </c>
      <c r="L603" s="93">
        <f t="shared" si="29"/>
        <v>0</v>
      </c>
      <c r="M603" s="93">
        <f t="shared" si="30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18.057955100188927</v>
      </c>
      <c r="H604">
        <v>1.3706718749999999E-3</v>
      </c>
      <c r="I604">
        <v>-0.54775244507030985</v>
      </c>
      <c r="J604">
        <v>-7.5078887092035608E-4</v>
      </c>
      <c r="K604" s="93">
        <f t="shared" si="28"/>
        <v>1</v>
      </c>
      <c r="L604" s="93">
        <f t="shared" si="29"/>
        <v>0</v>
      </c>
      <c r="M604" s="93">
        <f t="shared" si="30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15.310005411029751</v>
      </c>
      <c r="H605">
        <v>1.6276728515624997E-3</v>
      </c>
      <c r="I605">
        <v>-0.6002953387026132</v>
      </c>
      <c r="J605">
        <v>-9.7708442572575892E-4</v>
      </c>
      <c r="K605" s="93">
        <f t="shared" si="28"/>
        <v>1</v>
      </c>
      <c r="L605" s="93">
        <f t="shared" si="29"/>
        <v>0</v>
      </c>
      <c r="M605" s="93">
        <f t="shared" si="30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16.880262376263577</v>
      </c>
      <c r="H606">
        <v>3.4361982421874993E-3</v>
      </c>
      <c r="I606">
        <v>-0.56968288644265186</v>
      </c>
      <c r="J606">
        <v>-1.957543332998541E-3</v>
      </c>
      <c r="K606" s="93">
        <f t="shared" si="28"/>
        <v>1</v>
      </c>
      <c r="L606" s="93">
        <f t="shared" si="29"/>
        <v>0</v>
      </c>
      <c r="M606" s="93">
        <f t="shared" si="30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18.057955100188927</v>
      </c>
      <c r="H607">
        <v>2.1702304687499993E-3</v>
      </c>
      <c r="I607">
        <v>-0.54775244507030985</v>
      </c>
      <c r="J607">
        <v>-1.1887490456238968E-3</v>
      </c>
      <c r="K607" s="93">
        <f t="shared" si="28"/>
        <v>1</v>
      </c>
      <c r="L607" s="93">
        <f t="shared" si="29"/>
        <v>0</v>
      </c>
      <c r="M607" s="93">
        <f t="shared" si="30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15.310005411029751</v>
      </c>
      <c r="H608">
        <v>3.4361982421874993E-3</v>
      </c>
      <c r="I608">
        <v>-0.6002953387026132</v>
      </c>
      <c r="J608">
        <v>-2.0627337876432689E-3</v>
      </c>
      <c r="K608" s="93">
        <f t="shared" si="28"/>
        <v>1</v>
      </c>
      <c r="L608" s="93">
        <f t="shared" si="29"/>
        <v>0</v>
      </c>
      <c r="M608" s="93">
        <f t="shared" si="30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16.880262376263577</v>
      </c>
      <c r="H609">
        <v>7.254196289062498E-3</v>
      </c>
      <c r="I609">
        <v>-0.56968288644265186</v>
      </c>
      <c r="J609">
        <v>-4.1325914807746975E-3</v>
      </c>
      <c r="K609" s="93">
        <f t="shared" si="28"/>
        <v>1</v>
      </c>
      <c r="L609" s="93">
        <f t="shared" si="29"/>
        <v>0</v>
      </c>
      <c r="M609" s="93">
        <f t="shared" si="30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18.057955100188927</v>
      </c>
      <c r="H610">
        <v>4.5815976562499985E-3</v>
      </c>
      <c r="I610">
        <v>-0.54775244507030985</v>
      </c>
      <c r="J610">
        <v>-2.5095813185393376E-3</v>
      </c>
      <c r="K610" s="93">
        <f t="shared" si="28"/>
        <v>1</v>
      </c>
      <c r="L610" s="93">
        <f t="shared" si="29"/>
        <v>0</v>
      </c>
      <c r="M610" s="93">
        <f t="shared" si="30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15.310005411029751</v>
      </c>
      <c r="H611">
        <v>2.1702304687499997E-3</v>
      </c>
      <c r="I611">
        <v>-0.6002953387026132</v>
      </c>
      <c r="J611">
        <v>-1.3027792343010122E-3</v>
      </c>
      <c r="K611" s="93">
        <f t="shared" si="28"/>
        <v>1</v>
      </c>
      <c r="L611" s="93">
        <f t="shared" si="29"/>
        <v>0</v>
      </c>
      <c r="M611" s="93">
        <f t="shared" si="30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16.880262376263577</v>
      </c>
      <c r="H612">
        <v>4.5815976562499994E-3</v>
      </c>
      <c r="I612">
        <v>-0.56968288644265186</v>
      </c>
      <c r="J612">
        <v>-2.6100577773313883E-3</v>
      </c>
      <c r="K612" s="93">
        <f t="shared" si="28"/>
        <v>1</v>
      </c>
      <c r="L612" s="93">
        <f t="shared" si="29"/>
        <v>0</v>
      </c>
      <c r="M612" s="93">
        <f t="shared" si="30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18.057955100188927</v>
      </c>
      <c r="H613">
        <v>2.8936406249999995E-3</v>
      </c>
      <c r="I613">
        <v>-0.54775244507030985</v>
      </c>
      <c r="J613">
        <v>-1.5849987274985293E-3</v>
      </c>
      <c r="K613" s="93">
        <f t="shared" si="28"/>
        <v>1</v>
      </c>
      <c r="L613" s="93">
        <f t="shared" si="29"/>
        <v>0</v>
      </c>
      <c r="M613" s="93">
        <f t="shared" si="30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15.310005411029751</v>
      </c>
      <c r="H614">
        <v>1.0280039062499999E-3</v>
      </c>
      <c r="I614">
        <v>-0.6002953387026132</v>
      </c>
      <c r="J614">
        <v>-6.1710595308995316E-4</v>
      </c>
      <c r="K614" s="93">
        <f t="shared" si="28"/>
        <v>1</v>
      </c>
      <c r="L614" s="93">
        <f t="shared" si="29"/>
        <v>0</v>
      </c>
      <c r="M614" s="93">
        <f t="shared" si="30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16.880262376263577</v>
      </c>
      <c r="H615">
        <v>2.1702304687499997E-3</v>
      </c>
      <c r="I615">
        <v>-0.56968288644265186</v>
      </c>
      <c r="J615">
        <v>-1.2363431576832892E-3</v>
      </c>
      <c r="K615" s="93">
        <f t="shared" si="28"/>
        <v>1</v>
      </c>
      <c r="L615" s="93">
        <f t="shared" si="29"/>
        <v>0</v>
      </c>
      <c r="M615" s="93">
        <f t="shared" si="30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18.057955100188927</v>
      </c>
      <c r="H616">
        <v>1.3706718749999999E-3</v>
      </c>
      <c r="I616">
        <v>-0.54775244507030985</v>
      </c>
      <c r="J616">
        <v>-7.5078887092035608E-4</v>
      </c>
      <c r="K616" s="93">
        <f t="shared" si="28"/>
        <v>1</v>
      </c>
      <c r="L616" s="93">
        <f t="shared" si="29"/>
        <v>0</v>
      </c>
      <c r="M616" s="93">
        <f t="shared" si="30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15.310005411029751</v>
      </c>
      <c r="H617">
        <v>2.1702304687499997E-3</v>
      </c>
      <c r="I617">
        <v>-0.6002953387026132</v>
      </c>
      <c r="J617">
        <v>-1.3027792343010122E-3</v>
      </c>
      <c r="K617" s="93">
        <f t="shared" si="28"/>
        <v>1</v>
      </c>
      <c r="L617" s="93">
        <f t="shared" si="29"/>
        <v>0</v>
      </c>
      <c r="M617" s="93">
        <f t="shared" si="30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16.880262376263577</v>
      </c>
      <c r="H618">
        <v>4.5815976562499994E-3</v>
      </c>
      <c r="I618">
        <v>-0.56968288644265186</v>
      </c>
      <c r="J618">
        <v>-2.6100577773313883E-3</v>
      </c>
      <c r="K618" s="93">
        <f t="shared" si="28"/>
        <v>1</v>
      </c>
      <c r="L618" s="93">
        <f t="shared" si="29"/>
        <v>0</v>
      </c>
      <c r="M618" s="93">
        <f t="shared" si="30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18.057955100188927</v>
      </c>
      <c r="H619">
        <v>2.8936406249999995E-3</v>
      </c>
      <c r="I619">
        <v>-0.54775244507030985</v>
      </c>
      <c r="J619">
        <v>-1.5849987274985293E-3</v>
      </c>
      <c r="K619" s="93">
        <f t="shared" si="28"/>
        <v>1</v>
      </c>
      <c r="L619" s="93">
        <f t="shared" si="29"/>
        <v>0</v>
      </c>
      <c r="M619" s="93">
        <f t="shared" si="30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15.310005411029751</v>
      </c>
      <c r="H620">
        <v>1.3706718749999999E-3</v>
      </c>
      <c r="I620">
        <v>-0.6002953387026132</v>
      </c>
      <c r="J620">
        <v>-8.2280793745327088E-4</v>
      </c>
      <c r="K620" s="93">
        <f t="shared" si="28"/>
        <v>1</v>
      </c>
      <c r="L620" s="93">
        <f t="shared" si="29"/>
        <v>0</v>
      </c>
      <c r="M620" s="93">
        <f t="shared" si="30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16.880262376263577</v>
      </c>
      <c r="H621">
        <v>2.8936406249999995E-3</v>
      </c>
      <c r="I621">
        <v>-0.56968288644265186</v>
      </c>
      <c r="J621">
        <v>-1.648457543577719E-3</v>
      </c>
      <c r="K621" s="93">
        <f t="shared" si="28"/>
        <v>1</v>
      </c>
      <c r="L621" s="93">
        <f t="shared" si="29"/>
        <v>0</v>
      </c>
      <c r="M621" s="93">
        <f t="shared" si="30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18.057955100188927</v>
      </c>
      <c r="H622">
        <v>1.8275624999999998E-3</v>
      </c>
      <c r="I622">
        <v>-0.54775244507030985</v>
      </c>
      <c r="J622">
        <v>-1.001051827893808E-3</v>
      </c>
      <c r="K622" s="93">
        <f t="shared" si="28"/>
        <v>1</v>
      </c>
      <c r="L622" s="93">
        <f t="shared" si="29"/>
        <v>0</v>
      </c>
      <c r="M622" s="93">
        <f t="shared" si="30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17.223756087408475</v>
      </c>
      <c r="H623">
        <v>4.8694921874999997E-4</v>
      </c>
      <c r="I623">
        <v>-0.56319733676004158</v>
      </c>
      <c r="J623">
        <v>-2.7424850313738288E-4</v>
      </c>
      <c r="K623" s="93">
        <f t="shared" si="28"/>
        <v>1</v>
      </c>
      <c r="L623" s="93">
        <f t="shared" si="29"/>
        <v>0</v>
      </c>
      <c r="M623" s="93">
        <f t="shared" si="30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18.990295173296527</v>
      </c>
      <c r="H624">
        <v>1.0280039062499999E-3</v>
      </c>
      <c r="I624">
        <v>-0.53099119536569339</v>
      </c>
      <c r="J624">
        <v>-5.4586102302028969E-4</v>
      </c>
      <c r="K624" s="93">
        <f t="shared" si="28"/>
        <v>1</v>
      </c>
      <c r="L624" s="93">
        <f t="shared" si="29"/>
        <v>0</v>
      </c>
      <c r="M624" s="93">
        <f t="shared" si="30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20.315199487712544</v>
      </c>
      <c r="H625">
        <v>6.4926562499999999E-4</v>
      </c>
      <c r="I625">
        <v>-0.50805106426078062</v>
      </c>
      <c r="J625">
        <v>-3.298600917691909E-4</v>
      </c>
      <c r="K625" s="93">
        <f t="shared" si="28"/>
        <v>1</v>
      </c>
      <c r="L625" s="93">
        <f t="shared" si="29"/>
        <v>0</v>
      </c>
      <c r="M625" s="93">
        <f t="shared" si="30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17.223756087408475</v>
      </c>
      <c r="H626">
        <v>1.0280039062499999E-3</v>
      </c>
      <c r="I626">
        <v>-0.56319733676004158</v>
      </c>
      <c r="J626">
        <v>-5.7896906217891938E-4</v>
      </c>
      <c r="K626" s="93">
        <f t="shared" si="28"/>
        <v>1</v>
      </c>
      <c r="L626" s="93">
        <f t="shared" si="29"/>
        <v>0</v>
      </c>
      <c r="M626" s="93">
        <f t="shared" si="30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18.990295173296527</v>
      </c>
      <c r="H627">
        <v>2.1702304687499993E-3</v>
      </c>
      <c r="I627">
        <v>-0.53099119536569339</v>
      </c>
      <c r="J627">
        <v>-1.1523732708206113E-3</v>
      </c>
      <c r="K627" s="93">
        <f t="shared" si="28"/>
        <v>1</v>
      </c>
      <c r="L627" s="93">
        <f t="shared" si="29"/>
        <v>0</v>
      </c>
      <c r="M627" s="93">
        <f t="shared" si="30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20.315199487712544</v>
      </c>
      <c r="H628">
        <v>1.3706718749999997E-3</v>
      </c>
      <c r="I628">
        <v>-0.50805106426078062</v>
      </c>
      <c r="J628">
        <v>-6.9637130484606949E-4</v>
      </c>
      <c r="K628" s="93">
        <f t="shared" si="28"/>
        <v>1</v>
      </c>
      <c r="L628" s="93">
        <f t="shared" si="29"/>
        <v>0</v>
      </c>
      <c r="M628" s="93">
        <f t="shared" si="30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17.223756087408475</v>
      </c>
      <c r="H629">
        <v>6.4926562499999999E-4</v>
      </c>
      <c r="I629">
        <v>-0.56319733676004158</v>
      </c>
      <c r="J629">
        <v>-3.6566467084984386E-4</v>
      </c>
      <c r="K629" s="93">
        <f t="shared" si="28"/>
        <v>1</v>
      </c>
      <c r="L629" s="93">
        <f t="shared" si="29"/>
        <v>0</v>
      </c>
      <c r="M629" s="93">
        <f t="shared" si="30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18.990295173296527</v>
      </c>
      <c r="H630">
        <v>1.3706718749999997E-3</v>
      </c>
      <c r="I630">
        <v>-0.53099119536569339</v>
      </c>
      <c r="J630">
        <v>-7.2781469736038615E-4</v>
      </c>
      <c r="K630" s="93">
        <f t="shared" si="28"/>
        <v>1</v>
      </c>
      <c r="L630" s="93">
        <f t="shared" si="29"/>
        <v>0</v>
      </c>
      <c r="M630" s="93">
        <f t="shared" si="30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20.315199487712544</v>
      </c>
      <c r="H631">
        <v>8.6568749999999992E-4</v>
      </c>
      <c r="I631">
        <v>-0.50805106426078062</v>
      </c>
      <c r="J631">
        <v>-4.3981345569225449E-4</v>
      </c>
      <c r="K631" s="93">
        <f t="shared" si="28"/>
        <v>1</v>
      </c>
      <c r="L631" s="93">
        <f t="shared" si="29"/>
        <v>0</v>
      </c>
      <c r="M631" s="93">
        <f t="shared" si="30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17.223756087408475</v>
      </c>
      <c r="H632">
        <v>1.0280039062499999E-3</v>
      </c>
      <c r="I632">
        <v>-0.56319733676004158</v>
      </c>
      <c r="J632">
        <v>-5.7896906217891938E-4</v>
      </c>
      <c r="K632" s="93">
        <f t="shared" si="28"/>
        <v>1</v>
      </c>
      <c r="L632" s="93">
        <f t="shared" si="29"/>
        <v>0</v>
      </c>
      <c r="M632" s="93">
        <f t="shared" si="30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18.990295173296527</v>
      </c>
      <c r="H633">
        <v>2.1702304687499997E-3</v>
      </c>
      <c r="I633">
        <v>-0.53099119536569339</v>
      </c>
      <c r="J633">
        <v>-1.1523732708206115E-3</v>
      </c>
      <c r="K633" s="93">
        <f t="shared" si="28"/>
        <v>1</v>
      </c>
      <c r="L633" s="93">
        <f t="shared" si="29"/>
        <v>0</v>
      </c>
      <c r="M633" s="93">
        <f t="shared" si="30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20.315199487712544</v>
      </c>
      <c r="H634">
        <v>1.3706718749999999E-3</v>
      </c>
      <c r="I634">
        <v>-0.50805106426078062</v>
      </c>
      <c r="J634">
        <v>-6.963713048460696E-4</v>
      </c>
      <c r="K634" s="93">
        <f t="shared" si="28"/>
        <v>1</v>
      </c>
      <c r="L634" s="93">
        <f t="shared" si="29"/>
        <v>0</v>
      </c>
      <c r="M634" s="93">
        <f t="shared" si="30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17.223756087408475</v>
      </c>
      <c r="H635">
        <v>2.1702304687499997E-3</v>
      </c>
      <c r="I635">
        <v>-0.56319733676004158</v>
      </c>
      <c r="J635">
        <v>-1.2222680201554965E-3</v>
      </c>
      <c r="K635" s="93">
        <f t="shared" si="28"/>
        <v>1</v>
      </c>
      <c r="L635" s="93">
        <f t="shared" si="29"/>
        <v>0</v>
      </c>
      <c r="M635" s="93">
        <f t="shared" si="30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18.990295173296527</v>
      </c>
      <c r="H636">
        <v>4.5815976562499994E-3</v>
      </c>
      <c r="I636">
        <v>-0.53099119536569339</v>
      </c>
      <c r="J636">
        <v>-2.4327880161768463E-3</v>
      </c>
      <c r="K636" s="93">
        <f t="shared" si="28"/>
        <v>1</v>
      </c>
      <c r="L636" s="93">
        <f t="shared" si="29"/>
        <v>0</v>
      </c>
      <c r="M636" s="93">
        <f t="shared" si="30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20.315199487712544</v>
      </c>
      <c r="H637">
        <v>2.8936406249999995E-3</v>
      </c>
      <c r="I637">
        <v>-0.50805106426078062</v>
      </c>
      <c r="J637">
        <v>-1.4701171991194802E-3</v>
      </c>
      <c r="K637" s="93">
        <f t="shared" si="28"/>
        <v>1</v>
      </c>
      <c r="L637" s="93">
        <f t="shared" si="29"/>
        <v>0</v>
      </c>
      <c r="M637" s="93">
        <f t="shared" si="30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17.223756087408475</v>
      </c>
      <c r="H638">
        <v>1.3706718749999999E-3</v>
      </c>
      <c r="I638">
        <v>-0.56319733676004158</v>
      </c>
      <c r="J638">
        <v>-7.7195874957189262E-4</v>
      </c>
      <c r="K638" s="93">
        <f t="shared" si="28"/>
        <v>1</v>
      </c>
      <c r="L638" s="93">
        <f t="shared" si="29"/>
        <v>0</v>
      </c>
      <c r="M638" s="93">
        <f t="shared" si="30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18.990295173296527</v>
      </c>
      <c r="H639">
        <v>2.8936406249999995E-3</v>
      </c>
      <c r="I639">
        <v>-0.53099119536569339</v>
      </c>
      <c r="J639">
        <v>-1.5364976944274818E-3</v>
      </c>
      <c r="K639" s="93">
        <f t="shared" si="28"/>
        <v>1</v>
      </c>
      <c r="L639" s="93">
        <f t="shared" si="29"/>
        <v>0</v>
      </c>
      <c r="M639" s="93">
        <f t="shared" si="30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20.315199487712544</v>
      </c>
      <c r="H640">
        <v>1.8275624999999998E-3</v>
      </c>
      <c r="I640">
        <v>-0.50805106426078062</v>
      </c>
      <c r="J640">
        <v>-9.2849507312809277E-4</v>
      </c>
      <c r="K640" s="93">
        <f t="shared" si="28"/>
        <v>1</v>
      </c>
      <c r="L640" s="93">
        <f t="shared" si="29"/>
        <v>0</v>
      </c>
      <c r="M640" s="93">
        <f t="shared" si="30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17.223756087408475</v>
      </c>
      <c r="H641">
        <v>6.4926562499999999E-4</v>
      </c>
      <c r="I641">
        <v>-0.56319733676004158</v>
      </c>
      <c r="J641">
        <v>-3.6566467084984386E-4</v>
      </c>
      <c r="K641" s="93">
        <f t="shared" si="28"/>
        <v>1</v>
      </c>
      <c r="L641" s="93">
        <f t="shared" si="29"/>
        <v>0</v>
      </c>
      <c r="M641" s="93">
        <f t="shared" si="30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18.990295173296527</v>
      </c>
      <c r="H642">
        <v>1.3706718749999997E-3</v>
      </c>
      <c r="I642">
        <v>-0.53099119536569339</v>
      </c>
      <c r="J642">
        <v>-7.2781469736038615E-4</v>
      </c>
      <c r="K642" s="93">
        <f t="shared" si="28"/>
        <v>1</v>
      </c>
      <c r="L642" s="93">
        <f t="shared" si="29"/>
        <v>0</v>
      </c>
      <c r="M642" s="93">
        <f t="shared" si="30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20.315199487712544</v>
      </c>
      <c r="H643">
        <v>8.6568749999999992E-4</v>
      </c>
      <c r="I643">
        <v>-0.50805106426078062</v>
      </c>
      <c r="J643">
        <v>-4.3981345569225449E-4</v>
      </c>
      <c r="K643" s="93">
        <f t="shared" ref="K643:K706" si="31">IF(A643=3,1,0)</f>
        <v>1</v>
      </c>
      <c r="L643" s="93">
        <f t="shared" ref="L643:L706" si="32">IF(A643=2,1,0)</f>
        <v>0</v>
      </c>
      <c r="M643" s="93">
        <f t="shared" ref="M643:M706" si="33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17.223756087408475</v>
      </c>
      <c r="H644">
        <v>1.3706718749999997E-3</v>
      </c>
      <c r="I644">
        <v>-0.56319733676004158</v>
      </c>
      <c r="J644">
        <v>-7.719587495718924E-4</v>
      </c>
      <c r="K644" s="93">
        <f t="shared" si="31"/>
        <v>1</v>
      </c>
      <c r="L644" s="93">
        <f t="shared" si="32"/>
        <v>0</v>
      </c>
      <c r="M644" s="93">
        <f t="shared" si="33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18.990295173296527</v>
      </c>
      <c r="H645">
        <v>2.8936406249999991E-3</v>
      </c>
      <c r="I645">
        <v>-0.53099119536569339</v>
      </c>
      <c r="J645">
        <v>-1.5364976944274816E-3</v>
      </c>
      <c r="K645" s="93">
        <f t="shared" si="31"/>
        <v>1</v>
      </c>
      <c r="L645" s="93">
        <f t="shared" si="32"/>
        <v>0</v>
      </c>
      <c r="M645" s="93">
        <f t="shared" si="33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20.315199487712544</v>
      </c>
      <c r="H646">
        <v>1.8275624999999993E-3</v>
      </c>
      <c r="I646">
        <v>-0.50805106426078062</v>
      </c>
      <c r="J646">
        <v>-9.2849507312809255E-4</v>
      </c>
      <c r="K646" s="93">
        <f t="shared" si="31"/>
        <v>1</v>
      </c>
      <c r="L646" s="93">
        <f t="shared" si="32"/>
        <v>0</v>
      </c>
      <c r="M646" s="93">
        <f t="shared" si="33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17.223756087408475</v>
      </c>
      <c r="H647">
        <v>8.6568749999999992E-4</v>
      </c>
      <c r="I647">
        <v>-0.56319733676004158</v>
      </c>
      <c r="J647">
        <v>-4.8755289446645846E-4</v>
      </c>
      <c r="K647" s="93">
        <f t="shared" si="31"/>
        <v>1</v>
      </c>
      <c r="L647" s="93">
        <f t="shared" si="32"/>
        <v>0</v>
      </c>
      <c r="M647" s="93">
        <f t="shared" si="33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18.990295173296527</v>
      </c>
      <c r="H648">
        <v>1.8275624999999995E-3</v>
      </c>
      <c r="I648">
        <v>-0.53099119536569339</v>
      </c>
      <c r="J648">
        <v>-9.7041959648051475E-4</v>
      </c>
      <c r="K648" s="93">
        <f t="shared" si="31"/>
        <v>1</v>
      </c>
      <c r="L648" s="93">
        <f t="shared" si="32"/>
        <v>0</v>
      </c>
      <c r="M648" s="93">
        <f t="shared" si="33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20.315199487712544</v>
      </c>
      <c r="H649">
        <v>1.1542499999999997E-3</v>
      </c>
      <c r="I649">
        <v>-0.50805106426078062</v>
      </c>
      <c r="J649">
        <v>-5.8641794092300584E-4</v>
      </c>
      <c r="K649" s="93">
        <f t="shared" si="31"/>
        <v>1</v>
      </c>
      <c r="L649" s="93">
        <f t="shared" si="32"/>
        <v>0</v>
      </c>
      <c r="M649" s="93">
        <f t="shared" si="33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13.520355499841669</v>
      </c>
      <c r="H650">
        <v>2.3066015625000002E-4</v>
      </c>
      <c r="I650">
        <v>-0.63719565704110959</v>
      </c>
      <c r="J650">
        <v>-1.4697564981492375E-4</v>
      </c>
      <c r="K650" s="93">
        <f t="shared" si="31"/>
        <v>1</v>
      </c>
      <c r="L650" s="93">
        <f t="shared" si="32"/>
        <v>0</v>
      </c>
      <c r="M650" s="93">
        <f t="shared" si="33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14.907058628030558</v>
      </c>
      <c r="H651">
        <v>4.8694921874999997E-4</v>
      </c>
      <c r="I651">
        <v>-0.60841263314911365</v>
      </c>
      <c r="J651">
        <v>-2.9626605638959124E-4</v>
      </c>
      <c r="K651" s="93">
        <f t="shared" si="31"/>
        <v>1</v>
      </c>
      <c r="L651" s="93">
        <f t="shared" si="32"/>
        <v>0</v>
      </c>
      <c r="M651" s="93">
        <f t="shared" si="33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15.947085974172223</v>
      </c>
      <c r="H652">
        <v>3.0754687499999999E-4</v>
      </c>
      <c r="I652">
        <v>-0.58768185968008513</v>
      </c>
      <c r="J652">
        <v>-1.8073971943879867E-4</v>
      </c>
      <c r="K652" s="93">
        <f t="shared" si="31"/>
        <v>1</v>
      </c>
      <c r="L652" s="93">
        <f t="shared" si="32"/>
        <v>0</v>
      </c>
      <c r="M652" s="93">
        <f t="shared" si="33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13.520355499841669</v>
      </c>
      <c r="H653">
        <v>4.8694921874999997E-4</v>
      </c>
      <c r="I653">
        <v>-0.63719565704110959</v>
      </c>
      <c r="J653">
        <v>-3.1028192738706122E-4</v>
      </c>
      <c r="K653" s="93">
        <f t="shared" si="31"/>
        <v>1</v>
      </c>
      <c r="L653" s="93">
        <f t="shared" si="32"/>
        <v>0</v>
      </c>
      <c r="M653" s="93">
        <f t="shared" si="33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14.907058628030558</v>
      </c>
      <c r="H654">
        <v>1.0280039062499999E-3</v>
      </c>
      <c r="I654">
        <v>-0.60841263314911365</v>
      </c>
      <c r="J654">
        <v>-6.2545056348913702E-4</v>
      </c>
      <c r="K654" s="93">
        <f t="shared" si="31"/>
        <v>1</v>
      </c>
      <c r="L654" s="93">
        <f t="shared" si="32"/>
        <v>0</v>
      </c>
      <c r="M654" s="93">
        <f t="shared" si="33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15.947085974172223</v>
      </c>
      <c r="H655">
        <v>6.4926562499999999E-4</v>
      </c>
      <c r="I655">
        <v>-0.58768185968008513</v>
      </c>
      <c r="J655">
        <v>-3.8156162992635277E-4</v>
      </c>
      <c r="K655" s="93">
        <f t="shared" si="31"/>
        <v>1</v>
      </c>
      <c r="L655" s="93">
        <f t="shared" si="32"/>
        <v>0</v>
      </c>
      <c r="M655" s="93">
        <f t="shared" si="33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13.520355499841669</v>
      </c>
      <c r="H656">
        <v>3.0754687500000004E-4</v>
      </c>
      <c r="I656">
        <v>-0.63719565704110959</v>
      </c>
      <c r="J656">
        <v>-1.9596753308656503E-4</v>
      </c>
      <c r="K656" s="93">
        <f t="shared" si="31"/>
        <v>1</v>
      </c>
      <c r="L656" s="93">
        <f t="shared" si="32"/>
        <v>0</v>
      </c>
      <c r="M656" s="93">
        <f t="shared" si="33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14.907058628030558</v>
      </c>
      <c r="H657">
        <v>6.4926562499999999E-4</v>
      </c>
      <c r="I657">
        <v>-0.60841263314911365</v>
      </c>
      <c r="J657">
        <v>-3.9502140851945498E-4</v>
      </c>
      <c r="K657" s="93">
        <f t="shared" si="31"/>
        <v>1</v>
      </c>
      <c r="L657" s="93">
        <f t="shared" si="32"/>
        <v>0</v>
      </c>
      <c r="M657" s="93">
        <f t="shared" si="33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15.947085974172223</v>
      </c>
      <c r="H658">
        <v>4.100625E-4</v>
      </c>
      <c r="I658">
        <v>-0.58768185968008513</v>
      </c>
      <c r="J658">
        <v>-2.409862925850649E-4</v>
      </c>
      <c r="K658" s="93">
        <f t="shared" si="31"/>
        <v>1</v>
      </c>
      <c r="L658" s="93">
        <f t="shared" si="32"/>
        <v>0</v>
      </c>
      <c r="M658" s="93">
        <f t="shared" si="33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13.520355499841669</v>
      </c>
      <c r="H659">
        <v>4.8694921875000008E-4</v>
      </c>
      <c r="I659">
        <v>-0.63719565704110959</v>
      </c>
      <c r="J659">
        <v>-3.1028192738706128E-4</v>
      </c>
      <c r="K659" s="93">
        <f t="shared" si="31"/>
        <v>1</v>
      </c>
      <c r="L659" s="93">
        <f t="shared" si="32"/>
        <v>0</v>
      </c>
      <c r="M659" s="93">
        <f t="shared" si="33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14.907058628030558</v>
      </c>
      <c r="H660">
        <v>1.0280039062500002E-3</v>
      </c>
      <c r="I660">
        <v>-0.60841263314911365</v>
      </c>
      <c r="J660">
        <v>-6.2545056348913713E-4</v>
      </c>
      <c r="K660" s="93">
        <f t="shared" si="31"/>
        <v>1</v>
      </c>
      <c r="L660" s="93">
        <f t="shared" si="32"/>
        <v>0</v>
      </c>
      <c r="M660" s="93">
        <f t="shared" si="33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15.947085974172223</v>
      </c>
      <c r="H661">
        <v>6.492656250000001E-4</v>
      </c>
      <c r="I661">
        <v>-0.58768185968008513</v>
      </c>
      <c r="J661">
        <v>-3.8156162992635282E-4</v>
      </c>
      <c r="K661" s="93">
        <f t="shared" si="31"/>
        <v>1</v>
      </c>
      <c r="L661" s="93">
        <f t="shared" si="32"/>
        <v>0</v>
      </c>
      <c r="M661" s="93">
        <f t="shared" si="33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13.520355499841669</v>
      </c>
      <c r="H662">
        <v>1.0280039062499999E-3</v>
      </c>
      <c r="I662">
        <v>-0.63719565704110959</v>
      </c>
      <c r="J662">
        <v>-6.5503962448379589E-4</v>
      </c>
      <c r="K662" s="93">
        <f t="shared" si="31"/>
        <v>1</v>
      </c>
      <c r="L662" s="93">
        <f t="shared" si="32"/>
        <v>0</v>
      </c>
      <c r="M662" s="93">
        <f t="shared" si="33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14.907058628030558</v>
      </c>
      <c r="H663">
        <v>2.1702304687499997E-3</v>
      </c>
      <c r="I663">
        <v>-0.60841263314911365</v>
      </c>
      <c r="J663">
        <v>-1.3203956340326224E-3</v>
      </c>
      <c r="K663" s="93">
        <f t="shared" si="31"/>
        <v>1</v>
      </c>
      <c r="L663" s="93">
        <f t="shared" si="32"/>
        <v>0</v>
      </c>
      <c r="M663" s="93">
        <f t="shared" si="33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15.947085974172223</v>
      </c>
      <c r="H664">
        <v>1.3706718749999999E-3</v>
      </c>
      <c r="I664">
        <v>-0.58768185968008513</v>
      </c>
      <c r="J664">
        <v>-8.0551899651118918E-4</v>
      </c>
      <c r="K664" s="93">
        <f t="shared" si="31"/>
        <v>1</v>
      </c>
      <c r="L664" s="93">
        <f t="shared" si="32"/>
        <v>0</v>
      </c>
      <c r="M664" s="93">
        <f t="shared" si="33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13.520355499841669</v>
      </c>
      <c r="H665">
        <v>6.492656250000001E-4</v>
      </c>
      <c r="I665">
        <v>-0.63719565704110959</v>
      </c>
      <c r="J665">
        <v>-4.1370923651608174E-4</v>
      </c>
      <c r="K665" s="93">
        <f t="shared" si="31"/>
        <v>1</v>
      </c>
      <c r="L665" s="93">
        <f t="shared" si="32"/>
        <v>0</v>
      </c>
      <c r="M665" s="93">
        <f t="shared" si="33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14.907058628030558</v>
      </c>
      <c r="H666">
        <v>1.3706718749999999E-3</v>
      </c>
      <c r="I666">
        <v>-0.60841263314911365</v>
      </c>
      <c r="J666">
        <v>-8.3393408465218277E-4</v>
      </c>
      <c r="K666" s="93">
        <f t="shared" si="31"/>
        <v>1</v>
      </c>
      <c r="L666" s="93">
        <f t="shared" si="32"/>
        <v>0</v>
      </c>
      <c r="M666" s="93">
        <f t="shared" si="33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15.947085974172223</v>
      </c>
      <c r="H667">
        <v>8.6568750000000003E-4</v>
      </c>
      <c r="I667">
        <v>-0.58768185968008513</v>
      </c>
      <c r="J667">
        <v>-5.0874883990180376E-4</v>
      </c>
      <c r="K667" s="93">
        <f t="shared" si="31"/>
        <v>1</v>
      </c>
      <c r="L667" s="93">
        <f t="shared" si="32"/>
        <v>0</v>
      </c>
      <c r="M667" s="93">
        <f t="shared" si="33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13.520355499841669</v>
      </c>
      <c r="H668">
        <v>3.0754687500000004E-4</v>
      </c>
      <c r="I668">
        <v>-0.63719565704110959</v>
      </c>
      <c r="J668">
        <v>-1.9596753308656503E-4</v>
      </c>
      <c r="K668" s="93">
        <f t="shared" si="31"/>
        <v>1</v>
      </c>
      <c r="L668" s="93">
        <f t="shared" si="32"/>
        <v>0</v>
      </c>
      <c r="M668" s="93">
        <f t="shared" si="33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14.907058628030558</v>
      </c>
      <c r="H669">
        <v>6.4926562499999999E-4</v>
      </c>
      <c r="I669">
        <v>-0.60841263314911365</v>
      </c>
      <c r="J669">
        <v>-3.9502140851945498E-4</v>
      </c>
      <c r="K669" s="93">
        <f t="shared" si="31"/>
        <v>1</v>
      </c>
      <c r="L669" s="93">
        <f t="shared" si="32"/>
        <v>0</v>
      </c>
      <c r="M669" s="93">
        <f t="shared" si="33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15.947085974172223</v>
      </c>
      <c r="H670">
        <v>4.100625E-4</v>
      </c>
      <c r="I670">
        <v>-0.58768185968008513</v>
      </c>
      <c r="J670">
        <v>-2.409862925850649E-4</v>
      </c>
      <c r="K670" s="93">
        <f t="shared" si="31"/>
        <v>1</v>
      </c>
      <c r="L670" s="93">
        <f t="shared" si="32"/>
        <v>0</v>
      </c>
      <c r="M670" s="93">
        <f t="shared" si="33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13.520355499841669</v>
      </c>
      <c r="H671">
        <v>6.4926562499999999E-4</v>
      </c>
      <c r="I671">
        <v>-0.63719565704110959</v>
      </c>
      <c r="J671">
        <v>-4.1370923651608168E-4</v>
      </c>
      <c r="K671" s="93">
        <f t="shared" si="31"/>
        <v>1</v>
      </c>
      <c r="L671" s="93">
        <f t="shared" si="32"/>
        <v>0</v>
      </c>
      <c r="M671" s="93">
        <f t="shared" si="33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14.907058628030558</v>
      </c>
      <c r="H672">
        <v>1.3706718749999997E-3</v>
      </c>
      <c r="I672">
        <v>-0.60841263314911365</v>
      </c>
      <c r="J672">
        <v>-8.3393408465218255E-4</v>
      </c>
      <c r="K672" s="93">
        <f t="shared" si="31"/>
        <v>1</v>
      </c>
      <c r="L672" s="93">
        <f t="shared" si="32"/>
        <v>0</v>
      </c>
      <c r="M672" s="93">
        <f t="shared" si="33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15.947085974172223</v>
      </c>
      <c r="H673">
        <v>8.6568749999999992E-4</v>
      </c>
      <c r="I673">
        <v>-0.58768185968008513</v>
      </c>
      <c r="J673">
        <v>-5.0874883990180365E-4</v>
      </c>
      <c r="K673" s="93">
        <f t="shared" si="31"/>
        <v>1</v>
      </c>
      <c r="L673" s="93">
        <f t="shared" si="32"/>
        <v>0</v>
      </c>
      <c r="M673" s="93">
        <f t="shared" si="33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13.520355499841669</v>
      </c>
      <c r="H674">
        <v>4.100625E-4</v>
      </c>
      <c r="I674">
        <v>-0.63719565704110959</v>
      </c>
      <c r="J674">
        <v>-2.6129004411541999E-4</v>
      </c>
      <c r="K674" s="93">
        <f t="shared" si="31"/>
        <v>1</v>
      </c>
      <c r="L674" s="93">
        <f t="shared" si="32"/>
        <v>0</v>
      </c>
      <c r="M674" s="93">
        <f t="shared" si="33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14.907058628030558</v>
      </c>
      <c r="H675">
        <v>8.6568749999999992E-4</v>
      </c>
      <c r="I675">
        <v>-0.60841263314911365</v>
      </c>
      <c r="J675">
        <v>-5.2669521135927328E-4</v>
      </c>
      <c r="K675" s="93">
        <f t="shared" si="31"/>
        <v>1</v>
      </c>
      <c r="L675" s="93">
        <f t="shared" si="32"/>
        <v>0</v>
      </c>
      <c r="M675" s="93">
        <f t="shared" si="33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15.947085974172223</v>
      </c>
      <c r="H676">
        <v>5.4674999999999993E-4</v>
      </c>
      <c r="I676">
        <v>-0.58768185968008513</v>
      </c>
      <c r="J676">
        <v>-3.2131505678008651E-4</v>
      </c>
      <c r="K676" s="93">
        <f t="shared" si="31"/>
        <v>1</v>
      </c>
      <c r="L676" s="93">
        <f t="shared" si="32"/>
        <v>0</v>
      </c>
      <c r="M676" s="93">
        <f t="shared" si="33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16.64043753826666</v>
      </c>
      <c r="H677">
        <v>4.8694921874999997E-4</v>
      </c>
      <c r="I677">
        <v>-0.57425527516361619</v>
      </c>
      <c r="J677">
        <v>-2.7963315760398916E-4</v>
      </c>
      <c r="K677" s="93">
        <f t="shared" si="31"/>
        <v>1</v>
      </c>
      <c r="L677" s="93">
        <f t="shared" si="32"/>
        <v>0</v>
      </c>
      <c r="M677" s="93">
        <f t="shared" si="33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18.34714908065299</v>
      </c>
      <c r="H678">
        <v>1.0280039062499999E-3</v>
      </c>
      <c r="I678">
        <v>-0.54249758997392594</v>
      </c>
      <c r="J678">
        <v>-5.576896416244067E-4</v>
      </c>
      <c r="K678" s="93">
        <f t="shared" si="31"/>
        <v>1</v>
      </c>
      <c r="L678" s="93">
        <f t="shared" si="32"/>
        <v>0</v>
      </c>
      <c r="M678" s="93">
        <f t="shared" si="33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19.627182737442741</v>
      </c>
      <c r="H679">
        <v>6.4926562499999999E-4</v>
      </c>
      <c r="I679">
        <v>-0.51983728773143845</v>
      </c>
      <c r="J679">
        <v>-3.3751248151725721E-4</v>
      </c>
      <c r="K679" s="93">
        <f t="shared" si="31"/>
        <v>1</v>
      </c>
      <c r="L679" s="93">
        <f t="shared" si="32"/>
        <v>0</v>
      </c>
      <c r="M679" s="93">
        <f t="shared" si="33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16.64043753826666</v>
      </c>
      <c r="H680">
        <v>1.0280039062499999E-3</v>
      </c>
      <c r="I680">
        <v>-0.57425527516361619</v>
      </c>
      <c r="J680">
        <v>-5.9033666605286597E-4</v>
      </c>
      <c r="K680" s="93">
        <f t="shared" si="31"/>
        <v>1</v>
      </c>
      <c r="L680" s="93">
        <f t="shared" si="32"/>
        <v>0</v>
      </c>
      <c r="M680" s="93">
        <f t="shared" si="33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18.34714908065299</v>
      </c>
      <c r="H681">
        <v>2.1702304687499993E-3</v>
      </c>
      <c r="I681">
        <v>-0.54249758997392594</v>
      </c>
      <c r="J681">
        <v>-1.1773447989848582E-3</v>
      </c>
      <c r="K681" s="93">
        <f t="shared" si="31"/>
        <v>1</v>
      </c>
      <c r="L681" s="93">
        <f t="shared" si="32"/>
        <v>0</v>
      </c>
      <c r="M681" s="93">
        <f t="shared" si="33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19.627182737442741</v>
      </c>
      <c r="H682">
        <v>1.3706718749999997E-3</v>
      </c>
      <c r="I682">
        <v>-0.51983728773143845</v>
      </c>
      <c r="J682">
        <v>-7.1252634986976511E-4</v>
      </c>
      <c r="K682" s="93">
        <f t="shared" si="31"/>
        <v>1</v>
      </c>
      <c r="L682" s="93">
        <f t="shared" si="32"/>
        <v>0</v>
      </c>
      <c r="M682" s="93">
        <f t="shared" si="33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16.64043753826666</v>
      </c>
      <c r="H683">
        <v>6.4926562499999999E-4</v>
      </c>
      <c r="I683">
        <v>-0.57425527516361619</v>
      </c>
      <c r="J683">
        <v>-3.7284421013865224E-4</v>
      </c>
      <c r="K683" s="93">
        <f t="shared" si="31"/>
        <v>1</v>
      </c>
      <c r="L683" s="93">
        <f t="shared" si="32"/>
        <v>0</v>
      </c>
      <c r="M683" s="93">
        <f t="shared" si="33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18.34714908065299</v>
      </c>
      <c r="H684">
        <v>1.3706718749999997E-3</v>
      </c>
      <c r="I684">
        <v>-0.54249758997392594</v>
      </c>
      <c r="J684">
        <v>-7.4358618883254212E-4</v>
      </c>
      <c r="K684" s="93">
        <f t="shared" si="31"/>
        <v>1</v>
      </c>
      <c r="L684" s="93">
        <f t="shared" si="32"/>
        <v>0</v>
      </c>
      <c r="M684" s="93">
        <f t="shared" si="33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19.627182737442741</v>
      </c>
      <c r="H685">
        <v>8.6568749999999992E-4</v>
      </c>
      <c r="I685">
        <v>-0.51983728773143845</v>
      </c>
      <c r="J685">
        <v>-4.5001664202300959E-4</v>
      </c>
      <c r="K685" s="93">
        <f t="shared" si="31"/>
        <v>1</v>
      </c>
      <c r="L685" s="93">
        <f t="shared" si="32"/>
        <v>0</v>
      </c>
      <c r="M685" s="93">
        <f t="shared" si="33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16.64043753826666</v>
      </c>
      <c r="H686">
        <v>1.0280039062499999E-3</v>
      </c>
      <c r="I686">
        <v>-0.57425527516361619</v>
      </c>
      <c r="J686">
        <v>-5.9033666605286597E-4</v>
      </c>
      <c r="K686" s="93">
        <f t="shared" si="31"/>
        <v>1</v>
      </c>
      <c r="L686" s="93">
        <f t="shared" si="32"/>
        <v>0</v>
      </c>
      <c r="M686" s="93">
        <f t="shared" si="33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18.34714908065299</v>
      </c>
      <c r="H687">
        <v>2.1702304687499997E-3</v>
      </c>
      <c r="I687">
        <v>-0.54249758997392594</v>
      </c>
      <c r="J687">
        <v>-1.1773447989848584E-3</v>
      </c>
      <c r="K687" s="93">
        <f t="shared" si="31"/>
        <v>1</v>
      </c>
      <c r="L687" s="93">
        <f t="shared" si="32"/>
        <v>0</v>
      </c>
      <c r="M687" s="93">
        <f t="shared" si="33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19.627182737442741</v>
      </c>
      <c r="H688">
        <v>1.3706718749999999E-3</v>
      </c>
      <c r="I688">
        <v>-0.51983728773143845</v>
      </c>
      <c r="J688">
        <v>-7.1252634986976521E-4</v>
      </c>
      <c r="K688" s="93">
        <f t="shared" si="31"/>
        <v>1</v>
      </c>
      <c r="L688" s="93">
        <f t="shared" si="32"/>
        <v>0</v>
      </c>
      <c r="M688" s="93">
        <f t="shared" si="33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16.64043753826666</v>
      </c>
      <c r="H689">
        <v>2.1702304687499997E-3</v>
      </c>
      <c r="I689">
        <v>-0.57425527516361619</v>
      </c>
      <c r="J689">
        <v>-1.2462662950004947E-3</v>
      </c>
      <c r="K689" s="93">
        <f t="shared" si="31"/>
        <v>1</v>
      </c>
      <c r="L689" s="93">
        <f t="shared" si="32"/>
        <v>0</v>
      </c>
      <c r="M689" s="93">
        <f t="shared" si="33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18.34714908065299</v>
      </c>
      <c r="H690">
        <v>4.5815976562499994E-3</v>
      </c>
      <c r="I690">
        <v>-0.54249758997392594</v>
      </c>
      <c r="J690">
        <v>-2.4855056867458124E-3</v>
      </c>
      <c r="K690" s="93">
        <f t="shared" si="31"/>
        <v>1</v>
      </c>
      <c r="L690" s="93">
        <f t="shared" si="32"/>
        <v>0</v>
      </c>
      <c r="M690" s="93">
        <f t="shared" si="33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19.627182737442741</v>
      </c>
      <c r="H691">
        <v>2.8936406249999995E-3</v>
      </c>
      <c r="I691">
        <v>-0.51983728773143845</v>
      </c>
      <c r="J691">
        <v>-1.5042222941695042E-3</v>
      </c>
      <c r="K691" s="93">
        <f t="shared" si="31"/>
        <v>1</v>
      </c>
      <c r="L691" s="93">
        <f t="shared" si="32"/>
        <v>0</v>
      </c>
      <c r="M691" s="93">
        <f t="shared" si="33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16.64043753826666</v>
      </c>
      <c r="H692">
        <v>1.3706718749999999E-3</v>
      </c>
      <c r="I692">
        <v>-0.57425527516361619</v>
      </c>
      <c r="J692">
        <v>-7.8711555473715466E-4</v>
      </c>
      <c r="K692" s="93">
        <f t="shared" si="31"/>
        <v>1</v>
      </c>
      <c r="L692" s="93">
        <f t="shared" si="32"/>
        <v>0</v>
      </c>
      <c r="M692" s="93">
        <f t="shared" si="33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18.34714908065299</v>
      </c>
      <c r="H693">
        <v>2.8936406249999995E-3</v>
      </c>
      <c r="I693">
        <v>-0.54249758997392594</v>
      </c>
      <c r="J693">
        <v>-1.5697930653131445E-3</v>
      </c>
      <c r="K693" s="93">
        <f t="shared" si="31"/>
        <v>1</v>
      </c>
      <c r="L693" s="93">
        <f t="shared" si="32"/>
        <v>0</v>
      </c>
      <c r="M693" s="93">
        <f t="shared" si="33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19.627182737442741</v>
      </c>
      <c r="H694">
        <v>1.8275624999999998E-3</v>
      </c>
      <c r="I694">
        <v>-0.51983728773143845</v>
      </c>
      <c r="J694">
        <v>-9.5003513315968684E-4</v>
      </c>
      <c r="K694" s="93">
        <f t="shared" si="31"/>
        <v>1</v>
      </c>
      <c r="L694" s="93">
        <f t="shared" si="32"/>
        <v>0</v>
      </c>
      <c r="M694" s="93">
        <f t="shared" si="33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16.64043753826666</v>
      </c>
      <c r="H695">
        <v>6.4926562499999999E-4</v>
      </c>
      <c r="I695">
        <v>-0.57425527516361619</v>
      </c>
      <c r="J695">
        <v>-3.7284421013865224E-4</v>
      </c>
      <c r="K695" s="93">
        <f t="shared" si="31"/>
        <v>1</v>
      </c>
      <c r="L695" s="93">
        <f t="shared" si="32"/>
        <v>0</v>
      </c>
      <c r="M695" s="93">
        <f t="shared" si="33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18.34714908065299</v>
      </c>
      <c r="H696">
        <v>1.3706718749999997E-3</v>
      </c>
      <c r="I696">
        <v>-0.54249758997392594</v>
      </c>
      <c r="J696">
        <v>-7.4358618883254212E-4</v>
      </c>
      <c r="K696" s="93">
        <f t="shared" si="31"/>
        <v>1</v>
      </c>
      <c r="L696" s="93">
        <f t="shared" si="32"/>
        <v>0</v>
      </c>
      <c r="M696" s="93">
        <f t="shared" si="33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19.627182737442741</v>
      </c>
      <c r="H697">
        <v>8.6568749999999992E-4</v>
      </c>
      <c r="I697">
        <v>-0.51983728773143845</v>
      </c>
      <c r="J697">
        <v>-4.5001664202300959E-4</v>
      </c>
      <c r="K697" s="93">
        <f t="shared" si="31"/>
        <v>1</v>
      </c>
      <c r="L697" s="93">
        <f t="shared" si="32"/>
        <v>0</v>
      </c>
      <c r="M697" s="93">
        <f t="shared" si="33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16.64043753826666</v>
      </c>
      <c r="H698">
        <v>1.3706718749999997E-3</v>
      </c>
      <c r="I698">
        <v>-0.57425527516361619</v>
      </c>
      <c r="J698">
        <v>-7.8711555473715456E-4</v>
      </c>
      <c r="K698" s="93">
        <f t="shared" si="31"/>
        <v>1</v>
      </c>
      <c r="L698" s="93">
        <f t="shared" si="32"/>
        <v>0</v>
      </c>
      <c r="M698" s="93">
        <f t="shared" si="33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18.34714908065299</v>
      </c>
      <c r="H699">
        <v>2.8936406249999991E-3</v>
      </c>
      <c r="I699">
        <v>-0.54249758997392594</v>
      </c>
      <c r="J699">
        <v>-1.5697930653131443E-3</v>
      </c>
      <c r="K699" s="93">
        <f t="shared" si="31"/>
        <v>1</v>
      </c>
      <c r="L699" s="93">
        <f t="shared" si="32"/>
        <v>0</v>
      </c>
      <c r="M699" s="93">
        <f t="shared" si="33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19.627182737442741</v>
      </c>
      <c r="H700">
        <v>1.8275624999999993E-3</v>
      </c>
      <c r="I700">
        <v>-0.51983728773143845</v>
      </c>
      <c r="J700">
        <v>-9.5003513315968663E-4</v>
      </c>
      <c r="K700" s="93">
        <f t="shared" si="31"/>
        <v>1</v>
      </c>
      <c r="L700" s="93">
        <f t="shared" si="32"/>
        <v>0</v>
      </c>
      <c r="M700" s="93">
        <f t="shared" si="33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16.64043753826666</v>
      </c>
      <c r="H701">
        <v>8.6568749999999992E-4</v>
      </c>
      <c r="I701">
        <v>-0.57425527516361619</v>
      </c>
      <c r="J701">
        <v>-4.9712561351820299E-4</v>
      </c>
      <c r="K701" s="93">
        <f t="shared" si="31"/>
        <v>1</v>
      </c>
      <c r="L701" s="93">
        <f t="shared" si="32"/>
        <v>0</v>
      </c>
      <c r="M701" s="93">
        <f t="shared" si="33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18.34714908065299</v>
      </c>
      <c r="H702">
        <v>1.8275624999999995E-3</v>
      </c>
      <c r="I702">
        <v>-0.54249758997392594</v>
      </c>
      <c r="J702">
        <v>-9.9144825177672276E-4</v>
      </c>
      <c r="K702" s="93">
        <f t="shared" si="31"/>
        <v>1</v>
      </c>
      <c r="L702" s="93">
        <f t="shared" si="32"/>
        <v>0</v>
      </c>
      <c r="M702" s="93">
        <f t="shared" si="33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19.627182737442741</v>
      </c>
      <c r="H703">
        <v>1.1542499999999997E-3</v>
      </c>
      <c r="I703">
        <v>-0.51983728773143845</v>
      </c>
      <c r="J703">
        <v>-6.0002218936401261E-4</v>
      </c>
      <c r="K703" s="93">
        <f t="shared" si="31"/>
        <v>1</v>
      </c>
      <c r="L703" s="93">
        <f t="shared" si="32"/>
        <v>0</v>
      </c>
      <c r="M703" s="93">
        <f t="shared" si="33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18.720492230550001</v>
      </c>
      <c r="H704">
        <v>3.0754687500000004E-4</v>
      </c>
      <c r="I704">
        <v>-0.53578816655187178</v>
      </c>
      <c r="J704">
        <v>-1.6477997628500771E-4</v>
      </c>
      <c r="K704" s="93">
        <f t="shared" si="31"/>
        <v>1</v>
      </c>
      <c r="L704" s="93">
        <f t="shared" si="32"/>
        <v>0</v>
      </c>
      <c r="M704" s="93">
        <f t="shared" si="33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20.640542715734622</v>
      </c>
      <c r="H705">
        <v>6.4926562499999999E-4</v>
      </c>
      <c r="I705">
        <v>-0.50257113316779922</v>
      </c>
      <c r="J705">
        <v>-3.2630216088314941E-4</v>
      </c>
      <c r="K705" s="93">
        <f t="shared" si="31"/>
        <v>1</v>
      </c>
      <c r="L705" s="93">
        <f t="shared" si="32"/>
        <v>0</v>
      </c>
      <c r="M705" s="93">
        <f t="shared" si="33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22.080580579623085</v>
      </c>
      <c r="H706">
        <v>4.100625E-4</v>
      </c>
      <c r="I706">
        <v>-0.47901692285023123</v>
      </c>
      <c r="J706">
        <v>-1.9642687692627295E-4</v>
      </c>
      <c r="K706" s="93">
        <f t="shared" si="31"/>
        <v>1</v>
      </c>
      <c r="L706" s="93">
        <f t="shared" si="32"/>
        <v>0</v>
      </c>
      <c r="M706" s="93">
        <f t="shared" si="33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18.720492230550001</v>
      </c>
      <c r="H707">
        <v>6.4926562499999999E-4</v>
      </c>
      <c r="I707">
        <v>-0.53578816655187178</v>
      </c>
      <c r="J707">
        <v>-3.4786883882390512E-4</v>
      </c>
      <c r="K707" s="93">
        <f t="shared" ref="K707:K730" si="34">IF(A707=3,1,0)</f>
        <v>1</v>
      </c>
      <c r="L707" s="93">
        <f t="shared" ref="L707:L730" si="35">IF(A707=2,1,0)</f>
        <v>0</v>
      </c>
      <c r="M707" s="93">
        <f t="shared" ref="M707:M730" si="36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20.640542715734622</v>
      </c>
      <c r="H708">
        <v>1.3706718749999997E-3</v>
      </c>
      <c r="I708">
        <v>-0.50257113316779922</v>
      </c>
      <c r="J708">
        <v>-6.8886011741998196E-4</v>
      </c>
      <c r="K708" s="93">
        <f t="shared" si="34"/>
        <v>1</v>
      </c>
      <c r="L708" s="93">
        <f t="shared" si="35"/>
        <v>0</v>
      </c>
      <c r="M708" s="93">
        <f t="shared" si="36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22.080580579623085</v>
      </c>
      <c r="H709">
        <v>8.6568749999999992E-4</v>
      </c>
      <c r="I709">
        <v>-0.47901692285023123</v>
      </c>
      <c r="J709">
        <v>-4.1467896239990952E-4</v>
      </c>
      <c r="K709" s="93">
        <f t="shared" si="34"/>
        <v>1</v>
      </c>
      <c r="L709" s="93">
        <f t="shared" si="35"/>
        <v>0</v>
      </c>
      <c r="M709" s="93">
        <f t="shared" si="36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18.720492230550001</v>
      </c>
      <c r="H710">
        <v>4.100625E-4</v>
      </c>
      <c r="I710">
        <v>-0.53578816655187178</v>
      </c>
      <c r="J710">
        <v>-2.1970663504667693E-4</v>
      </c>
      <c r="K710" s="93">
        <f t="shared" si="34"/>
        <v>1</v>
      </c>
      <c r="L710" s="93">
        <f t="shared" si="35"/>
        <v>0</v>
      </c>
      <c r="M710" s="93">
        <f t="shared" si="36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20.640542715734622</v>
      </c>
      <c r="H711">
        <v>8.6568749999999992E-4</v>
      </c>
      <c r="I711">
        <v>-0.50257113316779922</v>
      </c>
      <c r="J711">
        <v>-4.3506954784419916E-4</v>
      </c>
      <c r="K711" s="93">
        <f t="shared" si="34"/>
        <v>1</v>
      </c>
      <c r="L711" s="93">
        <f t="shared" si="35"/>
        <v>0</v>
      </c>
      <c r="M711" s="93">
        <f t="shared" si="36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22.080580579623085</v>
      </c>
      <c r="H712">
        <v>5.4674999999999993E-4</v>
      </c>
      <c r="I712">
        <v>-0.47901692285023123</v>
      </c>
      <c r="J712">
        <v>-2.6190250256836388E-4</v>
      </c>
      <c r="K712" s="93">
        <f t="shared" si="34"/>
        <v>1</v>
      </c>
      <c r="L712" s="93">
        <f t="shared" si="35"/>
        <v>0</v>
      </c>
      <c r="M712" s="93">
        <f t="shared" si="36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18.720492230550001</v>
      </c>
      <c r="H713">
        <v>6.492656250000001E-4</v>
      </c>
      <c r="I713">
        <v>-0.53578816655187178</v>
      </c>
      <c r="J713">
        <v>-3.4786883882390518E-4</v>
      </c>
      <c r="K713" s="93">
        <f t="shared" si="34"/>
        <v>1</v>
      </c>
      <c r="L713" s="93">
        <f t="shared" si="35"/>
        <v>0</v>
      </c>
      <c r="M713" s="93">
        <f t="shared" si="36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20.640542715734622</v>
      </c>
      <c r="H714">
        <v>1.3706718749999999E-3</v>
      </c>
      <c r="I714">
        <v>-0.50257113316779922</v>
      </c>
      <c r="J714">
        <v>-6.8886011741998206E-4</v>
      </c>
      <c r="K714" s="93">
        <f t="shared" si="34"/>
        <v>1</v>
      </c>
      <c r="L714" s="93">
        <f t="shared" si="35"/>
        <v>0</v>
      </c>
      <c r="M714" s="93">
        <f t="shared" si="36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22.080580579623085</v>
      </c>
      <c r="H715">
        <v>8.6568750000000003E-4</v>
      </c>
      <c r="I715">
        <v>-0.47901692285023123</v>
      </c>
      <c r="J715">
        <v>-4.1467896239990958E-4</v>
      </c>
      <c r="K715" s="93">
        <f t="shared" si="34"/>
        <v>1</v>
      </c>
      <c r="L715" s="93">
        <f t="shared" si="35"/>
        <v>0</v>
      </c>
      <c r="M715" s="93">
        <f t="shared" si="36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18.720492230550001</v>
      </c>
      <c r="H716">
        <v>1.3706718749999999E-3</v>
      </c>
      <c r="I716">
        <v>-0.53578816655187178</v>
      </c>
      <c r="J716">
        <v>-7.3438977085046636E-4</v>
      </c>
      <c r="K716" s="93">
        <f t="shared" si="34"/>
        <v>1</v>
      </c>
      <c r="L716" s="93">
        <f t="shared" si="35"/>
        <v>0</v>
      </c>
      <c r="M716" s="93">
        <f t="shared" si="36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20.640542715734622</v>
      </c>
      <c r="H717">
        <v>2.8936406249999995E-3</v>
      </c>
      <c r="I717">
        <v>-0.50257113316779922</v>
      </c>
      <c r="J717">
        <v>-1.4542602478866285E-3</v>
      </c>
      <c r="K717" s="93">
        <f t="shared" si="34"/>
        <v>1</v>
      </c>
      <c r="L717" s="93">
        <f t="shared" si="35"/>
        <v>0</v>
      </c>
      <c r="M717" s="93">
        <f t="shared" si="36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22.080580579623085</v>
      </c>
      <c r="H718">
        <v>1.8275624999999998E-3</v>
      </c>
      <c r="I718">
        <v>-0.47901692285023123</v>
      </c>
      <c r="J718">
        <v>-8.7543336506647564E-4</v>
      </c>
      <c r="K718" s="93">
        <f t="shared" si="34"/>
        <v>1</v>
      </c>
      <c r="L718" s="93">
        <f t="shared" si="35"/>
        <v>0</v>
      </c>
      <c r="M718" s="93">
        <f t="shared" si="36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18.720492230550001</v>
      </c>
      <c r="H719">
        <v>8.6568749999999992E-4</v>
      </c>
      <c r="I719">
        <v>-0.53578816655187178</v>
      </c>
      <c r="J719">
        <v>-4.6382511843187348E-4</v>
      </c>
      <c r="K719" s="93">
        <f t="shared" si="34"/>
        <v>1</v>
      </c>
      <c r="L719" s="93">
        <f t="shared" si="35"/>
        <v>0</v>
      </c>
      <c r="M719" s="93">
        <f t="shared" si="36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20.640542715734622</v>
      </c>
      <c r="H720">
        <v>1.8275624999999998E-3</v>
      </c>
      <c r="I720">
        <v>-0.50257113316779922</v>
      </c>
      <c r="J720">
        <v>-9.1848015655997598E-4</v>
      </c>
      <c r="K720" s="93">
        <f t="shared" si="34"/>
        <v>1</v>
      </c>
      <c r="L720" s="93">
        <f t="shared" si="35"/>
        <v>0</v>
      </c>
      <c r="M720" s="93">
        <f t="shared" si="36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22.080580579623085</v>
      </c>
      <c r="H721">
        <v>1.1542499999999999E-3</v>
      </c>
      <c r="I721">
        <v>-0.47901692285023123</v>
      </c>
      <c r="J721">
        <v>-5.5290528319987937E-4</v>
      </c>
      <c r="K721" s="93">
        <f t="shared" si="34"/>
        <v>1</v>
      </c>
      <c r="L721" s="93">
        <f t="shared" si="35"/>
        <v>0</v>
      </c>
      <c r="M721" s="93">
        <f t="shared" si="36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18.720492230550001</v>
      </c>
      <c r="H722">
        <v>4.100625E-4</v>
      </c>
      <c r="I722">
        <v>-0.53578816655187178</v>
      </c>
      <c r="J722">
        <v>-2.1970663504667693E-4</v>
      </c>
      <c r="K722" s="93">
        <f t="shared" si="34"/>
        <v>1</v>
      </c>
      <c r="L722" s="93">
        <f t="shared" si="35"/>
        <v>0</v>
      </c>
      <c r="M722" s="93">
        <f t="shared" si="36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20.640542715734622</v>
      </c>
      <c r="H723">
        <v>8.6568749999999992E-4</v>
      </c>
      <c r="I723">
        <v>-0.50257113316779922</v>
      </c>
      <c r="J723">
        <v>-4.3506954784419916E-4</v>
      </c>
      <c r="K723" s="93">
        <f t="shared" si="34"/>
        <v>1</v>
      </c>
      <c r="L723" s="93">
        <f t="shared" si="35"/>
        <v>0</v>
      </c>
      <c r="M723" s="93">
        <f t="shared" si="36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22.080580579623085</v>
      </c>
      <c r="H724">
        <v>5.4674999999999993E-4</v>
      </c>
      <c r="I724">
        <v>-0.47901692285023123</v>
      </c>
      <c r="J724">
        <v>-2.6190250256836388E-4</v>
      </c>
      <c r="K724" s="93">
        <f t="shared" si="34"/>
        <v>1</v>
      </c>
      <c r="L724" s="93">
        <f t="shared" si="35"/>
        <v>0</v>
      </c>
      <c r="M724" s="93">
        <f t="shared" si="36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18.720492230550001</v>
      </c>
      <c r="H725">
        <v>8.6568749999999992E-4</v>
      </c>
      <c r="I725">
        <v>-0.53578816655187178</v>
      </c>
      <c r="J725">
        <v>-4.6382511843187348E-4</v>
      </c>
      <c r="K725" s="93">
        <f t="shared" si="34"/>
        <v>1</v>
      </c>
      <c r="L725" s="93">
        <f t="shared" si="35"/>
        <v>0</v>
      </c>
      <c r="M725" s="93">
        <f t="shared" si="36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20.640542715734622</v>
      </c>
      <c r="H726">
        <v>1.8275624999999998E-3</v>
      </c>
      <c r="I726">
        <v>-0.50257113316779922</v>
      </c>
      <c r="J726">
        <v>-9.1848015655997598E-4</v>
      </c>
      <c r="K726" s="93">
        <f t="shared" si="34"/>
        <v>1</v>
      </c>
      <c r="L726" s="93">
        <f t="shared" si="35"/>
        <v>0</v>
      </c>
      <c r="M726" s="93">
        <f t="shared" si="36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22.080580579623085</v>
      </c>
      <c r="H727">
        <v>1.1542499999999999E-3</v>
      </c>
      <c r="I727">
        <v>-0.47901692285023123</v>
      </c>
      <c r="J727">
        <v>-5.5290528319987937E-4</v>
      </c>
      <c r="K727" s="93">
        <f t="shared" si="34"/>
        <v>1</v>
      </c>
      <c r="L727" s="93">
        <f t="shared" si="35"/>
        <v>0</v>
      </c>
      <c r="M727" s="93">
        <f t="shared" si="36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18.720492230550001</v>
      </c>
      <c r="H728">
        <v>5.4675000000000004E-4</v>
      </c>
      <c r="I728">
        <v>-0.53578816655187178</v>
      </c>
      <c r="J728">
        <v>-2.9294218006223593E-4</v>
      </c>
      <c r="K728" s="93">
        <f t="shared" si="34"/>
        <v>1</v>
      </c>
      <c r="L728" s="93">
        <f t="shared" si="35"/>
        <v>0</v>
      </c>
      <c r="M728" s="93">
        <f t="shared" si="36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20.640542715734622</v>
      </c>
      <c r="H729">
        <v>1.1542499999999999E-3</v>
      </c>
      <c r="I729">
        <v>-0.50257113316779922</v>
      </c>
      <c r="J729">
        <v>-5.8009273045893221E-4</v>
      </c>
      <c r="K729" s="93">
        <f t="shared" si="34"/>
        <v>1</v>
      </c>
      <c r="L729" s="93">
        <f t="shared" si="35"/>
        <v>0</v>
      </c>
      <c r="M729" s="93">
        <f t="shared" si="36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22.080580579623085</v>
      </c>
      <c r="H730">
        <v>7.2899999999999994E-4</v>
      </c>
      <c r="I730">
        <v>-0.47901692285023123</v>
      </c>
      <c r="J730">
        <v>-3.4920333675781854E-4</v>
      </c>
      <c r="K730" s="93">
        <f t="shared" si="34"/>
        <v>1</v>
      </c>
      <c r="L730" s="93">
        <f t="shared" si="35"/>
        <v>0</v>
      </c>
      <c r="M730" s="93">
        <f t="shared" si="36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9"/>
  <sheetViews>
    <sheetView workbookViewId="0">
      <selection activeCell="B4" sqref="B4"/>
    </sheetView>
  </sheetViews>
  <sheetFormatPr defaultRowHeight="14.25" x14ac:dyDescent="0.45"/>
  <cols>
    <col min="1" max="1" width="21.1328125" customWidth="1"/>
    <col min="2" max="3" width="6" customWidth="1"/>
    <col min="4" max="4" width="6.73046875" customWidth="1"/>
    <col min="5" max="5" width="10" customWidth="1"/>
    <col min="8" max="8" width="22" customWidth="1"/>
    <col min="9" max="10" width="6" customWidth="1"/>
    <col min="11" max="11" width="6.73046875" customWidth="1"/>
    <col min="12" max="12" width="9" customWidth="1"/>
  </cols>
  <sheetData>
    <row r="1" spans="1:23" x14ac:dyDescent="0.45">
      <c r="A1" s="119" t="s">
        <v>113</v>
      </c>
      <c r="B1" s="119"/>
      <c r="H1" s="119" t="s">
        <v>112</v>
      </c>
      <c r="I1" s="119"/>
      <c r="P1" t="s">
        <v>84</v>
      </c>
      <c r="Q1" s="105">
        <f>[1]Sheet1!H75</f>
        <v>3.0691386138661052</v>
      </c>
      <c r="V1" t="s">
        <v>111</v>
      </c>
      <c r="W1">
        <v>4</v>
      </c>
    </row>
    <row r="2" spans="1:23" x14ac:dyDescent="0.45">
      <c r="P2" s="41" t="s">
        <v>39</v>
      </c>
      <c r="Q2" s="6"/>
      <c r="R2" s="6"/>
      <c r="S2" s="6"/>
      <c r="T2" s="6"/>
      <c r="U2" s="6"/>
      <c r="V2" s="42" t="s">
        <v>23</v>
      </c>
      <c r="W2" s="43">
        <v>1</v>
      </c>
    </row>
    <row r="3" spans="1:23" x14ac:dyDescent="0.45">
      <c r="B3" t="s">
        <v>35</v>
      </c>
      <c r="C3" t="s">
        <v>37</v>
      </c>
      <c r="D3" t="s">
        <v>108</v>
      </c>
      <c r="E3" t="s">
        <v>107</v>
      </c>
      <c r="F3" t="s">
        <v>106</v>
      </c>
      <c r="I3" t="s">
        <v>35</v>
      </c>
      <c r="J3" t="s">
        <v>37</v>
      </c>
      <c r="K3" t="s">
        <v>108</v>
      </c>
      <c r="L3" t="s">
        <v>107</v>
      </c>
      <c r="M3" t="s">
        <v>106</v>
      </c>
      <c r="P3" s="41" t="s">
        <v>41</v>
      </c>
      <c r="Q3" s="6"/>
      <c r="R3" s="6"/>
      <c r="S3" s="6"/>
      <c r="T3" s="6"/>
      <c r="U3" s="6"/>
      <c r="V3" s="42" t="s">
        <v>42</v>
      </c>
      <c r="W3" s="43">
        <v>2</v>
      </c>
    </row>
    <row r="4" spans="1:23" x14ac:dyDescent="0.45">
      <c r="A4" t="s">
        <v>105</v>
      </c>
      <c r="B4">
        <v>2.81</v>
      </c>
      <c r="C4">
        <v>22.47</v>
      </c>
      <c r="D4">
        <f t="shared" ref="D4:D9" si="0">C4-B4</f>
        <v>19.66</v>
      </c>
      <c r="E4">
        <f t="shared" ref="E4:E9" si="1">D4^2</f>
        <v>386.51560000000001</v>
      </c>
      <c r="F4">
        <f t="shared" ref="F4:F9" si="2">E4/SUM($E$4:$E$9)</f>
        <v>0.826594171687694</v>
      </c>
      <c r="H4" t="s">
        <v>105</v>
      </c>
      <c r="I4">
        <v>2.38</v>
      </c>
      <c r="J4">
        <v>19.03</v>
      </c>
      <c r="K4">
        <f t="shared" ref="K4:K9" si="3">J4-I4</f>
        <v>16.650000000000002</v>
      </c>
      <c r="L4">
        <f t="shared" ref="L4:L9" si="4">K4^2</f>
        <v>277.22250000000008</v>
      </c>
      <c r="M4">
        <f t="shared" ref="M4:M9" si="5">L4/SUM($L$4:$L$9)</f>
        <v>0.50487496252900699</v>
      </c>
      <c r="P4" s="41" t="s">
        <v>44</v>
      </c>
      <c r="Q4" s="6"/>
      <c r="R4" s="6"/>
      <c r="S4" s="6"/>
      <c r="T4" s="6"/>
      <c r="U4" s="6"/>
      <c r="V4" s="42" t="s">
        <v>45</v>
      </c>
      <c r="W4" s="43">
        <v>2</v>
      </c>
    </row>
    <row r="5" spans="1:23" x14ac:dyDescent="0.45">
      <c r="A5" t="s">
        <v>104</v>
      </c>
      <c r="B5">
        <v>7.43</v>
      </c>
      <c r="C5">
        <v>14.04</v>
      </c>
      <c r="D5">
        <f t="shared" si="0"/>
        <v>6.6099999999999994</v>
      </c>
      <c r="E5">
        <f t="shared" si="1"/>
        <v>43.692099999999989</v>
      </c>
      <c r="F5">
        <f t="shared" si="2"/>
        <v>9.3439010505128081E-2</v>
      </c>
      <c r="H5" t="s">
        <v>104</v>
      </c>
      <c r="I5">
        <v>4.76</v>
      </c>
      <c r="J5">
        <v>19.100000000000001</v>
      </c>
      <c r="K5">
        <f t="shared" si="3"/>
        <v>14.340000000000002</v>
      </c>
      <c r="L5">
        <f t="shared" si="4"/>
        <v>205.63560000000004</v>
      </c>
      <c r="M5">
        <f t="shared" si="5"/>
        <v>0.37450158571050279</v>
      </c>
      <c r="P5" s="24" t="s">
        <v>47</v>
      </c>
      <c r="Q5" s="6"/>
      <c r="R5" s="6"/>
      <c r="S5" s="6"/>
      <c r="T5" s="6"/>
      <c r="U5" s="6"/>
      <c r="V5" s="42" t="s">
        <v>30</v>
      </c>
      <c r="W5" s="43">
        <v>2</v>
      </c>
    </row>
    <row r="6" spans="1:23" x14ac:dyDescent="0.45">
      <c r="A6" t="s">
        <v>103</v>
      </c>
      <c r="B6">
        <v>16.850000000000001</v>
      </c>
      <c r="C6">
        <v>11.23</v>
      </c>
      <c r="D6">
        <f t="shared" si="0"/>
        <v>-5.620000000000001</v>
      </c>
      <c r="E6">
        <f t="shared" si="1"/>
        <v>31.584400000000013</v>
      </c>
      <c r="F6">
        <f t="shared" si="2"/>
        <v>6.7545736721241811E-2</v>
      </c>
      <c r="H6" t="s">
        <v>103</v>
      </c>
      <c r="I6">
        <v>14.28</v>
      </c>
      <c r="J6">
        <v>9.52</v>
      </c>
      <c r="K6">
        <f t="shared" si="3"/>
        <v>-4.76</v>
      </c>
      <c r="L6">
        <f t="shared" si="4"/>
        <v>22.657599999999999</v>
      </c>
      <c r="M6">
        <f t="shared" si="5"/>
        <v>4.1263804168122087E-2</v>
      </c>
      <c r="P6" s="24" t="s">
        <v>49</v>
      </c>
      <c r="Q6" s="6"/>
      <c r="R6" s="6"/>
      <c r="S6" s="6"/>
      <c r="T6" s="6"/>
      <c r="U6" s="6"/>
      <c r="V6" s="42" t="s">
        <v>50</v>
      </c>
      <c r="W6" s="43">
        <v>2</v>
      </c>
    </row>
    <row r="7" spans="1:23" x14ac:dyDescent="0.45">
      <c r="A7" t="s">
        <v>102</v>
      </c>
      <c r="B7">
        <v>11.63</v>
      </c>
      <c r="C7">
        <v>14.04</v>
      </c>
      <c r="D7">
        <f t="shared" si="0"/>
        <v>2.4099999999999984</v>
      </c>
      <c r="E7">
        <f t="shared" si="1"/>
        <v>5.8080999999999925</v>
      </c>
      <c r="F7">
        <f t="shared" si="2"/>
        <v>1.2421081085936219E-2</v>
      </c>
      <c r="H7" t="s">
        <v>102</v>
      </c>
      <c r="I7">
        <v>7.44</v>
      </c>
      <c r="J7">
        <v>12.9</v>
      </c>
      <c r="K7">
        <f t="shared" si="3"/>
        <v>5.46</v>
      </c>
      <c r="L7">
        <f t="shared" si="4"/>
        <v>29.811599999999999</v>
      </c>
      <c r="M7">
        <f t="shared" si="5"/>
        <v>5.4292600466880364E-2</v>
      </c>
      <c r="P7" s="24" t="s">
        <v>52</v>
      </c>
      <c r="Q7" s="6"/>
      <c r="R7" s="6"/>
      <c r="S7" s="6"/>
      <c r="T7" s="6"/>
      <c r="U7" s="6"/>
      <c r="V7" s="42" t="s">
        <v>50</v>
      </c>
      <c r="W7" s="43">
        <v>2</v>
      </c>
    </row>
    <row r="8" spans="1:23" x14ac:dyDescent="0.45">
      <c r="A8" t="s">
        <v>101</v>
      </c>
      <c r="B8">
        <v>14.04</v>
      </c>
      <c r="C8">
        <v>14.04</v>
      </c>
      <c r="D8">
        <f t="shared" si="0"/>
        <v>0</v>
      </c>
      <c r="E8">
        <f t="shared" si="1"/>
        <v>0</v>
      </c>
      <c r="F8">
        <f t="shared" si="2"/>
        <v>0</v>
      </c>
      <c r="H8" t="s">
        <v>101</v>
      </c>
      <c r="I8">
        <v>11.9</v>
      </c>
      <c r="J8">
        <v>11.9</v>
      </c>
      <c r="K8">
        <f t="shared" si="3"/>
        <v>0</v>
      </c>
      <c r="L8">
        <f t="shared" si="4"/>
        <v>0</v>
      </c>
      <c r="M8">
        <f t="shared" si="5"/>
        <v>0</v>
      </c>
    </row>
    <row r="9" spans="1:23" x14ac:dyDescent="0.45">
      <c r="A9" t="s">
        <v>100</v>
      </c>
      <c r="B9">
        <v>14.04</v>
      </c>
      <c r="C9">
        <v>14.04</v>
      </c>
      <c r="D9">
        <f t="shared" si="0"/>
        <v>0</v>
      </c>
      <c r="E9">
        <f t="shared" si="1"/>
        <v>0</v>
      </c>
      <c r="F9">
        <f t="shared" si="2"/>
        <v>0</v>
      </c>
      <c r="H9" t="s">
        <v>100</v>
      </c>
      <c r="I9">
        <v>9.67</v>
      </c>
      <c r="J9">
        <v>13.38</v>
      </c>
      <c r="K9">
        <f t="shared" si="3"/>
        <v>3.7100000000000009</v>
      </c>
      <c r="L9">
        <f t="shared" si="4"/>
        <v>13.764100000000006</v>
      </c>
      <c r="M9">
        <f t="shared" si="5"/>
        <v>2.5067047125487674E-2</v>
      </c>
      <c r="P9" s="2" t="s">
        <v>6</v>
      </c>
      <c r="Q9" s="2"/>
    </row>
    <row r="10" spans="1:23" x14ac:dyDescent="0.45">
      <c r="P10" s="2">
        <v>1</v>
      </c>
      <c r="Q10" s="15" t="s">
        <v>7</v>
      </c>
    </row>
    <row r="11" spans="1:23" x14ac:dyDescent="0.45">
      <c r="P11" s="2">
        <v>2</v>
      </c>
      <c r="Q11" s="15" t="s">
        <v>8</v>
      </c>
    </row>
    <row r="12" spans="1:23" x14ac:dyDescent="0.45">
      <c r="P12" s="2">
        <v>3</v>
      </c>
      <c r="Q12" s="15" t="s">
        <v>9</v>
      </c>
    </row>
    <row r="13" spans="1:23" x14ac:dyDescent="0.45">
      <c r="P13" s="2">
        <v>4</v>
      </c>
      <c r="Q13" s="15" t="s">
        <v>10</v>
      </c>
    </row>
    <row r="21" spans="1:13" x14ac:dyDescent="0.45">
      <c r="A21" s="119" t="s">
        <v>110</v>
      </c>
      <c r="B21" s="119"/>
      <c r="H21" s="119" t="s">
        <v>109</v>
      </c>
      <c r="I21" s="119"/>
    </row>
    <row r="23" spans="1:13" x14ac:dyDescent="0.45">
      <c r="B23" t="s">
        <v>35</v>
      </c>
      <c r="C23" t="s">
        <v>37</v>
      </c>
      <c r="D23" t="s">
        <v>108</v>
      </c>
      <c r="E23" t="s">
        <v>107</v>
      </c>
      <c r="F23" t="s">
        <v>106</v>
      </c>
      <c r="I23" t="s">
        <v>35</v>
      </c>
      <c r="J23" t="s">
        <v>37</v>
      </c>
      <c r="K23" t="s">
        <v>108</v>
      </c>
      <c r="L23" t="s">
        <v>107</v>
      </c>
      <c r="M23" t="s">
        <v>106</v>
      </c>
    </row>
    <row r="24" spans="1:13" x14ac:dyDescent="0.45">
      <c r="A24" t="s">
        <v>105</v>
      </c>
      <c r="B24">
        <v>-8.5</v>
      </c>
      <c r="C24">
        <v>20.37</v>
      </c>
      <c r="D24">
        <f t="shared" ref="D24:D29" si="6">C24-B24</f>
        <v>28.87</v>
      </c>
      <c r="E24">
        <f t="shared" ref="E24:E29" si="7">D24^2</f>
        <v>833.47690000000011</v>
      </c>
      <c r="F24">
        <f t="shared" ref="F24:F29" si="8">E24/SUM($E$24:$E$29)</f>
        <v>0.39646763471508789</v>
      </c>
      <c r="H24" t="s">
        <v>105</v>
      </c>
      <c r="I24">
        <v>6.96</v>
      </c>
      <c r="J24">
        <v>8.2100000000000009</v>
      </c>
      <c r="K24">
        <f t="shared" ref="K24:K29" si="9">J24-I24</f>
        <v>1.2500000000000009</v>
      </c>
      <c r="L24">
        <f t="shared" ref="L24:L29" si="10">K24^2</f>
        <v>1.5625000000000022</v>
      </c>
      <c r="M24">
        <f t="shared" ref="M24:M29" si="11">L24/SUM($E$4:$E$9)</f>
        <v>3.341529794042009E-3</v>
      </c>
    </row>
    <row r="25" spans="1:13" x14ac:dyDescent="0.45">
      <c r="A25" t="s">
        <v>104</v>
      </c>
      <c r="B25">
        <v>-3.04</v>
      </c>
      <c r="C25">
        <v>30.51</v>
      </c>
      <c r="D25">
        <f t="shared" si="6"/>
        <v>33.550000000000004</v>
      </c>
      <c r="E25">
        <f t="shared" si="7"/>
        <v>1125.6025000000002</v>
      </c>
      <c r="F25">
        <f t="shared" si="8"/>
        <v>0.53542570982397919</v>
      </c>
      <c r="H25" t="s">
        <v>104</v>
      </c>
      <c r="I25">
        <v>3.07</v>
      </c>
      <c r="J25">
        <v>16.88</v>
      </c>
      <c r="K25">
        <f t="shared" si="9"/>
        <v>13.809999999999999</v>
      </c>
      <c r="L25">
        <f t="shared" si="10"/>
        <v>190.71609999999995</v>
      </c>
      <c r="M25">
        <f t="shared" si="11"/>
        <v>0.40786145942623625</v>
      </c>
    </row>
    <row r="26" spans="1:13" x14ac:dyDescent="0.45">
      <c r="A26" t="s">
        <v>103</v>
      </c>
      <c r="B26">
        <v>12.78</v>
      </c>
      <c r="C26">
        <v>5.0599999999999996</v>
      </c>
      <c r="D26">
        <f t="shared" si="6"/>
        <v>-7.72</v>
      </c>
      <c r="E26">
        <f t="shared" si="7"/>
        <v>59.598399999999998</v>
      </c>
      <c r="F26">
        <f t="shared" si="8"/>
        <v>2.8349719927215369E-2</v>
      </c>
      <c r="H26" t="s">
        <v>103</v>
      </c>
      <c r="I26">
        <v>7.67</v>
      </c>
      <c r="J26">
        <v>7.67</v>
      </c>
      <c r="K26">
        <f t="shared" si="9"/>
        <v>0</v>
      </c>
      <c r="L26">
        <f t="shared" si="10"/>
        <v>0</v>
      </c>
      <c r="M26">
        <f t="shared" si="11"/>
        <v>0</v>
      </c>
    </row>
    <row r="27" spans="1:13" x14ac:dyDescent="0.45">
      <c r="A27" t="s">
        <v>102</v>
      </c>
      <c r="B27">
        <v>1.9</v>
      </c>
      <c r="C27">
        <v>10.58</v>
      </c>
      <c r="D27">
        <f t="shared" si="6"/>
        <v>8.68</v>
      </c>
      <c r="E27">
        <f t="shared" si="7"/>
        <v>75.342399999999998</v>
      </c>
      <c r="F27">
        <f t="shared" si="8"/>
        <v>3.5838813435331004E-2</v>
      </c>
      <c r="H27" t="s">
        <v>102</v>
      </c>
      <c r="I27">
        <v>4.8</v>
      </c>
      <c r="J27">
        <v>8.34</v>
      </c>
      <c r="K27">
        <f t="shared" si="9"/>
        <v>3.54</v>
      </c>
      <c r="L27">
        <f t="shared" si="10"/>
        <v>12.531600000000001</v>
      </c>
      <c r="M27">
        <f t="shared" si="11"/>
        <v>2.6799817450890741E-2</v>
      </c>
    </row>
    <row r="28" spans="1:13" x14ac:dyDescent="0.45">
      <c r="A28" t="s">
        <v>101</v>
      </c>
      <c r="B28">
        <v>10.01</v>
      </c>
      <c r="C28">
        <v>7.14</v>
      </c>
      <c r="D28">
        <f t="shared" si="6"/>
        <v>-2.87</v>
      </c>
      <c r="E28">
        <f t="shared" si="7"/>
        <v>8.2369000000000003</v>
      </c>
      <c r="F28">
        <f t="shared" si="8"/>
        <v>3.9181220983865389E-3</v>
      </c>
      <c r="H28" t="s">
        <v>101</v>
      </c>
      <c r="I28">
        <v>7.67</v>
      </c>
      <c r="J28">
        <v>7.67</v>
      </c>
      <c r="K28">
        <f t="shared" si="9"/>
        <v>0</v>
      </c>
      <c r="L28">
        <f t="shared" si="10"/>
        <v>0</v>
      </c>
      <c r="M28">
        <f t="shared" si="11"/>
        <v>0</v>
      </c>
    </row>
    <row r="29" spans="1:13" x14ac:dyDescent="0.45">
      <c r="A29" t="s">
        <v>100</v>
      </c>
      <c r="B29">
        <v>8.9499999999999993</v>
      </c>
      <c r="C29">
        <v>8.9499999999999993</v>
      </c>
      <c r="D29">
        <f t="shared" si="6"/>
        <v>0</v>
      </c>
      <c r="E29">
        <f t="shared" si="7"/>
        <v>0</v>
      </c>
      <c r="F29">
        <f t="shared" si="8"/>
        <v>0</v>
      </c>
      <c r="H29" t="s">
        <v>100</v>
      </c>
      <c r="I29">
        <v>6.23</v>
      </c>
      <c r="J29">
        <v>8.6300000000000008</v>
      </c>
      <c r="K29">
        <f t="shared" si="9"/>
        <v>2.4000000000000004</v>
      </c>
      <c r="L29">
        <f t="shared" si="10"/>
        <v>5.7600000000000016</v>
      </c>
      <c r="M29">
        <f t="shared" si="11"/>
        <v>1.2318215432756449E-2</v>
      </c>
    </row>
  </sheetData>
  <mergeCells count="4">
    <mergeCell ref="A1:B1"/>
    <mergeCell ref="A21:B21"/>
    <mergeCell ref="H1:I1"/>
    <mergeCell ref="H21:I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9"/>
  <sheetViews>
    <sheetView workbookViewId="0">
      <selection activeCell="I32" sqref="I32"/>
    </sheetView>
  </sheetViews>
  <sheetFormatPr defaultRowHeight="14.25" x14ac:dyDescent="0.45"/>
  <cols>
    <col min="1" max="1" width="26.3984375" customWidth="1"/>
    <col min="9" max="9" width="22" customWidth="1"/>
    <col min="15" max="15" width="22" customWidth="1"/>
    <col min="21" max="21" width="22" customWidth="1"/>
    <col min="22" max="22" width="12" customWidth="1"/>
  </cols>
  <sheetData>
    <row r="1" spans="1:24" x14ac:dyDescent="0.45">
      <c r="A1" t="s">
        <v>119</v>
      </c>
      <c r="B1">
        <v>14.040845327284968</v>
      </c>
      <c r="I1" t="s">
        <v>118</v>
      </c>
      <c r="J1">
        <v>8.9463754450642696</v>
      </c>
      <c r="O1" s="107" t="s">
        <v>117</v>
      </c>
      <c r="P1" s="107">
        <v>11.895886100256199</v>
      </c>
      <c r="U1" t="s">
        <v>116</v>
      </c>
      <c r="V1">
        <v>7.6728465346652532</v>
      </c>
    </row>
    <row r="2" spans="1:24" x14ac:dyDescent="0.45">
      <c r="A2" s="106"/>
      <c r="B2" s="106"/>
      <c r="C2" s="106"/>
      <c r="D2" s="106"/>
    </row>
    <row r="3" spans="1:24" x14ac:dyDescent="0.45">
      <c r="A3" s="106" t="s">
        <v>115</v>
      </c>
      <c r="B3" s="106" t="s">
        <v>35</v>
      </c>
      <c r="C3" s="106" t="s">
        <v>37</v>
      </c>
      <c r="D3" s="106" t="s">
        <v>114</v>
      </c>
      <c r="I3" s="106" t="s">
        <v>115</v>
      </c>
      <c r="J3" s="106" t="s">
        <v>35</v>
      </c>
      <c r="K3" s="106" t="s">
        <v>37</v>
      </c>
      <c r="L3" s="106" t="s">
        <v>114</v>
      </c>
      <c r="O3" s="106" t="s">
        <v>115</v>
      </c>
      <c r="P3" s="106" t="s">
        <v>35</v>
      </c>
      <c r="Q3" s="106" t="s">
        <v>37</v>
      </c>
      <c r="R3" s="106" t="s">
        <v>114</v>
      </c>
      <c r="U3" s="106" t="s">
        <v>115</v>
      </c>
      <c r="V3" s="106" t="s">
        <v>35</v>
      </c>
      <c r="W3" s="106" t="s">
        <v>37</v>
      </c>
      <c r="X3" s="106" t="s">
        <v>114</v>
      </c>
    </row>
    <row r="4" spans="1:24" x14ac:dyDescent="0.45">
      <c r="A4" t="s">
        <v>101</v>
      </c>
      <c r="B4">
        <v>14.04</v>
      </c>
      <c r="C4">
        <v>14.04</v>
      </c>
      <c r="D4">
        <v>0</v>
      </c>
      <c r="I4" t="s">
        <v>100</v>
      </c>
      <c r="J4">
        <v>8.9499999999999993</v>
      </c>
      <c r="K4">
        <v>8.9499999999999993</v>
      </c>
      <c r="L4">
        <v>0</v>
      </c>
      <c r="O4" t="s">
        <v>101</v>
      </c>
      <c r="P4">
        <v>11.9</v>
      </c>
      <c r="Q4">
        <v>11.9</v>
      </c>
      <c r="R4">
        <v>0</v>
      </c>
      <c r="U4" t="s">
        <v>103</v>
      </c>
      <c r="V4">
        <v>7.67</v>
      </c>
      <c r="W4">
        <v>7.67</v>
      </c>
      <c r="X4">
        <v>0</v>
      </c>
    </row>
    <row r="5" spans="1:24" x14ac:dyDescent="0.45">
      <c r="A5" t="s">
        <v>100</v>
      </c>
      <c r="B5">
        <v>14.04</v>
      </c>
      <c r="C5">
        <v>14.04</v>
      </c>
      <c r="D5">
        <v>0</v>
      </c>
      <c r="I5" t="s">
        <v>101</v>
      </c>
      <c r="J5">
        <v>10.01</v>
      </c>
      <c r="K5">
        <v>7.14</v>
      </c>
      <c r="L5">
        <v>3.9181220983865389E-3</v>
      </c>
      <c r="O5" t="s">
        <v>100</v>
      </c>
      <c r="P5">
        <v>9.67</v>
      </c>
      <c r="Q5">
        <v>13.38</v>
      </c>
      <c r="R5">
        <v>2.5067047125487674E-2</v>
      </c>
      <c r="U5" t="s">
        <v>101</v>
      </c>
      <c r="V5">
        <v>7.67</v>
      </c>
      <c r="W5">
        <v>7.67</v>
      </c>
      <c r="X5">
        <v>0</v>
      </c>
    </row>
    <row r="6" spans="1:24" x14ac:dyDescent="0.45">
      <c r="A6" t="s">
        <v>102</v>
      </c>
      <c r="B6">
        <v>11.63</v>
      </c>
      <c r="C6">
        <v>14.04</v>
      </c>
      <c r="D6">
        <v>1.2421081085936219E-2</v>
      </c>
      <c r="I6" t="s">
        <v>103</v>
      </c>
      <c r="J6">
        <v>12.78</v>
      </c>
      <c r="K6">
        <v>5.0599999999999996</v>
      </c>
      <c r="L6">
        <v>2.8349719927215369E-2</v>
      </c>
      <c r="O6" t="s">
        <v>103</v>
      </c>
      <c r="P6">
        <v>14.28</v>
      </c>
      <c r="Q6">
        <v>9.52</v>
      </c>
      <c r="R6">
        <v>4.1263804168122087E-2</v>
      </c>
      <c r="U6" t="s">
        <v>105</v>
      </c>
      <c r="V6">
        <v>6.96</v>
      </c>
      <c r="W6">
        <v>8.2100000000000009</v>
      </c>
      <c r="X6">
        <v>3.341529794042009E-3</v>
      </c>
    </row>
    <row r="7" spans="1:24" x14ac:dyDescent="0.45">
      <c r="A7" t="s">
        <v>103</v>
      </c>
      <c r="B7">
        <v>16.850000000000001</v>
      </c>
      <c r="C7">
        <v>11.23</v>
      </c>
      <c r="D7">
        <v>6.7545736721241811E-2</v>
      </c>
      <c r="I7" t="s">
        <v>102</v>
      </c>
      <c r="J7">
        <v>1.9</v>
      </c>
      <c r="K7">
        <v>10.58</v>
      </c>
      <c r="L7">
        <v>3.5838813435331004E-2</v>
      </c>
      <c r="O7" t="s">
        <v>102</v>
      </c>
      <c r="P7">
        <v>7.44</v>
      </c>
      <c r="Q7">
        <v>12.9</v>
      </c>
      <c r="R7">
        <v>5.4292600466880364E-2</v>
      </c>
      <c r="U7" t="s">
        <v>100</v>
      </c>
      <c r="V7">
        <v>6.23</v>
      </c>
      <c r="W7">
        <v>8.6300000000000008</v>
      </c>
      <c r="X7">
        <v>1.2318215432756449E-2</v>
      </c>
    </row>
    <row r="8" spans="1:24" x14ac:dyDescent="0.45">
      <c r="A8" t="s">
        <v>104</v>
      </c>
      <c r="B8">
        <v>7.43</v>
      </c>
      <c r="C8">
        <v>14.04</v>
      </c>
      <c r="D8">
        <v>9.3439010505128081E-2</v>
      </c>
      <c r="I8" t="s">
        <v>105</v>
      </c>
      <c r="J8">
        <v>-8.5</v>
      </c>
      <c r="K8">
        <v>20.37</v>
      </c>
      <c r="L8">
        <v>0.39646763471508789</v>
      </c>
      <c r="O8" t="s">
        <v>104</v>
      </c>
      <c r="P8">
        <v>4.76</v>
      </c>
      <c r="Q8">
        <v>19.100000000000001</v>
      </c>
      <c r="R8">
        <v>0.37450158571050279</v>
      </c>
      <c r="U8" t="s">
        <v>102</v>
      </c>
      <c r="V8">
        <v>4.8</v>
      </c>
      <c r="W8">
        <v>8.34</v>
      </c>
      <c r="X8">
        <v>2.6799817450890741E-2</v>
      </c>
    </row>
    <row r="9" spans="1:24" x14ac:dyDescent="0.45">
      <c r="A9" t="s">
        <v>105</v>
      </c>
      <c r="B9">
        <v>2.81</v>
      </c>
      <c r="C9">
        <v>22.47</v>
      </c>
      <c r="D9">
        <v>0.826594171687694</v>
      </c>
      <c r="I9" t="s">
        <v>104</v>
      </c>
      <c r="J9">
        <v>-3.04</v>
      </c>
      <c r="K9">
        <v>30.51</v>
      </c>
      <c r="L9">
        <v>0.53542570982397919</v>
      </c>
      <c r="O9" t="s">
        <v>105</v>
      </c>
      <c r="P9">
        <v>2.38</v>
      </c>
      <c r="Q9">
        <v>19.03</v>
      </c>
      <c r="R9">
        <v>0.50487496252900699</v>
      </c>
      <c r="U9" t="s">
        <v>104</v>
      </c>
      <c r="V9">
        <v>3.07</v>
      </c>
      <c r="W9">
        <v>16.88</v>
      </c>
      <c r="X9">
        <v>0.40786145942623625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"/>
  <sheetViews>
    <sheetView workbookViewId="0">
      <selection activeCell="F13" sqref="F13"/>
    </sheetView>
  </sheetViews>
  <sheetFormatPr defaultRowHeight="14.25" x14ac:dyDescent="0.45"/>
  <sheetData>
    <row r="1" spans="1:12" x14ac:dyDescent="0.45">
      <c r="B1" t="s">
        <v>125</v>
      </c>
      <c r="C1" t="s">
        <v>124</v>
      </c>
      <c r="D1" t="s">
        <v>35</v>
      </c>
      <c r="E1" t="s">
        <v>123</v>
      </c>
      <c r="G1" s="119" t="s">
        <v>83</v>
      </c>
      <c r="H1" s="119"/>
      <c r="I1" s="119"/>
      <c r="J1" s="119"/>
      <c r="K1" s="119"/>
      <c r="L1" s="119"/>
    </row>
    <row r="2" spans="1:12" x14ac:dyDescent="0.45">
      <c r="A2" t="s">
        <v>122</v>
      </c>
      <c r="B2">
        <v>14.04</v>
      </c>
      <c r="C2">
        <v>19.66</v>
      </c>
      <c r="D2">
        <v>1.86</v>
      </c>
      <c r="E2">
        <v>14.04</v>
      </c>
      <c r="I2" t="s">
        <v>79</v>
      </c>
      <c r="J2" t="s">
        <v>80</v>
      </c>
      <c r="K2" t="s">
        <v>81</v>
      </c>
      <c r="L2" t="s">
        <v>82</v>
      </c>
    </row>
    <row r="3" spans="1:12" x14ac:dyDescent="0.45">
      <c r="A3" t="s">
        <v>121</v>
      </c>
      <c r="B3">
        <v>8.9499999999999993</v>
      </c>
      <c r="C3">
        <v>46.69</v>
      </c>
      <c r="D3">
        <v>-10</v>
      </c>
      <c r="E3">
        <v>8.9499999999999993</v>
      </c>
      <c r="G3" t="s">
        <v>94</v>
      </c>
      <c r="I3">
        <v>11.357047462671101</v>
      </c>
      <c r="J3">
        <v>7.8869277911037461</v>
      </c>
      <c r="K3">
        <v>10.497902148367951</v>
      </c>
      <c r="L3">
        <v>8.0151921863284343</v>
      </c>
    </row>
    <row r="4" spans="1:12" x14ac:dyDescent="0.45">
      <c r="A4" t="s">
        <v>120</v>
      </c>
      <c r="B4">
        <v>11.9</v>
      </c>
      <c r="C4">
        <v>26.73</v>
      </c>
      <c r="D4">
        <v>0.97</v>
      </c>
      <c r="E4">
        <v>11.9</v>
      </c>
      <c r="G4" t="s">
        <v>93</v>
      </c>
      <c r="I4">
        <v>10.545158200350798</v>
      </c>
      <c r="J4">
        <v>3.8440140967086935</v>
      </c>
      <c r="K4">
        <v>9.4896107545675843</v>
      </c>
      <c r="L4">
        <v>7.615184434899497</v>
      </c>
    </row>
    <row r="5" spans="1:12" x14ac:dyDescent="0.45">
      <c r="A5" t="s">
        <v>116</v>
      </c>
      <c r="B5">
        <v>7.67</v>
      </c>
      <c r="C5">
        <v>22.08</v>
      </c>
      <c r="D5">
        <v>1.42</v>
      </c>
      <c r="E5">
        <v>7.67</v>
      </c>
      <c r="G5" t="s">
        <v>86</v>
      </c>
      <c r="I5">
        <v>-0.70362813947826464</v>
      </c>
      <c r="J5">
        <v>-0.87973565980198798</v>
      </c>
      <c r="K5">
        <v>-0.72882592719379613</v>
      </c>
      <c r="L5">
        <v>-0.77581632518605281</v>
      </c>
    </row>
  </sheetData>
  <mergeCells count="1">
    <mergeCell ref="G1:L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40" zoomScaleNormal="40" workbookViewId="0">
      <selection activeCell="Q29" sqref="Q29"/>
    </sheetView>
  </sheetViews>
  <sheetFormatPr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Sheet1</vt:lpstr>
      <vt:lpstr>Sheet2</vt:lpstr>
      <vt:lpstr>Sheet3</vt:lpstr>
      <vt:lpstr>Sheet4</vt:lpstr>
      <vt:lpstr>Sheet5</vt:lpstr>
      <vt:lpstr>Sheet7</vt:lpstr>
      <vt:lpstr>Sheet8</vt:lpstr>
      <vt:lpstr>Sheet6</vt:lpstr>
      <vt:lpstr>Sheet9</vt:lpstr>
      <vt:lpstr>Sheet10</vt:lpstr>
      <vt:lpstr>Tornado Data</vt:lpstr>
      <vt:lpstr>TORNADOES AAAHHH!!!</vt:lpstr>
      <vt:lpstr>Hi-Base-Lo</vt:lpstr>
      <vt:lpstr>Decision Tree</vt:lpstr>
      <vt:lpstr>dem_g_PD</vt:lpstr>
      <vt:lpstr>dem_RBL</vt:lpstr>
      <vt:lpstr>discount_rate</vt:lpstr>
      <vt:lpstr>mult_PD</vt:lpstr>
      <vt:lpstr>plant_const</vt:lpstr>
      <vt:lpstr>prod_PuD</vt:lpstr>
      <vt:lpstr>prod_w_exp</vt:lpstr>
      <vt:lpstr>prod_wo_exp</vt:lpstr>
      <vt:lpstr>risk_tol</vt:lpstr>
      <vt:lpstr>strategy</vt:lpstr>
      <vt:lpstr>strategy_name</vt:lpstr>
      <vt:lpstr>tax_rate</vt:lpstr>
      <vt:lpstr>unit_prod</vt:lpstr>
      <vt:lpstr>unit_rev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</cp:lastModifiedBy>
  <dcterms:created xsi:type="dcterms:W3CDTF">2017-02-14T19:18:30Z</dcterms:created>
  <dcterms:modified xsi:type="dcterms:W3CDTF">2017-02-21T14:49:13Z</dcterms:modified>
</cp:coreProperties>
</file>