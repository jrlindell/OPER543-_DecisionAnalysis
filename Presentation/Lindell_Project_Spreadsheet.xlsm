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otb\Desktop\School\OPER 543\Project\"/>
    </mc:Choice>
  </mc:AlternateContent>
  <bookViews>
    <workbookView xWindow="0" yWindow="0" windowWidth="22500" windowHeight="10305" firstSheet="7" activeTab="15"/>
  </bookViews>
  <sheets>
    <sheet name="Sheet1" sheetId="1" r:id="rId1"/>
    <sheet name="BaseS1" sheetId="2" r:id="rId2"/>
    <sheet name="BaseS2" sheetId="3" r:id="rId3"/>
    <sheet name="BaseS3" sheetId="4" r:id="rId4"/>
    <sheet name="BaseS4" sheetId="5" r:id="rId5"/>
    <sheet name="Total" sheetId="7" r:id="rId6"/>
    <sheet name="EEMRCS1" sheetId="8" r:id="rId7"/>
    <sheet name="EEMRCS2" sheetId="9" r:id="rId8"/>
    <sheet name="EEMRCS3" sheetId="10" r:id="rId9"/>
    <sheet name="EEMRCS4" sheetId="11" r:id="rId10"/>
    <sheet name="Tornado Data" sheetId="12" r:id="rId11"/>
    <sheet name="TORNADOES AAAHHH!!!" sheetId="13" r:id="rId12"/>
    <sheet name="Hi-Base-Lo" sheetId="14" r:id="rId13"/>
    <sheet name="Decision Tree" sheetId="15" r:id="rId14"/>
    <sheet name="CDF" sheetId="16" r:id="rId15"/>
    <sheet name="Sheet12" sheetId="17" r:id="rId16"/>
  </sheets>
  <externalReferences>
    <externalReference r:id="rId17"/>
  </externalReferences>
  <definedNames>
    <definedName name="dem_g_PD" localSheetId="13">[1]Sheet1!$K$32</definedName>
    <definedName name="dem_g_PD" localSheetId="12">[1]Sheet1!$K$32</definedName>
    <definedName name="dem_g_PD" localSheetId="10">[1]Sheet1!$K$32</definedName>
    <definedName name="dem_g_PD" localSheetId="11">[1]Sheet1!$K$32</definedName>
    <definedName name="dem_g_PD">Sheet1!$K$32</definedName>
    <definedName name="dem_RBL" localSheetId="13">[1]Sheet1!$K$31</definedName>
    <definedName name="dem_RBL" localSheetId="12">[1]Sheet1!$K$31</definedName>
    <definedName name="dem_RBL" localSheetId="10">[1]Sheet1!$K$31</definedName>
    <definedName name="dem_RBL" localSheetId="11">[1]Sheet1!$K$31</definedName>
    <definedName name="dem_RBL">Sheet1!$K$31</definedName>
    <definedName name="discount_rate" localSheetId="13">[1]Sheet1!$I$18</definedName>
    <definedName name="discount_rate" localSheetId="12">[1]Sheet1!$I$18</definedName>
    <definedName name="discount_rate" localSheetId="10">[1]Sheet1!$I$18</definedName>
    <definedName name="discount_rate" localSheetId="11">[1]Sheet1!$I$18</definedName>
    <definedName name="discount_rate">Sheet1!$I$18</definedName>
    <definedName name="mult_PD" localSheetId="13">[1]Sheet1!$K$33</definedName>
    <definedName name="mult_PD" localSheetId="12">[1]Sheet1!$K$33</definedName>
    <definedName name="mult_PD" localSheetId="10">[1]Sheet1!$K$33</definedName>
    <definedName name="mult_PD" localSheetId="11">[1]Sheet1!$K$33</definedName>
    <definedName name="mult_PD">Sheet1!$K$33</definedName>
    <definedName name="plant_const" localSheetId="13">[1]Sheet1!$K$34</definedName>
    <definedName name="plant_const" localSheetId="12">[1]Sheet1!$K$34</definedName>
    <definedName name="plant_const" localSheetId="10">[1]Sheet1!$K$34</definedName>
    <definedName name="plant_const" localSheetId="11">[1]Sheet1!$K$34</definedName>
    <definedName name="plant_const">Sheet1!$K$34</definedName>
    <definedName name="prod_PuD" localSheetId="13">[1]Sheet1!$I$23</definedName>
    <definedName name="prod_PuD" localSheetId="12">[1]Sheet1!$I$23</definedName>
    <definedName name="prod_PuD" localSheetId="10">[1]Sheet1!$I$23</definedName>
    <definedName name="prod_PuD" localSheetId="11">[1]Sheet1!$I$23</definedName>
    <definedName name="prod_PuD">Sheet1!$I$23</definedName>
    <definedName name="prod_w_exp" localSheetId="13">[1]Sheet1!$I$22</definedName>
    <definedName name="prod_w_exp" localSheetId="12">[1]Sheet1!$I$22</definedName>
    <definedName name="prod_w_exp" localSheetId="10">[1]Sheet1!$I$22</definedName>
    <definedName name="prod_w_exp" localSheetId="11">[1]Sheet1!$I$22</definedName>
    <definedName name="prod_w_exp">Sheet1!$I$22</definedName>
    <definedName name="prod_wo_exp" localSheetId="13">[1]Sheet1!$I$21</definedName>
    <definedName name="prod_wo_exp" localSheetId="12">[1]Sheet1!$I$21</definedName>
    <definedName name="prod_wo_exp" localSheetId="10">[1]Sheet1!$I$21</definedName>
    <definedName name="prod_wo_exp" localSheetId="11">[1]Sheet1!$I$21</definedName>
    <definedName name="prod_wo_exp">Sheet1!$I$21</definedName>
    <definedName name="risk_tol" localSheetId="13">[1]Sheet1!$I$24</definedName>
    <definedName name="risk_tol" localSheetId="12">[1]Sheet1!$I$24</definedName>
    <definedName name="risk_tol" localSheetId="10">[1]Sheet1!$I$24</definedName>
    <definedName name="risk_tol" localSheetId="11">[1]Sheet1!$I$24</definedName>
    <definedName name="risk_tol">Sheet1!$I$24</definedName>
    <definedName name="strategy" localSheetId="13">[1]Sheet1!$K$5</definedName>
    <definedName name="strategy" localSheetId="12">[1]Sheet1!$K$5</definedName>
    <definedName name="strategy" localSheetId="10">[1]Sheet1!$K$5</definedName>
    <definedName name="strategy" localSheetId="11">[1]Sheet1!$K$5</definedName>
    <definedName name="strategy">Sheet1!$K$5</definedName>
    <definedName name="strategy_name" localSheetId="13">[1]Sheet1!$K$6</definedName>
    <definedName name="strategy_name" localSheetId="12">[1]Sheet1!$K$6</definedName>
    <definedName name="strategy_name" localSheetId="10">[1]Sheet1!$K$6</definedName>
    <definedName name="strategy_name" localSheetId="11">[1]Sheet1!$K$6</definedName>
    <definedName name="strategy_name">Sheet1!$K$6</definedName>
    <definedName name="tax_rate" localSheetId="13">[1]Sheet1!$I$19</definedName>
    <definedName name="tax_rate" localSheetId="12">[1]Sheet1!$I$19</definedName>
    <definedName name="tax_rate" localSheetId="10">[1]Sheet1!$I$19</definedName>
    <definedName name="tax_rate" localSheetId="11">[1]Sheet1!$I$19</definedName>
    <definedName name="tax_rate">Sheet1!$I$19</definedName>
    <definedName name="unit_prod" localSheetId="13">[1]Sheet1!$K$35</definedName>
    <definedName name="unit_prod" localSheetId="12">[1]Sheet1!$K$35</definedName>
    <definedName name="unit_prod" localSheetId="10">[1]Sheet1!$K$35</definedName>
    <definedName name="unit_prod" localSheetId="11">[1]Sheet1!$K$35</definedName>
    <definedName name="unit_prod">Sheet1!$K$35</definedName>
    <definedName name="unit_rev" localSheetId="13">[1]Sheet1!$K$36</definedName>
    <definedName name="unit_rev" localSheetId="12">[1]Sheet1!$K$36</definedName>
    <definedName name="unit_rev" localSheetId="10">[1]Sheet1!$K$36</definedName>
    <definedName name="unit_rev" localSheetId="11">[1]Sheet1!$K$36</definedName>
    <definedName name="unit_rev">Sheet1!$K$36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2" i="1" l="1"/>
  <c r="J62" i="1"/>
  <c r="K62" i="1"/>
  <c r="L62" i="1"/>
  <c r="M62" i="1"/>
  <c r="N62" i="1"/>
  <c r="O62" i="1"/>
  <c r="P62" i="1"/>
  <c r="Q62" i="1"/>
  <c r="H62" i="1"/>
  <c r="D9" i="17"/>
  <c r="D7" i="17"/>
  <c r="D8" i="17"/>
  <c r="D4" i="17"/>
  <c r="D5" i="17"/>
  <c r="D6" i="17"/>
  <c r="D3" i="17"/>
  <c r="D28" i="7"/>
  <c r="E28" i="7"/>
  <c r="E29" i="7" s="1"/>
  <c r="E27" i="7" s="1"/>
  <c r="F28" i="7"/>
  <c r="F29" i="7" s="1"/>
  <c r="F27" i="7" s="1"/>
  <c r="C28" i="7"/>
  <c r="D29" i="7"/>
  <c r="D27" i="7" s="1"/>
  <c r="E38" i="7"/>
  <c r="C38" i="7"/>
  <c r="D38" i="7"/>
  <c r="B38" i="7"/>
  <c r="X30" i="1"/>
  <c r="X31" i="1"/>
  <c r="X29" i="1"/>
  <c r="D7" i="7" l="1"/>
  <c r="E7" i="7"/>
  <c r="F7" i="7"/>
  <c r="C7" i="7"/>
  <c r="C25" i="7"/>
  <c r="D25" i="7"/>
  <c r="E25" i="7"/>
  <c r="F25" i="7"/>
  <c r="C26" i="7"/>
  <c r="D26" i="7"/>
  <c r="E26" i="7"/>
  <c r="F26" i="7"/>
  <c r="C19" i="7"/>
  <c r="D19" i="7"/>
  <c r="B19" i="7"/>
  <c r="E19" i="7" s="1"/>
  <c r="S6" i="9"/>
  <c r="C29" i="7" l="1"/>
  <c r="C27" i="7" s="1"/>
  <c r="S2" i="9"/>
  <c r="S4" i="9" s="1"/>
  <c r="Q3" i="4"/>
  <c r="R3" i="4"/>
  <c r="S3" i="4"/>
  <c r="Q4" i="4"/>
  <c r="R4" i="4"/>
  <c r="S4" i="4"/>
  <c r="Q5" i="4"/>
  <c r="R5" i="4"/>
  <c r="S5" i="4"/>
  <c r="Q6" i="4"/>
  <c r="R6" i="4"/>
  <c r="S6" i="4"/>
  <c r="Q7" i="4"/>
  <c r="R7" i="4"/>
  <c r="S7" i="4"/>
  <c r="Q8" i="4"/>
  <c r="R8" i="4"/>
  <c r="S8" i="4"/>
  <c r="Q9" i="4"/>
  <c r="R9" i="4"/>
  <c r="S9" i="4"/>
  <c r="Q10" i="4"/>
  <c r="R10" i="4"/>
  <c r="S10" i="4"/>
  <c r="Q11" i="4"/>
  <c r="R11" i="4"/>
  <c r="S11" i="4"/>
  <c r="Q12" i="4"/>
  <c r="R12" i="4"/>
  <c r="S12" i="4"/>
  <c r="Q13" i="4"/>
  <c r="R13" i="4"/>
  <c r="S13" i="4"/>
  <c r="Q14" i="4"/>
  <c r="R14" i="4"/>
  <c r="S14" i="4"/>
  <c r="Q15" i="4"/>
  <c r="R15" i="4"/>
  <c r="S15" i="4"/>
  <c r="Q16" i="4"/>
  <c r="R16" i="4"/>
  <c r="S16" i="4"/>
  <c r="Q17" i="4"/>
  <c r="R17" i="4"/>
  <c r="S17" i="4"/>
  <c r="Q18" i="4"/>
  <c r="R18" i="4"/>
  <c r="S18" i="4"/>
  <c r="Q19" i="4"/>
  <c r="R19" i="4"/>
  <c r="S19" i="4"/>
  <c r="Q20" i="4"/>
  <c r="R20" i="4"/>
  <c r="S20" i="4"/>
  <c r="Q21" i="4"/>
  <c r="R21" i="4"/>
  <c r="S21" i="4"/>
  <c r="Q22" i="4"/>
  <c r="R22" i="4"/>
  <c r="S22" i="4"/>
  <c r="Q23" i="4"/>
  <c r="R23" i="4"/>
  <c r="S23" i="4"/>
  <c r="Q24" i="4"/>
  <c r="R24" i="4"/>
  <c r="S24" i="4"/>
  <c r="Q25" i="4"/>
  <c r="R25" i="4"/>
  <c r="S25" i="4"/>
  <c r="Q26" i="4"/>
  <c r="R26" i="4"/>
  <c r="S26" i="4"/>
  <c r="Q27" i="4"/>
  <c r="R27" i="4"/>
  <c r="S27" i="4"/>
  <c r="Q28" i="4"/>
  <c r="R28" i="4"/>
  <c r="S28" i="4"/>
  <c r="Q29" i="4"/>
  <c r="R29" i="4"/>
  <c r="S29" i="4"/>
  <c r="Q30" i="4"/>
  <c r="R30" i="4"/>
  <c r="S30" i="4"/>
  <c r="Q31" i="4"/>
  <c r="R31" i="4"/>
  <c r="S31" i="4"/>
  <c r="Q32" i="4"/>
  <c r="R32" i="4"/>
  <c r="S32" i="4"/>
  <c r="Q33" i="4"/>
  <c r="R33" i="4"/>
  <c r="S33" i="4"/>
  <c r="Q34" i="4"/>
  <c r="R34" i="4"/>
  <c r="S34" i="4"/>
  <c r="Q35" i="4"/>
  <c r="R35" i="4"/>
  <c r="S35" i="4"/>
  <c r="Q36" i="4"/>
  <c r="R36" i="4"/>
  <c r="S36" i="4"/>
  <c r="Q37" i="4"/>
  <c r="R37" i="4"/>
  <c r="S37" i="4"/>
  <c r="Q38" i="4"/>
  <c r="R38" i="4"/>
  <c r="S38" i="4"/>
  <c r="Q39" i="4"/>
  <c r="R39" i="4"/>
  <c r="S39" i="4"/>
  <c r="Q40" i="4"/>
  <c r="R40" i="4"/>
  <c r="S40" i="4"/>
  <c r="Q41" i="4"/>
  <c r="R41" i="4"/>
  <c r="S41" i="4"/>
  <c r="Q42" i="4"/>
  <c r="R42" i="4"/>
  <c r="S42" i="4"/>
  <c r="Q43" i="4"/>
  <c r="R43" i="4"/>
  <c r="S43" i="4"/>
  <c r="Q44" i="4"/>
  <c r="R44" i="4"/>
  <c r="S44" i="4"/>
  <c r="Q45" i="4"/>
  <c r="R45" i="4"/>
  <c r="S45" i="4"/>
  <c r="Q46" i="4"/>
  <c r="R46" i="4"/>
  <c r="S46" i="4"/>
  <c r="Q47" i="4"/>
  <c r="R47" i="4"/>
  <c r="S47" i="4"/>
  <c r="Q48" i="4"/>
  <c r="R48" i="4"/>
  <c r="S48" i="4"/>
  <c r="Q49" i="4"/>
  <c r="R49" i="4"/>
  <c r="S49" i="4"/>
  <c r="Q50" i="4"/>
  <c r="R50" i="4"/>
  <c r="S50" i="4"/>
  <c r="Q51" i="4"/>
  <c r="R51" i="4"/>
  <c r="S51" i="4"/>
  <c r="Q52" i="4"/>
  <c r="R52" i="4"/>
  <c r="S52" i="4"/>
  <c r="Q53" i="4"/>
  <c r="R53" i="4"/>
  <c r="S53" i="4"/>
  <c r="Q54" i="4"/>
  <c r="R54" i="4"/>
  <c r="S54" i="4"/>
  <c r="Q55" i="4"/>
  <c r="R55" i="4"/>
  <c r="S55" i="4"/>
  <c r="Q56" i="4"/>
  <c r="R56" i="4"/>
  <c r="S56" i="4"/>
  <c r="Q57" i="4"/>
  <c r="R57" i="4"/>
  <c r="S57" i="4"/>
  <c r="Q58" i="4"/>
  <c r="R58" i="4"/>
  <c r="S58" i="4"/>
  <c r="Q59" i="4"/>
  <c r="R59" i="4"/>
  <c r="S59" i="4"/>
  <c r="Q60" i="4"/>
  <c r="R60" i="4"/>
  <c r="S60" i="4"/>
  <c r="Q61" i="4"/>
  <c r="R61" i="4"/>
  <c r="S61" i="4"/>
  <c r="Q62" i="4"/>
  <c r="R62" i="4"/>
  <c r="S62" i="4"/>
  <c r="Q63" i="4"/>
  <c r="R63" i="4"/>
  <c r="S63" i="4"/>
  <c r="Q64" i="4"/>
  <c r="R64" i="4"/>
  <c r="S64" i="4"/>
  <c r="Q65" i="4"/>
  <c r="R65" i="4"/>
  <c r="S65" i="4"/>
  <c r="Q66" i="4"/>
  <c r="R66" i="4"/>
  <c r="S66" i="4"/>
  <c r="Q67" i="4"/>
  <c r="R67" i="4"/>
  <c r="S67" i="4"/>
  <c r="Q68" i="4"/>
  <c r="R68" i="4"/>
  <c r="S68" i="4"/>
  <c r="Q69" i="4"/>
  <c r="R69" i="4"/>
  <c r="S69" i="4"/>
  <c r="Q70" i="4"/>
  <c r="R70" i="4"/>
  <c r="S70" i="4"/>
  <c r="Q71" i="4"/>
  <c r="R71" i="4"/>
  <c r="S71" i="4"/>
  <c r="Q72" i="4"/>
  <c r="R72" i="4"/>
  <c r="S72" i="4"/>
  <c r="Q73" i="4"/>
  <c r="R73" i="4"/>
  <c r="S73" i="4"/>
  <c r="Q74" i="4"/>
  <c r="R74" i="4"/>
  <c r="S74" i="4"/>
  <c r="Q75" i="4"/>
  <c r="R75" i="4"/>
  <c r="S75" i="4"/>
  <c r="Q76" i="4"/>
  <c r="R76" i="4"/>
  <c r="S76" i="4"/>
  <c r="Q77" i="4"/>
  <c r="R77" i="4"/>
  <c r="S77" i="4"/>
  <c r="Q78" i="4"/>
  <c r="R78" i="4"/>
  <c r="S78" i="4"/>
  <c r="Q79" i="4"/>
  <c r="R79" i="4"/>
  <c r="S79" i="4"/>
  <c r="Q80" i="4"/>
  <c r="R80" i="4"/>
  <c r="S80" i="4"/>
  <c r="Q81" i="4"/>
  <c r="R81" i="4"/>
  <c r="S81" i="4"/>
  <c r="Q82" i="4"/>
  <c r="R82" i="4"/>
  <c r="S82" i="4"/>
  <c r="Q83" i="4"/>
  <c r="R83" i="4"/>
  <c r="S83" i="4"/>
  <c r="Q84" i="4"/>
  <c r="R84" i="4"/>
  <c r="S84" i="4"/>
  <c r="Q85" i="4"/>
  <c r="R85" i="4"/>
  <c r="S85" i="4"/>
  <c r="Q86" i="4"/>
  <c r="R86" i="4"/>
  <c r="S86" i="4"/>
  <c r="Q87" i="4"/>
  <c r="R87" i="4"/>
  <c r="S87" i="4"/>
  <c r="Q88" i="4"/>
  <c r="R88" i="4"/>
  <c r="S88" i="4"/>
  <c r="Q89" i="4"/>
  <c r="R89" i="4"/>
  <c r="S89" i="4"/>
  <c r="Q90" i="4"/>
  <c r="R90" i="4"/>
  <c r="S90" i="4"/>
  <c r="Q91" i="4"/>
  <c r="R91" i="4"/>
  <c r="S91" i="4"/>
  <c r="Q92" i="4"/>
  <c r="R92" i="4"/>
  <c r="S92" i="4"/>
  <c r="Q93" i="4"/>
  <c r="R93" i="4"/>
  <c r="S93" i="4"/>
  <c r="Q94" i="4"/>
  <c r="R94" i="4"/>
  <c r="S94" i="4"/>
  <c r="Q95" i="4"/>
  <c r="R95" i="4"/>
  <c r="S95" i="4"/>
  <c r="Q96" i="4"/>
  <c r="R96" i="4"/>
  <c r="S96" i="4"/>
  <c r="Q97" i="4"/>
  <c r="R97" i="4"/>
  <c r="S97" i="4"/>
  <c r="Q98" i="4"/>
  <c r="R98" i="4"/>
  <c r="S98" i="4"/>
  <c r="Q99" i="4"/>
  <c r="R99" i="4"/>
  <c r="S99" i="4"/>
  <c r="Q100" i="4"/>
  <c r="R100" i="4"/>
  <c r="S100" i="4"/>
  <c r="Q101" i="4"/>
  <c r="R101" i="4"/>
  <c r="S101" i="4"/>
  <c r="Q102" i="4"/>
  <c r="R102" i="4"/>
  <c r="S102" i="4"/>
  <c r="Q103" i="4"/>
  <c r="R103" i="4"/>
  <c r="S103" i="4"/>
  <c r="Q104" i="4"/>
  <c r="R104" i="4"/>
  <c r="S104" i="4"/>
  <c r="Q105" i="4"/>
  <c r="R105" i="4"/>
  <c r="S105" i="4"/>
  <c r="Q106" i="4"/>
  <c r="R106" i="4"/>
  <c r="S106" i="4"/>
  <c r="Q107" i="4"/>
  <c r="R107" i="4"/>
  <c r="S107" i="4"/>
  <c r="Q108" i="4"/>
  <c r="R108" i="4"/>
  <c r="S108" i="4"/>
  <c r="Q109" i="4"/>
  <c r="R109" i="4"/>
  <c r="S109" i="4"/>
  <c r="Q110" i="4"/>
  <c r="R110" i="4"/>
  <c r="S110" i="4"/>
  <c r="Q111" i="4"/>
  <c r="R111" i="4"/>
  <c r="S111" i="4"/>
  <c r="Q112" i="4"/>
  <c r="R112" i="4"/>
  <c r="S112" i="4"/>
  <c r="Q113" i="4"/>
  <c r="R113" i="4"/>
  <c r="S113" i="4"/>
  <c r="Q114" i="4"/>
  <c r="R114" i="4"/>
  <c r="S114" i="4"/>
  <c r="Q115" i="4"/>
  <c r="R115" i="4"/>
  <c r="S115" i="4"/>
  <c r="Q116" i="4"/>
  <c r="R116" i="4"/>
  <c r="S116" i="4"/>
  <c r="Q117" i="4"/>
  <c r="R117" i="4"/>
  <c r="S117" i="4"/>
  <c r="Q118" i="4"/>
  <c r="R118" i="4"/>
  <c r="S118" i="4"/>
  <c r="Q119" i="4"/>
  <c r="R119" i="4"/>
  <c r="S119" i="4"/>
  <c r="Q120" i="4"/>
  <c r="R120" i="4"/>
  <c r="S120" i="4"/>
  <c r="Q121" i="4"/>
  <c r="R121" i="4"/>
  <c r="S121" i="4"/>
  <c r="Q122" i="4"/>
  <c r="R122" i="4"/>
  <c r="S122" i="4"/>
  <c r="Q123" i="4"/>
  <c r="R123" i="4"/>
  <c r="S123" i="4"/>
  <c r="Q124" i="4"/>
  <c r="R124" i="4"/>
  <c r="S124" i="4"/>
  <c r="Q125" i="4"/>
  <c r="R125" i="4"/>
  <c r="S125" i="4"/>
  <c r="Q126" i="4"/>
  <c r="R126" i="4"/>
  <c r="S126" i="4"/>
  <c r="Q127" i="4"/>
  <c r="R127" i="4"/>
  <c r="S127" i="4"/>
  <c r="Q128" i="4"/>
  <c r="R128" i="4"/>
  <c r="S128" i="4"/>
  <c r="Q129" i="4"/>
  <c r="R129" i="4"/>
  <c r="S129" i="4"/>
  <c r="Q130" i="4"/>
  <c r="R130" i="4"/>
  <c r="S130" i="4"/>
  <c r="Q131" i="4"/>
  <c r="R131" i="4"/>
  <c r="S131" i="4"/>
  <c r="Q132" i="4"/>
  <c r="R132" i="4"/>
  <c r="S132" i="4"/>
  <c r="Q133" i="4"/>
  <c r="R133" i="4"/>
  <c r="S133" i="4"/>
  <c r="Q134" i="4"/>
  <c r="R134" i="4"/>
  <c r="S134" i="4"/>
  <c r="Q135" i="4"/>
  <c r="R135" i="4"/>
  <c r="S135" i="4"/>
  <c r="Q136" i="4"/>
  <c r="R136" i="4"/>
  <c r="S136" i="4"/>
  <c r="Q137" i="4"/>
  <c r="R137" i="4"/>
  <c r="S137" i="4"/>
  <c r="Q138" i="4"/>
  <c r="R138" i="4"/>
  <c r="S138" i="4"/>
  <c r="Q139" i="4"/>
  <c r="R139" i="4"/>
  <c r="S139" i="4"/>
  <c r="Q140" i="4"/>
  <c r="R140" i="4"/>
  <c r="S140" i="4"/>
  <c r="Q141" i="4"/>
  <c r="R141" i="4"/>
  <c r="S141" i="4"/>
  <c r="Q142" i="4"/>
  <c r="R142" i="4"/>
  <c r="S142" i="4"/>
  <c r="Q143" i="4"/>
  <c r="R143" i="4"/>
  <c r="S143" i="4"/>
  <c r="Q144" i="4"/>
  <c r="R144" i="4"/>
  <c r="S144" i="4"/>
  <c r="Q145" i="4"/>
  <c r="R145" i="4"/>
  <c r="S145" i="4"/>
  <c r="Q146" i="4"/>
  <c r="R146" i="4"/>
  <c r="S146" i="4"/>
  <c r="Q147" i="4"/>
  <c r="R147" i="4"/>
  <c r="S147" i="4"/>
  <c r="Q148" i="4"/>
  <c r="R148" i="4"/>
  <c r="S148" i="4"/>
  <c r="Q149" i="4"/>
  <c r="R149" i="4"/>
  <c r="S149" i="4"/>
  <c r="Q150" i="4"/>
  <c r="R150" i="4"/>
  <c r="S150" i="4"/>
  <c r="Q151" i="4"/>
  <c r="R151" i="4"/>
  <c r="S151" i="4"/>
  <c r="Q152" i="4"/>
  <c r="R152" i="4"/>
  <c r="S152" i="4"/>
  <c r="Q153" i="4"/>
  <c r="R153" i="4"/>
  <c r="S153" i="4"/>
  <c r="Q154" i="4"/>
  <c r="R154" i="4"/>
  <c r="S154" i="4"/>
  <c r="Q155" i="4"/>
  <c r="R155" i="4"/>
  <c r="S155" i="4"/>
  <c r="Q156" i="4"/>
  <c r="R156" i="4"/>
  <c r="S156" i="4"/>
  <c r="Q157" i="4"/>
  <c r="R157" i="4"/>
  <c r="S157" i="4"/>
  <c r="Q158" i="4"/>
  <c r="R158" i="4"/>
  <c r="S158" i="4"/>
  <c r="Q159" i="4"/>
  <c r="R159" i="4"/>
  <c r="S159" i="4"/>
  <c r="Q160" i="4"/>
  <c r="R160" i="4"/>
  <c r="S160" i="4"/>
  <c r="Q161" i="4"/>
  <c r="R161" i="4"/>
  <c r="S161" i="4"/>
  <c r="Q162" i="4"/>
  <c r="R162" i="4"/>
  <c r="S162" i="4"/>
  <c r="Q163" i="4"/>
  <c r="R163" i="4"/>
  <c r="S163" i="4"/>
  <c r="Q164" i="4"/>
  <c r="R164" i="4"/>
  <c r="S164" i="4"/>
  <c r="Q165" i="4"/>
  <c r="R165" i="4"/>
  <c r="S165" i="4"/>
  <c r="Q166" i="4"/>
  <c r="R166" i="4"/>
  <c r="S166" i="4"/>
  <c r="Q167" i="4"/>
  <c r="R167" i="4"/>
  <c r="S167" i="4"/>
  <c r="Q168" i="4"/>
  <c r="R168" i="4"/>
  <c r="S168" i="4"/>
  <c r="Q169" i="4"/>
  <c r="R169" i="4"/>
  <c r="S169" i="4"/>
  <c r="Q170" i="4"/>
  <c r="R170" i="4"/>
  <c r="S170" i="4"/>
  <c r="Q171" i="4"/>
  <c r="R171" i="4"/>
  <c r="S171" i="4"/>
  <c r="Q172" i="4"/>
  <c r="R172" i="4"/>
  <c r="S172" i="4"/>
  <c r="Q173" i="4"/>
  <c r="R173" i="4"/>
  <c r="S173" i="4"/>
  <c r="Q174" i="4"/>
  <c r="R174" i="4"/>
  <c r="S174" i="4"/>
  <c r="Q175" i="4"/>
  <c r="R175" i="4"/>
  <c r="S175" i="4"/>
  <c r="Q176" i="4"/>
  <c r="R176" i="4"/>
  <c r="S176" i="4"/>
  <c r="Q177" i="4"/>
  <c r="R177" i="4"/>
  <c r="S177" i="4"/>
  <c r="Q178" i="4"/>
  <c r="R178" i="4"/>
  <c r="S178" i="4"/>
  <c r="Q179" i="4"/>
  <c r="R179" i="4"/>
  <c r="S179" i="4"/>
  <c r="Q180" i="4"/>
  <c r="R180" i="4"/>
  <c r="S180" i="4"/>
  <c r="Q181" i="4"/>
  <c r="R181" i="4"/>
  <c r="S181" i="4"/>
  <c r="Q182" i="4"/>
  <c r="R182" i="4"/>
  <c r="S182" i="4"/>
  <c r="Q183" i="4"/>
  <c r="R183" i="4"/>
  <c r="S183" i="4"/>
  <c r="Q184" i="4"/>
  <c r="R184" i="4"/>
  <c r="S184" i="4"/>
  <c r="Q185" i="4"/>
  <c r="R185" i="4"/>
  <c r="S185" i="4"/>
  <c r="Q186" i="4"/>
  <c r="R186" i="4"/>
  <c r="S186" i="4"/>
  <c r="Q187" i="4"/>
  <c r="R187" i="4"/>
  <c r="S187" i="4"/>
  <c r="Q188" i="4"/>
  <c r="R188" i="4"/>
  <c r="S188" i="4"/>
  <c r="Q189" i="4"/>
  <c r="R189" i="4"/>
  <c r="S189" i="4"/>
  <c r="Q190" i="4"/>
  <c r="R190" i="4"/>
  <c r="S190" i="4"/>
  <c r="Q191" i="4"/>
  <c r="R191" i="4"/>
  <c r="S191" i="4"/>
  <c r="Q192" i="4"/>
  <c r="R192" i="4"/>
  <c r="S192" i="4"/>
  <c r="Q193" i="4"/>
  <c r="R193" i="4"/>
  <c r="S193" i="4"/>
  <c r="Q194" i="4"/>
  <c r="R194" i="4"/>
  <c r="S194" i="4"/>
  <c r="Q195" i="4"/>
  <c r="R195" i="4"/>
  <c r="S195" i="4"/>
  <c r="Q196" i="4"/>
  <c r="R196" i="4"/>
  <c r="S196" i="4"/>
  <c r="Q197" i="4"/>
  <c r="R197" i="4"/>
  <c r="S197" i="4"/>
  <c r="Q198" i="4"/>
  <c r="R198" i="4"/>
  <c r="S198" i="4"/>
  <c r="Q199" i="4"/>
  <c r="R199" i="4"/>
  <c r="S199" i="4"/>
  <c r="Q200" i="4"/>
  <c r="R200" i="4"/>
  <c r="S200" i="4"/>
  <c r="Q201" i="4"/>
  <c r="R201" i="4"/>
  <c r="S201" i="4"/>
  <c r="Q202" i="4"/>
  <c r="R202" i="4"/>
  <c r="S202" i="4"/>
  <c r="Q203" i="4"/>
  <c r="R203" i="4"/>
  <c r="S203" i="4"/>
  <c r="Q204" i="4"/>
  <c r="R204" i="4"/>
  <c r="S204" i="4"/>
  <c r="Q205" i="4"/>
  <c r="R205" i="4"/>
  <c r="S205" i="4"/>
  <c r="Q206" i="4"/>
  <c r="R206" i="4"/>
  <c r="S206" i="4"/>
  <c r="Q207" i="4"/>
  <c r="R207" i="4"/>
  <c r="S207" i="4"/>
  <c r="Q208" i="4"/>
  <c r="R208" i="4"/>
  <c r="S208" i="4"/>
  <c r="Q209" i="4"/>
  <c r="R209" i="4"/>
  <c r="S209" i="4"/>
  <c r="Q210" i="4"/>
  <c r="R210" i="4"/>
  <c r="S210" i="4"/>
  <c r="Q211" i="4"/>
  <c r="R211" i="4"/>
  <c r="S211" i="4"/>
  <c r="Q212" i="4"/>
  <c r="R212" i="4"/>
  <c r="S212" i="4"/>
  <c r="Q213" i="4"/>
  <c r="R213" i="4"/>
  <c r="S213" i="4"/>
  <c r="Q214" i="4"/>
  <c r="R214" i="4"/>
  <c r="S214" i="4"/>
  <c r="Q215" i="4"/>
  <c r="R215" i="4"/>
  <c r="S215" i="4"/>
  <c r="Q216" i="4"/>
  <c r="R216" i="4"/>
  <c r="S216" i="4"/>
  <c r="Q217" i="4"/>
  <c r="R217" i="4"/>
  <c r="S217" i="4"/>
  <c r="Q218" i="4"/>
  <c r="R218" i="4"/>
  <c r="S218" i="4"/>
  <c r="Q219" i="4"/>
  <c r="R219" i="4"/>
  <c r="S219" i="4"/>
  <c r="Q220" i="4"/>
  <c r="R220" i="4"/>
  <c r="S220" i="4"/>
  <c r="Q221" i="4"/>
  <c r="R221" i="4"/>
  <c r="S221" i="4"/>
  <c r="Q222" i="4"/>
  <c r="R222" i="4"/>
  <c r="S222" i="4"/>
  <c r="Q223" i="4"/>
  <c r="R223" i="4"/>
  <c r="S223" i="4"/>
  <c r="Q224" i="4"/>
  <c r="R224" i="4"/>
  <c r="S224" i="4"/>
  <c r="Q225" i="4"/>
  <c r="R225" i="4"/>
  <c r="S225" i="4"/>
  <c r="Q226" i="4"/>
  <c r="R226" i="4"/>
  <c r="S226" i="4"/>
  <c r="Q227" i="4"/>
  <c r="R227" i="4"/>
  <c r="S227" i="4"/>
  <c r="Q228" i="4"/>
  <c r="R228" i="4"/>
  <c r="S228" i="4"/>
  <c r="Q229" i="4"/>
  <c r="R229" i="4"/>
  <c r="S229" i="4"/>
  <c r="Q230" i="4"/>
  <c r="R230" i="4"/>
  <c r="S230" i="4"/>
  <c r="Q231" i="4"/>
  <c r="R231" i="4"/>
  <c r="S231" i="4"/>
  <c r="Q232" i="4"/>
  <c r="R232" i="4"/>
  <c r="S232" i="4"/>
  <c r="Q233" i="4"/>
  <c r="R233" i="4"/>
  <c r="S233" i="4"/>
  <c r="Q234" i="4"/>
  <c r="R234" i="4"/>
  <c r="S234" i="4"/>
  <c r="Q235" i="4"/>
  <c r="R235" i="4"/>
  <c r="S235" i="4"/>
  <c r="Q236" i="4"/>
  <c r="R236" i="4"/>
  <c r="S236" i="4"/>
  <c r="Q237" i="4"/>
  <c r="R237" i="4"/>
  <c r="S237" i="4"/>
  <c r="Q238" i="4"/>
  <c r="R238" i="4"/>
  <c r="S238" i="4"/>
  <c r="Q239" i="4"/>
  <c r="R239" i="4"/>
  <c r="S239" i="4"/>
  <c r="Q240" i="4"/>
  <c r="R240" i="4"/>
  <c r="S240" i="4"/>
  <c r="Q241" i="4"/>
  <c r="R241" i="4"/>
  <c r="S241" i="4"/>
  <c r="Q242" i="4"/>
  <c r="R242" i="4"/>
  <c r="S242" i="4"/>
  <c r="Q243" i="4"/>
  <c r="R243" i="4"/>
  <c r="S243" i="4"/>
  <c r="Q244" i="4"/>
  <c r="R244" i="4"/>
  <c r="S244" i="4"/>
  <c r="Q245" i="4"/>
  <c r="R245" i="4"/>
  <c r="S245" i="4"/>
  <c r="Q246" i="4"/>
  <c r="R246" i="4"/>
  <c r="S246" i="4"/>
  <c r="Q247" i="4"/>
  <c r="R247" i="4"/>
  <c r="S247" i="4"/>
  <c r="Q248" i="4"/>
  <c r="R248" i="4"/>
  <c r="S248" i="4"/>
  <c r="Q249" i="4"/>
  <c r="R249" i="4"/>
  <c r="S249" i="4"/>
  <c r="Q250" i="4"/>
  <c r="R250" i="4"/>
  <c r="S250" i="4"/>
  <c r="Q251" i="4"/>
  <c r="R251" i="4"/>
  <c r="S251" i="4"/>
  <c r="Q252" i="4"/>
  <c r="R252" i="4"/>
  <c r="S252" i="4"/>
  <c r="Q253" i="4"/>
  <c r="R253" i="4"/>
  <c r="S253" i="4"/>
  <c r="Q254" i="4"/>
  <c r="R254" i="4"/>
  <c r="S254" i="4"/>
  <c r="Q255" i="4"/>
  <c r="R255" i="4"/>
  <c r="S255" i="4"/>
  <c r="Q256" i="4"/>
  <c r="R256" i="4"/>
  <c r="S256" i="4"/>
  <c r="Q257" i="4"/>
  <c r="R257" i="4"/>
  <c r="S257" i="4"/>
  <c r="Q258" i="4"/>
  <c r="R258" i="4"/>
  <c r="S258" i="4"/>
  <c r="Q259" i="4"/>
  <c r="R259" i="4"/>
  <c r="S259" i="4"/>
  <c r="Q260" i="4"/>
  <c r="R260" i="4"/>
  <c r="S260" i="4"/>
  <c r="Q261" i="4"/>
  <c r="R261" i="4"/>
  <c r="S261" i="4"/>
  <c r="Q262" i="4"/>
  <c r="R262" i="4"/>
  <c r="S262" i="4"/>
  <c r="Q263" i="4"/>
  <c r="R263" i="4"/>
  <c r="S263" i="4"/>
  <c r="Q264" i="4"/>
  <c r="R264" i="4"/>
  <c r="S264" i="4"/>
  <c r="Q265" i="4"/>
  <c r="R265" i="4"/>
  <c r="S265" i="4"/>
  <c r="Q266" i="4"/>
  <c r="R266" i="4"/>
  <c r="S266" i="4"/>
  <c r="Q267" i="4"/>
  <c r="R267" i="4"/>
  <c r="S267" i="4"/>
  <c r="Q268" i="4"/>
  <c r="R268" i="4"/>
  <c r="S268" i="4"/>
  <c r="Q269" i="4"/>
  <c r="R269" i="4"/>
  <c r="S269" i="4"/>
  <c r="Q270" i="4"/>
  <c r="R270" i="4"/>
  <c r="S270" i="4"/>
  <c r="Q271" i="4"/>
  <c r="R271" i="4"/>
  <c r="S271" i="4"/>
  <c r="Q272" i="4"/>
  <c r="R272" i="4"/>
  <c r="S272" i="4"/>
  <c r="Q273" i="4"/>
  <c r="R273" i="4"/>
  <c r="S273" i="4"/>
  <c r="Q274" i="4"/>
  <c r="R274" i="4"/>
  <c r="S274" i="4"/>
  <c r="Q275" i="4"/>
  <c r="R275" i="4"/>
  <c r="S275" i="4"/>
  <c r="Q276" i="4"/>
  <c r="R276" i="4"/>
  <c r="S276" i="4"/>
  <c r="Q277" i="4"/>
  <c r="R277" i="4"/>
  <c r="S277" i="4"/>
  <c r="Q278" i="4"/>
  <c r="R278" i="4"/>
  <c r="S278" i="4"/>
  <c r="Q279" i="4"/>
  <c r="R279" i="4"/>
  <c r="S279" i="4"/>
  <c r="Q280" i="4"/>
  <c r="R280" i="4"/>
  <c r="S280" i="4"/>
  <c r="Q281" i="4"/>
  <c r="R281" i="4"/>
  <c r="S281" i="4"/>
  <c r="Q282" i="4"/>
  <c r="R282" i="4"/>
  <c r="S282" i="4"/>
  <c r="Q283" i="4"/>
  <c r="R283" i="4"/>
  <c r="S283" i="4"/>
  <c r="Q284" i="4"/>
  <c r="R284" i="4"/>
  <c r="S284" i="4"/>
  <c r="Q285" i="4"/>
  <c r="R285" i="4"/>
  <c r="S285" i="4"/>
  <c r="Q286" i="4"/>
  <c r="R286" i="4"/>
  <c r="S286" i="4"/>
  <c r="Q287" i="4"/>
  <c r="R287" i="4"/>
  <c r="S287" i="4"/>
  <c r="Q288" i="4"/>
  <c r="R288" i="4"/>
  <c r="S288" i="4"/>
  <c r="Q289" i="4"/>
  <c r="R289" i="4"/>
  <c r="S289" i="4"/>
  <c r="Q290" i="4"/>
  <c r="R290" i="4"/>
  <c r="S290" i="4"/>
  <c r="Q291" i="4"/>
  <c r="R291" i="4"/>
  <c r="S291" i="4"/>
  <c r="Q292" i="4"/>
  <c r="R292" i="4"/>
  <c r="S292" i="4"/>
  <c r="Q293" i="4"/>
  <c r="R293" i="4"/>
  <c r="S293" i="4"/>
  <c r="Q294" i="4"/>
  <c r="R294" i="4"/>
  <c r="S294" i="4"/>
  <c r="Q295" i="4"/>
  <c r="R295" i="4"/>
  <c r="S295" i="4"/>
  <c r="Q296" i="4"/>
  <c r="R296" i="4"/>
  <c r="S296" i="4"/>
  <c r="Q297" i="4"/>
  <c r="R297" i="4"/>
  <c r="S297" i="4"/>
  <c r="Q298" i="4"/>
  <c r="R298" i="4"/>
  <c r="S298" i="4"/>
  <c r="Q299" i="4"/>
  <c r="R299" i="4"/>
  <c r="S299" i="4"/>
  <c r="Q300" i="4"/>
  <c r="R300" i="4"/>
  <c r="S300" i="4"/>
  <c r="Q301" i="4"/>
  <c r="R301" i="4"/>
  <c r="S301" i="4"/>
  <c r="Q302" i="4"/>
  <c r="R302" i="4"/>
  <c r="S302" i="4"/>
  <c r="Q303" i="4"/>
  <c r="R303" i="4"/>
  <c r="S303" i="4"/>
  <c r="Q304" i="4"/>
  <c r="R304" i="4"/>
  <c r="S304" i="4"/>
  <c r="Q305" i="4"/>
  <c r="R305" i="4"/>
  <c r="S305" i="4"/>
  <c r="Q306" i="4"/>
  <c r="R306" i="4"/>
  <c r="S306" i="4"/>
  <c r="Q307" i="4"/>
  <c r="R307" i="4"/>
  <c r="S307" i="4"/>
  <c r="Q308" i="4"/>
  <c r="R308" i="4"/>
  <c r="S308" i="4"/>
  <c r="Q309" i="4"/>
  <c r="R309" i="4"/>
  <c r="S309" i="4"/>
  <c r="Q310" i="4"/>
  <c r="R310" i="4"/>
  <c r="S310" i="4"/>
  <c r="Q311" i="4"/>
  <c r="R311" i="4"/>
  <c r="S311" i="4"/>
  <c r="Q312" i="4"/>
  <c r="R312" i="4"/>
  <c r="S312" i="4"/>
  <c r="Q313" i="4"/>
  <c r="R313" i="4"/>
  <c r="S313" i="4"/>
  <c r="Q314" i="4"/>
  <c r="R314" i="4"/>
  <c r="S314" i="4"/>
  <c r="Q315" i="4"/>
  <c r="R315" i="4"/>
  <c r="S315" i="4"/>
  <c r="Q316" i="4"/>
  <c r="R316" i="4"/>
  <c r="S316" i="4"/>
  <c r="Q317" i="4"/>
  <c r="R317" i="4"/>
  <c r="S317" i="4"/>
  <c r="Q318" i="4"/>
  <c r="R318" i="4"/>
  <c r="S318" i="4"/>
  <c r="Q319" i="4"/>
  <c r="R319" i="4"/>
  <c r="S319" i="4"/>
  <c r="Q320" i="4"/>
  <c r="R320" i="4"/>
  <c r="S320" i="4"/>
  <c r="Q321" i="4"/>
  <c r="R321" i="4"/>
  <c r="S321" i="4"/>
  <c r="Q322" i="4"/>
  <c r="R322" i="4"/>
  <c r="S322" i="4"/>
  <c r="Q323" i="4"/>
  <c r="R323" i="4"/>
  <c r="S323" i="4"/>
  <c r="Q324" i="4"/>
  <c r="R324" i="4"/>
  <c r="S324" i="4"/>
  <c r="Q325" i="4"/>
  <c r="R325" i="4"/>
  <c r="S325" i="4"/>
  <c r="Q326" i="4"/>
  <c r="R326" i="4"/>
  <c r="S326" i="4"/>
  <c r="Q327" i="4"/>
  <c r="R327" i="4"/>
  <c r="S327" i="4"/>
  <c r="Q328" i="4"/>
  <c r="R328" i="4"/>
  <c r="S328" i="4"/>
  <c r="Q329" i="4"/>
  <c r="R329" i="4"/>
  <c r="S329" i="4"/>
  <c r="Q330" i="4"/>
  <c r="R330" i="4"/>
  <c r="S330" i="4"/>
  <c r="Q331" i="4"/>
  <c r="R331" i="4"/>
  <c r="S331" i="4"/>
  <c r="Q332" i="4"/>
  <c r="R332" i="4"/>
  <c r="S332" i="4"/>
  <c r="Q333" i="4"/>
  <c r="R333" i="4"/>
  <c r="S333" i="4"/>
  <c r="Q334" i="4"/>
  <c r="R334" i="4"/>
  <c r="S334" i="4"/>
  <c r="Q335" i="4"/>
  <c r="R335" i="4"/>
  <c r="S335" i="4"/>
  <c r="Q336" i="4"/>
  <c r="R336" i="4"/>
  <c r="S336" i="4"/>
  <c r="Q337" i="4"/>
  <c r="R337" i="4"/>
  <c r="S337" i="4"/>
  <c r="Q338" i="4"/>
  <c r="R338" i="4"/>
  <c r="S338" i="4"/>
  <c r="Q339" i="4"/>
  <c r="R339" i="4"/>
  <c r="S339" i="4"/>
  <c r="Q340" i="4"/>
  <c r="R340" i="4"/>
  <c r="S340" i="4"/>
  <c r="Q341" i="4"/>
  <c r="R341" i="4"/>
  <c r="S341" i="4"/>
  <c r="Q342" i="4"/>
  <c r="R342" i="4"/>
  <c r="S342" i="4"/>
  <c r="Q343" i="4"/>
  <c r="R343" i="4"/>
  <c r="S343" i="4"/>
  <c r="Q344" i="4"/>
  <c r="R344" i="4"/>
  <c r="S344" i="4"/>
  <c r="Q345" i="4"/>
  <c r="R345" i="4"/>
  <c r="S345" i="4"/>
  <c r="Q346" i="4"/>
  <c r="R346" i="4"/>
  <c r="S346" i="4"/>
  <c r="Q347" i="4"/>
  <c r="R347" i="4"/>
  <c r="S347" i="4"/>
  <c r="Q348" i="4"/>
  <c r="R348" i="4"/>
  <c r="S348" i="4"/>
  <c r="Q349" i="4"/>
  <c r="R349" i="4"/>
  <c r="S349" i="4"/>
  <c r="Q350" i="4"/>
  <c r="R350" i="4"/>
  <c r="S350" i="4"/>
  <c r="Q351" i="4"/>
  <c r="R351" i="4"/>
  <c r="S351" i="4"/>
  <c r="Q352" i="4"/>
  <c r="R352" i="4"/>
  <c r="S352" i="4"/>
  <c r="Q353" i="4"/>
  <c r="R353" i="4"/>
  <c r="S353" i="4"/>
  <c r="Q354" i="4"/>
  <c r="R354" i="4"/>
  <c r="S354" i="4"/>
  <c r="Q355" i="4"/>
  <c r="R355" i="4"/>
  <c r="S355" i="4"/>
  <c r="Q356" i="4"/>
  <c r="R356" i="4"/>
  <c r="S356" i="4"/>
  <c r="Q357" i="4"/>
  <c r="R357" i="4"/>
  <c r="S357" i="4"/>
  <c r="Q358" i="4"/>
  <c r="R358" i="4"/>
  <c r="S358" i="4"/>
  <c r="Q359" i="4"/>
  <c r="R359" i="4"/>
  <c r="S359" i="4"/>
  <c r="Q360" i="4"/>
  <c r="R360" i="4"/>
  <c r="S360" i="4"/>
  <c r="Q361" i="4"/>
  <c r="R361" i="4"/>
  <c r="S361" i="4"/>
  <c r="Q362" i="4"/>
  <c r="R362" i="4"/>
  <c r="S362" i="4"/>
  <c r="Q363" i="4"/>
  <c r="R363" i="4"/>
  <c r="S363" i="4"/>
  <c r="Q364" i="4"/>
  <c r="R364" i="4"/>
  <c r="S364" i="4"/>
  <c r="Q365" i="4"/>
  <c r="R365" i="4"/>
  <c r="S365" i="4"/>
  <c r="Q366" i="4"/>
  <c r="R366" i="4"/>
  <c r="S366" i="4"/>
  <c r="Q367" i="4"/>
  <c r="R367" i="4"/>
  <c r="S367" i="4"/>
  <c r="Q368" i="4"/>
  <c r="R368" i="4"/>
  <c r="S368" i="4"/>
  <c r="Q369" i="4"/>
  <c r="R369" i="4"/>
  <c r="S369" i="4"/>
  <c r="Q370" i="4"/>
  <c r="R370" i="4"/>
  <c r="S370" i="4"/>
  <c r="Q371" i="4"/>
  <c r="R371" i="4"/>
  <c r="S371" i="4"/>
  <c r="Q372" i="4"/>
  <c r="R372" i="4"/>
  <c r="S372" i="4"/>
  <c r="Q373" i="4"/>
  <c r="R373" i="4"/>
  <c r="S373" i="4"/>
  <c r="Q374" i="4"/>
  <c r="R374" i="4"/>
  <c r="S374" i="4"/>
  <c r="Q375" i="4"/>
  <c r="R375" i="4"/>
  <c r="S375" i="4"/>
  <c r="Q376" i="4"/>
  <c r="R376" i="4"/>
  <c r="S376" i="4"/>
  <c r="Q377" i="4"/>
  <c r="R377" i="4"/>
  <c r="S377" i="4"/>
  <c r="Q378" i="4"/>
  <c r="R378" i="4"/>
  <c r="S378" i="4"/>
  <c r="Q379" i="4"/>
  <c r="R379" i="4"/>
  <c r="S379" i="4"/>
  <c r="Q380" i="4"/>
  <c r="R380" i="4"/>
  <c r="S380" i="4"/>
  <c r="Q381" i="4"/>
  <c r="R381" i="4"/>
  <c r="S381" i="4"/>
  <c r="Q382" i="4"/>
  <c r="R382" i="4"/>
  <c r="S382" i="4"/>
  <c r="Q383" i="4"/>
  <c r="R383" i="4"/>
  <c r="S383" i="4"/>
  <c r="Q384" i="4"/>
  <c r="R384" i="4"/>
  <c r="S384" i="4"/>
  <c r="Q385" i="4"/>
  <c r="R385" i="4"/>
  <c r="S385" i="4"/>
  <c r="Q386" i="4"/>
  <c r="R386" i="4"/>
  <c r="S386" i="4"/>
  <c r="Q387" i="4"/>
  <c r="R387" i="4"/>
  <c r="S387" i="4"/>
  <c r="Q388" i="4"/>
  <c r="R388" i="4"/>
  <c r="S388" i="4"/>
  <c r="Q389" i="4"/>
  <c r="R389" i="4"/>
  <c r="S389" i="4"/>
  <c r="Q390" i="4"/>
  <c r="R390" i="4"/>
  <c r="S390" i="4"/>
  <c r="Q391" i="4"/>
  <c r="R391" i="4"/>
  <c r="S391" i="4"/>
  <c r="Q392" i="4"/>
  <c r="R392" i="4"/>
  <c r="S392" i="4"/>
  <c r="Q393" i="4"/>
  <c r="R393" i="4"/>
  <c r="S393" i="4"/>
  <c r="Q394" i="4"/>
  <c r="R394" i="4"/>
  <c r="S394" i="4"/>
  <c r="Q395" i="4"/>
  <c r="R395" i="4"/>
  <c r="S395" i="4"/>
  <c r="Q396" i="4"/>
  <c r="R396" i="4"/>
  <c r="S396" i="4"/>
  <c r="Q397" i="4"/>
  <c r="R397" i="4"/>
  <c r="S397" i="4"/>
  <c r="Q398" i="4"/>
  <c r="R398" i="4"/>
  <c r="S398" i="4"/>
  <c r="Q399" i="4"/>
  <c r="R399" i="4"/>
  <c r="S399" i="4"/>
  <c r="Q400" i="4"/>
  <c r="R400" i="4"/>
  <c r="S400" i="4"/>
  <c r="Q401" i="4"/>
  <c r="R401" i="4"/>
  <c r="S401" i="4"/>
  <c r="Q402" i="4"/>
  <c r="R402" i="4"/>
  <c r="S402" i="4"/>
  <c r="Q403" i="4"/>
  <c r="R403" i="4"/>
  <c r="S403" i="4"/>
  <c r="Q404" i="4"/>
  <c r="R404" i="4"/>
  <c r="S404" i="4"/>
  <c r="Q405" i="4"/>
  <c r="R405" i="4"/>
  <c r="S405" i="4"/>
  <c r="Q406" i="4"/>
  <c r="R406" i="4"/>
  <c r="S406" i="4"/>
  <c r="Q407" i="4"/>
  <c r="R407" i="4"/>
  <c r="S407" i="4"/>
  <c r="Q408" i="4"/>
  <c r="R408" i="4"/>
  <c r="S408" i="4"/>
  <c r="Q409" i="4"/>
  <c r="R409" i="4"/>
  <c r="S409" i="4"/>
  <c r="Q410" i="4"/>
  <c r="R410" i="4"/>
  <c r="S410" i="4"/>
  <c r="Q411" i="4"/>
  <c r="R411" i="4"/>
  <c r="S411" i="4"/>
  <c r="Q412" i="4"/>
  <c r="R412" i="4"/>
  <c r="S412" i="4"/>
  <c r="Q413" i="4"/>
  <c r="R413" i="4"/>
  <c r="S413" i="4"/>
  <c r="Q414" i="4"/>
  <c r="R414" i="4"/>
  <c r="S414" i="4"/>
  <c r="Q415" i="4"/>
  <c r="R415" i="4"/>
  <c r="S415" i="4"/>
  <c r="Q416" i="4"/>
  <c r="R416" i="4"/>
  <c r="S416" i="4"/>
  <c r="Q417" i="4"/>
  <c r="R417" i="4"/>
  <c r="S417" i="4"/>
  <c r="Q418" i="4"/>
  <c r="R418" i="4"/>
  <c r="S418" i="4"/>
  <c r="Q419" i="4"/>
  <c r="R419" i="4"/>
  <c r="S419" i="4"/>
  <c r="Q420" i="4"/>
  <c r="R420" i="4"/>
  <c r="S420" i="4"/>
  <c r="Q421" i="4"/>
  <c r="R421" i="4"/>
  <c r="S421" i="4"/>
  <c r="Q422" i="4"/>
  <c r="R422" i="4"/>
  <c r="S422" i="4"/>
  <c r="Q423" i="4"/>
  <c r="R423" i="4"/>
  <c r="S423" i="4"/>
  <c r="Q424" i="4"/>
  <c r="R424" i="4"/>
  <c r="S424" i="4"/>
  <c r="Q425" i="4"/>
  <c r="R425" i="4"/>
  <c r="S425" i="4"/>
  <c r="Q426" i="4"/>
  <c r="R426" i="4"/>
  <c r="S426" i="4"/>
  <c r="Q427" i="4"/>
  <c r="R427" i="4"/>
  <c r="S427" i="4"/>
  <c r="Q428" i="4"/>
  <c r="R428" i="4"/>
  <c r="S428" i="4"/>
  <c r="Q429" i="4"/>
  <c r="R429" i="4"/>
  <c r="S429" i="4"/>
  <c r="Q430" i="4"/>
  <c r="R430" i="4"/>
  <c r="S430" i="4"/>
  <c r="Q431" i="4"/>
  <c r="R431" i="4"/>
  <c r="S431" i="4"/>
  <c r="Q432" i="4"/>
  <c r="R432" i="4"/>
  <c r="S432" i="4"/>
  <c r="Q433" i="4"/>
  <c r="R433" i="4"/>
  <c r="S433" i="4"/>
  <c r="Q434" i="4"/>
  <c r="R434" i="4"/>
  <c r="S434" i="4"/>
  <c r="Q435" i="4"/>
  <c r="R435" i="4"/>
  <c r="S435" i="4"/>
  <c r="Q436" i="4"/>
  <c r="R436" i="4"/>
  <c r="S436" i="4"/>
  <c r="Q437" i="4"/>
  <c r="R437" i="4"/>
  <c r="S437" i="4"/>
  <c r="Q438" i="4"/>
  <c r="R438" i="4"/>
  <c r="S438" i="4"/>
  <c r="Q439" i="4"/>
  <c r="R439" i="4"/>
  <c r="S439" i="4"/>
  <c r="Q440" i="4"/>
  <c r="R440" i="4"/>
  <c r="S440" i="4"/>
  <c r="Q441" i="4"/>
  <c r="R441" i="4"/>
  <c r="S441" i="4"/>
  <c r="Q442" i="4"/>
  <c r="R442" i="4"/>
  <c r="S442" i="4"/>
  <c r="Q443" i="4"/>
  <c r="R443" i="4"/>
  <c r="S443" i="4"/>
  <c r="Q444" i="4"/>
  <c r="R444" i="4"/>
  <c r="S444" i="4"/>
  <c r="Q445" i="4"/>
  <c r="R445" i="4"/>
  <c r="S445" i="4"/>
  <c r="Q446" i="4"/>
  <c r="R446" i="4"/>
  <c r="S446" i="4"/>
  <c r="Q447" i="4"/>
  <c r="R447" i="4"/>
  <c r="S447" i="4"/>
  <c r="Q448" i="4"/>
  <c r="R448" i="4"/>
  <c r="S448" i="4"/>
  <c r="Q449" i="4"/>
  <c r="R449" i="4"/>
  <c r="S449" i="4"/>
  <c r="Q450" i="4"/>
  <c r="R450" i="4"/>
  <c r="S450" i="4"/>
  <c r="Q451" i="4"/>
  <c r="R451" i="4"/>
  <c r="S451" i="4"/>
  <c r="Q452" i="4"/>
  <c r="R452" i="4"/>
  <c r="S452" i="4"/>
  <c r="Q453" i="4"/>
  <c r="R453" i="4"/>
  <c r="S453" i="4"/>
  <c r="Q454" i="4"/>
  <c r="R454" i="4"/>
  <c r="S454" i="4"/>
  <c r="Q455" i="4"/>
  <c r="R455" i="4"/>
  <c r="S455" i="4"/>
  <c r="Q456" i="4"/>
  <c r="R456" i="4"/>
  <c r="S456" i="4"/>
  <c r="Q457" i="4"/>
  <c r="R457" i="4"/>
  <c r="S457" i="4"/>
  <c r="Q458" i="4"/>
  <c r="R458" i="4"/>
  <c r="S458" i="4"/>
  <c r="Q459" i="4"/>
  <c r="R459" i="4"/>
  <c r="S459" i="4"/>
  <c r="Q460" i="4"/>
  <c r="R460" i="4"/>
  <c r="S460" i="4"/>
  <c r="Q461" i="4"/>
  <c r="R461" i="4"/>
  <c r="S461" i="4"/>
  <c r="Q462" i="4"/>
  <c r="R462" i="4"/>
  <c r="S462" i="4"/>
  <c r="Q463" i="4"/>
  <c r="R463" i="4"/>
  <c r="S463" i="4"/>
  <c r="Q464" i="4"/>
  <c r="R464" i="4"/>
  <c r="S464" i="4"/>
  <c r="Q465" i="4"/>
  <c r="R465" i="4"/>
  <c r="S465" i="4"/>
  <c r="Q466" i="4"/>
  <c r="R466" i="4"/>
  <c r="S466" i="4"/>
  <c r="Q467" i="4"/>
  <c r="R467" i="4"/>
  <c r="S467" i="4"/>
  <c r="Q468" i="4"/>
  <c r="R468" i="4"/>
  <c r="S468" i="4"/>
  <c r="Q469" i="4"/>
  <c r="R469" i="4"/>
  <c r="S469" i="4"/>
  <c r="Q470" i="4"/>
  <c r="R470" i="4"/>
  <c r="S470" i="4"/>
  <c r="Q471" i="4"/>
  <c r="R471" i="4"/>
  <c r="S471" i="4"/>
  <c r="Q472" i="4"/>
  <c r="R472" i="4"/>
  <c r="S472" i="4"/>
  <c r="Q473" i="4"/>
  <c r="R473" i="4"/>
  <c r="S473" i="4"/>
  <c r="Q474" i="4"/>
  <c r="R474" i="4"/>
  <c r="S474" i="4"/>
  <c r="Q475" i="4"/>
  <c r="R475" i="4"/>
  <c r="S475" i="4"/>
  <c r="Q476" i="4"/>
  <c r="R476" i="4"/>
  <c r="S476" i="4"/>
  <c r="Q477" i="4"/>
  <c r="R477" i="4"/>
  <c r="S477" i="4"/>
  <c r="Q478" i="4"/>
  <c r="R478" i="4"/>
  <c r="S478" i="4"/>
  <c r="Q479" i="4"/>
  <c r="R479" i="4"/>
  <c r="S479" i="4"/>
  <c r="Q480" i="4"/>
  <c r="R480" i="4"/>
  <c r="S480" i="4"/>
  <c r="Q481" i="4"/>
  <c r="R481" i="4"/>
  <c r="S481" i="4"/>
  <c r="Q482" i="4"/>
  <c r="R482" i="4"/>
  <c r="S482" i="4"/>
  <c r="Q483" i="4"/>
  <c r="R483" i="4"/>
  <c r="S483" i="4"/>
  <c r="Q484" i="4"/>
  <c r="R484" i="4"/>
  <c r="S484" i="4"/>
  <c r="Q485" i="4"/>
  <c r="R485" i="4"/>
  <c r="S485" i="4"/>
  <c r="Q486" i="4"/>
  <c r="R486" i="4"/>
  <c r="S486" i="4"/>
  <c r="Q487" i="4"/>
  <c r="R487" i="4"/>
  <c r="S487" i="4"/>
  <c r="Q488" i="4"/>
  <c r="R488" i="4"/>
  <c r="S488" i="4"/>
  <c r="Q489" i="4"/>
  <c r="R489" i="4"/>
  <c r="S489" i="4"/>
  <c r="Q490" i="4"/>
  <c r="R490" i="4"/>
  <c r="S490" i="4"/>
  <c r="Q491" i="4"/>
  <c r="R491" i="4"/>
  <c r="S491" i="4"/>
  <c r="Q492" i="4"/>
  <c r="R492" i="4"/>
  <c r="S492" i="4"/>
  <c r="Q493" i="4"/>
  <c r="R493" i="4"/>
  <c r="S493" i="4"/>
  <c r="Q494" i="4"/>
  <c r="R494" i="4"/>
  <c r="S494" i="4"/>
  <c r="Q495" i="4"/>
  <c r="R495" i="4"/>
  <c r="S495" i="4"/>
  <c r="Q496" i="4"/>
  <c r="R496" i="4"/>
  <c r="S496" i="4"/>
  <c r="Q497" i="4"/>
  <c r="R497" i="4"/>
  <c r="S497" i="4"/>
  <c r="Q498" i="4"/>
  <c r="R498" i="4"/>
  <c r="S498" i="4"/>
  <c r="Q499" i="4"/>
  <c r="R499" i="4"/>
  <c r="S499" i="4"/>
  <c r="Q500" i="4"/>
  <c r="R500" i="4"/>
  <c r="S500" i="4"/>
  <c r="Q501" i="4"/>
  <c r="R501" i="4"/>
  <c r="S501" i="4"/>
  <c r="Q502" i="4"/>
  <c r="R502" i="4"/>
  <c r="S502" i="4"/>
  <c r="Q503" i="4"/>
  <c r="R503" i="4"/>
  <c r="S503" i="4"/>
  <c r="Q504" i="4"/>
  <c r="R504" i="4"/>
  <c r="S504" i="4"/>
  <c r="Q505" i="4"/>
  <c r="R505" i="4"/>
  <c r="S505" i="4"/>
  <c r="Q506" i="4"/>
  <c r="R506" i="4"/>
  <c r="S506" i="4"/>
  <c r="Q507" i="4"/>
  <c r="R507" i="4"/>
  <c r="S507" i="4"/>
  <c r="Q508" i="4"/>
  <c r="R508" i="4"/>
  <c r="S508" i="4"/>
  <c r="Q509" i="4"/>
  <c r="R509" i="4"/>
  <c r="S509" i="4"/>
  <c r="Q510" i="4"/>
  <c r="R510" i="4"/>
  <c r="S510" i="4"/>
  <c r="Q511" i="4"/>
  <c r="R511" i="4"/>
  <c r="S511" i="4"/>
  <c r="Q512" i="4"/>
  <c r="R512" i="4"/>
  <c r="S512" i="4"/>
  <c r="Q513" i="4"/>
  <c r="R513" i="4"/>
  <c r="S513" i="4"/>
  <c r="Q514" i="4"/>
  <c r="R514" i="4"/>
  <c r="S514" i="4"/>
  <c r="Q515" i="4"/>
  <c r="R515" i="4"/>
  <c r="S515" i="4"/>
  <c r="Q516" i="4"/>
  <c r="R516" i="4"/>
  <c r="S516" i="4"/>
  <c r="Q517" i="4"/>
  <c r="R517" i="4"/>
  <c r="S517" i="4"/>
  <c r="Q518" i="4"/>
  <c r="R518" i="4"/>
  <c r="S518" i="4"/>
  <c r="Q519" i="4"/>
  <c r="R519" i="4"/>
  <c r="S519" i="4"/>
  <c r="Q520" i="4"/>
  <c r="R520" i="4"/>
  <c r="S520" i="4"/>
  <c r="Q521" i="4"/>
  <c r="R521" i="4"/>
  <c r="S521" i="4"/>
  <c r="Q522" i="4"/>
  <c r="R522" i="4"/>
  <c r="S522" i="4"/>
  <c r="Q523" i="4"/>
  <c r="R523" i="4"/>
  <c r="S523" i="4"/>
  <c r="Q524" i="4"/>
  <c r="R524" i="4"/>
  <c r="S524" i="4"/>
  <c r="Q525" i="4"/>
  <c r="R525" i="4"/>
  <c r="S525" i="4"/>
  <c r="Q526" i="4"/>
  <c r="R526" i="4"/>
  <c r="S526" i="4"/>
  <c r="Q527" i="4"/>
  <c r="R527" i="4"/>
  <c r="S527" i="4"/>
  <c r="Q528" i="4"/>
  <c r="R528" i="4"/>
  <c r="S528" i="4"/>
  <c r="Q529" i="4"/>
  <c r="R529" i="4"/>
  <c r="S529" i="4"/>
  <c r="Q530" i="4"/>
  <c r="R530" i="4"/>
  <c r="S530" i="4"/>
  <c r="Q531" i="4"/>
  <c r="R531" i="4"/>
  <c r="S531" i="4"/>
  <c r="Q532" i="4"/>
  <c r="R532" i="4"/>
  <c r="S532" i="4"/>
  <c r="Q533" i="4"/>
  <c r="R533" i="4"/>
  <c r="S533" i="4"/>
  <c r="Q534" i="4"/>
  <c r="R534" i="4"/>
  <c r="S534" i="4"/>
  <c r="Q535" i="4"/>
  <c r="R535" i="4"/>
  <c r="S535" i="4"/>
  <c r="Q536" i="4"/>
  <c r="R536" i="4"/>
  <c r="S536" i="4"/>
  <c r="Q537" i="4"/>
  <c r="R537" i="4"/>
  <c r="S537" i="4"/>
  <c r="Q538" i="4"/>
  <c r="R538" i="4"/>
  <c r="S538" i="4"/>
  <c r="Q539" i="4"/>
  <c r="R539" i="4"/>
  <c r="S539" i="4"/>
  <c r="Q540" i="4"/>
  <c r="R540" i="4"/>
  <c r="S540" i="4"/>
  <c r="Q541" i="4"/>
  <c r="R541" i="4"/>
  <c r="S541" i="4"/>
  <c r="Q542" i="4"/>
  <c r="R542" i="4"/>
  <c r="S542" i="4"/>
  <c r="Q543" i="4"/>
  <c r="R543" i="4"/>
  <c r="S543" i="4"/>
  <c r="Q544" i="4"/>
  <c r="R544" i="4"/>
  <c r="S544" i="4"/>
  <c r="Q545" i="4"/>
  <c r="R545" i="4"/>
  <c r="S545" i="4"/>
  <c r="Q546" i="4"/>
  <c r="R546" i="4"/>
  <c r="S546" i="4"/>
  <c r="Q547" i="4"/>
  <c r="R547" i="4"/>
  <c r="S547" i="4"/>
  <c r="Q548" i="4"/>
  <c r="R548" i="4"/>
  <c r="S548" i="4"/>
  <c r="Q549" i="4"/>
  <c r="R549" i="4"/>
  <c r="S549" i="4"/>
  <c r="Q550" i="4"/>
  <c r="R550" i="4"/>
  <c r="S550" i="4"/>
  <c r="Q551" i="4"/>
  <c r="R551" i="4"/>
  <c r="S551" i="4"/>
  <c r="Q552" i="4"/>
  <c r="R552" i="4"/>
  <c r="S552" i="4"/>
  <c r="Q553" i="4"/>
  <c r="R553" i="4"/>
  <c r="S553" i="4"/>
  <c r="Q554" i="4"/>
  <c r="R554" i="4"/>
  <c r="S554" i="4"/>
  <c r="Q555" i="4"/>
  <c r="R555" i="4"/>
  <c r="S555" i="4"/>
  <c r="Q556" i="4"/>
  <c r="R556" i="4"/>
  <c r="S556" i="4"/>
  <c r="Q557" i="4"/>
  <c r="R557" i="4"/>
  <c r="S557" i="4"/>
  <c r="Q558" i="4"/>
  <c r="R558" i="4"/>
  <c r="S558" i="4"/>
  <c r="Q559" i="4"/>
  <c r="R559" i="4"/>
  <c r="S559" i="4"/>
  <c r="Q560" i="4"/>
  <c r="R560" i="4"/>
  <c r="S560" i="4"/>
  <c r="Q561" i="4"/>
  <c r="R561" i="4"/>
  <c r="S561" i="4"/>
  <c r="Q562" i="4"/>
  <c r="R562" i="4"/>
  <c r="S562" i="4"/>
  <c r="Q563" i="4"/>
  <c r="R563" i="4"/>
  <c r="S563" i="4"/>
  <c r="Q564" i="4"/>
  <c r="R564" i="4"/>
  <c r="S564" i="4"/>
  <c r="Q565" i="4"/>
  <c r="R565" i="4"/>
  <c r="S565" i="4"/>
  <c r="Q566" i="4"/>
  <c r="R566" i="4"/>
  <c r="S566" i="4"/>
  <c r="Q567" i="4"/>
  <c r="R567" i="4"/>
  <c r="S567" i="4"/>
  <c r="Q568" i="4"/>
  <c r="R568" i="4"/>
  <c r="S568" i="4"/>
  <c r="Q569" i="4"/>
  <c r="R569" i="4"/>
  <c r="S569" i="4"/>
  <c r="Q570" i="4"/>
  <c r="R570" i="4"/>
  <c r="S570" i="4"/>
  <c r="Q571" i="4"/>
  <c r="R571" i="4"/>
  <c r="S571" i="4"/>
  <c r="Q572" i="4"/>
  <c r="R572" i="4"/>
  <c r="S572" i="4"/>
  <c r="Q573" i="4"/>
  <c r="R573" i="4"/>
  <c r="S573" i="4"/>
  <c r="Q574" i="4"/>
  <c r="R574" i="4"/>
  <c r="S574" i="4"/>
  <c r="Q575" i="4"/>
  <c r="R575" i="4"/>
  <c r="S575" i="4"/>
  <c r="Q576" i="4"/>
  <c r="R576" i="4"/>
  <c r="S576" i="4"/>
  <c r="Q577" i="4"/>
  <c r="R577" i="4"/>
  <c r="S577" i="4"/>
  <c r="Q578" i="4"/>
  <c r="R578" i="4"/>
  <c r="S578" i="4"/>
  <c r="Q579" i="4"/>
  <c r="R579" i="4"/>
  <c r="S579" i="4"/>
  <c r="Q580" i="4"/>
  <c r="R580" i="4"/>
  <c r="S580" i="4"/>
  <c r="Q581" i="4"/>
  <c r="R581" i="4"/>
  <c r="S581" i="4"/>
  <c r="Q582" i="4"/>
  <c r="R582" i="4"/>
  <c r="S582" i="4"/>
  <c r="Q583" i="4"/>
  <c r="R583" i="4"/>
  <c r="S583" i="4"/>
  <c r="Q584" i="4"/>
  <c r="R584" i="4"/>
  <c r="S584" i="4"/>
  <c r="Q585" i="4"/>
  <c r="R585" i="4"/>
  <c r="S585" i="4"/>
  <c r="Q586" i="4"/>
  <c r="R586" i="4"/>
  <c r="S586" i="4"/>
  <c r="Q587" i="4"/>
  <c r="R587" i="4"/>
  <c r="S587" i="4"/>
  <c r="Q588" i="4"/>
  <c r="R588" i="4"/>
  <c r="S588" i="4"/>
  <c r="Q589" i="4"/>
  <c r="R589" i="4"/>
  <c r="S589" i="4"/>
  <c r="Q590" i="4"/>
  <c r="R590" i="4"/>
  <c r="S590" i="4"/>
  <c r="Q591" i="4"/>
  <c r="R591" i="4"/>
  <c r="S591" i="4"/>
  <c r="Q592" i="4"/>
  <c r="R592" i="4"/>
  <c r="S592" i="4"/>
  <c r="Q593" i="4"/>
  <c r="R593" i="4"/>
  <c r="S593" i="4"/>
  <c r="Q594" i="4"/>
  <c r="R594" i="4"/>
  <c r="S594" i="4"/>
  <c r="Q595" i="4"/>
  <c r="R595" i="4"/>
  <c r="S595" i="4"/>
  <c r="Q596" i="4"/>
  <c r="R596" i="4"/>
  <c r="S596" i="4"/>
  <c r="Q597" i="4"/>
  <c r="R597" i="4"/>
  <c r="S597" i="4"/>
  <c r="Q598" i="4"/>
  <c r="R598" i="4"/>
  <c r="S598" i="4"/>
  <c r="Q599" i="4"/>
  <c r="R599" i="4"/>
  <c r="S599" i="4"/>
  <c r="Q600" i="4"/>
  <c r="R600" i="4"/>
  <c r="S600" i="4"/>
  <c r="Q601" i="4"/>
  <c r="R601" i="4"/>
  <c r="S601" i="4"/>
  <c r="Q602" i="4"/>
  <c r="R602" i="4"/>
  <c r="S602" i="4"/>
  <c r="Q603" i="4"/>
  <c r="R603" i="4"/>
  <c r="S603" i="4"/>
  <c r="Q604" i="4"/>
  <c r="R604" i="4"/>
  <c r="S604" i="4"/>
  <c r="Q605" i="4"/>
  <c r="R605" i="4"/>
  <c r="S605" i="4"/>
  <c r="Q606" i="4"/>
  <c r="R606" i="4"/>
  <c r="S606" i="4"/>
  <c r="Q607" i="4"/>
  <c r="R607" i="4"/>
  <c r="S607" i="4"/>
  <c r="Q608" i="4"/>
  <c r="R608" i="4"/>
  <c r="S608" i="4"/>
  <c r="Q609" i="4"/>
  <c r="R609" i="4"/>
  <c r="S609" i="4"/>
  <c r="Q610" i="4"/>
  <c r="R610" i="4"/>
  <c r="S610" i="4"/>
  <c r="Q611" i="4"/>
  <c r="R611" i="4"/>
  <c r="S611" i="4"/>
  <c r="Q612" i="4"/>
  <c r="R612" i="4"/>
  <c r="S612" i="4"/>
  <c r="Q613" i="4"/>
  <c r="R613" i="4"/>
  <c r="S613" i="4"/>
  <c r="Q614" i="4"/>
  <c r="R614" i="4"/>
  <c r="S614" i="4"/>
  <c r="Q615" i="4"/>
  <c r="R615" i="4"/>
  <c r="S615" i="4"/>
  <c r="Q616" i="4"/>
  <c r="R616" i="4"/>
  <c r="S616" i="4"/>
  <c r="Q617" i="4"/>
  <c r="R617" i="4"/>
  <c r="S617" i="4"/>
  <c r="Q618" i="4"/>
  <c r="R618" i="4"/>
  <c r="S618" i="4"/>
  <c r="Q619" i="4"/>
  <c r="R619" i="4"/>
  <c r="S619" i="4"/>
  <c r="Q620" i="4"/>
  <c r="R620" i="4"/>
  <c r="S620" i="4"/>
  <c r="Q621" i="4"/>
  <c r="R621" i="4"/>
  <c r="S621" i="4"/>
  <c r="Q622" i="4"/>
  <c r="R622" i="4"/>
  <c r="S622" i="4"/>
  <c r="Q623" i="4"/>
  <c r="R623" i="4"/>
  <c r="S623" i="4"/>
  <c r="Q624" i="4"/>
  <c r="R624" i="4"/>
  <c r="S624" i="4"/>
  <c r="Q625" i="4"/>
  <c r="R625" i="4"/>
  <c r="S625" i="4"/>
  <c r="Q626" i="4"/>
  <c r="R626" i="4"/>
  <c r="S626" i="4"/>
  <c r="Q627" i="4"/>
  <c r="R627" i="4"/>
  <c r="S627" i="4"/>
  <c r="Q628" i="4"/>
  <c r="R628" i="4"/>
  <c r="S628" i="4"/>
  <c r="Q629" i="4"/>
  <c r="R629" i="4"/>
  <c r="S629" i="4"/>
  <c r="Q630" i="4"/>
  <c r="R630" i="4"/>
  <c r="S630" i="4"/>
  <c r="Q631" i="4"/>
  <c r="R631" i="4"/>
  <c r="S631" i="4"/>
  <c r="Q632" i="4"/>
  <c r="R632" i="4"/>
  <c r="S632" i="4"/>
  <c r="Q633" i="4"/>
  <c r="R633" i="4"/>
  <c r="S633" i="4"/>
  <c r="Q634" i="4"/>
  <c r="R634" i="4"/>
  <c r="S634" i="4"/>
  <c r="Q635" i="4"/>
  <c r="R635" i="4"/>
  <c r="S635" i="4"/>
  <c r="Q636" i="4"/>
  <c r="R636" i="4"/>
  <c r="S636" i="4"/>
  <c r="Q637" i="4"/>
  <c r="R637" i="4"/>
  <c r="S637" i="4"/>
  <c r="Q638" i="4"/>
  <c r="R638" i="4"/>
  <c r="S638" i="4"/>
  <c r="Q639" i="4"/>
  <c r="R639" i="4"/>
  <c r="S639" i="4"/>
  <c r="Q640" i="4"/>
  <c r="R640" i="4"/>
  <c r="S640" i="4"/>
  <c r="Q641" i="4"/>
  <c r="R641" i="4"/>
  <c r="S641" i="4"/>
  <c r="Q642" i="4"/>
  <c r="R642" i="4"/>
  <c r="S642" i="4"/>
  <c r="Q643" i="4"/>
  <c r="R643" i="4"/>
  <c r="S643" i="4"/>
  <c r="Q644" i="4"/>
  <c r="R644" i="4"/>
  <c r="S644" i="4"/>
  <c r="Q645" i="4"/>
  <c r="R645" i="4"/>
  <c r="S645" i="4"/>
  <c r="Q646" i="4"/>
  <c r="R646" i="4"/>
  <c r="S646" i="4"/>
  <c r="Q647" i="4"/>
  <c r="R647" i="4"/>
  <c r="S647" i="4"/>
  <c r="Q648" i="4"/>
  <c r="R648" i="4"/>
  <c r="S648" i="4"/>
  <c r="Q649" i="4"/>
  <c r="R649" i="4"/>
  <c r="S649" i="4"/>
  <c r="Q650" i="4"/>
  <c r="R650" i="4"/>
  <c r="S650" i="4"/>
  <c r="Q651" i="4"/>
  <c r="R651" i="4"/>
  <c r="S651" i="4"/>
  <c r="Q652" i="4"/>
  <c r="R652" i="4"/>
  <c r="S652" i="4"/>
  <c r="Q653" i="4"/>
  <c r="R653" i="4"/>
  <c r="S653" i="4"/>
  <c r="Q654" i="4"/>
  <c r="R654" i="4"/>
  <c r="S654" i="4"/>
  <c r="Q655" i="4"/>
  <c r="R655" i="4"/>
  <c r="S655" i="4"/>
  <c r="Q656" i="4"/>
  <c r="R656" i="4"/>
  <c r="S656" i="4"/>
  <c r="Q657" i="4"/>
  <c r="R657" i="4"/>
  <c r="S657" i="4"/>
  <c r="Q658" i="4"/>
  <c r="R658" i="4"/>
  <c r="S658" i="4"/>
  <c r="Q659" i="4"/>
  <c r="R659" i="4"/>
  <c r="S659" i="4"/>
  <c r="Q660" i="4"/>
  <c r="R660" i="4"/>
  <c r="S660" i="4"/>
  <c r="Q661" i="4"/>
  <c r="R661" i="4"/>
  <c r="S661" i="4"/>
  <c r="Q662" i="4"/>
  <c r="R662" i="4"/>
  <c r="S662" i="4"/>
  <c r="Q663" i="4"/>
  <c r="R663" i="4"/>
  <c r="S663" i="4"/>
  <c r="Q664" i="4"/>
  <c r="R664" i="4"/>
  <c r="S664" i="4"/>
  <c r="Q665" i="4"/>
  <c r="R665" i="4"/>
  <c r="S665" i="4"/>
  <c r="Q666" i="4"/>
  <c r="R666" i="4"/>
  <c r="S666" i="4"/>
  <c r="Q667" i="4"/>
  <c r="R667" i="4"/>
  <c r="S667" i="4"/>
  <c r="Q668" i="4"/>
  <c r="R668" i="4"/>
  <c r="S668" i="4"/>
  <c r="Q669" i="4"/>
  <c r="R669" i="4"/>
  <c r="S669" i="4"/>
  <c r="Q670" i="4"/>
  <c r="R670" i="4"/>
  <c r="S670" i="4"/>
  <c r="Q671" i="4"/>
  <c r="R671" i="4"/>
  <c r="S671" i="4"/>
  <c r="Q672" i="4"/>
  <c r="R672" i="4"/>
  <c r="S672" i="4"/>
  <c r="Q673" i="4"/>
  <c r="R673" i="4"/>
  <c r="S673" i="4"/>
  <c r="Q674" i="4"/>
  <c r="R674" i="4"/>
  <c r="S674" i="4"/>
  <c r="Q675" i="4"/>
  <c r="R675" i="4"/>
  <c r="S675" i="4"/>
  <c r="Q676" i="4"/>
  <c r="R676" i="4"/>
  <c r="S676" i="4"/>
  <c r="Q677" i="4"/>
  <c r="R677" i="4"/>
  <c r="S677" i="4"/>
  <c r="Q678" i="4"/>
  <c r="R678" i="4"/>
  <c r="S678" i="4"/>
  <c r="Q679" i="4"/>
  <c r="R679" i="4"/>
  <c r="S679" i="4"/>
  <c r="Q680" i="4"/>
  <c r="R680" i="4"/>
  <c r="S680" i="4"/>
  <c r="Q681" i="4"/>
  <c r="R681" i="4"/>
  <c r="S681" i="4"/>
  <c r="Q682" i="4"/>
  <c r="R682" i="4"/>
  <c r="S682" i="4"/>
  <c r="Q683" i="4"/>
  <c r="R683" i="4"/>
  <c r="S683" i="4"/>
  <c r="Q684" i="4"/>
  <c r="R684" i="4"/>
  <c r="S684" i="4"/>
  <c r="Q685" i="4"/>
  <c r="R685" i="4"/>
  <c r="S685" i="4"/>
  <c r="Q686" i="4"/>
  <c r="R686" i="4"/>
  <c r="S686" i="4"/>
  <c r="Q687" i="4"/>
  <c r="R687" i="4"/>
  <c r="S687" i="4"/>
  <c r="Q688" i="4"/>
  <c r="R688" i="4"/>
  <c r="S688" i="4"/>
  <c r="Q689" i="4"/>
  <c r="R689" i="4"/>
  <c r="S689" i="4"/>
  <c r="Q690" i="4"/>
  <c r="R690" i="4"/>
  <c r="S690" i="4"/>
  <c r="Q691" i="4"/>
  <c r="R691" i="4"/>
  <c r="S691" i="4"/>
  <c r="Q692" i="4"/>
  <c r="R692" i="4"/>
  <c r="S692" i="4"/>
  <c r="Q693" i="4"/>
  <c r="R693" i="4"/>
  <c r="S693" i="4"/>
  <c r="Q694" i="4"/>
  <c r="R694" i="4"/>
  <c r="S694" i="4"/>
  <c r="Q695" i="4"/>
  <c r="R695" i="4"/>
  <c r="S695" i="4"/>
  <c r="Q696" i="4"/>
  <c r="R696" i="4"/>
  <c r="S696" i="4"/>
  <c r="Q697" i="4"/>
  <c r="R697" i="4"/>
  <c r="S697" i="4"/>
  <c r="Q698" i="4"/>
  <c r="R698" i="4"/>
  <c r="S698" i="4"/>
  <c r="Q699" i="4"/>
  <c r="R699" i="4"/>
  <c r="S699" i="4"/>
  <c r="Q700" i="4"/>
  <c r="R700" i="4"/>
  <c r="S700" i="4"/>
  <c r="Q701" i="4"/>
  <c r="R701" i="4"/>
  <c r="S701" i="4"/>
  <c r="Q702" i="4"/>
  <c r="R702" i="4"/>
  <c r="S702" i="4"/>
  <c r="Q703" i="4"/>
  <c r="R703" i="4"/>
  <c r="S703" i="4"/>
  <c r="Q704" i="4"/>
  <c r="R704" i="4"/>
  <c r="S704" i="4"/>
  <c r="Q705" i="4"/>
  <c r="R705" i="4"/>
  <c r="S705" i="4"/>
  <c r="Q706" i="4"/>
  <c r="R706" i="4"/>
  <c r="S706" i="4"/>
  <c r="Q707" i="4"/>
  <c r="R707" i="4"/>
  <c r="S707" i="4"/>
  <c r="Q708" i="4"/>
  <c r="R708" i="4"/>
  <c r="S708" i="4"/>
  <c r="Q709" i="4"/>
  <c r="R709" i="4"/>
  <c r="S709" i="4"/>
  <c r="Q710" i="4"/>
  <c r="R710" i="4"/>
  <c r="S710" i="4"/>
  <c r="Q711" i="4"/>
  <c r="R711" i="4"/>
  <c r="S711" i="4"/>
  <c r="Q712" i="4"/>
  <c r="R712" i="4"/>
  <c r="S712" i="4"/>
  <c r="Q713" i="4"/>
  <c r="R713" i="4"/>
  <c r="S713" i="4"/>
  <c r="Q714" i="4"/>
  <c r="R714" i="4"/>
  <c r="S714" i="4"/>
  <c r="Q715" i="4"/>
  <c r="R715" i="4"/>
  <c r="S715" i="4"/>
  <c r="Q716" i="4"/>
  <c r="R716" i="4"/>
  <c r="S716" i="4"/>
  <c r="Q717" i="4"/>
  <c r="R717" i="4"/>
  <c r="S717" i="4"/>
  <c r="Q718" i="4"/>
  <c r="R718" i="4"/>
  <c r="S718" i="4"/>
  <c r="Q719" i="4"/>
  <c r="R719" i="4"/>
  <c r="S719" i="4"/>
  <c r="Q720" i="4"/>
  <c r="R720" i="4"/>
  <c r="S720" i="4"/>
  <c r="Q721" i="4"/>
  <c r="R721" i="4"/>
  <c r="S721" i="4"/>
  <c r="Q722" i="4"/>
  <c r="R722" i="4"/>
  <c r="S722" i="4"/>
  <c r="Q723" i="4"/>
  <c r="R723" i="4"/>
  <c r="S723" i="4"/>
  <c r="Q724" i="4"/>
  <c r="R724" i="4"/>
  <c r="S724" i="4"/>
  <c r="Q725" i="4"/>
  <c r="R725" i="4"/>
  <c r="S725" i="4"/>
  <c r="Q726" i="4"/>
  <c r="R726" i="4"/>
  <c r="S726" i="4"/>
  <c r="Q727" i="4"/>
  <c r="R727" i="4"/>
  <c r="S727" i="4"/>
  <c r="Q728" i="4"/>
  <c r="R728" i="4"/>
  <c r="S728" i="4"/>
  <c r="Q729" i="4"/>
  <c r="R729" i="4"/>
  <c r="S729" i="4"/>
  <c r="Q730" i="4"/>
  <c r="R730" i="4"/>
  <c r="S730" i="4"/>
  <c r="S2" i="4"/>
  <c r="R2" i="4"/>
  <c r="Q2" i="4"/>
  <c r="Q3" i="3"/>
  <c r="R3" i="3"/>
  <c r="S3" i="3"/>
  <c r="Q4" i="3"/>
  <c r="R4" i="3"/>
  <c r="S4" i="3"/>
  <c r="Q5" i="3"/>
  <c r="R5" i="3"/>
  <c r="S5" i="3"/>
  <c r="Q6" i="3"/>
  <c r="R6" i="3"/>
  <c r="S6" i="3"/>
  <c r="Q7" i="3"/>
  <c r="R7" i="3"/>
  <c r="S7" i="3"/>
  <c r="Q8" i="3"/>
  <c r="R8" i="3"/>
  <c r="S8" i="3"/>
  <c r="Q9" i="3"/>
  <c r="R9" i="3"/>
  <c r="S9" i="3"/>
  <c r="Q10" i="3"/>
  <c r="R10" i="3"/>
  <c r="S10" i="3"/>
  <c r="Q11" i="3"/>
  <c r="R11" i="3"/>
  <c r="S11" i="3"/>
  <c r="Q12" i="3"/>
  <c r="R12" i="3"/>
  <c r="S12" i="3"/>
  <c r="Q13" i="3"/>
  <c r="R13" i="3"/>
  <c r="S13" i="3"/>
  <c r="Q14" i="3"/>
  <c r="R14" i="3"/>
  <c r="S14" i="3"/>
  <c r="Q15" i="3"/>
  <c r="R15" i="3"/>
  <c r="S15" i="3"/>
  <c r="Q16" i="3"/>
  <c r="R16" i="3"/>
  <c r="S16" i="3"/>
  <c r="Q17" i="3"/>
  <c r="R17" i="3"/>
  <c r="S17" i="3"/>
  <c r="Q18" i="3"/>
  <c r="R18" i="3"/>
  <c r="S18" i="3"/>
  <c r="Q19" i="3"/>
  <c r="R19" i="3"/>
  <c r="S19" i="3"/>
  <c r="Q20" i="3"/>
  <c r="R20" i="3"/>
  <c r="S20" i="3"/>
  <c r="Q21" i="3"/>
  <c r="R21" i="3"/>
  <c r="S21" i="3"/>
  <c r="Q22" i="3"/>
  <c r="R22" i="3"/>
  <c r="S22" i="3"/>
  <c r="Q23" i="3"/>
  <c r="R23" i="3"/>
  <c r="S23" i="3"/>
  <c r="Q24" i="3"/>
  <c r="R24" i="3"/>
  <c r="S24" i="3"/>
  <c r="Q25" i="3"/>
  <c r="R25" i="3"/>
  <c r="S25" i="3"/>
  <c r="Q26" i="3"/>
  <c r="R26" i="3"/>
  <c r="S26" i="3"/>
  <c r="Q27" i="3"/>
  <c r="R27" i="3"/>
  <c r="S27" i="3"/>
  <c r="Q28" i="3"/>
  <c r="R28" i="3"/>
  <c r="S28" i="3"/>
  <c r="Q29" i="3"/>
  <c r="R29" i="3"/>
  <c r="S29" i="3"/>
  <c r="Q30" i="3"/>
  <c r="R30" i="3"/>
  <c r="S30" i="3"/>
  <c r="Q31" i="3"/>
  <c r="R31" i="3"/>
  <c r="S31" i="3"/>
  <c r="Q32" i="3"/>
  <c r="R32" i="3"/>
  <c r="S32" i="3"/>
  <c r="Q33" i="3"/>
  <c r="R33" i="3"/>
  <c r="S33" i="3"/>
  <c r="Q34" i="3"/>
  <c r="R34" i="3"/>
  <c r="S34" i="3"/>
  <c r="Q35" i="3"/>
  <c r="R35" i="3"/>
  <c r="S35" i="3"/>
  <c r="Q36" i="3"/>
  <c r="R36" i="3"/>
  <c r="S36" i="3"/>
  <c r="Q37" i="3"/>
  <c r="R37" i="3"/>
  <c r="S37" i="3"/>
  <c r="Q38" i="3"/>
  <c r="R38" i="3"/>
  <c r="S38" i="3"/>
  <c r="Q39" i="3"/>
  <c r="R39" i="3"/>
  <c r="S39" i="3"/>
  <c r="Q40" i="3"/>
  <c r="R40" i="3"/>
  <c r="S40" i="3"/>
  <c r="Q41" i="3"/>
  <c r="R41" i="3"/>
  <c r="S41" i="3"/>
  <c r="Q42" i="3"/>
  <c r="R42" i="3"/>
  <c r="S42" i="3"/>
  <c r="Q43" i="3"/>
  <c r="R43" i="3"/>
  <c r="S43" i="3"/>
  <c r="Q44" i="3"/>
  <c r="R44" i="3"/>
  <c r="S44" i="3"/>
  <c r="Q45" i="3"/>
  <c r="R45" i="3"/>
  <c r="S45" i="3"/>
  <c r="Q46" i="3"/>
  <c r="R46" i="3"/>
  <c r="S46" i="3"/>
  <c r="Q47" i="3"/>
  <c r="R47" i="3"/>
  <c r="S47" i="3"/>
  <c r="Q48" i="3"/>
  <c r="R48" i="3"/>
  <c r="S48" i="3"/>
  <c r="Q49" i="3"/>
  <c r="R49" i="3"/>
  <c r="S49" i="3"/>
  <c r="Q50" i="3"/>
  <c r="R50" i="3"/>
  <c r="S50" i="3"/>
  <c r="Q51" i="3"/>
  <c r="R51" i="3"/>
  <c r="S51" i="3"/>
  <c r="Q52" i="3"/>
  <c r="R52" i="3"/>
  <c r="S52" i="3"/>
  <c r="Q53" i="3"/>
  <c r="R53" i="3"/>
  <c r="S53" i="3"/>
  <c r="Q54" i="3"/>
  <c r="R54" i="3"/>
  <c r="S54" i="3"/>
  <c r="Q55" i="3"/>
  <c r="R55" i="3"/>
  <c r="S55" i="3"/>
  <c r="Q56" i="3"/>
  <c r="R56" i="3"/>
  <c r="S56" i="3"/>
  <c r="Q57" i="3"/>
  <c r="R57" i="3"/>
  <c r="S57" i="3"/>
  <c r="Q58" i="3"/>
  <c r="R58" i="3"/>
  <c r="S58" i="3"/>
  <c r="Q59" i="3"/>
  <c r="R59" i="3"/>
  <c r="S59" i="3"/>
  <c r="Q60" i="3"/>
  <c r="R60" i="3"/>
  <c r="S60" i="3"/>
  <c r="Q61" i="3"/>
  <c r="R61" i="3"/>
  <c r="S61" i="3"/>
  <c r="Q62" i="3"/>
  <c r="R62" i="3"/>
  <c r="S62" i="3"/>
  <c r="Q63" i="3"/>
  <c r="R63" i="3"/>
  <c r="S63" i="3"/>
  <c r="Q64" i="3"/>
  <c r="R64" i="3"/>
  <c r="S64" i="3"/>
  <c r="Q65" i="3"/>
  <c r="R65" i="3"/>
  <c r="S65" i="3"/>
  <c r="Q66" i="3"/>
  <c r="R66" i="3"/>
  <c r="S66" i="3"/>
  <c r="Q67" i="3"/>
  <c r="R67" i="3"/>
  <c r="S67" i="3"/>
  <c r="Q68" i="3"/>
  <c r="R68" i="3"/>
  <c r="S68" i="3"/>
  <c r="Q69" i="3"/>
  <c r="R69" i="3"/>
  <c r="S69" i="3"/>
  <c r="Q70" i="3"/>
  <c r="R70" i="3"/>
  <c r="S70" i="3"/>
  <c r="Q71" i="3"/>
  <c r="R71" i="3"/>
  <c r="S71" i="3"/>
  <c r="Q72" i="3"/>
  <c r="R72" i="3"/>
  <c r="S72" i="3"/>
  <c r="Q73" i="3"/>
  <c r="R73" i="3"/>
  <c r="S73" i="3"/>
  <c r="Q74" i="3"/>
  <c r="R74" i="3"/>
  <c r="S74" i="3"/>
  <c r="Q75" i="3"/>
  <c r="R75" i="3"/>
  <c r="S75" i="3"/>
  <c r="Q76" i="3"/>
  <c r="R76" i="3"/>
  <c r="S76" i="3"/>
  <c r="Q77" i="3"/>
  <c r="R77" i="3"/>
  <c r="S77" i="3"/>
  <c r="Q78" i="3"/>
  <c r="R78" i="3"/>
  <c r="S78" i="3"/>
  <c r="Q79" i="3"/>
  <c r="R79" i="3"/>
  <c r="S79" i="3"/>
  <c r="Q80" i="3"/>
  <c r="R80" i="3"/>
  <c r="S80" i="3"/>
  <c r="Q81" i="3"/>
  <c r="R81" i="3"/>
  <c r="S81" i="3"/>
  <c r="Q82" i="3"/>
  <c r="R82" i="3"/>
  <c r="S82" i="3"/>
  <c r="Q83" i="3"/>
  <c r="R83" i="3"/>
  <c r="S83" i="3"/>
  <c r="Q84" i="3"/>
  <c r="R84" i="3"/>
  <c r="S84" i="3"/>
  <c r="Q85" i="3"/>
  <c r="R85" i="3"/>
  <c r="S85" i="3"/>
  <c r="Q86" i="3"/>
  <c r="R86" i="3"/>
  <c r="S86" i="3"/>
  <c r="Q87" i="3"/>
  <c r="R87" i="3"/>
  <c r="S87" i="3"/>
  <c r="Q88" i="3"/>
  <c r="R88" i="3"/>
  <c r="S88" i="3"/>
  <c r="Q89" i="3"/>
  <c r="R89" i="3"/>
  <c r="S89" i="3"/>
  <c r="Q90" i="3"/>
  <c r="R90" i="3"/>
  <c r="S90" i="3"/>
  <c r="Q91" i="3"/>
  <c r="R91" i="3"/>
  <c r="S91" i="3"/>
  <c r="Q92" i="3"/>
  <c r="R92" i="3"/>
  <c r="S92" i="3"/>
  <c r="Q93" i="3"/>
  <c r="R93" i="3"/>
  <c r="S93" i="3"/>
  <c r="Q94" i="3"/>
  <c r="R94" i="3"/>
  <c r="S94" i="3"/>
  <c r="Q95" i="3"/>
  <c r="R95" i="3"/>
  <c r="S95" i="3"/>
  <c r="Q96" i="3"/>
  <c r="R96" i="3"/>
  <c r="S96" i="3"/>
  <c r="Q97" i="3"/>
  <c r="R97" i="3"/>
  <c r="S97" i="3"/>
  <c r="Q98" i="3"/>
  <c r="R98" i="3"/>
  <c r="S98" i="3"/>
  <c r="Q99" i="3"/>
  <c r="R99" i="3"/>
  <c r="S99" i="3"/>
  <c r="Q100" i="3"/>
  <c r="R100" i="3"/>
  <c r="S100" i="3"/>
  <c r="Q101" i="3"/>
  <c r="R101" i="3"/>
  <c r="S101" i="3"/>
  <c r="Q102" i="3"/>
  <c r="R102" i="3"/>
  <c r="S102" i="3"/>
  <c r="Q103" i="3"/>
  <c r="R103" i="3"/>
  <c r="S103" i="3"/>
  <c r="Q104" i="3"/>
  <c r="R104" i="3"/>
  <c r="S104" i="3"/>
  <c r="Q105" i="3"/>
  <c r="R105" i="3"/>
  <c r="S105" i="3"/>
  <c r="Q106" i="3"/>
  <c r="R106" i="3"/>
  <c r="S106" i="3"/>
  <c r="Q107" i="3"/>
  <c r="R107" i="3"/>
  <c r="S107" i="3"/>
  <c r="Q108" i="3"/>
  <c r="R108" i="3"/>
  <c r="S108" i="3"/>
  <c r="Q109" i="3"/>
  <c r="R109" i="3"/>
  <c r="S109" i="3"/>
  <c r="Q110" i="3"/>
  <c r="R110" i="3"/>
  <c r="S110" i="3"/>
  <c r="Q111" i="3"/>
  <c r="R111" i="3"/>
  <c r="S111" i="3"/>
  <c r="Q112" i="3"/>
  <c r="R112" i="3"/>
  <c r="S112" i="3"/>
  <c r="Q113" i="3"/>
  <c r="R113" i="3"/>
  <c r="S113" i="3"/>
  <c r="Q114" i="3"/>
  <c r="R114" i="3"/>
  <c r="S114" i="3"/>
  <c r="Q115" i="3"/>
  <c r="R115" i="3"/>
  <c r="S115" i="3"/>
  <c r="Q116" i="3"/>
  <c r="R116" i="3"/>
  <c r="S116" i="3"/>
  <c r="Q117" i="3"/>
  <c r="R117" i="3"/>
  <c r="S117" i="3"/>
  <c r="Q118" i="3"/>
  <c r="R118" i="3"/>
  <c r="S118" i="3"/>
  <c r="Q119" i="3"/>
  <c r="R119" i="3"/>
  <c r="S119" i="3"/>
  <c r="Q120" i="3"/>
  <c r="R120" i="3"/>
  <c r="S120" i="3"/>
  <c r="Q121" i="3"/>
  <c r="R121" i="3"/>
  <c r="S121" i="3"/>
  <c r="Q122" i="3"/>
  <c r="R122" i="3"/>
  <c r="S122" i="3"/>
  <c r="Q123" i="3"/>
  <c r="R123" i="3"/>
  <c r="S123" i="3"/>
  <c r="Q124" i="3"/>
  <c r="R124" i="3"/>
  <c r="S124" i="3"/>
  <c r="Q125" i="3"/>
  <c r="R125" i="3"/>
  <c r="S125" i="3"/>
  <c r="Q126" i="3"/>
  <c r="R126" i="3"/>
  <c r="S126" i="3"/>
  <c r="Q127" i="3"/>
  <c r="R127" i="3"/>
  <c r="S127" i="3"/>
  <c r="Q128" i="3"/>
  <c r="R128" i="3"/>
  <c r="S128" i="3"/>
  <c r="Q129" i="3"/>
  <c r="R129" i="3"/>
  <c r="S129" i="3"/>
  <c r="Q130" i="3"/>
  <c r="R130" i="3"/>
  <c r="S130" i="3"/>
  <c r="Q131" i="3"/>
  <c r="R131" i="3"/>
  <c r="S131" i="3"/>
  <c r="Q132" i="3"/>
  <c r="R132" i="3"/>
  <c r="S132" i="3"/>
  <c r="Q133" i="3"/>
  <c r="R133" i="3"/>
  <c r="S133" i="3"/>
  <c r="Q134" i="3"/>
  <c r="R134" i="3"/>
  <c r="S134" i="3"/>
  <c r="Q135" i="3"/>
  <c r="R135" i="3"/>
  <c r="S135" i="3"/>
  <c r="Q136" i="3"/>
  <c r="R136" i="3"/>
  <c r="S136" i="3"/>
  <c r="Q137" i="3"/>
  <c r="R137" i="3"/>
  <c r="S137" i="3"/>
  <c r="Q138" i="3"/>
  <c r="R138" i="3"/>
  <c r="S138" i="3"/>
  <c r="Q139" i="3"/>
  <c r="R139" i="3"/>
  <c r="S139" i="3"/>
  <c r="Q140" i="3"/>
  <c r="R140" i="3"/>
  <c r="S140" i="3"/>
  <c r="Q141" i="3"/>
  <c r="R141" i="3"/>
  <c r="S141" i="3"/>
  <c r="Q142" i="3"/>
  <c r="R142" i="3"/>
  <c r="S142" i="3"/>
  <c r="Q143" i="3"/>
  <c r="R143" i="3"/>
  <c r="S143" i="3"/>
  <c r="Q144" i="3"/>
  <c r="R144" i="3"/>
  <c r="S144" i="3"/>
  <c r="Q145" i="3"/>
  <c r="R145" i="3"/>
  <c r="S145" i="3"/>
  <c r="Q146" i="3"/>
  <c r="R146" i="3"/>
  <c r="S146" i="3"/>
  <c r="Q147" i="3"/>
  <c r="R147" i="3"/>
  <c r="S147" i="3"/>
  <c r="Q148" i="3"/>
  <c r="R148" i="3"/>
  <c r="S148" i="3"/>
  <c r="Q149" i="3"/>
  <c r="R149" i="3"/>
  <c r="S149" i="3"/>
  <c r="Q150" i="3"/>
  <c r="R150" i="3"/>
  <c r="S150" i="3"/>
  <c r="Q151" i="3"/>
  <c r="R151" i="3"/>
  <c r="S151" i="3"/>
  <c r="Q152" i="3"/>
  <c r="R152" i="3"/>
  <c r="S152" i="3"/>
  <c r="Q153" i="3"/>
  <c r="R153" i="3"/>
  <c r="S153" i="3"/>
  <c r="Q154" i="3"/>
  <c r="R154" i="3"/>
  <c r="S154" i="3"/>
  <c r="Q155" i="3"/>
  <c r="R155" i="3"/>
  <c r="S155" i="3"/>
  <c r="Q156" i="3"/>
  <c r="R156" i="3"/>
  <c r="S156" i="3"/>
  <c r="Q157" i="3"/>
  <c r="R157" i="3"/>
  <c r="S157" i="3"/>
  <c r="Q158" i="3"/>
  <c r="R158" i="3"/>
  <c r="S158" i="3"/>
  <c r="Q159" i="3"/>
  <c r="R159" i="3"/>
  <c r="S159" i="3"/>
  <c r="Q160" i="3"/>
  <c r="R160" i="3"/>
  <c r="S160" i="3"/>
  <c r="Q161" i="3"/>
  <c r="R161" i="3"/>
  <c r="S161" i="3"/>
  <c r="Q162" i="3"/>
  <c r="R162" i="3"/>
  <c r="S162" i="3"/>
  <c r="Q163" i="3"/>
  <c r="R163" i="3"/>
  <c r="S163" i="3"/>
  <c r="Q164" i="3"/>
  <c r="R164" i="3"/>
  <c r="S164" i="3"/>
  <c r="Q165" i="3"/>
  <c r="R165" i="3"/>
  <c r="S165" i="3"/>
  <c r="Q166" i="3"/>
  <c r="R166" i="3"/>
  <c r="S166" i="3"/>
  <c r="Q167" i="3"/>
  <c r="R167" i="3"/>
  <c r="S167" i="3"/>
  <c r="Q168" i="3"/>
  <c r="R168" i="3"/>
  <c r="S168" i="3"/>
  <c r="Q169" i="3"/>
  <c r="R169" i="3"/>
  <c r="S169" i="3"/>
  <c r="Q170" i="3"/>
  <c r="R170" i="3"/>
  <c r="S170" i="3"/>
  <c r="Q171" i="3"/>
  <c r="R171" i="3"/>
  <c r="S171" i="3"/>
  <c r="Q172" i="3"/>
  <c r="R172" i="3"/>
  <c r="S172" i="3"/>
  <c r="Q173" i="3"/>
  <c r="R173" i="3"/>
  <c r="S173" i="3"/>
  <c r="Q174" i="3"/>
  <c r="R174" i="3"/>
  <c r="S174" i="3"/>
  <c r="Q175" i="3"/>
  <c r="R175" i="3"/>
  <c r="S175" i="3"/>
  <c r="Q176" i="3"/>
  <c r="R176" i="3"/>
  <c r="S176" i="3"/>
  <c r="Q177" i="3"/>
  <c r="R177" i="3"/>
  <c r="S177" i="3"/>
  <c r="Q178" i="3"/>
  <c r="R178" i="3"/>
  <c r="S178" i="3"/>
  <c r="Q179" i="3"/>
  <c r="R179" i="3"/>
  <c r="S179" i="3"/>
  <c r="Q180" i="3"/>
  <c r="R180" i="3"/>
  <c r="S180" i="3"/>
  <c r="Q181" i="3"/>
  <c r="R181" i="3"/>
  <c r="S181" i="3"/>
  <c r="Q182" i="3"/>
  <c r="R182" i="3"/>
  <c r="S182" i="3"/>
  <c r="Q183" i="3"/>
  <c r="R183" i="3"/>
  <c r="S183" i="3"/>
  <c r="Q184" i="3"/>
  <c r="R184" i="3"/>
  <c r="S184" i="3"/>
  <c r="Q185" i="3"/>
  <c r="R185" i="3"/>
  <c r="S185" i="3"/>
  <c r="Q186" i="3"/>
  <c r="R186" i="3"/>
  <c r="S186" i="3"/>
  <c r="Q187" i="3"/>
  <c r="R187" i="3"/>
  <c r="S187" i="3"/>
  <c r="Q188" i="3"/>
  <c r="R188" i="3"/>
  <c r="S188" i="3"/>
  <c r="Q189" i="3"/>
  <c r="R189" i="3"/>
  <c r="S189" i="3"/>
  <c r="Q190" i="3"/>
  <c r="R190" i="3"/>
  <c r="S190" i="3"/>
  <c r="Q191" i="3"/>
  <c r="R191" i="3"/>
  <c r="S191" i="3"/>
  <c r="Q192" i="3"/>
  <c r="R192" i="3"/>
  <c r="S192" i="3"/>
  <c r="Q193" i="3"/>
  <c r="R193" i="3"/>
  <c r="S193" i="3"/>
  <c r="Q194" i="3"/>
  <c r="R194" i="3"/>
  <c r="S194" i="3"/>
  <c r="Q195" i="3"/>
  <c r="R195" i="3"/>
  <c r="S195" i="3"/>
  <c r="Q196" i="3"/>
  <c r="R196" i="3"/>
  <c r="S196" i="3"/>
  <c r="Q197" i="3"/>
  <c r="R197" i="3"/>
  <c r="S197" i="3"/>
  <c r="Q198" i="3"/>
  <c r="R198" i="3"/>
  <c r="S198" i="3"/>
  <c r="Q199" i="3"/>
  <c r="R199" i="3"/>
  <c r="S199" i="3"/>
  <c r="Q200" i="3"/>
  <c r="R200" i="3"/>
  <c r="S200" i="3"/>
  <c r="Q201" i="3"/>
  <c r="R201" i="3"/>
  <c r="S201" i="3"/>
  <c r="Q202" i="3"/>
  <c r="R202" i="3"/>
  <c r="S202" i="3"/>
  <c r="Q203" i="3"/>
  <c r="R203" i="3"/>
  <c r="S203" i="3"/>
  <c r="Q204" i="3"/>
  <c r="R204" i="3"/>
  <c r="S204" i="3"/>
  <c r="Q205" i="3"/>
  <c r="R205" i="3"/>
  <c r="S205" i="3"/>
  <c r="Q206" i="3"/>
  <c r="R206" i="3"/>
  <c r="S206" i="3"/>
  <c r="Q207" i="3"/>
  <c r="R207" i="3"/>
  <c r="S207" i="3"/>
  <c r="Q208" i="3"/>
  <c r="R208" i="3"/>
  <c r="S208" i="3"/>
  <c r="Q209" i="3"/>
  <c r="R209" i="3"/>
  <c r="S209" i="3"/>
  <c r="Q210" i="3"/>
  <c r="R210" i="3"/>
  <c r="S210" i="3"/>
  <c r="Q211" i="3"/>
  <c r="R211" i="3"/>
  <c r="S211" i="3"/>
  <c r="Q212" i="3"/>
  <c r="R212" i="3"/>
  <c r="S212" i="3"/>
  <c r="Q213" i="3"/>
  <c r="R213" i="3"/>
  <c r="S213" i="3"/>
  <c r="Q214" i="3"/>
  <c r="R214" i="3"/>
  <c r="S214" i="3"/>
  <c r="Q215" i="3"/>
  <c r="R215" i="3"/>
  <c r="S215" i="3"/>
  <c r="Q216" i="3"/>
  <c r="R216" i="3"/>
  <c r="S216" i="3"/>
  <c r="Q217" i="3"/>
  <c r="R217" i="3"/>
  <c r="S217" i="3"/>
  <c r="Q218" i="3"/>
  <c r="R218" i="3"/>
  <c r="S218" i="3"/>
  <c r="Q219" i="3"/>
  <c r="R219" i="3"/>
  <c r="S219" i="3"/>
  <c r="Q220" i="3"/>
  <c r="R220" i="3"/>
  <c r="S220" i="3"/>
  <c r="Q221" i="3"/>
  <c r="R221" i="3"/>
  <c r="S221" i="3"/>
  <c r="Q222" i="3"/>
  <c r="R222" i="3"/>
  <c r="S222" i="3"/>
  <c r="Q223" i="3"/>
  <c r="R223" i="3"/>
  <c r="S223" i="3"/>
  <c r="Q224" i="3"/>
  <c r="R224" i="3"/>
  <c r="S224" i="3"/>
  <c r="Q225" i="3"/>
  <c r="R225" i="3"/>
  <c r="S225" i="3"/>
  <c r="Q226" i="3"/>
  <c r="R226" i="3"/>
  <c r="S226" i="3"/>
  <c r="Q227" i="3"/>
  <c r="R227" i="3"/>
  <c r="S227" i="3"/>
  <c r="Q228" i="3"/>
  <c r="R228" i="3"/>
  <c r="S228" i="3"/>
  <c r="Q229" i="3"/>
  <c r="R229" i="3"/>
  <c r="S229" i="3"/>
  <c r="Q230" i="3"/>
  <c r="R230" i="3"/>
  <c r="S230" i="3"/>
  <c r="Q231" i="3"/>
  <c r="R231" i="3"/>
  <c r="S231" i="3"/>
  <c r="Q232" i="3"/>
  <c r="R232" i="3"/>
  <c r="S232" i="3"/>
  <c r="Q233" i="3"/>
  <c r="R233" i="3"/>
  <c r="S233" i="3"/>
  <c r="Q234" i="3"/>
  <c r="R234" i="3"/>
  <c r="S234" i="3"/>
  <c r="Q235" i="3"/>
  <c r="R235" i="3"/>
  <c r="S235" i="3"/>
  <c r="Q236" i="3"/>
  <c r="R236" i="3"/>
  <c r="S236" i="3"/>
  <c r="Q237" i="3"/>
  <c r="R237" i="3"/>
  <c r="S237" i="3"/>
  <c r="Q238" i="3"/>
  <c r="R238" i="3"/>
  <c r="S238" i="3"/>
  <c r="Q239" i="3"/>
  <c r="R239" i="3"/>
  <c r="S239" i="3"/>
  <c r="Q240" i="3"/>
  <c r="R240" i="3"/>
  <c r="S240" i="3"/>
  <c r="Q241" i="3"/>
  <c r="R241" i="3"/>
  <c r="S241" i="3"/>
  <c r="Q242" i="3"/>
  <c r="R242" i="3"/>
  <c r="S242" i="3"/>
  <c r="Q243" i="3"/>
  <c r="R243" i="3"/>
  <c r="S243" i="3"/>
  <c r="Q244" i="3"/>
  <c r="R244" i="3"/>
  <c r="S244" i="3"/>
  <c r="Q245" i="3"/>
  <c r="R245" i="3"/>
  <c r="S245" i="3"/>
  <c r="Q246" i="3"/>
  <c r="R246" i="3"/>
  <c r="S246" i="3"/>
  <c r="Q247" i="3"/>
  <c r="R247" i="3"/>
  <c r="S247" i="3"/>
  <c r="Q248" i="3"/>
  <c r="R248" i="3"/>
  <c r="S248" i="3"/>
  <c r="Q249" i="3"/>
  <c r="R249" i="3"/>
  <c r="S249" i="3"/>
  <c r="Q250" i="3"/>
  <c r="R250" i="3"/>
  <c r="S250" i="3"/>
  <c r="Q251" i="3"/>
  <c r="R251" i="3"/>
  <c r="S251" i="3"/>
  <c r="Q252" i="3"/>
  <c r="R252" i="3"/>
  <c r="S252" i="3"/>
  <c r="Q253" i="3"/>
  <c r="R253" i="3"/>
  <c r="S253" i="3"/>
  <c r="Q254" i="3"/>
  <c r="R254" i="3"/>
  <c r="S254" i="3"/>
  <c r="Q255" i="3"/>
  <c r="R255" i="3"/>
  <c r="S255" i="3"/>
  <c r="Q256" i="3"/>
  <c r="R256" i="3"/>
  <c r="S256" i="3"/>
  <c r="Q257" i="3"/>
  <c r="R257" i="3"/>
  <c r="S257" i="3"/>
  <c r="Q258" i="3"/>
  <c r="R258" i="3"/>
  <c r="S258" i="3"/>
  <c r="Q259" i="3"/>
  <c r="R259" i="3"/>
  <c r="S259" i="3"/>
  <c r="Q260" i="3"/>
  <c r="R260" i="3"/>
  <c r="S260" i="3"/>
  <c r="Q261" i="3"/>
  <c r="R261" i="3"/>
  <c r="S261" i="3"/>
  <c r="Q262" i="3"/>
  <c r="R262" i="3"/>
  <c r="S262" i="3"/>
  <c r="Q263" i="3"/>
  <c r="R263" i="3"/>
  <c r="S263" i="3"/>
  <c r="Q264" i="3"/>
  <c r="R264" i="3"/>
  <c r="S264" i="3"/>
  <c r="Q265" i="3"/>
  <c r="R265" i="3"/>
  <c r="S265" i="3"/>
  <c r="Q266" i="3"/>
  <c r="R266" i="3"/>
  <c r="S266" i="3"/>
  <c r="Q267" i="3"/>
  <c r="R267" i="3"/>
  <c r="S267" i="3"/>
  <c r="Q268" i="3"/>
  <c r="R268" i="3"/>
  <c r="S268" i="3"/>
  <c r="Q269" i="3"/>
  <c r="R269" i="3"/>
  <c r="S269" i="3"/>
  <c r="Q270" i="3"/>
  <c r="R270" i="3"/>
  <c r="S270" i="3"/>
  <c r="Q271" i="3"/>
  <c r="R271" i="3"/>
  <c r="S271" i="3"/>
  <c r="Q272" i="3"/>
  <c r="R272" i="3"/>
  <c r="S272" i="3"/>
  <c r="Q273" i="3"/>
  <c r="R273" i="3"/>
  <c r="S273" i="3"/>
  <c r="Q274" i="3"/>
  <c r="R274" i="3"/>
  <c r="S274" i="3"/>
  <c r="Q275" i="3"/>
  <c r="R275" i="3"/>
  <c r="S275" i="3"/>
  <c r="Q276" i="3"/>
  <c r="R276" i="3"/>
  <c r="S276" i="3"/>
  <c r="Q277" i="3"/>
  <c r="R277" i="3"/>
  <c r="S277" i="3"/>
  <c r="Q278" i="3"/>
  <c r="R278" i="3"/>
  <c r="S278" i="3"/>
  <c r="Q279" i="3"/>
  <c r="R279" i="3"/>
  <c r="S279" i="3"/>
  <c r="Q280" i="3"/>
  <c r="R280" i="3"/>
  <c r="S280" i="3"/>
  <c r="Q281" i="3"/>
  <c r="R281" i="3"/>
  <c r="S281" i="3"/>
  <c r="Q282" i="3"/>
  <c r="R282" i="3"/>
  <c r="S282" i="3"/>
  <c r="Q283" i="3"/>
  <c r="R283" i="3"/>
  <c r="S283" i="3"/>
  <c r="Q284" i="3"/>
  <c r="R284" i="3"/>
  <c r="S284" i="3"/>
  <c r="Q285" i="3"/>
  <c r="R285" i="3"/>
  <c r="S285" i="3"/>
  <c r="Q286" i="3"/>
  <c r="R286" i="3"/>
  <c r="S286" i="3"/>
  <c r="Q287" i="3"/>
  <c r="R287" i="3"/>
  <c r="S287" i="3"/>
  <c r="Q288" i="3"/>
  <c r="R288" i="3"/>
  <c r="S288" i="3"/>
  <c r="Q289" i="3"/>
  <c r="R289" i="3"/>
  <c r="S289" i="3"/>
  <c r="Q290" i="3"/>
  <c r="R290" i="3"/>
  <c r="S290" i="3"/>
  <c r="Q291" i="3"/>
  <c r="R291" i="3"/>
  <c r="S291" i="3"/>
  <c r="Q292" i="3"/>
  <c r="R292" i="3"/>
  <c r="S292" i="3"/>
  <c r="Q293" i="3"/>
  <c r="R293" i="3"/>
  <c r="S293" i="3"/>
  <c r="Q294" i="3"/>
  <c r="R294" i="3"/>
  <c r="S294" i="3"/>
  <c r="Q295" i="3"/>
  <c r="R295" i="3"/>
  <c r="S295" i="3"/>
  <c r="Q296" i="3"/>
  <c r="R296" i="3"/>
  <c r="S296" i="3"/>
  <c r="Q297" i="3"/>
  <c r="R297" i="3"/>
  <c r="S297" i="3"/>
  <c r="Q298" i="3"/>
  <c r="R298" i="3"/>
  <c r="S298" i="3"/>
  <c r="Q299" i="3"/>
  <c r="R299" i="3"/>
  <c r="S299" i="3"/>
  <c r="Q300" i="3"/>
  <c r="R300" i="3"/>
  <c r="S300" i="3"/>
  <c r="Q301" i="3"/>
  <c r="R301" i="3"/>
  <c r="S301" i="3"/>
  <c r="Q302" i="3"/>
  <c r="R302" i="3"/>
  <c r="S302" i="3"/>
  <c r="Q303" i="3"/>
  <c r="R303" i="3"/>
  <c r="S303" i="3"/>
  <c r="Q304" i="3"/>
  <c r="R304" i="3"/>
  <c r="S304" i="3"/>
  <c r="Q305" i="3"/>
  <c r="R305" i="3"/>
  <c r="S305" i="3"/>
  <c r="Q306" i="3"/>
  <c r="R306" i="3"/>
  <c r="S306" i="3"/>
  <c r="Q307" i="3"/>
  <c r="R307" i="3"/>
  <c r="S307" i="3"/>
  <c r="Q308" i="3"/>
  <c r="R308" i="3"/>
  <c r="S308" i="3"/>
  <c r="Q309" i="3"/>
  <c r="R309" i="3"/>
  <c r="S309" i="3"/>
  <c r="Q310" i="3"/>
  <c r="R310" i="3"/>
  <c r="S310" i="3"/>
  <c r="Q311" i="3"/>
  <c r="R311" i="3"/>
  <c r="S311" i="3"/>
  <c r="Q312" i="3"/>
  <c r="R312" i="3"/>
  <c r="S312" i="3"/>
  <c r="Q313" i="3"/>
  <c r="R313" i="3"/>
  <c r="S313" i="3"/>
  <c r="Q314" i="3"/>
  <c r="R314" i="3"/>
  <c r="S314" i="3"/>
  <c r="Q315" i="3"/>
  <c r="R315" i="3"/>
  <c r="S315" i="3"/>
  <c r="Q316" i="3"/>
  <c r="R316" i="3"/>
  <c r="S316" i="3"/>
  <c r="Q317" i="3"/>
  <c r="R317" i="3"/>
  <c r="S317" i="3"/>
  <c r="Q318" i="3"/>
  <c r="R318" i="3"/>
  <c r="S318" i="3"/>
  <c r="Q319" i="3"/>
  <c r="R319" i="3"/>
  <c r="S319" i="3"/>
  <c r="Q320" i="3"/>
  <c r="R320" i="3"/>
  <c r="S320" i="3"/>
  <c r="Q321" i="3"/>
  <c r="R321" i="3"/>
  <c r="S321" i="3"/>
  <c r="Q322" i="3"/>
  <c r="R322" i="3"/>
  <c r="S322" i="3"/>
  <c r="Q323" i="3"/>
  <c r="R323" i="3"/>
  <c r="S323" i="3"/>
  <c r="Q324" i="3"/>
  <c r="R324" i="3"/>
  <c r="S324" i="3"/>
  <c r="Q325" i="3"/>
  <c r="R325" i="3"/>
  <c r="S325" i="3"/>
  <c r="Q326" i="3"/>
  <c r="R326" i="3"/>
  <c r="S326" i="3"/>
  <c r="Q327" i="3"/>
  <c r="R327" i="3"/>
  <c r="S327" i="3"/>
  <c r="Q328" i="3"/>
  <c r="R328" i="3"/>
  <c r="S328" i="3"/>
  <c r="Q329" i="3"/>
  <c r="R329" i="3"/>
  <c r="S329" i="3"/>
  <c r="Q330" i="3"/>
  <c r="R330" i="3"/>
  <c r="S330" i="3"/>
  <c r="Q331" i="3"/>
  <c r="R331" i="3"/>
  <c r="S331" i="3"/>
  <c r="Q332" i="3"/>
  <c r="R332" i="3"/>
  <c r="S332" i="3"/>
  <c r="Q333" i="3"/>
  <c r="R333" i="3"/>
  <c r="S333" i="3"/>
  <c r="Q334" i="3"/>
  <c r="R334" i="3"/>
  <c r="S334" i="3"/>
  <c r="Q335" i="3"/>
  <c r="R335" i="3"/>
  <c r="S335" i="3"/>
  <c r="Q336" i="3"/>
  <c r="R336" i="3"/>
  <c r="S336" i="3"/>
  <c r="Q337" i="3"/>
  <c r="R337" i="3"/>
  <c r="S337" i="3"/>
  <c r="Q338" i="3"/>
  <c r="R338" i="3"/>
  <c r="S338" i="3"/>
  <c r="Q339" i="3"/>
  <c r="R339" i="3"/>
  <c r="S339" i="3"/>
  <c r="Q340" i="3"/>
  <c r="R340" i="3"/>
  <c r="S340" i="3"/>
  <c r="Q341" i="3"/>
  <c r="R341" i="3"/>
  <c r="S341" i="3"/>
  <c r="Q342" i="3"/>
  <c r="R342" i="3"/>
  <c r="S342" i="3"/>
  <c r="Q343" i="3"/>
  <c r="R343" i="3"/>
  <c r="S343" i="3"/>
  <c r="Q344" i="3"/>
  <c r="R344" i="3"/>
  <c r="S344" i="3"/>
  <c r="Q345" i="3"/>
  <c r="R345" i="3"/>
  <c r="S345" i="3"/>
  <c r="Q346" i="3"/>
  <c r="R346" i="3"/>
  <c r="S346" i="3"/>
  <c r="Q347" i="3"/>
  <c r="R347" i="3"/>
  <c r="S347" i="3"/>
  <c r="Q348" i="3"/>
  <c r="R348" i="3"/>
  <c r="S348" i="3"/>
  <c r="Q349" i="3"/>
  <c r="R349" i="3"/>
  <c r="S349" i="3"/>
  <c r="Q350" i="3"/>
  <c r="R350" i="3"/>
  <c r="S350" i="3"/>
  <c r="Q351" i="3"/>
  <c r="R351" i="3"/>
  <c r="S351" i="3"/>
  <c r="Q352" i="3"/>
  <c r="R352" i="3"/>
  <c r="S352" i="3"/>
  <c r="Q353" i="3"/>
  <c r="R353" i="3"/>
  <c r="S353" i="3"/>
  <c r="Q354" i="3"/>
  <c r="R354" i="3"/>
  <c r="S354" i="3"/>
  <c r="Q355" i="3"/>
  <c r="R355" i="3"/>
  <c r="S355" i="3"/>
  <c r="Q356" i="3"/>
  <c r="R356" i="3"/>
  <c r="S356" i="3"/>
  <c r="Q357" i="3"/>
  <c r="R357" i="3"/>
  <c r="S357" i="3"/>
  <c r="Q358" i="3"/>
  <c r="R358" i="3"/>
  <c r="S358" i="3"/>
  <c r="Q359" i="3"/>
  <c r="R359" i="3"/>
  <c r="S359" i="3"/>
  <c r="Q360" i="3"/>
  <c r="R360" i="3"/>
  <c r="S360" i="3"/>
  <c r="Q361" i="3"/>
  <c r="R361" i="3"/>
  <c r="S361" i="3"/>
  <c r="Q362" i="3"/>
  <c r="R362" i="3"/>
  <c r="S362" i="3"/>
  <c r="Q363" i="3"/>
  <c r="R363" i="3"/>
  <c r="S363" i="3"/>
  <c r="Q364" i="3"/>
  <c r="R364" i="3"/>
  <c r="S364" i="3"/>
  <c r="Q365" i="3"/>
  <c r="R365" i="3"/>
  <c r="S365" i="3"/>
  <c r="Q366" i="3"/>
  <c r="R366" i="3"/>
  <c r="S366" i="3"/>
  <c r="Q367" i="3"/>
  <c r="R367" i="3"/>
  <c r="S367" i="3"/>
  <c r="Q368" i="3"/>
  <c r="R368" i="3"/>
  <c r="S368" i="3"/>
  <c r="Q369" i="3"/>
  <c r="R369" i="3"/>
  <c r="S369" i="3"/>
  <c r="Q370" i="3"/>
  <c r="R370" i="3"/>
  <c r="S370" i="3"/>
  <c r="Q371" i="3"/>
  <c r="R371" i="3"/>
  <c r="S371" i="3"/>
  <c r="Q372" i="3"/>
  <c r="R372" i="3"/>
  <c r="S372" i="3"/>
  <c r="Q373" i="3"/>
  <c r="R373" i="3"/>
  <c r="S373" i="3"/>
  <c r="Q374" i="3"/>
  <c r="R374" i="3"/>
  <c r="S374" i="3"/>
  <c r="Q375" i="3"/>
  <c r="R375" i="3"/>
  <c r="S375" i="3"/>
  <c r="Q376" i="3"/>
  <c r="R376" i="3"/>
  <c r="S376" i="3"/>
  <c r="Q377" i="3"/>
  <c r="R377" i="3"/>
  <c r="S377" i="3"/>
  <c r="Q378" i="3"/>
  <c r="R378" i="3"/>
  <c r="S378" i="3"/>
  <c r="Q379" i="3"/>
  <c r="R379" i="3"/>
  <c r="S379" i="3"/>
  <c r="Q380" i="3"/>
  <c r="R380" i="3"/>
  <c r="S380" i="3"/>
  <c r="Q381" i="3"/>
  <c r="R381" i="3"/>
  <c r="S381" i="3"/>
  <c r="Q382" i="3"/>
  <c r="R382" i="3"/>
  <c r="S382" i="3"/>
  <c r="Q383" i="3"/>
  <c r="R383" i="3"/>
  <c r="S383" i="3"/>
  <c r="Q384" i="3"/>
  <c r="R384" i="3"/>
  <c r="S384" i="3"/>
  <c r="Q385" i="3"/>
  <c r="R385" i="3"/>
  <c r="S385" i="3"/>
  <c r="Q386" i="3"/>
  <c r="R386" i="3"/>
  <c r="S386" i="3"/>
  <c r="Q387" i="3"/>
  <c r="R387" i="3"/>
  <c r="S387" i="3"/>
  <c r="Q388" i="3"/>
  <c r="R388" i="3"/>
  <c r="S388" i="3"/>
  <c r="Q389" i="3"/>
  <c r="R389" i="3"/>
  <c r="S389" i="3"/>
  <c r="Q390" i="3"/>
  <c r="R390" i="3"/>
  <c r="S390" i="3"/>
  <c r="Q391" i="3"/>
  <c r="R391" i="3"/>
  <c r="S391" i="3"/>
  <c r="Q392" i="3"/>
  <c r="R392" i="3"/>
  <c r="S392" i="3"/>
  <c r="Q393" i="3"/>
  <c r="R393" i="3"/>
  <c r="S393" i="3"/>
  <c r="Q394" i="3"/>
  <c r="R394" i="3"/>
  <c r="S394" i="3"/>
  <c r="Q395" i="3"/>
  <c r="R395" i="3"/>
  <c r="S395" i="3"/>
  <c r="Q396" i="3"/>
  <c r="R396" i="3"/>
  <c r="S396" i="3"/>
  <c r="Q397" i="3"/>
  <c r="R397" i="3"/>
  <c r="S397" i="3"/>
  <c r="Q398" i="3"/>
  <c r="R398" i="3"/>
  <c r="S398" i="3"/>
  <c r="Q399" i="3"/>
  <c r="R399" i="3"/>
  <c r="S399" i="3"/>
  <c r="Q400" i="3"/>
  <c r="R400" i="3"/>
  <c r="S400" i="3"/>
  <c r="Q401" i="3"/>
  <c r="R401" i="3"/>
  <c r="S401" i="3"/>
  <c r="Q402" i="3"/>
  <c r="R402" i="3"/>
  <c r="S402" i="3"/>
  <c r="Q403" i="3"/>
  <c r="R403" i="3"/>
  <c r="S403" i="3"/>
  <c r="Q404" i="3"/>
  <c r="R404" i="3"/>
  <c r="S404" i="3"/>
  <c r="Q405" i="3"/>
  <c r="R405" i="3"/>
  <c r="S405" i="3"/>
  <c r="Q406" i="3"/>
  <c r="R406" i="3"/>
  <c r="S406" i="3"/>
  <c r="Q407" i="3"/>
  <c r="R407" i="3"/>
  <c r="S407" i="3"/>
  <c r="Q408" i="3"/>
  <c r="R408" i="3"/>
  <c r="S408" i="3"/>
  <c r="Q409" i="3"/>
  <c r="R409" i="3"/>
  <c r="S409" i="3"/>
  <c r="Q410" i="3"/>
  <c r="R410" i="3"/>
  <c r="S410" i="3"/>
  <c r="Q411" i="3"/>
  <c r="R411" i="3"/>
  <c r="S411" i="3"/>
  <c r="Q412" i="3"/>
  <c r="R412" i="3"/>
  <c r="S412" i="3"/>
  <c r="Q413" i="3"/>
  <c r="R413" i="3"/>
  <c r="S413" i="3"/>
  <c r="Q414" i="3"/>
  <c r="R414" i="3"/>
  <c r="S414" i="3"/>
  <c r="Q415" i="3"/>
  <c r="R415" i="3"/>
  <c r="S415" i="3"/>
  <c r="Q416" i="3"/>
  <c r="R416" i="3"/>
  <c r="S416" i="3"/>
  <c r="Q417" i="3"/>
  <c r="R417" i="3"/>
  <c r="S417" i="3"/>
  <c r="Q418" i="3"/>
  <c r="R418" i="3"/>
  <c r="S418" i="3"/>
  <c r="Q419" i="3"/>
  <c r="R419" i="3"/>
  <c r="S419" i="3"/>
  <c r="Q420" i="3"/>
  <c r="R420" i="3"/>
  <c r="S420" i="3"/>
  <c r="Q421" i="3"/>
  <c r="R421" i="3"/>
  <c r="S421" i="3"/>
  <c r="Q422" i="3"/>
  <c r="R422" i="3"/>
  <c r="S422" i="3"/>
  <c r="Q423" i="3"/>
  <c r="R423" i="3"/>
  <c r="S423" i="3"/>
  <c r="Q424" i="3"/>
  <c r="R424" i="3"/>
  <c r="S424" i="3"/>
  <c r="Q425" i="3"/>
  <c r="R425" i="3"/>
  <c r="S425" i="3"/>
  <c r="Q426" i="3"/>
  <c r="R426" i="3"/>
  <c r="S426" i="3"/>
  <c r="Q427" i="3"/>
  <c r="R427" i="3"/>
  <c r="S427" i="3"/>
  <c r="Q428" i="3"/>
  <c r="R428" i="3"/>
  <c r="S428" i="3"/>
  <c r="Q429" i="3"/>
  <c r="R429" i="3"/>
  <c r="S429" i="3"/>
  <c r="Q430" i="3"/>
  <c r="R430" i="3"/>
  <c r="S430" i="3"/>
  <c r="Q431" i="3"/>
  <c r="R431" i="3"/>
  <c r="S431" i="3"/>
  <c r="Q432" i="3"/>
  <c r="R432" i="3"/>
  <c r="S432" i="3"/>
  <c r="Q433" i="3"/>
  <c r="R433" i="3"/>
  <c r="S433" i="3"/>
  <c r="Q434" i="3"/>
  <c r="R434" i="3"/>
  <c r="S434" i="3"/>
  <c r="Q435" i="3"/>
  <c r="R435" i="3"/>
  <c r="S435" i="3"/>
  <c r="Q436" i="3"/>
  <c r="R436" i="3"/>
  <c r="S436" i="3"/>
  <c r="Q437" i="3"/>
  <c r="R437" i="3"/>
  <c r="S437" i="3"/>
  <c r="Q438" i="3"/>
  <c r="R438" i="3"/>
  <c r="S438" i="3"/>
  <c r="Q439" i="3"/>
  <c r="R439" i="3"/>
  <c r="S439" i="3"/>
  <c r="Q440" i="3"/>
  <c r="R440" i="3"/>
  <c r="S440" i="3"/>
  <c r="Q441" i="3"/>
  <c r="R441" i="3"/>
  <c r="S441" i="3"/>
  <c r="Q442" i="3"/>
  <c r="R442" i="3"/>
  <c r="S442" i="3"/>
  <c r="Q443" i="3"/>
  <c r="R443" i="3"/>
  <c r="S443" i="3"/>
  <c r="Q444" i="3"/>
  <c r="R444" i="3"/>
  <c r="S444" i="3"/>
  <c r="Q445" i="3"/>
  <c r="R445" i="3"/>
  <c r="S445" i="3"/>
  <c r="Q446" i="3"/>
  <c r="R446" i="3"/>
  <c r="S446" i="3"/>
  <c r="Q447" i="3"/>
  <c r="R447" i="3"/>
  <c r="S447" i="3"/>
  <c r="Q448" i="3"/>
  <c r="R448" i="3"/>
  <c r="S448" i="3"/>
  <c r="Q449" i="3"/>
  <c r="R449" i="3"/>
  <c r="S449" i="3"/>
  <c r="Q450" i="3"/>
  <c r="R450" i="3"/>
  <c r="S450" i="3"/>
  <c r="Q451" i="3"/>
  <c r="R451" i="3"/>
  <c r="S451" i="3"/>
  <c r="Q452" i="3"/>
  <c r="R452" i="3"/>
  <c r="S452" i="3"/>
  <c r="Q453" i="3"/>
  <c r="R453" i="3"/>
  <c r="S453" i="3"/>
  <c r="Q454" i="3"/>
  <c r="R454" i="3"/>
  <c r="S454" i="3"/>
  <c r="Q455" i="3"/>
  <c r="R455" i="3"/>
  <c r="S455" i="3"/>
  <c r="Q456" i="3"/>
  <c r="R456" i="3"/>
  <c r="S456" i="3"/>
  <c r="Q457" i="3"/>
  <c r="R457" i="3"/>
  <c r="S457" i="3"/>
  <c r="Q458" i="3"/>
  <c r="R458" i="3"/>
  <c r="S458" i="3"/>
  <c r="Q459" i="3"/>
  <c r="R459" i="3"/>
  <c r="S459" i="3"/>
  <c r="Q460" i="3"/>
  <c r="R460" i="3"/>
  <c r="S460" i="3"/>
  <c r="Q461" i="3"/>
  <c r="R461" i="3"/>
  <c r="S461" i="3"/>
  <c r="Q462" i="3"/>
  <c r="R462" i="3"/>
  <c r="S462" i="3"/>
  <c r="Q463" i="3"/>
  <c r="R463" i="3"/>
  <c r="S463" i="3"/>
  <c r="Q464" i="3"/>
  <c r="R464" i="3"/>
  <c r="S464" i="3"/>
  <c r="Q465" i="3"/>
  <c r="R465" i="3"/>
  <c r="S465" i="3"/>
  <c r="Q466" i="3"/>
  <c r="R466" i="3"/>
  <c r="S466" i="3"/>
  <c r="Q467" i="3"/>
  <c r="R467" i="3"/>
  <c r="S467" i="3"/>
  <c r="Q468" i="3"/>
  <c r="R468" i="3"/>
  <c r="S468" i="3"/>
  <c r="Q469" i="3"/>
  <c r="R469" i="3"/>
  <c r="S469" i="3"/>
  <c r="Q470" i="3"/>
  <c r="R470" i="3"/>
  <c r="S470" i="3"/>
  <c r="Q471" i="3"/>
  <c r="R471" i="3"/>
  <c r="S471" i="3"/>
  <c r="Q472" i="3"/>
  <c r="R472" i="3"/>
  <c r="S472" i="3"/>
  <c r="Q473" i="3"/>
  <c r="R473" i="3"/>
  <c r="S473" i="3"/>
  <c r="Q474" i="3"/>
  <c r="R474" i="3"/>
  <c r="S474" i="3"/>
  <c r="Q475" i="3"/>
  <c r="R475" i="3"/>
  <c r="S475" i="3"/>
  <c r="Q476" i="3"/>
  <c r="R476" i="3"/>
  <c r="S476" i="3"/>
  <c r="Q477" i="3"/>
  <c r="R477" i="3"/>
  <c r="S477" i="3"/>
  <c r="Q478" i="3"/>
  <c r="R478" i="3"/>
  <c r="S478" i="3"/>
  <c r="Q479" i="3"/>
  <c r="R479" i="3"/>
  <c r="S479" i="3"/>
  <c r="Q480" i="3"/>
  <c r="R480" i="3"/>
  <c r="S480" i="3"/>
  <c r="Q481" i="3"/>
  <c r="R481" i="3"/>
  <c r="S481" i="3"/>
  <c r="Q482" i="3"/>
  <c r="R482" i="3"/>
  <c r="S482" i="3"/>
  <c r="Q483" i="3"/>
  <c r="R483" i="3"/>
  <c r="S483" i="3"/>
  <c r="Q484" i="3"/>
  <c r="R484" i="3"/>
  <c r="S484" i="3"/>
  <c r="Q485" i="3"/>
  <c r="R485" i="3"/>
  <c r="S485" i="3"/>
  <c r="Q486" i="3"/>
  <c r="R486" i="3"/>
  <c r="S486" i="3"/>
  <c r="Q487" i="3"/>
  <c r="R487" i="3"/>
  <c r="S487" i="3"/>
  <c r="Q488" i="3"/>
  <c r="R488" i="3"/>
  <c r="S488" i="3"/>
  <c r="Q489" i="3"/>
  <c r="R489" i="3"/>
  <c r="S489" i="3"/>
  <c r="Q490" i="3"/>
  <c r="R490" i="3"/>
  <c r="S490" i="3"/>
  <c r="Q491" i="3"/>
  <c r="R491" i="3"/>
  <c r="S491" i="3"/>
  <c r="Q492" i="3"/>
  <c r="R492" i="3"/>
  <c r="S492" i="3"/>
  <c r="Q493" i="3"/>
  <c r="R493" i="3"/>
  <c r="S493" i="3"/>
  <c r="Q494" i="3"/>
  <c r="R494" i="3"/>
  <c r="S494" i="3"/>
  <c r="Q495" i="3"/>
  <c r="R495" i="3"/>
  <c r="S495" i="3"/>
  <c r="Q496" i="3"/>
  <c r="R496" i="3"/>
  <c r="S496" i="3"/>
  <c r="Q497" i="3"/>
  <c r="R497" i="3"/>
  <c r="S497" i="3"/>
  <c r="Q498" i="3"/>
  <c r="R498" i="3"/>
  <c r="S498" i="3"/>
  <c r="Q499" i="3"/>
  <c r="R499" i="3"/>
  <c r="S499" i="3"/>
  <c r="Q500" i="3"/>
  <c r="R500" i="3"/>
  <c r="S500" i="3"/>
  <c r="Q501" i="3"/>
  <c r="R501" i="3"/>
  <c r="S501" i="3"/>
  <c r="Q502" i="3"/>
  <c r="R502" i="3"/>
  <c r="S502" i="3"/>
  <c r="Q503" i="3"/>
  <c r="R503" i="3"/>
  <c r="S503" i="3"/>
  <c r="Q504" i="3"/>
  <c r="R504" i="3"/>
  <c r="S504" i="3"/>
  <c r="Q505" i="3"/>
  <c r="R505" i="3"/>
  <c r="S505" i="3"/>
  <c r="Q506" i="3"/>
  <c r="R506" i="3"/>
  <c r="S506" i="3"/>
  <c r="Q507" i="3"/>
  <c r="R507" i="3"/>
  <c r="S507" i="3"/>
  <c r="Q508" i="3"/>
  <c r="R508" i="3"/>
  <c r="S508" i="3"/>
  <c r="Q509" i="3"/>
  <c r="R509" i="3"/>
  <c r="S509" i="3"/>
  <c r="Q510" i="3"/>
  <c r="R510" i="3"/>
  <c r="S510" i="3"/>
  <c r="Q511" i="3"/>
  <c r="R511" i="3"/>
  <c r="S511" i="3"/>
  <c r="Q512" i="3"/>
  <c r="R512" i="3"/>
  <c r="S512" i="3"/>
  <c r="Q513" i="3"/>
  <c r="R513" i="3"/>
  <c r="S513" i="3"/>
  <c r="Q514" i="3"/>
  <c r="R514" i="3"/>
  <c r="S514" i="3"/>
  <c r="Q515" i="3"/>
  <c r="R515" i="3"/>
  <c r="S515" i="3"/>
  <c r="Q516" i="3"/>
  <c r="R516" i="3"/>
  <c r="S516" i="3"/>
  <c r="Q517" i="3"/>
  <c r="R517" i="3"/>
  <c r="S517" i="3"/>
  <c r="Q518" i="3"/>
  <c r="R518" i="3"/>
  <c r="S518" i="3"/>
  <c r="Q519" i="3"/>
  <c r="R519" i="3"/>
  <c r="S519" i="3"/>
  <c r="Q520" i="3"/>
  <c r="R520" i="3"/>
  <c r="S520" i="3"/>
  <c r="Q521" i="3"/>
  <c r="R521" i="3"/>
  <c r="S521" i="3"/>
  <c r="Q522" i="3"/>
  <c r="R522" i="3"/>
  <c r="S522" i="3"/>
  <c r="Q523" i="3"/>
  <c r="R523" i="3"/>
  <c r="S523" i="3"/>
  <c r="Q524" i="3"/>
  <c r="R524" i="3"/>
  <c r="S524" i="3"/>
  <c r="Q525" i="3"/>
  <c r="R525" i="3"/>
  <c r="S525" i="3"/>
  <c r="Q526" i="3"/>
  <c r="R526" i="3"/>
  <c r="S526" i="3"/>
  <c r="Q527" i="3"/>
  <c r="R527" i="3"/>
  <c r="S527" i="3"/>
  <c r="Q528" i="3"/>
  <c r="R528" i="3"/>
  <c r="S528" i="3"/>
  <c r="Q529" i="3"/>
  <c r="R529" i="3"/>
  <c r="S529" i="3"/>
  <c r="Q530" i="3"/>
  <c r="R530" i="3"/>
  <c r="S530" i="3"/>
  <c r="Q531" i="3"/>
  <c r="R531" i="3"/>
  <c r="S531" i="3"/>
  <c r="Q532" i="3"/>
  <c r="R532" i="3"/>
  <c r="S532" i="3"/>
  <c r="Q533" i="3"/>
  <c r="R533" i="3"/>
  <c r="S533" i="3"/>
  <c r="Q534" i="3"/>
  <c r="R534" i="3"/>
  <c r="S534" i="3"/>
  <c r="Q535" i="3"/>
  <c r="R535" i="3"/>
  <c r="S535" i="3"/>
  <c r="Q536" i="3"/>
  <c r="R536" i="3"/>
  <c r="S536" i="3"/>
  <c r="Q537" i="3"/>
  <c r="R537" i="3"/>
  <c r="S537" i="3"/>
  <c r="Q538" i="3"/>
  <c r="R538" i="3"/>
  <c r="S538" i="3"/>
  <c r="Q539" i="3"/>
  <c r="R539" i="3"/>
  <c r="S539" i="3"/>
  <c r="Q540" i="3"/>
  <c r="R540" i="3"/>
  <c r="S540" i="3"/>
  <c r="Q541" i="3"/>
  <c r="R541" i="3"/>
  <c r="S541" i="3"/>
  <c r="Q542" i="3"/>
  <c r="R542" i="3"/>
  <c r="S542" i="3"/>
  <c r="Q543" i="3"/>
  <c r="R543" i="3"/>
  <c r="S543" i="3"/>
  <c r="Q544" i="3"/>
  <c r="R544" i="3"/>
  <c r="S544" i="3"/>
  <c r="Q545" i="3"/>
  <c r="R545" i="3"/>
  <c r="S545" i="3"/>
  <c r="Q546" i="3"/>
  <c r="R546" i="3"/>
  <c r="S546" i="3"/>
  <c r="Q547" i="3"/>
  <c r="R547" i="3"/>
  <c r="S547" i="3"/>
  <c r="Q548" i="3"/>
  <c r="R548" i="3"/>
  <c r="S548" i="3"/>
  <c r="Q549" i="3"/>
  <c r="R549" i="3"/>
  <c r="S549" i="3"/>
  <c r="Q550" i="3"/>
  <c r="R550" i="3"/>
  <c r="S550" i="3"/>
  <c r="Q551" i="3"/>
  <c r="R551" i="3"/>
  <c r="S551" i="3"/>
  <c r="Q552" i="3"/>
  <c r="R552" i="3"/>
  <c r="S552" i="3"/>
  <c r="Q553" i="3"/>
  <c r="R553" i="3"/>
  <c r="S553" i="3"/>
  <c r="Q554" i="3"/>
  <c r="R554" i="3"/>
  <c r="S554" i="3"/>
  <c r="Q555" i="3"/>
  <c r="R555" i="3"/>
  <c r="S555" i="3"/>
  <c r="Q556" i="3"/>
  <c r="R556" i="3"/>
  <c r="S556" i="3"/>
  <c r="Q557" i="3"/>
  <c r="R557" i="3"/>
  <c r="S557" i="3"/>
  <c r="Q558" i="3"/>
  <c r="R558" i="3"/>
  <c r="S558" i="3"/>
  <c r="Q559" i="3"/>
  <c r="R559" i="3"/>
  <c r="S559" i="3"/>
  <c r="Q560" i="3"/>
  <c r="R560" i="3"/>
  <c r="S560" i="3"/>
  <c r="Q561" i="3"/>
  <c r="R561" i="3"/>
  <c r="S561" i="3"/>
  <c r="Q562" i="3"/>
  <c r="R562" i="3"/>
  <c r="S562" i="3"/>
  <c r="Q563" i="3"/>
  <c r="R563" i="3"/>
  <c r="S563" i="3"/>
  <c r="Q564" i="3"/>
  <c r="R564" i="3"/>
  <c r="S564" i="3"/>
  <c r="Q565" i="3"/>
  <c r="R565" i="3"/>
  <c r="S565" i="3"/>
  <c r="Q566" i="3"/>
  <c r="R566" i="3"/>
  <c r="S566" i="3"/>
  <c r="Q567" i="3"/>
  <c r="R567" i="3"/>
  <c r="S567" i="3"/>
  <c r="Q568" i="3"/>
  <c r="R568" i="3"/>
  <c r="S568" i="3"/>
  <c r="Q569" i="3"/>
  <c r="R569" i="3"/>
  <c r="S569" i="3"/>
  <c r="Q570" i="3"/>
  <c r="R570" i="3"/>
  <c r="S570" i="3"/>
  <c r="Q571" i="3"/>
  <c r="R571" i="3"/>
  <c r="S571" i="3"/>
  <c r="Q572" i="3"/>
  <c r="R572" i="3"/>
  <c r="S572" i="3"/>
  <c r="Q573" i="3"/>
  <c r="R573" i="3"/>
  <c r="S573" i="3"/>
  <c r="Q574" i="3"/>
  <c r="R574" i="3"/>
  <c r="S574" i="3"/>
  <c r="Q575" i="3"/>
  <c r="R575" i="3"/>
  <c r="S575" i="3"/>
  <c r="Q576" i="3"/>
  <c r="R576" i="3"/>
  <c r="S576" i="3"/>
  <c r="Q577" i="3"/>
  <c r="R577" i="3"/>
  <c r="S577" i="3"/>
  <c r="Q578" i="3"/>
  <c r="R578" i="3"/>
  <c r="S578" i="3"/>
  <c r="Q579" i="3"/>
  <c r="R579" i="3"/>
  <c r="S579" i="3"/>
  <c r="Q580" i="3"/>
  <c r="R580" i="3"/>
  <c r="S580" i="3"/>
  <c r="Q581" i="3"/>
  <c r="R581" i="3"/>
  <c r="S581" i="3"/>
  <c r="Q582" i="3"/>
  <c r="R582" i="3"/>
  <c r="S582" i="3"/>
  <c r="Q583" i="3"/>
  <c r="R583" i="3"/>
  <c r="S583" i="3"/>
  <c r="Q584" i="3"/>
  <c r="R584" i="3"/>
  <c r="S584" i="3"/>
  <c r="Q585" i="3"/>
  <c r="R585" i="3"/>
  <c r="S585" i="3"/>
  <c r="Q586" i="3"/>
  <c r="R586" i="3"/>
  <c r="S586" i="3"/>
  <c r="Q587" i="3"/>
  <c r="R587" i="3"/>
  <c r="S587" i="3"/>
  <c r="Q588" i="3"/>
  <c r="R588" i="3"/>
  <c r="S588" i="3"/>
  <c r="Q589" i="3"/>
  <c r="R589" i="3"/>
  <c r="S589" i="3"/>
  <c r="Q590" i="3"/>
  <c r="R590" i="3"/>
  <c r="S590" i="3"/>
  <c r="Q591" i="3"/>
  <c r="R591" i="3"/>
  <c r="S591" i="3"/>
  <c r="Q592" i="3"/>
  <c r="R592" i="3"/>
  <c r="S592" i="3"/>
  <c r="Q593" i="3"/>
  <c r="R593" i="3"/>
  <c r="S593" i="3"/>
  <c r="Q594" i="3"/>
  <c r="R594" i="3"/>
  <c r="S594" i="3"/>
  <c r="Q595" i="3"/>
  <c r="R595" i="3"/>
  <c r="S595" i="3"/>
  <c r="Q596" i="3"/>
  <c r="R596" i="3"/>
  <c r="S596" i="3"/>
  <c r="Q597" i="3"/>
  <c r="R597" i="3"/>
  <c r="S597" i="3"/>
  <c r="Q598" i="3"/>
  <c r="R598" i="3"/>
  <c r="S598" i="3"/>
  <c r="Q599" i="3"/>
  <c r="R599" i="3"/>
  <c r="S599" i="3"/>
  <c r="Q600" i="3"/>
  <c r="R600" i="3"/>
  <c r="S600" i="3"/>
  <c r="Q601" i="3"/>
  <c r="R601" i="3"/>
  <c r="S601" i="3"/>
  <c r="Q602" i="3"/>
  <c r="R602" i="3"/>
  <c r="S602" i="3"/>
  <c r="Q603" i="3"/>
  <c r="R603" i="3"/>
  <c r="S603" i="3"/>
  <c r="Q604" i="3"/>
  <c r="R604" i="3"/>
  <c r="S604" i="3"/>
  <c r="Q605" i="3"/>
  <c r="R605" i="3"/>
  <c r="S605" i="3"/>
  <c r="Q606" i="3"/>
  <c r="R606" i="3"/>
  <c r="S606" i="3"/>
  <c r="Q607" i="3"/>
  <c r="R607" i="3"/>
  <c r="S607" i="3"/>
  <c r="Q608" i="3"/>
  <c r="R608" i="3"/>
  <c r="S608" i="3"/>
  <c r="Q609" i="3"/>
  <c r="R609" i="3"/>
  <c r="S609" i="3"/>
  <c r="Q610" i="3"/>
  <c r="R610" i="3"/>
  <c r="S610" i="3"/>
  <c r="Q611" i="3"/>
  <c r="R611" i="3"/>
  <c r="S611" i="3"/>
  <c r="Q612" i="3"/>
  <c r="R612" i="3"/>
  <c r="S612" i="3"/>
  <c r="Q613" i="3"/>
  <c r="R613" i="3"/>
  <c r="S613" i="3"/>
  <c r="Q614" i="3"/>
  <c r="R614" i="3"/>
  <c r="S614" i="3"/>
  <c r="Q615" i="3"/>
  <c r="R615" i="3"/>
  <c r="S615" i="3"/>
  <c r="Q616" i="3"/>
  <c r="R616" i="3"/>
  <c r="S616" i="3"/>
  <c r="Q617" i="3"/>
  <c r="R617" i="3"/>
  <c r="S617" i="3"/>
  <c r="Q618" i="3"/>
  <c r="R618" i="3"/>
  <c r="S618" i="3"/>
  <c r="Q619" i="3"/>
  <c r="R619" i="3"/>
  <c r="S619" i="3"/>
  <c r="Q620" i="3"/>
  <c r="R620" i="3"/>
  <c r="S620" i="3"/>
  <c r="Q621" i="3"/>
  <c r="R621" i="3"/>
  <c r="S621" i="3"/>
  <c r="Q622" i="3"/>
  <c r="R622" i="3"/>
  <c r="S622" i="3"/>
  <c r="Q623" i="3"/>
  <c r="R623" i="3"/>
  <c r="S623" i="3"/>
  <c r="Q624" i="3"/>
  <c r="R624" i="3"/>
  <c r="S624" i="3"/>
  <c r="Q625" i="3"/>
  <c r="R625" i="3"/>
  <c r="S625" i="3"/>
  <c r="Q626" i="3"/>
  <c r="R626" i="3"/>
  <c r="S626" i="3"/>
  <c r="Q627" i="3"/>
  <c r="R627" i="3"/>
  <c r="S627" i="3"/>
  <c r="Q628" i="3"/>
  <c r="R628" i="3"/>
  <c r="S628" i="3"/>
  <c r="Q629" i="3"/>
  <c r="R629" i="3"/>
  <c r="S629" i="3"/>
  <c r="Q630" i="3"/>
  <c r="R630" i="3"/>
  <c r="S630" i="3"/>
  <c r="Q631" i="3"/>
  <c r="R631" i="3"/>
  <c r="S631" i="3"/>
  <c r="Q632" i="3"/>
  <c r="R632" i="3"/>
  <c r="S632" i="3"/>
  <c r="Q633" i="3"/>
  <c r="R633" i="3"/>
  <c r="S633" i="3"/>
  <c r="Q634" i="3"/>
  <c r="R634" i="3"/>
  <c r="S634" i="3"/>
  <c r="Q635" i="3"/>
  <c r="R635" i="3"/>
  <c r="S635" i="3"/>
  <c r="Q636" i="3"/>
  <c r="R636" i="3"/>
  <c r="S636" i="3"/>
  <c r="Q637" i="3"/>
  <c r="R637" i="3"/>
  <c r="S637" i="3"/>
  <c r="Q638" i="3"/>
  <c r="R638" i="3"/>
  <c r="S638" i="3"/>
  <c r="Q639" i="3"/>
  <c r="R639" i="3"/>
  <c r="S639" i="3"/>
  <c r="Q640" i="3"/>
  <c r="R640" i="3"/>
  <c r="S640" i="3"/>
  <c r="Q641" i="3"/>
  <c r="R641" i="3"/>
  <c r="S641" i="3"/>
  <c r="Q642" i="3"/>
  <c r="R642" i="3"/>
  <c r="S642" i="3"/>
  <c r="Q643" i="3"/>
  <c r="R643" i="3"/>
  <c r="S643" i="3"/>
  <c r="Q644" i="3"/>
  <c r="R644" i="3"/>
  <c r="S644" i="3"/>
  <c r="Q645" i="3"/>
  <c r="R645" i="3"/>
  <c r="S645" i="3"/>
  <c r="Q646" i="3"/>
  <c r="R646" i="3"/>
  <c r="S646" i="3"/>
  <c r="Q647" i="3"/>
  <c r="R647" i="3"/>
  <c r="S647" i="3"/>
  <c r="Q648" i="3"/>
  <c r="R648" i="3"/>
  <c r="S648" i="3"/>
  <c r="Q649" i="3"/>
  <c r="R649" i="3"/>
  <c r="S649" i="3"/>
  <c r="Q650" i="3"/>
  <c r="R650" i="3"/>
  <c r="S650" i="3"/>
  <c r="Q651" i="3"/>
  <c r="R651" i="3"/>
  <c r="S651" i="3"/>
  <c r="Q652" i="3"/>
  <c r="R652" i="3"/>
  <c r="S652" i="3"/>
  <c r="Q653" i="3"/>
  <c r="R653" i="3"/>
  <c r="S653" i="3"/>
  <c r="Q654" i="3"/>
  <c r="R654" i="3"/>
  <c r="S654" i="3"/>
  <c r="Q655" i="3"/>
  <c r="R655" i="3"/>
  <c r="S655" i="3"/>
  <c r="Q656" i="3"/>
  <c r="R656" i="3"/>
  <c r="S656" i="3"/>
  <c r="Q657" i="3"/>
  <c r="R657" i="3"/>
  <c r="S657" i="3"/>
  <c r="Q658" i="3"/>
  <c r="R658" i="3"/>
  <c r="S658" i="3"/>
  <c r="Q659" i="3"/>
  <c r="R659" i="3"/>
  <c r="S659" i="3"/>
  <c r="Q660" i="3"/>
  <c r="R660" i="3"/>
  <c r="S660" i="3"/>
  <c r="Q661" i="3"/>
  <c r="R661" i="3"/>
  <c r="S661" i="3"/>
  <c r="Q662" i="3"/>
  <c r="R662" i="3"/>
  <c r="S662" i="3"/>
  <c r="Q663" i="3"/>
  <c r="R663" i="3"/>
  <c r="S663" i="3"/>
  <c r="Q664" i="3"/>
  <c r="R664" i="3"/>
  <c r="S664" i="3"/>
  <c r="Q665" i="3"/>
  <c r="R665" i="3"/>
  <c r="S665" i="3"/>
  <c r="Q666" i="3"/>
  <c r="R666" i="3"/>
  <c r="S666" i="3"/>
  <c r="Q667" i="3"/>
  <c r="R667" i="3"/>
  <c r="S667" i="3"/>
  <c r="Q668" i="3"/>
  <c r="R668" i="3"/>
  <c r="S668" i="3"/>
  <c r="Q669" i="3"/>
  <c r="R669" i="3"/>
  <c r="S669" i="3"/>
  <c r="Q670" i="3"/>
  <c r="R670" i="3"/>
  <c r="S670" i="3"/>
  <c r="Q671" i="3"/>
  <c r="R671" i="3"/>
  <c r="S671" i="3"/>
  <c r="Q672" i="3"/>
  <c r="R672" i="3"/>
  <c r="S672" i="3"/>
  <c r="Q673" i="3"/>
  <c r="R673" i="3"/>
  <c r="S673" i="3"/>
  <c r="Q674" i="3"/>
  <c r="R674" i="3"/>
  <c r="S674" i="3"/>
  <c r="Q675" i="3"/>
  <c r="R675" i="3"/>
  <c r="S675" i="3"/>
  <c r="Q676" i="3"/>
  <c r="R676" i="3"/>
  <c r="S676" i="3"/>
  <c r="Q677" i="3"/>
  <c r="R677" i="3"/>
  <c r="S677" i="3"/>
  <c r="Q678" i="3"/>
  <c r="R678" i="3"/>
  <c r="S678" i="3"/>
  <c r="Q679" i="3"/>
  <c r="R679" i="3"/>
  <c r="S679" i="3"/>
  <c r="Q680" i="3"/>
  <c r="R680" i="3"/>
  <c r="S680" i="3"/>
  <c r="Q681" i="3"/>
  <c r="R681" i="3"/>
  <c r="S681" i="3"/>
  <c r="Q682" i="3"/>
  <c r="R682" i="3"/>
  <c r="S682" i="3"/>
  <c r="Q683" i="3"/>
  <c r="R683" i="3"/>
  <c r="S683" i="3"/>
  <c r="Q684" i="3"/>
  <c r="R684" i="3"/>
  <c r="S684" i="3"/>
  <c r="Q685" i="3"/>
  <c r="R685" i="3"/>
  <c r="S685" i="3"/>
  <c r="Q686" i="3"/>
  <c r="R686" i="3"/>
  <c r="S686" i="3"/>
  <c r="Q687" i="3"/>
  <c r="R687" i="3"/>
  <c r="S687" i="3"/>
  <c r="Q688" i="3"/>
  <c r="R688" i="3"/>
  <c r="S688" i="3"/>
  <c r="Q689" i="3"/>
  <c r="R689" i="3"/>
  <c r="S689" i="3"/>
  <c r="Q690" i="3"/>
  <c r="R690" i="3"/>
  <c r="S690" i="3"/>
  <c r="Q691" i="3"/>
  <c r="R691" i="3"/>
  <c r="S691" i="3"/>
  <c r="Q692" i="3"/>
  <c r="R692" i="3"/>
  <c r="S692" i="3"/>
  <c r="Q693" i="3"/>
  <c r="R693" i="3"/>
  <c r="S693" i="3"/>
  <c r="Q694" i="3"/>
  <c r="R694" i="3"/>
  <c r="S694" i="3"/>
  <c r="Q695" i="3"/>
  <c r="R695" i="3"/>
  <c r="S695" i="3"/>
  <c r="Q696" i="3"/>
  <c r="R696" i="3"/>
  <c r="S696" i="3"/>
  <c r="Q697" i="3"/>
  <c r="R697" i="3"/>
  <c r="S697" i="3"/>
  <c r="Q698" i="3"/>
  <c r="R698" i="3"/>
  <c r="S698" i="3"/>
  <c r="Q699" i="3"/>
  <c r="R699" i="3"/>
  <c r="S699" i="3"/>
  <c r="Q700" i="3"/>
  <c r="R700" i="3"/>
  <c r="S700" i="3"/>
  <c r="Q701" i="3"/>
  <c r="R701" i="3"/>
  <c r="S701" i="3"/>
  <c r="Q702" i="3"/>
  <c r="R702" i="3"/>
  <c r="S702" i="3"/>
  <c r="Q703" i="3"/>
  <c r="R703" i="3"/>
  <c r="S703" i="3"/>
  <c r="Q704" i="3"/>
  <c r="R704" i="3"/>
  <c r="S704" i="3"/>
  <c r="Q705" i="3"/>
  <c r="R705" i="3"/>
  <c r="S705" i="3"/>
  <c r="Q706" i="3"/>
  <c r="R706" i="3"/>
  <c r="S706" i="3"/>
  <c r="Q707" i="3"/>
  <c r="R707" i="3"/>
  <c r="S707" i="3"/>
  <c r="Q708" i="3"/>
  <c r="R708" i="3"/>
  <c r="S708" i="3"/>
  <c r="Q709" i="3"/>
  <c r="R709" i="3"/>
  <c r="S709" i="3"/>
  <c r="Q710" i="3"/>
  <c r="R710" i="3"/>
  <c r="S710" i="3"/>
  <c r="Q711" i="3"/>
  <c r="R711" i="3"/>
  <c r="S711" i="3"/>
  <c r="Q712" i="3"/>
  <c r="R712" i="3"/>
  <c r="S712" i="3"/>
  <c r="Q713" i="3"/>
  <c r="R713" i="3"/>
  <c r="S713" i="3"/>
  <c r="Q714" i="3"/>
  <c r="R714" i="3"/>
  <c r="S714" i="3"/>
  <c r="Q715" i="3"/>
  <c r="R715" i="3"/>
  <c r="S715" i="3"/>
  <c r="Q716" i="3"/>
  <c r="R716" i="3"/>
  <c r="S716" i="3"/>
  <c r="Q717" i="3"/>
  <c r="R717" i="3"/>
  <c r="S717" i="3"/>
  <c r="Q718" i="3"/>
  <c r="R718" i="3"/>
  <c r="S718" i="3"/>
  <c r="Q719" i="3"/>
  <c r="R719" i="3"/>
  <c r="S719" i="3"/>
  <c r="Q720" i="3"/>
  <c r="R720" i="3"/>
  <c r="S720" i="3"/>
  <c r="Q721" i="3"/>
  <c r="R721" i="3"/>
  <c r="S721" i="3"/>
  <c r="Q722" i="3"/>
  <c r="R722" i="3"/>
  <c r="S722" i="3"/>
  <c r="Q723" i="3"/>
  <c r="R723" i="3"/>
  <c r="S723" i="3"/>
  <c r="Q724" i="3"/>
  <c r="R724" i="3"/>
  <c r="S724" i="3"/>
  <c r="Q725" i="3"/>
  <c r="R725" i="3"/>
  <c r="S725" i="3"/>
  <c r="Q726" i="3"/>
  <c r="R726" i="3"/>
  <c r="S726" i="3"/>
  <c r="Q727" i="3"/>
  <c r="R727" i="3"/>
  <c r="S727" i="3"/>
  <c r="Q728" i="3"/>
  <c r="R728" i="3"/>
  <c r="S728" i="3"/>
  <c r="Q729" i="3"/>
  <c r="R729" i="3"/>
  <c r="S729" i="3"/>
  <c r="Q730" i="3"/>
  <c r="R730" i="3"/>
  <c r="S730" i="3"/>
  <c r="S2" i="3"/>
  <c r="R2" i="3"/>
  <c r="Q2" i="3"/>
  <c r="T2" i="4" l="1"/>
  <c r="U2" i="3"/>
  <c r="T2" i="3"/>
  <c r="V2" i="3"/>
  <c r="U2" i="4"/>
  <c r="V2" i="4"/>
  <c r="K3" i="11" l="1"/>
  <c r="L3" i="11"/>
  <c r="M3" i="11"/>
  <c r="K4" i="11"/>
  <c r="L4" i="11"/>
  <c r="M4" i="11"/>
  <c r="K5" i="11"/>
  <c r="L5" i="11"/>
  <c r="M5" i="11"/>
  <c r="K6" i="11"/>
  <c r="L6" i="11"/>
  <c r="M6" i="11"/>
  <c r="K7" i="11"/>
  <c r="L7" i="11"/>
  <c r="M7" i="11"/>
  <c r="K8" i="11"/>
  <c r="L8" i="11"/>
  <c r="M8" i="11"/>
  <c r="K9" i="11"/>
  <c r="L9" i="11"/>
  <c r="M9" i="11"/>
  <c r="K10" i="11"/>
  <c r="L10" i="11"/>
  <c r="M10" i="11"/>
  <c r="K11" i="11"/>
  <c r="L11" i="11"/>
  <c r="M11" i="11"/>
  <c r="K12" i="11"/>
  <c r="L12" i="11"/>
  <c r="M12" i="11"/>
  <c r="K13" i="11"/>
  <c r="L13" i="11"/>
  <c r="M13" i="11"/>
  <c r="K14" i="11"/>
  <c r="L14" i="11"/>
  <c r="M14" i="11"/>
  <c r="K15" i="11"/>
  <c r="L15" i="11"/>
  <c r="M15" i="11"/>
  <c r="K16" i="11"/>
  <c r="L16" i="11"/>
  <c r="M16" i="11"/>
  <c r="K17" i="11"/>
  <c r="L17" i="11"/>
  <c r="M17" i="11"/>
  <c r="K18" i="11"/>
  <c r="L18" i="11"/>
  <c r="M18" i="11"/>
  <c r="K19" i="11"/>
  <c r="L19" i="11"/>
  <c r="M19" i="11"/>
  <c r="K20" i="11"/>
  <c r="L20" i="11"/>
  <c r="M20" i="11"/>
  <c r="K21" i="11"/>
  <c r="L21" i="11"/>
  <c r="M21" i="11"/>
  <c r="K22" i="11"/>
  <c r="L22" i="11"/>
  <c r="M22" i="11"/>
  <c r="K23" i="11"/>
  <c r="L23" i="11"/>
  <c r="M23" i="11"/>
  <c r="K24" i="11"/>
  <c r="L24" i="11"/>
  <c r="M24" i="11"/>
  <c r="K25" i="11"/>
  <c r="L25" i="11"/>
  <c r="M25" i="11"/>
  <c r="K26" i="11"/>
  <c r="L26" i="11"/>
  <c r="M26" i="11"/>
  <c r="K27" i="11"/>
  <c r="L27" i="11"/>
  <c r="M27" i="11"/>
  <c r="K28" i="11"/>
  <c r="L28" i="11"/>
  <c r="M28" i="11"/>
  <c r="K29" i="11"/>
  <c r="L29" i="11"/>
  <c r="M29" i="11"/>
  <c r="K30" i="11"/>
  <c r="L30" i="11"/>
  <c r="M30" i="11"/>
  <c r="K31" i="11"/>
  <c r="L31" i="11"/>
  <c r="M31" i="11"/>
  <c r="K32" i="11"/>
  <c r="L32" i="11"/>
  <c r="M32" i="11"/>
  <c r="K33" i="11"/>
  <c r="L33" i="11"/>
  <c r="M33" i="11"/>
  <c r="K34" i="11"/>
  <c r="L34" i="11"/>
  <c r="M34" i="11"/>
  <c r="K35" i="11"/>
  <c r="L35" i="11"/>
  <c r="M35" i="11"/>
  <c r="K36" i="11"/>
  <c r="L36" i="11"/>
  <c r="M36" i="11"/>
  <c r="K37" i="11"/>
  <c r="L37" i="11"/>
  <c r="M37" i="11"/>
  <c r="K38" i="11"/>
  <c r="L38" i="11"/>
  <c r="M38" i="11"/>
  <c r="K39" i="11"/>
  <c r="L39" i="11"/>
  <c r="M39" i="11"/>
  <c r="K40" i="11"/>
  <c r="L40" i="11"/>
  <c r="M40" i="11"/>
  <c r="K41" i="11"/>
  <c r="L41" i="11"/>
  <c r="M41" i="11"/>
  <c r="K42" i="11"/>
  <c r="L42" i="11"/>
  <c r="M42" i="11"/>
  <c r="K43" i="11"/>
  <c r="L43" i="11"/>
  <c r="M43" i="11"/>
  <c r="K44" i="11"/>
  <c r="L44" i="11"/>
  <c r="M44" i="11"/>
  <c r="K45" i="11"/>
  <c r="L45" i="11"/>
  <c r="M45" i="11"/>
  <c r="K46" i="11"/>
  <c r="L46" i="11"/>
  <c r="M46" i="11"/>
  <c r="K47" i="11"/>
  <c r="L47" i="11"/>
  <c r="M47" i="11"/>
  <c r="K48" i="11"/>
  <c r="L48" i="11"/>
  <c r="M48" i="11"/>
  <c r="K49" i="11"/>
  <c r="L49" i="11"/>
  <c r="M49" i="11"/>
  <c r="K50" i="11"/>
  <c r="L50" i="11"/>
  <c r="M50" i="11"/>
  <c r="K51" i="11"/>
  <c r="L51" i="11"/>
  <c r="M51" i="11"/>
  <c r="K52" i="11"/>
  <c r="L52" i="11"/>
  <c r="M52" i="11"/>
  <c r="K53" i="11"/>
  <c r="L53" i="11"/>
  <c r="M53" i="11"/>
  <c r="K54" i="11"/>
  <c r="L54" i="11"/>
  <c r="M54" i="11"/>
  <c r="K55" i="11"/>
  <c r="L55" i="11"/>
  <c r="M55" i="11"/>
  <c r="K56" i="11"/>
  <c r="L56" i="11"/>
  <c r="M56" i="11"/>
  <c r="K57" i="11"/>
  <c r="L57" i="11"/>
  <c r="M57" i="11"/>
  <c r="K58" i="11"/>
  <c r="L58" i="11"/>
  <c r="M58" i="11"/>
  <c r="K59" i="11"/>
  <c r="L59" i="11"/>
  <c r="M59" i="11"/>
  <c r="K60" i="11"/>
  <c r="L60" i="11"/>
  <c r="M60" i="11"/>
  <c r="K61" i="11"/>
  <c r="L61" i="11"/>
  <c r="M61" i="11"/>
  <c r="K62" i="11"/>
  <c r="L62" i="11"/>
  <c r="M62" i="11"/>
  <c r="K63" i="11"/>
  <c r="L63" i="11"/>
  <c r="M63" i="11"/>
  <c r="K64" i="11"/>
  <c r="L64" i="11"/>
  <c r="M64" i="11"/>
  <c r="K65" i="11"/>
  <c r="L65" i="11"/>
  <c r="M65" i="11"/>
  <c r="K66" i="11"/>
  <c r="L66" i="11"/>
  <c r="M66" i="11"/>
  <c r="K67" i="11"/>
  <c r="L67" i="11"/>
  <c r="M67" i="11"/>
  <c r="K68" i="11"/>
  <c r="L68" i="11"/>
  <c r="M68" i="11"/>
  <c r="K69" i="11"/>
  <c r="L69" i="11"/>
  <c r="M69" i="11"/>
  <c r="K70" i="11"/>
  <c r="L70" i="11"/>
  <c r="M70" i="11"/>
  <c r="K71" i="11"/>
  <c r="L71" i="11"/>
  <c r="M71" i="11"/>
  <c r="K72" i="11"/>
  <c r="L72" i="11"/>
  <c r="M72" i="11"/>
  <c r="K73" i="11"/>
  <c r="L73" i="11"/>
  <c r="M73" i="11"/>
  <c r="K74" i="11"/>
  <c r="L74" i="11"/>
  <c r="M74" i="11"/>
  <c r="K75" i="11"/>
  <c r="L75" i="11"/>
  <c r="M75" i="11"/>
  <c r="K76" i="11"/>
  <c r="L76" i="11"/>
  <c r="M76" i="11"/>
  <c r="K77" i="11"/>
  <c r="L77" i="11"/>
  <c r="M77" i="11"/>
  <c r="K78" i="11"/>
  <c r="L78" i="11"/>
  <c r="M78" i="11"/>
  <c r="K79" i="11"/>
  <c r="L79" i="11"/>
  <c r="M79" i="11"/>
  <c r="K80" i="11"/>
  <c r="L80" i="11"/>
  <c r="M80" i="11"/>
  <c r="K81" i="11"/>
  <c r="L81" i="11"/>
  <c r="M81" i="11"/>
  <c r="K82" i="11"/>
  <c r="L82" i="11"/>
  <c r="M82" i="11"/>
  <c r="K83" i="11"/>
  <c r="L83" i="11"/>
  <c r="M83" i="11"/>
  <c r="K84" i="11"/>
  <c r="L84" i="11"/>
  <c r="M84" i="11"/>
  <c r="K85" i="11"/>
  <c r="L85" i="11"/>
  <c r="M85" i="11"/>
  <c r="K86" i="11"/>
  <c r="L86" i="11"/>
  <c r="M86" i="11"/>
  <c r="K87" i="11"/>
  <c r="L87" i="11"/>
  <c r="M87" i="11"/>
  <c r="K88" i="11"/>
  <c r="L88" i="11"/>
  <c r="M88" i="11"/>
  <c r="K89" i="11"/>
  <c r="L89" i="11"/>
  <c r="M89" i="11"/>
  <c r="K90" i="11"/>
  <c r="L90" i="11"/>
  <c r="M90" i="11"/>
  <c r="K91" i="11"/>
  <c r="L91" i="11"/>
  <c r="M91" i="11"/>
  <c r="K92" i="11"/>
  <c r="L92" i="11"/>
  <c r="M92" i="11"/>
  <c r="K93" i="11"/>
  <c r="L93" i="11"/>
  <c r="M93" i="11"/>
  <c r="K94" i="11"/>
  <c r="L94" i="11"/>
  <c r="M94" i="11"/>
  <c r="K95" i="11"/>
  <c r="L95" i="11"/>
  <c r="M95" i="11"/>
  <c r="K96" i="11"/>
  <c r="L96" i="11"/>
  <c r="M96" i="11"/>
  <c r="K97" i="11"/>
  <c r="L97" i="11"/>
  <c r="M97" i="11"/>
  <c r="K98" i="11"/>
  <c r="L98" i="11"/>
  <c r="M98" i="11"/>
  <c r="K99" i="11"/>
  <c r="L99" i="11"/>
  <c r="M99" i="11"/>
  <c r="K100" i="11"/>
  <c r="L100" i="11"/>
  <c r="M100" i="11"/>
  <c r="K101" i="11"/>
  <c r="L101" i="11"/>
  <c r="M101" i="11"/>
  <c r="K102" i="11"/>
  <c r="L102" i="11"/>
  <c r="M102" i="11"/>
  <c r="K103" i="11"/>
  <c r="L103" i="11"/>
  <c r="M103" i="11"/>
  <c r="K104" i="11"/>
  <c r="L104" i="11"/>
  <c r="M104" i="11"/>
  <c r="K105" i="11"/>
  <c r="L105" i="11"/>
  <c r="M105" i="11"/>
  <c r="K106" i="11"/>
  <c r="L106" i="11"/>
  <c r="M106" i="11"/>
  <c r="K107" i="11"/>
  <c r="L107" i="11"/>
  <c r="M107" i="11"/>
  <c r="K108" i="11"/>
  <c r="L108" i="11"/>
  <c r="M108" i="11"/>
  <c r="K109" i="11"/>
  <c r="L109" i="11"/>
  <c r="M109" i="11"/>
  <c r="K110" i="11"/>
  <c r="L110" i="11"/>
  <c r="M110" i="11"/>
  <c r="K111" i="11"/>
  <c r="L111" i="11"/>
  <c r="M111" i="11"/>
  <c r="K112" i="11"/>
  <c r="L112" i="11"/>
  <c r="M112" i="11"/>
  <c r="K113" i="11"/>
  <c r="L113" i="11"/>
  <c r="M113" i="11"/>
  <c r="K114" i="11"/>
  <c r="L114" i="11"/>
  <c r="M114" i="11"/>
  <c r="K115" i="11"/>
  <c r="L115" i="11"/>
  <c r="M115" i="11"/>
  <c r="K116" i="11"/>
  <c r="L116" i="11"/>
  <c r="M116" i="11"/>
  <c r="K117" i="11"/>
  <c r="L117" i="11"/>
  <c r="M117" i="11"/>
  <c r="K118" i="11"/>
  <c r="L118" i="11"/>
  <c r="M118" i="11"/>
  <c r="K119" i="11"/>
  <c r="L119" i="11"/>
  <c r="M119" i="11"/>
  <c r="K120" i="11"/>
  <c r="L120" i="11"/>
  <c r="M120" i="11"/>
  <c r="K121" i="11"/>
  <c r="L121" i="11"/>
  <c r="M121" i="11"/>
  <c r="K122" i="11"/>
  <c r="L122" i="11"/>
  <c r="M122" i="11"/>
  <c r="K123" i="11"/>
  <c r="L123" i="11"/>
  <c r="M123" i="11"/>
  <c r="K124" i="11"/>
  <c r="L124" i="11"/>
  <c r="M124" i="11"/>
  <c r="K125" i="11"/>
  <c r="L125" i="11"/>
  <c r="M125" i="11"/>
  <c r="K126" i="11"/>
  <c r="L126" i="11"/>
  <c r="M126" i="11"/>
  <c r="K127" i="11"/>
  <c r="L127" i="11"/>
  <c r="M127" i="11"/>
  <c r="K128" i="11"/>
  <c r="L128" i="11"/>
  <c r="M128" i="11"/>
  <c r="K129" i="11"/>
  <c r="L129" i="11"/>
  <c r="M129" i="11"/>
  <c r="K130" i="11"/>
  <c r="L130" i="11"/>
  <c r="M130" i="11"/>
  <c r="K131" i="11"/>
  <c r="L131" i="11"/>
  <c r="M131" i="11"/>
  <c r="K132" i="11"/>
  <c r="L132" i="11"/>
  <c r="M132" i="11"/>
  <c r="K133" i="11"/>
  <c r="L133" i="11"/>
  <c r="M133" i="11"/>
  <c r="K134" i="11"/>
  <c r="L134" i="11"/>
  <c r="M134" i="11"/>
  <c r="K135" i="11"/>
  <c r="L135" i="11"/>
  <c r="M135" i="11"/>
  <c r="K136" i="11"/>
  <c r="L136" i="11"/>
  <c r="M136" i="11"/>
  <c r="K137" i="11"/>
  <c r="L137" i="11"/>
  <c r="M137" i="11"/>
  <c r="K138" i="11"/>
  <c r="L138" i="11"/>
  <c r="M138" i="11"/>
  <c r="K139" i="11"/>
  <c r="L139" i="11"/>
  <c r="M139" i="11"/>
  <c r="K140" i="11"/>
  <c r="L140" i="11"/>
  <c r="M140" i="11"/>
  <c r="K141" i="11"/>
  <c r="L141" i="11"/>
  <c r="M141" i="11"/>
  <c r="K142" i="11"/>
  <c r="L142" i="11"/>
  <c r="M142" i="11"/>
  <c r="K143" i="11"/>
  <c r="L143" i="11"/>
  <c r="M143" i="11"/>
  <c r="K144" i="11"/>
  <c r="L144" i="11"/>
  <c r="M144" i="11"/>
  <c r="K145" i="11"/>
  <c r="L145" i="11"/>
  <c r="M145" i="11"/>
  <c r="K146" i="11"/>
  <c r="L146" i="11"/>
  <c r="M146" i="11"/>
  <c r="K147" i="11"/>
  <c r="L147" i="11"/>
  <c r="M147" i="11"/>
  <c r="K148" i="11"/>
  <c r="L148" i="11"/>
  <c r="M148" i="11"/>
  <c r="K149" i="11"/>
  <c r="L149" i="11"/>
  <c r="M149" i="11"/>
  <c r="K150" i="11"/>
  <c r="L150" i="11"/>
  <c r="M150" i="11"/>
  <c r="K151" i="11"/>
  <c r="L151" i="11"/>
  <c r="M151" i="11"/>
  <c r="K152" i="11"/>
  <c r="L152" i="11"/>
  <c r="M152" i="11"/>
  <c r="K153" i="11"/>
  <c r="L153" i="11"/>
  <c r="M153" i="11"/>
  <c r="K154" i="11"/>
  <c r="L154" i="11"/>
  <c r="M154" i="11"/>
  <c r="K155" i="11"/>
  <c r="L155" i="11"/>
  <c r="M155" i="11"/>
  <c r="K156" i="11"/>
  <c r="L156" i="11"/>
  <c r="M156" i="11"/>
  <c r="K157" i="11"/>
  <c r="L157" i="11"/>
  <c r="M157" i="11"/>
  <c r="K158" i="11"/>
  <c r="L158" i="11"/>
  <c r="M158" i="11"/>
  <c r="K159" i="11"/>
  <c r="L159" i="11"/>
  <c r="M159" i="11"/>
  <c r="K160" i="11"/>
  <c r="L160" i="11"/>
  <c r="M160" i="11"/>
  <c r="K161" i="11"/>
  <c r="L161" i="11"/>
  <c r="M161" i="11"/>
  <c r="K162" i="11"/>
  <c r="L162" i="11"/>
  <c r="M162" i="11"/>
  <c r="K163" i="11"/>
  <c r="L163" i="11"/>
  <c r="M163" i="11"/>
  <c r="K164" i="11"/>
  <c r="L164" i="11"/>
  <c r="M164" i="11"/>
  <c r="K165" i="11"/>
  <c r="L165" i="11"/>
  <c r="M165" i="11"/>
  <c r="K166" i="11"/>
  <c r="L166" i="11"/>
  <c r="M166" i="11"/>
  <c r="K167" i="11"/>
  <c r="L167" i="11"/>
  <c r="M167" i="11"/>
  <c r="K168" i="11"/>
  <c r="L168" i="11"/>
  <c r="M168" i="11"/>
  <c r="K169" i="11"/>
  <c r="L169" i="11"/>
  <c r="M169" i="11"/>
  <c r="K170" i="11"/>
  <c r="L170" i="11"/>
  <c r="M170" i="11"/>
  <c r="K171" i="11"/>
  <c r="L171" i="11"/>
  <c r="M171" i="11"/>
  <c r="K172" i="11"/>
  <c r="L172" i="11"/>
  <c r="M172" i="11"/>
  <c r="K173" i="11"/>
  <c r="L173" i="11"/>
  <c r="M173" i="11"/>
  <c r="K174" i="11"/>
  <c r="L174" i="11"/>
  <c r="M174" i="11"/>
  <c r="K175" i="11"/>
  <c r="L175" i="11"/>
  <c r="M175" i="11"/>
  <c r="K176" i="11"/>
  <c r="L176" i="11"/>
  <c r="M176" i="11"/>
  <c r="K177" i="11"/>
  <c r="L177" i="11"/>
  <c r="M177" i="11"/>
  <c r="K178" i="11"/>
  <c r="L178" i="11"/>
  <c r="M178" i="11"/>
  <c r="K179" i="11"/>
  <c r="L179" i="11"/>
  <c r="M179" i="11"/>
  <c r="K180" i="11"/>
  <c r="L180" i="11"/>
  <c r="M180" i="11"/>
  <c r="K181" i="11"/>
  <c r="L181" i="11"/>
  <c r="M181" i="11"/>
  <c r="K182" i="11"/>
  <c r="L182" i="11"/>
  <c r="M182" i="11"/>
  <c r="K183" i="11"/>
  <c r="L183" i="11"/>
  <c r="M183" i="11"/>
  <c r="K184" i="11"/>
  <c r="L184" i="11"/>
  <c r="M184" i="11"/>
  <c r="K185" i="11"/>
  <c r="L185" i="11"/>
  <c r="M185" i="11"/>
  <c r="K186" i="11"/>
  <c r="L186" i="11"/>
  <c r="M186" i="11"/>
  <c r="K187" i="11"/>
  <c r="L187" i="11"/>
  <c r="M187" i="11"/>
  <c r="K188" i="11"/>
  <c r="L188" i="11"/>
  <c r="M188" i="11"/>
  <c r="K189" i="11"/>
  <c r="L189" i="11"/>
  <c r="M189" i="11"/>
  <c r="K190" i="11"/>
  <c r="L190" i="11"/>
  <c r="M190" i="11"/>
  <c r="K191" i="11"/>
  <c r="L191" i="11"/>
  <c r="M191" i="11"/>
  <c r="K192" i="11"/>
  <c r="L192" i="11"/>
  <c r="M192" i="11"/>
  <c r="K193" i="11"/>
  <c r="L193" i="11"/>
  <c r="M193" i="11"/>
  <c r="K194" i="11"/>
  <c r="L194" i="11"/>
  <c r="M194" i="11"/>
  <c r="K195" i="11"/>
  <c r="L195" i="11"/>
  <c r="M195" i="11"/>
  <c r="K196" i="11"/>
  <c r="L196" i="11"/>
  <c r="M196" i="11"/>
  <c r="K197" i="11"/>
  <c r="L197" i="11"/>
  <c r="M197" i="11"/>
  <c r="K198" i="11"/>
  <c r="L198" i="11"/>
  <c r="M198" i="11"/>
  <c r="K199" i="11"/>
  <c r="L199" i="11"/>
  <c r="M199" i="11"/>
  <c r="K200" i="11"/>
  <c r="L200" i="11"/>
  <c r="M200" i="11"/>
  <c r="K201" i="11"/>
  <c r="L201" i="11"/>
  <c r="M201" i="11"/>
  <c r="K202" i="11"/>
  <c r="L202" i="11"/>
  <c r="M202" i="11"/>
  <c r="K203" i="11"/>
  <c r="L203" i="11"/>
  <c r="M203" i="11"/>
  <c r="K204" i="11"/>
  <c r="L204" i="11"/>
  <c r="M204" i="11"/>
  <c r="K205" i="11"/>
  <c r="L205" i="11"/>
  <c r="M205" i="11"/>
  <c r="K206" i="11"/>
  <c r="L206" i="11"/>
  <c r="M206" i="11"/>
  <c r="K207" i="11"/>
  <c r="L207" i="11"/>
  <c r="M207" i="11"/>
  <c r="K208" i="11"/>
  <c r="L208" i="11"/>
  <c r="M208" i="11"/>
  <c r="K209" i="11"/>
  <c r="L209" i="11"/>
  <c r="M209" i="11"/>
  <c r="K210" i="11"/>
  <c r="L210" i="11"/>
  <c r="M210" i="11"/>
  <c r="K211" i="11"/>
  <c r="L211" i="11"/>
  <c r="M211" i="11"/>
  <c r="K212" i="11"/>
  <c r="L212" i="11"/>
  <c r="M212" i="11"/>
  <c r="K213" i="11"/>
  <c r="L213" i="11"/>
  <c r="M213" i="11"/>
  <c r="K214" i="11"/>
  <c r="L214" i="11"/>
  <c r="M214" i="11"/>
  <c r="K215" i="11"/>
  <c r="L215" i="11"/>
  <c r="M215" i="11"/>
  <c r="K216" i="11"/>
  <c r="L216" i="11"/>
  <c r="M216" i="11"/>
  <c r="K217" i="11"/>
  <c r="L217" i="11"/>
  <c r="M217" i="11"/>
  <c r="K218" i="11"/>
  <c r="L218" i="11"/>
  <c r="M218" i="11"/>
  <c r="K219" i="11"/>
  <c r="L219" i="11"/>
  <c r="M219" i="11"/>
  <c r="K220" i="11"/>
  <c r="L220" i="11"/>
  <c r="M220" i="11"/>
  <c r="K221" i="11"/>
  <c r="L221" i="11"/>
  <c r="M221" i="11"/>
  <c r="K222" i="11"/>
  <c r="L222" i="11"/>
  <c r="M222" i="11"/>
  <c r="K223" i="11"/>
  <c r="L223" i="11"/>
  <c r="M223" i="11"/>
  <c r="K224" i="11"/>
  <c r="L224" i="11"/>
  <c r="M224" i="11"/>
  <c r="K225" i="11"/>
  <c r="L225" i="11"/>
  <c r="M225" i="11"/>
  <c r="K226" i="11"/>
  <c r="L226" i="11"/>
  <c r="M226" i="11"/>
  <c r="K227" i="11"/>
  <c r="L227" i="11"/>
  <c r="M227" i="11"/>
  <c r="K228" i="11"/>
  <c r="L228" i="11"/>
  <c r="M228" i="11"/>
  <c r="K229" i="11"/>
  <c r="L229" i="11"/>
  <c r="M229" i="11"/>
  <c r="K230" i="11"/>
  <c r="L230" i="11"/>
  <c r="M230" i="11"/>
  <c r="K231" i="11"/>
  <c r="L231" i="11"/>
  <c r="M231" i="11"/>
  <c r="K232" i="11"/>
  <c r="L232" i="11"/>
  <c r="M232" i="11"/>
  <c r="K233" i="11"/>
  <c r="L233" i="11"/>
  <c r="M233" i="11"/>
  <c r="K234" i="11"/>
  <c r="L234" i="11"/>
  <c r="M234" i="11"/>
  <c r="K235" i="11"/>
  <c r="L235" i="11"/>
  <c r="M235" i="11"/>
  <c r="K236" i="11"/>
  <c r="L236" i="11"/>
  <c r="M236" i="11"/>
  <c r="K237" i="11"/>
  <c r="L237" i="11"/>
  <c r="M237" i="11"/>
  <c r="K238" i="11"/>
  <c r="L238" i="11"/>
  <c r="M238" i="11"/>
  <c r="K239" i="11"/>
  <c r="L239" i="11"/>
  <c r="M239" i="11"/>
  <c r="K240" i="11"/>
  <c r="L240" i="11"/>
  <c r="M240" i="11"/>
  <c r="K241" i="11"/>
  <c r="L241" i="11"/>
  <c r="M241" i="11"/>
  <c r="K242" i="11"/>
  <c r="L242" i="11"/>
  <c r="M242" i="11"/>
  <c r="K243" i="11"/>
  <c r="L243" i="11"/>
  <c r="M243" i="11"/>
  <c r="K244" i="11"/>
  <c r="L244" i="11"/>
  <c r="M244" i="11"/>
  <c r="K245" i="11"/>
  <c r="L245" i="11"/>
  <c r="M245" i="11"/>
  <c r="K246" i="11"/>
  <c r="L246" i="11"/>
  <c r="M246" i="11"/>
  <c r="K247" i="11"/>
  <c r="L247" i="11"/>
  <c r="M247" i="11"/>
  <c r="K248" i="11"/>
  <c r="L248" i="11"/>
  <c r="M248" i="11"/>
  <c r="K249" i="11"/>
  <c r="L249" i="11"/>
  <c r="M249" i="11"/>
  <c r="K250" i="11"/>
  <c r="L250" i="11"/>
  <c r="M250" i="11"/>
  <c r="K251" i="11"/>
  <c r="L251" i="11"/>
  <c r="M251" i="11"/>
  <c r="K252" i="11"/>
  <c r="L252" i="11"/>
  <c r="M252" i="11"/>
  <c r="K253" i="11"/>
  <c r="L253" i="11"/>
  <c r="M253" i="11"/>
  <c r="K254" i="11"/>
  <c r="L254" i="11"/>
  <c r="M254" i="11"/>
  <c r="K255" i="11"/>
  <c r="L255" i="11"/>
  <c r="M255" i="11"/>
  <c r="K256" i="11"/>
  <c r="L256" i="11"/>
  <c r="M256" i="11"/>
  <c r="K257" i="11"/>
  <c r="L257" i="11"/>
  <c r="M257" i="11"/>
  <c r="K258" i="11"/>
  <c r="L258" i="11"/>
  <c r="M258" i="11"/>
  <c r="K259" i="11"/>
  <c r="L259" i="11"/>
  <c r="M259" i="11"/>
  <c r="K260" i="11"/>
  <c r="L260" i="11"/>
  <c r="M260" i="11"/>
  <c r="K261" i="11"/>
  <c r="L261" i="11"/>
  <c r="M261" i="11"/>
  <c r="K262" i="11"/>
  <c r="L262" i="11"/>
  <c r="M262" i="11"/>
  <c r="K263" i="11"/>
  <c r="L263" i="11"/>
  <c r="M263" i="11"/>
  <c r="K264" i="11"/>
  <c r="L264" i="11"/>
  <c r="M264" i="11"/>
  <c r="K265" i="11"/>
  <c r="L265" i="11"/>
  <c r="M265" i="11"/>
  <c r="K266" i="11"/>
  <c r="L266" i="11"/>
  <c r="M266" i="11"/>
  <c r="K267" i="11"/>
  <c r="L267" i="11"/>
  <c r="M267" i="11"/>
  <c r="K268" i="11"/>
  <c r="L268" i="11"/>
  <c r="M268" i="11"/>
  <c r="K269" i="11"/>
  <c r="L269" i="11"/>
  <c r="M269" i="11"/>
  <c r="K270" i="11"/>
  <c r="L270" i="11"/>
  <c r="M270" i="11"/>
  <c r="K271" i="11"/>
  <c r="L271" i="11"/>
  <c r="M271" i="11"/>
  <c r="K272" i="11"/>
  <c r="L272" i="11"/>
  <c r="M272" i="11"/>
  <c r="K273" i="11"/>
  <c r="L273" i="11"/>
  <c r="M273" i="11"/>
  <c r="K274" i="11"/>
  <c r="L274" i="11"/>
  <c r="M274" i="11"/>
  <c r="K275" i="11"/>
  <c r="L275" i="11"/>
  <c r="M275" i="11"/>
  <c r="K276" i="11"/>
  <c r="L276" i="11"/>
  <c r="M276" i="11"/>
  <c r="K277" i="11"/>
  <c r="L277" i="11"/>
  <c r="M277" i="11"/>
  <c r="K278" i="11"/>
  <c r="L278" i="11"/>
  <c r="M278" i="11"/>
  <c r="K279" i="11"/>
  <c r="L279" i="11"/>
  <c r="M279" i="11"/>
  <c r="K280" i="11"/>
  <c r="L280" i="11"/>
  <c r="M280" i="11"/>
  <c r="K281" i="11"/>
  <c r="L281" i="11"/>
  <c r="M281" i="11"/>
  <c r="K282" i="11"/>
  <c r="L282" i="11"/>
  <c r="M282" i="11"/>
  <c r="K283" i="11"/>
  <c r="L283" i="11"/>
  <c r="M283" i="11"/>
  <c r="K284" i="11"/>
  <c r="L284" i="11"/>
  <c r="M284" i="11"/>
  <c r="K285" i="11"/>
  <c r="L285" i="11"/>
  <c r="M285" i="11"/>
  <c r="K286" i="11"/>
  <c r="L286" i="11"/>
  <c r="M286" i="11"/>
  <c r="K287" i="11"/>
  <c r="L287" i="11"/>
  <c r="M287" i="11"/>
  <c r="K288" i="11"/>
  <c r="L288" i="11"/>
  <c r="M288" i="11"/>
  <c r="K289" i="11"/>
  <c r="L289" i="11"/>
  <c r="M289" i="11"/>
  <c r="K290" i="11"/>
  <c r="L290" i="11"/>
  <c r="M290" i="11"/>
  <c r="K291" i="11"/>
  <c r="L291" i="11"/>
  <c r="M291" i="11"/>
  <c r="K292" i="11"/>
  <c r="L292" i="11"/>
  <c r="M292" i="11"/>
  <c r="K293" i="11"/>
  <c r="L293" i="11"/>
  <c r="M293" i="11"/>
  <c r="K294" i="11"/>
  <c r="L294" i="11"/>
  <c r="M294" i="11"/>
  <c r="K295" i="11"/>
  <c r="L295" i="11"/>
  <c r="M295" i="11"/>
  <c r="K296" i="11"/>
  <c r="L296" i="11"/>
  <c r="M296" i="11"/>
  <c r="K297" i="11"/>
  <c r="L297" i="11"/>
  <c r="M297" i="11"/>
  <c r="K298" i="11"/>
  <c r="L298" i="11"/>
  <c r="M298" i="11"/>
  <c r="K299" i="11"/>
  <c r="L299" i="11"/>
  <c r="M299" i="11"/>
  <c r="K300" i="11"/>
  <c r="L300" i="11"/>
  <c r="M300" i="11"/>
  <c r="K301" i="11"/>
  <c r="L301" i="11"/>
  <c r="M301" i="11"/>
  <c r="K302" i="11"/>
  <c r="L302" i="11"/>
  <c r="M302" i="11"/>
  <c r="K303" i="11"/>
  <c r="L303" i="11"/>
  <c r="M303" i="11"/>
  <c r="K304" i="11"/>
  <c r="L304" i="11"/>
  <c r="M304" i="11"/>
  <c r="K305" i="11"/>
  <c r="L305" i="11"/>
  <c r="M305" i="11"/>
  <c r="K306" i="11"/>
  <c r="L306" i="11"/>
  <c r="M306" i="11"/>
  <c r="K307" i="11"/>
  <c r="L307" i="11"/>
  <c r="M307" i="11"/>
  <c r="K308" i="11"/>
  <c r="L308" i="11"/>
  <c r="M308" i="11"/>
  <c r="K309" i="11"/>
  <c r="L309" i="11"/>
  <c r="M309" i="11"/>
  <c r="K310" i="11"/>
  <c r="L310" i="11"/>
  <c r="M310" i="11"/>
  <c r="K311" i="11"/>
  <c r="L311" i="11"/>
  <c r="M311" i="11"/>
  <c r="K312" i="11"/>
  <c r="L312" i="11"/>
  <c r="M312" i="11"/>
  <c r="K313" i="11"/>
  <c r="L313" i="11"/>
  <c r="M313" i="11"/>
  <c r="K314" i="11"/>
  <c r="L314" i="11"/>
  <c r="M314" i="11"/>
  <c r="K315" i="11"/>
  <c r="L315" i="11"/>
  <c r="M315" i="11"/>
  <c r="K316" i="11"/>
  <c r="L316" i="11"/>
  <c r="M316" i="11"/>
  <c r="K317" i="11"/>
  <c r="L317" i="11"/>
  <c r="M317" i="11"/>
  <c r="K318" i="11"/>
  <c r="L318" i="11"/>
  <c r="M318" i="11"/>
  <c r="K319" i="11"/>
  <c r="L319" i="11"/>
  <c r="M319" i="11"/>
  <c r="K320" i="11"/>
  <c r="L320" i="11"/>
  <c r="M320" i="11"/>
  <c r="K321" i="11"/>
  <c r="L321" i="11"/>
  <c r="M321" i="11"/>
  <c r="K322" i="11"/>
  <c r="L322" i="11"/>
  <c r="M322" i="11"/>
  <c r="K323" i="11"/>
  <c r="L323" i="11"/>
  <c r="M323" i="11"/>
  <c r="K324" i="11"/>
  <c r="L324" i="11"/>
  <c r="M324" i="11"/>
  <c r="K325" i="11"/>
  <c r="L325" i="11"/>
  <c r="M325" i="11"/>
  <c r="K326" i="11"/>
  <c r="L326" i="11"/>
  <c r="M326" i="11"/>
  <c r="K327" i="11"/>
  <c r="L327" i="11"/>
  <c r="M327" i="11"/>
  <c r="K328" i="11"/>
  <c r="L328" i="11"/>
  <c r="M328" i="11"/>
  <c r="K329" i="11"/>
  <c r="L329" i="11"/>
  <c r="M329" i="11"/>
  <c r="K330" i="11"/>
  <c r="L330" i="11"/>
  <c r="M330" i="11"/>
  <c r="K331" i="11"/>
  <c r="L331" i="11"/>
  <c r="M331" i="11"/>
  <c r="K332" i="11"/>
  <c r="L332" i="11"/>
  <c r="M332" i="11"/>
  <c r="K333" i="11"/>
  <c r="L333" i="11"/>
  <c r="M333" i="11"/>
  <c r="K334" i="11"/>
  <c r="L334" i="11"/>
  <c r="M334" i="11"/>
  <c r="K335" i="11"/>
  <c r="L335" i="11"/>
  <c r="M335" i="11"/>
  <c r="K336" i="11"/>
  <c r="L336" i="11"/>
  <c r="M336" i="11"/>
  <c r="K337" i="11"/>
  <c r="L337" i="11"/>
  <c r="M337" i="11"/>
  <c r="K338" i="11"/>
  <c r="L338" i="11"/>
  <c r="M338" i="11"/>
  <c r="K339" i="11"/>
  <c r="L339" i="11"/>
  <c r="M339" i="11"/>
  <c r="K340" i="11"/>
  <c r="L340" i="11"/>
  <c r="M340" i="11"/>
  <c r="K341" i="11"/>
  <c r="L341" i="11"/>
  <c r="M341" i="11"/>
  <c r="K342" i="11"/>
  <c r="L342" i="11"/>
  <c r="M342" i="11"/>
  <c r="K343" i="11"/>
  <c r="L343" i="11"/>
  <c r="M343" i="11"/>
  <c r="K344" i="11"/>
  <c r="L344" i="11"/>
  <c r="M344" i="11"/>
  <c r="K345" i="11"/>
  <c r="L345" i="11"/>
  <c r="M345" i="11"/>
  <c r="K346" i="11"/>
  <c r="L346" i="11"/>
  <c r="M346" i="11"/>
  <c r="K347" i="11"/>
  <c r="L347" i="11"/>
  <c r="M347" i="11"/>
  <c r="K348" i="11"/>
  <c r="L348" i="11"/>
  <c r="M348" i="11"/>
  <c r="K349" i="11"/>
  <c r="L349" i="11"/>
  <c r="M349" i="11"/>
  <c r="K350" i="11"/>
  <c r="L350" i="11"/>
  <c r="M350" i="11"/>
  <c r="K351" i="11"/>
  <c r="L351" i="11"/>
  <c r="M351" i="11"/>
  <c r="K352" i="11"/>
  <c r="L352" i="11"/>
  <c r="M352" i="11"/>
  <c r="K353" i="11"/>
  <c r="L353" i="11"/>
  <c r="M353" i="11"/>
  <c r="K354" i="11"/>
  <c r="L354" i="11"/>
  <c r="M354" i="11"/>
  <c r="K355" i="11"/>
  <c r="L355" i="11"/>
  <c r="M355" i="11"/>
  <c r="K356" i="11"/>
  <c r="L356" i="11"/>
  <c r="M356" i="11"/>
  <c r="K357" i="11"/>
  <c r="L357" i="11"/>
  <c r="M357" i="11"/>
  <c r="K358" i="11"/>
  <c r="L358" i="11"/>
  <c r="M358" i="11"/>
  <c r="K359" i="11"/>
  <c r="L359" i="11"/>
  <c r="M359" i="11"/>
  <c r="K360" i="11"/>
  <c r="L360" i="11"/>
  <c r="M360" i="11"/>
  <c r="K361" i="11"/>
  <c r="L361" i="11"/>
  <c r="M361" i="11"/>
  <c r="K362" i="11"/>
  <c r="L362" i="11"/>
  <c r="M362" i="11"/>
  <c r="K363" i="11"/>
  <c r="L363" i="11"/>
  <c r="M363" i="11"/>
  <c r="K364" i="11"/>
  <c r="L364" i="11"/>
  <c r="M364" i="11"/>
  <c r="K365" i="11"/>
  <c r="L365" i="11"/>
  <c r="M365" i="11"/>
  <c r="K366" i="11"/>
  <c r="L366" i="11"/>
  <c r="M366" i="11"/>
  <c r="K367" i="11"/>
  <c r="L367" i="11"/>
  <c r="M367" i="11"/>
  <c r="K368" i="11"/>
  <c r="L368" i="11"/>
  <c r="M368" i="11"/>
  <c r="K369" i="11"/>
  <c r="L369" i="11"/>
  <c r="M369" i="11"/>
  <c r="K370" i="11"/>
  <c r="L370" i="11"/>
  <c r="M370" i="11"/>
  <c r="K371" i="11"/>
  <c r="L371" i="11"/>
  <c r="M371" i="11"/>
  <c r="K372" i="11"/>
  <c r="L372" i="11"/>
  <c r="M372" i="11"/>
  <c r="K373" i="11"/>
  <c r="L373" i="11"/>
  <c r="M373" i="11"/>
  <c r="K374" i="11"/>
  <c r="L374" i="11"/>
  <c r="M374" i="11"/>
  <c r="K375" i="11"/>
  <c r="L375" i="11"/>
  <c r="M375" i="11"/>
  <c r="K376" i="11"/>
  <c r="L376" i="11"/>
  <c r="M376" i="11"/>
  <c r="K377" i="11"/>
  <c r="L377" i="11"/>
  <c r="M377" i="11"/>
  <c r="K378" i="11"/>
  <c r="L378" i="11"/>
  <c r="M378" i="11"/>
  <c r="K379" i="11"/>
  <c r="L379" i="11"/>
  <c r="M379" i="11"/>
  <c r="K380" i="11"/>
  <c r="L380" i="11"/>
  <c r="M380" i="11"/>
  <c r="K381" i="11"/>
  <c r="L381" i="11"/>
  <c r="M381" i="11"/>
  <c r="K382" i="11"/>
  <c r="L382" i="11"/>
  <c r="M382" i="11"/>
  <c r="K383" i="11"/>
  <c r="L383" i="11"/>
  <c r="M383" i="11"/>
  <c r="K384" i="11"/>
  <c r="L384" i="11"/>
  <c r="M384" i="11"/>
  <c r="K385" i="11"/>
  <c r="L385" i="11"/>
  <c r="M385" i="11"/>
  <c r="K386" i="11"/>
  <c r="L386" i="11"/>
  <c r="M386" i="11"/>
  <c r="K387" i="11"/>
  <c r="L387" i="11"/>
  <c r="M387" i="11"/>
  <c r="K388" i="11"/>
  <c r="L388" i="11"/>
  <c r="M388" i="11"/>
  <c r="K389" i="11"/>
  <c r="L389" i="11"/>
  <c r="M389" i="11"/>
  <c r="K390" i="11"/>
  <c r="L390" i="11"/>
  <c r="M390" i="11"/>
  <c r="K391" i="11"/>
  <c r="L391" i="11"/>
  <c r="M391" i="11"/>
  <c r="K392" i="11"/>
  <c r="L392" i="11"/>
  <c r="M392" i="11"/>
  <c r="K393" i="11"/>
  <c r="L393" i="11"/>
  <c r="M393" i="11"/>
  <c r="K394" i="11"/>
  <c r="L394" i="11"/>
  <c r="M394" i="11"/>
  <c r="K395" i="11"/>
  <c r="L395" i="11"/>
  <c r="M395" i="11"/>
  <c r="K396" i="11"/>
  <c r="L396" i="11"/>
  <c r="M396" i="11"/>
  <c r="K397" i="11"/>
  <c r="L397" i="11"/>
  <c r="M397" i="11"/>
  <c r="K398" i="11"/>
  <c r="L398" i="11"/>
  <c r="M398" i="11"/>
  <c r="K399" i="11"/>
  <c r="L399" i="11"/>
  <c r="M399" i="11"/>
  <c r="K400" i="11"/>
  <c r="L400" i="11"/>
  <c r="M400" i="11"/>
  <c r="K401" i="11"/>
  <c r="L401" i="11"/>
  <c r="M401" i="11"/>
  <c r="K402" i="11"/>
  <c r="L402" i="11"/>
  <c r="M402" i="11"/>
  <c r="K403" i="11"/>
  <c r="L403" i="11"/>
  <c r="M403" i="11"/>
  <c r="K404" i="11"/>
  <c r="L404" i="11"/>
  <c r="M404" i="11"/>
  <c r="K405" i="11"/>
  <c r="L405" i="11"/>
  <c r="M405" i="11"/>
  <c r="K406" i="11"/>
  <c r="L406" i="11"/>
  <c r="M406" i="11"/>
  <c r="K407" i="11"/>
  <c r="L407" i="11"/>
  <c r="M407" i="11"/>
  <c r="K408" i="11"/>
  <c r="L408" i="11"/>
  <c r="M408" i="11"/>
  <c r="K409" i="11"/>
  <c r="L409" i="11"/>
  <c r="M409" i="11"/>
  <c r="K410" i="11"/>
  <c r="L410" i="11"/>
  <c r="M410" i="11"/>
  <c r="K411" i="11"/>
  <c r="L411" i="11"/>
  <c r="M411" i="11"/>
  <c r="K412" i="11"/>
  <c r="L412" i="11"/>
  <c r="M412" i="11"/>
  <c r="K413" i="11"/>
  <c r="L413" i="11"/>
  <c r="M413" i="11"/>
  <c r="K414" i="11"/>
  <c r="L414" i="11"/>
  <c r="M414" i="11"/>
  <c r="K415" i="11"/>
  <c r="L415" i="11"/>
  <c r="M415" i="11"/>
  <c r="K416" i="11"/>
  <c r="L416" i="11"/>
  <c r="M416" i="11"/>
  <c r="K417" i="11"/>
  <c r="L417" i="11"/>
  <c r="M417" i="11"/>
  <c r="K418" i="11"/>
  <c r="L418" i="11"/>
  <c r="M418" i="11"/>
  <c r="K419" i="11"/>
  <c r="L419" i="11"/>
  <c r="M419" i="11"/>
  <c r="K420" i="11"/>
  <c r="L420" i="11"/>
  <c r="M420" i="11"/>
  <c r="K421" i="11"/>
  <c r="L421" i="11"/>
  <c r="M421" i="11"/>
  <c r="K422" i="11"/>
  <c r="L422" i="11"/>
  <c r="M422" i="11"/>
  <c r="K423" i="11"/>
  <c r="L423" i="11"/>
  <c r="M423" i="11"/>
  <c r="K424" i="11"/>
  <c r="L424" i="11"/>
  <c r="M424" i="11"/>
  <c r="K425" i="11"/>
  <c r="L425" i="11"/>
  <c r="M425" i="11"/>
  <c r="K426" i="11"/>
  <c r="L426" i="11"/>
  <c r="M426" i="11"/>
  <c r="K427" i="11"/>
  <c r="L427" i="11"/>
  <c r="M427" i="11"/>
  <c r="K428" i="11"/>
  <c r="L428" i="11"/>
  <c r="M428" i="11"/>
  <c r="K429" i="11"/>
  <c r="L429" i="11"/>
  <c r="M429" i="11"/>
  <c r="K430" i="11"/>
  <c r="L430" i="11"/>
  <c r="M430" i="11"/>
  <c r="K431" i="11"/>
  <c r="L431" i="11"/>
  <c r="M431" i="11"/>
  <c r="K432" i="11"/>
  <c r="L432" i="11"/>
  <c r="M432" i="11"/>
  <c r="K433" i="11"/>
  <c r="L433" i="11"/>
  <c r="M433" i="11"/>
  <c r="K434" i="11"/>
  <c r="L434" i="11"/>
  <c r="M434" i="11"/>
  <c r="K435" i="11"/>
  <c r="L435" i="11"/>
  <c r="M435" i="11"/>
  <c r="K436" i="11"/>
  <c r="L436" i="11"/>
  <c r="M436" i="11"/>
  <c r="K437" i="11"/>
  <c r="L437" i="11"/>
  <c r="M437" i="11"/>
  <c r="K438" i="11"/>
  <c r="L438" i="11"/>
  <c r="M438" i="11"/>
  <c r="K439" i="11"/>
  <c r="L439" i="11"/>
  <c r="M439" i="11"/>
  <c r="K440" i="11"/>
  <c r="L440" i="11"/>
  <c r="M440" i="11"/>
  <c r="K441" i="11"/>
  <c r="L441" i="11"/>
  <c r="M441" i="11"/>
  <c r="K442" i="11"/>
  <c r="L442" i="11"/>
  <c r="M442" i="11"/>
  <c r="K443" i="11"/>
  <c r="L443" i="11"/>
  <c r="M443" i="11"/>
  <c r="K444" i="11"/>
  <c r="L444" i="11"/>
  <c r="M444" i="11"/>
  <c r="K445" i="11"/>
  <c r="L445" i="11"/>
  <c r="M445" i="11"/>
  <c r="K446" i="11"/>
  <c r="L446" i="11"/>
  <c r="M446" i="11"/>
  <c r="K447" i="11"/>
  <c r="L447" i="11"/>
  <c r="M447" i="11"/>
  <c r="K448" i="11"/>
  <c r="L448" i="11"/>
  <c r="M448" i="11"/>
  <c r="K449" i="11"/>
  <c r="L449" i="11"/>
  <c r="M449" i="11"/>
  <c r="K450" i="11"/>
  <c r="L450" i="11"/>
  <c r="M450" i="11"/>
  <c r="K451" i="11"/>
  <c r="L451" i="11"/>
  <c r="M451" i="11"/>
  <c r="K452" i="11"/>
  <c r="L452" i="11"/>
  <c r="M452" i="11"/>
  <c r="K453" i="11"/>
  <c r="L453" i="11"/>
  <c r="M453" i="11"/>
  <c r="K454" i="11"/>
  <c r="L454" i="11"/>
  <c r="M454" i="11"/>
  <c r="K455" i="11"/>
  <c r="L455" i="11"/>
  <c r="M455" i="11"/>
  <c r="K456" i="11"/>
  <c r="L456" i="11"/>
  <c r="M456" i="11"/>
  <c r="K457" i="11"/>
  <c r="L457" i="11"/>
  <c r="M457" i="11"/>
  <c r="K458" i="11"/>
  <c r="L458" i="11"/>
  <c r="M458" i="11"/>
  <c r="K459" i="11"/>
  <c r="L459" i="11"/>
  <c r="M459" i="11"/>
  <c r="K460" i="11"/>
  <c r="L460" i="11"/>
  <c r="M460" i="11"/>
  <c r="K461" i="11"/>
  <c r="L461" i="11"/>
  <c r="M461" i="11"/>
  <c r="K462" i="11"/>
  <c r="L462" i="11"/>
  <c r="M462" i="11"/>
  <c r="K463" i="11"/>
  <c r="L463" i="11"/>
  <c r="M463" i="11"/>
  <c r="K464" i="11"/>
  <c r="L464" i="11"/>
  <c r="M464" i="11"/>
  <c r="K465" i="11"/>
  <c r="L465" i="11"/>
  <c r="M465" i="11"/>
  <c r="K466" i="11"/>
  <c r="L466" i="11"/>
  <c r="M466" i="11"/>
  <c r="K467" i="11"/>
  <c r="L467" i="11"/>
  <c r="M467" i="11"/>
  <c r="K468" i="11"/>
  <c r="L468" i="11"/>
  <c r="M468" i="11"/>
  <c r="K469" i="11"/>
  <c r="L469" i="11"/>
  <c r="M469" i="11"/>
  <c r="K470" i="11"/>
  <c r="L470" i="11"/>
  <c r="M470" i="11"/>
  <c r="K471" i="11"/>
  <c r="L471" i="11"/>
  <c r="M471" i="11"/>
  <c r="K472" i="11"/>
  <c r="L472" i="11"/>
  <c r="M472" i="11"/>
  <c r="K473" i="11"/>
  <c r="L473" i="11"/>
  <c r="M473" i="11"/>
  <c r="K474" i="11"/>
  <c r="L474" i="11"/>
  <c r="M474" i="11"/>
  <c r="K475" i="11"/>
  <c r="L475" i="11"/>
  <c r="M475" i="11"/>
  <c r="K476" i="11"/>
  <c r="L476" i="11"/>
  <c r="M476" i="11"/>
  <c r="K477" i="11"/>
  <c r="L477" i="11"/>
  <c r="M477" i="11"/>
  <c r="K478" i="11"/>
  <c r="L478" i="11"/>
  <c r="M478" i="11"/>
  <c r="K479" i="11"/>
  <c r="L479" i="11"/>
  <c r="M479" i="11"/>
  <c r="K480" i="11"/>
  <c r="L480" i="11"/>
  <c r="M480" i="11"/>
  <c r="K481" i="11"/>
  <c r="L481" i="11"/>
  <c r="M481" i="11"/>
  <c r="K482" i="11"/>
  <c r="L482" i="11"/>
  <c r="M482" i="11"/>
  <c r="K483" i="11"/>
  <c r="L483" i="11"/>
  <c r="M483" i="11"/>
  <c r="K484" i="11"/>
  <c r="L484" i="11"/>
  <c r="M484" i="11"/>
  <c r="K485" i="11"/>
  <c r="L485" i="11"/>
  <c r="M485" i="11"/>
  <c r="K486" i="11"/>
  <c r="L486" i="11"/>
  <c r="M486" i="11"/>
  <c r="K487" i="11"/>
  <c r="L487" i="11"/>
  <c r="M487" i="11"/>
  <c r="K488" i="11"/>
  <c r="L488" i="11"/>
  <c r="M488" i="11"/>
  <c r="K489" i="11"/>
  <c r="L489" i="11"/>
  <c r="M489" i="11"/>
  <c r="K490" i="11"/>
  <c r="L490" i="11"/>
  <c r="M490" i="11"/>
  <c r="K491" i="11"/>
  <c r="L491" i="11"/>
  <c r="M491" i="11"/>
  <c r="K492" i="11"/>
  <c r="L492" i="11"/>
  <c r="M492" i="11"/>
  <c r="K493" i="11"/>
  <c r="L493" i="11"/>
  <c r="M493" i="11"/>
  <c r="K494" i="11"/>
  <c r="L494" i="11"/>
  <c r="M494" i="11"/>
  <c r="K495" i="11"/>
  <c r="L495" i="11"/>
  <c r="M495" i="11"/>
  <c r="K496" i="11"/>
  <c r="L496" i="11"/>
  <c r="M496" i="11"/>
  <c r="K497" i="11"/>
  <c r="L497" i="11"/>
  <c r="M497" i="11"/>
  <c r="K498" i="11"/>
  <c r="L498" i="11"/>
  <c r="M498" i="11"/>
  <c r="K499" i="11"/>
  <c r="L499" i="11"/>
  <c r="M499" i="11"/>
  <c r="K500" i="11"/>
  <c r="L500" i="11"/>
  <c r="M500" i="11"/>
  <c r="K501" i="11"/>
  <c r="L501" i="11"/>
  <c r="M501" i="11"/>
  <c r="K502" i="11"/>
  <c r="L502" i="11"/>
  <c r="M502" i="11"/>
  <c r="K503" i="11"/>
  <c r="L503" i="11"/>
  <c r="M503" i="11"/>
  <c r="K504" i="11"/>
  <c r="L504" i="11"/>
  <c r="M504" i="11"/>
  <c r="K505" i="11"/>
  <c r="L505" i="11"/>
  <c r="M505" i="11"/>
  <c r="K506" i="11"/>
  <c r="L506" i="11"/>
  <c r="M506" i="11"/>
  <c r="K507" i="11"/>
  <c r="L507" i="11"/>
  <c r="M507" i="11"/>
  <c r="K508" i="11"/>
  <c r="L508" i="11"/>
  <c r="M508" i="11"/>
  <c r="K509" i="11"/>
  <c r="L509" i="11"/>
  <c r="M509" i="11"/>
  <c r="K510" i="11"/>
  <c r="L510" i="11"/>
  <c r="M510" i="11"/>
  <c r="K511" i="11"/>
  <c r="L511" i="11"/>
  <c r="M511" i="11"/>
  <c r="K512" i="11"/>
  <c r="L512" i="11"/>
  <c r="M512" i="11"/>
  <c r="K513" i="11"/>
  <c r="L513" i="11"/>
  <c r="M513" i="11"/>
  <c r="K514" i="11"/>
  <c r="L514" i="11"/>
  <c r="M514" i="11"/>
  <c r="K515" i="11"/>
  <c r="L515" i="11"/>
  <c r="M515" i="11"/>
  <c r="K516" i="11"/>
  <c r="L516" i="11"/>
  <c r="M516" i="11"/>
  <c r="K517" i="11"/>
  <c r="L517" i="11"/>
  <c r="M517" i="11"/>
  <c r="K518" i="11"/>
  <c r="L518" i="11"/>
  <c r="M518" i="11"/>
  <c r="K519" i="11"/>
  <c r="L519" i="11"/>
  <c r="M519" i="11"/>
  <c r="K520" i="11"/>
  <c r="L520" i="11"/>
  <c r="M520" i="11"/>
  <c r="K521" i="11"/>
  <c r="L521" i="11"/>
  <c r="M521" i="11"/>
  <c r="K522" i="11"/>
  <c r="L522" i="11"/>
  <c r="M522" i="11"/>
  <c r="K523" i="11"/>
  <c r="L523" i="11"/>
  <c r="M523" i="11"/>
  <c r="K524" i="11"/>
  <c r="L524" i="11"/>
  <c r="M524" i="11"/>
  <c r="K525" i="11"/>
  <c r="L525" i="11"/>
  <c r="M525" i="11"/>
  <c r="K526" i="11"/>
  <c r="L526" i="11"/>
  <c r="M526" i="11"/>
  <c r="K527" i="11"/>
  <c r="L527" i="11"/>
  <c r="M527" i="11"/>
  <c r="K528" i="11"/>
  <c r="L528" i="11"/>
  <c r="M528" i="11"/>
  <c r="K529" i="11"/>
  <c r="L529" i="11"/>
  <c r="M529" i="11"/>
  <c r="K530" i="11"/>
  <c r="L530" i="11"/>
  <c r="M530" i="11"/>
  <c r="K531" i="11"/>
  <c r="L531" i="11"/>
  <c r="M531" i="11"/>
  <c r="K532" i="11"/>
  <c r="L532" i="11"/>
  <c r="M532" i="11"/>
  <c r="K533" i="11"/>
  <c r="L533" i="11"/>
  <c r="M533" i="11"/>
  <c r="K534" i="11"/>
  <c r="L534" i="11"/>
  <c r="M534" i="11"/>
  <c r="K535" i="11"/>
  <c r="L535" i="11"/>
  <c r="M535" i="11"/>
  <c r="K536" i="11"/>
  <c r="L536" i="11"/>
  <c r="M536" i="11"/>
  <c r="K537" i="11"/>
  <c r="L537" i="11"/>
  <c r="M537" i="11"/>
  <c r="K538" i="11"/>
  <c r="L538" i="11"/>
  <c r="M538" i="11"/>
  <c r="K539" i="11"/>
  <c r="L539" i="11"/>
  <c r="M539" i="11"/>
  <c r="K540" i="11"/>
  <c r="L540" i="11"/>
  <c r="M540" i="11"/>
  <c r="K541" i="11"/>
  <c r="L541" i="11"/>
  <c r="M541" i="11"/>
  <c r="K542" i="11"/>
  <c r="L542" i="11"/>
  <c r="M542" i="11"/>
  <c r="K543" i="11"/>
  <c r="L543" i="11"/>
  <c r="M543" i="11"/>
  <c r="K544" i="11"/>
  <c r="L544" i="11"/>
  <c r="M544" i="11"/>
  <c r="K545" i="11"/>
  <c r="L545" i="11"/>
  <c r="M545" i="11"/>
  <c r="K546" i="11"/>
  <c r="L546" i="11"/>
  <c r="M546" i="11"/>
  <c r="K547" i="11"/>
  <c r="L547" i="11"/>
  <c r="M547" i="11"/>
  <c r="K548" i="11"/>
  <c r="L548" i="11"/>
  <c r="M548" i="11"/>
  <c r="K549" i="11"/>
  <c r="L549" i="11"/>
  <c r="M549" i="11"/>
  <c r="K550" i="11"/>
  <c r="L550" i="11"/>
  <c r="M550" i="11"/>
  <c r="K551" i="11"/>
  <c r="L551" i="11"/>
  <c r="M551" i="11"/>
  <c r="K552" i="11"/>
  <c r="L552" i="11"/>
  <c r="M552" i="11"/>
  <c r="K553" i="11"/>
  <c r="L553" i="11"/>
  <c r="M553" i="11"/>
  <c r="K554" i="11"/>
  <c r="L554" i="11"/>
  <c r="M554" i="11"/>
  <c r="K555" i="11"/>
  <c r="L555" i="11"/>
  <c r="M555" i="11"/>
  <c r="K556" i="11"/>
  <c r="L556" i="11"/>
  <c r="M556" i="11"/>
  <c r="K557" i="11"/>
  <c r="L557" i="11"/>
  <c r="M557" i="11"/>
  <c r="K558" i="11"/>
  <c r="L558" i="11"/>
  <c r="M558" i="11"/>
  <c r="K559" i="11"/>
  <c r="L559" i="11"/>
  <c r="M559" i="11"/>
  <c r="K560" i="11"/>
  <c r="L560" i="11"/>
  <c r="M560" i="11"/>
  <c r="K561" i="11"/>
  <c r="L561" i="11"/>
  <c r="M561" i="11"/>
  <c r="K562" i="11"/>
  <c r="L562" i="11"/>
  <c r="M562" i="11"/>
  <c r="K563" i="11"/>
  <c r="L563" i="11"/>
  <c r="M563" i="11"/>
  <c r="K564" i="11"/>
  <c r="L564" i="11"/>
  <c r="M564" i="11"/>
  <c r="K565" i="11"/>
  <c r="L565" i="11"/>
  <c r="M565" i="11"/>
  <c r="K566" i="11"/>
  <c r="L566" i="11"/>
  <c r="M566" i="11"/>
  <c r="K567" i="11"/>
  <c r="L567" i="11"/>
  <c r="M567" i="11"/>
  <c r="K568" i="11"/>
  <c r="L568" i="11"/>
  <c r="M568" i="11"/>
  <c r="K569" i="11"/>
  <c r="L569" i="11"/>
  <c r="M569" i="11"/>
  <c r="K570" i="11"/>
  <c r="L570" i="11"/>
  <c r="M570" i="11"/>
  <c r="K571" i="11"/>
  <c r="L571" i="11"/>
  <c r="M571" i="11"/>
  <c r="K572" i="11"/>
  <c r="L572" i="11"/>
  <c r="M572" i="11"/>
  <c r="K573" i="11"/>
  <c r="L573" i="11"/>
  <c r="M573" i="11"/>
  <c r="K574" i="11"/>
  <c r="L574" i="11"/>
  <c r="M574" i="11"/>
  <c r="K575" i="11"/>
  <c r="L575" i="11"/>
  <c r="M575" i="11"/>
  <c r="K576" i="11"/>
  <c r="L576" i="11"/>
  <c r="M576" i="11"/>
  <c r="K577" i="11"/>
  <c r="L577" i="11"/>
  <c r="M577" i="11"/>
  <c r="K578" i="11"/>
  <c r="L578" i="11"/>
  <c r="M578" i="11"/>
  <c r="K579" i="11"/>
  <c r="L579" i="11"/>
  <c r="M579" i="11"/>
  <c r="K580" i="11"/>
  <c r="L580" i="11"/>
  <c r="M580" i="11"/>
  <c r="K581" i="11"/>
  <c r="L581" i="11"/>
  <c r="M581" i="11"/>
  <c r="K582" i="11"/>
  <c r="L582" i="11"/>
  <c r="M582" i="11"/>
  <c r="K583" i="11"/>
  <c r="L583" i="11"/>
  <c r="M583" i="11"/>
  <c r="K584" i="11"/>
  <c r="L584" i="11"/>
  <c r="M584" i="11"/>
  <c r="K585" i="11"/>
  <c r="L585" i="11"/>
  <c r="M585" i="11"/>
  <c r="K586" i="11"/>
  <c r="L586" i="11"/>
  <c r="M586" i="11"/>
  <c r="K587" i="11"/>
  <c r="L587" i="11"/>
  <c r="M587" i="11"/>
  <c r="K588" i="11"/>
  <c r="L588" i="11"/>
  <c r="M588" i="11"/>
  <c r="K589" i="11"/>
  <c r="L589" i="11"/>
  <c r="M589" i="11"/>
  <c r="K590" i="11"/>
  <c r="L590" i="11"/>
  <c r="M590" i="11"/>
  <c r="K591" i="11"/>
  <c r="L591" i="11"/>
  <c r="M591" i="11"/>
  <c r="K592" i="11"/>
  <c r="L592" i="11"/>
  <c r="M592" i="11"/>
  <c r="K593" i="11"/>
  <c r="L593" i="11"/>
  <c r="M593" i="11"/>
  <c r="K594" i="11"/>
  <c r="L594" i="11"/>
  <c r="M594" i="11"/>
  <c r="K595" i="11"/>
  <c r="L595" i="11"/>
  <c r="M595" i="11"/>
  <c r="K596" i="11"/>
  <c r="L596" i="11"/>
  <c r="M596" i="11"/>
  <c r="K597" i="11"/>
  <c r="L597" i="11"/>
  <c r="M597" i="11"/>
  <c r="K598" i="11"/>
  <c r="L598" i="11"/>
  <c r="M598" i="11"/>
  <c r="K599" i="11"/>
  <c r="L599" i="11"/>
  <c r="M599" i="11"/>
  <c r="K600" i="11"/>
  <c r="L600" i="11"/>
  <c r="M600" i="11"/>
  <c r="K601" i="11"/>
  <c r="L601" i="11"/>
  <c r="M601" i="11"/>
  <c r="K602" i="11"/>
  <c r="L602" i="11"/>
  <c r="M602" i="11"/>
  <c r="K603" i="11"/>
  <c r="L603" i="11"/>
  <c r="M603" i="11"/>
  <c r="K604" i="11"/>
  <c r="L604" i="11"/>
  <c r="M604" i="11"/>
  <c r="K605" i="11"/>
  <c r="L605" i="11"/>
  <c r="M605" i="11"/>
  <c r="K606" i="11"/>
  <c r="L606" i="11"/>
  <c r="M606" i="11"/>
  <c r="K607" i="11"/>
  <c r="L607" i="11"/>
  <c r="M607" i="11"/>
  <c r="K608" i="11"/>
  <c r="L608" i="11"/>
  <c r="M608" i="11"/>
  <c r="K609" i="11"/>
  <c r="L609" i="11"/>
  <c r="M609" i="11"/>
  <c r="K610" i="11"/>
  <c r="L610" i="11"/>
  <c r="M610" i="11"/>
  <c r="K611" i="11"/>
  <c r="L611" i="11"/>
  <c r="M611" i="11"/>
  <c r="K612" i="11"/>
  <c r="L612" i="11"/>
  <c r="M612" i="11"/>
  <c r="K613" i="11"/>
  <c r="L613" i="11"/>
  <c r="M613" i="11"/>
  <c r="K614" i="11"/>
  <c r="L614" i="11"/>
  <c r="M614" i="11"/>
  <c r="K615" i="11"/>
  <c r="L615" i="11"/>
  <c r="M615" i="11"/>
  <c r="K616" i="11"/>
  <c r="L616" i="11"/>
  <c r="M616" i="11"/>
  <c r="K617" i="11"/>
  <c r="L617" i="11"/>
  <c r="M617" i="11"/>
  <c r="K618" i="11"/>
  <c r="L618" i="11"/>
  <c r="M618" i="11"/>
  <c r="K619" i="11"/>
  <c r="L619" i="11"/>
  <c r="M619" i="11"/>
  <c r="K620" i="11"/>
  <c r="L620" i="11"/>
  <c r="M620" i="11"/>
  <c r="K621" i="11"/>
  <c r="L621" i="11"/>
  <c r="M621" i="11"/>
  <c r="K622" i="11"/>
  <c r="L622" i="11"/>
  <c r="M622" i="11"/>
  <c r="K623" i="11"/>
  <c r="L623" i="11"/>
  <c r="M623" i="11"/>
  <c r="K624" i="11"/>
  <c r="L624" i="11"/>
  <c r="M624" i="11"/>
  <c r="K625" i="11"/>
  <c r="L625" i="11"/>
  <c r="M625" i="11"/>
  <c r="K626" i="11"/>
  <c r="L626" i="11"/>
  <c r="M626" i="11"/>
  <c r="K627" i="11"/>
  <c r="L627" i="11"/>
  <c r="M627" i="11"/>
  <c r="K628" i="11"/>
  <c r="L628" i="11"/>
  <c r="M628" i="11"/>
  <c r="K629" i="11"/>
  <c r="L629" i="11"/>
  <c r="M629" i="11"/>
  <c r="K630" i="11"/>
  <c r="L630" i="11"/>
  <c r="M630" i="11"/>
  <c r="K631" i="11"/>
  <c r="L631" i="11"/>
  <c r="M631" i="11"/>
  <c r="K632" i="11"/>
  <c r="L632" i="11"/>
  <c r="M632" i="11"/>
  <c r="K633" i="11"/>
  <c r="L633" i="11"/>
  <c r="M633" i="11"/>
  <c r="K634" i="11"/>
  <c r="L634" i="11"/>
  <c r="M634" i="11"/>
  <c r="K635" i="11"/>
  <c r="L635" i="11"/>
  <c r="M635" i="11"/>
  <c r="K636" i="11"/>
  <c r="L636" i="11"/>
  <c r="M636" i="11"/>
  <c r="K637" i="11"/>
  <c r="L637" i="11"/>
  <c r="M637" i="11"/>
  <c r="K638" i="11"/>
  <c r="L638" i="11"/>
  <c r="M638" i="11"/>
  <c r="K639" i="11"/>
  <c r="L639" i="11"/>
  <c r="M639" i="11"/>
  <c r="K640" i="11"/>
  <c r="L640" i="11"/>
  <c r="M640" i="11"/>
  <c r="K641" i="11"/>
  <c r="L641" i="11"/>
  <c r="M641" i="11"/>
  <c r="K642" i="11"/>
  <c r="L642" i="11"/>
  <c r="M642" i="11"/>
  <c r="K643" i="11"/>
  <c r="L643" i="11"/>
  <c r="M643" i="11"/>
  <c r="K644" i="11"/>
  <c r="L644" i="11"/>
  <c r="M644" i="11"/>
  <c r="K645" i="11"/>
  <c r="L645" i="11"/>
  <c r="M645" i="11"/>
  <c r="K646" i="11"/>
  <c r="L646" i="11"/>
  <c r="M646" i="11"/>
  <c r="K647" i="11"/>
  <c r="L647" i="11"/>
  <c r="M647" i="11"/>
  <c r="K648" i="11"/>
  <c r="L648" i="11"/>
  <c r="M648" i="11"/>
  <c r="K649" i="11"/>
  <c r="L649" i="11"/>
  <c r="M649" i="11"/>
  <c r="K650" i="11"/>
  <c r="L650" i="11"/>
  <c r="M650" i="11"/>
  <c r="K651" i="11"/>
  <c r="L651" i="11"/>
  <c r="M651" i="11"/>
  <c r="K652" i="11"/>
  <c r="L652" i="11"/>
  <c r="M652" i="11"/>
  <c r="K653" i="11"/>
  <c r="L653" i="11"/>
  <c r="M653" i="11"/>
  <c r="K654" i="11"/>
  <c r="L654" i="11"/>
  <c r="M654" i="11"/>
  <c r="K655" i="11"/>
  <c r="L655" i="11"/>
  <c r="M655" i="11"/>
  <c r="K656" i="11"/>
  <c r="L656" i="11"/>
  <c r="M656" i="11"/>
  <c r="K657" i="11"/>
  <c r="L657" i="11"/>
  <c r="M657" i="11"/>
  <c r="K658" i="11"/>
  <c r="L658" i="11"/>
  <c r="M658" i="11"/>
  <c r="K659" i="11"/>
  <c r="L659" i="11"/>
  <c r="M659" i="11"/>
  <c r="K660" i="11"/>
  <c r="L660" i="11"/>
  <c r="M660" i="11"/>
  <c r="K661" i="11"/>
  <c r="L661" i="11"/>
  <c r="M661" i="11"/>
  <c r="K662" i="11"/>
  <c r="L662" i="11"/>
  <c r="M662" i="11"/>
  <c r="K663" i="11"/>
  <c r="L663" i="11"/>
  <c r="M663" i="11"/>
  <c r="K664" i="11"/>
  <c r="L664" i="11"/>
  <c r="M664" i="11"/>
  <c r="K665" i="11"/>
  <c r="L665" i="11"/>
  <c r="M665" i="11"/>
  <c r="K666" i="11"/>
  <c r="L666" i="11"/>
  <c r="M666" i="11"/>
  <c r="K667" i="11"/>
  <c r="L667" i="11"/>
  <c r="M667" i="11"/>
  <c r="K668" i="11"/>
  <c r="L668" i="11"/>
  <c r="M668" i="11"/>
  <c r="K669" i="11"/>
  <c r="L669" i="11"/>
  <c r="M669" i="11"/>
  <c r="K670" i="11"/>
  <c r="L670" i="11"/>
  <c r="M670" i="11"/>
  <c r="K671" i="11"/>
  <c r="L671" i="11"/>
  <c r="M671" i="11"/>
  <c r="K672" i="11"/>
  <c r="L672" i="11"/>
  <c r="M672" i="11"/>
  <c r="K673" i="11"/>
  <c r="L673" i="11"/>
  <c r="M673" i="11"/>
  <c r="K674" i="11"/>
  <c r="L674" i="11"/>
  <c r="M674" i="11"/>
  <c r="K675" i="11"/>
  <c r="L675" i="11"/>
  <c r="M675" i="11"/>
  <c r="K676" i="11"/>
  <c r="L676" i="11"/>
  <c r="M676" i="11"/>
  <c r="K677" i="11"/>
  <c r="L677" i="11"/>
  <c r="M677" i="11"/>
  <c r="K678" i="11"/>
  <c r="L678" i="11"/>
  <c r="M678" i="11"/>
  <c r="K679" i="11"/>
  <c r="L679" i="11"/>
  <c r="M679" i="11"/>
  <c r="K680" i="11"/>
  <c r="L680" i="11"/>
  <c r="M680" i="11"/>
  <c r="K681" i="11"/>
  <c r="L681" i="11"/>
  <c r="M681" i="11"/>
  <c r="K682" i="11"/>
  <c r="L682" i="11"/>
  <c r="M682" i="11"/>
  <c r="K683" i="11"/>
  <c r="L683" i="11"/>
  <c r="M683" i="11"/>
  <c r="K684" i="11"/>
  <c r="L684" i="11"/>
  <c r="M684" i="11"/>
  <c r="K685" i="11"/>
  <c r="L685" i="11"/>
  <c r="M685" i="11"/>
  <c r="K686" i="11"/>
  <c r="L686" i="11"/>
  <c r="M686" i="11"/>
  <c r="K687" i="11"/>
  <c r="L687" i="11"/>
  <c r="M687" i="11"/>
  <c r="K688" i="11"/>
  <c r="L688" i="11"/>
  <c r="M688" i="11"/>
  <c r="K689" i="11"/>
  <c r="L689" i="11"/>
  <c r="M689" i="11"/>
  <c r="K690" i="11"/>
  <c r="L690" i="11"/>
  <c r="M690" i="11"/>
  <c r="K691" i="11"/>
  <c r="L691" i="11"/>
  <c r="M691" i="11"/>
  <c r="K692" i="11"/>
  <c r="L692" i="11"/>
  <c r="M692" i="11"/>
  <c r="K693" i="11"/>
  <c r="L693" i="11"/>
  <c r="M693" i="11"/>
  <c r="K694" i="11"/>
  <c r="L694" i="11"/>
  <c r="M694" i="11"/>
  <c r="K695" i="11"/>
  <c r="L695" i="11"/>
  <c r="M695" i="11"/>
  <c r="K696" i="11"/>
  <c r="L696" i="11"/>
  <c r="M696" i="11"/>
  <c r="K697" i="11"/>
  <c r="L697" i="11"/>
  <c r="M697" i="11"/>
  <c r="K698" i="11"/>
  <c r="L698" i="11"/>
  <c r="M698" i="11"/>
  <c r="K699" i="11"/>
  <c r="L699" i="11"/>
  <c r="M699" i="11"/>
  <c r="K700" i="11"/>
  <c r="L700" i="11"/>
  <c r="M700" i="11"/>
  <c r="K701" i="11"/>
  <c r="L701" i="11"/>
  <c r="M701" i="11"/>
  <c r="K702" i="11"/>
  <c r="L702" i="11"/>
  <c r="M702" i="11"/>
  <c r="K703" i="11"/>
  <c r="L703" i="11"/>
  <c r="M703" i="11"/>
  <c r="K704" i="11"/>
  <c r="L704" i="11"/>
  <c r="M704" i="11"/>
  <c r="K705" i="11"/>
  <c r="L705" i="11"/>
  <c r="M705" i="11"/>
  <c r="K706" i="11"/>
  <c r="L706" i="11"/>
  <c r="M706" i="11"/>
  <c r="K707" i="11"/>
  <c r="L707" i="11"/>
  <c r="M707" i="11"/>
  <c r="K708" i="11"/>
  <c r="L708" i="11"/>
  <c r="M708" i="11"/>
  <c r="K709" i="11"/>
  <c r="L709" i="11"/>
  <c r="M709" i="11"/>
  <c r="K710" i="11"/>
  <c r="L710" i="11"/>
  <c r="M710" i="11"/>
  <c r="K711" i="11"/>
  <c r="L711" i="11"/>
  <c r="M711" i="11"/>
  <c r="K712" i="11"/>
  <c r="L712" i="11"/>
  <c r="M712" i="11"/>
  <c r="K713" i="11"/>
  <c r="L713" i="11"/>
  <c r="M713" i="11"/>
  <c r="K714" i="11"/>
  <c r="L714" i="11"/>
  <c r="M714" i="11"/>
  <c r="K715" i="11"/>
  <c r="L715" i="11"/>
  <c r="M715" i="11"/>
  <c r="K716" i="11"/>
  <c r="L716" i="11"/>
  <c r="M716" i="11"/>
  <c r="K717" i="11"/>
  <c r="L717" i="11"/>
  <c r="M717" i="11"/>
  <c r="K718" i="11"/>
  <c r="L718" i="11"/>
  <c r="M718" i="11"/>
  <c r="K719" i="11"/>
  <c r="L719" i="11"/>
  <c r="M719" i="11"/>
  <c r="K720" i="11"/>
  <c r="L720" i="11"/>
  <c r="M720" i="11"/>
  <c r="K721" i="11"/>
  <c r="L721" i="11"/>
  <c r="M721" i="11"/>
  <c r="K722" i="11"/>
  <c r="L722" i="11"/>
  <c r="M722" i="11"/>
  <c r="K723" i="11"/>
  <c r="L723" i="11"/>
  <c r="M723" i="11"/>
  <c r="K724" i="11"/>
  <c r="L724" i="11"/>
  <c r="M724" i="11"/>
  <c r="K725" i="11"/>
  <c r="L725" i="11"/>
  <c r="M725" i="11"/>
  <c r="K726" i="11"/>
  <c r="L726" i="11"/>
  <c r="M726" i="11"/>
  <c r="K727" i="11"/>
  <c r="L727" i="11"/>
  <c r="M727" i="11"/>
  <c r="K728" i="11"/>
  <c r="L728" i="11"/>
  <c r="M728" i="11"/>
  <c r="K729" i="11"/>
  <c r="L729" i="11"/>
  <c r="M729" i="11"/>
  <c r="K730" i="11"/>
  <c r="L730" i="11"/>
  <c r="M730" i="11"/>
  <c r="S6" i="11"/>
  <c r="S2" i="11"/>
  <c r="S4" i="11" s="1"/>
  <c r="M2" i="11"/>
  <c r="L2" i="11"/>
  <c r="K2" i="11"/>
  <c r="K3" i="10"/>
  <c r="L3" i="10"/>
  <c r="M3" i="10"/>
  <c r="K4" i="10"/>
  <c r="L4" i="10"/>
  <c r="M4" i="10"/>
  <c r="K5" i="10"/>
  <c r="L5" i="10"/>
  <c r="M5" i="10"/>
  <c r="K6" i="10"/>
  <c r="L6" i="10"/>
  <c r="M6" i="10"/>
  <c r="K7" i="10"/>
  <c r="L7" i="10"/>
  <c r="M7" i="10"/>
  <c r="K8" i="10"/>
  <c r="L8" i="10"/>
  <c r="M8" i="10"/>
  <c r="K9" i="10"/>
  <c r="L9" i="10"/>
  <c r="M9" i="10"/>
  <c r="K10" i="10"/>
  <c r="L10" i="10"/>
  <c r="M10" i="10"/>
  <c r="K11" i="10"/>
  <c r="L11" i="10"/>
  <c r="M11" i="10"/>
  <c r="K12" i="10"/>
  <c r="L12" i="10"/>
  <c r="M12" i="10"/>
  <c r="K13" i="10"/>
  <c r="L13" i="10"/>
  <c r="M13" i="10"/>
  <c r="K14" i="10"/>
  <c r="L14" i="10"/>
  <c r="M14" i="10"/>
  <c r="K15" i="10"/>
  <c r="L15" i="10"/>
  <c r="M15" i="10"/>
  <c r="K16" i="10"/>
  <c r="L16" i="10"/>
  <c r="M16" i="10"/>
  <c r="K17" i="10"/>
  <c r="L17" i="10"/>
  <c r="M17" i="10"/>
  <c r="K18" i="10"/>
  <c r="L18" i="10"/>
  <c r="M18" i="10"/>
  <c r="K19" i="10"/>
  <c r="L19" i="10"/>
  <c r="M19" i="10"/>
  <c r="K20" i="10"/>
  <c r="L20" i="10"/>
  <c r="M20" i="10"/>
  <c r="K21" i="10"/>
  <c r="L21" i="10"/>
  <c r="M21" i="10"/>
  <c r="K22" i="10"/>
  <c r="L22" i="10"/>
  <c r="M22" i="10"/>
  <c r="K23" i="10"/>
  <c r="L23" i="10"/>
  <c r="M23" i="10"/>
  <c r="K24" i="10"/>
  <c r="L24" i="10"/>
  <c r="M24" i="10"/>
  <c r="K25" i="10"/>
  <c r="L25" i="10"/>
  <c r="M25" i="10"/>
  <c r="K26" i="10"/>
  <c r="L26" i="10"/>
  <c r="M26" i="10"/>
  <c r="K27" i="10"/>
  <c r="L27" i="10"/>
  <c r="M27" i="10"/>
  <c r="K28" i="10"/>
  <c r="L28" i="10"/>
  <c r="M28" i="10"/>
  <c r="K29" i="10"/>
  <c r="L29" i="10"/>
  <c r="M29" i="10"/>
  <c r="K30" i="10"/>
  <c r="L30" i="10"/>
  <c r="M30" i="10"/>
  <c r="K31" i="10"/>
  <c r="L31" i="10"/>
  <c r="M31" i="10"/>
  <c r="K32" i="10"/>
  <c r="L32" i="10"/>
  <c r="M32" i="10"/>
  <c r="K33" i="10"/>
  <c r="L33" i="10"/>
  <c r="M33" i="10"/>
  <c r="K34" i="10"/>
  <c r="L34" i="10"/>
  <c r="M34" i="10"/>
  <c r="K35" i="10"/>
  <c r="L35" i="10"/>
  <c r="M35" i="10"/>
  <c r="K36" i="10"/>
  <c r="L36" i="10"/>
  <c r="M36" i="10"/>
  <c r="K37" i="10"/>
  <c r="L37" i="10"/>
  <c r="M37" i="10"/>
  <c r="K38" i="10"/>
  <c r="L38" i="10"/>
  <c r="M38" i="10"/>
  <c r="K39" i="10"/>
  <c r="L39" i="10"/>
  <c r="M39" i="10"/>
  <c r="K40" i="10"/>
  <c r="L40" i="10"/>
  <c r="M40" i="10"/>
  <c r="K41" i="10"/>
  <c r="L41" i="10"/>
  <c r="M41" i="10"/>
  <c r="K42" i="10"/>
  <c r="L42" i="10"/>
  <c r="M42" i="10"/>
  <c r="K43" i="10"/>
  <c r="L43" i="10"/>
  <c r="M43" i="10"/>
  <c r="K44" i="10"/>
  <c r="L44" i="10"/>
  <c r="M44" i="10"/>
  <c r="K45" i="10"/>
  <c r="L45" i="10"/>
  <c r="M45" i="10"/>
  <c r="K46" i="10"/>
  <c r="L46" i="10"/>
  <c r="M46" i="10"/>
  <c r="K47" i="10"/>
  <c r="L47" i="10"/>
  <c r="M47" i="10"/>
  <c r="K48" i="10"/>
  <c r="L48" i="10"/>
  <c r="M48" i="10"/>
  <c r="K49" i="10"/>
  <c r="L49" i="10"/>
  <c r="M49" i="10"/>
  <c r="K50" i="10"/>
  <c r="L50" i="10"/>
  <c r="M50" i="10"/>
  <c r="K51" i="10"/>
  <c r="L51" i="10"/>
  <c r="M51" i="10"/>
  <c r="K52" i="10"/>
  <c r="L52" i="10"/>
  <c r="M52" i="10"/>
  <c r="K53" i="10"/>
  <c r="L53" i="10"/>
  <c r="M53" i="10"/>
  <c r="K54" i="10"/>
  <c r="L54" i="10"/>
  <c r="M54" i="10"/>
  <c r="K55" i="10"/>
  <c r="L55" i="10"/>
  <c r="M55" i="10"/>
  <c r="K56" i="10"/>
  <c r="L56" i="10"/>
  <c r="M56" i="10"/>
  <c r="K57" i="10"/>
  <c r="L57" i="10"/>
  <c r="M57" i="10"/>
  <c r="K58" i="10"/>
  <c r="L58" i="10"/>
  <c r="M58" i="10"/>
  <c r="K59" i="10"/>
  <c r="L59" i="10"/>
  <c r="M59" i="10"/>
  <c r="K60" i="10"/>
  <c r="L60" i="10"/>
  <c r="M60" i="10"/>
  <c r="K61" i="10"/>
  <c r="L61" i="10"/>
  <c r="M61" i="10"/>
  <c r="K62" i="10"/>
  <c r="L62" i="10"/>
  <c r="M62" i="10"/>
  <c r="K63" i="10"/>
  <c r="L63" i="10"/>
  <c r="M63" i="10"/>
  <c r="K64" i="10"/>
  <c r="L64" i="10"/>
  <c r="M64" i="10"/>
  <c r="K65" i="10"/>
  <c r="L65" i="10"/>
  <c r="M65" i="10"/>
  <c r="K66" i="10"/>
  <c r="L66" i="10"/>
  <c r="M66" i="10"/>
  <c r="K67" i="10"/>
  <c r="L67" i="10"/>
  <c r="M67" i="10"/>
  <c r="K68" i="10"/>
  <c r="L68" i="10"/>
  <c r="M68" i="10"/>
  <c r="K69" i="10"/>
  <c r="L69" i="10"/>
  <c r="M69" i="10"/>
  <c r="K70" i="10"/>
  <c r="L70" i="10"/>
  <c r="M70" i="10"/>
  <c r="K71" i="10"/>
  <c r="L71" i="10"/>
  <c r="M71" i="10"/>
  <c r="K72" i="10"/>
  <c r="L72" i="10"/>
  <c r="M72" i="10"/>
  <c r="K73" i="10"/>
  <c r="L73" i="10"/>
  <c r="M73" i="10"/>
  <c r="K74" i="10"/>
  <c r="L74" i="10"/>
  <c r="M74" i="10"/>
  <c r="K75" i="10"/>
  <c r="L75" i="10"/>
  <c r="M75" i="10"/>
  <c r="K76" i="10"/>
  <c r="L76" i="10"/>
  <c r="M76" i="10"/>
  <c r="K77" i="10"/>
  <c r="L77" i="10"/>
  <c r="M77" i="10"/>
  <c r="K78" i="10"/>
  <c r="L78" i="10"/>
  <c r="M78" i="10"/>
  <c r="K79" i="10"/>
  <c r="L79" i="10"/>
  <c r="M79" i="10"/>
  <c r="K80" i="10"/>
  <c r="L80" i="10"/>
  <c r="M80" i="10"/>
  <c r="K81" i="10"/>
  <c r="L81" i="10"/>
  <c r="M81" i="10"/>
  <c r="K82" i="10"/>
  <c r="L82" i="10"/>
  <c r="M82" i="10"/>
  <c r="K83" i="10"/>
  <c r="L83" i="10"/>
  <c r="M83" i="10"/>
  <c r="K84" i="10"/>
  <c r="L84" i="10"/>
  <c r="M84" i="10"/>
  <c r="K85" i="10"/>
  <c r="L85" i="10"/>
  <c r="M85" i="10"/>
  <c r="K86" i="10"/>
  <c r="L86" i="10"/>
  <c r="M86" i="10"/>
  <c r="K87" i="10"/>
  <c r="L87" i="10"/>
  <c r="M87" i="10"/>
  <c r="K88" i="10"/>
  <c r="L88" i="10"/>
  <c r="M88" i="10"/>
  <c r="K89" i="10"/>
  <c r="L89" i="10"/>
  <c r="M89" i="10"/>
  <c r="K90" i="10"/>
  <c r="L90" i="10"/>
  <c r="M90" i="10"/>
  <c r="K91" i="10"/>
  <c r="L91" i="10"/>
  <c r="M91" i="10"/>
  <c r="K92" i="10"/>
  <c r="L92" i="10"/>
  <c r="M92" i="10"/>
  <c r="K93" i="10"/>
  <c r="L93" i="10"/>
  <c r="M93" i="10"/>
  <c r="K94" i="10"/>
  <c r="L94" i="10"/>
  <c r="M94" i="10"/>
  <c r="K95" i="10"/>
  <c r="L95" i="10"/>
  <c r="M95" i="10"/>
  <c r="K96" i="10"/>
  <c r="L96" i="10"/>
  <c r="M96" i="10"/>
  <c r="K97" i="10"/>
  <c r="L97" i="10"/>
  <c r="M97" i="10"/>
  <c r="K98" i="10"/>
  <c r="L98" i="10"/>
  <c r="M98" i="10"/>
  <c r="K99" i="10"/>
  <c r="L99" i="10"/>
  <c r="M99" i="10"/>
  <c r="K100" i="10"/>
  <c r="L100" i="10"/>
  <c r="M100" i="10"/>
  <c r="K101" i="10"/>
  <c r="L101" i="10"/>
  <c r="M101" i="10"/>
  <c r="K102" i="10"/>
  <c r="L102" i="10"/>
  <c r="M102" i="10"/>
  <c r="K103" i="10"/>
  <c r="L103" i="10"/>
  <c r="M103" i="10"/>
  <c r="K104" i="10"/>
  <c r="L104" i="10"/>
  <c r="M104" i="10"/>
  <c r="K105" i="10"/>
  <c r="L105" i="10"/>
  <c r="M105" i="10"/>
  <c r="K106" i="10"/>
  <c r="L106" i="10"/>
  <c r="M106" i="10"/>
  <c r="K107" i="10"/>
  <c r="L107" i="10"/>
  <c r="M107" i="10"/>
  <c r="K108" i="10"/>
  <c r="L108" i="10"/>
  <c r="M108" i="10"/>
  <c r="K109" i="10"/>
  <c r="L109" i="10"/>
  <c r="M109" i="10"/>
  <c r="K110" i="10"/>
  <c r="L110" i="10"/>
  <c r="M110" i="10"/>
  <c r="K111" i="10"/>
  <c r="L111" i="10"/>
  <c r="M111" i="10"/>
  <c r="K112" i="10"/>
  <c r="L112" i="10"/>
  <c r="M112" i="10"/>
  <c r="K113" i="10"/>
  <c r="L113" i="10"/>
  <c r="M113" i="10"/>
  <c r="K114" i="10"/>
  <c r="L114" i="10"/>
  <c r="M114" i="10"/>
  <c r="K115" i="10"/>
  <c r="L115" i="10"/>
  <c r="M115" i="10"/>
  <c r="K116" i="10"/>
  <c r="L116" i="10"/>
  <c r="M116" i="10"/>
  <c r="K117" i="10"/>
  <c r="L117" i="10"/>
  <c r="M117" i="10"/>
  <c r="K118" i="10"/>
  <c r="L118" i="10"/>
  <c r="M118" i="10"/>
  <c r="K119" i="10"/>
  <c r="L119" i="10"/>
  <c r="M119" i="10"/>
  <c r="K120" i="10"/>
  <c r="L120" i="10"/>
  <c r="M120" i="10"/>
  <c r="K121" i="10"/>
  <c r="L121" i="10"/>
  <c r="M121" i="10"/>
  <c r="K122" i="10"/>
  <c r="L122" i="10"/>
  <c r="M122" i="10"/>
  <c r="K123" i="10"/>
  <c r="L123" i="10"/>
  <c r="M123" i="10"/>
  <c r="K124" i="10"/>
  <c r="L124" i="10"/>
  <c r="M124" i="10"/>
  <c r="K125" i="10"/>
  <c r="L125" i="10"/>
  <c r="M125" i="10"/>
  <c r="K126" i="10"/>
  <c r="L126" i="10"/>
  <c r="M126" i="10"/>
  <c r="K127" i="10"/>
  <c r="L127" i="10"/>
  <c r="M127" i="10"/>
  <c r="K128" i="10"/>
  <c r="L128" i="10"/>
  <c r="M128" i="10"/>
  <c r="K129" i="10"/>
  <c r="L129" i="10"/>
  <c r="M129" i="10"/>
  <c r="K130" i="10"/>
  <c r="L130" i="10"/>
  <c r="M130" i="10"/>
  <c r="K131" i="10"/>
  <c r="L131" i="10"/>
  <c r="M131" i="10"/>
  <c r="K132" i="10"/>
  <c r="L132" i="10"/>
  <c r="M132" i="10"/>
  <c r="K133" i="10"/>
  <c r="L133" i="10"/>
  <c r="M133" i="10"/>
  <c r="K134" i="10"/>
  <c r="L134" i="10"/>
  <c r="M134" i="10"/>
  <c r="K135" i="10"/>
  <c r="L135" i="10"/>
  <c r="M135" i="10"/>
  <c r="K136" i="10"/>
  <c r="L136" i="10"/>
  <c r="M136" i="10"/>
  <c r="K137" i="10"/>
  <c r="L137" i="10"/>
  <c r="M137" i="10"/>
  <c r="K138" i="10"/>
  <c r="L138" i="10"/>
  <c r="M138" i="10"/>
  <c r="K139" i="10"/>
  <c r="L139" i="10"/>
  <c r="M139" i="10"/>
  <c r="K140" i="10"/>
  <c r="L140" i="10"/>
  <c r="M140" i="10"/>
  <c r="K141" i="10"/>
  <c r="L141" i="10"/>
  <c r="M141" i="10"/>
  <c r="K142" i="10"/>
  <c r="L142" i="10"/>
  <c r="M142" i="10"/>
  <c r="K143" i="10"/>
  <c r="L143" i="10"/>
  <c r="M143" i="10"/>
  <c r="K144" i="10"/>
  <c r="L144" i="10"/>
  <c r="M144" i="10"/>
  <c r="K145" i="10"/>
  <c r="L145" i="10"/>
  <c r="M145" i="10"/>
  <c r="K146" i="10"/>
  <c r="L146" i="10"/>
  <c r="M146" i="10"/>
  <c r="K147" i="10"/>
  <c r="L147" i="10"/>
  <c r="M147" i="10"/>
  <c r="K148" i="10"/>
  <c r="L148" i="10"/>
  <c r="M148" i="10"/>
  <c r="K149" i="10"/>
  <c r="L149" i="10"/>
  <c r="M149" i="10"/>
  <c r="K150" i="10"/>
  <c r="L150" i="10"/>
  <c r="M150" i="10"/>
  <c r="K151" i="10"/>
  <c r="L151" i="10"/>
  <c r="M151" i="10"/>
  <c r="K152" i="10"/>
  <c r="L152" i="10"/>
  <c r="M152" i="10"/>
  <c r="K153" i="10"/>
  <c r="L153" i="10"/>
  <c r="M153" i="10"/>
  <c r="K154" i="10"/>
  <c r="L154" i="10"/>
  <c r="M154" i="10"/>
  <c r="K155" i="10"/>
  <c r="L155" i="10"/>
  <c r="M155" i="10"/>
  <c r="K156" i="10"/>
  <c r="L156" i="10"/>
  <c r="M156" i="10"/>
  <c r="K157" i="10"/>
  <c r="L157" i="10"/>
  <c r="M157" i="10"/>
  <c r="K158" i="10"/>
  <c r="L158" i="10"/>
  <c r="M158" i="10"/>
  <c r="K159" i="10"/>
  <c r="L159" i="10"/>
  <c r="M159" i="10"/>
  <c r="K160" i="10"/>
  <c r="L160" i="10"/>
  <c r="M160" i="10"/>
  <c r="K161" i="10"/>
  <c r="L161" i="10"/>
  <c r="M161" i="10"/>
  <c r="K162" i="10"/>
  <c r="L162" i="10"/>
  <c r="M162" i="10"/>
  <c r="K163" i="10"/>
  <c r="L163" i="10"/>
  <c r="M163" i="10"/>
  <c r="K164" i="10"/>
  <c r="L164" i="10"/>
  <c r="M164" i="10"/>
  <c r="K165" i="10"/>
  <c r="L165" i="10"/>
  <c r="M165" i="10"/>
  <c r="K166" i="10"/>
  <c r="L166" i="10"/>
  <c r="M166" i="10"/>
  <c r="K167" i="10"/>
  <c r="L167" i="10"/>
  <c r="M167" i="10"/>
  <c r="K168" i="10"/>
  <c r="L168" i="10"/>
  <c r="M168" i="10"/>
  <c r="K169" i="10"/>
  <c r="L169" i="10"/>
  <c r="M169" i="10"/>
  <c r="K170" i="10"/>
  <c r="L170" i="10"/>
  <c r="M170" i="10"/>
  <c r="K171" i="10"/>
  <c r="L171" i="10"/>
  <c r="M171" i="10"/>
  <c r="K172" i="10"/>
  <c r="L172" i="10"/>
  <c r="M172" i="10"/>
  <c r="K173" i="10"/>
  <c r="L173" i="10"/>
  <c r="M173" i="10"/>
  <c r="K174" i="10"/>
  <c r="L174" i="10"/>
  <c r="M174" i="10"/>
  <c r="K175" i="10"/>
  <c r="L175" i="10"/>
  <c r="M175" i="10"/>
  <c r="K176" i="10"/>
  <c r="L176" i="10"/>
  <c r="M176" i="10"/>
  <c r="K177" i="10"/>
  <c r="L177" i="10"/>
  <c r="M177" i="10"/>
  <c r="K178" i="10"/>
  <c r="L178" i="10"/>
  <c r="M178" i="10"/>
  <c r="K179" i="10"/>
  <c r="L179" i="10"/>
  <c r="M179" i="10"/>
  <c r="K180" i="10"/>
  <c r="L180" i="10"/>
  <c r="M180" i="10"/>
  <c r="K181" i="10"/>
  <c r="L181" i="10"/>
  <c r="M181" i="10"/>
  <c r="K182" i="10"/>
  <c r="L182" i="10"/>
  <c r="M182" i="10"/>
  <c r="K183" i="10"/>
  <c r="L183" i="10"/>
  <c r="M183" i="10"/>
  <c r="K184" i="10"/>
  <c r="L184" i="10"/>
  <c r="M184" i="10"/>
  <c r="K185" i="10"/>
  <c r="L185" i="10"/>
  <c r="M185" i="10"/>
  <c r="K186" i="10"/>
  <c r="L186" i="10"/>
  <c r="M186" i="10"/>
  <c r="K187" i="10"/>
  <c r="L187" i="10"/>
  <c r="M187" i="10"/>
  <c r="K188" i="10"/>
  <c r="L188" i="10"/>
  <c r="M188" i="10"/>
  <c r="K189" i="10"/>
  <c r="L189" i="10"/>
  <c r="M189" i="10"/>
  <c r="K190" i="10"/>
  <c r="L190" i="10"/>
  <c r="M190" i="10"/>
  <c r="K191" i="10"/>
  <c r="L191" i="10"/>
  <c r="M191" i="10"/>
  <c r="K192" i="10"/>
  <c r="L192" i="10"/>
  <c r="M192" i="10"/>
  <c r="K193" i="10"/>
  <c r="L193" i="10"/>
  <c r="M193" i="10"/>
  <c r="K194" i="10"/>
  <c r="L194" i="10"/>
  <c r="M194" i="10"/>
  <c r="K195" i="10"/>
  <c r="L195" i="10"/>
  <c r="M195" i="10"/>
  <c r="K196" i="10"/>
  <c r="L196" i="10"/>
  <c r="M196" i="10"/>
  <c r="K197" i="10"/>
  <c r="L197" i="10"/>
  <c r="M197" i="10"/>
  <c r="K198" i="10"/>
  <c r="L198" i="10"/>
  <c r="M198" i="10"/>
  <c r="K199" i="10"/>
  <c r="L199" i="10"/>
  <c r="M199" i="10"/>
  <c r="K200" i="10"/>
  <c r="L200" i="10"/>
  <c r="M200" i="10"/>
  <c r="K201" i="10"/>
  <c r="L201" i="10"/>
  <c r="M201" i="10"/>
  <c r="K202" i="10"/>
  <c r="L202" i="10"/>
  <c r="M202" i="10"/>
  <c r="K203" i="10"/>
  <c r="L203" i="10"/>
  <c r="M203" i="10"/>
  <c r="K204" i="10"/>
  <c r="L204" i="10"/>
  <c r="M204" i="10"/>
  <c r="K205" i="10"/>
  <c r="L205" i="10"/>
  <c r="M205" i="10"/>
  <c r="K206" i="10"/>
  <c r="L206" i="10"/>
  <c r="M206" i="10"/>
  <c r="K207" i="10"/>
  <c r="L207" i="10"/>
  <c r="M207" i="10"/>
  <c r="K208" i="10"/>
  <c r="L208" i="10"/>
  <c r="M208" i="10"/>
  <c r="K209" i="10"/>
  <c r="L209" i="10"/>
  <c r="M209" i="10"/>
  <c r="K210" i="10"/>
  <c r="L210" i="10"/>
  <c r="M210" i="10"/>
  <c r="K211" i="10"/>
  <c r="L211" i="10"/>
  <c r="M211" i="10"/>
  <c r="K212" i="10"/>
  <c r="L212" i="10"/>
  <c r="M212" i="10"/>
  <c r="K213" i="10"/>
  <c r="L213" i="10"/>
  <c r="M213" i="10"/>
  <c r="K214" i="10"/>
  <c r="L214" i="10"/>
  <c r="M214" i="10"/>
  <c r="K215" i="10"/>
  <c r="L215" i="10"/>
  <c r="M215" i="10"/>
  <c r="K216" i="10"/>
  <c r="L216" i="10"/>
  <c r="M216" i="10"/>
  <c r="K217" i="10"/>
  <c r="L217" i="10"/>
  <c r="M217" i="10"/>
  <c r="K218" i="10"/>
  <c r="L218" i="10"/>
  <c r="M218" i="10"/>
  <c r="K219" i="10"/>
  <c r="L219" i="10"/>
  <c r="M219" i="10"/>
  <c r="K220" i="10"/>
  <c r="L220" i="10"/>
  <c r="M220" i="10"/>
  <c r="K221" i="10"/>
  <c r="L221" i="10"/>
  <c r="M221" i="10"/>
  <c r="K222" i="10"/>
  <c r="L222" i="10"/>
  <c r="M222" i="10"/>
  <c r="K223" i="10"/>
  <c r="L223" i="10"/>
  <c r="M223" i="10"/>
  <c r="K224" i="10"/>
  <c r="L224" i="10"/>
  <c r="M224" i="10"/>
  <c r="K225" i="10"/>
  <c r="L225" i="10"/>
  <c r="M225" i="10"/>
  <c r="K226" i="10"/>
  <c r="L226" i="10"/>
  <c r="M226" i="10"/>
  <c r="K227" i="10"/>
  <c r="L227" i="10"/>
  <c r="M227" i="10"/>
  <c r="K228" i="10"/>
  <c r="L228" i="10"/>
  <c r="M228" i="10"/>
  <c r="K229" i="10"/>
  <c r="L229" i="10"/>
  <c r="M229" i="10"/>
  <c r="K230" i="10"/>
  <c r="L230" i="10"/>
  <c r="M230" i="10"/>
  <c r="K231" i="10"/>
  <c r="L231" i="10"/>
  <c r="M231" i="10"/>
  <c r="K232" i="10"/>
  <c r="L232" i="10"/>
  <c r="M232" i="10"/>
  <c r="K233" i="10"/>
  <c r="L233" i="10"/>
  <c r="M233" i="10"/>
  <c r="K234" i="10"/>
  <c r="L234" i="10"/>
  <c r="M234" i="10"/>
  <c r="K235" i="10"/>
  <c r="L235" i="10"/>
  <c r="M235" i="10"/>
  <c r="K236" i="10"/>
  <c r="L236" i="10"/>
  <c r="M236" i="10"/>
  <c r="K237" i="10"/>
  <c r="L237" i="10"/>
  <c r="M237" i="10"/>
  <c r="K238" i="10"/>
  <c r="L238" i="10"/>
  <c r="M238" i="10"/>
  <c r="K239" i="10"/>
  <c r="L239" i="10"/>
  <c r="M239" i="10"/>
  <c r="K240" i="10"/>
  <c r="L240" i="10"/>
  <c r="M240" i="10"/>
  <c r="K241" i="10"/>
  <c r="L241" i="10"/>
  <c r="M241" i="10"/>
  <c r="K242" i="10"/>
  <c r="L242" i="10"/>
  <c r="M242" i="10"/>
  <c r="K243" i="10"/>
  <c r="L243" i="10"/>
  <c r="M243" i="10"/>
  <c r="K244" i="10"/>
  <c r="L244" i="10"/>
  <c r="M244" i="10"/>
  <c r="K245" i="10"/>
  <c r="L245" i="10"/>
  <c r="M245" i="10"/>
  <c r="K246" i="10"/>
  <c r="L246" i="10"/>
  <c r="M246" i="10"/>
  <c r="K247" i="10"/>
  <c r="L247" i="10"/>
  <c r="M247" i="10"/>
  <c r="K248" i="10"/>
  <c r="L248" i="10"/>
  <c r="M248" i="10"/>
  <c r="K249" i="10"/>
  <c r="L249" i="10"/>
  <c r="M249" i="10"/>
  <c r="K250" i="10"/>
  <c r="L250" i="10"/>
  <c r="M250" i="10"/>
  <c r="K251" i="10"/>
  <c r="L251" i="10"/>
  <c r="M251" i="10"/>
  <c r="K252" i="10"/>
  <c r="L252" i="10"/>
  <c r="M252" i="10"/>
  <c r="K253" i="10"/>
  <c r="L253" i="10"/>
  <c r="M253" i="10"/>
  <c r="K254" i="10"/>
  <c r="L254" i="10"/>
  <c r="M254" i="10"/>
  <c r="K255" i="10"/>
  <c r="L255" i="10"/>
  <c r="M255" i="10"/>
  <c r="K256" i="10"/>
  <c r="L256" i="10"/>
  <c r="M256" i="10"/>
  <c r="K257" i="10"/>
  <c r="L257" i="10"/>
  <c r="M257" i="10"/>
  <c r="K258" i="10"/>
  <c r="L258" i="10"/>
  <c r="M258" i="10"/>
  <c r="K259" i="10"/>
  <c r="L259" i="10"/>
  <c r="M259" i="10"/>
  <c r="K260" i="10"/>
  <c r="L260" i="10"/>
  <c r="M260" i="10"/>
  <c r="K261" i="10"/>
  <c r="L261" i="10"/>
  <c r="M261" i="10"/>
  <c r="K262" i="10"/>
  <c r="L262" i="10"/>
  <c r="M262" i="10"/>
  <c r="K263" i="10"/>
  <c r="L263" i="10"/>
  <c r="M263" i="10"/>
  <c r="K264" i="10"/>
  <c r="L264" i="10"/>
  <c r="M264" i="10"/>
  <c r="K265" i="10"/>
  <c r="L265" i="10"/>
  <c r="M265" i="10"/>
  <c r="K266" i="10"/>
  <c r="L266" i="10"/>
  <c r="M266" i="10"/>
  <c r="K267" i="10"/>
  <c r="L267" i="10"/>
  <c r="M267" i="10"/>
  <c r="K268" i="10"/>
  <c r="L268" i="10"/>
  <c r="M268" i="10"/>
  <c r="K269" i="10"/>
  <c r="L269" i="10"/>
  <c r="M269" i="10"/>
  <c r="K270" i="10"/>
  <c r="L270" i="10"/>
  <c r="M270" i="10"/>
  <c r="K271" i="10"/>
  <c r="L271" i="10"/>
  <c r="M271" i="10"/>
  <c r="K272" i="10"/>
  <c r="L272" i="10"/>
  <c r="M272" i="10"/>
  <c r="K273" i="10"/>
  <c r="L273" i="10"/>
  <c r="M273" i="10"/>
  <c r="K274" i="10"/>
  <c r="L274" i="10"/>
  <c r="M274" i="10"/>
  <c r="K275" i="10"/>
  <c r="L275" i="10"/>
  <c r="M275" i="10"/>
  <c r="K276" i="10"/>
  <c r="L276" i="10"/>
  <c r="M276" i="10"/>
  <c r="K277" i="10"/>
  <c r="L277" i="10"/>
  <c r="M277" i="10"/>
  <c r="K278" i="10"/>
  <c r="L278" i="10"/>
  <c r="M278" i="10"/>
  <c r="K279" i="10"/>
  <c r="L279" i="10"/>
  <c r="M279" i="10"/>
  <c r="K280" i="10"/>
  <c r="L280" i="10"/>
  <c r="M280" i="10"/>
  <c r="K281" i="10"/>
  <c r="L281" i="10"/>
  <c r="M281" i="10"/>
  <c r="K282" i="10"/>
  <c r="L282" i="10"/>
  <c r="M282" i="10"/>
  <c r="K283" i="10"/>
  <c r="L283" i="10"/>
  <c r="M283" i="10"/>
  <c r="K284" i="10"/>
  <c r="L284" i="10"/>
  <c r="M284" i="10"/>
  <c r="K285" i="10"/>
  <c r="L285" i="10"/>
  <c r="M285" i="10"/>
  <c r="K286" i="10"/>
  <c r="L286" i="10"/>
  <c r="M286" i="10"/>
  <c r="K287" i="10"/>
  <c r="L287" i="10"/>
  <c r="M287" i="10"/>
  <c r="K288" i="10"/>
  <c r="L288" i="10"/>
  <c r="M288" i="10"/>
  <c r="K289" i="10"/>
  <c r="L289" i="10"/>
  <c r="M289" i="10"/>
  <c r="K290" i="10"/>
  <c r="L290" i="10"/>
  <c r="M290" i="10"/>
  <c r="K291" i="10"/>
  <c r="L291" i="10"/>
  <c r="M291" i="10"/>
  <c r="K292" i="10"/>
  <c r="L292" i="10"/>
  <c r="M292" i="10"/>
  <c r="K293" i="10"/>
  <c r="L293" i="10"/>
  <c r="M293" i="10"/>
  <c r="K294" i="10"/>
  <c r="L294" i="10"/>
  <c r="M294" i="10"/>
  <c r="K295" i="10"/>
  <c r="L295" i="10"/>
  <c r="M295" i="10"/>
  <c r="K296" i="10"/>
  <c r="L296" i="10"/>
  <c r="M296" i="10"/>
  <c r="K297" i="10"/>
  <c r="L297" i="10"/>
  <c r="M297" i="10"/>
  <c r="K298" i="10"/>
  <c r="L298" i="10"/>
  <c r="M298" i="10"/>
  <c r="K299" i="10"/>
  <c r="L299" i="10"/>
  <c r="M299" i="10"/>
  <c r="K300" i="10"/>
  <c r="L300" i="10"/>
  <c r="M300" i="10"/>
  <c r="K301" i="10"/>
  <c r="L301" i="10"/>
  <c r="M301" i="10"/>
  <c r="K302" i="10"/>
  <c r="L302" i="10"/>
  <c r="M302" i="10"/>
  <c r="K303" i="10"/>
  <c r="L303" i="10"/>
  <c r="M303" i="10"/>
  <c r="K304" i="10"/>
  <c r="L304" i="10"/>
  <c r="M304" i="10"/>
  <c r="K305" i="10"/>
  <c r="L305" i="10"/>
  <c r="M305" i="10"/>
  <c r="K306" i="10"/>
  <c r="L306" i="10"/>
  <c r="M306" i="10"/>
  <c r="K307" i="10"/>
  <c r="L307" i="10"/>
  <c r="M307" i="10"/>
  <c r="K308" i="10"/>
  <c r="L308" i="10"/>
  <c r="M308" i="10"/>
  <c r="K309" i="10"/>
  <c r="L309" i="10"/>
  <c r="M309" i="10"/>
  <c r="K310" i="10"/>
  <c r="L310" i="10"/>
  <c r="M310" i="10"/>
  <c r="K311" i="10"/>
  <c r="L311" i="10"/>
  <c r="M311" i="10"/>
  <c r="K312" i="10"/>
  <c r="L312" i="10"/>
  <c r="M312" i="10"/>
  <c r="K313" i="10"/>
  <c r="L313" i="10"/>
  <c r="M313" i="10"/>
  <c r="K314" i="10"/>
  <c r="L314" i="10"/>
  <c r="M314" i="10"/>
  <c r="K315" i="10"/>
  <c r="L315" i="10"/>
  <c r="M315" i="10"/>
  <c r="K316" i="10"/>
  <c r="L316" i="10"/>
  <c r="M316" i="10"/>
  <c r="K317" i="10"/>
  <c r="L317" i="10"/>
  <c r="M317" i="10"/>
  <c r="K318" i="10"/>
  <c r="L318" i="10"/>
  <c r="M318" i="10"/>
  <c r="K319" i="10"/>
  <c r="L319" i="10"/>
  <c r="M319" i="10"/>
  <c r="K320" i="10"/>
  <c r="L320" i="10"/>
  <c r="M320" i="10"/>
  <c r="K321" i="10"/>
  <c r="L321" i="10"/>
  <c r="M321" i="10"/>
  <c r="K322" i="10"/>
  <c r="L322" i="10"/>
  <c r="M322" i="10"/>
  <c r="K323" i="10"/>
  <c r="L323" i="10"/>
  <c r="M323" i="10"/>
  <c r="K324" i="10"/>
  <c r="L324" i="10"/>
  <c r="M324" i="10"/>
  <c r="K325" i="10"/>
  <c r="L325" i="10"/>
  <c r="M325" i="10"/>
  <c r="K326" i="10"/>
  <c r="L326" i="10"/>
  <c r="M326" i="10"/>
  <c r="K327" i="10"/>
  <c r="L327" i="10"/>
  <c r="M327" i="10"/>
  <c r="K328" i="10"/>
  <c r="L328" i="10"/>
  <c r="M328" i="10"/>
  <c r="K329" i="10"/>
  <c r="L329" i="10"/>
  <c r="M329" i="10"/>
  <c r="K330" i="10"/>
  <c r="L330" i="10"/>
  <c r="M330" i="10"/>
  <c r="K331" i="10"/>
  <c r="L331" i="10"/>
  <c r="M331" i="10"/>
  <c r="K332" i="10"/>
  <c r="L332" i="10"/>
  <c r="M332" i="10"/>
  <c r="K333" i="10"/>
  <c r="L333" i="10"/>
  <c r="M333" i="10"/>
  <c r="K334" i="10"/>
  <c r="L334" i="10"/>
  <c r="M334" i="10"/>
  <c r="K335" i="10"/>
  <c r="L335" i="10"/>
  <c r="M335" i="10"/>
  <c r="K336" i="10"/>
  <c r="L336" i="10"/>
  <c r="M336" i="10"/>
  <c r="K337" i="10"/>
  <c r="L337" i="10"/>
  <c r="M337" i="10"/>
  <c r="K338" i="10"/>
  <c r="L338" i="10"/>
  <c r="M338" i="10"/>
  <c r="K339" i="10"/>
  <c r="L339" i="10"/>
  <c r="M339" i="10"/>
  <c r="K340" i="10"/>
  <c r="L340" i="10"/>
  <c r="M340" i="10"/>
  <c r="K341" i="10"/>
  <c r="L341" i="10"/>
  <c r="M341" i="10"/>
  <c r="K342" i="10"/>
  <c r="L342" i="10"/>
  <c r="M342" i="10"/>
  <c r="K343" i="10"/>
  <c r="L343" i="10"/>
  <c r="M343" i="10"/>
  <c r="K344" i="10"/>
  <c r="L344" i="10"/>
  <c r="M344" i="10"/>
  <c r="K345" i="10"/>
  <c r="L345" i="10"/>
  <c r="M345" i="10"/>
  <c r="K346" i="10"/>
  <c r="L346" i="10"/>
  <c r="M346" i="10"/>
  <c r="K347" i="10"/>
  <c r="L347" i="10"/>
  <c r="M347" i="10"/>
  <c r="K348" i="10"/>
  <c r="L348" i="10"/>
  <c r="M348" i="10"/>
  <c r="K349" i="10"/>
  <c r="L349" i="10"/>
  <c r="M349" i="10"/>
  <c r="K350" i="10"/>
  <c r="L350" i="10"/>
  <c r="M350" i="10"/>
  <c r="K351" i="10"/>
  <c r="L351" i="10"/>
  <c r="M351" i="10"/>
  <c r="K352" i="10"/>
  <c r="L352" i="10"/>
  <c r="M352" i="10"/>
  <c r="K353" i="10"/>
  <c r="L353" i="10"/>
  <c r="M353" i="10"/>
  <c r="K354" i="10"/>
  <c r="L354" i="10"/>
  <c r="M354" i="10"/>
  <c r="K355" i="10"/>
  <c r="L355" i="10"/>
  <c r="M355" i="10"/>
  <c r="K356" i="10"/>
  <c r="L356" i="10"/>
  <c r="M356" i="10"/>
  <c r="K357" i="10"/>
  <c r="L357" i="10"/>
  <c r="M357" i="10"/>
  <c r="K358" i="10"/>
  <c r="L358" i="10"/>
  <c r="M358" i="10"/>
  <c r="K359" i="10"/>
  <c r="L359" i="10"/>
  <c r="M359" i="10"/>
  <c r="K360" i="10"/>
  <c r="L360" i="10"/>
  <c r="M360" i="10"/>
  <c r="K361" i="10"/>
  <c r="L361" i="10"/>
  <c r="M361" i="10"/>
  <c r="K362" i="10"/>
  <c r="L362" i="10"/>
  <c r="M362" i="10"/>
  <c r="K363" i="10"/>
  <c r="L363" i="10"/>
  <c r="M363" i="10"/>
  <c r="K364" i="10"/>
  <c r="L364" i="10"/>
  <c r="M364" i="10"/>
  <c r="K365" i="10"/>
  <c r="L365" i="10"/>
  <c r="M365" i="10"/>
  <c r="K366" i="10"/>
  <c r="L366" i="10"/>
  <c r="M366" i="10"/>
  <c r="K367" i="10"/>
  <c r="L367" i="10"/>
  <c r="M367" i="10"/>
  <c r="K368" i="10"/>
  <c r="L368" i="10"/>
  <c r="M368" i="10"/>
  <c r="K369" i="10"/>
  <c r="L369" i="10"/>
  <c r="M369" i="10"/>
  <c r="K370" i="10"/>
  <c r="L370" i="10"/>
  <c r="M370" i="10"/>
  <c r="K371" i="10"/>
  <c r="L371" i="10"/>
  <c r="M371" i="10"/>
  <c r="K372" i="10"/>
  <c r="L372" i="10"/>
  <c r="M372" i="10"/>
  <c r="K373" i="10"/>
  <c r="L373" i="10"/>
  <c r="M373" i="10"/>
  <c r="K374" i="10"/>
  <c r="L374" i="10"/>
  <c r="M374" i="10"/>
  <c r="K375" i="10"/>
  <c r="L375" i="10"/>
  <c r="M375" i="10"/>
  <c r="K376" i="10"/>
  <c r="L376" i="10"/>
  <c r="M376" i="10"/>
  <c r="K377" i="10"/>
  <c r="L377" i="10"/>
  <c r="M377" i="10"/>
  <c r="K378" i="10"/>
  <c r="L378" i="10"/>
  <c r="M378" i="10"/>
  <c r="K379" i="10"/>
  <c r="L379" i="10"/>
  <c r="M379" i="10"/>
  <c r="K380" i="10"/>
  <c r="L380" i="10"/>
  <c r="M380" i="10"/>
  <c r="K381" i="10"/>
  <c r="L381" i="10"/>
  <c r="M381" i="10"/>
  <c r="K382" i="10"/>
  <c r="L382" i="10"/>
  <c r="M382" i="10"/>
  <c r="K383" i="10"/>
  <c r="L383" i="10"/>
  <c r="M383" i="10"/>
  <c r="K384" i="10"/>
  <c r="L384" i="10"/>
  <c r="M384" i="10"/>
  <c r="K385" i="10"/>
  <c r="L385" i="10"/>
  <c r="M385" i="10"/>
  <c r="K386" i="10"/>
  <c r="L386" i="10"/>
  <c r="M386" i="10"/>
  <c r="K387" i="10"/>
  <c r="L387" i="10"/>
  <c r="M387" i="10"/>
  <c r="K388" i="10"/>
  <c r="L388" i="10"/>
  <c r="M388" i="10"/>
  <c r="K389" i="10"/>
  <c r="L389" i="10"/>
  <c r="M389" i="10"/>
  <c r="K390" i="10"/>
  <c r="L390" i="10"/>
  <c r="M390" i="10"/>
  <c r="K391" i="10"/>
  <c r="L391" i="10"/>
  <c r="M391" i="10"/>
  <c r="K392" i="10"/>
  <c r="L392" i="10"/>
  <c r="M392" i="10"/>
  <c r="K393" i="10"/>
  <c r="L393" i="10"/>
  <c r="M393" i="10"/>
  <c r="K394" i="10"/>
  <c r="L394" i="10"/>
  <c r="M394" i="10"/>
  <c r="K395" i="10"/>
  <c r="L395" i="10"/>
  <c r="M395" i="10"/>
  <c r="K396" i="10"/>
  <c r="L396" i="10"/>
  <c r="M396" i="10"/>
  <c r="K397" i="10"/>
  <c r="L397" i="10"/>
  <c r="M397" i="10"/>
  <c r="K398" i="10"/>
  <c r="L398" i="10"/>
  <c r="M398" i="10"/>
  <c r="K399" i="10"/>
  <c r="L399" i="10"/>
  <c r="M399" i="10"/>
  <c r="K400" i="10"/>
  <c r="L400" i="10"/>
  <c r="M400" i="10"/>
  <c r="K401" i="10"/>
  <c r="L401" i="10"/>
  <c r="M401" i="10"/>
  <c r="K402" i="10"/>
  <c r="L402" i="10"/>
  <c r="M402" i="10"/>
  <c r="K403" i="10"/>
  <c r="L403" i="10"/>
  <c r="M403" i="10"/>
  <c r="K404" i="10"/>
  <c r="L404" i="10"/>
  <c r="M404" i="10"/>
  <c r="K405" i="10"/>
  <c r="L405" i="10"/>
  <c r="M405" i="10"/>
  <c r="K406" i="10"/>
  <c r="L406" i="10"/>
  <c r="M406" i="10"/>
  <c r="K407" i="10"/>
  <c r="L407" i="10"/>
  <c r="M407" i="10"/>
  <c r="K408" i="10"/>
  <c r="L408" i="10"/>
  <c r="M408" i="10"/>
  <c r="K409" i="10"/>
  <c r="L409" i="10"/>
  <c r="M409" i="10"/>
  <c r="K410" i="10"/>
  <c r="L410" i="10"/>
  <c r="M410" i="10"/>
  <c r="K411" i="10"/>
  <c r="L411" i="10"/>
  <c r="M411" i="10"/>
  <c r="K412" i="10"/>
  <c r="L412" i="10"/>
  <c r="M412" i="10"/>
  <c r="K413" i="10"/>
  <c r="L413" i="10"/>
  <c r="M413" i="10"/>
  <c r="K414" i="10"/>
  <c r="L414" i="10"/>
  <c r="M414" i="10"/>
  <c r="K415" i="10"/>
  <c r="L415" i="10"/>
  <c r="M415" i="10"/>
  <c r="K416" i="10"/>
  <c r="L416" i="10"/>
  <c r="M416" i="10"/>
  <c r="K417" i="10"/>
  <c r="L417" i="10"/>
  <c r="M417" i="10"/>
  <c r="K418" i="10"/>
  <c r="L418" i="10"/>
  <c r="M418" i="10"/>
  <c r="K419" i="10"/>
  <c r="L419" i="10"/>
  <c r="M419" i="10"/>
  <c r="K420" i="10"/>
  <c r="L420" i="10"/>
  <c r="M420" i="10"/>
  <c r="K421" i="10"/>
  <c r="L421" i="10"/>
  <c r="M421" i="10"/>
  <c r="K422" i="10"/>
  <c r="L422" i="10"/>
  <c r="M422" i="10"/>
  <c r="K423" i="10"/>
  <c r="L423" i="10"/>
  <c r="M423" i="10"/>
  <c r="K424" i="10"/>
  <c r="L424" i="10"/>
  <c r="M424" i="10"/>
  <c r="K425" i="10"/>
  <c r="L425" i="10"/>
  <c r="M425" i="10"/>
  <c r="K426" i="10"/>
  <c r="L426" i="10"/>
  <c r="M426" i="10"/>
  <c r="K427" i="10"/>
  <c r="L427" i="10"/>
  <c r="M427" i="10"/>
  <c r="K428" i="10"/>
  <c r="L428" i="10"/>
  <c r="M428" i="10"/>
  <c r="K429" i="10"/>
  <c r="L429" i="10"/>
  <c r="M429" i="10"/>
  <c r="K430" i="10"/>
  <c r="L430" i="10"/>
  <c r="M430" i="10"/>
  <c r="K431" i="10"/>
  <c r="L431" i="10"/>
  <c r="M431" i="10"/>
  <c r="K432" i="10"/>
  <c r="L432" i="10"/>
  <c r="M432" i="10"/>
  <c r="K433" i="10"/>
  <c r="L433" i="10"/>
  <c r="M433" i="10"/>
  <c r="K434" i="10"/>
  <c r="L434" i="10"/>
  <c r="M434" i="10"/>
  <c r="K435" i="10"/>
  <c r="L435" i="10"/>
  <c r="M435" i="10"/>
  <c r="K436" i="10"/>
  <c r="L436" i="10"/>
  <c r="M436" i="10"/>
  <c r="K437" i="10"/>
  <c r="L437" i="10"/>
  <c r="M437" i="10"/>
  <c r="K438" i="10"/>
  <c r="L438" i="10"/>
  <c r="M438" i="10"/>
  <c r="K439" i="10"/>
  <c r="L439" i="10"/>
  <c r="M439" i="10"/>
  <c r="K440" i="10"/>
  <c r="L440" i="10"/>
  <c r="M440" i="10"/>
  <c r="K441" i="10"/>
  <c r="L441" i="10"/>
  <c r="M441" i="10"/>
  <c r="K442" i="10"/>
  <c r="L442" i="10"/>
  <c r="M442" i="10"/>
  <c r="K443" i="10"/>
  <c r="L443" i="10"/>
  <c r="M443" i="10"/>
  <c r="K444" i="10"/>
  <c r="L444" i="10"/>
  <c r="M444" i="10"/>
  <c r="K445" i="10"/>
  <c r="L445" i="10"/>
  <c r="M445" i="10"/>
  <c r="K446" i="10"/>
  <c r="L446" i="10"/>
  <c r="M446" i="10"/>
  <c r="K447" i="10"/>
  <c r="L447" i="10"/>
  <c r="M447" i="10"/>
  <c r="K448" i="10"/>
  <c r="L448" i="10"/>
  <c r="M448" i="10"/>
  <c r="K449" i="10"/>
  <c r="L449" i="10"/>
  <c r="M449" i="10"/>
  <c r="K450" i="10"/>
  <c r="L450" i="10"/>
  <c r="M450" i="10"/>
  <c r="K451" i="10"/>
  <c r="L451" i="10"/>
  <c r="M451" i="10"/>
  <c r="K452" i="10"/>
  <c r="L452" i="10"/>
  <c r="M452" i="10"/>
  <c r="K453" i="10"/>
  <c r="L453" i="10"/>
  <c r="M453" i="10"/>
  <c r="K454" i="10"/>
  <c r="L454" i="10"/>
  <c r="M454" i="10"/>
  <c r="K455" i="10"/>
  <c r="L455" i="10"/>
  <c r="M455" i="10"/>
  <c r="K456" i="10"/>
  <c r="L456" i="10"/>
  <c r="M456" i="10"/>
  <c r="K457" i="10"/>
  <c r="L457" i="10"/>
  <c r="M457" i="10"/>
  <c r="K458" i="10"/>
  <c r="L458" i="10"/>
  <c r="M458" i="10"/>
  <c r="K459" i="10"/>
  <c r="L459" i="10"/>
  <c r="M459" i="10"/>
  <c r="K460" i="10"/>
  <c r="L460" i="10"/>
  <c r="M460" i="10"/>
  <c r="K461" i="10"/>
  <c r="L461" i="10"/>
  <c r="M461" i="10"/>
  <c r="K462" i="10"/>
  <c r="L462" i="10"/>
  <c r="M462" i="10"/>
  <c r="K463" i="10"/>
  <c r="L463" i="10"/>
  <c r="M463" i="10"/>
  <c r="K464" i="10"/>
  <c r="L464" i="10"/>
  <c r="M464" i="10"/>
  <c r="K465" i="10"/>
  <c r="L465" i="10"/>
  <c r="M465" i="10"/>
  <c r="K466" i="10"/>
  <c r="L466" i="10"/>
  <c r="M466" i="10"/>
  <c r="K467" i="10"/>
  <c r="L467" i="10"/>
  <c r="M467" i="10"/>
  <c r="K468" i="10"/>
  <c r="L468" i="10"/>
  <c r="M468" i="10"/>
  <c r="K469" i="10"/>
  <c r="L469" i="10"/>
  <c r="M469" i="10"/>
  <c r="K470" i="10"/>
  <c r="L470" i="10"/>
  <c r="M470" i="10"/>
  <c r="K471" i="10"/>
  <c r="L471" i="10"/>
  <c r="M471" i="10"/>
  <c r="K472" i="10"/>
  <c r="L472" i="10"/>
  <c r="M472" i="10"/>
  <c r="K473" i="10"/>
  <c r="L473" i="10"/>
  <c r="M473" i="10"/>
  <c r="K474" i="10"/>
  <c r="L474" i="10"/>
  <c r="M474" i="10"/>
  <c r="K475" i="10"/>
  <c r="L475" i="10"/>
  <c r="M475" i="10"/>
  <c r="K476" i="10"/>
  <c r="L476" i="10"/>
  <c r="M476" i="10"/>
  <c r="K477" i="10"/>
  <c r="L477" i="10"/>
  <c r="M477" i="10"/>
  <c r="K478" i="10"/>
  <c r="L478" i="10"/>
  <c r="M478" i="10"/>
  <c r="K479" i="10"/>
  <c r="L479" i="10"/>
  <c r="M479" i="10"/>
  <c r="K480" i="10"/>
  <c r="L480" i="10"/>
  <c r="M480" i="10"/>
  <c r="K481" i="10"/>
  <c r="L481" i="10"/>
  <c r="M481" i="10"/>
  <c r="K482" i="10"/>
  <c r="L482" i="10"/>
  <c r="M482" i="10"/>
  <c r="K483" i="10"/>
  <c r="L483" i="10"/>
  <c r="M483" i="10"/>
  <c r="K484" i="10"/>
  <c r="L484" i="10"/>
  <c r="M484" i="10"/>
  <c r="K485" i="10"/>
  <c r="L485" i="10"/>
  <c r="M485" i="10"/>
  <c r="K486" i="10"/>
  <c r="L486" i="10"/>
  <c r="M486" i="10"/>
  <c r="K487" i="10"/>
  <c r="L487" i="10"/>
  <c r="M487" i="10"/>
  <c r="K488" i="10"/>
  <c r="L488" i="10"/>
  <c r="M488" i="10"/>
  <c r="K489" i="10"/>
  <c r="L489" i="10"/>
  <c r="M489" i="10"/>
  <c r="K490" i="10"/>
  <c r="L490" i="10"/>
  <c r="M490" i="10"/>
  <c r="K491" i="10"/>
  <c r="L491" i="10"/>
  <c r="M491" i="10"/>
  <c r="K492" i="10"/>
  <c r="L492" i="10"/>
  <c r="M492" i="10"/>
  <c r="K493" i="10"/>
  <c r="L493" i="10"/>
  <c r="M493" i="10"/>
  <c r="K494" i="10"/>
  <c r="L494" i="10"/>
  <c r="M494" i="10"/>
  <c r="K495" i="10"/>
  <c r="L495" i="10"/>
  <c r="M495" i="10"/>
  <c r="K496" i="10"/>
  <c r="L496" i="10"/>
  <c r="M496" i="10"/>
  <c r="K497" i="10"/>
  <c r="L497" i="10"/>
  <c r="M497" i="10"/>
  <c r="K498" i="10"/>
  <c r="L498" i="10"/>
  <c r="M498" i="10"/>
  <c r="K499" i="10"/>
  <c r="L499" i="10"/>
  <c r="M499" i="10"/>
  <c r="K500" i="10"/>
  <c r="L500" i="10"/>
  <c r="M500" i="10"/>
  <c r="K501" i="10"/>
  <c r="L501" i="10"/>
  <c r="M501" i="10"/>
  <c r="K502" i="10"/>
  <c r="L502" i="10"/>
  <c r="M502" i="10"/>
  <c r="K503" i="10"/>
  <c r="L503" i="10"/>
  <c r="M503" i="10"/>
  <c r="K504" i="10"/>
  <c r="L504" i="10"/>
  <c r="M504" i="10"/>
  <c r="K505" i="10"/>
  <c r="L505" i="10"/>
  <c r="M505" i="10"/>
  <c r="K506" i="10"/>
  <c r="L506" i="10"/>
  <c r="M506" i="10"/>
  <c r="K507" i="10"/>
  <c r="L507" i="10"/>
  <c r="M507" i="10"/>
  <c r="K508" i="10"/>
  <c r="L508" i="10"/>
  <c r="M508" i="10"/>
  <c r="K509" i="10"/>
  <c r="L509" i="10"/>
  <c r="M509" i="10"/>
  <c r="K510" i="10"/>
  <c r="L510" i="10"/>
  <c r="M510" i="10"/>
  <c r="K511" i="10"/>
  <c r="L511" i="10"/>
  <c r="M511" i="10"/>
  <c r="K512" i="10"/>
  <c r="L512" i="10"/>
  <c r="M512" i="10"/>
  <c r="K513" i="10"/>
  <c r="L513" i="10"/>
  <c r="M513" i="10"/>
  <c r="K514" i="10"/>
  <c r="L514" i="10"/>
  <c r="M514" i="10"/>
  <c r="K515" i="10"/>
  <c r="L515" i="10"/>
  <c r="M515" i="10"/>
  <c r="K516" i="10"/>
  <c r="L516" i="10"/>
  <c r="M516" i="10"/>
  <c r="K517" i="10"/>
  <c r="L517" i="10"/>
  <c r="M517" i="10"/>
  <c r="K518" i="10"/>
  <c r="L518" i="10"/>
  <c r="M518" i="10"/>
  <c r="K519" i="10"/>
  <c r="L519" i="10"/>
  <c r="M519" i="10"/>
  <c r="K520" i="10"/>
  <c r="L520" i="10"/>
  <c r="M520" i="10"/>
  <c r="K521" i="10"/>
  <c r="L521" i="10"/>
  <c r="M521" i="10"/>
  <c r="K522" i="10"/>
  <c r="L522" i="10"/>
  <c r="M522" i="10"/>
  <c r="K523" i="10"/>
  <c r="L523" i="10"/>
  <c r="M523" i="10"/>
  <c r="K524" i="10"/>
  <c r="L524" i="10"/>
  <c r="M524" i="10"/>
  <c r="K525" i="10"/>
  <c r="L525" i="10"/>
  <c r="M525" i="10"/>
  <c r="K526" i="10"/>
  <c r="L526" i="10"/>
  <c r="M526" i="10"/>
  <c r="K527" i="10"/>
  <c r="L527" i="10"/>
  <c r="M527" i="10"/>
  <c r="K528" i="10"/>
  <c r="L528" i="10"/>
  <c r="M528" i="10"/>
  <c r="K529" i="10"/>
  <c r="L529" i="10"/>
  <c r="M529" i="10"/>
  <c r="K530" i="10"/>
  <c r="L530" i="10"/>
  <c r="M530" i="10"/>
  <c r="K531" i="10"/>
  <c r="L531" i="10"/>
  <c r="M531" i="10"/>
  <c r="K532" i="10"/>
  <c r="L532" i="10"/>
  <c r="M532" i="10"/>
  <c r="K533" i="10"/>
  <c r="L533" i="10"/>
  <c r="M533" i="10"/>
  <c r="K534" i="10"/>
  <c r="L534" i="10"/>
  <c r="M534" i="10"/>
  <c r="K535" i="10"/>
  <c r="L535" i="10"/>
  <c r="M535" i="10"/>
  <c r="K536" i="10"/>
  <c r="L536" i="10"/>
  <c r="M536" i="10"/>
  <c r="K537" i="10"/>
  <c r="L537" i="10"/>
  <c r="M537" i="10"/>
  <c r="K538" i="10"/>
  <c r="L538" i="10"/>
  <c r="M538" i="10"/>
  <c r="K539" i="10"/>
  <c r="L539" i="10"/>
  <c r="M539" i="10"/>
  <c r="K540" i="10"/>
  <c r="L540" i="10"/>
  <c r="M540" i="10"/>
  <c r="K541" i="10"/>
  <c r="L541" i="10"/>
  <c r="M541" i="10"/>
  <c r="K542" i="10"/>
  <c r="L542" i="10"/>
  <c r="M542" i="10"/>
  <c r="K543" i="10"/>
  <c r="L543" i="10"/>
  <c r="M543" i="10"/>
  <c r="K544" i="10"/>
  <c r="L544" i="10"/>
  <c r="M544" i="10"/>
  <c r="K545" i="10"/>
  <c r="L545" i="10"/>
  <c r="M545" i="10"/>
  <c r="K546" i="10"/>
  <c r="L546" i="10"/>
  <c r="M546" i="10"/>
  <c r="K547" i="10"/>
  <c r="L547" i="10"/>
  <c r="M547" i="10"/>
  <c r="K548" i="10"/>
  <c r="L548" i="10"/>
  <c r="M548" i="10"/>
  <c r="K549" i="10"/>
  <c r="L549" i="10"/>
  <c r="M549" i="10"/>
  <c r="K550" i="10"/>
  <c r="L550" i="10"/>
  <c r="M550" i="10"/>
  <c r="K551" i="10"/>
  <c r="L551" i="10"/>
  <c r="M551" i="10"/>
  <c r="K552" i="10"/>
  <c r="L552" i="10"/>
  <c r="M552" i="10"/>
  <c r="K553" i="10"/>
  <c r="L553" i="10"/>
  <c r="M553" i="10"/>
  <c r="K554" i="10"/>
  <c r="L554" i="10"/>
  <c r="M554" i="10"/>
  <c r="K555" i="10"/>
  <c r="L555" i="10"/>
  <c r="M555" i="10"/>
  <c r="K556" i="10"/>
  <c r="L556" i="10"/>
  <c r="M556" i="10"/>
  <c r="K557" i="10"/>
  <c r="L557" i="10"/>
  <c r="M557" i="10"/>
  <c r="K558" i="10"/>
  <c r="L558" i="10"/>
  <c r="M558" i="10"/>
  <c r="K559" i="10"/>
  <c r="L559" i="10"/>
  <c r="M559" i="10"/>
  <c r="K560" i="10"/>
  <c r="L560" i="10"/>
  <c r="M560" i="10"/>
  <c r="K561" i="10"/>
  <c r="L561" i="10"/>
  <c r="M561" i="10"/>
  <c r="K562" i="10"/>
  <c r="L562" i="10"/>
  <c r="M562" i="10"/>
  <c r="K563" i="10"/>
  <c r="L563" i="10"/>
  <c r="M563" i="10"/>
  <c r="K564" i="10"/>
  <c r="L564" i="10"/>
  <c r="M564" i="10"/>
  <c r="K565" i="10"/>
  <c r="L565" i="10"/>
  <c r="M565" i="10"/>
  <c r="K566" i="10"/>
  <c r="L566" i="10"/>
  <c r="M566" i="10"/>
  <c r="K567" i="10"/>
  <c r="L567" i="10"/>
  <c r="M567" i="10"/>
  <c r="K568" i="10"/>
  <c r="L568" i="10"/>
  <c r="M568" i="10"/>
  <c r="K569" i="10"/>
  <c r="L569" i="10"/>
  <c r="M569" i="10"/>
  <c r="K570" i="10"/>
  <c r="L570" i="10"/>
  <c r="M570" i="10"/>
  <c r="K571" i="10"/>
  <c r="L571" i="10"/>
  <c r="M571" i="10"/>
  <c r="K572" i="10"/>
  <c r="L572" i="10"/>
  <c r="M572" i="10"/>
  <c r="K573" i="10"/>
  <c r="L573" i="10"/>
  <c r="M573" i="10"/>
  <c r="K574" i="10"/>
  <c r="L574" i="10"/>
  <c r="M574" i="10"/>
  <c r="K575" i="10"/>
  <c r="L575" i="10"/>
  <c r="M575" i="10"/>
  <c r="K576" i="10"/>
  <c r="L576" i="10"/>
  <c r="M576" i="10"/>
  <c r="K577" i="10"/>
  <c r="L577" i="10"/>
  <c r="M577" i="10"/>
  <c r="K578" i="10"/>
  <c r="L578" i="10"/>
  <c r="M578" i="10"/>
  <c r="K579" i="10"/>
  <c r="L579" i="10"/>
  <c r="M579" i="10"/>
  <c r="K580" i="10"/>
  <c r="L580" i="10"/>
  <c r="M580" i="10"/>
  <c r="K581" i="10"/>
  <c r="L581" i="10"/>
  <c r="M581" i="10"/>
  <c r="K582" i="10"/>
  <c r="L582" i="10"/>
  <c r="M582" i="10"/>
  <c r="K583" i="10"/>
  <c r="L583" i="10"/>
  <c r="M583" i="10"/>
  <c r="K584" i="10"/>
  <c r="L584" i="10"/>
  <c r="M584" i="10"/>
  <c r="K585" i="10"/>
  <c r="L585" i="10"/>
  <c r="M585" i="10"/>
  <c r="K586" i="10"/>
  <c r="L586" i="10"/>
  <c r="M586" i="10"/>
  <c r="K587" i="10"/>
  <c r="L587" i="10"/>
  <c r="M587" i="10"/>
  <c r="K588" i="10"/>
  <c r="L588" i="10"/>
  <c r="M588" i="10"/>
  <c r="K589" i="10"/>
  <c r="L589" i="10"/>
  <c r="M589" i="10"/>
  <c r="K590" i="10"/>
  <c r="L590" i="10"/>
  <c r="M590" i="10"/>
  <c r="K591" i="10"/>
  <c r="L591" i="10"/>
  <c r="M591" i="10"/>
  <c r="K592" i="10"/>
  <c r="L592" i="10"/>
  <c r="M592" i="10"/>
  <c r="K593" i="10"/>
  <c r="L593" i="10"/>
  <c r="M593" i="10"/>
  <c r="K594" i="10"/>
  <c r="L594" i="10"/>
  <c r="M594" i="10"/>
  <c r="K595" i="10"/>
  <c r="L595" i="10"/>
  <c r="M595" i="10"/>
  <c r="K596" i="10"/>
  <c r="L596" i="10"/>
  <c r="M596" i="10"/>
  <c r="K597" i="10"/>
  <c r="L597" i="10"/>
  <c r="M597" i="10"/>
  <c r="K598" i="10"/>
  <c r="L598" i="10"/>
  <c r="M598" i="10"/>
  <c r="K599" i="10"/>
  <c r="L599" i="10"/>
  <c r="M599" i="10"/>
  <c r="K600" i="10"/>
  <c r="L600" i="10"/>
  <c r="M600" i="10"/>
  <c r="K601" i="10"/>
  <c r="L601" i="10"/>
  <c r="M601" i="10"/>
  <c r="K602" i="10"/>
  <c r="L602" i="10"/>
  <c r="M602" i="10"/>
  <c r="K603" i="10"/>
  <c r="L603" i="10"/>
  <c r="M603" i="10"/>
  <c r="K604" i="10"/>
  <c r="L604" i="10"/>
  <c r="M604" i="10"/>
  <c r="K605" i="10"/>
  <c r="L605" i="10"/>
  <c r="M605" i="10"/>
  <c r="K606" i="10"/>
  <c r="L606" i="10"/>
  <c r="M606" i="10"/>
  <c r="K607" i="10"/>
  <c r="L607" i="10"/>
  <c r="M607" i="10"/>
  <c r="K608" i="10"/>
  <c r="L608" i="10"/>
  <c r="M608" i="10"/>
  <c r="K609" i="10"/>
  <c r="L609" i="10"/>
  <c r="M609" i="10"/>
  <c r="K610" i="10"/>
  <c r="L610" i="10"/>
  <c r="M610" i="10"/>
  <c r="K611" i="10"/>
  <c r="L611" i="10"/>
  <c r="M611" i="10"/>
  <c r="K612" i="10"/>
  <c r="L612" i="10"/>
  <c r="M612" i="10"/>
  <c r="K613" i="10"/>
  <c r="L613" i="10"/>
  <c r="M613" i="10"/>
  <c r="K614" i="10"/>
  <c r="L614" i="10"/>
  <c r="M614" i="10"/>
  <c r="K615" i="10"/>
  <c r="L615" i="10"/>
  <c r="M615" i="10"/>
  <c r="K616" i="10"/>
  <c r="L616" i="10"/>
  <c r="M616" i="10"/>
  <c r="K617" i="10"/>
  <c r="L617" i="10"/>
  <c r="M617" i="10"/>
  <c r="K618" i="10"/>
  <c r="L618" i="10"/>
  <c r="M618" i="10"/>
  <c r="K619" i="10"/>
  <c r="L619" i="10"/>
  <c r="M619" i="10"/>
  <c r="K620" i="10"/>
  <c r="L620" i="10"/>
  <c r="M620" i="10"/>
  <c r="K621" i="10"/>
  <c r="L621" i="10"/>
  <c r="M621" i="10"/>
  <c r="K622" i="10"/>
  <c r="L622" i="10"/>
  <c r="M622" i="10"/>
  <c r="K623" i="10"/>
  <c r="L623" i="10"/>
  <c r="M623" i="10"/>
  <c r="K624" i="10"/>
  <c r="L624" i="10"/>
  <c r="M624" i="10"/>
  <c r="K625" i="10"/>
  <c r="L625" i="10"/>
  <c r="M625" i="10"/>
  <c r="K626" i="10"/>
  <c r="L626" i="10"/>
  <c r="M626" i="10"/>
  <c r="K627" i="10"/>
  <c r="L627" i="10"/>
  <c r="M627" i="10"/>
  <c r="K628" i="10"/>
  <c r="L628" i="10"/>
  <c r="M628" i="10"/>
  <c r="K629" i="10"/>
  <c r="L629" i="10"/>
  <c r="M629" i="10"/>
  <c r="K630" i="10"/>
  <c r="L630" i="10"/>
  <c r="M630" i="10"/>
  <c r="K631" i="10"/>
  <c r="L631" i="10"/>
  <c r="M631" i="10"/>
  <c r="K632" i="10"/>
  <c r="L632" i="10"/>
  <c r="M632" i="10"/>
  <c r="K633" i="10"/>
  <c r="L633" i="10"/>
  <c r="M633" i="10"/>
  <c r="K634" i="10"/>
  <c r="L634" i="10"/>
  <c r="M634" i="10"/>
  <c r="K635" i="10"/>
  <c r="L635" i="10"/>
  <c r="M635" i="10"/>
  <c r="K636" i="10"/>
  <c r="L636" i="10"/>
  <c r="M636" i="10"/>
  <c r="K637" i="10"/>
  <c r="L637" i="10"/>
  <c r="M637" i="10"/>
  <c r="K638" i="10"/>
  <c r="L638" i="10"/>
  <c r="M638" i="10"/>
  <c r="K639" i="10"/>
  <c r="L639" i="10"/>
  <c r="M639" i="10"/>
  <c r="K640" i="10"/>
  <c r="L640" i="10"/>
  <c r="M640" i="10"/>
  <c r="K641" i="10"/>
  <c r="L641" i="10"/>
  <c r="M641" i="10"/>
  <c r="K642" i="10"/>
  <c r="L642" i="10"/>
  <c r="M642" i="10"/>
  <c r="K643" i="10"/>
  <c r="L643" i="10"/>
  <c r="M643" i="10"/>
  <c r="K644" i="10"/>
  <c r="L644" i="10"/>
  <c r="M644" i="10"/>
  <c r="K645" i="10"/>
  <c r="L645" i="10"/>
  <c r="M645" i="10"/>
  <c r="K646" i="10"/>
  <c r="L646" i="10"/>
  <c r="M646" i="10"/>
  <c r="K647" i="10"/>
  <c r="L647" i="10"/>
  <c r="M647" i="10"/>
  <c r="K648" i="10"/>
  <c r="L648" i="10"/>
  <c r="M648" i="10"/>
  <c r="K649" i="10"/>
  <c r="L649" i="10"/>
  <c r="M649" i="10"/>
  <c r="K650" i="10"/>
  <c r="L650" i="10"/>
  <c r="M650" i="10"/>
  <c r="K651" i="10"/>
  <c r="L651" i="10"/>
  <c r="M651" i="10"/>
  <c r="K652" i="10"/>
  <c r="L652" i="10"/>
  <c r="M652" i="10"/>
  <c r="K653" i="10"/>
  <c r="L653" i="10"/>
  <c r="M653" i="10"/>
  <c r="K654" i="10"/>
  <c r="L654" i="10"/>
  <c r="M654" i="10"/>
  <c r="K655" i="10"/>
  <c r="L655" i="10"/>
  <c r="M655" i="10"/>
  <c r="K656" i="10"/>
  <c r="L656" i="10"/>
  <c r="M656" i="10"/>
  <c r="K657" i="10"/>
  <c r="L657" i="10"/>
  <c r="M657" i="10"/>
  <c r="K658" i="10"/>
  <c r="L658" i="10"/>
  <c r="M658" i="10"/>
  <c r="K659" i="10"/>
  <c r="L659" i="10"/>
  <c r="M659" i="10"/>
  <c r="K660" i="10"/>
  <c r="L660" i="10"/>
  <c r="M660" i="10"/>
  <c r="K661" i="10"/>
  <c r="L661" i="10"/>
  <c r="M661" i="10"/>
  <c r="K662" i="10"/>
  <c r="L662" i="10"/>
  <c r="M662" i="10"/>
  <c r="K663" i="10"/>
  <c r="L663" i="10"/>
  <c r="M663" i="10"/>
  <c r="K664" i="10"/>
  <c r="L664" i="10"/>
  <c r="M664" i="10"/>
  <c r="K665" i="10"/>
  <c r="L665" i="10"/>
  <c r="M665" i="10"/>
  <c r="K666" i="10"/>
  <c r="L666" i="10"/>
  <c r="M666" i="10"/>
  <c r="K667" i="10"/>
  <c r="L667" i="10"/>
  <c r="M667" i="10"/>
  <c r="K668" i="10"/>
  <c r="L668" i="10"/>
  <c r="M668" i="10"/>
  <c r="K669" i="10"/>
  <c r="L669" i="10"/>
  <c r="M669" i="10"/>
  <c r="K670" i="10"/>
  <c r="L670" i="10"/>
  <c r="M670" i="10"/>
  <c r="K671" i="10"/>
  <c r="L671" i="10"/>
  <c r="M671" i="10"/>
  <c r="K672" i="10"/>
  <c r="L672" i="10"/>
  <c r="M672" i="10"/>
  <c r="K673" i="10"/>
  <c r="L673" i="10"/>
  <c r="M673" i="10"/>
  <c r="K674" i="10"/>
  <c r="L674" i="10"/>
  <c r="M674" i="10"/>
  <c r="K675" i="10"/>
  <c r="L675" i="10"/>
  <c r="M675" i="10"/>
  <c r="K676" i="10"/>
  <c r="L676" i="10"/>
  <c r="M676" i="10"/>
  <c r="K677" i="10"/>
  <c r="L677" i="10"/>
  <c r="M677" i="10"/>
  <c r="K678" i="10"/>
  <c r="L678" i="10"/>
  <c r="M678" i="10"/>
  <c r="K679" i="10"/>
  <c r="L679" i="10"/>
  <c r="M679" i="10"/>
  <c r="K680" i="10"/>
  <c r="L680" i="10"/>
  <c r="M680" i="10"/>
  <c r="K681" i="10"/>
  <c r="L681" i="10"/>
  <c r="M681" i="10"/>
  <c r="K682" i="10"/>
  <c r="L682" i="10"/>
  <c r="M682" i="10"/>
  <c r="K683" i="10"/>
  <c r="L683" i="10"/>
  <c r="M683" i="10"/>
  <c r="K684" i="10"/>
  <c r="L684" i="10"/>
  <c r="M684" i="10"/>
  <c r="K685" i="10"/>
  <c r="L685" i="10"/>
  <c r="M685" i="10"/>
  <c r="K686" i="10"/>
  <c r="L686" i="10"/>
  <c r="M686" i="10"/>
  <c r="K687" i="10"/>
  <c r="L687" i="10"/>
  <c r="M687" i="10"/>
  <c r="K688" i="10"/>
  <c r="L688" i="10"/>
  <c r="M688" i="10"/>
  <c r="K689" i="10"/>
  <c r="L689" i="10"/>
  <c r="M689" i="10"/>
  <c r="K690" i="10"/>
  <c r="L690" i="10"/>
  <c r="M690" i="10"/>
  <c r="K691" i="10"/>
  <c r="L691" i="10"/>
  <c r="M691" i="10"/>
  <c r="K692" i="10"/>
  <c r="L692" i="10"/>
  <c r="M692" i="10"/>
  <c r="K693" i="10"/>
  <c r="L693" i="10"/>
  <c r="M693" i="10"/>
  <c r="K694" i="10"/>
  <c r="L694" i="10"/>
  <c r="M694" i="10"/>
  <c r="K695" i="10"/>
  <c r="L695" i="10"/>
  <c r="M695" i="10"/>
  <c r="K696" i="10"/>
  <c r="L696" i="10"/>
  <c r="M696" i="10"/>
  <c r="K697" i="10"/>
  <c r="L697" i="10"/>
  <c r="M697" i="10"/>
  <c r="K698" i="10"/>
  <c r="L698" i="10"/>
  <c r="M698" i="10"/>
  <c r="K699" i="10"/>
  <c r="L699" i="10"/>
  <c r="M699" i="10"/>
  <c r="K700" i="10"/>
  <c r="L700" i="10"/>
  <c r="M700" i="10"/>
  <c r="K701" i="10"/>
  <c r="L701" i="10"/>
  <c r="M701" i="10"/>
  <c r="K702" i="10"/>
  <c r="L702" i="10"/>
  <c r="M702" i="10"/>
  <c r="K703" i="10"/>
  <c r="L703" i="10"/>
  <c r="M703" i="10"/>
  <c r="K704" i="10"/>
  <c r="L704" i="10"/>
  <c r="M704" i="10"/>
  <c r="K705" i="10"/>
  <c r="L705" i="10"/>
  <c r="M705" i="10"/>
  <c r="K706" i="10"/>
  <c r="L706" i="10"/>
  <c r="M706" i="10"/>
  <c r="K707" i="10"/>
  <c r="L707" i="10"/>
  <c r="M707" i="10"/>
  <c r="K708" i="10"/>
  <c r="L708" i="10"/>
  <c r="M708" i="10"/>
  <c r="K709" i="10"/>
  <c r="L709" i="10"/>
  <c r="M709" i="10"/>
  <c r="K710" i="10"/>
  <c r="L710" i="10"/>
  <c r="M710" i="10"/>
  <c r="K711" i="10"/>
  <c r="L711" i="10"/>
  <c r="M711" i="10"/>
  <c r="K712" i="10"/>
  <c r="L712" i="10"/>
  <c r="M712" i="10"/>
  <c r="K713" i="10"/>
  <c r="L713" i="10"/>
  <c r="M713" i="10"/>
  <c r="K714" i="10"/>
  <c r="L714" i="10"/>
  <c r="M714" i="10"/>
  <c r="K715" i="10"/>
  <c r="L715" i="10"/>
  <c r="M715" i="10"/>
  <c r="K716" i="10"/>
  <c r="L716" i="10"/>
  <c r="M716" i="10"/>
  <c r="K717" i="10"/>
  <c r="L717" i="10"/>
  <c r="M717" i="10"/>
  <c r="K718" i="10"/>
  <c r="L718" i="10"/>
  <c r="M718" i="10"/>
  <c r="K719" i="10"/>
  <c r="L719" i="10"/>
  <c r="M719" i="10"/>
  <c r="K720" i="10"/>
  <c r="L720" i="10"/>
  <c r="M720" i="10"/>
  <c r="K721" i="10"/>
  <c r="L721" i="10"/>
  <c r="M721" i="10"/>
  <c r="K722" i="10"/>
  <c r="L722" i="10"/>
  <c r="M722" i="10"/>
  <c r="K723" i="10"/>
  <c r="L723" i="10"/>
  <c r="M723" i="10"/>
  <c r="K724" i="10"/>
  <c r="L724" i="10"/>
  <c r="M724" i="10"/>
  <c r="K725" i="10"/>
  <c r="L725" i="10"/>
  <c r="M725" i="10"/>
  <c r="K726" i="10"/>
  <c r="L726" i="10"/>
  <c r="M726" i="10"/>
  <c r="K727" i="10"/>
  <c r="L727" i="10"/>
  <c r="M727" i="10"/>
  <c r="K728" i="10"/>
  <c r="L728" i="10"/>
  <c r="M728" i="10"/>
  <c r="K729" i="10"/>
  <c r="L729" i="10"/>
  <c r="M729" i="10"/>
  <c r="K730" i="10"/>
  <c r="L730" i="10"/>
  <c r="M730" i="10"/>
  <c r="S6" i="10"/>
  <c r="S2" i="10"/>
  <c r="S4" i="10" s="1"/>
  <c r="M2" i="10"/>
  <c r="L2" i="10"/>
  <c r="K2" i="10"/>
  <c r="K3" i="8"/>
  <c r="L3" i="8"/>
  <c r="M3" i="8"/>
  <c r="K4" i="8"/>
  <c r="L4" i="8"/>
  <c r="M4" i="8"/>
  <c r="K5" i="8"/>
  <c r="L5" i="8"/>
  <c r="M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K11" i="8"/>
  <c r="L11" i="8"/>
  <c r="M11" i="8"/>
  <c r="K12" i="8"/>
  <c r="L12" i="8"/>
  <c r="M12" i="8"/>
  <c r="K13" i="8"/>
  <c r="L13" i="8"/>
  <c r="M13" i="8"/>
  <c r="K14" i="8"/>
  <c r="L14" i="8"/>
  <c r="M14" i="8"/>
  <c r="K15" i="8"/>
  <c r="L15" i="8"/>
  <c r="M15" i="8"/>
  <c r="K16" i="8"/>
  <c r="L16" i="8"/>
  <c r="M16" i="8"/>
  <c r="K17" i="8"/>
  <c r="L17" i="8"/>
  <c r="M17" i="8"/>
  <c r="K18" i="8"/>
  <c r="L18" i="8"/>
  <c r="M18" i="8"/>
  <c r="K19" i="8"/>
  <c r="L19" i="8"/>
  <c r="M19" i="8"/>
  <c r="K20" i="8"/>
  <c r="L20" i="8"/>
  <c r="M20" i="8"/>
  <c r="K21" i="8"/>
  <c r="L21" i="8"/>
  <c r="M21" i="8"/>
  <c r="K22" i="8"/>
  <c r="L22" i="8"/>
  <c r="M22" i="8"/>
  <c r="K23" i="8"/>
  <c r="L23" i="8"/>
  <c r="M23" i="8"/>
  <c r="K24" i="8"/>
  <c r="L24" i="8"/>
  <c r="M24" i="8"/>
  <c r="K25" i="8"/>
  <c r="L25" i="8"/>
  <c r="M25" i="8"/>
  <c r="K26" i="8"/>
  <c r="L26" i="8"/>
  <c r="M26" i="8"/>
  <c r="K27" i="8"/>
  <c r="L27" i="8"/>
  <c r="M27" i="8"/>
  <c r="K28" i="8"/>
  <c r="L28" i="8"/>
  <c r="M28" i="8"/>
  <c r="K29" i="8"/>
  <c r="L29" i="8"/>
  <c r="M29" i="8"/>
  <c r="K30" i="8"/>
  <c r="L30" i="8"/>
  <c r="M30" i="8"/>
  <c r="K31" i="8"/>
  <c r="L31" i="8"/>
  <c r="M31" i="8"/>
  <c r="K32" i="8"/>
  <c r="L32" i="8"/>
  <c r="M32" i="8"/>
  <c r="K33" i="8"/>
  <c r="L33" i="8"/>
  <c r="M33" i="8"/>
  <c r="K34" i="8"/>
  <c r="L34" i="8"/>
  <c r="M34" i="8"/>
  <c r="K35" i="8"/>
  <c r="L35" i="8"/>
  <c r="M35" i="8"/>
  <c r="K36" i="8"/>
  <c r="L36" i="8"/>
  <c r="M36" i="8"/>
  <c r="K37" i="8"/>
  <c r="L37" i="8"/>
  <c r="M37" i="8"/>
  <c r="K38" i="8"/>
  <c r="L38" i="8"/>
  <c r="M38" i="8"/>
  <c r="K39" i="8"/>
  <c r="L39" i="8"/>
  <c r="M39" i="8"/>
  <c r="K40" i="8"/>
  <c r="L40" i="8"/>
  <c r="M40" i="8"/>
  <c r="K41" i="8"/>
  <c r="L41" i="8"/>
  <c r="M41" i="8"/>
  <c r="K42" i="8"/>
  <c r="L42" i="8"/>
  <c r="M42" i="8"/>
  <c r="K43" i="8"/>
  <c r="L43" i="8"/>
  <c r="M43" i="8"/>
  <c r="K44" i="8"/>
  <c r="L44" i="8"/>
  <c r="M44" i="8"/>
  <c r="K45" i="8"/>
  <c r="L45" i="8"/>
  <c r="M45" i="8"/>
  <c r="K46" i="8"/>
  <c r="L46" i="8"/>
  <c r="M46" i="8"/>
  <c r="K47" i="8"/>
  <c r="L47" i="8"/>
  <c r="M47" i="8"/>
  <c r="K48" i="8"/>
  <c r="L48" i="8"/>
  <c r="M48" i="8"/>
  <c r="K49" i="8"/>
  <c r="L49" i="8"/>
  <c r="M49" i="8"/>
  <c r="K50" i="8"/>
  <c r="L50" i="8"/>
  <c r="M50" i="8"/>
  <c r="K51" i="8"/>
  <c r="L51" i="8"/>
  <c r="M51" i="8"/>
  <c r="K52" i="8"/>
  <c r="L52" i="8"/>
  <c r="M52" i="8"/>
  <c r="K53" i="8"/>
  <c r="L53" i="8"/>
  <c r="M53" i="8"/>
  <c r="K54" i="8"/>
  <c r="L54" i="8"/>
  <c r="M54" i="8"/>
  <c r="K55" i="8"/>
  <c r="L55" i="8"/>
  <c r="M55" i="8"/>
  <c r="K56" i="8"/>
  <c r="L56" i="8"/>
  <c r="M56" i="8"/>
  <c r="K57" i="8"/>
  <c r="L57" i="8"/>
  <c r="M57" i="8"/>
  <c r="K58" i="8"/>
  <c r="L58" i="8"/>
  <c r="M58" i="8"/>
  <c r="K59" i="8"/>
  <c r="L59" i="8"/>
  <c r="M59" i="8"/>
  <c r="K60" i="8"/>
  <c r="L60" i="8"/>
  <c r="M60" i="8"/>
  <c r="K61" i="8"/>
  <c r="L61" i="8"/>
  <c r="M61" i="8"/>
  <c r="K62" i="8"/>
  <c r="L62" i="8"/>
  <c r="M62" i="8"/>
  <c r="K63" i="8"/>
  <c r="L63" i="8"/>
  <c r="M63" i="8"/>
  <c r="K64" i="8"/>
  <c r="L64" i="8"/>
  <c r="M64" i="8"/>
  <c r="K65" i="8"/>
  <c r="L65" i="8"/>
  <c r="M65" i="8"/>
  <c r="K66" i="8"/>
  <c r="L66" i="8"/>
  <c r="M66" i="8"/>
  <c r="K67" i="8"/>
  <c r="L67" i="8"/>
  <c r="M67" i="8"/>
  <c r="K68" i="8"/>
  <c r="L68" i="8"/>
  <c r="M68" i="8"/>
  <c r="K69" i="8"/>
  <c r="L69" i="8"/>
  <c r="M69" i="8"/>
  <c r="K70" i="8"/>
  <c r="L70" i="8"/>
  <c r="M70" i="8"/>
  <c r="K71" i="8"/>
  <c r="L71" i="8"/>
  <c r="M71" i="8"/>
  <c r="K72" i="8"/>
  <c r="L72" i="8"/>
  <c r="M72" i="8"/>
  <c r="K73" i="8"/>
  <c r="L73" i="8"/>
  <c r="M73" i="8"/>
  <c r="K74" i="8"/>
  <c r="L74" i="8"/>
  <c r="M74" i="8"/>
  <c r="K75" i="8"/>
  <c r="L75" i="8"/>
  <c r="M75" i="8"/>
  <c r="K76" i="8"/>
  <c r="L76" i="8"/>
  <c r="M76" i="8"/>
  <c r="K77" i="8"/>
  <c r="L77" i="8"/>
  <c r="M77" i="8"/>
  <c r="K78" i="8"/>
  <c r="L78" i="8"/>
  <c r="M78" i="8"/>
  <c r="K79" i="8"/>
  <c r="L79" i="8"/>
  <c r="M79" i="8"/>
  <c r="K80" i="8"/>
  <c r="L80" i="8"/>
  <c r="M80" i="8"/>
  <c r="K81" i="8"/>
  <c r="L81" i="8"/>
  <c r="M81" i="8"/>
  <c r="K82" i="8"/>
  <c r="L82" i="8"/>
  <c r="M82" i="8"/>
  <c r="K83" i="8"/>
  <c r="L83" i="8"/>
  <c r="M83" i="8"/>
  <c r="K84" i="8"/>
  <c r="L84" i="8"/>
  <c r="M84" i="8"/>
  <c r="K85" i="8"/>
  <c r="L85" i="8"/>
  <c r="M85" i="8"/>
  <c r="K86" i="8"/>
  <c r="L86" i="8"/>
  <c r="M86" i="8"/>
  <c r="K87" i="8"/>
  <c r="L87" i="8"/>
  <c r="M87" i="8"/>
  <c r="K88" i="8"/>
  <c r="L88" i="8"/>
  <c r="M88" i="8"/>
  <c r="K89" i="8"/>
  <c r="L89" i="8"/>
  <c r="M89" i="8"/>
  <c r="K90" i="8"/>
  <c r="L90" i="8"/>
  <c r="M90" i="8"/>
  <c r="K91" i="8"/>
  <c r="L91" i="8"/>
  <c r="M91" i="8"/>
  <c r="K92" i="8"/>
  <c r="L92" i="8"/>
  <c r="M92" i="8"/>
  <c r="K93" i="8"/>
  <c r="L93" i="8"/>
  <c r="M93" i="8"/>
  <c r="K94" i="8"/>
  <c r="L94" i="8"/>
  <c r="M94" i="8"/>
  <c r="K95" i="8"/>
  <c r="L95" i="8"/>
  <c r="M95" i="8"/>
  <c r="K96" i="8"/>
  <c r="L96" i="8"/>
  <c r="M96" i="8"/>
  <c r="K97" i="8"/>
  <c r="L97" i="8"/>
  <c r="M97" i="8"/>
  <c r="K98" i="8"/>
  <c r="L98" i="8"/>
  <c r="M98" i="8"/>
  <c r="K99" i="8"/>
  <c r="L99" i="8"/>
  <c r="M99" i="8"/>
  <c r="K100" i="8"/>
  <c r="L100" i="8"/>
  <c r="M100" i="8"/>
  <c r="K101" i="8"/>
  <c r="L101" i="8"/>
  <c r="M101" i="8"/>
  <c r="K102" i="8"/>
  <c r="L102" i="8"/>
  <c r="M102" i="8"/>
  <c r="K103" i="8"/>
  <c r="L103" i="8"/>
  <c r="M103" i="8"/>
  <c r="K104" i="8"/>
  <c r="L104" i="8"/>
  <c r="M104" i="8"/>
  <c r="K105" i="8"/>
  <c r="L105" i="8"/>
  <c r="M105" i="8"/>
  <c r="K106" i="8"/>
  <c r="L106" i="8"/>
  <c r="M106" i="8"/>
  <c r="K107" i="8"/>
  <c r="L107" i="8"/>
  <c r="M107" i="8"/>
  <c r="K108" i="8"/>
  <c r="L108" i="8"/>
  <c r="M108" i="8"/>
  <c r="K109" i="8"/>
  <c r="L109" i="8"/>
  <c r="M109" i="8"/>
  <c r="K110" i="8"/>
  <c r="L110" i="8"/>
  <c r="M110" i="8"/>
  <c r="K111" i="8"/>
  <c r="L111" i="8"/>
  <c r="M111" i="8"/>
  <c r="K112" i="8"/>
  <c r="L112" i="8"/>
  <c r="M112" i="8"/>
  <c r="K113" i="8"/>
  <c r="L113" i="8"/>
  <c r="M113" i="8"/>
  <c r="K114" i="8"/>
  <c r="L114" i="8"/>
  <c r="M114" i="8"/>
  <c r="K115" i="8"/>
  <c r="L115" i="8"/>
  <c r="M115" i="8"/>
  <c r="K116" i="8"/>
  <c r="L116" i="8"/>
  <c r="M116" i="8"/>
  <c r="K117" i="8"/>
  <c r="L117" i="8"/>
  <c r="M117" i="8"/>
  <c r="K118" i="8"/>
  <c r="L118" i="8"/>
  <c r="M118" i="8"/>
  <c r="K119" i="8"/>
  <c r="L119" i="8"/>
  <c r="M119" i="8"/>
  <c r="K120" i="8"/>
  <c r="L120" i="8"/>
  <c r="M120" i="8"/>
  <c r="K121" i="8"/>
  <c r="L121" i="8"/>
  <c r="M121" i="8"/>
  <c r="K122" i="8"/>
  <c r="L122" i="8"/>
  <c r="M122" i="8"/>
  <c r="K123" i="8"/>
  <c r="L123" i="8"/>
  <c r="M123" i="8"/>
  <c r="K124" i="8"/>
  <c r="L124" i="8"/>
  <c r="M124" i="8"/>
  <c r="K125" i="8"/>
  <c r="L125" i="8"/>
  <c r="M125" i="8"/>
  <c r="K126" i="8"/>
  <c r="L126" i="8"/>
  <c r="M126" i="8"/>
  <c r="K127" i="8"/>
  <c r="L127" i="8"/>
  <c r="M127" i="8"/>
  <c r="K128" i="8"/>
  <c r="L128" i="8"/>
  <c r="M128" i="8"/>
  <c r="K129" i="8"/>
  <c r="L129" i="8"/>
  <c r="M129" i="8"/>
  <c r="K130" i="8"/>
  <c r="L130" i="8"/>
  <c r="M130" i="8"/>
  <c r="K131" i="8"/>
  <c r="L131" i="8"/>
  <c r="M131" i="8"/>
  <c r="K132" i="8"/>
  <c r="L132" i="8"/>
  <c r="M132" i="8"/>
  <c r="K133" i="8"/>
  <c r="L133" i="8"/>
  <c r="M133" i="8"/>
  <c r="K134" i="8"/>
  <c r="L134" i="8"/>
  <c r="M134" i="8"/>
  <c r="K135" i="8"/>
  <c r="L135" i="8"/>
  <c r="M135" i="8"/>
  <c r="K136" i="8"/>
  <c r="L136" i="8"/>
  <c r="M136" i="8"/>
  <c r="K137" i="8"/>
  <c r="L137" i="8"/>
  <c r="M137" i="8"/>
  <c r="K138" i="8"/>
  <c r="L138" i="8"/>
  <c r="M138" i="8"/>
  <c r="K139" i="8"/>
  <c r="L139" i="8"/>
  <c r="M139" i="8"/>
  <c r="K140" i="8"/>
  <c r="L140" i="8"/>
  <c r="M140" i="8"/>
  <c r="K141" i="8"/>
  <c r="L141" i="8"/>
  <c r="M141" i="8"/>
  <c r="K142" i="8"/>
  <c r="L142" i="8"/>
  <c r="M142" i="8"/>
  <c r="K143" i="8"/>
  <c r="L143" i="8"/>
  <c r="M143" i="8"/>
  <c r="K144" i="8"/>
  <c r="L144" i="8"/>
  <c r="M144" i="8"/>
  <c r="K145" i="8"/>
  <c r="L145" i="8"/>
  <c r="M145" i="8"/>
  <c r="K146" i="8"/>
  <c r="L146" i="8"/>
  <c r="M146" i="8"/>
  <c r="K147" i="8"/>
  <c r="L147" i="8"/>
  <c r="M147" i="8"/>
  <c r="K148" i="8"/>
  <c r="L148" i="8"/>
  <c r="M148" i="8"/>
  <c r="K149" i="8"/>
  <c r="L149" i="8"/>
  <c r="M149" i="8"/>
  <c r="K150" i="8"/>
  <c r="L150" i="8"/>
  <c r="M150" i="8"/>
  <c r="K151" i="8"/>
  <c r="L151" i="8"/>
  <c r="M151" i="8"/>
  <c r="K152" i="8"/>
  <c r="L152" i="8"/>
  <c r="M152" i="8"/>
  <c r="K153" i="8"/>
  <c r="L153" i="8"/>
  <c r="M153" i="8"/>
  <c r="K154" i="8"/>
  <c r="L154" i="8"/>
  <c r="M154" i="8"/>
  <c r="K155" i="8"/>
  <c r="L155" i="8"/>
  <c r="M155" i="8"/>
  <c r="K156" i="8"/>
  <c r="L156" i="8"/>
  <c r="M156" i="8"/>
  <c r="K157" i="8"/>
  <c r="L157" i="8"/>
  <c r="M157" i="8"/>
  <c r="K158" i="8"/>
  <c r="L158" i="8"/>
  <c r="M158" i="8"/>
  <c r="K159" i="8"/>
  <c r="L159" i="8"/>
  <c r="M159" i="8"/>
  <c r="K160" i="8"/>
  <c r="L160" i="8"/>
  <c r="M160" i="8"/>
  <c r="K161" i="8"/>
  <c r="L161" i="8"/>
  <c r="M161" i="8"/>
  <c r="K162" i="8"/>
  <c r="L162" i="8"/>
  <c r="M162" i="8"/>
  <c r="K163" i="8"/>
  <c r="L163" i="8"/>
  <c r="M163" i="8"/>
  <c r="K164" i="8"/>
  <c r="L164" i="8"/>
  <c r="M164" i="8"/>
  <c r="K165" i="8"/>
  <c r="L165" i="8"/>
  <c r="M165" i="8"/>
  <c r="K166" i="8"/>
  <c r="L166" i="8"/>
  <c r="M166" i="8"/>
  <c r="K167" i="8"/>
  <c r="L167" i="8"/>
  <c r="M167" i="8"/>
  <c r="K168" i="8"/>
  <c r="L168" i="8"/>
  <c r="M168" i="8"/>
  <c r="K169" i="8"/>
  <c r="L169" i="8"/>
  <c r="M169" i="8"/>
  <c r="K170" i="8"/>
  <c r="L170" i="8"/>
  <c r="M170" i="8"/>
  <c r="K171" i="8"/>
  <c r="L171" i="8"/>
  <c r="M171" i="8"/>
  <c r="K172" i="8"/>
  <c r="L172" i="8"/>
  <c r="M172" i="8"/>
  <c r="K173" i="8"/>
  <c r="L173" i="8"/>
  <c r="M173" i="8"/>
  <c r="K174" i="8"/>
  <c r="L174" i="8"/>
  <c r="M174" i="8"/>
  <c r="K175" i="8"/>
  <c r="L175" i="8"/>
  <c r="M175" i="8"/>
  <c r="K176" i="8"/>
  <c r="L176" i="8"/>
  <c r="M176" i="8"/>
  <c r="K177" i="8"/>
  <c r="L177" i="8"/>
  <c r="M177" i="8"/>
  <c r="K178" i="8"/>
  <c r="L178" i="8"/>
  <c r="M178" i="8"/>
  <c r="K179" i="8"/>
  <c r="L179" i="8"/>
  <c r="M179" i="8"/>
  <c r="K180" i="8"/>
  <c r="L180" i="8"/>
  <c r="M180" i="8"/>
  <c r="K181" i="8"/>
  <c r="L181" i="8"/>
  <c r="M181" i="8"/>
  <c r="K182" i="8"/>
  <c r="L182" i="8"/>
  <c r="M182" i="8"/>
  <c r="K183" i="8"/>
  <c r="L183" i="8"/>
  <c r="M183" i="8"/>
  <c r="K184" i="8"/>
  <c r="L184" i="8"/>
  <c r="M184" i="8"/>
  <c r="K185" i="8"/>
  <c r="L185" i="8"/>
  <c r="M185" i="8"/>
  <c r="K186" i="8"/>
  <c r="L186" i="8"/>
  <c r="M186" i="8"/>
  <c r="K187" i="8"/>
  <c r="L187" i="8"/>
  <c r="M187" i="8"/>
  <c r="K188" i="8"/>
  <c r="L188" i="8"/>
  <c r="M188" i="8"/>
  <c r="K189" i="8"/>
  <c r="L189" i="8"/>
  <c r="M189" i="8"/>
  <c r="K190" i="8"/>
  <c r="L190" i="8"/>
  <c r="M190" i="8"/>
  <c r="K191" i="8"/>
  <c r="L191" i="8"/>
  <c r="M191" i="8"/>
  <c r="K192" i="8"/>
  <c r="L192" i="8"/>
  <c r="M192" i="8"/>
  <c r="K193" i="8"/>
  <c r="L193" i="8"/>
  <c r="M193" i="8"/>
  <c r="K194" i="8"/>
  <c r="L194" i="8"/>
  <c r="M194" i="8"/>
  <c r="K195" i="8"/>
  <c r="L195" i="8"/>
  <c r="M195" i="8"/>
  <c r="K196" i="8"/>
  <c r="L196" i="8"/>
  <c r="M196" i="8"/>
  <c r="K197" i="8"/>
  <c r="L197" i="8"/>
  <c r="M197" i="8"/>
  <c r="K198" i="8"/>
  <c r="L198" i="8"/>
  <c r="M198" i="8"/>
  <c r="K199" i="8"/>
  <c r="L199" i="8"/>
  <c r="M199" i="8"/>
  <c r="K200" i="8"/>
  <c r="L200" i="8"/>
  <c r="M200" i="8"/>
  <c r="K201" i="8"/>
  <c r="L201" i="8"/>
  <c r="M201" i="8"/>
  <c r="K202" i="8"/>
  <c r="L202" i="8"/>
  <c r="M202" i="8"/>
  <c r="K203" i="8"/>
  <c r="L203" i="8"/>
  <c r="M203" i="8"/>
  <c r="K204" i="8"/>
  <c r="L204" i="8"/>
  <c r="M204" i="8"/>
  <c r="K205" i="8"/>
  <c r="L205" i="8"/>
  <c r="M205" i="8"/>
  <c r="K206" i="8"/>
  <c r="L206" i="8"/>
  <c r="M206" i="8"/>
  <c r="K207" i="8"/>
  <c r="L207" i="8"/>
  <c r="M207" i="8"/>
  <c r="K208" i="8"/>
  <c r="L208" i="8"/>
  <c r="M208" i="8"/>
  <c r="K209" i="8"/>
  <c r="L209" i="8"/>
  <c r="M209" i="8"/>
  <c r="K210" i="8"/>
  <c r="L210" i="8"/>
  <c r="M210" i="8"/>
  <c r="K211" i="8"/>
  <c r="L211" i="8"/>
  <c r="M211" i="8"/>
  <c r="K212" i="8"/>
  <c r="L212" i="8"/>
  <c r="M212" i="8"/>
  <c r="K213" i="8"/>
  <c r="L213" i="8"/>
  <c r="M213" i="8"/>
  <c r="K214" i="8"/>
  <c r="L214" i="8"/>
  <c r="M214" i="8"/>
  <c r="K215" i="8"/>
  <c r="L215" i="8"/>
  <c r="M215" i="8"/>
  <c r="K216" i="8"/>
  <c r="L216" i="8"/>
  <c r="M216" i="8"/>
  <c r="K217" i="8"/>
  <c r="L217" i="8"/>
  <c r="M217" i="8"/>
  <c r="K218" i="8"/>
  <c r="L218" i="8"/>
  <c r="M218" i="8"/>
  <c r="K219" i="8"/>
  <c r="L219" i="8"/>
  <c r="M219" i="8"/>
  <c r="K220" i="8"/>
  <c r="L220" i="8"/>
  <c r="M220" i="8"/>
  <c r="K221" i="8"/>
  <c r="L221" i="8"/>
  <c r="M221" i="8"/>
  <c r="K222" i="8"/>
  <c r="L222" i="8"/>
  <c r="M222" i="8"/>
  <c r="K223" i="8"/>
  <c r="L223" i="8"/>
  <c r="M223" i="8"/>
  <c r="K224" i="8"/>
  <c r="L224" i="8"/>
  <c r="M224" i="8"/>
  <c r="K225" i="8"/>
  <c r="L225" i="8"/>
  <c r="M225" i="8"/>
  <c r="K226" i="8"/>
  <c r="L226" i="8"/>
  <c r="M226" i="8"/>
  <c r="K227" i="8"/>
  <c r="L227" i="8"/>
  <c r="M227" i="8"/>
  <c r="K228" i="8"/>
  <c r="L228" i="8"/>
  <c r="M228" i="8"/>
  <c r="K229" i="8"/>
  <c r="L229" i="8"/>
  <c r="M229" i="8"/>
  <c r="K230" i="8"/>
  <c r="L230" i="8"/>
  <c r="M230" i="8"/>
  <c r="K231" i="8"/>
  <c r="L231" i="8"/>
  <c r="M231" i="8"/>
  <c r="K232" i="8"/>
  <c r="L232" i="8"/>
  <c r="M232" i="8"/>
  <c r="K233" i="8"/>
  <c r="L233" i="8"/>
  <c r="M233" i="8"/>
  <c r="K234" i="8"/>
  <c r="L234" i="8"/>
  <c r="M234" i="8"/>
  <c r="K235" i="8"/>
  <c r="L235" i="8"/>
  <c r="M235" i="8"/>
  <c r="K236" i="8"/>
  <c r="L236" i="8"/>
  <c r="M236" i="8"/>
  <c r="K237" i="8"/>
  <c r="L237" i="8"/>
  <c r="M237" i="8"/>
  <c r="K238" i="8"/>
  <c r="L238" i="8"/>
  <c r="M238" i="8"/>
  <c r="K239" i="8"/>
  <c r="L239" i="8"/>
  <c r="M239" i="8"/>
  <c r="K240" i="8"/>
  <c r="L240" i="8"/>
  <c r="M240" i="8"/>
  <c r="K241" i="8"/>
  <c r="L241" i="8"/>
  <c r="M241" i="8"/>
  <c r="K242" i="8"/>
  <c r="L242" i="8"/>
  <c r="M242" i="8"/>
  <c r="K243" i="8"/>
  <c r="L243" i="8"/>
  <c r="M243" i="8"/>
  <c r="K244" i="8"/>
  <c r="L244" i="8"/>
  <c r="M244" i="8"/>
  <c r="K245" i="8"/>
  <c r="L245" i="8"/>
  <c r="M245" i="8"/>
  <c r="K246" i="8"/>
  <c r="L246" i="8"/>
  <c r="M246" i="8"/>
  <c r="K247" i="8"/>
  <c r="L247" i="8"/>
  <c r="M247" i="8"/>
  <c r="K248" i="8"/>
  <c r="L248" i="8"/>
  <c r="M248" i="8"/>
  <c r="K249" i="8"/>
  <c r="L249" i="8"/>
  <c r="M249" i="8"/>
  <c r="K250" i="8"/>
  <c r="L250" i="8"/>
  <c r="M250" i="8"/>
  <c r="K251" i="8"/>
  <c r="L251" i="8"/>
  <c r="M251" i="8"/>
  <c r="K252" i="8"/>
  <c r="L252" i="8"/>
  <c r="M252" i="8"/>
  <c r="K253" i="8"/>
  <c r="L253" i="8"/>
  <c r="M253" i="8"/>
  <c r="K254" i="8"/>
  <c r="L254" i="8"/>
  <c r="M254" i="8"/>
  <c r="K255" i="8"/>
  <c r="L255" i="8"/>
  <c r="M255" i="8"/>
  <c r="K256" i="8"/>
  <c r="L256" i="8"/>
  <c r="M256" i="8"/>
  <c r="K257" i="8"/>
  <c r="L257" i="8"/>
  <c r="M257" i="8"/>
  <c r="K258" i="8"/>
  <c r="L258" i="8"/>
  <c r="M258" i="8"/>
  <c r="K259" i="8"/>
  <c r="L259" i="8"/>
  <c r="M259" i="8"/>
  <c r="K260" i="8"/>
  <c r="L260" i="8"/>
  <c r="M260" i="8"/>
  <c r="K261" i="8"/>
  <c r="L261" i="8"/>
  <c r="M261" i="8"/>
  <c r="K262" i="8"/>
  <c r="L262" i="8"/>
  <c r="M262" i="8"/>
  <c r="K263" i="8"/>
  <c r="L263" i="8"/>
  <c r="M263" i="8"/>
  <c r="K264" i="8"/>
  <c r="L264" i="8"/>
  <c r="M264" i="8"/>
  <c r="K265" i="8"/>
  <c r="L265" i="8"/>
  <c r="M265" i="8"/>
  <c r="K266" i="8"/>
  <c r="L266" i="8"/>
  <c r="M266" i="8"/>
  <c r="K267" i="8"/>
  <c r="L267" i="8"/>
  <c r="M267" i="8"/>
  <c r="K268" i="8"/>
  <c r="L268" i="8"/>
  <c r="M268" i="8"/>
  <c r="K269" i="8"/>
  <c r="L269" i="8"/>
  <c r="M269" i="8"/>
  <c r="K270" i="8"/>
  <c r="L270" i="8"/>
  <c r="M270" i="8"/>
  <c r="K271" i="8"/>
  <c r="L271" i="8"/>
  <c r="M271" i="8"/>
  <c r="K272" i="8"/>
  <c r="L272" i="8"/>
  <c r="M272" i="8"/>
  <c r="K273" i="8"/>
  <c r="L273" i="8"/>
  <c r="M273" i="8"/>
  <c r="K274" i="8"/>
  <c r="L274" i="8"/>
  <c r="M274" i="8"/>
  <c r="K275" i="8"/>
  <c r="L275" i="8"/>
  <c r="M275" i="8"/>
  <c r="K276" i="8"/>
  <c r="L276" i="8"/>
  <c r="M276" i="8"/>
  <c r="K277" i="8"/>
  <c r="L277" i="8"/>
  <c r="M277" i="8"/>
  <c r="K278" i="8"/>
  <c r="L278" i="8"/>
  <c r="M278" i="8"/>
  <c r="K279" i="8"/>
  <c r="L279" i="8"/>
  <c r="M279" i="8"/>
  <c r="K280" i="8"/>
  <c r="L280" i="8"/>
  <c r="M280" i="8"/>
  <c r="K281" i="8"/>
  <c r="L281" i="8"/>
  <c r="M281" i="8"/>
  <c r="K282" i="8"/>
  <c r="L282" i="8"/>
  <c r="M282" i="8"/>
  <c r="K283" i="8"/>
  <c r="L283" i="8"/>
  <c r="M283" i="8"/>
  <c r="K284" i="8"/>
  <c r="L284" i="8"/>
  <c r="M284" i="8"/>
  <c r="K285" i="8"/>
  <c r="L285" i="8"/>
  <c r="M285" i="8"/>
  <c r="K286" i="8"/>
  <c r="L286" i="8"/>
  <c r="M286" i="8"/>
  <c r="K287" i="8"/>
  <c r="L287" i="8"/>
  <c r="M287" i="8"/>
  <c r="K288" i="8"/>
  <c r="L288" i="8"/>
  <c r="M288" i="8"/>
  <c r="K289" i="8"/>
  <c r="L289" i="8"/>
  <c r="M289" i="8"/>
  <c r="K290" i="8"/>
  <c r="L290" i="8"/>
  <c r="M290" i="8"/>
  <c r="K291" i="8"/>
  <c r="L291" i="8"/>
  <c r="M291" i="8"/>
  <c r="K292" i="8"/>
  <c r="L292" i="8"/>
  <c r="M292" i="8"/>
  <c r="K293" i="8"/>
  <c r="L293" i="8"/>
  <c r="M293" i="8"/>
  <c r="K294" i="8"/>
  <c r="L294" i="8"/>
  <c r="M294" i="8"/>
  <c r="K295" i="8"/>
  <c r="L295" i="8"/>
  <c r="M295" i="8"/>
  <c r="K296" i="8"/>
  <c r="L296" i="8"/>
  <c r="M296" i="8"/>
  <c r="K297" i="8"/>
  <c r="L297" i="8"/>
  <c r="M297" i="8"/>
  <c r="K298" i="8"/>
  <c r="L298" i="8"/>
  <c r="M298" i="8"/>
  <c r="K299" i="8"/>
  <c r="L299" i="8"/>
  <c r="M299" i="8"/>
  <c r="K300" i="8"/>
  <c r="L300" i="8"/>
  <c r="M300" i="8"/>
  <c r="K301" i="8"/>
  <c r="L301" i="8"/>
  <c r="M301" i="8"/>
  <c r="K302" i="8"/>
  <c r="L302" i="8"/>
  <c r="M302" i="8"/>
  <c r="K303" i="8"/>
  <c r="L303" i="8"/>
  <c r="M303" i="8"/>
  <c r="K304" i="8"/>
  <c r="L304" i="8"/>
  <c r="M304" i="8"/>
  <c r="K305" i="8"/>
  <c r="L305" i="8"/>
  <c r="M305" i="8"/>
  <c r="K306" i="8"/>
  <c r="L306" i="8"/>
  <c r="M306" i="8"/>
  <c r="K307" i="8"/>
  <c r="L307" i="8"/>
  <c r="M307" i="8"/>
  <c r="K308" i="8"/>
  <c r="L308" i="8"/>
  <c r="M308" i="8"/>
  <c r="K309" i="8"/>
  <c r="L309" i="8"/>
  <c r="M309" i="8"/>
  <c r="K310" i="8"/>
  <c r="L310" i="8"/>
  <c r="M310" i="8"/>
  <c r="K311" i="8"/>
  <c r="L311" i="8"/>
  <c r="M311" i="8"/>
  <c r="K312" i="8"/>
  <c r="L312" i="8"/>
  <c r="M312" i="8"/>
  <c r="K313" i="8"/>
  <c r="L313" i="8"/>
  <c r="M313" i="8"/>
  <c r="K314" i="8"/>
  <c r="L314" i="8"/>
  <c r="M314" i="8"/>
  <c r="K315" i="8"/>
  <c r="L315" i="8"/>
  <c r="M315" i="8"/>
  <c r="K316" i="8"/>
  <c r="L316" i="8"/>
  <c r="M316" i="8"/>
  <c r="K317" i="8"/>
  <c r="L317" i="8"/>
  <c r="M317" i="8"/>
  <c r="K318" i="8"/>
  <c r="L318" i="8"/>
  <c r="M318" i="8"/>
  <c r="K319" i="8"/>
  <c r="L319" i="8"/>
  <c r="M319" i="8"/>
  <c r="K320" i="8"/>
  <c r="L320" i="8"/>
  <c r="M320" i="8"/>
  <c r="K321" i="8"/>
  <c r="L321" i="8"/>
  <c r="M321" i="8"/>
  <c r="K322" i="8"/>
  <c r="L322" i="8"/>
  <c r="M322" i="8"/>
  <c r="K323" i="8"/>
  <c r="L323" i="8"/>
  <c r="M323" i="8"/>
  <c r="K324" i="8"/>
  <c r="L324" i="8"/>
  <c r="M324" i="8"/>
  <c r="K325" i="8"/>
  <c r="L325" i="8"/>
  <c r="M325" i="8"/>
  <c r="K326" i="8"/>
  <c r="L326" i="8"/>
  <c r="M326" i="8"/>
  <c r="K327" i="8"/>
  <c r="L327" i="8"/>
  <c r="M327" i="8"/>
  <c r="K328" i="8"/>
  <c r="L328" i="8"/>
  <c r="M328" i="8"/>
  <c r="K329" i="8"/>
  <c r="L329" i="8"/>
  <c r="M329" i="8"/>
  <c r="K330" i="8"/>
  <c r="L330" i="8"/>
  <c r="M330" i="8"/>
  <c r="K331" i="8"/>
  <c r="L331" i="8"/>
  <c r="M331" i="8"/>
  <c r="K332" i="8"/>
  <c r="L332" i="8"/>
  <c r="M332" i="8"/>
  <c r="K333" i="8"/>
  <c r="L333" i="8"/>
  <c r="M333" i="8"/>
  <c r="K334" i="8"/>
  <c r="L334" i="8"/>
  <c r="M334" i="8"/>
  <c r="K335" i="8"/>
  <c r="L335" i="8"/>
  <c r="M335" i="8"/>
  <c r="K336" i="8"/>
  <c r="L336" i="8"/>
  <c r="M336" i="8"/>
  <c r="K337" i="8"/>
  <c r="L337" i="8"/>
  <c r="M337" i="8"/>
  <c r="K338" i="8"/>
  <c r="L338" i="8"/>
  <c r="M338" i="8"/>
  <c r="K339" i="8"/>
  <c r="L339" i="8"/>
  <c r="M339" i="8"/>
  <c r="K340" i="8"/>
  <c r="L340" i="8"/>
  <c r="M340" i="8"/>
  <c r="K341" i="8"/>
  <c r="L341" i="8"/>
  <c r="M341" i="8"/>
  <c r="K342" i="8"/>
  <c r="L342" i="8"/>
  <c r="M342" i="8"/>
  <c r="K343" i="8"/>
  <c r="L343" i="8"/>
  <c r="M343" i="8"/>
  <c r="K344" i="8"/>
  <c r="L344" i="8"/>
  <c r="M344" i="8"/>
  <c r="K345" i="8"/>
  <c r="L345" i="8"/>
  <c r="M345" i="8"/>
  <c r="K346" i="8"/>
  <c r="L346" i="8"/>
  <c r="M346" i="8"/>
  <c r="K347" i="8"/>
  <c r="L347" i="8"/>
  <c r="M347" i="8"/>
  <c r="K348" i="8"/>
  <c r="L348" i="8"/>
  <c r="M348" i="8"/>
  <c r="K349" i="8"/>
  <c r="L349" i="8"/>
  <c r="M349" i="8"/>
  <c r="K350" i="8"/>
  <c r="L350" i="8"/>
  <c r="M350" i="8"/>
  <c r="K351" i="8"/>
  <c r="L351" i="8"/>
  <c r="M351" i="8"/>
  <c r="K352" i="8"/>
  <c r="L352" i="8"/>
  <c r="M352" i="8"/>
  <c r="K353" i="8"/>
  <c r="L353" i="8"/>
  <c r="M353" i="8"/>
  <c r="K354" i="8"/>
  <c r="L354" i="8"/>
  <c r="M354" i="8"/>
  <c r="K355" i="8"/>
  <c r="L355" i="8"/>
  <c r="M355" i="8"/>
  <c r="K356" i="8"/>
  <c r="L356" i="8"/>
  <c r="M356" i="8"/>
  <c r="K357" i="8"/>
  <c r="L357" i="8"/>
  <c r="M357" i="8"/>
  <c r="K358" i="8"/>
  <c r="L358" i="8"/>
  <c r="M358" i="8"/>
  <c r="K359" i="8"/>
  <c r="L359" i="8"/>
  <c r="M359" i="8"/>
  <c r="K360" i="8"/>
  <c r="L360" i="8"/>
  <c r="M360" i="8"/>
  <c r="K361" i="8"/>
  <c r="L361" i="8"/>
  <c r="M361" i="8"/>
  <c r="K362" i="8"/>
  <c r="L362" i="8"/>
  <c r="M362" i="8"/>
  <c r="K363" i="8"/>
  <c r="L363" i="8"/>
  <c r="M363" i="8"/>
  <c r="K364" i="8"/>
  <c r="L364" i="8"/>
  <c r="M364" i="8"/>
  <c r="K365" i="8"/>
  <c r="L365" i="8"/>
  <c r="M365" i="8"/>
  <c r="K366" i="8"/>
  <c r="L366" i="8"/>
  <c r="M366" i="8"/>
  <c r="K367" i="8"/>
  <c r="L367" i="8"/>
  <c r="M367" i="8"/>
  <c r="K368" i="8"/>
  <c r="L368" i="8"/>
  <c r="M368" i="8"/>
  <c r="K369" i="8"/>
  <c r="L369" i="8"/>
  <c r="M369" i="8"/>
  <c r="K370" i="8"/>
  <c r="L370" i="8"/>
  <c r="M370" i="8"/>
  <c r="K371" i="8"/>
  <c r="L371" i="8"/>
  <c r="M371" i="8"/>
  <c r="K372" i="8"/>
  <c r="L372" i="8"/>
  <c r="M372" i="8"/>
  <c r="K373" i="8"/>
  <c r="L373" i="8"/>
  <c r="M373" i="8"/>
  <c r="K374" i="8"/>
  <c r="L374" i="8"/>
  <c r="M374" i="8"/>
  <c r="K375" i="8"/>
  <c r="L375" i="8"/>
  <c r="M375" i="8"/>
  <c r="K376" i="8"/>
  <c r="L376" i="8"/>
  <c r="M376" i="8"/>
  <c r="K377" i="8"/>
  <c r="L377" i="8"/>
  <c r="M377" i="8"/>
  <c r="K378" i="8"/>
  <c r="L378" i="8"/>
  <c r="M378" i="8"/>
  <c r="K379" i="8"/>
  <c r="L379" i="8"/>
  <c r="M379" i="8"/>
  <c r="K380" i="8"/>
  <c r="L380" i="8"/>
  <c r="M380" i="8"/>
  <c r="K381" i="8"/>
  <c r="L381" i="8"/>
  <c r="M381" i="8"/>
  <c r="K382" i="8"/>
  <c r="L382" i="8"/>
  <c r="M382" i="8"/>
  <c r="K383" i="8"/>
  <c r="L383" i="8"/>
  <c r="M383" i="8"/>
  <c r="K384" i="8"/>
  <c r="L384" i="8"/>
  <c r="M384" i="8"/>
  <c r="K385" i="8"/>
  <c r="L385" i="8"/>
  <c r="M385" i="8"/>
  <c r="K386" i="8"/>
  <c r="L386" i="8"/>
  <c r="M386" i="8"/>
  <c r="K387" i="8"/>
  <c r="L387" i="8"/>
  <c r="M387" i="8"/>
  <c r="K388" i="8"/>
  <c r="L388" i="8"/>
  <c r="M388" i="8"/>
  <c r="K389" i="8"/>
  <c r="L389" i="8"/>
  <c r="M389" i="8"/>
  <c r="K390" i="8"/>
  <c r="L390" i="8"/>
  <c r="M390" i="8"/>
  <c r="K391" i="8"/>
  <c r="L391" i="8"/>
  <c r="M391" i="8"/>
  <c r="K392" i="8"/>
  <c r="L392" i="8"/>
  <c r="M392" i="8"/>
  <c r="K393" i="8"/>
  <c r="L393" i="8"/>
  <c r="M393" i="8"/>
  <c r="K394" i="8"/>
  <c r="L394" i="8"/>
  <c r="M394" i="8"/>
  <c r="K395" i="8"/>
  <c r="L395" i="8"/>
  <c r="M395" i="8"/>
  <c r="K396" i="8"/>
  <c r="L396" i="8"/>
  <c r="M396" i="8"/>
  <c r="K397" i="8"/>
  <c r="L397" i="8"/>
  <c r="M397" i="8"/>
  <c r="K398" i="8"/>
  <c r="L398" i="8"/>
  <c r="M398" i="8"/>
  <c r="K399" i="8"/>
  <c r="L399" i="8"/>
  <c r="M399" i="8"/>
  <c r="K400" i="8"/>
  <c r="L400" i="8"/>
  <c r="M400" i="8"/>
  <c r="K401" i="8"/>
  <c r="L401" i="8"/>
  <c r="M401" i="8"/>
  <c r="K402" i="8"/>
  <c r="L402" i="8"/>
  <c r="M402" i="8"/>
  <c r="K403" i="8"/>
  <c r="L403" i="8"/>
  <c r="M403" i="8"/>
  <c r="K404" i="8"/>
  <c r="L404" i="8"/>
  <c r="M404" i="8"/>
  <c r="K405" i="8"/>
  <c r="L405" i="8"/>
  <c r="M405" i="8"/>
  <c r="K406" i="8"/>
  <c r="L406" i="8"/>
  <c r="M406" i="8"/>
  <c r="K407" i="8"/>
  <c r="L407" i="8"/>
  <c r="M407" i="8"/>
  <c r="K408" i="8"/>
  <c r="L408" i="8"/>
  <c r="M408" i="8"/>
  <c r="K409" i="8"/>
  <c r="L409" i="8"/>
  <c r="M409" i="8"/>
  <c r="K410" i="8"/>
  <c r="L410" i="8"/>
  <c r="M410" i="8"/>
  <c r="K411" i="8"/>
  <c r="L411" i="8"/>
  <c r="M411" i="8"/>
  <c r="K412" i="8"/>
  <c r="L412" i="8"/>
  <c r="M412" i="8"/>
  <c r="K413" i="8"/>
  <c r="L413" i="8"/>
  <c r="M413" i="8"/>
  <c r="K414" i="8"/>
  <c r="L414" i="8"/>
  <c r="M414" i="8"/>
  <c r="K415" i="8"/>
  <c r="L415" i="8"/>
  <c r="M415" i="8"/>
  <c r="K416" i="8"/>
  <c r="L416" i="8"/>
  <c r="M416" i="8"/>
  <c r="K417" i="8"/>
  <c r="L417" i="8"/>
  <c r="M417" i="8"/>
  <c r="K418" i="8"/>
  <c r="L418" i="8"/>
  <c r="M418" i="8"/>
  <c r="K419" i="8"/>
  <c r="L419" i="8"/>
  <c r="M419" i="8"/>
  <c r="K420" i="8"/>
  <c r="L420" i="8"/>
  <c r="M420" i="8"/>
  <c r="K421" i="8"/>
  <c r="L421" i="8"/>
  <c r="M421" i="8"/>
  <c r="K422" i="8"/>
  <c r="L422" i="8"/>
  <c r="M422" i="8"/>
  <c r="K423" i="8"/>
  <c r="L423" i="8"/>
  <c r="M423" i="8"/>
  <c r="K424" i="8"/>
  <c r="L424" i="8"/>
  <c r="M424" i="8"/>
  <c r="K425" i="8"/>
  <c r="L425" i="8"/>
  <c r="M425" i="8"/>
  <c r="K426" i="8"/>
  <c r="L426" i="8"/>
  <c r="M426" i="8"/>
  <c r="K427" i="8"/>
  <c r="L427" i="8"/>
  <c r="M427" i="8"/>
  <c r="K428" i="8"/>
  <c r="L428" i="8"/>
  <c r="M428" i="8"/>
  <c r="K429" i="8"/>
  <c r="L429" i="8"/>
  <c r="M429" i="8"/>
  <c r="K430" i="8"/>
  <c r="L430" i="8"/>
  <c r="M430" i="8"/>
  <c r="K431" i="8"/>
  <c r="L431" i="8"/>
  <c r="M431" i="8"/>
  <c r="K432" i="8"/>
  <c r="L432" i="8"/>
  <c r="M432" i="8"/>
  <c r="K433" i="8"/>
  <c r="L433" i="8"/>
  <c r="M433" i="8"/>
  <c r="K434" i="8"/>
  <c r="L434" i="8"/>
  <c r="M434" i="8"/>
  <c r="K435" i="8"/>
  <c r="L435" i="8"/>
  <c r="M435" i="8"/>
  <c r="K436" i="8"/>
  <c r="L436" i="8"/>
  <c r="M436" i="8"/>
  <c r="K437" i="8"/>
  <c r="L437" i="8"/>
  <c r="M437" i="8"/>
  <c r="K438" i="8"/>
  <c r="L438" i="8"/>
  <c r="M438" i="8"/>
  <c r="K439" i="8"/>
  <c r="L439" i="8"/>
  <c r="M439" i="8"/>
  <c r="K440" i="8"/>
  <c r="L440" i="8"/>
  <c r="M440" i="8"/>
  <c r="K441" i="8"/>
  <c r="L441" i="8"/>
  <c r="M441" i="8"/>
  <c r="K442" i="8"/>
  <c r="L442" i="8"/>
  <c r="M442" i="8"/>
  <c r="K443" i="8"/>
  <c r="L443" i="8"/>
  <c r="M443" i="8"/>
  <c r="K444" i="8"/>
  <c r="L444" i="8"/>
  <c r="M444" i="8"/>
  <c r="K445" i="8"/>
  <c r="L445" i="8"/>
  <c r="M445" i="8"/>
  <c r="K446" i="8"/>
  <c r="L446" i="8"/>
  <c r="M446" i="8"/>
  <c r="K447" i="8"/>
  <c r="L447" i="8"/>
  <c r="M447" i="8"/>
  <c r="K448" i="8"/>
  <c r="L448" i="8"/>
  <c r="M448" i="8"/>
  <c r="K449" i="8"/>
  <c r="L449" i="8"/>
  <c r="M449" i="8"/>
  <c r="K450" i="8"/>
  <c r="L450" i="8"/>
  <c r="M450" i="8"/>
  <c r="K451" i="8"/>
  <c r="L451" i="8"/>
  <c r="M451" i="8"/>
  <c r="K452" i="8"/>
  <c r="L452" i="8"/>
  <c r="M452" i="8"/>
  <c r="K453" i="8"/>
  <c r="L453" i="8"/>
  <c r="M453" i="8"/>
  <c r="K454" i="8"/>
  <c r="L454" i="8"/>
  <c r="M454" i="8"/>
  <c r="K455" i="8"/>
  <c r="L455" i="8"/>
  <c r="M455" i="8"/>
  <c r="K456" i="8"/>
  <c r="L456" i="8"/>
  <c r="M456" i="8"/>
  <c r="K457" i="8"/>
  <c r="L457" i="8"/>
  <c r="M457" i="8"/>
  <c r="K458" i="8"/>
  <c r="L458" i="8"/>
  <c r="M458" i="8"/>
  <c r="K459" i="8"/>
  <c r="L459" i="8"/>
  <c r="M459" i="8"/>
  <c r="K460" i="8"/>
  <c r="L460" i="8"/>
  <c r="M460" i="8"/>
  <c r="K461" i="8"/>
  <c r="L461" i="8"/>
  <c r="M461" i="8"/>
  <c r="K462" i="8"/>
  <c r="L462" i="8"/>
  <c r="M462" i="8"/>
  <c r="K463" i="8"/>
  <c r="L463" i="8"/>
  <c r="M463" i="8"/>
  <c r="K464" i="8"/>
  <c r="L464" i="8"/>
  <c r="M464" i="8"/>
  <c r="K465" i="8"/>
  <c r="L465" i="8"/>
  <c r="M465" i="8"/>
  <c r="K466" i="8"/>
  <c r="L466" i="8"/>
  <c r="M466" i="8"/>
  <c r="K467" i="8"/>
  <c r="L467" i="8"/>
  <c r="M467" i="8"/>
  <c r="K468" i="8"/>
  <c r="L468" i="8"/>
  <c r="M468" i="8"/>
  <c r="K469" i="8"/>
  <c r="L469" i="8"/>
  <c r="M469" i="8"/>
  <c r="K470" i="8"/>
  <c r="L470" i="8"/>
  <c r="M470" i="8"/>
  <c r="K471" i="8"/>
  <c r="L471" i="8"/>
  <c r="M471" i="8"/>
  <c r="K472" i="8"/>
  <c r="L472" i="8"/>
  <c r="M472" i="8"/>
  <c r="K473" i="8"/>
  <c r="L473" i="8"/>
  <c r="M473" i="8"/>
  <c r="K474" i="8"/>
  <c r="L474" i="8"/>
  <c r="M474" i="8"/>
  <c r="K475" i="8"/>
  <c r="L475" i="8"/>
  <c r="M475" i="8"/>
  <c r="K476" i="8"/>
  <c r="L476" i="8"/>
  <c r="M476" i="8"/>
  <c r="K477" i="8"/>
  <c r="L477" i="8"/>
  <c r="M477" i="8"/>
  <c r="K478" i="8"/>
  <c r="L478" i="8"/>
  <c r="M478" i="8"/>
  <c r="K479" i="8"/>
  <c r="L479" i="8"/>
  <c r="M479" i="8"/>
  <c r="K480" i="8"/>
  <c r="L480" i="8"/>
  <c r="M480" i="8"/>
  <c r="K481" i="8"/>
  <c r="L481" i="8"/>
  <c r="M481" i="8"/>
  <c r="K482" i="8"/>
  <c r="L482" i="8"/>
  <c r="M482" i="8"/>
  <c r="K483" i="8"/>
  <c r="L483" i="8"/>
  <c r="M483" i="8"/>
  <c r="K484" i="8"/>
  <c r="L484" i="8"/>
  <c r="M484" i="8"/>
  <c r="K485" i="8"/>
  <c r="L485" i="8"/>
  <c r="M485" i="8"/>
  <c r="K486" i="8"/>
  <c r="L486" i="8"/>
  <c r="M486" i="8"/>
  <c r="K487" i="8"/>
  <c r="L487" i="8"/>
  <c r="M487" i="8"/>
  <c r="K488" i="8"/>
  <c r="L488" i="8"/>
  <c r="M488" i="8"/>
  <c r="K489" i="8"/>
  <c r="L489" i="8"/>
  <c r="M489" i="8"/>
  <c r="K490" i="8"/>
  <c r="L490" i="8"/>
  <c r="M490" i="8"/>
  <c r="K491" i="8"/>
  <c r="L491" i="8"/>
  <c r="M491" i="8"/>
  <c r="K492" i="8"/>
  <c r="L492" i="8"/>
  <c r="M492" i="8"/>
  <c r="K493" i="8"/>
  <c r="L493" i="8"/>
  <c r="M493" i="8"/>
  <c r="K494" i="8"/>
  <c r="L494" i="8"/>
  <c r="M494" i="8"/>
  <c r="K495" i="8"/>
  <c r="L495" i="8"/>
  <c r="M495" i="8"/>
  <c r="K496" i="8"/>
  <c r="L496" i="8"/>
  <c r="M496" i="8"/>
  <c r="K497" i="8"/>
  <c r="L497" i="8"/>
  <c r="M497" i="8"/>
  <c r="K498" i="8"/>
  <c r="L498" i="8"/>
  <c r="M498" i="8"/>
  <c r="K499" i="8"/>
  <c r="L499" i="8"/>
  <c r="M499" i="8"/>
  <c r="K500" i="8"/>
  <c r="L500" i="8"/>
  <c r="M500" i="8"/>
  <c r="K501" i="8"/>
  <c r="L501" i="8"/>
  <c r="M501" i="8"/>
  <c r="K502" i="8"/>
  <c r="L502" i="8"/>
  <c r="M502" i="8"/>
  <c r="K503" i="8"/>
  <c r="L503" i="8"/>
  <c r="M503" i="8"/>
  <c r="K504" i="8"/>
  <c r="L504" i="8"/>
  <c r="M504" i="8"/>
  <c r="K505" i="8"/>
  <c r="L505" i="8"/>
  <c r="M505" i="8"/>
  <c r="K506" i="8"/>
  <c r="L506" i="8"/>
  <c r="M506" i="8"/>
  <c r="K507" i="8"/>
  <c r="L507" i="8"/>
  <c r="M507" i="8"/>
  <c r="K508" i="8"/>
  <c r="L508" i="8"/>
  <c r="M508" i="8"/>
  <c r="K509" i="8"/>
  <c r="L509" i="8"/>
  <c r="M509" i="8"/>
  <c r="K510" i="8"/>
  <c r="L510" i="8"/>
  <c r="M510" i="8"/>
  <c r="K511" i="8"/>
  <c r="L511" i="8"/>
  <c r="M511" i="8"/>
  <c r="K512" i="8"/>
  <c r="L512" i="8"/>
  <c r="M512" i="8"/>
  <c r="K513" i="8"/>
  <c r="L513" i="8"/>
  <c r="M513" i="8"/>
  <c r="K514" i="8"/>
  <c r="L514" i="8"/>
  <c r="M514" i="8"/>
  <c r="K515" i="8"/>
  <c r="L515" i="8"/>
  <c r="M515" i="8"/>
  <c r="K516" i="8"/>
  <c r="L516" i="8"/>
  <c r="M516" i="8"/>
  <c r="K517" i="8"/>
  <c r="L517" i="8"/>
  <c r="M517" i="8"/>
  <c r="K518" i="8"/>
  <c r="L518" i="8"/>
  <c r="M518" i="8"/>
  <c r="K519" i="8"/>
  <c r="L519" i="8"/>
  <c r="M519" i="8"/>
  <c r="K520" i="8"/>
  <c r="L520" i="8"/>
  <c r="M520" i="8"/>
  <c r="K521" i="8"/>
  <c r="L521" i="8"/>
  <c r="M521" i="8"/>
  <c r="K522" i="8"/>
  <c r="L522" i="8"/>
  <c r="M522" i="8"/>
  <c r="K523" i="8"/>
  <c r="L523" i="8"/>
  <c r="M523" i="8"/>
  <c r="K524" i="8"/>
  <c r="L524" i="8"/>
  <c r="M524" i="8"/>
  <c r="K525" i="8"/>
  <c r="L525" i="8"/>
  <c r="M525" i="8"/>
  <c r="K526" i="8"/>
  <c r="L526" i="8"/>
  <c r="M526" i="8"/>
  <c r="K527" i="8"/>
  <c r="L527" i="8"/>
  <c r="M527" i="8"/>
  <c r="K528" i="8"/>
  <c r="L528" i="8"/>
  <c r="M528" i="8"/>
  <c r="K529" i="8"/>
  <c r="L529" i="8"/>
  <c r="M529" i="8"/>
  <c r="K530" i="8"/>
  <c r="L530" i="8"/>
  <c r="M530" i="8"/>
  <c r="K531" i="8"/>
  <c r="L531" i="8"/>
  <c r="M531" i="8"/>
  <c r="K532" i="8"/>
  <c r="L532" i="8"/>
  <c r="M532" i="8"/>
  <c r="K533" i="8"/>
  <c r="L533" i="8"/>
  <c r="M533" i="8"/>
  <c r="K534" i="8"/>
  <c r="L534" i="8"/>
  <c r="M534" i="8"/>
  <c r="K535" i="8"/>
  <c r="L535" i="8"/>
  <c r="M535" i="8"/>
  <c r="K536" i="8"/>
  <c r="L536" i="8"/>
  <c r="M536" i="8"/>
  <c r="K537" i="8"/>
  <c r="L537" i="8"/>
  <c r="M537" i="8"/>
  <c r="K538" i="8"/>
  <c r="L538" i="8"/>
  <c r="M538" i="8"/>
  <c r="K539" i="8"/>
  <c r="L539" i="8"/>
  <c r="M539" i="8"/>
  <c r="K540" i="8"/>
  <c r="L540" i="8"/>
  <c r="M540" i="8"/>
  <c r="K541" i="8"/>
  <c r="L541" i="8"/>
  <c r="M541" i="8"/>
  <c r="K542" i="8"/>
  <c r="L542" i="8"/>
  <c r="M542" i="8"/>
  <c r="K543" i="8"/>
  <c r="L543" i="8"/>
  <c r="M543" i="8"/>
  <c r="K544" i="8"/>
  <c r="L544" i="8"/>
  <c r="M544" i="8"/>
  <c r="K545" i="8"/>
  <c r="L545" i="8"/>
  <c r="M545" i="8"/>
  <c r="K546" i="8"/>
  <c r="L546" i="8"/>
  <c r="M546" i="8"/>
  <c r="K547" i="8"/>
  <c r="L547" i="8"/>
  <c r="M547" i="8"/>
  <c r="K548" i="8"/>
  <c r="L548" i="8"/>
  <c r="M548" i="8"/>
  <c r="K549" i="8"/>
  <c r="L549" i="8"/>
  <c r="M549" i="8"/>
  <c r="K550" i="8"/>
  <c r="L550" i="8"/>
  <c r="M550" i="8"/>
  <c r="K551" i="8"/>
  <c r="L551" i="8"/>
  <c r="M551" i="8"/>
  <c r="K552" i="8"/>
  <c r="L552" i="8"/>
  <c r="M552" i="8"/>
  <c r="K553" i="8"/>
  <c r="L553" i="8"/>
  <c r="M553" i="8"/>
  <c r="K554" i="8"/>
  <c r="L554" i="8"/>
  <c r="M554" i="8"/>
  <c r="K555" i="8"/>
  <c r="L555" i="8"/>
  <c r="M555" i="8"/>
  <c r="K556" i="8"/>
  <c r="L556" i="8"/>
  <c r="M556" i="8"/>
  <c r="K557" i="8"/>
  <c r="L557" i="8"/>
  <c r="M557" i="8"/>
  <c r="K558" i="8"/>
  <c r="L558" i="8"/>
  <c r="M558" i="8"/>
  <c r="K559" i="8"/>
  <c r="L559" i="8"/>
  <c r="M559" i="8"/>
  <c r="K560" i="8"/>
  <c r="L560" i="8"/>
  <c r="M560" i="8"/>
  <c r="K561" i="8"/>
  <c r="L561" i="8"/>
  <c r="M561" i="8"/>
  <c r="K562" i="8"/>
  <c r="L562" i="8"/>
  <c r="M562" i="8"/>
  <c r="K563" i="8"/>
  <c r="L563" i="8"/>
  <c r="M563" i="8"/>
  <c r="K564" i="8"/>
  <c r="L564" i="8"/>
  <c r="M564" i="8"/>
  <c r="K565" i="8"/>
  <c r="L565" i="8"/>
  <c r="M565" i="8"/>
  <c r="K566" i="8"/>
  <c r="L566" i="8"/>
  <c r="M566" i="8"/>
  <c r="K567" i="8"/>
  <c r="L567" i="8"/>
  <c r="M567" i="8"/>
  <c r="K568" i="8"/>
  <c r="L568" i="8"/>
  <c r="M568" i="8"/>
  <c r="K569" i="8"/>
  <c r="L569" i="8"/>
  <c r="M569" i="8"/>
  <c r="K570" i="8"/>
  <c r="L570" i="8"/>
  <c r="M570" i="8"/>
  <c r="K571" i="8"/>
  <c r="L571" i="8"/>
  <c r="M571" i="8"/>
  <c r="K572" i="8"/>
  <c r="L572" i="8"/>
  <c r="M572" i="8"/>
  <c r="K573" i="8"/>
  <c r="L573" i="8"/>
  <c r="M573" i="8"/>
  <c r="K574" i="8"/>
  <c r="L574" i="8"/>
  <c r="M574" i="8"/>
  <c r="K575" i="8"/>
  <c r="L575" i="8"/>
  <c r="M575" i="8"/>
  <c r="K576" i="8"/>
  <c r="L576" i="8"/>
  <c r="M576" i="8"/>
  <c r="K577" i="8"/>
  <c r="L577" i="8"/>
  <c r="M577" i="8"/>
  <c r="K578" i="8"/>
  <c r="L578" i="8"/>
  <c r="M578" i="8"/>
  <c r="K579" i="8"/>
  <c r="L579" i="8"/>
  <c r="M579" i="8"/>
  <c r="K580" i="8"/>
  <c r="L580" i="8"/>
  <c r="M580" i="8"/>
  <c r="K581" i="8"/>
  <c r="L581" i="8"/>
  <c r="M581" i="8"/>
  <c r="K582" i="8"/>
  <c r="L582" i="8"/>
  <c r="M582" i="8"/>
  <c r="K583" i="8"/>
  <c r="L583" i="8"/>
  <c r="M583" i="8"/>
  <c r="K584" i="8"/>
  <c r="L584" i="8"/>
  <c r="M584" i="8"/>
  <c r="K585" i="8"/>
  <c r="L585" i="8"/>
  <c r="M585" i="8"/>
  <c r="K586" i="8"/>
  <c r="L586" i="8"/>
  <c r="M586" i="8"/>
  <c r="K587" i="8"/>
  <c r="L587" i="8"/>
  <c r="M587" i="8"/>
  <c r="K588" i="8"/>
  <c r="L588" i="8"/>
  <c r="M588" i="8"/>
  <c r="K589" i="8"/>
  <c r="L589" i="8"/>
  <c r="M589" i="8"/>
  <c r="K590" i="8"/>
  <c r="L590" i="8"/>
  <c r="M590" i="8"/>
  <c r="K591" i="8"/>
  <c r="L591" i="8"/>
  <c r="M591" i="8"/>
  <c r="K592" i="8"/>
  <c r="L592" i="8"/>
  <c r="M592" i="8"/>
  <c r="K593" i="8"/>
  <c r="L593" i="8"/>
  <c r="M593" i="8"/>
  <c r="K594" i="8"/>
  <c r="L594" i="8"/>
  <c r="M594" i="8"/>
  <c r="K595" i="8"/>
  <c r="L595" i="8"/>
  <c r="M595" i="8"/>
  <c r="K596" i="8"/>
  <c r="L596" i="8"/>
  <c r="M596" i="8"/>
  <c r="K597" i="8"/>
  <c r="L597" i="8"/>
  <c r="M597" i="8"/>
  <c r="K598" i="8"/>
  <c r="L598" i="8"/>
  <c r="M598" i="8"/>
  <c r="K599" i="8"/>
  <c r="L599" i="8"/>
  <c r="M599" i="8"/>
  <c r="K600" i="8"/>
  <c r="L600" i="8"/>
  <c r="M600" i="8"/>
  <c r="K601" i="8"/>
  <c r="L601" i="8"/>
  <c r="M601" i="8"/>
  <c r="K602" i="8"/>
  <c r="L602" i="8"/>
  <c r="M602" i="8"/>
  <c r="K603" i="8"/>
  <c r="L603" i="8"/>
  <c r="M603" i="8"/>
  <c r="K604" i="8"/>
  <c r="L604" i="8"/>
  <c r="M604" i="8"/>
  <c r="K605" i="8"/>
  <c r="L605" i="8"/>
  <c r="M605" i="8"/>
  <c r="K606" i="8"/>
  <c r="L606" i="8"/>
  <c r="M606" i="8"/>
  <c r="K607" i="8"/>
  <c r="L607" i="8"/>
  <c r="M607" i="8"/>
  <c r="K608" i="8"/>
  <c r="L608" i="8"/>
  <c r="M608" i="8"/>
  <c r="K609" i="8"/>
  <c r="L609" i="8"/>
  <c r="M609" i="8"/>
  <c r="K610" i="8"/>
  <c r="L610" i="8"/>
  <c r="M610" i="8"/>
  <c r="K611" i="8"/>
  <c r="L611" i="8"/>
  <c r="M611" i="8"/>
  <c r="K612" i="8"/>
  <c r="L612" i="8"/>
  <c r="M612" i="8"/>
  <c r="K613" i="8"/>
  <c r="L613" i="8"/>
  <c r="M613" i="8"/>
  <c r="K614" i="8"/>
  <c r="L614" i="8"/>
  <c r="M614" i="8"/>
  <c r="K615" i="8"/>
  <c r="L615" i="8"/>
  <c r="M615" i="8"/>
  <c r="K616" i="8"/>
  <c r="L616" i="8"/>
  <c r="M616" i="8"/>
  <c r="K617" i="8"/>
  <c r="L617" i="8"/>
  <c r="M617" i="8"/>
  <c r="K618" i="8"/>
  <c r="L618" i="8"/>
  <c r="M618" i="8"/>
  <c r="K619" i="8"/>
  <c r="L619" i="8"/>
  <c r="M619" i="8"/>
  <c r="K620" i="8"/>
  <c r="L620" i="8"/>
  <c r="M620" i="8"/>
  <c r="K621" i="8"/>
  <c r="L621" i="8"/>
  <c r="M621" i="8"/>
  <c r="K622" i="8"/>
  <c r="L622" i="8"/>
  <c r="M622" i="8"/>
  <c r="K623" i="8"/>
  <c r="L623" i="8"/>
  <c r="M623" i="8"/>
  <c r="K624" i="8"/>
  <c r="L624" i="8"/>
  <c r="M624" i="8"/>
  <c r="K625" i="8"/>
  <c r="L625" i="8"/>
  <c r="M625" i="8"/>
  <c r="K626" i="8"/>
  <c r="L626" i="8"/>
  <c r="M626" i="8"/>
  <c r="K627" i="8"/>
  <c r="L627" i="8"/>
  <c r="M627" i="8"/>
  <c r="K628" i="8"/>
  <c r="L628" i="8"/>
  <c r="M628" i="8"/>
  <c r="K629" i="8"/>
  <c r="L629" i="8"/>
  <c r="M629" i="8"/>
  <c r="K630" i="8"/>
  <c r="L630" i="8"/>
  <c r="M630" i="8"/>
  <c r="K631" i="8"/>
  <c r="L631" i="8"/>
  <c r="M631" i="8"/>
  <c r="K632" i="8"/>
  <c r="L632" i="8"/>
  <c r="M632" i="8"/>
  <c r="K633" i="8"/>
  <c r="L633" i="8"/>
  <c r="M633" i="8"/>
  <c r="K634" i="8"/>
  <c r="L634" i="8"/>
  <c r="M634" i="8"/>
  <c r="K635" i="8"/>
  <c r="L635" i="8"/>
  <c r="M635" i="8"/>
  <c r="K636" i="8"/>
  <c r="L636" i="8"/>
  <c r="M636" i="8"/>
  <c r="K637" i="8"/>
  <c r="L637" i="8"/>
  <c r="M637" i="8"/>
  <c r="K638" i="8"/>
  <c r="L638" i="8"/>
  <c r="M638" i="8"/>
  <c r="K639" i="8"/>
  <c r="L639" i="8"/>
  <c r="M639" i="8"/>
  <c r="K640" i="8"/>
  <c r="L640" i="8"/>
  <c r="M640" i="8"/>
  <c r="K641" i="8"/>
  <c r="L641" i="8"/>
  <c r="M641" i="8"/>
  <c r="K642" i="8"/>
  <c r="L642" i="8"/>
  <c r="M642" i="8"/>
  <c r="K643" i="8"/>
  <c r="L643" i="8"/>
  <c r="M643" i="8"/>
  <c r="K644" i="8"/>
  <c r="L644" i="8"/>
  <c r="M644" i="8"/>
  <c r="K645" i="8"/>
  <c r="L645" i="8"/>
  <c r="M645" i="8"/>
  <c r="K646" i="8"/>
  <c r="L646" i="8"/>
  <c r="M646" i="8"/>
  <c r="K647" i="8"/>
  <c r="L647" i="8"/>
  <c r="M647" i="8"/>
  <c r="K648" i="8"/>
  <c r="L648" i="8"/>
  <c r="M648" i="8"/>
  <c r="K649" i="8"/>
  <c r="L649" i="8"/>
  <c r="M649" i="8"/>
  <c r="K650" i="8"/>
  <c r="L650" i="8"/>
  <c r="M650" i="8"/>
  <c r="K651" i="8"/>
  <c r="L651" i="8"/>
  <c r="M651" i="8"/>
  <c r="K652" i="8"/>
  <c r="L652" i="8"/>
  <c r="M652" i="8"/>
  <c r="K653" i="8"/>
  <c r="L653" i="8"/>
  <c r="M653" i="8"/>
  <c r="K654" i="8"/>
  <c r="L654" i="8"/>
  <c r="M654" i="8"/>
  <c r="K655" i="8"/>
  <c r="L655" i="8"/>
  <c r="M655" i="8"/>
  <c r="K656" i="8"/>
  <c r="L656" i="8"/>
  <c r="M656" i="8"/>
  <c r="K657" i="8"/>
  <c r="L657" i="8"/>
  <c r="M657" i="8"/>
  <c r="K658" i="8"/>
  <c r="L658" i="8"/>
  <c r="M658" i="8"/>
  <c r="K659" i="8"/>
  <c r="L659" i="8"/>
  <c r="M659" i="8"/>
  <c r="K660" i="8"/>
  <c r="L660" i="8"/>
  <c r="M660" i="8"/>
  <c r="K661" i="8"/>
  <c r="L661" i="8"/>
  <c r="M661" i="8"/>
  <c r="K662" i="8"/>
  <c r="L662" i="8"/>
  <c r="M662" i="8"/>
  <c r="K663" i="8"/>
  <c r="L663" i="8"/>
  <c r="M663" i="8"/>
  <c r="K664" i="8"/>
  <c r="L664" i="8"/>
  <c r="M664" i="8"/>
  <c r="K665" i="8"/>
  <c r="L665" i="8"/>
  <c r="M665" i="8"/>
  <c r="K666" i="8"/>
  <c r="L666" i="8"/>
  <c r="M666" i="8"/>
  <c r="K667" i="8"/>
  <c r="L667" i="8"/>
  <c r="M667" i="8"/>
  <c r="K668" i="8"/>
  <c r="L668" i="8"/>
  <c r="M668" i="8"/>
  <c r="K669" i="8"/>
  <c r="L669" i="8"/>
  <c r="M669" i="8"/>
  <c r="K670" i="8"/>
  <c r="L670" i="8"/>
  <c r="M670" i="8"/>
  <c r="K671" i="8"/>
  <c r="L671" i="8"/>
  <c r="M671" i="8"/>
  <c r="K672" i="8"/>
  <c r="L672" i="8"/>
  <c r="M672" i="8"/>
  <c r="K673" i="8"/>
  <c r="L673" i="8"/>
  <c r="M673" i="8"/>
  <c r="K674" i="8"/>
  <c r="L674" i="8"/>
  <c r="M674" i="8"/>
  <c r="K675" i="8"/>
  <c r="L675" i="8"/>
  <c r="M675" i="8"/>
  <c r="K676" i="8"/>
  <c r="L676" i="8"/>
  <c r="M676" i="8"/>
  <c r="K677" i="8"/>
  <c r="L677" i="8"/>
  <c r="M677" i="8"/>
  <c r="K678" i="8"/>
  <c r="L678" i="8"/>
  <c r="M678" i="8"/>
  <c r="K679" i="8"/>
  <c r="L679" i="8"/>
  <c r="M679" i="8"/>
  <c r="K680" i="8"/>
  <c r="L680" i="8"/>
  <c r="M680" i="8"/>
  <c r="K681" i="8"/>
  <c r="L681" i="8"/>
  <c r="M681" i="8"/>
  <c r="K682" i="8"/>
  <c r="L682" i="8"/>
  <c r="M682" i="8"/>
  <c r="K683" i="8"/>
  <c r="L683" i="8"/>
  <c r="M683" i="8"/>
  <c r="K684" i="8"/>
  <c r="L684" i="8"/>
  <c r="M684" i="8"/>
  <c r="K685" i="8"/>
  <c r="L685" i="8"/>
  <c r="M685" i="8"/>
  <c r="K686" i="8"/>
  <c r="L686" i="8"/>
  <c r="M686" i="8"/>
  <c r="K687" i="8"/>
  <c r="L687" i="8"/>
  <c r="M687" i="8"/>
  <c r="K688" i="8"/>
  <c r="L688" i="8"/>
  <c r="M688" i="8"/>
  <c r="K689" i="8"/>
  <c r="L689" i="8"/>
  <c r="M689" i="8"/>
  <c r="K690" i="8"/>
  <c r="L690" i="8"/>
  <c r="M690" i="8"/>
  <c r="K691" i="8"/>
  <c r="L691" i="8"/>
  <c r="M691" i="8"/>
  <c r="K692" i="8"/>
  <c r="L692" i="8"/>
  <c r="M692" i="8"/>
  <c r="K693" i="8"/>
  <c r="L693" i="8"/>
  <c r="M693" i="8"/>
  <c r="K694" i="8"/>
  <c r="L694" i="8"/>
  <c r="M694" i="8"/>
  <c r="K695" i="8"/>
  <c r="L695" i="8"/>
  <c r="M695" i="8"/>
  <c r="K696" i="8"/>
  <c r="L696" i="8"/>
  <c r="M696" i="8"/>
  <c r="K697" i="8"/>
  <c r="L697" i="8"/>
  <c r="M697" i="8"/>
  <c r="K698" i="8"/>
  <c r="L698" i="8"/>
  <c r="M698" i="8"/>
  <c r="K699" i="8"/>
  <c r="L699" i="8"/>
  <c r="M699" i="8"/>
  <c r="K700" i="8"/>
  <c r="L700" i="8"/>
  <c r="M700" i="8"/>
  <c r="K701" i="8"/>
  <c r="L701" i="8"/>
  <c r="M701" i="8"/>
  <c r="K702" i="8"/>
  <c r="L702" i="8"/>
  <c r="M702" i="8"/>
  <c r="K703" i="8"/>
  <c r="L703" i="8"/>
  <c r="M703" i="8"/>
  <c r="K704" i="8"/>
  <c r="L704" i="8"/>
  <c r="M704" i="8"/>
  <c r="K705" i="8"/>
  <c r="L705" i="8"/>
  <c r="M705" i="8"/>
  <c r="K706" i="8"/>
  <c r="L706" i="8"/>
  <c r="M706" i="8"/>
  <c r="K707" i="8"/>
  <c r="L707" i="8"/>
  <c r="M707" i="8"/>
  <c r="K708" i="8"/>
  <c r="L708" i="8"/>
  <c r="M708" i="8"/>
  <c r="K709" i="8"/>
  <c r="L709" i="8"/>
  <c r="M709" i="8"/>
  <c r="K710" i="8"/>
  <c r="L710" i="8"/>
  <c r="M710" i="8"/>
  <c r="K711" i="8"/>
  <c r="L711" i="8"/>
  <c r="M711" i="8"/>
  <c r="K712" i="8"/>
  <c r="L712" i="8"/>
  <c r="M712" i="8"/>
  <c r="K713" i="8"/>
  <c r="L713" i="8"/>
  <c r="M713" i="8"/>
  <c r="K714" i="8"/>
  <c r="L714" i="8"/>
  <c r="M714" i="8"/>
  <c r="K715" i="8"/>
  <c r="L715" i="8"/>
  <c r="M715" i="8"/>
  <c r="K716" i="8"/>
  <c r="L716" i="8"/>
  <c r="M716" i="8"/>
  <c r="K717" i="8"/>
  <c r="L717" i="8"/>
  <c r="M717" i="8"/>
  <c r="K718" i="8"/>
  <c r="L718" i="8"/>
  <c r="M718" i="8"/>
  <c r="K719" i="8"/>
  <c r="L719" i="8"/>
  <c r="M719" i="8"/>
  <c r="K720" i="8"/>
  <c r="L720" i="8"/>
  <c r="M720" i="8"/>
  <c r="K721" i="8"/>
  <c r="L721" i="8"/>
  <c r="M721" i="8"/>
  <c r="K722" i="8"/>
  <c r="L722" i="8"/>
  <c r="M722" i="8"/>
  <c r="K723" i="8"/>
  <c r="L723" i="8"/>
  <c r="M723" i="8"/>
  <c r="K724" i="8"/>
  <c r="L724" i="8"/>
  <c r="M724" i="8"/>
  <c r="K725" i="8"/>
  <c r="L725" i="8"/>
  <c r="M725" i="8"/>
  <c r="K726" i="8"/>
  <c r="L726" i="8"/>
  <c r="M726" i="8"/>
  <c r="K727" i="8"/>
  <c r="L727" i="8"/>
  <c r="M727" i="8"/>
  <c r="K728" i="8"/>
  <c r="L728" i="8"/>
  <c r="M728" i="8"/>
  <c r="K729" i="8"/>
  <c r="L729" i="8"/>
  <c r="M729" i="8"/>
  <c r="K730" i="8"/>
  <c r="L730" i="8"/>
  <c r="M730" i="8"/>
  <c r="M2" i="8"/>
  <c r="L2" i="8"/>
  <c r="K2" i="8"/>
  <c r="S6" i="8"/>
  <c r="S2" i="8"/>
  <c r="S4" i="8" s="1"/>
  <c r="O2" i="8" l="1"/>
  <c r="O3" i="8" s="1"/>
  <c r="P2" i="8"/>
  <c r="P3" i="8" s="1"/>
  <c r="N2" i="8"/>
  <c r="N3" i="8" s="1"/>
  <c r="P2" i="11"/>
  <c r="P2" i="10"/>
  <c r="N2" i="11"/>
  <c r="O2" i="11"/>
  <c r="N2" i="10"/>
  <c r="O2" i="10"/>
  <c r="D4" i="12"/>
  <c r="E4" i="12" s="1"/>
  <c r="K4" i="12"/>
  <c r="L4" i="12" s="1"/>
  <c r="D5" i="12"/>
  <c r="E5" i="12" s="1"/>
  <c r="K5" i="12"/>
  <c r="L5" i="12"/>
  <c r="M5" i="12" s="1"/>
  <c r="D6" i="12"/>
  <c r="E6" i="12"/>
  <c r="K6" i="12"/>
  <c r="L6" i="12" s="1"/>
  <c r="M6" i="12" s="1"/>
  <c r="D7" i="12"/>
  <c r="E7" i="12" s="1"/>
  <c r="K7" i="12"/>
  <c r="L7" i="12"/>
  <c r="D8" i="12"/>
  <c r="E8" i="12"/>
  <c r="K8" i="12"/>
  <c r="L8" i="12" s="1"/>
  <c r="D9" i="12"/>
  <c r="E9" i="12" s="1"/>
  <c r="K9" i="12"/>
  <c r="L9" i="12"/>
  <c r="M9" i="12" s="1"/>
  <c r="D24" i="12"/>
  <c r="E24" i="12"/>
  <c r="K24" i="12"/>
  <c r="L24" i="12" s="1"/>
  <c r="D25" i="12"/>
  <c r="E25" i="12" s="1"/>
  <c r="K25" i="12"/>
  <c r="L25" i="12"/>
  <c r="D26" i="12"/>
  <c r="E26" i="12"/>
  <c r="K26" i="12"/>
  <c r="L26" i="12" s="1"/>
  <c r="D27" i="12"/>
  <c r="E27" i="12" s="1"/>
  <c r="K27" i="12"/>
  <c r="L27" i="12"/>
  <c r="D28" i="12"/>
  <c r="E28" i="12"/>
  <c r="K28" i="12"/>
  <c r="L28" i="12" s="1"/>
  <c r="D29" i="12"/>
  <c r="E29" i="12" s="1"/>
  <c r="F29" i="12" s="1"/>
  <c r="K29" i="12"/>
  <c r="L29" i="12"/>
  <c r="M27" i="12" l="1"/>
  <c r="F7" i="12"/>
  <c r="F25" i="12"/>
  <c r="F24" i="12"/>
  <c r="F26" i="12"/>
  <c r="F28" i="12"/>
  <c r="M28" i="12"/>
  <c r="M24" i="12"/>
  <c r="M29" i="12"/>
  <c r="F27" i="12"/>
  <c r="M25" i="12"/>
  <c r="F9" i="12"/>
  <c r="M7" i="12"/>
  <c r="F5" i="12"/>
  <c r="F4" i="12"/>
  <c r="F6" i="12"/>
  <c r="F8" i="12"/>
  <c r="M26" i="12"/>
  <c r="M8" i="12"/>
  <c r="M4" i="12"/>
  <c r="L6" i="5" l="1"/>
  <c r="L6" i="4"/>
  <c r="L6" i="3"/>
  <c r="L6" i="2"/>
  <c r="O4" i="5" l="1"/>
  <c r="O5" i="5" s="1"/>
  <c r="O6" i="5" s="1"/>
  <c r="O7" i="5" s="1"/>
  <c r="O8" i="5" s="1"/>
  <c r="O9" i="5" s="1"/>
  <c r="O10" i="5" s="1"/>
  <c r="O11" i="5"/>
  <c r="O12" i="5" s="1"/>
  <c r="O13" i="5" s="1"/>
  <c r="O14" i="5" s="1"/>
  <c r="O15" i="5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O103" i="5" s="1"/>
  <c r="O104" i="5" s="1"/>
  <c r="O105" i="5" s="1"/>
  <c r="O106" i="5" s="1"/>
  <c r="O107" i="5" s="1"/>
  <c r="O108" i="5" s="1"/>
  <c r="O109" i="5" s="1"/>
  <c r="O110" i="5" s="1"/>
  <c r="O111" i="5" s="1"/>
  <c r="O112" i="5" s="1"/>
  <c r="O113" i="5" s="1"/>
  <c r="O114" i="5" s="1"/>
  <c r="O115" i="5" s="1"/>
  <c r="O116" i="5" s="1"/>
  <c r="O117" i="5" s="1"/>
  <c r="O118" i="5" s="1"/>
  <c r="O119" i="5" s="1"/>
  <c r="O120" i="5" s="1"/>
  <c r="O121" i="5" s="1"/>
  <c r="O122" i="5" s="1"/>
  <c r="O123" i="5" s="1"/>
  <c r="O124" i="5" s="1"/>
  <c r="O125" i="5" s="1"/>
  <c r="O126" i="5" s="1"/>
  <c r="O127" i="5" s="1"/>
  <c r="O128" i="5" s="1"/>
  <c r="O129" i="5" s="1"/>
  <c r="O130" i="5" s="1"/>
  <c r="O131" i="5" s="1"/>
  <c r="O132" i="5" s="1"/>
  <c r="O133" i="5" s="1"/>
  <c r="O134" i="5" s="1"/>
  <c r="O135" i="5" s="1"/>
  <c r="O136" i="5" s="1"/>
  <c r="O137" i="5" s="1"/>
  <c r="O138" i="5" s="1"/>
  <c r="O139" i="5" s="1"/>
  <c r="O140" i="5" s="1"/>
  <c r="O141" i="5" s="1"/>
  <c r="O142" i="5" s="1"/>
  <c r="O143" i="5" s="1"/>
  <c r="O144" i="5" s="1"/>
  <c r="O145" i="5" s="1"/>
  <c r="O146" i="5" s="1"/>
  <c r="O147" i="5" s="1"/>
  <c r="O148" i="5" s="1"/>
  <c r="O149" i="5" s="1"/>
  <c r="O150" i="5" s="1"/>
  <c r="O151" i="5" s="1"/>
  <c r="O152" i="5" s="1"/>
  <c r="O153" i="5" s="1"/>
  <c r="O154" i="5" s="1"/>
  <c r="O155" i="5" s="1"/>
  <c r="O156" i="5" s="1"/>
  <c r="O157" i="5" s="1"/>
  <c r="O158" i="5" s="1"/>
  <c r="O159" i="5" s="1"/>
  <c r="O160" i="5" s="1"/>
  <c r="O161" i="5" s="1"/>
  <c r="O162" i="5" s="1"/>
  <c r="O163" i="5" s="1"/>
  <c r="O164" i="5" s="1"/>
  <c r="O165" i="5" s="1"/>
  <c r="O166" i="5" s="1"/>
  <c r="O167" i="5" s="1"/>
  <c r="O168" i="5" s="1"/>
  <c r="O169" i="5" s="1"/>
  <c r="O170" i="5" s="1"/>
  <c r="O171" i="5" s="1"/>
  <c r="O172" i="5" s="1"/>
  <c r="O173" i="5" s="1"/>
  <c r="O174" i="5" s="1"/>
  <c r="O175" i="5" s="1"/>
  <c r="O176" i="5" s="1"/>
  <c r="O177" i="5" s="1"/>
  <c r="O178" i="5" s="1"/>
  <c r="O179" i="5" s="1"/>
  <c r="O180" i="5" s="1"/>
  <c r="O181" i="5" s="1"/>
  <c r="O182" i="5" s="1"/>
  <c r="O183" i="5" s="1"/>
  <c r="O184" i="5" s="1"/>
  <c r="O185" i="5" s="1"/>
  <c r="O186" i="5" s="1"/>
  <c r="O187" i="5" s="1"/>
  <c r="O188" i="5" s="1"/>
  <c r="O189" i="5" s="1"/>
  <c r="O190" i="5" s="1"/>
  <c r="O191" i="5" s="1"/>
  <c r="O192" i="5" s="1"/>
  <c r="O193" i="5" s="1"/>
  <c r="O194" i="5" s="1"/>
  <c r="O195" i="5" s="1"/>
  <c r="O196" i="5" s="1"/>
  <c r="O197" i="5" s="1"/>
  <c r="O198" i="5" s="1"/>
  <c r="O199" i="5" s="1"/>
  <c r="O200" i="5" s="1"/>
  <c r="O201" i="5" s="1"/>
  <c r="O202" i="5" s="1"/>
  <c r="O203" i="5" s="1"/>
  <c r="O204" i="5" s="1"/>
  <c r="O205" i="5" s="1"/>
  <c r="O206" i="5" s="1"/>
  <c r="O207" i="5" s="1"/>
  <c r="O208" i="5" s="1"/>
  <c r="O209" i="5" s="1"/>
  <c r="O210" i="5" s="1"/>
  <c r="O211" i="5" s="1"/>
  <c r="O212" i="5" s="1"/>
  <c r="O213" i="5" s="1"/>
  <c r="O214" i="5" s="1"/>
  <c r="O215" i="5" s="1"/>
  <c r="O216" i="5" s="1"/>
  <c r="O217" i="5" s="1"/>
  <c r="O218" i="5" s="1"/>
  <c r="O219" i="5" s="1"/>
  <c r="O220" i="5" s="1"/>
  <c r="O221" i="5" s="1"/>
  <c r="O222" i="5" s="1"/>
  <c r="O223" i="5" s="1"/>
  <c r="O224" i="5" s="1"/>
  <c r="O225" i="5" s="1"/>
  <c r="O226" i="5" s="1"/>
  <c r="O227" i="5" s="1"/>
  <c r="O228" i="5" s="1"/>
  <c r="O229" i="5" s="1"/>
  <c r="O230" i="5" s="1"/>
  <c r="O231" i="5" s="1"/>
  <c r="O232" i="5" s="1"/>
  <c r="O233" i="5" s="1"/>
  <c r="O234" i="5" s="1"/>
  <c r="O235" i="5" s="1"/>
  <c r="O236" i="5" s="1"/>
  <c r="O237" i="5" s="1"/>
  <c r="O238" i="5" s="1"/>
  <c r="O239" i="5" s="1"/>
  <c r="O240" i="5" s="1"/>
  <c r="O241" i="5" s="1"/>
  <c r="O242" i="5" s="1"/>
  <c r="O243" i="5" s="1"/>
  <c r="O244" i="5" s="1"/>
  <c r="O245" i="5" s="1"/>
  <c r="O246" i="5" s="1"/>
  <c r="O247" i="5" s="1"/>
  <c r="O248" i="5" s="1"/>
  <c r="O249" i="5" s="1"/>
  <c r="O250" i="5" s="1"/>
  <c r="O251" i="5" s="1"/>
  <c r="O252" i="5" s="1"/>
  <c r="O253" i="5" s="1"/>
  <c r="O254" i="5" s="1"/>
  <c r="O255" i="5" s="1"/>
  <c r="O256" i="5" s="1"/>
  <c r="O257" i="5" s="1"/>
  <c r="O258" i="5" s="1"/>
  <c r="O259" i="5" s="1"/>
  <c r="O260" i="5" s="1"/>
  <c r="O261" i="5" s="1"/>
  <c r="O262" i="5" s="1"/>
  <c r="O263" i="5" s="1"/>
  <c r="O264" i="5" s="1"/>
  <c r="O265" i="5" s="1"/>
  <c r="O266" i="5" s="1"/>
  <c r="O267" i="5" s="1"/>
  <c r="O268" i="5" s="1"/>
  <c r="O269" i="5" s="1"/>
  <c r="O270" i="5" s="1"/>
  <c r="O271" i="5" s="1"/>
  <c r="O272" i="5" s="1"/>
  <c r="O273" i="5" s="1"/>
  <c r="O274" i="5" s="1"/>
  <c r="O275" i="5" s="1"/>
  <c r="O276" i="5" s="1"/>
  <c r="O277" i="5" s="1"/>
  <c r="O278" i="5" s="1"/>
  <c r="O279" i="5" s="1"/>
  <c r="O280" i="5" s="1"/>
  <c r="O281" i="5" s="1"/>
  <c r="O282" i="5" s="1"/>
  <c r="O283" i="5" s="1"/>
  <c r="O284" i="5" s="1"/>
  <c r="O285" i="5" s="1"/>
  <c r="O286" i="5" s="1"/>
  <c r="O287" i="5" s="1"/>
  <c r="O288" i="5" s="1"/>
  <c r="O289" i="5" s="1"/>
  <c r="O290" i="5" s="1"/>
  <c r="O291" i="5" s="1"/>
  <c r="O292" i="5" s="1"/>
  <c r="O293" i="5" s="1"/>
  <c r="O294" i="5" s="1"/>
  <c r="O295" i="5" s="1"/>
  <c r="O296" i="5" s="1"/>
  <c r="O297" i="5" s="1"/>
  <c r="O298" i="5" s="1"/>
  <c r="O299" i="5" s="1"/>
  <c r="O300" i="5" s="1"/>
  <c r="O301" i="5" s="1"/>
  <c r="O302" i="5" s="1"/>
  <c r="O303" i="5" s="1"/>
  <c r="O304" i="5" s="1"/>
  <c r="O305" i="5" s="1"/>
  <c r="O306" i="5" s="1"/>
  <c r="O307" i="5" s="1"/>
  <c r="O308" i="5" s="1"/>
  <c r="O309" i="5" s="1"/>
  <c r="O310" i="5" s="1"/>
  <c r="O311" i="5" s="1"/>
  <c r="O312" i="5" s="1"/>
  <c r="O313" i="5" s="1"/>
  <c r="O314" i="5" s="1"/>
  <c r="O315" i="5" s="1"/>
  <c r="O316" i="5" s="1"/>
  <c r="O317" i="5" s="1"/>
  <c r="O318" i="5" s="1"/>
  <c r="O319" i="5" s="1"/>
  <c r="O320" i="5" s="1"/>
  <c r="O321" i="5" s="1"/>
  <c r="O322" i="5" s="1"/>
  <c r="O323" i="5" s="1"/>
  <c r="O324" i="5" s="1"/>
  <c r="O325" i="5" s="1"/>
  <c r="O326" i="5" s="1"/>
  <c r="O327" i="5" s="1"/>
  <c r="O328" i="5" s="1"/>
  <c r="O329" i="5" s="1"/>
  <c r="O330" i="5" s="1"/>
  <c r="O331" i="5" s="1"/>
  <c r="O332" i="5" s="1"/>
  <c r="O333" i="5" s="1"/>
  <c r="O334" i="5" s="1"/>
  <c r="O335" i="5" s="1"/>
  <c r="O336" i="5" s="1"/>
  <c r="O337" i="5" s="1"/>
  <c r="O338" i="5" s="1"/>
  <c r="O339" i="5" s="1"/>
  <c r="O340" i="5" s="1"/>
  <c r="O341" i="5" s="1"/>
  <c r="O342" i="5" s="1"/>
  <c r="O343" i="5" s="1"/>
  <c r="O344" i="5" s="1"/>
  <c r="O345" i="5" s="1"/>
  <c r="O346" i="5" s="1"/>
  <c r="O347" i="5" s="1"/>
  <c r="O348" i="5" s="1"/>
  <c r="O349" i="5" s="1"/>
  <c r="O350" i="5" s="1"/>
  <c r="O351" i="5" s="1"/>
  <c r="O352" i="5" s="1"/>
  <c r="O353" i="5" s="1"/>
  <c r="O354" i="5" s="1"/>
  <c r="O355" i="5" s="1"/>
  <c r="O356" i="5" s="1"/>
  <c r="O357" i="5" s="1"/>
  <c r="O358" i="5" s="1"/>
  <c r="O359" i="5" s="1"/>
  <c r="O360" i="5" s="1"/>
  <c r="O361" i="5" s="1"/>
  <c r="O362" i="5" s="1"/>
  <c r="O363" i="5" s="1"/>
  <c r="O364" i="5" s="1"/>
  <c r="O365" i="5" s="1"/>
  <c r="O366" i="5" s="1"/>
  <c r="O367" i="5" s="1"/>
  <c r="O368" i="5" s="1"/>
  <c r="O369" i="5" s="1"/>
  <c r="O370" i="5" s="1"/>
  <c r="O371" i="5" s="1"/>
  <c r="O372" i="5" s="1"/>
  <c r="O373" i="5" s="1"/>
  <c r="O374" i="5" s="1"/>
  <c r="O375" i="5" s="1"/>
  <c r="O376" i="5" s="1"/>
  <c r="O377" i="5" s="1"/>
  <c r="O378" i="5" s="1"/>
  <c r="O379" i="5" s="1"/>
  <c r="O380" i="5" s="1"/>
  <c r="O381" i="5" s="1"/>
  <c r="O382" i="5" s="1"/>
  <c r="O383" i="5" s="1"/>
  <c r="O384" i="5" s="1"/>
  <c r="O385" i="5" s="1"/>
  <c r="O386" i="5" s="1"/>
  <c r="O387" i="5" s="1"/>
  <c r="O388" i="5" s="1"/>
  <c r="O389" i="5" s="1"/>
  <c r="O390" i="5" s="1"/>
  <c r="O391" i="5" s="1"/>
  <c r="O392" i="5" s="1"/>
  <c r="O393" i="5" s="1"/>
  <c r="O394" i="5" s="1"/>
  <c r="O395" i="5" s="1"/>
  <c r="O396" i="5" s="1"/>
  <c r="O397" i="5" s="1"/>
  <c r="O398" i="5" s="1"/>
  <c r="O399" i="5" s="1"/>
  <c r="O400" i="5" s="1"/>
  <c r="O401" i="5" s="1"/>
  <c r="O402" i="5" s="1"/>
  <c r="O403" i="5" s="1"/>
  <c r="O404" i="5" s="1"/>
  <c r="O405" i="5" s="1"/>
  <c r="O406" i="5" s="1"/>
  <c r="O407" i="5" s="1"/>
  <c r="O408" i="5" s="1"/>
  <c r="O409" i="5" s="1"/>
  <c r="O410" i="5" s="1"/>
  <c r="O411" i="5" s="1"/>
  <c r="O412" i="5" s="1"/>
  <c r="O413" i="5" s="1"/>
  <c r="O414" i="5" s="1"/>
  <c r="O415" i="5" s="1"/>
  <c r="O416" i="5" s="1"/>
  <c r="O417" i="5" s="1"/>
  <c r="O418" i="5" s="1"/>
  <c r="O419" i="5" s="1"/>
  <c r="O420" i="5" s="1"/>
  <c r="O421" i="5" s="1"/>
  <c r="O422" i="5" s="1"/>
  <c r="O423" i="5" s="1"/>
  <c r="O424" i="5" s="1"/>
  <c r="O425" i="5" s="1"/>
  <c r="O426" i="5" s="1"/>
  <c r="O427" i="5" s="1"/>
  <c r="O428" i="5" s="1"/>
  <c r="O429" i="5" s="1"/>
  <c r="O430" i="5" s="1"/>
  <c r="O431" i="5" s="1"/>
  <c r="O432" i="5" s="1"/>
  <c r="O433" i="5" s="1"/>
  <c r="O434" i="5" s="1"/>
  <c r="O435" i="5" s="1"/>
  <c r="O436" i="5" s="1"/>
  <c r="O437" i="5" s="1"/>
  <c r="O438" i="5" s="1"/>
  <c r="O439" i="5" s="1"/>
  <c r="O440" i="5" s="1"/>
  <c r="O441" i="5" s="1"/>
  <c r="O442" i="5" s="1"/>
  <c r="O443" i="5" s="1"/>
  <c r="O444" i="5" s="1"/>
  <c r="O445" i="5" s="1"/>
  <c r="O446" i="5" s="1"/>
  <c r="O447" i="5" s="1"/>
  <c r="O448" i="5" s="1"/>
  <c r="O449" i="5" s="1"/>
  <c r="O450" i="5" s="1"/>
  <c r="O451" i="5" s="1"/>
  <c r="O452" i="5" s="1"/>
  <c r="O453" i="5" s="1"/>
  <c r="O454" i="5" s="1"/>
  <c r="O455" i="5" s="1"/>
  <c r="O456" i="5" s="1"/>
  <c r="O457" i="5" s="1"/>
  <c r="O458" i="5" s="1"/>
  <c r="O459" i="5" s="1"/>
  <c r="O460" i="5" s="1"/>
  <c r="O461" i="5" s="1"/>
  <c r="O462" i="5" s="1"/>
  <c r="O463" i="5" s="1"/>
  <c r="O464" i="5" s="1"/>
  <c r="O465" i="5" s="1"/>
  <c r="O466" i="5" s="1"/>
  <c r="O467" i="5" s="1"/>
  <c r="O468" i="5" s="1"/>
  <c r="O469" i="5" s="1"/>
  <c r="O470" i="5" s="1"/>
  <c r="O471" i="5" s="1"/>
  <c r="O472" i="5" s="1"/>
  <c r="O473" i="5" s="1"/>
  <c r="O474" i="5" s="1"/>
  <c r="O475" i="5" s="1"/>
  <c r="O476" i="5" s="1"/>
  <c r="O477" i="5" s="1"/>
  <c r="O478" i="5" s="1"/>
  <c r="O479" i="5" s="1"/>
  <c r="O480" i="5" s="1"/>
  <c r="O481" i="5" s="1"/>
  <c r="O482" i="5" s="1"/>
  <c r="O483" i="5" s="1"/>
  <c r="O484" i="5" s="1"/>
  <c r="O485" i="5" s="1"/>
  <c r="O486" i="5" s="1"/>
  <c r="O487" i="5" s="1"/>
  <c r="O488" i="5" s="1"/>
  <c r="O489" i="5" s="1"/>
  <c r="O490" i="5" s="1"/>
  <c r="O491" i="5" s="1"/>
  <c r="O492" i="5" s="1"/>
  <c r="O493" i="5" s="1"/>
  <c r="O494" i="5" s="1"/>
  <c r="O495" i="5" s="1"/>
  <c r="O496" i="5" s="1"/>
  <c r="O497" i="5" s="1"/>
  <c r="O498" i="5" s="1"/>
  <c r="O499" i="5" s="1"/>
  <c r="O500" i="5" s="1"/>
  <c r="O501" i="5" s="1"/>
  <c r="O502" i="5" s="1"/>
  <c r="O503" i="5" s="1"/>
  <c r="O504" i="5" s="1"/>
  <c r="O505" i="5" s="1"/>
  <c r="O506" i="5" s="1"/>
  <c r="O507" i="5" s="1"/>
  <c r="O508" i="5" s="1"/>
  <c r="O509" i="5" s="1"/>
  <c r="O510" i="5" s="1"/>
  <c r="O511" i="5" s="1"/>
  <c r="O512" i="5" s="1"/>
  <c r="O513" i="5" s="1"/>
  <c r="O514" i="5" s="1"/>
  <c r="O515" i="5" s="1"/>
  <c r="O516" i="5" s="1"/>
  <c r="O517" i="5" s="1"/>
  <c r="O518" i="5" s="1"/>
  <c r="O519" i="5" s="1"/>
  <c r="O520" i="5" s="1"/>
  <c r="O521" i="5" s="1"/>
  <c r="O522" i="5" s="1"/>
  <c r="O523" i="5" s="1"/>
  <c r="O524" i="5" s="1"/>
  <c r="O525" i="5" s="1"/>
  <c r="O526" i="5" s="1"/>
  <c r="O527" i="5" s="1"/>
  <c r="O528" i="5" s="1"/>
  <c r="O529" i="5" s="1"/>
  <c r="O530" i="5" s="1"/>
  <c r="O531" i="5" s="1"/>
  <c r="O532" i="5" s="1"/>
  <c r="O533" i="5" s="1"/>
  <c r="O534" i="5" s="1"/>
  <c r="O535" i="5" s="1"/>
  <c r="O536" i="5" s="1"/>
  <c r="O537" i="5" s="1"/>
  <c r="O538" i="5" s="1"/>
  <c r="O539" i="5" s="1"/>
  <c r="O540" i="5" s="1"/>
  <c r="O541" i="5" s="1"/>
  <c r="O542" i="5" s="1"/>
  <c r="O543" i="5" s="1"/>
  <c r="O544" i="5" s="1"/>
  <c r="O545" i="5" s="1"/>
  <c r="O546" i="5" s="1"/>
  <c r="O547" i="5" s="1"/>
  <c r="O548" i="5" s="1"/>
  <c r="O549" i="5" s="1"/>
  <c r="O550" i="5" s="1"/>
  <c r="O551" i="5" s="1"/>
  <c r="O552" i="5" s="1"/>
  <c r="O553" i="5" s="1"/>
  <c r="O554" i="5" s="1"/>
  <c r="O555" i="5" s="1"/>
  <c r="O556" i="5" s="1"/>
  <c r="O557" i="5" s="1"/>
  <c r="O558" i="5" s="1"/>
  <c r="O559" i="5" s="1"/>
  <c r="O560" i="5" s="1"/>
  <c r="O561" i="5" s="1"/>
  <c r="O562" i="5" s="1"/>
  <c r="O563" i="5" s="1"/>
  <c r="O564" i="5" s="1"/>
  <c r="O565" i="5" s="1"/>
  <c r="O566" i="5" s="1"/>
  <c r="O567" i="5" s="1"/>
  <c r="O568" i="5" s="1"/>
  <c r="O569" i="5" s="1"/>
  <c r="O570" i="5" s="1"/>
  <c r="O571" i="5" s="1"/>
  <c r="O572" i="5" s="1"/>
  <c r="O573" i="5" s="1"/>
  <c r="O574" i="5" s="1"/>
  <c r="O575" i="5" s="1"/>
  <c r="O576" i="5" s="1"/>
  <c r="O577" i="5" s="1"/>
  <c r="O578" i="5" s="1"/>
  <c r="O579" i="5" s="1"/>
  <c r="O580" i="5" s="1"/>
  <c r="O581" i="5" s="1"/>
  <c r="O582" i="5" s="1"/>
  <c r="O583" i="5" s="1"/>
  <c r="O584" i="5" s="1"/>
  <c r="O585" i="5" s="1"/>
  <c r="O586" i="5" s="1"/>
  <c r="O587" i="5" s="1"/>
  <c r="O588" i="5" s="1"/>
  <c r="O589" i="5" s="1"/>
  <c r="O590" i="5" s="1"/>
  <c r="O591" i="5" s="1"/>
  <c r="O592" i="5" s="1"/>
  <c r="O593" i="5" s="1"/>
  <c r="O594" i="5" s="1"/>
  <c r="O595" i="5" s="1"/>
  <c r="O596" i="5" s="1"/>
  <c r="O597" i="5" s="1"/>
  <c r="O598" i="5" s="1"/>
  <c r="O599" i="5" s="1"/>
  <c r="O600" i="5" s="1"/>
  <c r="O601" i="5" s="1"/>
  <c r="O602" i="5" s="1"/>
  <c r="O603" i="5" s="1"/>
  <c r="O604" i="5" s="1"/>
  <c r="O605" i="5" s="1"/>
  <c r="O606" i="5" s="1"/>
  <c r="O607" i="5" s="1"/>
  <c r="O608" i="5" s="1"/>
  <c r="O609" i="5" s="1"/>
  <c r="O610" i="5" s="1"/>
  <c r="O611" i="5" s="1"/>
  <c r="O612" i="5" s="1"/>
  <c r="O613" i="5" s="1"/>
  <c r="O614" i="5" s="1"/>
  <c r="O615" i="5" s="1"/>
  <c r="O616" i="5" s="1"/>
  <c r="O617" i="5" s="1"/>
  <c r="O618" i="5" s="1"/>
  <c r="O619" i="5" s="1"/>
  <c r="O620" i="5" s="1"/>
  <c r="O621" i="5" s="1"/>
  <c r="O622" i="5" s="1"/>
  <c r="O623" i="5" s="1"/>
  <c r="O624" i="5" s="1"/>
  <c r="O625" i="5" s="1"/>
  <c r="O626" i="5" s="1"/>
  <c r="O627" i="5" s="1"/>
  <c r="O628" i="5" s="1"/>
  <c r="O629" i="5" s="1"/>
  <c r="O630" i="5" s="1"/>
  <c r="O631" i="5" s="1"/>
  <c r="O632" i="5" s="1"/>
  <c r="O633" i="5" s="1"/>
  <c r="O634" i="5" s="1"/>
  <c r="O635" i="5" s="1"/>
  <c r="O636" i="5" s="1"/>
  <c r="O637" i="5" s="1"/>
  <c r="O638" i="5" s="1"/>
  <c r="O639" i="5" s="1"/>
  <c r="O640" i="5" s="1"/>
  <c r="O641" i="5" s="1"/>
  <c r="O642" i="5" s="1"/>
  <c r="O643" i="5" s="1"/>
  <c r="O644" i="5" s="1"/>
  <c r="O645" i="5" s="1"/>
  <c r="O646" i="5" s="1"/>
  <c r="O647" i="5" s="1"/>
  <c r="O648" i="5" s="1"/>
  <c r="O649" i="5" s="1"/>
  <c r="O650" i="5" s="1"/>
  <c r="O651" i="5" s="1"/>
  <c r="O652" i="5" s="1"/>
  <c r="O653" i="5" s="1"/>
  <c r="O654" i="5" s="1"/>
  <c r="O655" i="5" s="1"/>
  <c r="O656" i="5" s="1"/>
  <c r="O657" i="5" s="1"/>
  <c r="O658" i="5" s="1"/>
  <c r="O659" i="5" s="1"/>
  <c r="O660" i="5" s="1"/>
  <c r="O661" i="5" s="1"/>
  <c r="O662" i="5" s="1"/>
  <c r="O663" i="5" s="1"/>
  <c r="O664" i="5" s="1"/>
  <c r="O665" i="5" s="1"/>
  <c r="O666" i="5" s="1"/>
  <c r="O667" i="5" s="1"/>
  <c r="O668" i="5" s="1"/>
  <c r="O669" i="5" s="1"/>
  <c r="O670" i="5" s="1"/>
  <c r="O671" i="5" s="1"/>
  <c r="O672" i="5" s="1"/>
  <c r="O673" i="5" s="1"/>
  <c r="O674" i="5" s="1"/>
  <c r="O675" i="5" s="1"/>
  <c r="O676" i="5" s="1"/>
  <c r="O677" i="5" s="1"/>
  <c r="O678" i="5" s="1"/>
  <c r="O679" i="5" s="1"/>
  <c r="O680" i="5" s="1"/>
  <c r="O681" i="5" s="1"/>
  <c r="O682" i="5" s="1"/>
  <c r="O683" i="5" s="1"/>
  <c r="O684" i="5" s="1"/>
  <c r="O685" i="5" s="1"/>
  <c r="O686" i="5" s="1"/>
  <c r="O687" i="5" s="1"/>
  <c r="O688" i="5" s="1"/>
  <c r="O689" i="5" s="1"/>
  <c r="O690" i="5" s="1"/>
  <c r="O691" i="5" s="1"/>
  <c r="O692" i="5" s="1"/>
  <c r="O693" i="5" s="1"/>
  <c r="O694" i="5" s="1"/>
  <c r="O695" i="5" s="1"/>
  <c r="O696" i="5" s="1"/>
  <c r="O697" i="5" s="1"/>
  <c r="O698" i="5" s="1"/>
  <c r="O699" i="5" s="1"/>
  <c r="O700" i="5" s="1"/>
  <c r="O701" i="5" s="1"/>
  <c r="O702" i="5" s="1"/>
  <c r="O703" i="5" s="1"/>
  <c r="O704" i="5" s="1"/>
  <c r="O705" i="5" s="1"/>
  <c r="O706" i="5" s="1"/>
  <c r="O707" i="5" s="1"/>
  <c r="O708" i="5" s="1"/>
  <c r="O709" i="5" s="1"/>
  <c r="O710" i="5" s="1"/>
  <c r="O711" i="5" s="1"/>
  <c r="O712" i="5" s="1"/>
  <c r="O713" i="5" s="1"/>
  <c r="O714" i="5" s="1"/>
  <c r="O715" i="5" s="1"/>
  <c r="O716" i="5" s="1"/>
  <c r="O717" i="5" s="1"/>
  <c r="O718" i="5" s="1"/>
  <c r="O719" i="5" s="1"/>
  <c r="O720" i="5" s="1"/>
  <c r="O721" i="5" s="1"/>
  <c r="O722" i="5" s="1"/>
  <c r="O723" i="5" s="1"/>
  <c r="O724" i="5" s="1"/>
  <c r="O725" i="5" s="1"/>
  <c r="O726" i="5" s="1"/>
  <c r="O727" i="5" s="1"/>
  <c r="O728" i="5" s="1"/>
  <c r="O729" i="5" s="1"/>
  <c r="O730" i="5" s="1"/>
  <c r="O3" i="5"/>
  <c r="O2" i="5"/>
  <c r="O2" i="4"/>
  <c r="O3" i="4" s="1"/>
  <c r="O4" i="4" s="1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03" i="4" s="1"/>
  <c r="O104" i="4" s="1"/>
  <c r="O105" i="4" s="1"/>
  <c r="O106" i="4" s="1"/>
  <c r="O107" i="4" s="1"/>
  <c r="O108" i="4" s="1"/>
  <c r="O109" i="4" s="1"/>
  <c r="O110" i="4" s="1"/>
  <c r="O111" i="4" s="1"/>
  <c r="O112" i="4" s="1"/>
  <c r="O113" i="4" s="1"/>
  <c r="O114" i="4" s="1"/>
  <c r="O115" i="4" s="1"/>
  <c r="O116" i="4" s="1"/>
  <c r="O117" i="4" s="1"/>
  <c r="O118" i="4" s="1"/>
  <c r="O119" i="4" s="1"/>
  <c r="O120" i="4" s="1"/>
  <c r="O121" i="4" s="1"/>
  <c r="O122" i="4" s="1"/>
  <c r="O123" i="4" s="1"/>
  <c r="O124" i="4" s="1"/>
  <c r="O125" i="4" s="1"/>
  <c r="O126" i="4" s="1"/>
  <c r="O127" i="4" s="1"/>
  <c r="O128" i="4" s="1"/>
  <c r="O129" i="4" s="1"/>
  <c r="O130" i="4" s="1"/>
  <c r="O131" i="4" s="1"/>
  <c r="O132" i="4" s="1"/>
  <c r="O133" i="4" s="1"/>
  <c r="O134" i="4" s="1"/>
  <c r="O135" i="4" s="1"/>
  <c r="O136" i="4" s="1"/>
  <c r="O137" i="4" s="1"/>
  <c r="O138" i="4" s="1"/>
  <c r="O139" i="4" s="1"/>
  <c r="O140" i="4" s="1"/>
  <c r="O141" i="4" s="1"/>
  <c r="O142" i="4" s="1"/>
  <c r="O143" i="4" s="1"/>
  <c r="O144" i="4" s="1"/>
  <c r="O145" i="4" s="1"/>
  <c r="O146" i="4" s="1"/>
  <c r="O147" i="4" s="1"/>
  <c r="O148" i="4" s="1"/>
  <c r="O149" i="4" s="1"/>
  <c r="O150" i="4" s="1"/>
  <c r="O151" i="4" s="1"/>
  <c r="O152" i="4" s="1"/>
  <c r="O153" i="4" s="1"/>
  <c r="O154" i="4" s="1"/>
  <c r="O155" i="4" s="1"/>
  <c r="O156" i="4" s="1"/>
  <c r="O157" i="4" s="1"/>
  <c r="O158" i="4" s="1"/>
  <c r="O159" i="4" s="1"/>
  <c r="O160" i="4" s="1"/>
  <c r="O161" i="4" s="1"/>
  <c r="O162" i="4" s="1"/>
  <c r="O163" i="4" s="1"/>
  <c r="O164" i="4" s="1"/>
  <c r="O165" i="4" s="1"/>
  <c r="O166" i="4" s="1"/>
  <c r="O167" i="4" s="1"/>
  <c r="O168" i="4" s="1"/>
  <c r="O169" i="4" s="1"/>
  <c r="O170" i="4" s="1"/>
  <c r="O171" i="4" s="1"/>
  <c r="O172" i="4" s="1"/>
  <c r="O173" i="4" s="1"/>
  <c r="O174" i="4" s="1"/>
  <c r="O175" i="4" s="1"/>
  <c r="O176" i="4" s="1"/>
  <c r="O177" i="4" s="1"/>
  <c r="O178" i="4" s="1"/>
  <c r="O179" i="4" s="1"/>
  <c r="O180" i="4" s="1"/>
  <c r="O181" i="4" s="1"/>
  <c r="O182" i="4" s="1"/>
  <c r="O183" i="4" s="1"/>
  <c r="O184" i="4" s="1"/>
  <c r="O185" i="4" s="1"/>
  <c r="O186" i="4" s="1"/>
  <c r="O187" i="4" s="1"/>
  <c r="O188" i="4" s="1"/>
  <c r="O189" i="4" s="1"/>
  <c r="O190" i="4" s="1"/>
  <c r="O191" i="4" s="1"/>
  <c r="O192" i="4" s="1"/>
  <c r="O193" i="4" s="1"/>
  <c r="O194" i="4" s="1"/>
  <c r="O195" i="4" s="1"/>
  <c r="O196" i="4" s="1"/>
  <c r="O197" i="4" s="1"/>
  <c r="O198" i="4" s="1"/>
  <c r="O199" i="4" s="1"/>
  <c r="O200" i="4" s="1"/>
  <c r="O201" i="4" s="1"/>
  <c r="O202" i="4" s="1"/>
  <c r="O203" i="4" s="1"/>
  <c r="O204" i="4" s="1"/>
  <c r="O205" i="4" s="1"/>
  <c r="O206" i="4" s="1"/>
  <c r="O207" i="4" s="1"/>
  <c r="O208" i="4" s="1"/>
  <c r="O209" i="4" s="1"/>
  <c r="O210" i="4" s="1"/>
  <c r="O211" i="4" s="1"/>
  <c r="O212" i="4" s="1"/>
  <c r="O213" i="4" s="1"/>
  <c r="O214" i="4" s="1"/>
  <c r="O215" i="4" s="1"/>
  <c r="O216" i="4" s="1"/>
  <c r="O217" i="4" s="1"/>
  <c r="O218" i="4" s="1"/>
  <c r="O219" i="4" s="1"/>
  <c r="O220" i="4" s="1"/>
  <c r="O221" i="4" s="1"/>
  <c r="O222" i="4" s="1"/>
  <c r="O223" i="4" s="1"/>
  <c r="O224" i="4" s="1"/>
  <c r="O225" i="4" s="1"/>
  <c r="O226" i="4" s="1"/>
  <c r="O227" i="4" s="1"/>
  <c r="O228" i="4" s="1"/>
  <c r="O229" i="4" s="1"/>
  <c r="O230" i="4" s="1"/>
  <c r="O231" i="4" s="1"/>
  <c r="O232" i="4" s="1"/>
  <c r="O233" i="4" s="1"/>
  <c r="O234" i="4" s="1"/>
  <c r="O235" i="4" s="1"/>
  <c r="O236" i="4" s="1"/>
  <c r="O237" i="4" s="1"/>
  <c r="O238" i="4" s="1"/>
  <c r="O239" i="4" s="1"/>
  <c r="O240" i="4" s="1"/>
  <c r="O241" i="4" s="1"/>
  <c r="O242" i="4" s="1"/>
  <c r="O243" i="4" s="1"/>
  <c r="O244" i="4" s="1"/>
  <c r="O245" i="4" s="1"/>
  <c r="O246" i="4" s="1"/>
  <c r="O247" i="4" s="1"/>
  <c r="O248" i="4" s="1"/>
  <c r="O249" i="4" s="1"/>
  <c r="O250" i="4" s="1"/>
  <c r="O251" i="4" s="1"/>
  <c r="O252" i="4" s="1"/>
  <c r="O253" i="4" s="1"/>
  <c r="O254" i="4" s="1"/>
  <c r="O255" i="4" s="1"/>
  <c r="O256" i="4" s="1"/>
  <c r="O257" i="4" s="1"/>
  <c r="O258" i="4" s="1"/>
  <c r="O259" i="4" s="1"/>
  <c r="O260" i="4" s="1"/>
  <c r="O261" i="4" s="1"/>
  <c r="O262" i="4" s="1"/>
  <c r="O263" i="4" s="1"/>
  <c r="O264" i="4" s="1"/>
  <c r="O265" i="4" s="1"/>
  <c r="O266" i="4" s="1"/>
  <c r="O267" i="4" s="1"/>
  <c r="O268" i="4" s="1"/>
  <c r="O269" i="4" s="1"/>
  <c r="O270" i="4" s="1"/>
  <c r="O271" i="4" s="1"/>
  <c r="O272" i="4" s="1"/>
  <c r="O273" i="4" s="1"/>
  <c r="O274" i="4" s="1"/>
  <c r="O275" i="4" s="1"/>
  <c r="O276" i="4" s="1"/>
  <c r="O277" i="4" s="1"/>
  <c r="O278" i="4" s="1"/>
  <c r="O279" i="4" s="1"/>
  <c r="O280" i="4" s="1"/>
  <c r="O281" i="4" s="1"/>
  <c r="O282" i="4" s="1"/>
  <c r="O283" i="4" s="1"/>
  <c r="O284" i="4" s="1"/>
  <c r="O285" i="4" s="1"/>
  <c r="O286" i="4" s="1"/>
  <c r="O287" i="4" s="1"/>
  <c r="O288" i="4" s="1"/>
  <c r="O289" i="4" s="1"/>
  <c r="O290" i="4" s="1"/>
  <c r="O291" i="4" s="1"/>
  <c r="O292" i="4" s="1"/>
  <c r="O293" i="4" s="1"/>
  <c r="O294" i="4" s="1"/>
  <c r="O295" i="4" s="1"/>
  <c r="O296" i="4" s="1"/>
  <c r="O297" i="4" s="1"/>
  <c r="O298" i="4" s="1"/>
  <c r="O299" i="4" s="1"/>
  <c r="O300" i="4" s="1"/>
  <c r="O301" i="4" s="1"/>
  <c r="O302" i="4" s="1"/>
  <c r="O303" i="4" s="1"/>
  <c r="O304" i="4" s="1"/>
  <c r="O305" i="4" s="1"/>
  <c r="O306" i="4" s="1"/>
  <c r="O307" i="4" s="1"/>
  <c r="O308" i="4" s="1"/>
  <c r="O309" i="4" s="1"/>
  <c r="O310" i="4" s="1"/>
  <c r="O311" i="4" s="1"/>
  <c r="O312" i="4" s="1"/>
  <c r="O313" i="4" s="1"/>
  <c r="O314" i="4" s="1"/>
  <c r="O315" i="4" s="1"/>
  <c r="O316" i="4" s="1"/>
  <c r="O317" i="4" s="1"/>
  <c r="O318" i="4" s="1"/>
  <c r="O319" i="4" s="1"/>
  <c r="O320" i="4" s="1"/>
  <c r="O321" i="4" s="1"/>
  <c r="O322" i="4" s="1"/>
  <c r="O323" i="4" s="1"/>
  <c r="O324" i="4" s="1"/>
  <c r="O325" i="4" s="1"/>
  <c r="O326" i="4" s="1"/>
  <c r="O327" i="4" s="1"/>
  <c r="O328" i="4" s="1"/>
  <c r="O329" i="4" s="1"/>
  <c r="O330" i="4" s="1"/>
  <c r="O331" i="4" s="1"/>
  <c r="O332" i="4" s="1"/>
  <c r="O333" i="4" s="1"/>
  <c r="O334" i="4" s="1"/>
  <c r="O335" i="4" s="1"/>
  <c r="O336" i="4" s="1"/>
  <c r="O337" i="4" s="1"/>
  <c r="O338" i="4" s="1"/>
  <c r="O339" i="4" s="1"/>
  <c r="O340" i="4" s="1"/>
  <c r="O341" i="4" s="1"/>
  <c r="O342" i="4" s="1"/>
  <c r="O343" i="4" s="1"/>
  <c r="O344" i="4" s="1"/>
  <c r="O345" i="4" s="1"/>
  <c r="O346" i="4" s="1"/>
  <c r="O347" i="4" s="1"/>
  <c r="O348" i="4" s="1"/>
  <c r="O349" i="4" s="1"/>
  <c r="O350" i="4" s="1"/>
  <c r="O351" i="4" s="1"/>
  <c r="O352" i="4" s="1"/>
  <c r="O353" i="4" s="1"/>
  <c r="O354" i="4" s="1"/>
  <c r="O355" i="4" s="1"/>
  <c r="O356" i="4" s="1"/>
  <c r="O357" i="4" s="1"/>
  <c r="O358" i="4" s="1"/>
  <c r="O359" i="4" s="1"/>
  <c r="O360" i="4" s="1"/>
  <c r="O361" i="4" s="1"/>
  <c r="O362" i="4" s="1"/>
  <c r="O363" i="4" s="1"/>
  <c r="O364" i="4" s="1"/>
  <c r="O365" i="4" s="1"/>
  <c r="O366" i="4" s="1"/>
  <c r="O367" i="4" s="1"/>
  <c r="O368" i="4" s="1"/>
  <c r="O369" i="4" s="1"/>
  <c r="O370" i="4" s="1"/>
  <c r="O371" i="4" s="1"/>
  <c r="O372" i="4" s="1"/>
  <c r="O373" i="4" s="1"/>
  <c r="O374" i="4" s="1"/>
  <c r="O375" i="4" s="1"/>
  <c r="O376" i="4" s="1"/>
  <c r="O377" i="4" s="1"/>
  <c r="O378" i="4" s="1"/>
  <c r="O379" i="4" s="1"/>
  <c r="O380" i="4" s="1"/>
  <c r="O381" i="4" s="1"/>
  <c r="O382" i="4" s="1"/>
  <c r="O383" i="4" s="1"/>
  <c r="O384" i="4" s="1"/>
  <c r="O385" i="4" s="1"/>
  <c r="O386" i="4" s="1"/>
  <c r="O387" i="4" s="1"/>
  <c r="O388" i="4" s="1"/>
  <c r="O389" i="4" s="1"/>
  <c r="O390" i="4" s="1"/>
  <c r="O391" i="4" s="1"/>
  <c r="O392" i="4" s="1"/>
  <c r="O393" i="4" s="1"/>
  <c r="O394" i="4" s="1"/>
  <c r="O395" i="4" s="1"/>
  <c r="O396" i="4" s="1"/>
  <c r="O397" i="4" s="1"/>
  <c r="O398" i="4" s="1"/>
  <c r="O399" i="4" s="1"/>
  <c r="O400" i="4" s="1"/>
  <c r="O401" i="4" s="1"/>
  <c r="O402" i="4" s="1"/>
  <c r="O403" i="4" s="1"/>
  <c r="O404" i="4" s="1"/>
  <c r="O405" i="4" s="1"/>
  <c r="O406" i="4" s="1"/>
  <c r="O407" i="4" s="1"/>
  <c r="O408" i="4" s="1"/>
  <c r="O409" i="4" s="1"/>
  <c r="O410" i="4" s="1"/>
  <c r="O411" i="4" s="1"/>
  <c r="O412" i="4" s="1"/>
  <c r="O413" i="4" s="1"/>
  <c r="O414" i="4" s="1"/>
  <c r="O415" i="4" s="1"/>
  <c r="O416" i="4" s="1"/>
  <c r="O417" i="4" s="1"/>
  <c r="O418" i="4" s="1"/>
  <c r="O419" i="4" s="1"/>
  <c r="O420" i="4" s="1"/>
  <c r="O421" i="4" s="1"/>
  <c r="O422" i="4" s="1"/>
  <c r="O423" i="4" s="1"/>
  <c r="O424" i="4" s="1"/>
  <c r="O425" i="4" s="1"/>
  <c r="O426" i="4" s="1"/>
  <c r="O427" i="4" s="1"/>
  <c r="O428" i="4" s="1"/>
  <c r="O429" i="4" s="1"/>
  <c r="O430" i="4" s="1"/>
  <c r="O431" i="4" s="1"/>
  <c r="O432" i="4" s="1"/>
  <c r="O433" i="4" s="1"/>
  <c r="O434" i="4" s="1"/>
  <c r="O435" i="4" s="1"/>
  <c r="O436" i="4" s="1"/>
  <c r="O437" i="4" s="1"/>
  <c r="O438" i="4" s="1"/>
  <c r="O439" i="4" s="1"/>
  <c r="O440" i="4" s="1"/>
  <c r="O441" i="4" s="1"/>
  <c r="O442" i="4" s="1"/>
  <c r="O443" i="4" s="1"/>
  <c r="O444" i="4" s="1"/>
  <c r="O445" i="4" s="1"/>
  <c r="O446" i="4" s="1"/>
  <c r="O447" i="4" s="1"/>
  <c r="O448" i="4" s="1"/>
  <c r="O449" i="4" s="1"/>
  <c r="O450" i="4" s="1"/>
  <c r="O451" i="4" s="1"/>
  <c r="O452" i="4" s="1"/>
  <c r="O453" i="4" s="1"/>
  <c r="O454" i="4" s="1"/>
  <c r="O455" i="4" s="1"/>
  <c r="O456" i="4" s="1"/>
  <c r="O457" i="4" s="1"/>
  <c r="O458" i="4" s="1"/>
  <c r="O459" i="4" s="1"/>
  <c r="O460" i="4" s="1"/>
  <c r="O461" i="4" s="1"/>
  <c r="O462" i="4" s="1"/>
  <c r="O463" i="4" s="1"/>
  <c r="O464" i="4" s="1"/>
  <c r="O465" i="4" s="1"/>
  <c r="O466" i="4" s="1"/>
  <c r="O467" i="4" s="1"/>
  <c r="O468" i="4" s="1"/>
  <c r="O469" i="4" s="1"/>
  <c r="O470" i="4" s="1"/>
  <c r="O471" i="4" s="1"/>
  <c r="O472" i="4" s="1"/>
  <c r="O473" i="4" s="1"/>
  <c r="O474" i="4" s="1"/>
  <c r="O475" i="4" s="1"/>
  <c r="O476" i="4" s="1"/>
  <c r="O477" i="4" s="1"/>
  <c r="O478" i="4" s="1"/>
  <c r="O479" i="4" s="1"/>
  <c r="O480" i="4" s="1"/>
  <c r="O481" i="4" s="1"/>
  <c r="O482" i="4" s="1"/>
  <c r="O483" i="4" s="1"/>
  <c r="O484" i="4" s="1"/>
  <c r="O485" i="4" s="1"/>
  <c r="O486" i="4" s="1"/>
  <c r="O487" i="4" s="1"/>
  <c r="O488" i="4" s="1"/>
  <c r="O489" i="4" s="1"/>
  <c r="O490" i="4" s="1"/>
  <c r="O491" i="4" s="1"/>
  <c r="O492" i="4" s="1"/>
  <c r="O493" i="4" s="1"/>
  <c r="O494" i="4" s="1"/>
  <c r="O495" i="4" s="1"/>
  <c r="O496" i="4" s="1"/>
  <c r="O497" i="4" s="1"/>
  <c r="O498" i="4" s="1"/>
  <c r="O499" i="4" s="1"/>
  <c r="O500" i="4" s="1"/>
  <c r="O501" i="4" s="1"/>
  <c r="O502" i="4" s="1"/>
  <c r="O503" i="4" s="1"/>
  <c r="O504" i="4" s="1"/>
  <c r="O505" i="4" s="1"/>
  <c r="O506" i="4" s="1"/>
  <c r="O507" i="4" s="1"/>
  <c r="O508" i="4" s="1"/>
  <c r="O509" i="4" s="1"/>
  <c r="O510" i="4" s="1"/>
  <c r="O511" i="4" s="1"/>
  <c r="O512" i="4" s="1"/>
  <c r="O513" i="4" s="1"/>
  <c r="O514" i="4" s="1"/>
  <c r="O515" i="4" s="1"/>
  <c r="O516" i="4" s="1"/>
  <c r="O517" i="4" s="1"/>
  <c r="O518" i="4" s="1"/>
  <c r="O519" i="4" s="1"/>
  <c r="O520" i="4" s="1"/>
  <c r="O521" i="4" s="1"/>
  <c r="O522" i="4" s="1"/>
  <c r="O523" i="4" s="1"/>
  <c r="O524" i="4" s="1"/>
  <c r="O525" i="4" s="1"/>
  <c r="O526" i="4" s="1"/>
  <c r="O527" i="4" s="1"/>
  <c r="O528" i="4" s="1"/>
  <c r="O529" i="4" s="1"/>
  <c r="O530" i="4" s="1"/>
  <c r="O531" i="4" s="1"/>
  <c r="O532" i="4" s="1"/>
  <c r="O533" i="4" s="1"/>
  <c r="O534" i="4" s="1"/>
  <c r="O535" i="4" s="1"/>
  <c r="O536" i="4" s="1"/>
  <c r="O537" i="4" s="1"/>
  <c r="O538" i="4" s="1"/>
  <c r="O539" i="4" s="1"/>
  <c r="O540" i="4" s="1"/>
  <c r="O541" i="4" s="1"/>
  <c r="O542" i="4" s="1"/>
  <c r="O543" i="4" s="1"/>
  <c r="O544" i="4" s="1"/>
  <c r="O545" i="4" s="1"/>
  <c r="O546" i="4" s="1"/>
  <c r="O547" i="4" s="1"/>
  <c r="O548" i="4" s="1"/>
  <c r="O549" i="4" s="1"/>
  <c r="O550" i="4" s="1"/>
  <c r="O551" i="4" s="1"/>
  <c r="O552" i="4" s="1"/>
  <c r="O553" i="4" s="1"/>
  <c r="O554" i="4" s="1"/>
  <c r="O555" i="4" s="1"/>
  <c r="O556" i="4" s="1"/>
  <c r="O557" i="4" s="1"/>
  <c r="O558" i="4" s="1"/>
  <c r="O559" i="4" s="1"/>
  <c r="O560" i="4" s="1"/>
  <c r="O561" i="4" s="1"/>
  <c r="O562" i="4" s="1"/>
  <c r="O563" i="4" s="1"/>
  <c r="O564" i="4" s="1"/>
  <c r="O565" i="4" s="1"/>
  <c r="O566" i="4" s="1"/>
  <c r="O567" i="4" s="1"/>
  <c r="O568" i="4" s="1"/>
  <c r="O569" i="4" s="1"/>
  <c r="O570" i="4" s="1"/>
  <c r="O571" i="4" s="1"/>
  <c r="O572" i="4" s="1"/>
  <c r="O573" i="4" s="1"/>
  <c r="O574" i="4" s="1"/>
  <c r="O575" i="4" s="1"/>
  <c r="O576" i="4" s="1"/>
  <c r="O577" i="4" s="1"/>
  <c r="O578" i="4" s="1"/>
  <c r="O579" i="4" s="1"/>
  <c r="O580" i="4" s="1"/>
  <c r="O581" i="4" s="1"/>
  <c r="O582" i="4" s="1"/>
  <c r="O583" i="4" s="1"/>
  <c r="O584" i="4" s="1"/>
  <c r="O585" i="4" s="1"/>
  <c r="O586" i="4" s="1"/>
  <c r="O587" i="4" s="1"/>
  <c r="O588" i="4" s="1"/>
  <c r="O589" i="4" s="1"/>
  <c r="O590" i="4" s="1"/>
  <c r="O591" i="4" s="1"/>
  <c r="O592" i="4" s="1"/>
  <c r="O593" i="4" s="1"/>
  <c r="O594" i="4" s="1"/>
  <c r="O595" i="4" s="1"/>
  <c r="O596" i="4" s="1"/>
  <c r="O597" i="4" s="1"/>
  <c r="O598" i="4" s="1"/>
  <c r="O599" i="4" s="1"/>
  <c r="O600" i="4" s="1"/>
  <c r="O601" i="4" s="1"/>
  <c r="O602" i="4" s="1"/>
  <c r="O603" i="4" s="1"/>
  <c r="O604" i="4" s="1"/>
  <c r="O605" i="4" s="1"/>
  <c r="O606" i="4" s="1"/>
  <c r="O607" i="4" s="1"/>
  <c r="O608" i="4" s="1"/>
  <c r="O609" i="4" s="1"/>
  <c r="O610" i="4" s="1"/>
  <c r="O611" i="4" s="1"/>
  <c r="O612" i="4" s="1"/>
  <c r="O613" i="4" s="1"/>
  <c r="O614" i="4" s="1"/>
  <c r="O615" i="4" s="1"/>
  <c r="O616" i="4" s="1"/>
  <c r="O617" i="4" s="1"/>
  <c r="O618" i="4" s="1"/>
  <c r="O619" i="4" s="1"/>
  <c r="O620" i="4" s="1"/>
  <c r="O621" i="4" s="1"/>
  <c r="O622" i="4" s="1"/>
  <c r="O623" i="4" s="1"/>
  <c r="O624" i="4" s="1"/>
  <c r="O625" i="4" s="1"/>
  <c r="O626" i="4" s="1"/>
  <c r="O627" i="4" s="1"/>
  <c r="O628" i="4" s="1"/>
  <c r="O629" i="4" s="1"/>
  <c r="O630" i="4" s="1"/>
  <c r="O631" i="4" s="1"/>
  <c r="O632" i="4" s="1"/>
  <c r="O633" i="4" s="1"/>
  <c r="O634" i="4" s="1"/>
  <c r="O635" i="4" s="1"/>
  <c r="O636" i="4" s="1"/>
  <c r="O637" i="4" s="1"/>
  <c r="O638" i="4" s="1"/>
  <c r="O639" i="4" s="1"/>
  <c r="O640" i="4" s="1"/>
  <c r="O641" i="4" s="1"/>
  <c r="O642" i="4" s="1"/>
  <c r="O643" i="4" s="1"/>
  <c r="O644" i="4" s="1"/>
  <c r="O645" i="4" s="1"/>
  <c r="O646" i="4" s="1"/>
  <c r="O647" i="4" s="1"/>
  <c r="O648" i="4" s="1"/>
  <c r="O649" i="4" s="1"/>
  <c r="O650" i="4" s="1"/>
  <c r="O651" i="4" s="1"/>
  <c r="O652" i="4" s="1"/>
  <c r="O653" i="4" s="1"/>
  <c r="O654" i="4" s="1"/>
  <c r="O655" i="4" s="1"/>
  <c r="O656" i="4" s="1"/>
  <c r="O657" i="4" s="1"/>
  <c r="O658" i="4" s="1"/>
  <c r="O659" i="4" s="1"/>
  <c r="O660" i="4" s="1"/>
  <c r="O661" i="4" s="1"/>
  <c r="O662" i="4" s="1"/>
  <c r="O663" i="4" s="1"/>
  <c r="O664" i="4" s="1"/>
  <c r="O665" i="4" s="1"/>
  <c r="O666" i="4" s="1"/>
  <c r="O667" i="4" s="1"/>
  <c r="O668" i="4" s="1"/>
  <c r="O669" i="4" s="1"/>
  <c r="O670" i="4" s="1"/>
  <c r="O671" i="4" s="1"/>
  <c r="O672" i="4" s="1"/>
  <c r="O673" i="4" s="1"/>
  <c r="O674" i="4" s="1"/>
  <c r="O675" i="4" s="1"/>
  <c r="O676" i="4" s="1"/>
  <c r="O677" i="4" s="1"/>
  <c r="O678" i="4" s="1"/>
  <c r="O679" i="4" s="1"/>
  <c r="O680" i="4" s="1"/>
  <c r="O681" i="4" s="1"/>
  <c r="O682" i="4" s="1"/>
  <c r="O683" i="4" s="1"/>
  <c r="O684" i="4" s="1"/>
  <c r="O685" i="4" s="1"/>
  <c r="O686" i="4" s="1"/>
  <c r="O687" i="4" s="1"/>
  <c r="O688" i="4" s="1"/>
  <c r="O689" i="4" s="1"/>
  <c r="O690" i="4" s="1"/>
  <c r="O691" i="4" s="1"/>
  <c r="O692" i="4" s="1"/>
  <c r="O693" i="4" s="1"/>
  <c r="O694" i="4" s="1"/>
  <c r="O695" i="4" s="1"/>
  <c r="O696" i="4" s="1"/>
  <c r="O697" i="4" s="1"/>
  <c r="O698" i="4" s="1"/>
  <c r="O699" i="4" s="1"/>
  <c r="O700" i="4" s="1"/>
  <c r="O701" i="4" s="1"/>
  <c r="O702" i="4" s="1"/>
  <c r="O703" i="4" s="1"/>
  <c r="O704" i="4" s="1"/>
  <c r="O705" i="4" s="1"/>
  <c r="O706" i="4" s="1"/>
  <c r="O707" i="4" s="1"/>
  <c r="O708" i="4" s="1"/>
  <c r="O709" i="4" s="1"/>
  <c r="O710" i="4" s="1"/>
  <c r="O711" i="4" s="1"/>
  <c r="O712" i="4" s="1"/>
  <c r="O713" i="4" s="1"/>
  <c r="O714" i="4" s="1"/>
  <c r="O715" i="4" s="1"/>
  <c r="O716" i="4" s="1"/>
  <c r="O717" i="4" s="1"/>
  <c r="O718" i="4" s="1"/>
  <c r="O719" i="4" s="1"/>
  <c r="O720" i="4" s="1"/>
  <c r="O721" i="4" s="1"/>
  <c r="O722" i="4" s="1"/>
  <c r="O723" i="4" s="1"/>
  <c r="O724" i="4" s="1"/>
  <c r="O725" i="4" s="1"/>
  <c r="O726" i="4" s="1"/>
  <c r="O727" i="4" s="1"/>
  <c r="O728" i="4" s="1"/>
  <c r="O729" i="4" s="1"/>
  <c r="O730" i="4" s="1"/>
  <c r="O4" i="3"/>
  <c r="O5" i="3" s="1"/>
  <c r="O6" i="3" s="1"/>
  <c r="O7" i="3" s="1"/>
  <c r="O8" i="3" s="1"/>
  <c r="O9" i="3"/>
  <c r="O10" i="3" s="1"/>
  <c r="O11" i="3" s="1"/>
  <c r="O12" i="3" s="1"/>
  <c r="O13" i="3" s="1"/>
  <c r="O14" i="3" s="1"/>
  <c r="O15" i="3" s="1"/>
  <c r="O16" i="3" s="1"/>
  <c r="O17" i="3"/>
  <c r="O18" i="3" s="1"/>
  <c r="O19" i="3" s="1"/>
  <c r="O20" i="3" s="1"/>
  <c r="O21" i="3" s="1"/>
  <c r="O22" i="3" s="1"/>
  <c r="O23" i="3" s="1"/>
  <c r="O24" i="3" s="1"/>
  <c r="O25" i="3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O171" i="3" s="1"/>
  <c r="O172" i="3" s="1"/>
  <c r="O173" i="3" s="1"/>
  <c r="O174" i="3" s="1"/>
  <c r="O175" i="3" s="1"/>
  <c r="O176" i="3" s="1"/>
  <c r="O177" i="3" s="1"/>
  <c r="O178" i="3" s="1"/>
  <c r="O179" i="3" s="1"/>
  <c r="O180" i="3" s="1"/>
  <c r="O181" i="3" s="1"/>
  <c r="O182" i="3" s="1"/>
  <c r="O183" i="3" s="1"/>
  <c r="O184" i="3" s="1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O196" i="3" s="1"/>
  <c r="O197" i="3" s="1"/>
  <c r="O198" i="3" s="1"/>
  <c r="O199" i="3" s="1"/>
  <c r="O200" i="3" s="1"/>
  <c r="O201" i="3" s="1"/>
  <c r="O202" i="3" s="1"/>
  <c r="O203" i="3" s="1"/>
  <c r="O204" i="3" s="1"/>
  <c r="O205" i="3" s="1"/>
  <c r="O206" i="3" s="1"/>
  <c r="O207" i="3" s="1"/>
  <c r="O208" i="3" s="1"/>
  <c r="O209" i="3" s="1"/>
  <c r="O210" i="3" s="1"/>
  <c r="O211" i="3" s="1"/>
  <c r="O212" i="3" s="1"/>
  <c r="O213" i="3" s="1"/>
  <c r="O214" i="3" s="1"/>
  <c r="O215" i="3" s="1"/>
  <c r="O216" i="3" s="1"/>
  <c r="O217" i="3" s="1"/>
  <c r="O218" i="3" s="1"/>
  <c r="O219" i="3" s="1"/>
  <c r="O220" i="3" s="1"/>
  <c r="O221" i="3" s="1"/>
  <c r="O222" i="3" s="1"/>
  <c r="O223" i="3" s="1"/>
  <c r="O224" i="3" s="1"/>
  <c r="O225" i="3" s="1"/>
  <c r="O226" i="3" s="1"/>
  <c r="O227" i="3" s="1"/>
  <c r="O228" i="3" s="1"/>
  <c r="O229" i="3" s="1"/>
  <c r="O230" i="3" s="1"/>
  <c r="O231" i="3" s="1"/>
  <c r="O232" i="3" s="1"/>
  <c r="O233" i="3" s="1"/>
  <c r="O234" i="3" s="1"/>
  <c r="O235" i="3" s="1"/>
  <c r="O236" i="3" s="1"/>
  <c r="O237" i="3" s="1"/>
  <c r="O238" i="3" s="1"/>
  <c r="O239" i="3" s="1"/>
  <c r="O240" i="3" s="1"/>
  <c r="O241" i="3" s="1"/>
  <c r="O242" i="3" s="1"/>
  <c r="O243" i="3" s="1"/>
  <c r="O244" i="3" s="1"/>
  <c r="O245" i="3" s="1"/>
  <c r="O246" i="3" s="1"/>
  <c r="O247" i="3" s="1"/>
  <c r="O248" i="3" s="1"/>
  <c r="O249" i="3" s="1"/>
  <c r="O250" i="3" s="1"/>
  <c r="O251" i="3" s="1"/>
  <c r="O252" i="3" s="1"/>
  <c r="O253" i="3" s="1"/>
  <c r="O254" i="3" s="1"/>
  <c r="O255" i="3" s="1"/>
  <c r="O256" i="3" s="1"/>
  <c r="O257" i="3" s="1"/>
  <c r="O258" i="3" s="1"/>
  <c r="O259" i="3" s="1"/>
  <c r="O260" i="3" s="1"/>
  <c r="O261" i="3" s="1"/>
  <c r="O262" i="3" s="1"/>
  <c r="O263" i="3" s="1"/>
  <c r="O264" i="3" s="1"/>
  <c r="O265" i="3" s="1"/>
  <c r="O266" i="3" s="1"/>
  <c r="O267" i="3" s="1"/>
  <c r="O268" i="3" s="1"/>
  <c r="O269" i="3" s="1"/>
  <c r="O270" i="3" s="1"/>
  <c r="O271" i="3" s="1"/>
  <c r="O272" i="3" s="1"/>
  <c r="O273" i="3" s="1"/>
  <c r="O274" i="3" s="1"/>
  <c r="O275" i="3" s="1"/>
  <c r="O276" i="3" s="1"/>
  <c r="O277" i="3" s="1"/>
  <c r="O278" i="3" s="1"/>
  <c r="O279" i="3" s="1"/>
  <c r="O280" i="3" s="1"/>
  <c r="O281" i="3" s="1"/>
  <c r="O282" i="3" s="1"/>
  <c r="O283" i="3" s="1"/>
  <c r="O284" i="3" s="1"/>
  <c r="O285" i="3" s="1"/>
  <c r="O286" i="3" s="1"/>
  <c r="O287" i="3" s="1"/>
  <c r="O288" i="3" s="1"/>
  <c r="O289" i="3" s="1"/>
  <c r="O290" i="3" s="1"/>
  <c r="O291" i="3" s="1"/>
  <c r="O292" i="3" s="1"/>
  <c r="O293" i="3" s="1"/>
  <c r="O294" i="3" s="1"/>
  <c r="O295" i="3" s="1"/>
  <c r="O296" i="3" s="1"/>
  <c r="O297" i="3" s="1"/>
  <c r="O298" i="3" s="1"/>
  <c r="O299" i="3" s="1"/>
  <c r="O300" i="3" s="1"/>
  <c r="O301" i="3" s="1"/>
  <c r="O302" i="3" s="1"/>
  <c r="O303" i="3" s="1"/>
  <c r="O304" i="3" s="1"/>
  <c r="O305" i="3" s="1"/>
  <c r="O306" i="3" s="1"/>
  <c r="O307" i="3" s="1"/>
  <c r="O308" i="3" s="1"/>
  <c r="O309" i="3" s="1"/>
  <c r="O310" i="3" s="1"/>
  <c r="O311" i="3" s="1"/>
  <c r="O312" i="3" s="1"/>
  <c r="O313" i="3" s="1"/>
  <c r="O314" i="3" s="1"/>
  <c r="O315" i="3" s="1"/>
  <c r="O316" i="3" s="1"/>
  <c r="O317" i="3" s="1"/>
  <c r="O318" i="3" s="1"/>
  <c r="O319" i="3" s="1"/>
  <c r="O320" i="3" s="1"/>
  <c r="O321" i="3" s="1"/>
  <c r="O322" i="3" s="1"/>
  <c r="O323" i="3" s="1"/>
  <c r="O324" i="3" s="1"/>
  <c r="O325" i="3" s="1"/>
  <c r="O326" i="3" s="1"/>
  <c r="O327" i="3" s="1"/>
  <c r="O328" i="3" s="1"/>
  <c r="O329" i="3" s="1"/>
  <c r="O330" i="3" s="1"/>
  <c r="O331" i="3" s="1"/>
  <c r="O332" i="3" s="1"/>
  <c r="O333" i="3" s="1"/>
  <c r="O334" i="3" s="1"/>
  <c r="O335" i="3" s="1"/>
  <c r="O336" i="3" s="1"/>
  <c r="O337" i="3" s="1"/>
  <c r="O338" i="3" s="1"/>
  <c r="O339" i="3" s="1"/>
  <c r="O340" i="3" s="1"/>
  <c r="O341" i="3" s="1"/>
  <c r="O342" i="3" s="1"/>
  <c r="O343" i="3" s="1"/>
  <c r="O344" i="3" s="1"/>
  <c r="O345" i="3" s="1"/>
  <c r="O346" i="3" s="1"/>
  <c r="O347" i="3" s="1"/>
  <c r="O348" i="3" s="1"/>
  <c r="O349" i="3" s="1"/>
  <c r="O350" i="3" s="1"/>
  <c r="O351" i="3" s="1"/>
  <c r="O352" i="3" s="1"/>
  <c r="O353" i="3" s="1"/>
  <c r="O354" i="3" s="1"/>
  <c r="O355" i="3" s="1"/>
  <c r="O356" i="3" s="1"/>
  <c r="O357" i="3" s="1"/>
  <c r="O358" i="3" s="1"/>
  <c r="O359" i="3" s="1"/>
  <c r="O360" i="3" s="1"/>
  <c r="O361" i="3" s="1"/>
  <c r="O362" i="3" s="1"/>
  <c r="O363" i="3" s="1"/>
  <c r="O364" i="3" s="1"/>
  <c r="O365" i="3" s="1"/>
  <c r="O366" i="3" s="1"/>
  <c r="O367" i="3" s="1"/>
  <c r="O368" i="3" s="1"/>
  <c r="O369" i="3" s="1"/>
  <c r="O370" i="3" s="1"/>
  <c r="O371" i="3" s="1"/>
  <c r="O372" i="3" s="1"/>
  <c r="O373" i="3" s="1"/>
  <c r="O374" i="3" s="1"/>
  <c r="O375" i="3" s="1"/>
  <c r="O376" i="3" s="1"/>
  <c r="O377" i="3" s="1"/>
  <c r="O378" i="3" s="1"/>
  <c r="O379" i="3" s="1"/>
  <c r="O380" i="3" s="1"/>
  <c r="O381" i="3" s="1"/>
  <c r="O382" i="3" s="1"/>
  <c r="O383" i="3" s="1"/>
  <c r="O384" i="3" s="1"/>
  <c r="O385" i="3" s="1"/>
  <c r="O386" i="3" s="1"/>
  <c r="O387" i="3" s="1"/>
  <c r="O388" i="3" s="1"/>
  <c r="O389" i="3" s="1"/>
  <c r="O390" i="3" s="1"/>
  <c r="O391" i="3" s="1"/>
  <c r="O392" i="3" s="1"/>
  <c r="O393" i="3" s="1"/>
  <c r="O394" i="3" s="1"/>
  <c r="O395" i="3" s="1"/>
  <c r="O396" i="3" s="1"/>
  <c r="O397" i="3" s="1"/>
  <c r="O398" i="3" s="1"/>
  <c r="O399" i="3" s="1"/>
  <c r="O400" i="3" s="1"/>
  <c r="O401" i="3" s="1"/>
  <c r="O402" i="3" s="1"/>
  <c r="O403" i="3" s="1"/>
  <c r="O404" i="3" s="1"/>
  <c r="O405" i="3" s="1"/>
  <c r="O406" i="3" s="1"/>
  <c r="O407" i="3" s="1"/>
  <c r="O408" i="3" s="1"/>
  <c r="O409" i="3" s="1"/>
  <c r="O410" i="3" s="1"/>
  <c r="O411" i="3" s="1"/>
  <c r="O412" i="3" s="1"/>
  <c r="O413" i="3" s="1"/>
  <c r="O414" i="3" s="1"/>
  <c r="O415" i="3" s="1"/>
  <c r="O416" i="3" s="1"/>
  <c r="O417" i="3" s="1"/>
  <c r="O418" i="3" s="1"/>
  <c r="O419" i="3" s="1"/>
  <c r="O420" i="3" s="1"/>
  <c r="O421" i="3" s="1"/>
  <c r="O422" i="3" s="1"/>
  <c r="O423" i="3" s="1"/>
  <c r="O424" i="3" s="1"/>
  <c r="O425" i="3" s="1"/>
  <c r="O426" i="3" s="1"/>
  <c r="O427" i="3" s="1"/>
  <c r="O428" i="3" s="1"/>
  <c r="O429" i="3" s="1"/>
  <c r="O430" i="3" s="1"/>
  <c r="O431" i="3" s="1"/>
  <c r="O432" i="3" s="1"/>
  <c r="O433" i="3" s="1"/>
  <c r="O434" i="3" s="1"/>
  <c r="O435" i="3" s="1"/>
  <c r="O436" i="3" s="1"/>
  <c r="O437" i="3" s="1"/>
  <c r="O438" i="3" s="1"/>
  <c r="O439" i="3" s="1"/>
  <c r="O440" i="3" s="1"/>
  <c r="O441" i="3" s="1"/>
  <c r="O442" i="3" s="1"/>
  <c r="O443" i="3" s="1"/>
  <c r="O444" i="3" s="1"/>
  <c r="O445" i="3" s="1"/>
  <c r="O446" i="3" s="1"/>
  <c r="O447" i="3" s="1"/>
  <c r="O448" i="3" s="1"/>
  <c r="O449" i="3" s="1"/>
  <c r="O450" i="3" s="1"/>
  <c r="O451" i="3" s="1"/>
  <c r="O452" i="3" s="1"/>
  <c r="O453" i="3" s="1"/>
  <c r="O454" i="3" s="1"/>
  <c r="O455" i="3" s="1"/>
  <c r="O456" i="3" s="1"/>
  <c r="O457" i="3" s="1"/>
  <c r="O458" i="3" s="1"/>
  <c r="O459" i="3" s="1"/>
  <c r="O460" i="3" s="1"/>
  <c r="O461" i="3" s="1"/>
  <c r="O462" i="3" s="1"/>
  <c r="O463" i="3" s="1"/>
  <c r="O464" i="3" s="1"/>
  <c r="O465" i="3" s="1"/>
  <c r="O466" i="3" s="1"/>
  <c r="O467" i="3" s="1"/>
  <c r="O468" i="3" s="1"/>
  <c r="O469" i="3" s="1"/>
  <c r="O470" i="3" s="1"/>
  <c r="O471" i="3" s="1"/>
  <c r="O472" i="3" s="1"/>
  <c r="O473" i="3" s="1"/>
  <c r="O474" i="3" s="1"/>
  <c r="O475" i="3" s="1"/>
  <c r="O476" i="3" s="1"/>
  <c r="O477" i="3" s="1"/>
  <c r="O478" i="3" s="1"/>
  <c r="O479" i="3" s="1"/>
  <c r="O480" i="3" s="1"/>
  <c r="O481" i="3" s="1"/>
  <c r="O482" i="3" s="1"/>
  <c r="O483" i="3" s="1"/>
  <c r="O484" i="3" s="1"/>
  <c r="O485" i="3" s="1"/>
  <c r="O486" i="3" s="1"/>
  <c r="O487" i="3" s="1"/>
  <c r="O488" i="3" s="1"/>
  <c r="O489" i="3" s="1"/>
  <c r="O490" i="3" s="1"/>
  <c r="O491" i="3" s="1"/>
  <c r="O492" i="3" s="1"/>
  <c r="O493" i="3" s="1"/>
  <c r="O494" i="3" s="1"/>
  <c r="O495" i="3" s="1"/>
  <c r="O496" i="3" s="1"/>
  <c r="O497" i="3" s="1"/>
  <c r="O498" i="3" s="1"/>
  <c r="O499" i="3" s="1"/>
  <c r="O500" i="3" s="1"/>
  <c r="O501" i="3" s="1"/>
  <c r="O502" i="3" s="1"/>
  <c r="O503" i="3" s="1"/>
  <c r="O504" i="3" s="1"/>
  <c r="O505" i="3" s="1"/>
  <c r="O506" i="3" s="1"/>
  <c r="O507" i="3" s="1"/>
  <c r="O508" i="3" s="1"/>
  <c r="O509" i="3" s="1"/>
  <c r="O510" i="3" s="1"/>
  <c r="O511" i="3" s="1"/>
  <c r="O512" i="3" s="1"/>
  <c r="O513" i="3" s="1"/>
  <c r="O514" i="3" s="1"/>
  <c r="O515" i="3" s="1"/>
  <c r="O516" i="3" s="1"/>
  <c r="O517" i="3" s="1"/>
  <c r="O518" i="3" s="1"/>
  <c r="O519" i="3" s="1"/>
  <c r="O520" i="3" s="1"/>
  <c r="O521" i="3" s="1"/>
  <c r="O522" i="3" s="1"/>
  <c r="O523" i="3" s="1"/>
  <c r="O524" i="3" s="1"/>
  <c r="O525" i="3" s="1"/>
  <c r="O526" i="3" s="1"/>
  <c r="O527" i="3" s="1"/>
  <c r="O528" i="3" s="1"/>
  <c r="O529" i="3" s="1"/>
  <c r="O530" i="3" s="1"/>
  <c r="O531" i="3" s="1"/>
  <c r="O532" i="3" s="1"/>
  <c r="O533" i="3" s="1"/>
  <c r="O534" i="3" s="1"/>
  <c r="O535" i="3" s="1"/>
  <c r="O536" i="3" s="1"/>
  <c r="O537" i="3" s="1"/>
  <c r="O538" i="3" s="1"/>
  <c r="O539" i="3" s="1"/>
  <c r="O540" i="3" s="1"/>
  <c r="O541" i="3" s="1"/>
  <c r="O542" i="3" s="1"/>
  <c r="O543" i="3" s="1"/>
  <c r="O544" i="3" s="1"/>
  <c r="O545" i="3" s="1"/>
  <c r="O546" i="3" s="1"/>
  <c r="O547" i="3" s="1"/>
  <c r="O548" i="3" s="1"/>
  <c r="O549" i="3" s="1"/>
  <c r="O550" i="3" s="1"/>
  <c r="O551" i="3" s="1"/>
  <c r="O552" i="3" s="1"/>
  <c r="O553" i="3" s="1"/>
  <c r="O554" i="3" s="1"/>
  <c r="O555" i="3" s="1"/>
  <c r="O556" i="3" s="1"/>
  <c r="O557" i="3" s="1"/>
  <c r="O558" i="3" s="1"/>
  <c r="O559" i="3" s="1"/>
  <c r="O560" i="3" s="1"/>
  <c r="O561" i="3" s="1"/>
  <c r="O562" i="3" s="1"/>
  <c r="O563" i="3" s="1"/>
  <c r="O564" i="3" s="1"/>
  <c r="O565" i="3" s="1"/>
  <c r="O566" i="3" s="1"/>
  <c r="O567" i="3" s="1"/>
  <c r="O568" i="3" s="1"/>
  <c r="O569" i="3" s="1"/>
  <c r="O570" i="3" s="1"/>
  <c r="O571" i="3" s="1"/>
  <c r="O572" i="3" s="1"/>
  <c r="O573" i="3" s="1"/>
  <c r="O574" i="3" s="1"/>
  <c r="O575" i="3" s="1"/>
  <c r="O576" i="3" s="1"/>
  <c r="O577" i="3" s="1"/>
  <c r="O578" i="3" s="1"/>
  <c r="O579" i="3" s="1"/>
  <c r="O580" i="3" s="1"/>
  <c r="O581" i="3" s="1"/>
  <c r="O582" i="3" s="1"/>
  <c r="O583" i="3" s="1"/>
  <c r="O584" i="3" s="1"/>
  <c r="O585" i="3" s="1"/>
  <c r="O586" i="3" s="1"/>
  <c r="O587" i="3" s="1"/>
  <c r="O588" i="3" s="1"/>
  <c r="O589" i="3" s="1"/>
  <c r="O590" i="3" s="1"/>
  <c r="O591" i="3" s="1"/>
  <c r="O592" i="3" s="1"/>
  <c r="O593" i="3" s="1"/>
  <c r="O594" i="3" s="1"/>
  <c r="O595" i="3" s="1"/>
  <c r="O596" i="3" s="1"/>
  <c r="O597" i="3" s="1"/>
  <c r="O598" i="3" s="1"/>
  <c r="O599" i="3" s="1"/>
  <c r="O600" i="3" s="1"/>
  <c r="O601" i="3" s="1"/>
  <c r="O602" i="3" s="1"/>
  <c r="O603" i="3" s="1"/>
  <c r="O604" i="3" s="1"/>
  <c r="O605" i="3" s="1"/>
  <c r="O606" i="3" s="1"/>
  <c r="O607" i="3" s="1"/>
  <c r="O608" i="3" s="1"/>
  <c r="O609" i="3" s="1"/>
  <c r="O610" i="3" s="1"/>
  <c r="O611" i="3" s="1"/>
  <c r="O612" i="3" s="1"/>
  <c r="O613" i="3" s="1"/>
  <c r="O614" i="3" s="1"/>
  <c r="O615" i="3" s="1"/>
  <c r="O616" i="3" s="1"/>
  <c r="O617" i="3" s="1"/>
  <c r="O618" i="3" s="1"/>
  <c r="O619" i="3" s="1"/>
  <c r="O620" i="3" s="1"/>
  <c r="O621" i="3" s="1"/>
  <c r="O622" i="3" s="1"/>
  <c r="O623" i="3" s="1"/>
  <c r="O624" i="3" s="1"/>
  <c r="O625" i="3" s="1"/>
  <c r="O626" i="3" s="1"/>
  <c r="O627" i="3" s="1"/>
  <c r="O628" i="3" s="1"/>
  <c r="O629" i="3" s="1"/>
  <c r="O630" i="3" s="1"/>
  <c r="O631" i="3" s="1"/>
  <c r="O632" i="3" s="1"/>
  <c r="O633" i="3" s="1"/>
  <c r="O634" i="3" s="1"/>
  <c r="O635" i="3" s="1"/>
  <c r="O636" i="3" s="1"/>
  <c r="O637" i="3" s="1"/>
  <c r="O638" i="3" s="1"/>
  <c r="O639" i="3" s="1"/>
  <c r="O640" i="3" s="1"/>
  <c r="O641" i="3" s="1"/>
  <c r="O642" i="3" s="1"/>
  <c r="O643" i="3" s="1"/>
  <c r="O644" i="3" s="1"/>
  <c r="O645" i="3" s="1"/>
  <c r="O646" i="3" s="1"/>
  <c r="O647" i="3" s="1"/>
  <c r="O648" i="3" s="1"/>
  <c r="O649" i="3" s="1"/>
  <c r="O650" i="3" s="1"/>
  <c r="O651" i="3" s="1"/>
  <c r="O652" i="3" s="1"/>
  <c r="O653" i="3" s="1"/>
  <c r="O654" i="3" s="1"/>
  <c r="O655" i="3" s="1"/>
  <c r="O656" i="3" s="1"/>
  <c r="O657" i="3" s="1"/>
  <c r="O658" i="3" s="1"/>
  <c r="O659" i="3" s="1"/>
  <c r="O660" i="3" s="1"/>
  <c r="O661" i="3" s="1"/>
  <c r="O662" i="3" s="1"/>
  <c r="O663" i="3" s="1"/>
  <c r="O664" i="3" s="1"/>
  <c r="O665" i="3" s="1"/>
  <c r="O666" i="3" s="1"/>
  <c r="O667" i="3" s="1"/>
  <c r="O668" i="3" s="1"/>
  <c r="O669" i="3" s="1"/>
  <c r="O670" i="3" s="1"/>
  <c r="O671" i="3" s="1"/>
  <c r="O672" i="3" s="1"/>
  <c r="O673" i="3" s="1"/>
  <c r="O674" i="3" s="1"/>
  <c r="O675" i="3" s="1"/>
  <c r="O676" i="3" s="1"/>
  <c r="O677" i="3" s="1"/>
  <c r="O678" i="3" s="1"/>
  <c r="O679" i="3" s="1"/>
  <c r="O680" i="3" s="1"/>
  <c r="O681" i="3" s="1"/>
  <c r="O682" i="3" s="1"/>
  <c r="O683" i="3" s="1"/>
  <c r="O684" i="3" s="1"/>
  <c r="O685" i="3" s="1"/>
  <c r="O686" i="3" s="1"/>
  <c r="O687" i="3" s="1"/>
  <c r="O688" i="3" s="1"/>
  <c r="O689" i="3" s="1"/>
  <c r="O690" i="3" s="1"/>
  <c r="O691" i="3" s="1"/>
  <c r="O692" i="3" s="1"/>
  <c r="O693" i="3" s="1"/>
  <c r="O694" i="3" s="1"/>
  <c r="O695" i="3" s="1"/>
  <c r="O696" i="3" s="1"/>
  <c r="O697" i="3" s="1"/>
  <c r="O698" i="3" s="1"/>
  <c r="O699" i="3" s="1"/>
  <c r="O700" i="3" s="1"/>
  <c r="O701" i="3" s="1"/>
  <c r="O702" i="3" s="1"/>
  <c r="O703" i="3" s="1"/>
  <c r="O704" i="3" s="1"/>
  <c r="O705" i="3" s="1"/>
  <c r="O706" i="3" s="1"/>
  <c r="O707" i="3" s="1"/>
  <c r="O708" i="3" s="1"/>
  <c r="O709" i="3" s="1"/>
  <c r="O710" i="3" s="1"/>
  <c r="O711" i="3" s="1"/>
  <c r="O712" i="3" s="1"/>
  <c r="O713" i="3" s="1"/>
  <c r="O714" i="3" s="1"/>
  <c r="O715" i="3" s="1"/>
  <c r="O716" i="3" s="1"/>
  <c r="O717" i="3" s="1"/>
  <c r="O718" i="3" s="1"/>
  <c r="O719" i="3" s="1"/>
  <c r="O720" i="3" s="1"/>
  <c r="O721" i="3" s="1"/>
  <c r="O722" i="3" s="1"/>
  <c r="O723" i="3" s="1"/>
  <c r="O724" i="3" s="1"/>
  <c r="O725" i="3" s="1"/>
  <c r="O726" i="3" s="1"/>
  <c r="O727" i="3" s="1"/>
  <c r="O728" i="3" s="1"/>
  <c r="O729" i="3" s="1"/>
  <c r="O730" i="3" s="1"/>
  <c r="O3" i="3"/>
  <c r="O2" i="3"/>
  <c r="O4" i="2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O170" i="2" s="1"/>
  <c r="O171" i="2" s="1"/>
  <c r="O172" i="2" s="1"/>
  <c r="O173" i="2" s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O184" i="2" s="1"/>
  <c r="O185" i="2" s="1"/>
  <c r="O186" i="2" s="1"/>
  <c r="O187" i="2" s="1"/>
  <c r="O188" i="2" s="1"/>
  <c r="O189" i="2" s="1"/>
  <c r="O190" i="2" s="1"/>
  <c r="O191" i="2" s="1"/>
  <c r="O192" i="2" s="1"/>
  <c r="O193" i="2" s="1"/>
  <c r="O194" i="2" s="1"/>
  <c r="O195" i="2" s="1"/>
  <c r="O196" i="2" s="1"/>
  <c r="O197" i="2" s="1"/>
  <c r="O198" i="2" s="1"/>
  <c r="O199" i="2" s="1"/>
  <c r="O200" i="2" s="1"/>
  <c r="O201" i="2" s="1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217" i="2" s="1"/>
  <c r="O218" i="2" s="1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s="1"/>
  <c r="O249" i="2" s="1"/>
  <c r="O250" i="2" s="1"/>
  <c r="O251" i="2" s="1"/>
  <c r="O252" i="2" s="1"/>
  <c r="O253" i="2" s="1"/>
  <c r="O254" i="2" s="1"/>
  <c r="O255" i="2" s="1"/>
  <c r="O256" i="2" s="1"/>
  <c r="O257" i="2" s="1"/>
  <c r="O258" i="2" s="1"/>
  <c r="O259" i="2" s="1"/>
  <c r="O260" i="2" s="1"/>
  <c r="O261" i="2" s="1"/>
  <c r="O262" i="2" s="1"/>
  <c r="O263" i="2" s="1"/>
  <c r="O264" i="2" s="1"/>
  <c r="O265" i="2" s="1"/>
  <c r="O266" i="2" s="1"/>
  <c r="O267" i="2" s="1"/>
  <c r="O268" i="2" s="1"/>
  <c r="O269" i="2" s="1"/>
  <c r="O270" i="2" s="1"/>
  <c r="O271" i="2" s="1"/>
  <c r="O272" i="2" s="1"/>
  <c r="O273" i="2" s="1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309" i="2" s="1"/>
  <c r="O310" i="2" s="1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O338" i="2" s="1"/>
  <c r="O339" i="2" s="1"/>
  <c r="O340" i="2" s="1"/>
  <c r="O341" i="2" s="1"/>
  <c r="O342" i="2" s="1"/>
  <c r="O343" i="2" s="1"/>
  <c r="O344" i="2" s="1"/>
  <c r="O345" i="2" s="1"/>
  <c r="O346" i="2" s="1"/>
  <c r="O347" i="2" s="1"/>
  <c r="O348" i="2" s="1"/>
  <c r="O349" i="2" s="1"/>
  <c r="O350" i="2" s="1"/>
  <c r="O351" i="2" s="1"/>
  <c r="O352" i="2" s="1"/>
  <c r="O353" i="2" s="1"/>
  <c r="O354" i="2" s="1"/>
  <c r="O355" i="2" s="1"/>
  <c r="O356" i="2" s="1"/>
  <c r="O357" i="2" s="1"/>
  <c r="O358" i="2" s="1"/>
  <c r="O359" i="2" s="1"/>
  <c r="O360" i="2" s="1"/>
  <c r="O361" i="2" s="1"/>
  <c r="O362" i="2" s="1"/>
  <c r="O363" i="2" s="1"/>
  <c r="O364" i="2" s="1"/>
  <c r="O365" i="2" s="1"/>
  <c r="O366" i="2" s="1"/>
  <c r="O367" i="2" s="1"/>
  <c r="O368" i="2" s="1"/>
  <c r="O369" i="2" s="1"/>
  <c r="O370" i="2" s="1"/>
  <c r="O371" i="2" s="1"/>
  <c r="O372" i="2" s="1"/>
  <c r="O373" i="2" s="1"/>
  <c r="O374" i="2" s="1"/>
  <c r="O375" i="2" s="1"/>
  <c r="O376" i="2" s="1"/>
  <c r="O377" i="2" s="1"/>
  <c r="O378" i="2" s="1"/>
  <c r="O379" i="2" s="1"/>
  <c r="O380" i="2" s="1"/>
  <c r="O381" i="2" s="1"/>
  <c r="O382" i="2" s="1"/>
  <c r="O383" i="2" s="1"/>
  <c r="O384" i="2" s="1"/>
  <c r="O385" i="2" s="1"/>
  <c r="O386" i="2" s="1"/>
  <c r="O387" i="2" s="1"/>
  <c r="O388" i="2" s="1"/>
  <c r="O389" i="2" s="1"/>
  <c r="O390" i="2" s="1"/>
  <c r="O391" i="2" s="1"/>
  <c r="O392" i="2" s="1"/>
  <c r="O393" i="2" s="1"/>
  <c r="O394" i="2" s="1"/>
  <c r="O395" i="2" s="1"/>
  <c r="O396" i="2" s="1"/>
  <c r="O397" i="2" s="1"/>
  <c r="O398" i="2" s="1"/>
  <c r="O399" i="2" s="1"/>
  <c r="O400" i="2" s="1"/>
  <c r="O401" i="2" s="1"/>
  <c r="O402" i="2" s="1"/>
  <c r="O403" i="2" s="1"/>
  <c r="O404" i="2" s="1"/>
  <c r="O405" i="2" s="1"/>
  <c r="O406" i="2" s="1"/>
  <c r="O407" i="2" s="1"/>
  <c r="O408" i="2" s="1"/>
  <c r="O409" i="2" s="1"/>
  <c r="O410" i="2" s="1"/>
  <c r="O411" i="2" s="1"/>
  <c r="O412" i="2" s="1"/>
  <c r="O413" i="2" s="1"/>
  <c r="O414" i="2" s="1"/>
  <c r="O415" i="2" s="1"/>
  <c r="O416" i="2" s="1"/>
  <c r="O417" i="2" s="1"/>
  <c r="O418" i="2" s="1"/>
  <c r="O419" i="2" s="1"/>
  <c r="O420" i="2" s="1"/>
  <c r="O421" i="2" s="1"/>
  <c r="O422" i="2" s="1"/>
  <c r="O423" i="2" s="1"/>
  <c r="O424" i="2" s="1"/>
  <c r="O425" i="2" s="1"/>
  <c r="O426" i="2" s="1"/>
  <c r="O427" i="2" s="1"/>
  <c r="O428" i="2" s="1"/>
  <c r="O429" i="2" s="1"/>
  <c r="O430" i="2" s="1"/>
  <c r="O431" i="2" s="1"/>
  <c r="O432" i="2" s="1"/>
  <c r="O433" i="2" s="1"/>
  <c r="O434" i="2" s="1"/>
  <c r="O435" i="2" s="1"/>
  <c r="O436" i="2" s="1"/>
  <c r="O437" i="2" s="1"/>
  <c r="O438" i="2" s="1"/>
  <c r="O439" i="2" s="1"/>
  <c r="O440" i="2" s="1"/>
  <c r="O441" i="2" s="1"/>
  <c r="O442" i="2" s="1"/>
  <c r="O443" i="2" s="1"/>
  <c r="O444" i="2" s="1"/>
  <c r="O445" i="2" s="1"/>
  <c r="O446" i="2" s="1"/>
  <c r="O447" i="2" s="1"/>
  <c r="O448" i="2" s="1"/>
  <c r="O449" i="2" s="1"/>
  <c r="O450" i="2" s="1"/>
  <c r="O451" i="2" s="1"/>
  <c r="O452" i="2" s="1"/>
  <c r="O453" i="2" s="1"/>
  <c r="O454" i="2" s="1"/>
  <c r="O455" i="2" s="1"/>
  <c r="O456" i="2" s="1"/>
  <c r="O457" i="2" s="1"/>
  <c r="O458" i="2" s="1"/>
  <c r="O459" i="2" s="1"/>
  <c r="O460" i="2" s="1"/>
  <c r="O461" i="2" s="1"/>
  <c r="O462" i="2" s="1"/>
  <c r="O463" i="2" s="1"/>
  <c r="O464" i="2" s="1"/>
  <c r="O465" i="2" s="1"/>
  <c r="O466" i="2" s="1"/>
  <c r="O467" i="2" s="1"/>
  <c r="O468" i="2" s="1"/>
  <c r="O469" i="2" s="1"/>
  <c r="O470" i="2" s="1"/>
  <c r="O471" i="2" s="1"/>
  <c r="O472" i="2" s="1"/>
  <c r="O473" i="2" s="1"/>
  <c r="O474" i="2" s="1"/>
  <c r="O475" i="2" s="1"/>
  <c r="O476" i="2" s="1"/>
  <c r="O477" i="2" s="1"/>
  <c r="O478" i="2" s="1"/>
  <c r="O479" i="2" s="1"/>
  <c r="O480" i="2" s="1"/>
  <c r="O481" i="2" s="1"/>
  <c r="O482" i="2" s="1"/>
  <c r="O483" i="2" s="1"/>
  <c r="O484" i="2" s="1"/>
  <c r="O485" i="2" s="1"/>
  <c r="O486" i="2" s="1"/>
  <c r="O487" i="2" s="1"/>
  <c r="O488" i="2" s="1"/>
  <c r="O489" i="2" s="1"/>
  <c r="O490" i="2" s="1"/>
  <c r="O491" i="2" s="1"/>
  <c r="O492" i="2" s="1"/>
  <c r="O493" i="2" s="1"/>
  <c r="O494" i="2" s="1"/>
  <c r="O495" i="2" s="1"/>
  <c r="O496" i="2" s="1"/>
  <c r="O497" i="2" s="1"/>
  <c r="O498" i="2" s="1"/>
  <c r="O499" i="2" s="1"/>
  <c r="O500" i="2" s="1"/>
  <c r="O501" i="2" s="1"/>
  <c r="O502" i="2" s="1"/>
  <c r="O503" i="2" s="1"/>
  <c r="O504" i="2" s="1"/>
  <c r="O505" i="2" s="1"/>
  <c r="O506" i="2" s="1"/>
  <c r="O507" i="2" s="1"/>
  <c r="O508" i="2" s="1"/>
  <c r="O509" i="2" s="1"/>
  <c r="O510" i="2" s="1"/>
  <c r="O511" i="2" s="1"/>
  <c r="O512" i="2" s="1"/>
  <c r="O513" i="2" s="1"/>
  <c r="O514" i="2" s="1"/>
  <c r="O515" i="2" s="1"/>
  <c r="O516" i="2" s="1"/>
  <c r="O517" i="2" s="1"/>
  <c r="O518" i="2" s="1"/>
  <c r="O519" i="2" s="1"/>
  <c r="O520" i="2" s="1"/>
  <c r="O521" i="2" s="1"/>
  <c r="O522" i="2" s="1"/>
  <c r="O523" i="2" s="1"/>
  <c r="O524" i="2" s="1"/>
  <c r="O525" i="2" s="1"/>
  <c r="O526" i="2" s="1"/>
  <c r="O527" i="2" s="1"/>
  <c r="O528" i="2" s="1"/>
  <c r="O529" i="2" s="1"/>
  <c r="O530" i="2" s="1"/>
  <c r="O531" i="2" s="1"/>
  <c r="O532" i="2" s="1"/>
  <c r="O533" i="2" s="1"/>
  <c r="O534" i="2" s="1"/>
  <c r="O535" i="2" s="1"/>
  <c r="O536" i="2" s="1"/>
  <c r="O537" i="2" s="1"/>
  <c r="O538" i="2" s="1"/>
  <c r="O539" i="2" s="1"/>
  <c r="O540" i="2" s="1"/>
  <c r="O541" i="2" s="1"/>
  <c r="O542" i="2" s="1"/>
  <c r="O543" i="2" s="1"/>
  <c r="O544" i="2" s="1"/>
  <c r="O545" i="2" s="1"/>
  <c r="O546" i="2" s="1"/>
  <c r="O547" i="2" s="1"/>
  <c r="O548" i="2" s="1"/>
  <c r="O549" i="2" s="1"/>
  <c r="O550" i="2" s="1"/>
  <c r="O551" i="2" s="1"/>
  <c r="O552" i="2" s="1"/>
  <c r="O553" i="2" s="1"/>
  <c r="O554" i="2" s="1"/>
  <c r="O555" i="2" s="1"/>
  <c r="O556" i="2" s="1"/>
  <c r="O557" i="2" s="1"/>
  <c r="O558" i="2" s="1"/>
  <c r="O559" i="2" s="1"/>
  <c r="O560" i="2" s="1"/>
  <c r="O561" i="2" s="1"/>
  <c r="O562" i="2" s="1"/>
  <c r="O563" i="2" s="1"/>
  <c r="O564" i="2" s="1"/>
  <c r="O565" i="2" s="1"/>
  <c r="O566" i="2" s="1"/>
  <c r="O567" i="2" s="1"/>
  <c r="O568" i="2" s="1"/>
  <c r="O569" i="2" s="1"/>
  <c r="O570" i="2" s="1"/>
  <c r="O571" i="2" s="1"/>
  <c r="O572" i="2" s="1"/>
  <c r="O573" i="2" s="1"/>
  <c r="O574" i="2" s="1"/>
  <c r="O575" i="2" s="1"/>
  <c r="O576" i="2" s="1"/>
  <c r="O577" i="2" s="1"/>
  <c r="O578" i="2" s="1"/>
  <c r="O579" i="2" s="1"/>
  <c r="O580" i="2" s="1"/>
  <c r="O581" i="2" s="1"/>
  <c r="O582" i="2" s="1"/>
  <c r="O583" i="2" s="1"/>
  <c r="O584" i="2" s="1"/>
  <c r="O585" i="2" s="1"/>
  <c r="O586" i="2" s="1"/>
  <c r="O587" i="2" s="1"/>
  <c r="O588" i="2" s="1"/>
  <c r="O589" i="2" s="1"/>
  <c r="O590" i="2" s="1"/>
  <c r="O591" i="2" s="1"/>
  <c r="O592" i="2" s="1"/>
  <c r="O593" i="2" s="1"/>
  <c r="O594" i="2" s="1"/>
  <c r="O595" i="2" s="1"/>
  <c r="O596" i="2" s="1"/>
  <c r="O597" i="2" s="1"/>
  <c r="O598" i="2" s="1"/>
  <c r="O599" i="2" s="1"/>
  <c r="O600" i="2" s="1"/>
  <c r="O601" i="2" s="1"/>
  <c r="O602" i="2" s="1"/>
  <c r="O603" i="2" s="1"/>
  <c r="O604" i="2" s="1"/>
  <c r="O605" i="2" s="1"/>
  <c r="O606" i="2" s="1"/>
  <c r="O607" i="2" s="1"/>
  <c r="O608" i="2" s="1"/>
  <c r="O609" i="2" s="1"/>
  <c r="O610" i="2" s="1"/>
  <c r="O611" i="2" s="1"/>
  <c r="O612" i="2" s="1"/>
  <c r="O613" i="2" s="1"/>
  <c r="O614" i="2" s="1"/>
  <c r="O615" i="2" s="1"/>
  <c r="O616" i="2" s="1"/>
  <c r="O617" i="2" s="1"/>
  <c r="O618" i="2" s="1"/>
  <c r="O619" i="2" s="1"/>
  <c r="O620" i="2" s="1"/>
  <c r="O621" i="2" s="1"/>
  <c r="O622" i="2" s="1"/>
  <c r="O623" i="2" s="1"/>
  <c r="O624" i="2" s="1"/>
  <c r="O625" i="2" s="1"/>
  <c r="O626" i="2" s="1"/>
  <c r="O627" i="2" s="1"/>
  <c r="O628" i="2" s="1"/>
  <c r="O629" i="2" s="1"/>
  <c r="O630" i="2" s="1"/>
  <c r="O631" i="2" s="1"/>
  <c r="O632" i="2" s="1"/>
  <c r="O633" i="2" s="1"/>
  <c r="O634" i="2" s="1"/>
  <c r="O635" i="2" s="1"/>
  <c r="O636" i="2" s="1"/>
  <c r="O637" i="2" s="1"/>
  <c r="O638" i="2" s="1"/>
  <c r="O639" i="2" s="1"/>
  <c r="O640" i="2" s="1"/>
  <c r="O641" i="2" s="1"/>
  <c r="O642" i="2" s="1"/>
  <c r="O643" i="2" s="1"/>
  <c r="O644" i="2" s="1"/>
  <c r="O645" i="2" s="1"/>
  <c r="O646" i="2" s="1"/>
  <c r="O647" i="2" s="1"/>
  <c r="O648" i="2" s="1"/>
  <c r="O649" i="2" s="1"/>
  <c r="O650" i="2" s="1"/>
  <c r="O651" i="2" s="1"/>
  <c r="O652" i="2" s="1"/>
  <c r="O653" i="2" s="1"/>
  <c r="O654" i="2" s="1"/>
  <c r="O655" i="2" s="1"/>
  <c r="O656" i="2" s="1"/>
  <c r="O657" i="2" s="1"/>
  <c r="O658" i="2" s="1"/>
  <c r="O659" i="2" s="1"/>
  <c r="O660" i="2" s="1"/>
  <c r="O661" i="2" s="1"/>
  <c r="O662" i="2" s="1"/>
  <c r="O663" i="2" s="1"/>
  <c r="O664" i="2" s="1"/>
  <c r="O665" i="2" s="1"/>
  <c r="O666" i="2" s="1"/>
  <c r="O667" i="2" s="1"/>
  <c r="O668" i="2" s="1"/>
  <c r="O669" i="2" s="1"/>
  <c r="O670" i="2" s="1"/>
  <c r="O671" i="2" s="1"/>
  <c r="O672" i="2" s="1"/>
  <c r="O673" i="2" s="1"/>
  <c r="O674" i="2" s="1"/>
  <c r="O675" i="2" s="1"/>
  <c r="O676" i="2" s="1"/>
  <c r="O677" i="2" s="1"/>
  <c r="O678" i="2" s="1"/>
  <c r="O679" i="2" s="1"/>
  <c r="O680" i="2" s="1"/>
  <c r="O681" i="2" s="1"/>
  <c r="O682" i="2" s="1"/>
  <c r="O683" i="2" s="1"/>
  <c r="O684" i="2" s="1"/>
  <c r="O685" i="2" s="1"/>
  <c r="O686" i="2" s="1"/>
  <c r="O687" i="2" s="1"/>
  <c r="O688" i="2" s="1"/>
  <c r="O689" i="2" s="1"/>
  <c r="O690" i="2" s="1"/>
  <c r="O691" i="2" s="1"/>
  <c r="O692" i="2" s="1"/>
  <c r="O693" i="2" s="1"/>
  <c r="O694" i="2" s="1"/>
  <c r="O695" i="2" s="1"/>
  <c r="O696" i="2" s="1"/>
  <c r="O697" i="2" s="1"/>
  <c r="O698" i="2" s="1"/>
  <c r="O699" i="2" s="1"/>
  <c r="O700" i="2" s="1"/>
  <c r="O701" i="2" s="1"/>
  <c r="O702" i="2" s="1"/>
  <c r="O703" i="2" s="1"/>
  <c r="O704" i="2" s="1"/>
  <c r="O705" i="2" s="1"/>
  <c r="O706" i="2" s="1"/>
  <c r="O707" i="2" s="1"/>
  <c r="O708" i="2" s="1"/>
  <c r="O709" i="2" s="1"/>
  <c r="O710" i="2" s="1"/>
  <c r="O711" i="2" s="1"/>
  <c r="O712" i="2" s="1"/>
  <c r="O713" i="2" s="1"/>
  <c r="O714" i="2" s="1"/>
  <c r="O715" i="2" s="1"/>
  <c r="O716" i="2" s="1"/>
  <c r="O717" i="2" s="1"/>
  <c r="O718" i="2" s="1"/>
  <c r="O719" i="2" s="1"/>
  <c r="O720" i="2" s="1"/>
  <c r="O721" i="2" s="1"/>
  <c r="O722" i="2" s="1"/>
  <c r="O723" i="2" s="1"/>
  <c r="O724" i="2" s="1"/>
  <c r="O725" i="2" s="1"/>
  <c r="O726" i="2" s="1"/>
  <c r="O727" i="2" s="1"/>
  <c r="O728" i="2" s="1"/>
  <c r="O729" i="2" s="1"/>
  <c r="O730" i="2" s="1"/>
  <c r="O3" i="2"/>
  <c r="O2" i="2"/>
  <c r="L2" i="5"/>
  <c r="L4" i="5" s="1"/>
  <c r="L2" i="4"/>
  <c r="L4" i="4" s="1"/>
  <c r="L2" i="3"/>
  <c r="L4" i="3" s="1"/>
  <c r="L2" i="2"/>
  <c r="L4" i="2" s="1"/>
  <c r="J32" i="1" l="1"/>
  <c r="J33" i="1"/>
  <c r="J34" i="1"/>
  <c r="J35" i="1"/>
  <c r="J36" i="1"/>
  <c r="J31" i="1"/>
  <c r="Q53" i="1" l="1"/>
  <c r="P53" i="1"/>
  <c r="O53" i="1"/>
  <c r="N53" i="1"/>
  <c r="M53" i="1"/>
  <c r="L53" i="1"/>
  <c r="K53" i="1"/>
  <c r="J53" i="1"/>
  <c r="I53" i="1"/>
  <c r="H53" i="1"/>
  <c r="H48" i="1"/>
  <c r="J47" i="1"/>
  <c r="J48" i="1" s="1"/>
  <c r="I47" i="1"/>
  <c r="I48" i="1" s="1"/>
  <c r="J38" i="1"/>
  <c r="K36" i="1"/>
  <c r="K35" i="1"/>
  <c r="K34" i="1"/>
  <c r="H60" i="1" s="1"/>
  <c r="K33" i="1"/>
  <c r="K32" i="1"/>
  <c r="K31" i="1"/>
  <c r="K6" i="1"/>
  <c r="A45" i="1" s="1"/>
  <c r="H52" i="1" l="1"/>
  <c r="K47" i="1"/>
  <c r="I52" i="1"/>
  <c r="H51" i="1"/>
  <c r="J52" i="1"/>
  <c r="J51" i="1"/>
  <c r="I51" i="1"/>
  <c r="J54" i="1" l="1"/>
  <c r="J58" i="1" s="1"/>
  <c r="I54" i="1"/>
  <c r="I58" i="1" s="1"/>
  <c r="H54" i="1"/>
  <c r="H58" i="1" s="1"/>
  <c r="K48" i="1"/>
  <c r="L47" i="1"/>
  <c r="J56" i="1" l="1"/>
  <c r="J63" i="1" s="1"/>
  <c r="I56" i="1"/>
  <c r="I63" i="1" s="1"/>
  <c r="H56" i="1"/>
  <c r="H63" i="1" s="1"/>
  <c r="M47" i="1"/>
  <c r="L48" i="1"/>
  <c r="K52" i="1"/>
  <c r="K51" i="1"/>
  <c r="K54" i="1" l="1"/>
  <c r="K58" i="1" s="1"/>
  <c r="L51" i="1"/>
  <c r="L52" i="1"/>
  <c r="N47" i="1"/>
  <c r="M48" i="1"/>
  <c r="H65" i="1" l="1"/>
  <c r="H67" i="1" s="1"/>
  <c r="J65" i="1"/>
  <c r="J67" i="1" s="1"/>
  <c r="I65" i="1"/>
  <c r="I67" i="1" s="1"/>
  <c r="K56" i="1"/>
  <c r="K63" i="1" s="1"/>
  <c r="L54" i="1"/>
  <c r="L56" i="1" s="1"/>
  <c r="L63" i="1" s="1"/>
  <c r="M52" i="1"/>
  <c r="M51" i="1"/>
  <c r="N48" i="1"/>
  <c r="O47" i="1"/>
  <c r="H68" i="1" l="1"/>
  <c r="H69" i="1"/>
  <c r="H71" i="1" s="1"/>
  <c r="H72" i="1" s="1"/>
  <c r="L58" i="1"/>
  <c r="M54" i="1"/>
  <c r="M58" i="1" s="1"/>
  <c r="O48" i="1"/>
  <c r="P47" i="1"/>
  <c r="N51" i="1"/>
  <c r="N52" i="1"/>
  <c r="I68" i="1" l="1"/>
  <c r="I69" i="1"/>
  <c r="I71" i="1" s="1"/>
  <c r="I72" i="1" s="1"/>
  <c r="K65" i="1"/>
  <c r="K67" i="1" s="1"/>
  <c r="M56" i="1"/>
  <c r="M63" i="1" s="1"/>
  <c r="L65" i="1"/>
  <c r="L67" i="1" s="1"/>
  <c r="N54" i="1"/>
  <c r="N58" i="1" s="1"/>
  <c r="Q47" i="1"/>
  <c r="Q48" i="1" s="1"/>
  <c r="P48" i="1"/>
  <c r="O52" i="1"/>
  <c r="O51" i="1"/>
  <c r="J68" i="1" l="1"/>
  <c r="J69" i="1"/>
  <c r="J71" i="1" s="1"/>
  <c r="J72" i="1" s="1"/>
  <c r="N56" i="1"/>
  <c r="N63" i="1" s="1"/>
  <c r="O54" i="1"/>
  <c r="O58" i="1" s="1"/>
  <c r="P51" i="1"/>
  <c r="P52" i="1"/>
  <c r="Q52" i="1"/>
  <c r="Q51" i="1"/>
  <c r="M65" i="1" l="1"/>
  <c r="M67" i="1" s="1"/>
  <c r="K69" i="1"/>
  <c r="K71" i="1" s="1"/>
  <c r="K72" i="1" s="1"/>
  <c r="K68" i="1"/>
  <c r="O56" i="1"/>
  <c r="O63" i="1" s="1"/>
  <c r="Q54" i="1"/>
  <c r="Q56" i="1" s="1"/>
  <c r="Q63" i="1" s="1"/>
  <c r="P54" i="1"/>
  <c r="P58" i="1" s="1"/>
  <c r="N65" i="1" l="1"/>
  <c r="N67" i="1" s="1"/>
  <c r="L69" i="1"/>
  <c r="L71" i="1" s="1"/>
  <c r="L72" i="1" s="1"/>
  <c r="L68" i="1"/>
  <c r="Q58" i="1"/>
  <c r="P56" i="1"/>
  <c r="P63" i="1" s="1"/>
  <c r="O65" i="1" l="1"/>
  <c r="O67" i="1" s="1"/>
  <c r="M69" i="1"/>
  <c r="M71" i="1" s="1"/>
  <c r="M72" i="1" s="1"/>
  <c r="M68" i="1"/>
  <c r="Q65" i="1"/>
  <c r="Q67" i="1" s="1"/>
  <c r="P65" i="1" l="1"/>
  <c r="P67" i="1" s="1"/>
  <c r="N69" i="1"/>
  <c r="N71" i="1" s="1"/>
  <c r="N72" i="1" s="1"/>
  <c r="N68" i="1"/>
  <c r="O68" i="1" l="1"/>
  <c r="P68" i="1" s="1"/>
  <c r="Q68" i="1" s="1"/>
  <c r="O69" i="1"/>
  <c r="O71" i="1" s="1"/>
  <c r="O72" i="1" s="1"/>
  <c r="Q69" i="1" l="1"/>
  <c r="Q71" i="1" s="1"/>
  <c r="Q72" i="1" s="1"/>
  <c r="P69" i="1"/>
  <c r="P71" i="1" s="1"/>
  <c r="P72" i="1" s="1"/>
  <c r="H75" i="1" l="1"/>
  <c r="H77" i="1" s="1"/>
  <c r="Q1" i="12" l="1"/>
</calcChain>
</file>

<file path=xl/sharedStrings.xml><?xml version="1.0" encoding="utf-8"?>
<sst xmlns="http://schemas.openxmlformats.org/spreadsheetml/2006/main" count="428" uniqueCount="136">
  <si>
    <t>RBL BioChemical Corporation's Value Model</t>
  </si>
  <si>
    <t>Section 1 - Strategy Selection</t>
  </si>
  <si>
    <t>Strategy</t>
  </si>
  <si>
    <t>strategy</t>
  </si>
  <si>
    <t>Strategy Name</t>
  </si>
  <si>
    <t>strategy_name</t>
  </si>
  <si>
    <t>Strategy Descriptions</t>
  </si>
  <si>
    <t>No Partnership / No Expansion</t>
  </si>
  <si>
    <t>No Partnership / Expansion</t>
  </si>
  <si>
    <t>Joint Venture</t>
  </si>
  <si>
    <t>Royalty</t>
  </si>
  <si>
    <t>Section 2 - Constants</t>
  </si>
  <si>
    <t>Description</t>
  </si>
  <si>
    <t>Units</t>
  </si>
  <si>
    <t>Value</t>
  </si>
  <si>
    <t>Name</t>
  </si>
  <si>
    <t/>
  </si>
  <si>
    <t>Real discount rate</t>
  </si>
  <si>
    <t>%</t>
  </si>
  <si>
    <t>discount_rate</t>
  </si>
  <si>
    <t>Tax Rate</t>
  </si>
  <si>
    <t>tax_rate</t>
  </si>
  <si>
    <t>Production without expansion</t>
  </si>
  <si>
    <t>M units</t>
  </si>
  <si>
    <t>prod_wo_exp</t>
  </si>
  <si>
    <t>Production with expansion</t>
  </si>
  <si>
    <t>prod_w_exp</t>
  </si>
  <si>
    <t>Production for PuDont</t>
  </si>
  <si>
    <t>prod_PuD</t>
  </si>
  <si>
    <t>Risk Tolerance</t>
  </si>
  <si>
    <t>M $</t>
  </si>
  <si>
    <t>risk_tol</t>
  </si>
  <si>
    <t>Section 3 - Uncertainties</t>
  </si>
  <si>
    <t>Index</t>
  </si>
  <si>
    <t>In Use</t>
  </si>
  <si>
    <t>Low</t>
  </si>
  <si>
    <t>Base</t>
  </si>
  <si>
    <t>High</t>
  </si>
  <si>
    <t>Demand uncertainties</t>
  </si>
  <si>
    <t>Initial Demand | RBL BioChem Markets</t>
  </si>
  <si>
    <t>dem_RBL</t>
  </si>
  <si>
    <t>Demand Growth Rate | RBL Biochem Markets</t>
  </si>
  <si>
    <t>%/year</t>
  </si>
  <si>
    <t>dem_g_PD</t>
  </si>
  <si>
    <t>PuDont Multiple | PuDont</t>
  </si>
  <si>
    <t>multiple</t>
  </si>
  <si>
    <t>mult_PD</t>
  </si>
  <si>
    <t>Plant Construction Cost</t>
  </si>
  <si>
    <t>plant_const</t>
  </si>
  <si>
    <t>Unit Production Cost</t>
  </si>
  <si>
    <t>$/unit</t>
  </si>
  <si>
    <t>unit_prod</t>
  </si>
  <si>
    <t>Unit Revenue</t>
  </si>
  <si>
    <t>unit_rev</t>
  </si>
  <si>
    <t>Section 4 - Calculations</t>
  </si>
  <si>
    <t>Year</t>
  </si>
  <si>
    <t>Period</t>
  </si>
  <si>
    <t>Sales</t>
  </si>
  <si>
    <t>Demand | RBL BioChem Markets</t>
  </si>
  <si>
    <t>Demand | PuDont Markets</t>
  </si>
  <si>
    <t>Capacity</t>
  </si>
  <si>
    <t>Revenue</t>
  </si>
  <si>
    <t>Production Cost</t>
  </si>
  <si>
    <t>Plant Cost</t>
  </si>
  <si>
    <t>JV Payment</t>
  </si>
  <si>
    <t>Royalty Payment</t>
  </si>
  <si>
    <t>Earnings Before Tax</t>
  </si>
  <si>
    <t>Taxes</t>
  </si>
  <si>
    <t>Tax Credit Available for Next Year</t>
  </si>
  <si>
    <t>Tax Payment</t>
  </si>
  <si>
    <t>Cash Flow</t>
  </si>
  <si>
    <t>Discounted Cash Flow</t>
  </si>
  <si>
    <t>Present Equivalent</t>
  </si>
  <si>
    <t>M 2017 $</t>
  </si>
  <si>
    <t>U (PE)</t>
  </si>
  <si>
    <t>Elementary Prob.</t>
  </si>
  <si>
    <t>CDF</t>
  </si>
  <si>
    <t>Prob.</t>
  </si>
  <si>
    <t>Base NPV</t>
  </si>
  <si>
    <t>S1</t>
  </si>
  <si>
    <t>S2</t>
  </si>
  <si>
    <t>S3</t>
  </si>
  <si>
    <t>S4</t>
  </si>
  <si>
    <t>CE</t>
  </si>
  <si>
    <t>PE</t>
  </si>
  <si>
    <t>u</t>
  </si>
  <si>
    <t>u(x)</t>
  </si>
  <si>
    <t>U</t>
  </si>
  <si>
    <t>uep</t>
  </si>
  <si>
    <t>H</t>
  </si>
  <si>
    <t>L</t>
  </si>
  <si>
    <t>B</t>
  </si>
  <si>
    <t>CE w/ risk</t>
  </si>
  <si>
    <t>CE no risk</t>
  </si>
  <si>
    <t>Elementary Probability</t>
  </si>
  <si>
    <t>CE w/ CV</t>
  </si>
  <si>
    <t>Pudont Multiple (multiplier)</t>
  </si>
  <si>
    <t>Plant Construction Cost  ($M)</t>
  </si>
  <si>
    <t>Demand Growth Rate (%/yr)</t>
  </si>
  <si>
    <t>Production Cost ($/unit)</t>
  </si>
  <si>
    <t>Initial Demand (M)</t>
  </si>
  <si>
    <t>Unit Revenue ($/unit)</t>
  </si>
  <si>
    <t>VAR</t>
  </si>
  <si>
    <t>Swing^2</t>
  </si>
  <si>
    <t xml:space="preserve">Swing </t>
  </si>
  <si>
    <t>Alternative 4</t>
  </si>
  <si>
    <t>Alternative 2</t>
  </si>
  <si>
    <t xml:space="preserve">Strategy </t>
  </si>
  <si>
    <t>Alternative 3</t>
  </si>
  <si>
    <t>Alternative 1</t>
  </si>
  <si>
    <t>Variance</t>
  </si>
  <si>
    <t>Uncertainties</t>
  </si>
  <si>
    <t>Strategy 4</t>
  </si>
  <si>
    <t>Strategy 3:</t>
  </si>
  <si>
    <t>Strategy 2:</t>
  </si>
  <si>
    <t>Strategy 1:</t>
  </si>
  <si>
    <t>Strategy 3</t>
  </si>
  <si>
    <t>Strategy 2</t>
  </si>
  <si>
    <t>Strategy 1</t>
  </si>
  <si>
    <t>Close</t>
  </si>
  <si>
    <t xml:space="preserve">High </t>
  </si>
  <si>
    <t>Open</t>
  </si>
  <si>
    <t>Where 3 passes 1</t>
  </si>
  <si>
    <t>Where 4 passes 1</t>
  </si>
  <si>
    <t>Scenario</t>
  </si>
  <si>
    <t>VOC</t>
  </si>
  <si>
    <t>Max</t>
  </si>
  <si>
    <t>Probs</t>
  </si>
  <si>
    <t>Best w/ CV</t>
  </si>
  <si>
    <t>EEMRC</t>
  </si>
  <si>
    <t>EEMRCS$</t>
  </si>
  <si>
    <t>JV %</t>
  </si>
  <si>
    <t>NPV S3</t>
  </si>
  <si>
    <t>NPV S1</t>
  </si>
  <si>
    <t>Royalty %</t>
  </si>
  <si>
    <t>NPV 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</si>
</sst>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0.0"/>
    <numFmt numFmtId="165" formatCode="0.0%"/>
    <numFmt numFmtId="166" formatCode="_(&quot;$&quot;* #,##0.0_);_(&quot;$&quot;* \(#,##0.0\);_(&quot;$&quot;* &quot;-&quot;??_);_(@_)"/>
    <numFmt numFmtId="167" formatCode="#,##0.0"/>
    <numFmt numFmtId="168" formatCode="0.00000"/>
    <numFmt numFmtId="169" formatCode="0.000000"/>
    <numFmt numFmtId="170" formatCode="_(&quot;$&quot;* #,##0_);_(&quot;$&quot;* \(#,##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Courier New"/>
      <family val="3"/>
    </font>
    <font>
      <sz val="10"/>
      <name val="Courier New"/>
      <family val="3"/>
    </font>
    <font>
      <b/>
      <i/>
      <sz val="12"/>
      <name val="Courier New"/>
      <family val="3"/>
    </font>
    <font>
      <b/>
      <i/>
      <sz val="10"/>
      <name val="Courier New"/>
      <family val="3"/>
    </font>
    <font>
      <b/>
      <sz val="10"/>
      <name val="Courier New"/>
      <family val="3"/>
    </font>
    <font>
      <sz val="9"/>
      <name val="Courier New"/>
      <family val="3"/>
    </font>
    <font>
      <b/>
      <sz val="12"/>
      <name val="Courier New"/>
      <family val="3"/>
    </font>
    <font>
      <u/>
      <sz val="10"/>
      <name val="Courier New"/>
      <family val="3"/>
    </font>
    <font>
      <b/>
      <i/>
      <sz val="10"/>
      <color indexed="10"/>
      <name val="Courier New"/>
      <family val="3"/>
    </font>
    <font>
      <sz val="10"/>
      <color indexed="10"/>
      <name val="Courier New"/>
      <family val="3"/>
    </font>
    <font>
      <i/>
      <sz val="10"/>
      <color indexed="10"/>
      <name val="Courier New"/>
      <family val="3"/>
    </font>
    <font>
      <sz val="10"/>
      <color indexed="8"/>
      <name val="Courier New"/>
      <family val="3"/>
    </font>
    <font>
      <sz val="12"/>
      <name val="Courier New"/>
      <family val="3"/>
    </font>
    <font>
      <sz val="11"/>
      <name val="Courier New"/>
      <family val="3"/>
    </font>
    <font>
      <sz val="11"/>
      <color indexed="8"/>
      <name val="Courier New"/>
      <family val="3"/>
    </font>
    <font>
      <b/>
      <sz val="11"/>
      <color indexed="8"/>
      <name val="Courier New"/>
      <family val="3"/>
    </font>
    <font>
      <i/>
      <sz val="10"/>
      <color indexed="8"/>
      <name val="Courier New"/>
      <family val="3"/>
    </font>
    <font>
      <i/>
      <sz val="10"/>
      <name val="Courier New"/>
      <family val="3"/>
    </font>
    <font>
      <sz val="9"/>
      <color indexed="8"/>
      <name val="Courier New"/>
      <family val="3"/>
    </font>
    <font>
      <sz val="9"/>
      <color indexed="10"/>
      <name val="Courier New"/>
      <family val="3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3" fillId="0" borderId="1" xfId="0" applyFont="1" applyBorder="1"/>
    <xf numFmtId="0" fontId="5" fillId="0" borderId="0" xfId="0" applyFont="1" applyBorder="1"/>
    <xf numFmtId="0" fontId="3" fillId="0" borderId="0" xfId="0" applyFont="1" applyBorder="1"/>
    <xf numFmtId="0" fontId="3" fillId="0" borderId="2" xfId="0" applyFont="1" applyBorder="1"/>
    <xf numFmtId="0" fontId="3" fillId="0" borderId="3" xfId="0" applyFont="1" applyBorder="1"/>
    <xf numFmtId="0" fontId="6" fillId="2" borderId="4" xfId="0" applyFont="1" applyFill="1" applyBorder="1"/>
    <xf numFmtId="0" fontId="7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 applyAlignment="1">
      <alignment horizontal="right"/>
    </xf>
    <xf numFmtId="0" fontId="7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0" xfId="0" applyFont="1"/>
    <xf numFmtId="0" fontId="3" fillId="0" borderId="4" xfId="0" applyFont="1" applyBorder="1"/>
    <xf numFmtId="0" fontId="9" fillId="0" borderId="0" xfId="0" applyFont="1" applyBorder="1" applyAlignment="1">
      <alignment horizontal="center"/>
    </xf>
    <xf numFmtId="0" fontId="3" fillId="0" borderId="0" xfId="0" applyFont="1" applyBorder="1" applyProtection="1"/>
    <xf numFmtId="0" fontId="10" fillId="0" borderId="0" xfId="0" applyFont="1"/>
    <xf numFmtId="0" fontId="3" fillId="0" borderId="8" xfId="0" applyFont="1" applyBorder="1"/>
    <xf numFmtId="0" fontId="3" fillId="0" borderId="0" xfId="0" applyFont="1" applyBorder="1" applyAlignment="1">
      <alignment horizontal="center"/>
    </xf>
    <xf numFmtId="9" fontId="3" fillId="0" borderId="9" xfId="0" applyNumberFormat="1" applyFont="1" applyBorder="1" applyAlignment="1">
      <alignment horizontal="center"/>
    </xf>
    <xf numFmtId="0" fontId="7" fillId="0" borderId="10" xfId="0" applyFont="1" applyBorder="1"/>
    <xf numFmtId="9" fontId="3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9" fontId="3" fillId="0" borderId="11" xfId="0" applyNumberFormat="1" applyFont="1" applyBorder="1" applyAlignment="1">
      <alignment horizontal="center"/>
    </xf>
    <xf numFmtId="0" fontId="3" fillId="0" borderId="10" xfId="0" applyFont="1" applyBorder="1"/>
    <xf numFmtId="164" fontId="3" fillId="0" borderId="0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9" fontId="3" fillId="0" borderId="0" xfId="2" applyFont="1" applyBorder="1" applyAlignment="1">
      <alignment horizontal="center"/>
    </xf>
    <xf numFmtId="0" fontId="3" fillId="0" borderId="0" xfId="2" applyNumberFormat="1" applyFont="1" applyBorder="1" applyAlignment="1">
      <alignment horizontal="center"/>
    </xf>
    <xf numFmtId="0" fontId="3" fillId="0" borderId="7" xfId="0" applyFont="1" applyBorder="1"/>
    <xf numFmtId="0" fontId="4" fillId="0" borderId="0" xfId="0" applyFont="1" applyBorder="1"/>
    <xf numFmtId="0" fontId="6" fillId="0" borderId="2" xfId="0" applyFont="1" applyBorder="1"/>
    <xf numFmtId="0" fontId="9" fillId="0" borderId="3" xfId="0" applyFont="1" applyBorder="1" applyAlignment="1">
      <alignment horizontal="center"/>
    </xf>
    <xf numFmtId="0" fontId="12" fillId="0" borderId="0" xfId="0" applyFont="1"/>
    <xf numFmtId="0" fontId="13" fillId="0" borderId="8" xfId="0" applyFont="1" applyBorder="1"/>
    <xf numFmtId="0" fontId="3" fillId="0" borderId="0" xfId="0" applyFont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/>
    </xf>
    <xf numFmtId="164" fontId="3" fillId="0" borderId="12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9" fontId="3" fillId="0" borderId="9" xfId="2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0" fontId="3" fillId="0" borderId="12" xfId="2" applyNumberFormat="1" applyFont="1" applyBorder="1" applyAlignment="1">
      <alignment horizontal="center"/>
    </xf>
    <xf numFmtId="165" fontId="3" fillId="0" borderId="0" xfId="2" applyNumberFormat="1" applyFont="1" applyBorder="1" applyAlignment="1">
      <alignment horizontal="center"/>
    </xf>
    <xf numFmtId="44" fontId="3" fillId="0" borderId="9" xfId="1" applyFont="1" applyBorder="1" applyAlignment="1">
      <alignment horizontal="center"/>
    </xf>
    <xf numFmtId="166" fontId="3" fillId="0" borderId="12" xfId="1" applyNumberFormat="1" applyFont="1" applyBorder="1" applyAlignment="1">
      <alignment horizontal="center"/>
    </xf>
    <xf numFmtId="44" fontId="3" fillId="0" borderId="12" xfId="1" applyFont="1" applyBorder="1" applyAlignment="1">
      <alignment horizontal="center" vertical="center"/>
    </xf>
    <xf numFmtId="44" fontId="3" fillId="0" borderId="12" xfId="1" applyFont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13" fillId="4" borderId="0" xfId="0" applyFont="1" applyFill="1" applyBorder="1"/>
    <xf numFmtId="0" fontId="6" fillId="0" borderId="8" xfId="0" applyFont="1" applyBorder="1"/>
    <xf numFmtId="0" fontId="6" fillId="0" borderId="5" xfId="0" applyFont="1" applyBorder="1"/>
    <xf numFmtId="0" fontId="3" fillId="0" borderId="6" xfId="0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7" fillId="0" borderId="6" xfId="0" applyNumberFormat="1" applyFont="1" applyBorder="1"/>
    <xf numFmtId="0" fontId="6" fillId="0" borderId="0" xfId="0" applyFont="1"/>
    <xf numFmtId="0" fontId="14" fillId="0" borderId="0" xfId="0" applyFont="1"/>
    <xf numFmtId="0" fontId="7" fillId="0" borderId="0" xfId="0" applyFont="1" applyAlignment="1"/>
    <xf numFmtId="0" fontId="15" fillId="0" borderId="0" xfId="0" applyFont="1" applyAlignment="1"/>
    <xf numFmtId="0" fontId="16" fillId="0" borderId="0" xfId="0" applyFont="1" applyAlignment="1">
      <alignment horizontal="center"/>
    </xf>
    <xf numFmtId="0" fontId="13" fillId="0" borderId="0" xfId="0" applyFont="1"/>
    <xf numFmtId="0" fontId="16" fillId="0" borderId="0" xfId="0" applyFont="1"/>
    <xf numFmtId="4" fontId="16" fillId="0" borderId="0" xfId="0" applyNumberFormat="1" applyFont="1" applyBorder="1"/>
    <xf numFmtId="164" fontId="16" fillId="0" borderId="0" xfId="0" applyNumberFormat="1" applyFont="1" applyBorder="1"/>
    <xf numFmtId="167" fontId="16" fillId="0" borderId="0" xfId="0" applyNumberFormat="1" applyFont="1" applyBorder="1"/>
    <xf numFmtId="0" fontId="14" fillId="0" borderId="0" xfId="0" applyFont="1" applyBorder="1"/>
    <xf numFmtId="0" fontId="7" fillId="0" borderId="0" xfId="0" applyFont="1" applyBorder="1" applyAlignment="1">
      <alignment horizontal="center"/>
    </xf>
    <xf numFmtId="2" fontId="16" fillId="0" borderId="0" xfId="0" applyNumberFormat="1" applyFont="1" applyBorder="1"/>
    <xf numFmtId="0" fontId="8" fillId="0" borderId="0" xfId="0" applyFont="1" applyBorder="1"/>
    <xf numFmtId="2" fontId="13" fillId="0" borderId="0" xfId="0" applyNumberFormat="1" applyFont="1" applyBorder="1"/>
    <xf numFmtId="7" fontId="17" fillId="0" borderId="0" xfId="0" applyNumberFormat="1" applyFont="1" applyBorder="1"/>
    <xf numFmtId="7" fontId="13" fillId="0" borderId="0" xfId="0" applyNumberFormat="1" applyFont="1" applyBorder="1"/>
    <xf numFmtId="4" fontId="13" fillId="5" borderId="0" xfId="0" applyNumberFormat="1" applyFont="1" applyFill="1" applyBorder="1"/>
    <xf numFmtId="3" fontId="13" fillId="0" borderId="0" xfId="0" applyNumberFormat="1" applyFont="1" applyBorder="1"/>
    <xf numFmtId="0" fontId="13" fillId="5" borderId="0" xfId="1" applyNumberFormat="1" applyFont="1" applyFill="1" applyBorder="1"/>
    <xf numFmtId="0" fontId="13" fillId="0" borderId="0" xfId="0" applyFont="1" applyBorder="1"/>
    <xf numFmtId="0" fontId="6" fillId="0" borderId="0" xfId="0" applyFont="1" applyBorder="1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0" fontId="19" fillId="0" borderId="0" xfId="0" applyFont="1" applyBorder="1"/>
    <xf numFmtId="0" fontId="11" fillId="0" borderId="0" xfId="0" applyFont="1" applyBorder="1"/>
    <xf numFmtId="7" fontId="20" fillId="0" borderId="0" xfId="0" applyNumberFormat="1" applyFont="1" applyBorder="1"/>
    <xf numFmtId="0" fontId="21" fillId="0" borderId="0" xfId="0" applyFont="1" applyBorder="1"/>
    <xf numFmtId="0" fontId="19" fillId="0" borderId="0" xfId="0" applyFont="1" applyBorder="1" applyAlignment="1">
      <alignment horizontal="center"/>
    </xf>
    <xf numFmtId="7" fontId="3" fillId="0" borderId="0" xfId="0" applyNumberFormat="1" applyFont="1" applyBorder="1"/>
    <xf numFmtId="7" fontId="7" fillId="0" borderId="0" xfId="0" applyNumberFormat="1" applyFont="1" applyBorder="1"/>
    <xf numFmtId="44" fontId="3" fillId="0" borderId="0" xfId="1" applyFont="1" applyBorder="1"/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0" fillId="0" borderId="0" xfId="0" applyFill="1"/>
    <xf numFmtId="0" fontId="0" fillId="6" borderId="0" xfId="0" applyFill="1"/>
    <xf numFmtId="168" fontId="0" fillId="6" borderId="0" xfId="0" applyNumberFormat="1" applyFill="1"/>
    <xf numFmtId="169" fontId="0" fillId="6" borderId="0" xfId="0" applyNumberFormat="1" applyFill="1"/>
    <xf numFmtId="168" fontId="0" fillId="0" borderId="0" xfId="0" applyNumberFormat="1" applyFill="1"/>
    <xf numFmtId="169" fontId="0" fillId="0" borderId="0" xfId="0" applyNumberFormat="1" applyFill="1"/>
    <xf numFmtId="0" fontId="0" fillId="0" borderId="0" xfId="0" applyBorder="1"/>
    <xf numFmtId="0" fontId="0" fillId="0" borderId="13" xfId="0" applyBorder="1"/>
    <xf numFmtId="0" fontId="0" fillId="0" borderId="0" xfId="0" applyBorder="1" applyAlignment="1"/>
    <xf numFmtId="0" fontId="0" fillId="0" borderId="14" xfId="0" applyBorder="1"/>
    <xf numFmtId="4" fontId="0" fillId="0" borderId="0" xfId="0" applyNumberFormat="1"/>
    <xf numFmtId="0" fontId="22" fillId="0" borderId="0" xfId="0" applyFont="1"/>
    <xf numFmtId="0" fontId="0" fillId="0" borderId="0" xfId="0" applyAlignment="1"/>
    <xf numFmtId="0" fontId="0" fillId="0" borderId="18" xfId="0" applyBorder="1"/>
    <xf numFmtId="0" fontId="0" fillId="0" borderId="20" xfId="0" applyBorder="1"/>
    <xf numFmtId="0" fontId="0" fillId="0" borderId="15" xfId="0" applyBorder="1"/>
    <xf numFmtId="10" fontId="0" fillId="0" borderId="0" xfId="0" applyNumberFormat="1"/>
    <xf numFmtId="170" fontId="0" fillId="0" borderId="0" xfId="1" applyNumberFormat="1" applyFont="1"/>
    <xf numFmtId="0" fontId="0" fillId="0" borderId="20" xfId="0" applyFill="1" applyBorder="1"/>
    <xf numFmtId="0" fontId="0" fillId="0" borderId="0" xfId="0" applyFill="1" applyBorder="1"/>
    <xf numFmtId="0" fontId="0" fillId="0" borderId="0" xfId="0" applyFill="1" applyBorder="1" applyAlignment="1"/>
    <xf numFmtId="0" fontId="0" fillId="7" borderId="0" xfId="0" applyFill="1" applyBorder="1" applyAlignment="1"/>
    <xf numFmtId="0" fontId="0" fillId="7" borderId="0" xfId="0" applyFill="1" applyBorder="1"/>
    <xf numFmtId="170" fontId="0" fillId="0" borderId="0" xfId="1" applyNumberFormat="1" applyFont="1" applyFill="1" applyBorder="1"/>
    <xf numFmtId="0" fontId="0" fillId="0" borderId="22" xfId="0" applyFill="1" applyBorder="1"/>
    <xf numFmtId="0" fontId="0" fillId="0" borderId="17" xfId="0" applyBorder="1"/>
    <xf numFmtId="0" fontId="0" fillId="0" borderId="21" xfId="0" applyBorder="1"/>
    <xf numFmtId="0" fontId="0" fillId="0" borderId="19" xfId="0" applyFill="1" applyBorder="1"/>
    <xf numFmtId="0" fontId="6" fillId="0" borderId="16" xfId="0" applyFont="1" applyBorder="1"/>
    <xf numFmtId="0" fontId="3" fillId="0" borderId="1" xfId="0" applyFont="1" applyBorder="1" applyAlignment="1">
      <alignment horizontal="center" vertical="center"/>
    </xf>
    <xf numFmtId="0" fontId="3" fillId="0" borderId="17" xfId="0" applyFont="1" applyBorder="1" applyAlignment="1" applyProtection="1">
      <alignment horizontal="center" vertical="center"/>
    </xf>
    <xf numFmtId="0" fontId="13" fillId="0" borderId="23" xfId="0" applyFont="1" applyBorder="1"/>
    <xf numFmtId="164" fontId="3" fillId="0" borderId="24" xfId="0" applyNumberFormat="1" applyFont="1" applyBorder="1" applyAlignment="1">
      <alignment horizontal="center"/>
    </xf>
    <xf numFmtId="9" fontId="3" fillId="0" borderId="24" xfId="0" applyNumberFormat="1" applyFont="1" applyBorder="1" applyAlignment="1">
      <alignment horizontal="center"/>
    </xf>
    <xf numFmtId="0" fontId="3" fillId="0" borderId="24" xfId="2" applyNumberFormat="1" applyFont="1" applyBorder="1" applyAlignment="1">
      <alignment horizontal="center"/>
    </xf>
    <xf numFmtId="0" fontId="3" fillId="0" borderId="23" xfId="0" applyFont="1" applyBorder="1"/>
    <xf numFmtId="166" fontId="3" fillId="0" borderId="24" xfId="1" applyNumberFormat="1" applyFont="1" applyBorder="1" applyAlignment="1">
      <alignment horizontal="center"/>
    </xf>
    <xf numFmtId="44" fontId="3" fillId="0" borderId="24" xfId="1" applyFont="1" applyBorder="1" applyAlignment="1">
      <alignment horizontal="center" vertical="center"/>
    </xf>
    <xf numFmtId="0" fontId="3" fillId="0" borderId="25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 vertical="center"/>
    </xf>
    <xf numFmtId="0" fontId="7" fillId="0" borderId="26" xfId="0" applyFont="1" applyBorder="1"/>
    <xf numFmtId="44" fontId="3" fillId="0" borderId="27" xfId="1" applyFont="1" applyBorder="1" applyAlignment="1">
      <alignment horizontal="center"/>
    </xf>
    <xf numFmtId="44" fontId="3" fillId="0" borderId="28" xfId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Base NPV for</a:t>
            </a:r>
            <a:r>
              <a:rPr lang="en-US" baseline="0"/>
              <a:t> each strategy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5462668816039986E-17"/>
                  <c:y val="-0.3148148148148148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2B-4FCC-AE7C-7F3041AE34B3}"/>
                </c:ext>
              </c:extLst>
            </c:dLbl>
            <c:dLbl>
              <c:idx val="1"/>
              <c:layout>
                <c:manualLayout>
                  <c:x val="-5.0925337632079971E-17"/>
                  <c:y val="-0.217592592592592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0972222222222219E-2"/>
                      <c:h val="0.124930737824438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82B-4FCC-AE7C-7F3041AE34B3}"/>
                </c:ext>
              </c:extLst>
            </c:dLbl>
            <c:dLbl>
              <c:idx val="2"/>
              <c:layout>
                <c:manualLayout>
                  <c:x val="0"/>
                  <c:y val="-0.296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2B-4FCC-AE7C-7F3041AE34B3}"/>
                </c:ext>
              </c:extLst>
            </c:dLbl>
            <c:dLbl>
              <c:idx val="3"/>
              <c:layout>
                <c:manualLayout>
                  <c:x val="1.0185067526415994E-16"/>
                  <c:y val="-0.194444444444444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2B-4FCC-AE7C-7F3041AE34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Sheet1!$AA$6:$AA$9</c:f>
              <c:numCache>
                <c:formatCode>General</c:formatCode>
                <c:ptCount val="4"/>
                <c:pt idx="0">
                  <c:v>14.04</c:v>
                </c:pt>
                <c:pt idx="1">
                  <c:v>8.9499999999999993</c:v>
                </c:pt>
                <c:pt idx="2">
                  <c:v>11.9</c:v>
                </c:pt>
                <c:pt idx="3">
                  <c:v>7.67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2B-4FCC-AE7C-7F3041AE34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88331104"/>
        <c:axId val="488329464"/>
      </c:barChart>
      <c:catAx>
        <c:axId val="48833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Strategy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29464"/>
        <c:crosses val="autoZero"/>
        <c:auto val="1"/>
        <c:lblAlgn val="ctr"/>
        <c:lblOffset val="100"/>
        <c:noMultiLvlLbl val="0"/>
      </c:catAx>
      <c:valAx>
        <c:axId val="48832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3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Certain Equivalence Values without Clairvoyance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 Risk</c:v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Total!$C$24:$F$24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Total!$C$4:$F$4</c:f>
              <c:numCache>
                <c:formatCode>General</c:formatCode>
                <c:ptCount val="4"/>
                <c:pt idx="0">
                  <c:v>11.357047462671101</c:v>
                </c:pt>
                <c:pt idx="1">
                  <c:v>7.8869277911037461</c:v>
                </c:pt>
                <c:pt idx="2">
                  <c:v>10.497902148367951</c:v>
                </c:pt>
                <c:pt idx="3">
                  <c:v>8.0151921863284343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7-45BF-B378-2AEFEB3864F6}"/>
            </c:ext>
          </c:extLst>
        </c:ser>
        <c:ser>
          <c:idx val="1"/>
          <c:order val="1"/>
          <c:tx>
            <c:v>With Risk</c:v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Total!$C$24:$F$24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Total!$C$5:$F$5</c:f>
              <c:numCache>
                <c:formatCode>General</c:formatCode>
                <c:ptCount val="4"/>
                <c:pt idx="0">
                  <c:v>10.545158200350798</c:v>
                </c:pt>
                <c:pt idx="1">
                  <c:v>3.8440140967086935</c:v>
                </c:pt>
                <c:pt idx="2">
                  <c:v>9.4896107545675843</c:v>
                </c:pt>
                <c:pt idx="3">
                  <c:v>7.615184434899497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47-45BF-B378-2AEFEB386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168088"/>
        <c:axId val="587845824"/>
      </c:barChart>
      <c:catAx>
        <c:axId val="58916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845824"/>
        <c:crosses val="autoZero"/>
        <c:auto val="1"/>
        <c:lblAlgn val="ctr"/>
        <c:lblOffset val="100"/>
        <c:noMultiLvlLbl val="0"/>
      </c:catAx>
      <c:valAx>
        <c:axId val="58784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 (in millions of dollars)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6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Certain Equivalence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No Clairvoyance</c:v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Total!$C$24:$F$24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Total!$C$26:$F$26</c:f>
              <c:numCache>
                <c:formatCode>General</c:formatCode>
                <c:ptCount val="4"/>
                <c:pt idx="0">
                  <c:v>10.545158200350798</c:v>
                </c:pt>
                <c:pt idx="1">
                  <c:v>3.8440140967086935</c:v>
                </c:pt>
                <c:pt idx="2">
                  <c:v>9.4896107545675843</c:v>
                </c:pt>
                <c:pt idx="3">
                  <c:v>7.615184434899497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A-40E5-956D-919F8BA41A5D}"/>
            </c:ext>
          </c:extLst>
        </c:ser>
        <c:ser>
          <c:idx val="1"/>
          <c:order val="1"/>
          <c:tx>
            <c:v>Value of Clairvoyance</c:v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Total!$C$24:$F$24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Total!$C$27:$F$27</c:f>
              <c:numCache>
                <c:formatCode>General</c:formatCode>
                <c:ptCount val="4"/>
                <c:pt idx="0">
                  <c:v>0.38919179964920048</c:v>
                </c:pt>
                <c:pt idx="1">
                  <c:v>7.0903359032913045</c:v>
                </c:pt>
                <c:pt idx="2">
                  <c:v>1.4447392454324142</c:v>
                </c:pt>
                <c:pt idx="3">
                  <c:v>3.3191655651005014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A-40E5-956D-919F8BA41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9715360"/>
        <c:axId val="629716344"/>
      </c:barChart>
      <c:catAx>
        <c:axId val="62971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16344"/>
        <c:crosses val="autoZero"/>
        <c:auto val="1"/>
        <c:lblAlgn val="ctr"/>
        <c:lblOffset val="100"/>
        <c:noMultiLvlLbl val="0"/>
      </c:catAx>
      <c:valAx>
        <c:axId val="62971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 (in millions of dollars)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1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 1:</a:t>
            </a:r>
            <a:endParaRPr lang="en-US" sz="1600" b="0" i="0" u="none" strike="noStrike" baseline="0">
              <a:effectLst/>
            </a:endParaRPr>
          </a:p>
          <a:p>
            <a:pPr>
              <a:defRPr/>
            </a:pPr>
            <a:r>
              <a:rPr lang="en-US" sz="1200" i="1"/>
              <a:t>No Partnership/No Expansion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AAAHHH!!!'!$B$3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AAAHHH!!!'!$A$4:$A$9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Demand Growth Rate (%/yr)</c:v>
                </c:pt>
                <c:pt idx="3">
                  <c:v>Production Cost ($/unit)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AAAHHH!!!'!$B$4:$B$9</c:f>
              <c:numCache>
                <c:formatCode>General</c:formatCode>
                <c:ptCount val="6"/>
                <c:pt idx="0">
                  <c:v>14.04</c:v>
                </c:pt>
                <c:pt idx="1">
                  <c:v>14.04</c:v>
                </c:pt>
                <c:pt idx="2">
                  <c:v>11.63</c:v>
                </c:pt>
                <c:pt idx="3">
                  <c:v>16.850000000000001</c:v>
                </c:pt>
                <c:pt idx="4">
                  <c:v>7.43</c:v>
                </c:pt>
                <c:pt idx="5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8-49E0-BD0D-25BB89F28858}"/>
            </c:ext>
          </c:extLst>
        </c:ser>
        <c:ser>
          <c:idx val="1"/>
          <c:order val="1"/>
          <c:tx>
            <c:strRef>
              <c:f>'TORNADOES AAAHHH!!!'!$C$3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AAAHHH!!!'!$A$4:$A$9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Demand Growth Rate (%/yr)</c:v>
                </c:pt>
                <c:pt idx="3">
                  <c:v>Production Cost ($/unit)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AAAHHH!!!'!$C$4:$C$9</c:f>
              <c:numCache>
                <c:formatCode>General</c:formatCode>
                <c:ptCount val="6"/>
                <c:pt idx="0">
                  <c:v>14.04</c:v>
                </c:pt>
                <c:pt idx="1">
                  <c:v>14.04</c:v>
                </c:pt>
                <c:pt idx="2">
                  <c:v>14.04</c:v>
                </c:pt>
                <c:pt idx="3">
                  <c:v>11.23</c:v>
                </c:pt>
                <c:pt idx="4">
                  <c:v>14.04</c:v>
                </c:pt>
                <c:pt idx="5">
                  <c:v>22.47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78-49E0-BD0D-25BB89F28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111360"/>
        <c:axId val="612977952"/>
      </c:barChart>
      <c:catAx>
        <c:axId val="621111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77952"/>
        <c:crossesAt val="14.04084533"/>
        <c:auto val="1"/>
        <c:lblAlgn val="ctr"/>
        <c:lblOffset val="100"/>
        <c:noMultiLvlLbl val="0"/>
      </c:catAx>
      <c:valAx>
        <c:axId val="61297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11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 2:</a:t>
            </a:r>
          </a:p>
          <a:p>
            <a:pPr>
              <a:defRPr/>
            </a:pPr>
            <a:r>
              <a:rPr lang="en-US" sz="1200" i="1"/>
              <a:t>No Partnership/Expansion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AAAHHH!!!'!$J$3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AAAHHH!!!'!$I$4:$I$9</c:f>
              <c:strCache>
                <c:ptCount val="6"/>
                <c:pt idx="0">
                  <c:v>Pudont Multiple (multiplier)</c:v>
                </c:pt>
                <c:pt idx="1">
                  <c:v>Plant Construction Cost  ($M)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Unit Revenue ($/unit)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AAAHHH!!!'!$J$4:$J$9</c:f>
              <c:numCache>
                <c:formatCode>General</c:formatCode>
                <c:ptCount val="6"/>
                <c:pt idx="0">
                  <c:v>8.9499999999999993</c:v>
                </c:pt>
                <c:pt idx="1">
                  <c:v>10.01</c:v>
                </c:pt>
                <c:pt idx="2">
                  <c:v>12.78</c:v>
                </c:pt>
                <c:pt idx="3">
                  <c:v>1.9</c:v>
                </c:pt>
                <c:pt idx="4">
                  <c:v>-8.5</c:v>
                </c:pt>
                <c:pt idx="5">
                  <c:v>-3.04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7-4253-AC63-17C88B8D8BEC}"/>
            </c:ext>
          </c:extLst>
        </c:ser>
        <c:ser>
          <c:idx val="1"/>
          <c:order val="1"/>
          <c:tx>
            <c:strRef>
              <c:f>'TORNADOES AAAHHH!!!'!$K$3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AAAHHH!!!'!$I$4:$I$9</c:f>
              <c:strCache>
                <c:ptCount val="6"/>
                <c:pt idx="0">
                  <c:v>Pudont Multiple (multiplier)</c:v>
                </c:pt>
                <c:pt idx="1">
                  <c:v>Plant Construction Cost  ($M)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Unit Revenue ($/unit)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AAAHHH!!!'!$K$4:$K$9</c:f>
              <c:numCache>
                <c:formatCode>General</c:formatCode>
                <c:ptCount val="6"/>
                <c:pt idx="0">
                  <c:v>8.9499999999999993</c:v>
                </c:pt>
                <c:pt idx="1">
                  <c:v>7.14</c:v>
                </c:pt>
                <c:pt idx="2">
                  <c:v>5.0599999999999996</c:v>
                </c:pt>
                <c:pt idx="3">
                  <c:v>10.58</c:v>
                </c:pt>
                <c:pt idx="4">
                  <c:v>20.37</c:v>
                </c:pt>
                <c:pt idx="5">
                  <c:v>30.51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07-4253-AC63-17C88B8D8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019352"/>
        <c:axId val="621019680"/>
      </c:barChart>
      <c:catAx>
        <c:axId val="6210193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019680"/>
        <c:crossesAt val="8.9463754449999975"/>
        <c:auto val="1"/>
        <c:lblAlgn val="ctr"/>
        <c:lblOffset val="100"/>
        <c:noMultiLvlLbl val="0"/>
      </c:catAx>
      <c:valAx>
        <c:axId val="62101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</a:t>
                </a:r>
                <a:r>
                  <a:rPr lang="en-US" baseline="0"/>
                  <a:t> </a:t>
                </a:r>
                <a:r>
                  <a:rPr lang="en-US"/>
                  <a:t>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019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</a:t>
            </a:r>
            <a:r>
              <a:rPr lang="en-US" baseline="0"/>
              <a:t> 3:</a:t>
            </a:r>
          </a:p>
          <a:p>
            <a:pPr>
              <a:defRPr/>
            </a:pPr>
            <a:r>
              <a:rPr lang="en-US" sz="1200" i="1"/>
              <a:t>Joint Venture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AAAHHH!!!'!$P$3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AAAHHH!!!'!$O$4:$O$9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AAAHHH!!!'!$P$4:$P$9</c:f>
              <c:numCache>
                <c:formatCode>General</c:formatCode>
                <c:ptCount val="6"/>
                <c:pt idx="0">
                  <c:v>11.9</c:v>
                </c:pt>
                <c:pt idx="1">
                  <c:v>9.67</c:v>
                </c:pt>
                <c:pt idx="2">
                  <c:v>14.28</c:v>
                </c:pt>
                <c:pt idx="3">
                  <c:v>7.44</c:v>
                </c:pt>
                <c:pt idx="4">
                  <c:v>4.76</c:v>
                </c:pt>
                <c:pt idx="5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2A-40C3-BC17-C2C7B2512D1C}"/>
            </c:ext>
          </c:extLst>
        </c:ser>
        <c:ser>
          <c:idx val="1"/>
          <c:order val="1"/>
          <c:tx>
            <c:strRef>
              <c:f>'TORNADOES AAAHHH!!!'!$Q$3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AAAHHH!!!'!$O$4:$O$9</c:f>
              <c:strCache>
                <c:ptCount val="6"/>
                <c:pt idx="0">
                  <c:v>Plant Construction Cost  ($M)</c:v>
                </c:pt>
                <c:pt idx="1">
                  <c:v>Pudont Multiple (multiplier)</c:v>
                </c:pt>
                <c:pt idx="2">
                  <c:v>Production Cost ($/unit)</c:v>
                </c:pt>
                <c:pt idx="3">
                  <c:v>Demand Growth Rate (%/yr)</c:v>
                </c:pt>
                <c:pt idx="4">
                  <c:v>Initial Demand (M)</c:v>
                </c:pt>
                <c:pt idx="5">
                  <c:v>Unit Revenue ($/unit)</c:v>
                </c:pt>
              </c:strCache>
            </c:strRef>
          </c:cat>
          <c:val>
            <c:numRef>
              <c:f>'TORNADOES AAAHHH!!!'!$Q$4:$Q$9</c:f>
              <c:numCache>
                <c:formatCode>General</c:formatCode>
                <c:ptCount val="6"/>
                <c:pt idx="0">
                  <c:v>11.9</c:v>
                </c:pt>
                <c:pt idx="1">
                  <c:v>13.38</c:v>
                </c:pt>
                <c:pt idx="2">
                  <c:v>9.52</c:v>
                </c:pt>
                <c:pt idx="3">
                  <c:v>12.9</c:v>
                </c:pt>
                <c:pt idx="4">
                  <c:v>19.100000000000001</c:v>
                </c:pt>
                <c:pt idx="5">
                  <c:v>19.03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2A-40C3-BC17-C2C7B2512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814976"/>
        <c:axId val="621816288"/>
      </c:barChart>
      <c:catAx>
        <c:axId val="621814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6288"/>
        <c:crossesAt val="11.895886100000002"/>
        <c:auto val="1"/>
        <c:lblAlgn val="ctr"/>
        <c:lblOffset val="100"/>
        <c:noMultiLvlLbl val="0"/>
      </c:catAx>
      <c:valAx>
        <c:axId val="6218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Strategy 4:</a:t>
            </a:r>
          </a:p>
          <a:p>
            <a:pPr>
              <a:defRPr/>
            </a:pPr>
            <a:r>
              <a:rPr lang="en-US" sz="1200" i="1"/>
              <a:t>Royalty Licensing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'TORNADOES AAAHHH!!!'!$V$3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AAAHHH!!!'!$U$4:$U$9</c:f>
              <c:strCache>
                <c:ptCount val="6"/>
                <c:pt idx="0">
                  <c:v>Production Cost ($/unit)</c:v>
                </c:pt>
                <c:pt idx="1">
                  <c:v>Plant Construction Cost  ($M)</c:v>
                </c:pt>
                <c:pt idx="2">
                  <c:v>Unit Revenue ($/unit)</c:v>
                </c:pt>
                <c:pt idx="3">
                  <c:v>Pudont Multiple (multiplier)</c:v>
                </c:pt>
                <c:pt idx="4">
                  <c:v>Demand Growth Rate (%/yr)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AAAHHH!!!'!$V$4:$V$9</c:f>
              <c:numCache>
                <c:formatCode>General</c:formatCode>
                <c:ptCount val="6"/>
                <c:pt idx="0">
                  <c:v>7.67</c:v>
                </c:pt>
                <c:pt idx="1">
                  <c:v>7.67</c:v>
                </c:pt>
                <c:pt idx="2">
                  <c:v>6.96</c:v>
                </c:pt>
                <c:pt idx="3">
                  <c:v>6.23</c:v>
                </c:pt>
                <c:pt idx="4">
                  <c:v>4.8</c:v>
                </c:pt>
                <c:pt idx="5">
                  <c:v>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4-4649-BD7D-2F8C922356AA}"/>
            </c:ext>
          </c:extLst>
        </c:ser>
        <c:ser>
          <c:idx val="1"/>
          <c:order val="1"/>
          <c:tx>
            <c:strRef>
              <c:f>'TORNADOES AAAHHH!!!'!$W$3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'TORNADOES AAAHHH!!!'!$U$4:$U$9</c:f>
              <c:strCache>
                <c:ptCount val="6"/>
                <c:pt idx="0">
                  <c:v>Production Cost ($/unit)</c:v>
                </c:pt>
                <c:pt idx="1">
                  <c:v>Plant Construction Cost  ($M)</c:v>
                </c:pt>
                <c:pt idx="2">
                  <c:v>Unit Revenue ($/unit)</c:v>
                </c:pt>
                <c:pt idx="3">
                  <c:v>Pudont Multiple (multiplier)</c:v>
                </c:pt>
                <c:pt idx="4">
                  <c:v>Demand Growth Rate (%/yr)</c:v>
                </c:pt>
                <c:pt idx="5">
                  <c:v>Initial Demand (M)</c:v>
                </c:pt>
              </c:strCache>
            </c:strRef>
          </c:cat>
          <c:val>
            <c:numRef>
              <c:f>'TORNADOES AAAHHH!!!'!$W$4:$W$9</c:f>
              <c:numCache>
                <c:formatCode>General</c:formatCode>
                <c:ptCount val="6"/>
                <c:pt idx="0">
                  <c:v>7.67</c:v>
                </c:pt>
                <c:pt idx="1">
                  <c:v>7.67</c:v>
                </c:pt>
                <c:pt idx="2">
                  <c:v>8.2100000000000009</c:v>
                </c:pt>
                <c:pt idx="3">
                  <c:v>8.6300000000000008</c:v>
                </c:pt>
                <c:pt idx="4">
                  <c:v>8.34</c:v>
                </c:pt>
                <c:pt idx="5">
                  <c:v>16.88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4-4649-BD7D-2F8C92235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100"/>
        <c:axId val="621817928"/>
        <c:axId val="621812680"/>
      </c:barChart>
      <c:catAx>
        <c:axId val="6218179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uncertainties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2680"/>
        <c:crossesAt val="7.6728465349999997"/>
        <c:auto val="1"/>
        <c:lblAlgn val="ctr"/>
        <c:lblOffset val="100"/>
        <c:noMultiLvlLbl val="0"/>
      </c:catAx>
      <c:valAx>
        <c:axId val="621812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817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High - Base</a:t>
            </a:r>
            <a:r>
              <a:rPr lang="en-US" baseline="0"/>
              <a:t> - Low Values of Strategy Alternatives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'Hi-Base-Lo'!$B$1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'Hi-Base-Lo'!$B$2:$B$5</c:f>
              <c:numCache>
                <c:formatCode>General</c:formatCode>
                <c:ptCount val="4"/>
                <c:pt idx="0">
                  <c:v>14.04</c:v>
                </c:pt>
                <c:pt idx="1">
                  <c:v>8.9499999999999993</c:v>
                </c:pt>
                <c:pt idx="2">
                  <c:v>11.9</c:v>
                </c:pt>
                <c:pt idx="3">
                  <c:v>7.67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4-4800-99C5-7A4BF84FA43F}"/>
            </c:ext>
          </c:extLst>
        </c:ser>
        <c:ser>
          <c:idx val="1"/>
          <c:order val="1"/>
          <c:tx>
            <c:strRef>
              <c:f>'Hi-Base-Lo'!$C$1</c:f>
              <c:strCache>
                <c:ptCount val="1"/>
                <c:pt idx="0">
                  <c:v>High 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'Hi-Base-Lo'!$C$2:$C$5</c:f>
              <c:numCache>
                <c:formatCode>General</c:formatCode>
                <c:ptCount val="4"/>
                <c:pt idx="0">
                  <c:v>19.66</c:v>
                </c:pt>
                <c:pt idx="1">
                  <c:v>46.69</c:v>
                </c:pt>
                <c:pt idx="2">
                  <c:v>26.73</c:v>
                </c:pt>
                <c:pt idx="3">
                  <c:v>22.08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E4-4800-99C5-7A4BF84FA43F}"/>
            </c:ext>
          </c:extLst>
        </c:ser>
        <c:ser>
          <c:idx val="2"/>
          <c:order val="2"/>
          <c:tx>
            <c:strRef>
              <c:f>'Hi-Base-Lo'!$D$1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'Hi-Base-Lo'!$D$2:$D$5</c:f>
              <c:numCache>
                <c:formatCode>General</c:formatCode>
                <c:ptCount val="4"/>
                <c:pt idx="0">
                  <c:v>1.86</c:v>
                </c:pt>
                <c:pt idx="1">
                  <c:v>-10</c:v>
                </c:pt>
                <c:pt idx="2">
                  <c:v>0.97</c:v>
                </c:pt>
                <c:pt idx="3">
                  <c:v>1.42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E4-4800-99C5-7A4BF84FA43F}"/>
            </c:ext>
          </c:extLst>
        </c:ser>
        <c:ser>
          <c:idx val="3"/>
          <c:order val="3"/>
          <c:tx>
            <c:strRef>
              <c:f>'Hi-Base-Lo'!$E$1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'Hi-Base-Lo'!$A$2:$A$5</c:f>
              <c:strCache>
                <c:ptCount val="4"/>
                <c:pt idx="0">
                  <c:v>Strategy 1</c:v>
                </c:pt>
                <c:pt idx="1">
                  <c:v>Strategy 2</c:v>
                </c:pt>
                <c:pt idx="2">
                  <c:v>Strategy 3</c:v>
                </c:pt>
                <c:pt idx="3">
                  <c:v>Strategy 4</c:v>
                </c:pt>
              </c:strCache>
            </c:strRef>
          </c:cat>
          <c:val>
            <c:numRef>
              <c:f>'Hi-Base-Lo'!$E$2:$E$5</c:f>
              <c:numCache>
                <c:formatCode>General</c:formatCode>
                <c:ptCount val="4"/>
                <c:pt idx="0">
                  <c:v>14.04</c:v>
                </c:pt>
                <c:pt idx="1">
                  <c:v>8.9499999999999993</c:v>
                </c:pt>
                <c:pt idx="2">
                  <c:v>11.9</c:v>
                </c:pt>
                <c:pt idx="3">
                  <c:v>7.67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E4-4800-99C5-7A4BF84F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419100" cap="flat" cmpd="sng" algn="ctr">
              <a:solidFill>
                <a:schemeClr val="accent5"/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18509032"/>
        <c:axId val="618509360"/>
      </c:stockChart>
      <c:catAx>
        <c:axId val="61850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09360"/>
        <c:crosses val="autoZero"/>
        <c:auto val="1"/>
        <c:lblAlgn val="ctr"/>
        <c:lblOffset val="900"/>
        <c:noMultiLvlLbl val="0"/>
      </c:catAx>
      <c:valAx>
        <c:axId val="6185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Present Equivalents (2017 $M)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09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Density</a:t>
            </a:r>
            <a:r>
              <a:rPr lang="en-US" baseline="0"/>
              <a:t> Function for each Strategy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Strategy 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CDF!$A$2:$A$730</c:f>
              <c:numCache>
                <c:formatCode>General</c:formatCode>
                <c:ptCount val="7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0.93057524620919363</c:v>
                </c:pt>
                <c:pt idx="82">
                  <c:v>0.93057524620919363</c:v>
                </c:pt>
                <c:pt idx="83">
                  <c:v>0.93057524620919363</c:v>
                </c:pt>
                <c:pt idx="84">
                  <c:v>0.93057524620919363</c:v>
                </c:pt>
                <c:pt idx="85">
                  <c:v>0.93057524620919363</c:v>
                </c:pt>
                <c:pt idx="86">
                  <c:v>0.93057524620919363</c:v>
                </c:pt>
                <c:pt idx="87">
                  <c:v>0.93057524620919363</c:v>
                </c:pt>
                <c:pt idx="88">
                  <c:v>0.93057524620919363</c:v>
                </c:pt>
                <c:pt idx="89">
                  <c:v>0.93057524620919363</c:v>
                </c:pt>
                <c:pt idx="90">
                  <c:v>1.4869857625320251</c:v>
                </c:pt>
                <c:pt idx="91">
                  <c:v>1.4869857625320251</c:v>
                </c:pt>
                <c:pt idx="92">
                  <c:v>1.4869857625320251</c:v>
                </c:pt>
                <c:pt idx="93">
                  <c:v>1.4869857625320251</c:v>
                </c:pt>
                <c:pt idx="94">
                  <c:v>1.4869857625320251</c:v>
                </c:pt>
                <c:pt idx="95">
                  <c:v>1.4869857625320251</c:v>
                </c:pt>
                <c:pt idx="96">
                  <c:v>1.4869857625320251</c:v>
                </c:pt>
                <c:pt idx="97">
                  <c:v>1.4869857625320251</c:v>
                </c:pt>
                <c:pt idx="98">
                  <c:v>1.4869857625320251</c:v>
                </c:pt>
                <c:pt idx="99">
                  <c:v>1.6162041121082618</c:v>
                </c:pt>
                <c:pt idx="100">
                  <c:v>1.6162041121082618</c:v>
                </c:pt>
                <c:pt idx="101">
                  <c:v>1.6162041121082618</c:v>
                </c:pt>
                <c:pt idx="102">
                  <c:v>1.6162041121082618</c:v>
                </c:pt>
                <c:pt idx="103">
                  <c:v>1.6162041121082618</c:v>
                </c:pt>
                <c:pt idx="104">
                  <c:v>1.6162041121082618</c:v>
                </c:pt>
                <c:pt idx="105">
                  <c:v>1.6162041121082618</c:v>
                </c:pt>
                <c:pt idx="106">
                  <c:v>1.6162041121082618</c:v>
                </c:pt>
                <c:pt idx="107">
                  <c:v>1.6162041121082618</c:v>
                </c:pt>
                <c:pt idx="108">
                  <c:v>1.8611504924183875</c:v>
                </c:pt>
                <c:pt idx="109">
                  <c:v>1.8611504924183875</c:v>
                </c:pt>
                <c:pt idx="110">
                  <c:v>1.8611504924183875</c:v>
                </c:pt>
                <c:pt idx="111">
                  <c:v>1.8611504924183875</c:v>
                </c:pt>
                <c:pt idx="112">
                  <c:v>1.8611504924183875</c:v>
                </c:pt>
                <c:pt idx="113">
                  <c:v>1.8611504924183875</c:v>
                </c:pt>
                <c:pt idx="114">
                  <c:v>1.8611504924183875</c:v>
                </c:pt>
                <c:pt idx="115">
                  <c:v>1.8611504924183875</c:v>
                </c:pt>
                <c:pt idx="116">
                  <c:v>1.8611504924183875</c:v>
                </c:pt>
                <c:pt idx="117">
                  <c:v>2.3264381155229863</c:v>
                </c:pt>
                <c:pt idx="118">
                  <c:v>2.3264381155229863</c:v>
                </c:pt>
                <c:pt idx="119">
                  <c:v>2.3264381155229863</c:v>
                </c:pt>
                <c:pt idx="120">
                  <c:v>2.3264381155229863</c:v>
                </c:pt>
                <c:pt idx="121">
                  <c:v>2.3264381155229863</c:v>
                </c:pt>
                <c:pt idx="122">
                  <c:v>2.3264381155229863</c:v>
                </c:pt>
                <c:pt idx="123">
                  <c:v>2.3264381155229863</c:v>
                </c:pt>
                <c:pt idx="124">
                  <c:v>2.3264381155229863</c:v>
                </c:pt>
                <c:pt idx="125">
                  <c:v>2.3264381155229863</c:v>
                </c:pt>
                <c:pt idx="126">
                  <c:v>2.8081690654569935</c:v>
                </c:pt>
                <c:pt idx="127">
                  <c:v>2.8081690654569935</c:v>
                </c:pt>
                <c:pt idx="128">
                  <c:v>2.8081690654569935</c:v>
                </c:pt>
                <c:pt idx="129">
                  <c:v>2.8081690654569935</c:v>
                </c:pt>
                <c:pt idx="130">
                  <c:v>2.8081690654569935</c:v>
                </c:pt>
                <c:pt idx="131">
                  <c:v>2.8081690654569935</c:v>
                </c:pt>
                <c:pt idx="132">
                  <c:v>2.8081690654569935</c:v>
                </c:pt>
                <c:pt idx="133">
                  <c:v>2.8081690654569935</c:v>
                </c:pt>
                <c:pt idx="134">
                  <c:v>2.8081690654569935</c:v>
                </c:pt>
                <c:pt idx="135">
                  <c:v>2.8081690654569935</c:v>
                </c:pt>
                <c:pt idx="136">
                  <c:v>2.8081690654569935</c:v>
                </c:pt>
                <c:pt idx="137">
                  <c:v>2.8081690654569935</c:v>
                </c:pt>
                <c:pt idx="138">
                  <c:v>2.8081690654569935</c:v>
                </c:pt>
                <c:pt idx="139">
                  <c:v>2.8081690654569935</c:v>
                </c:pt>
                <c:pt idx="140">
                  <c:v>2.8081690654569935</c:v>
                </c:pt>
                <c:pt idx="141">
                  <c:v>2.8081690654569935</c:v>
                </c:pt>
                <c:pt idx="142">
                  <c:v>2.8081690654569935</c:v>
                </c:pt>
                <c:pt idx="143">
                  <c:v>2.8081690654569935</c:v>
                </c:pt>
                <c:pt idx="144">
                  <c:v>2.8081690654569935</c:v>
                </c:pt>
                <c:pt idx="145">
                  <c:v>2.8081690654569935</c:v>
                </c:pt>
                <c:pt idx="146">
                  <c:v>2.8081690654569935</c:v>
                </c:pt>
                <c:pt idx="147">
                  <c:v>2.8081690654569935</c:v>
                </c:pt>
                <c:pt idx="148">
                  <c:v>2.8081690654569935</c:v>
                </c:pt>
                <c:pt idx="149">
                  <c:v>2.8081690654569935</c:v>
                </c:pt>
                <c:pt idx="150">
                  <c:v>2.8081690654569935</c:v>
                </c:pt>
                <c:pt idx="151">
                  <c:v>2.8081690654569935</c:v>
                </c:pt>
                <c:pt idx="152">
                  <c:v>2.8081690654569935</c:v>
                </c:pt>
                <c:pt idx="153">
                  <c:v>2.8081690654569935</c:v>
                </c:pt>
                <c:pt idx="154">
                  <c:v>2.8081690654569935</c:v>
                </c:pt>
                <c:pt idx="155">
                  <c:v>2.8081690654569935</c:v>
                </c:pt>
                <c:pt idx="156">
                  <c:v>2.8081690654569935</c:v>
                </c:pt>
                <c:pt idx="157">
                  <c:v>2.8081690654569935</c:v>
                </c:pt>
                <c:pt idx="158">
                  <c:v>2.8081690654569935</c:v>
                </c:pt>
                <c:pt idx="159">
                  <c:v>2.8081690654569935</c:v>
                </c:pt>
                <c:pt idx="160">
                  <c:v>2.8081690654569935</c:v>
                </c:pt>
                <c:pt idx="161">
                  <c:v>2.8081690654569935</c:v>
                </c:pt>
                <c:pt idx="162">
                  <c:v>2.8081690654569935</c:v>
                </c:pt>
                <c:pt idx="163">
                  <c:v>2.8081690654569935</c:v>
                </c:pt>
                <c:pt idx="164">
                  <c:v>2.8081690654569935</c:v>
                </c:pt>
                <c:pt idx="165">
                  <c:v>2.8081690654569935</c:v>
                </c:pt>
                <c:pt idx="166">
                  <c:v>2.8081690654569935</c:v>
                </c:pt>
                <c:pt idx="167">
                  <c:v>2.8081690654569935</c:v>
                </c:pt>
                <c:pt idx="168">
                  <c:v>2.8081690654569935</c:v>
                </c:pt>
                <c:pt idx="169">
                  <c:v>2.8081690654569935</c:v>
                </c:pt>
                <c:pt idx="170">
                  <c:v>2.8081690654569935</c:v>
                </c:pt>
                <c:pt idx="171">
                  <c:v>2.9739715250640515</c:v>
                </c:pt>
                <c:pt idx="172">
                  <c:v>2.9739715250640515</c:v>
                </c:pt>
                <c:pt idx="173">
                  <c:v>2.9739715250640515</c:v>
                </c:pt>
                <c:pt idx="174">
                  <c:v>2.9739715250640515</c:v>
                </c:pt>
                <c:pt idx="175">
                  <c:v>2.9739715250640515</c:v>
                </c:pt>
                <c:pt idx="176">
                  <c:v>2.9739715250640515</c:v>
                </c:pt>
                <c:pt idx="177">
                  <c:v>2.9739715250640515</c:v>
                </c:pt>
                <c:pt idx="178">
                  <c:v>2.9739715250640515</c:v>
                </c:pt>
                <c:pt idx="179">
                  <c:v>2.9739715250640515</c:v>
                </c:pt>
                <c:pt idx="180">
                  <c:v>3.2324082242165226</c:v>
                </c:pt>
                <c:pt idx="181">
                  <c:v>3.2324082242165226</c:v>
                </c:pt>
                <c:pt idx="182">
                  <c:v>3.2324082242165226</c:v>
                </c:pt>
                <c:pt idx="183">
                  <c:v>3.2324082242165226</c:v>
                </c:pt>
                <c:pt idx="184">
                  <c:v>3.2324082242165226</c:v>
                </c:pt>
                <c:pt idx="185">
                  <c:v>3.2324082242165226</c:v>
                </c:pt>
                <c:pt idx="186">
                  <c:v>3.2324082242165226</c:v>
                </c:pt>
                <c:pt idx="187">
                  <c:v>3.2324082242165226</c:v>
                </c:pt>
                <c:pt idx="188">
                  <c:v>3.2324082242165226</c:v>
                </c:pt>
                <c:pt idx="189">
                  <c:v>3.7223009848367745</c:v>
                </c:pt>
                <c:pt idx="190">
                  <c:v>3.7223009848367745</c:v>
                </c:pt>
                <c:pt idx="191">
                  <c:v>3.7223009848367745</c:v>
                </c:pt>
                <c:pt idx="192">
                  <c:v>3.7223009848367745</c:v>
                </c:pt>
                <c:pt idx="193">
                  <c:v>3.7223009848367745</c:v>
                </c:pt>
                <c:pt idx="194">
                  <c:v>3.7223009848367745</c:v>
                </c:pt>
                <c:pt idx="195">
                  <c:v>3.7223009848367745</c:v>
                </c:pt>
                <c:pt idx="196">
                  <c:v>3.7223009848367745</c:v>
                </c:pt>
                <c:pt idx="197">
                  <c:v>3.7223009848367745</c:v>
                </c:pt>
                <c:pt idx="198">
                  <c:v>4.6528762310459681</c:v>
                </c:pt>
                <c:pt idx="199">
                  <c:v>4.6528762310459681</c:v>
                </c:pt>
                <c:pt idx="200">
                  <c:v>4.6528762310459681</c:v>
                </c:pt>
                <c:pt idx="201">
                  <c:v>4.6528762310459681</c:v>
                </c:pt>
                <c:pt idx="202">
                  <c:v>4.6528762310459681</c:v>
                </c:pt>
                <c:pt idx="203">
                  <c:v>4.6528762310459681</c:v>
                </c:pt>
                <c:pt idx="204">
                  <c:v>4.6528762310459681</c:v>
                </c:pt>
                <c:pt idx="205">
                  <c:v>4.6528762310459681</c:v>
                </c:pt>
                <c:pt idx="206">
                  <c:v>4.6528762310459681</c:v>
                </c:pt>
                <c:pt idx="207">
                  <c:v>4.6528762310459726</c:v>
                </c:pt>
                <c:pt idx="208">
                  <c:v>4.6528762310459726</c:v>
                </c:pt>
                <c:pt idx="209">
                  <c:v>4.6528762310459726</c:v>
                </c:pt>
                <c:pt idx="210">
                  <c:v>4.6528762310459726</c:v>
                </c:pt>
                <c:pt idx="211">
                  <c:v>4.6528762310459726</c:v>
                </c:pt>
                <c:pt idx="212">
                  <c:v>4.6528762310459726</c:v>
                </c:pt>
                <c:pt idx="213">
                  <c:v>4.6528762310459726</c:v>
                </c:pt>
                <c:pt idx="214">
                  <c:v>4.6528762310459726</c:v>
                </c:pt>
                <c:pt idx="215">
                  <c:v>4.6528762310459726</c:v>
                </c:pt>
                <c:pt idx="216">
                  <c:v>5.5834514772551609</c:v>
                </c:pt>
                <c:pt idx="217">
                  <c:v>5.5834514772551609</c:v>
                </c:pt>
                <c:pt idx="218">
                  <c:v>5.5834514772551609</c:v>
                </c:pt>
                <c:pt idx="219">
                  <c:v>5.5834514772551609</c:v>
                </c:pt>
                <c:pt idx="220">
                  <c:v>5.5834514772551609</c:v>
                </c:pt>
                <c:pt idx="221">
                  <c:v>5.5834514772551609</c:v>
                </c:pt>
                <c:pt idx="222">
                  <c:v>5.5834514772551609</c:v>
                </c:pt>
                <c:pt idx="223">
                  <c:v>5.5834514772551609</c:v>
                </c:pt>
                <c:pt idx="224">
                  <c:v>5.5834514772551609</c:v>
                </c:pt>
                <c:pt idx="225">
                  <c:v>5.616338130913987</c:v>
                </c:pt>
                <c:pt idx="226">
                  <c:v>5.616338130913987</c:v>
                </c:pt>
                <c:pt idx="227">
                  <c:v>5.616338130913987</c:v>
                </c:pt>
                <c:pt idx="228">
                  <c:v>5.616338130913987</c:v>
                </c:pt>
                <c:pt idx="229">
                  <c:v>5.616338130913987</c:v>
                </c:pt>
                <c:pt idx="230">
                  <c:v>5.616338130913987</c:v>
                </c:pt>
                <c:pt idx="231">
                  <c:v>5.616338130913987</c:v>
                </c:pt>
                <c:pt idx="232">
                  <c:v>5.616338130913987</c:v>
                </c:pt>
                <c:pt idx="233">
                  <c:v>5.616338130913987</c:v>
                </c:pt>
                <c:pt idx="234">
                  <c:v>5.616338130913987</c:v>
                </c:pt>
                <c:pt idx="235">
                  <c:v>5.616338130913987</c:v>
                </c:pt>
                <c:pt idx="236">
                  <c:v>5.616338130913987</c:v>
                </c:pt>
                <c:pt idx="237">
                  <c:v>5.616338130913987</c:v>
                </c:pt>
                <c:pt idx="238">
                  <c:v>5.616338130913987</c:v>
                </c:pt>
                <c:pt idx="239">
                  <c:v>5.616338130913987</c:v>
                </c:pt>
                <c:pt idx="240">
                  <c:v>5.616338130913987</c:v>
                </c:pt>
                <c:pt idx="241">
                  <c:v>5.616338130913987</c:v>
                </c:pt>
                <c:pt idx="242">
                  <c:v>5.616338130913987</c:v>
                </c:pt>
                <c:pt idx="243">
                  <c:v>5.616338130913987</c:v>
                </c:pt>
                <c:pt idx="244">
                  <c:v>5.616338130913987</c:v>
                </c:pt>
                <c:pt idx="245">
                  <c:v>5.616338130913987</c:v>
                </c:pt>
                <c:pt idx="246">
                  <c:v>5.616338130913987</c:v>
                </c:pt>
                <c:pt idx="247">
                  <c:v>5.616338130913987</c:v>
                </c:pt>
                <c:pt idx="248">
                  <c:v>5.616338130913987</c:v>
                </c:pt>
                <c:pt idx="249">
                  <c:v>5.616338130913987</c:v>
                </c:pt>
                <c:pt idx="250">
                  <c:v>5.616338130913987</c:v>
                </c:pt>
                <c:pt idx="251">
                  <c:v>5.616338130913987</c:v>
                </c:pt>
                <c:pt idx="252">
                  <c:v>5.616338130913987</c:v>
                </c:pt>
                <c:pt idx="253">
                  <c:v>5.616338130913987</c:v>
                </c:pt>
                <c:pt idx="254">
                  <c:v>5.616338130913987</c:v>
                </c:pt>
                <c:pt idx="255">
                  <c:v>5.616338130913987</c:v>
                </c:pt>
                <c:pt idx="256">
                  <c:v>5.616338130913987</c:v>
                </c:pt>
                <c:pt idx="257">
                  <c:v>5.616338130913987</c:v>
                </c:pt>
                <c:pt idx="258">
                  <c:v>5.616338130913987</c:v>
                </c:pt>
                <c:pt idx="259">
                  <c:v>5.616338130913987</c:v>
                </c:pt>
                <c:pt idx="260">
                  <c:v>5.616338130913987</c:v>
                </c:pt>
                <c:pt idx="261">
                  <c:v>5.616338130913987</c:v>
                </c:pt>
                <c:pt idx="262">
                  <c:v>5.616338130913987</c:v>
                </c:pt>
                <c:pt idx="263">
                  <c:v>5.616338130913987</c:v>
                </c:pt>
                <c:pt idx="264">
                  <c:v>5.616338130913987</c:v>
                </c:pt>
                <c:pt idx="265">
                  <c:v>5.616338130913987</c:v>
                </c:pt>
                <c:pt idx="266">
                  <c:v>5.616338130913987</c:v>
                </c:pt>
                <c:pt idx="267">
                  <c:v>5.616338130913987</c:v>
                </c:pt>
                <c:pt idx="268">
                  <c:v>5.616338130913987</c:v>
                </c:pt>
                <c:pt idx="269">
                  <c:v>5.616338130913987</c:v>
                </c:pt>
                <c:pt idx="270">
                  <c:v>5.9479430501281003</c:v>
                </c:pt>
                <c:pt idx="271">
                  <c:v>5.9479430501281003</c:v>
                </c:pt>
                <c:pt idx="272">
                  <c:v>5.9479430501281003</c:v>
                </c:pt>
                <c:pt idx="273">
                  <c:v>5.9479430501281003</c:v>
                </c:pt>
                <c:pt idx="274">
                  <c:v>5.9479430501281003</c:v>
                </c:pt>
                <c:pt idx="275">
                  <c:v>5.9479430501281003</c:v>
                </c:pt>
                <c:pt idx="276">
                  <c:v>5.9479430501281003</c:v>
                </c:pt>
                <c:pt idx="277">
                  <c:v>5.9479430501281003</c:v>
                </c:pt>
                <c:pt idx="278">
                  <c:v>5.9479430501281003</c:v>
                </c:pt>
                <c:pt idx="279">
                  <c:v>6.4648164484330399</c:v>
                </c:pt>
                <c:pt idx="280">
                  <c:v>6.4648164484330399</c:v>
                </c:pt>
                <c:pt idx="281">
                  <c:v>6.4648164484330399</c:v>
                </c:pt>
                <c:pt idx="282">
                  <c:v>6.4648164484330399</c:v>
                </c:pt>
                <c:pt idx="283">
                  <c:v>6.4648164484330399</c:v>
                </c:pt>
                <c:pt idx="284">
                  <c:v>6.4648164484330399</c:v>
                </c:pt>
                <c:pt idx="285">
                  <c:v>6.4648164484330399</c:v>
                </c:pt>
                <c:pt idx="286">
                  <c:v>6.4648164484330399</c:v>
                </c:pt>
                <c:pt idx="287">
                  <c:v>6.4648164484330399</c:v>
                </c:pt>
                <c:pt idx="288">
                  <c:v>6.5140267234643545</c:v>
                </c:pt>
                <c:pt idx="289">
                  <c:v>6.5140267234643545</c:v>
                </c:pt>
                <c:pt idx="290">
                  <c:v>6.5140267234643545</c:v>
                </c:pt>
                <c:pt idx="291">
                  <c:v>6.5140267234643545</c:v>
                </c:pt>
                <c:pt idx="292">
                  <c:v>6.5140267234643545</c:v>
                </c:pt>
                <c:pt idx="293">
                  <c:v>6.5140267234643545</c:v>
                </c:pt>
                <c:pt idx="294">
                  <c:v>6.5140267234643545</c:v>
                </c:pt>
                <c:pt idx="295">
                  <c:v>6.5140267234643545</c:v>
                </c:pt>
                <c:pt idx="296">
                  <c:v>6.5140267234643545</c:v>
                </c:pt>
                <c:pt idx="297">
                  <c:v>7.4349288126601252</c:v>
                </c:pt>
                <c:pt idx="298">
                  <c:v>7.4349288126601252</c:v>
                </c:pt>
                <c:pt idx="299">
                  <c:v>7.4349288126601252</c:v>
                </c:pt>
                <c:pt idx="300">
                  <c:v>7.4349288126601252</c:v>
                </c:pt>
                <c:pt idx="301">
                  <c:v>7.4349288126601252</c:v>
                </c:pt>
                <c:pt idx="302">
                  <c:v>7.4349288126601252</c:v>
                </c:pt>
                <c:pt idx="303">
                  <c:v>7.4349288126601252</c:v>
                </c:pt>
                <c:pt idx="304">
                  <c:v>7.4349288126601252</c:v>
                </c:pt>
                <c:pt idx="305">
                  <c:v>7.4349288126601252</c:v>
                </c:pt>
                <c:pt idx="306">
                  <c:v>7.4446019696735473</c:v>
                </c:pt>
                <c:pt idx="307">
                  <c:v>7.4446019696735473</c:v>
                </c:pt>
                <c:pt idx="308">
                  <c:v>7.4446019696735473</c:v>
                </c:pt>
                <c:pt idx="309">
                  <c:v>7.4446019696735473</c:v>
                </c:pt>
                <c:pt idx="310">
                  <c:v>7.4446019696735473</c:v>
                </c:pt>
                <c:pt idx="311">
                  <c:v>7.4446019696735473</c:v>
                </c:pt>
                <c:pt idx="312">
                  <c:v>7.4446019696735473</c:v>
                </c:pt>
                <c:pt idx="313">
                  <c:v>7.4446019696735473</c:v>
                </c:pt>
                <c:pt idx="314">
                  <c:v>7.4446019696735473</c:v>
                </c:pt>
                <c:pt idx="315">
                  <c:v>8.081020560541301</c:v>
                </c:pt>
                <c:pt idx="316">
                  <c:v>8.081020560541301</c:v>
                </c:pt>
                <c:pt idx="317">
                  <c:v>8.081020560541301</c:v>
                </c:pt>
                <c:pt idx="318">
                  <c:v>8.081020560541301</c:v>
                </c:pt>
                <c:pt idx="319">
                  <c:v>8.081020560541301</c:v>
                </c:pt>
                <c:pt idx="320">
                  <c:v>8.081020560541301</c:v>
                </c:pt>
                <c:pt idx="321">
                  <c:v>8.081020560541301</c:v>
                </c:pt>
                <c:pt idx="322">
                  <c:v>8.081020560541301</c:v>
                </c:pt>
                <c:pt idx="323">
                  <c:v>8.081020560541301</c:v>
                </c:pt>
                <c:pt idx="324">
                  <c:v>8.3751772158827436</c:v>
                </c:pt>
                <c:pt idx="325">
                  <c:v>8.3751772158827436</c:v>
                </c:pt>
                <c:pt idx="326">
                  <c:v>8.3751772158827436</c:v>
                </c:pt>
                <c:pt idx="327">
                  <c:v>8.3751772158827436</c:v>
                </c:pt>
                <c:pt idx="328">
                  <c:v>8.3751772158827436</c:v>
                </c:pt>
                <c:pt idx="329">
                  <c:v>8.3751772158827436</c:v>
                </c:pt>
                <c:pt idx="330">
                  <c:v>8.3751772158827436</c:v>
                </c:pt>
                <c:pt idx="331">
                  <c:v>8.3751772158827436</c:v>
                </c:pt>
                <c:pt idx="332">
                  <c:v>8.3751772158827436</c:v>
                </c:pt>
                <c:pt idx="333">
                  <c:v>8.9219145751921509</c:v>
                </c:pt>
                <c:pt idx="334">
                  <c:v>8.9219145751921509</c:v>
                </c:pt>
                <c:pt idx="335">
                  <c:v>8.9219145751921509</c:v>
                </c:pt>
                <c:pt idx="336">
                  <c:v>8.9219145751921509</c:v>
                </c:pt>
                <c:pt idx="337">
                  <c:v>8.9219145751921509</c:v>
                </c:pt>
                <c:pt idx="338">
                  <c:v>8.9219145751921509</c:v>
                </c:pt>
                <c:pt idx="339">
                  <c:v>8.9219145751921509</c:v>
                </c:pt>
                <c:pt idx="340">
                  <c:v>8.9219145751921509</c:v>
                </c:pt>
                <c:pt idx="341">
                  <c:v>8.9219145751921509</c:v>
                </c:pt>
                <c:pt idx="342">
                  <c:v>9.3057524620919345</c:v>
                </c:pt>
                <c:pt idx="343">
                  <c:v>9.3057524620919345</c:v>
                </c:pt>
                <c:pt idx="344">
                  <c:v>9.3057524620919345</c:v>
                </c:pt>
                <c:pt idx="345">
                  <c:v>9.3057524620919345</c:v>
                </c:pt>
                <c:pt idx="346">
                  <c:v>9.3057524620919345</c:v>
                </c:pt>
                <c:pt idx="347">
                  <c:v>9.3057524620919345</c:v>
                </c:pt>
                <c:pt idx="348">
                  <c:v>9.3057524620919345</c:v>
                </c:pt>
                <c:pt idx="349">
                  <c:v>9.3057524620919345</c:v>
                </c:pt>
                <c:pt idx="350">
                  <c:v>9.3057524620919345</c:v>
                </c:pt>
                <c:pt idx="351">
                  <c:v>9.697224672649563</c:v>
                </c:pt>
                <c:pt idx="352">
                  <c:v>9.697224672649563</c:v>
                </c:pt>
                <c:pt idx="353">
                  <c:v>9.697224672649563</c:v>
                </c:pt>
                <c:pt idx="354">
                  <c:v>9.697224672649563</c:v>
                </c:pt>
                <c:pt idx="355">
                  <c:v>9.697224672649563</c:v>
                </c:pt>
                <c:pt idx="356">
                  <c:v>9.697224672649563</c:v>
                </c:pt>
                <c:pt idx="357">
                  <c:v>9.697224672649563</c:v>
                </c:pt>
                <c:pt idx="358">
                  <c:v>9.697224672649563</c:v>
                </c:pt>
                <c:pt idx="359">
                  <c:v>9.697224672649563</c:v>
                </c:pt>
                <c:pt idx="360">
                  <c:v>10.408900337724178</c:v>
                </c:pt>
                <c:pt idx="361">
                  <c:v>10.408900337724178</c:v>
                </c:pt>
                <c:pt idx="362">
                  <c:v>10.408900337724178</c:v>
                </c:pt>
                <c:pt idx="363">
                  <c:v>10.408900337724178</c:v>
                </c:pt>
                <c:pt idx="364">
                  <c:v>10.408900337724178</c:v>
                </c:pt>
                <c:pt idx="365">
                  <c:v>10.408900337724178</c:v>
                </c:pt>
                <c:pt idx="366">
                  <c:v>10.408900337724178</c:v>
                </c:pt>
                <c:pt idx="367">
                  <c:v>10.408900337724178</c:v>
                </c:pt>
                <c:pt idx="368">
                  <c:v>10.408900337724178</c:v>
                </c:pt>
                <c:pt idx="369">
                  <c:v>11.232676261827974</c:v>
                </c:pt>
                <c:pt idx="370">
                  <c:v>11.232676261827974</c:v>
                </c:pt>
                <c:pt idx="371">
                  <c:v>11.232676261827974</c:v>
                </c:pt>
                <c:pt idx="372">
                  <c:v>11.232676261827974</c:v>
                </c:pt>
                <c:pt idx="373">
                  <c:v>11.232676261827974</c:v>
                </c:pt>
                <c:pt idx="374">
                  <c:v>11.232676261827974</c:v>
                </c:pt>
                <c:pt idx="375">
                  <c:v>11.232676261827974</c:v>
                </c:pt>
                <c:pt idx="376">
                  <c:v>11.232676261827974</c:v>
                </c:pt>
                <c:pt idx="377">
                  <c:v>11.232676261827974</c:v>
                </c:pt>
                <c:pt idx="378">
                  <c:v>11.232676261827974</c:v>
                </c:pt>
                <c:pt idx="379">
                  <c:v>11.232676261827974</c:v>
                </c:pt>
                <c:pt idx="380">
                  <c:v>11.232676261827974</c:v>
                </c:pt>
                <c:pt idx="381">
                  <c:v>11.232676261827974</c:v>
                </c:pt>
                <c:pt idx="382">
                  <c:v>11.232676261827974</c:v>
                </c:pt>
                <c:pt idx="383">
                  <c:v>11.232676261827974</c:v>
                </c:pt>
                <c:pt idx="384">
                  <c:v>11.232676261827974</c:v>
                </c:pt>
                <c:pt idx="385">
                  <c:v>11.232676261827974</c:v>
                </c:pt>
                <c:pt idx="386">
                  <c:v>11.232676261827974</c:v>
                </c:pt>
                <c:pt idx="387">
                  <c:v>11.232676261827974</c:v>
                </c:pt>
                <c:pt idx="388">
                  <c:v>11.232676261827974</c:v>
                </c:pt>
                <c:pt idx="389">
                  <c:v>11.232676261827974</c:v>
                </c:pt>
                <c:pt idx="390">
                  <c:v>11.232676261827974</c:v>
                </c:pt>
                <c:pt idx="391">
                  <c:v>11.232676261827974</c:v>
                </c:pt>
                <c:pt idx="392">
                  <c:v>11.232676261827974</c:v>
                </c:pt>
                <c:pt idx="393">
                  <c:v>11.232676261827974</c:v>
                </c:pt>
                <c:pt idx="394">
                  <c:v>11.232676261827974</c:v>
                </c:pt>
                <c:pt idx="395">
                  <c:v>11.232676261827974</c:v>
                </c:pt>
                <c:pt idx="396">
                  <c:v>11.232676261827974</c:v>
                </c:pt>
                <c:pt idx="397">
                  <c:v>11.232676261827974</c:v>
                </c:pt>
                <c:pt idx="398">
                  <c:v>11.232676261827974</c:v>
                </c:pt>
                <c:pt idx="399">
                  <c:v>11.232676261827974</c:v>
                </c:pt>
                <c:pt idx="400">
                  <c:v>11.232676261827974</c:v>
                </c:pt>
                <c:pt idx="401">
                  <c:v>11.232676261827974</c:v>
                </c:pt>
                <c:pt idx="402">
                  <c:v>11.232676261827974</c:v>
                </c:pt>
                <c:pt idx="403">
                  <c:v>11.232676261827974</c:v>
                </c:pt>
                <c:pt idx="404">
                  <c:v>11.232676261827974</c:v>
                </c:pt>
                <c:pt idx="405">
                  <c:v>11.232676261827974</c:v>
                </c:pt>
                <c:pt idx="406">
                  <c:v>11.232676261827974</c:v>
                </c:pt>
                <c:pt idx="407">
                  <c:v>11.232676261827974</c:v>
                </c:pt>
                <c:pt idx="408">
                  <c:v>11.232676261827974</c:v>
                </c:pt>
                <c:pt idx="409">
                  <c:v>11.232676261827974</c:v>
                </c:pt>
                <c:pt idx="410">
                  <c:v>11.232676261827974</c:v>
                </c:pt>
                <c:pt idx="411">
                  <c:v>11.232676261827974</c:v>
                </c:pt>
                <c:pt idx="412">
                  <c:v>11.232676261827974</c:v>
                </c:pt>
                <c:pt idx="413">
                  <c:v>11.232676261827974</c:v>
                </c:pt>
                <c:pt idx="414">
                  <c:v>11.313428784757823</c:v>
                </c:pt>
                <c:pt idx="415">
                  <c:v>11.313428784757823</c:v>
                </c:pt>
                <c:pt idx="416">
                  <c:v>11.313428784757823</c:v>
                </c:pt>
                <c:pt idx="417">
                  <c:v>11.313428784757823</c:v>
                </c:pt>
                <c:pt idx="418">
                  <c:v>11.313428784757823</c:v>
                </c:pt>
                <c:pt idx="419">
                  <c:v>11.313428784757823</c:v>
                </c:pt>
                <c:pt idx="420">
                  <c:v>11.313428784757823</c:v>
                </c:pt>
                <c:pt idx="421">
                  <c:v>11.313428784757823</c:v>
                </c:pt>
                <c:pt idx="422">
                  <c:v>11.313428784757823</c:v>
                </c:pt>
                <c:pt idx="423">
                  <c:v>11.632190577614921</c:v>
                </c:pt>
                <c:pt idx="424">
                  <c:v>11.632190577614921</c:v>
                </c:pt>
                <c:pt idx="425">
                  <c:v>11.632190577614921</c:v>
                </c:pt>
                <c:pt idx="426">
                  <c:v>11.632190577614921</c:v>
                </c:pt>
                <c:pt idx="427">
                  <c:v>11.632190577614921</c:v>
                </c:pt>
                <c:pt idx="428">
                  <c:v>11.632190577614921</c:v>
                </c:pt>
                <c:pt idx="429">
                  <c:v>11.632190577614921</c:v>
                </c:pt>
                <c:pt idx="430">
                  <c:v>11.632190577614921</c:v>
                </c:pt>
                <c:pt idx="431">
                  <c:v>11.632190577614921</c:v>
                </c:pt>
                <c:pt idx="432">
                  <c:v>11.895886100256201</c:v>
                </c:pt>
                <c:pt idx="433">
                  <c:v>11.895886100256201</c:v>
                </c:pt>
                <c:pt idx="434">
                  <c:v>11.895886100256201</c:v>
                </c:pt>
                <c:pt idx="435">
                  <c:v>11.895886100256201</c:v>
                </c:pt>
                <c:pt idx="436">
                  <c:v>11.895886100256201</c:v>
                </c:pt>
                <c:pt idx="437">
                  <c:v>11.895886100256201</c:v>
                </c:pt>
                <c:pt idx="438">
                  <c:v>11.895886100256201</c:v>
                </c:pt>
                <c:pt idx="439">
                  <c:v>11.895886100256201</c:v>
                </c:pt>
                <c:pt idx="440">
                  <c:v>11.895886100256201</c:v>
                </c:pt>
                <c:pt idx="441">
                  <c:v>12.929632896866085</c:v>
                </c:pt>
                <c:pt idx="442">
                  <c:v>12.929632896866085</c:v>
                </c:pt>
                <c:pt idx="443">
                  <c:v>12.929632896866085</c:v>
                </c:pt>
                <c:pt idx="444">
                  <c:v>12.929632896866085</c:v>
                </c:pt>
                <c:pt idx="445">
                  <c:v>12.929632896866085</c:v>
                </c:pt>
                <c:pt idx="446">
                  <c:v>12.929632896866085</c:v>
                </c:pt>
                <c:pt idx="447">
                  <c:v>12.929632896866085</c:v>
                </c:pt>
                <c:pt idx="448">
                  <c:v>12.929632896866085</c:v>
                </c:pt>
                <c:pt idx="449">
                  <c:v>12.929632896866085</c:v>
                </c:pt>
                <c:pt idx="450">
                  <c:v>13.38287186278823</c:v>
                </c:pt>
                <c:pt idx="451">
                  <c:v>13.38287186278823</c:v>
                </c:pt>
                <c:pt idx="452">
                  <c:v>13.38287186278823</c:v>
                </c:pt>
                <c:pt idx="453">
                  <c:v>13.38287186278823</c:v>
                </c:pt>
                <c:pt idx="454">
                  <c:v>13.38287186278823</c:v>
                </c:pt>
                <c:pt idx="455">
                  <c:v>13.38287186278823</c:v>
                </c:pt>
                <c:pt idx="456">
                  <c:v>13.38287186278823</c:v>
                </c:pt>
                <c:pt idx="457">
                  <c:v>13.38287186278823</c:v>
                </c:pt>
                <c:pt idx="458">
                  <c:v>13.38287186278823</c:v>
                </c:pt>
                <c:pt idx="459">
                  <c:v>13.958628693137905</c:v>
                </c:pt>
                <c:pt idx="460">
                  <c:v>13.958628693137905</c:v>
                </c:pt>
                <c:pt idx="461">
                  <c:v>13.958628693137905</c:v>
                </c:pt>
                <c:pt idx="462">
                  <c:v>13.958628693137905</c:v>
                </c:pt>
                <c:pt idx="463">
                  <c:v>13.958628693137905</c:v>
                </c:pt>
                <c:pt idx="464">
                  <c:v>13.958628693137905</c:v>
                </c:pt>
                <c:pt idx="465">
                  <c:v>13.958628693137905</c:v>
                </c:pt>
                <c:pt idx="466">
                  <c:v>13.958628693137905</c:v>
                </c:pt>
                <c:pt idx="467">
                  <c:v>13.958628693137905</c:v>
                </c:pt>
                <c:pt idx="468">
                  <c:v>14.040845327284968</c:v>
                </c:pt>
                <c:pt idx="469">
                  <c:v>14.040845327284968</c:v>
                </c:pt>
                <c:pt idx="470">
                  <c:v>14.040845327284968</c:v>
                </c:pt>
                <c:pt idx="471">
                  <c:v>14.040845327284968</c:v>
                </c:pt>
                <c:pt idx="472">
                  <c:v>14.040845327284968</c:v>
                </c:pt>
                <c:pt idx="473">
                  <c:v>14.040845327284968</c:v>
                </c:pt>
                <c:pt idx="474">
                  <c:v>14.040845327284968</c:v>
                </c:pt>
                <c:pt idx="475">
                  <c:v>14.040845327284968</c:v>
                </c:pt>
                <c:pt idx="476">
                  <c:v>14.040845327284968</c:v>
                </c:pt>
                <c:pt idx="477">
                  <c:v>14.040845327284968</c:v>
                </c:pt>
                <c:pt idx="478">
                  <c:v>14.040845327284968</c:v>
                </c:pt>
                <c:pt idx="479">
                  <c:v>14.040845327284968</c:v>
                </c:pt>
                <c:pt idx="480">
                  <c:v>14.040845327284968</c:v>
                </c:pt>
                <c:pt idx="481">
                  <c:v>14.040845327284968</c:v>
                </c:pt>
                <c:pt idx="482">
                  <c:v>14.040845327284968</c:v>
                </c:pt>
                <c:pt idx="483">
                  <c:v>14.040845327284968</c:v>
                </c:pt>
                <c:pt idx="484">
                  <c:v>14.040845327284968</c:v>
                </c:pt>
                <c:pt idx="485">
                  <c:v>14.040845327284968</c:v>
                </c:pt>
                <c:pt idx="486">
                  <c:v>14.040845327284968</c:v>
                </c:pt>
                <c:pt idx="487">
                  <c:v>14.040845327284968</c:v>
                </c:pt>
                <c:pt idx="488">
                  <c:v>14.040845327284968</c:v>
                </c:pt>
                <c:pt idx="489">
                  <c:v>14.040845327284968</c:v>
                </c:pt>
                <c:pt idx="490">
                  <c:v>14.040845327284968</c:v>
                </c:pt>
                <c:pt idx="491">
                  <c:v>14.040845327284968</c:v>
                </c:pt>
                <c:pt idx="492">
                  <c:v>14.040845327284968</c:v>
                </c:pt>
                <c:pt idx="493">
                  <c:v>14.040845327284968</c:v>
                </c:pt>
                <c:pt idx="494">
                  <c:v>14.040845327284968</c:v>
                </c:pt>
                <c:pt idx="495">
                  <c:v>14.040845327284968</c:v>
                </c:pt>
                <c:pt idx="496">
                  <c:v>14.040845327284968</c:v>
                </c:pt>
                <c:pt idx="497">
                  <c:v>14.040845327284968</c:v>
                </c:pt>
                <c:pt idx="498">
                  <c:v>14.040845327284968</c:v>
                </c:pt>
                <c:pt idx="499">
                  <c:v>14.040845327284968</c:v>
                </c:pt>
                <c:pt idx="500">
                  <c:v>14.040845327284968</c:v>
                </c:pt>
                <c:pt idx="501">
                  <c:v>14.040845327284968</c:v>
                </c:pt>
                <c:pt idx="502">
                  <c:v>14.040845327284968</c:v>
                </c:pt>
                <c:pt idx="503">
                  <c:v>14.040845327284968</c:v>
                </c:pt>
                <c:pt idx="504">
                  <c:v>14.040845327284968</c:v>
                </c:pt>
                <c:pt idx="505">
                  <c:v>14.040845327284968</c:v>
                </c:pt>
                <c:pt idx="506">
                  <c:v>14.040845327284968</c:v>
                </c:pt>
                <c:pt idx="507">
                  <c:v>14.040845327284968</c:v>
                </c:pt>
                <c:pt idx="508">
                  <c:v>14.040845327284968</c:v>
                </c:pt>
                <c:pt idx="509">
                  <c:v>14.040845327284968</c:v>
                </c:pt>
                <c:pt idx="510">
                  <c:v>14.040845327284968</c:v>
                </c:pt>
                <c:pt idx="511">
                  <c:v>14.040845327284968</c:v>
                </c:pt>
                <c:pt idx="512">
                  <c:v>14.040845327284968</c:v>
                </c:pt>
                <c:pt idx="513">
                  <c:v>14.545837008974342</c:v>
                </c:pt>
                <c:pt idx="514">
                  <c:v>14.545837008974342</c:v>
                </c:pt>
                <c:pt idx="515">
                  <c:v>14.545837008974342</c:v>
                </c:pt>
                <c:pt idx="516">
                  <c:v>14.545837008974342</c:v>
                </c:pt>
                <c:pt idx="517">
                  <c:v>14.545837008974342</c:v>
                </c:pt>
                <c:pt idx="518">
                  <c:v>14.545837008974342</c:v>
                </c:pt>
                <c:pt idx="519">
                  <c:v>14.545837008974342</c:v>
                </c:pt>
                <c:pt idx="520">
                  <c:v>14.545837008974342</c:v>
                </c:pt>
                <c:pt idx="521">
                  <c:v>14.545837008974342</c:v>
                </c:pt>
                <c:pt idx="522">
                  <c:v>16.285066808660886</c:v>
                </c:pt>
                <c:pt idx="523">
                  <c:v>16.285066808660886</c:v>
                </c:pt>
                <c:pt idx="524">
                  <c:v>16.285066808660886</c:v>
                </c:pt>
                <c:pt idx="525">
                  <c:v>16.285066808660886</c:v>
                </c:pt>
                <c:pt idx="526">
                  <c:v>16.285066808660886</c:v>
                </c:pt>
                <c:pt idx="527">
                  <c:v>16.285066808660886</c:v>
                </c:pt>
                <c:pt idx="528">
                  <c:v>16.285066808660886</c:v>
                </c:pt>
                <c:pt idx="529">
                  <c:v>16.285066808660886</c:v>
                </c:pt>
                <c:pt idx="530">
                  <c:v>16.285066808660886</c:v>
                </c:pt>
                <c:pt idx="531">
                  <c:v>16.849014392741964</c:v>
                </c:pt>
                <c:pt idx="532">
                  <c:v>16.849014392741964</c:v>
                </c:pt>
                <c:pt idx="533">
                  <c:v>16.849014392741964</c:v>
                </c:pt>
                <c:pt idx="534">
                  <c:v>16.849014392741964</c:v>
                </c:pt>
                <c:pt idx="535">
                  <c:v>16.849014392741964</c:v>
                </c:pt>
                <c:pt idx="536">
                  <c:v>16.849014392741964</c:v>
                </c:pt>
                <c:pt idx="537">
                  <c:v>16.849014392741964</c:v>
                </c:pt>
                <c:pt idx="538">
                  <c:v>16.849014392741964</c:v>
                </c:pt>
                <c:pt idx="539">
                  <c:v>16.849014392741964</c:v>
                </c:pt>
                <c:pt idx="540">
                  <c:v>16.849014392741964</c:v>
                </c:pt>
                <c:pt idx="541">
                  <c:v>16.849014392741964</c:v>
                </c:pt>
                <c:pt idx="542">
                  <c:v>16.849014392741964</c:v>
                </c:pt>
                <c:pt idx="543">
                  <c:v>16.849014392741964</c:v>
                </c:pt>
                <c:pt idx="544">
                  <c:v>16.849014392741964</c:v>
                </c:pt>
                <c:pt idx="545">
                  <c:v>16.849014392741964</c:v>
                </c:pt>
                <c:pt idx="546">
                  <c:v>16.849014392741964</c:v>
                </c:pt>
                <c:pt idx="547">
                  <c:v>16.849014392741964</c:v>
                </c:pt>
                <c:pt idx="548">
                  <c:v>16.849014392741964</c:v>
                </c:pt>
                <c:pt idx="549">
                  <c:v>16.849014392741964</c:v>
                </c:pt>
                <c:pt idx="550">
                  <c:v>16.849014392741964</c:v>
                </c:pt>
                <c:pt idx="551">
                  <c:v>16.849014392741964</c:v>
                </c:pt>
                <c:pt idx="552">
                  <c:v>16.849014392741964</c:v>
                </c:pt>
                <c:pt idx="553">
                  <c:v>16.849014392741964</c:v>
                </c:pt>
                <c:pt idx="554">
                  <c:v>16.849014392741964</c:v>
                </c:pt>
                <c:pt idx="555">
                  <c:v>16.849014392741964</c:v>
                </c:pt>
                <c:pt idx="556">
                  <c:v>16.849014392741964</c:v>
                </c:pt>
                <c:pt idx="557">
                  <c:v>16.849014392741964</c:v>
                </c:pt>
                <c:pt idx="558">
                  <c:v>16.849014392741964</c:v>
                </c:pt>
                <c:pt idx="559">
                  <c:v>16.849014392741964</c:v>
                </c:pt>
                <c:pt idx="560">
                  <c:v>16.849014392741964</c:v>
                </c:pt>
                <c:pt idx="561">
                  <c:v>16.849014392741964</c:v>
                </c:pt>
                <c:pt idx="562">
                  <c:v>16.849014392741964</c:v>
                </c:pt>
                <c:pt idx="563">
                  <c:v>16.849014392741964</c:v>
                </c:pt>
                <c:pt idx="564">
                  <c:v>16.849014392741964</c:v>
                </c:pt>
                <c:pt idx="565">
                  <c:v>16.849014392741964</c:v>
                </c:pt>
                <c:pt idx="566">
                  <c:v>16.849014392741964</c:v>
                </c:pt>
                <c:pt idx="567">
                  <c:v>16.849014392741964</c:v>
                </c:pt>
                <c:pt idx="568">
                  <c:v>16.849014392741964</c:v>
                </c:pt>
                <c:pt idx="569">
                  <c:v>16.849014392741964</c:v>
                </c:pt>
                <c:pt idx="570">
                  <c:v>16.849014392741964</c:v>
                </c:pt>
                <c:pt idx="571">
                  <c:v>16.849014392741964</c:v>
                </c:pt>
                <c:pt idx="572">
                  <c:v>16.849014392741964</c:v>
                </c:pt>
                <c:pt idx="573">
                  <c:v>16.849014392741964</c:v>
                </c:pt>
                <c:pt idx="574">
                  <c:v>16.849014392741964</c:v>
                </c:pt>
                <c:pt idx="575">
                  <c:v>16.849014392741964</c:v>
                </c:pt>
                <c:pt idx="576">
                  <c:v>18.611504924183873</c:v>
                </c:pt>
                <c:pt idx="577">
                  <c:v>18.611504924183873</c:v>
                </c:pt>
                <c:pt idx="578">
                  <c:v>18.611504924183873</c:v>
                </c:pt>
                <c:pt idx="579">
                  <c:v>18.611504924183873</c:v>
                </c:pt>
                <c:pt idx="580">
                  <c:v>18.611504924183873</c:v>
                </c:pt>
                <c:pt idx="581">
                  <c:v>18.611504924183873</c:v>
                </c:pt>
                <c:pt idx="582">
                  <c:v>18.611504924183873</c:v>
                </c:pt>
                <c:pt idx="583">
                  <c:v>18.611504924183873</c:v>
                </c:pt>
                <c:pt idx="584">
                  <c:v>18.611504924183873</c:v>
                </c:pt>
                <c:pt idx="585">
                  <c:v>19.657183458198954</c:v>
                </c:pt>
                <c:pt idx="586">
                  <c:v>19.657183458198954</c:v>
                </c:pt>
                <c:pt idx="587">
                  <c:v>19.657183458198954</c:v>
                </c:pt>
                <c:pt idx="588">
                  <c:v>19.657183458198954</c:v>
                </c:pt>
                <c:pt idx="589">
                  <c:v>19.657183458198954</c:v>
                </c:pt>
                <c:pt idx="590">
                  <c:v>19.657183458198954</c:v>
                </c:pt>
                <c:pt idx="591">
                  <c:v>19.657183458198954</c:v>
                </c:pt>
                <c:pt idx="592">
                  <c:v>19.657183458198954</c:v>
                </c:pt>
                <c:pt idx="593">
                  <c:v>19.657183458198954</c:v>
                </c:pt>
                <c:pt idx="594">
                  <c:v>19.657183458198954</c:v>
                </c:pt>
                <c:pt idx="595">
                  <c:v>19.657183458198954</c:v>
                </c:pt>
                <c:pt idx="596">
                  <c:v>19.657183458198954</c:v>
                </c:pt>
                <c:pt idx="597">
                  <c:v>19.657183458198954</c:v>
                </c:pt>
                <c:pt idx="598">
                  <c:v>19.657183458198954</c:v>
                </c:pt>
                <c:pt idx="599">
                  <c:v>19.657183458198954</c:v>
                </c:pt>
                <c:pt idx="600">
                  <c:v>19.657183458198954</c:v>
                </c:pt>
                <c:pt idx="601">
                  <c:v>19.657183458198954</c:v>
                </c:pt>
                <c:pt idx="602">
                  <c:v>19.657183458198954</c:v>
                </c:pt>
                <c:pt idx="603">
                  <c:v>19.657183458198954</c:v>
                </c:pt>
                <c:pt idx="604">
                  <c:v>19.657183458198954</c:v>
                </c:pt>
                <c:pt idx="605">
                  <c:v>19.657183458198954</c:v>
                </c:pt>
                <c:pt idx="606">
                  <c:v>19.657183458198954</c:v>
                </c:pt>
                <c:pt idx="607">
                  <c:v>19.657183458198954</c:v>
                </c:pt>
                <c:pt idx="608">
                  <c:v>19.657183458198954</c:v>
                </c:pt>
                <c:pt idx="609">
                  <c:v>19.657183458198954</c:v>
                </c:pt>
                <c:pt idx="610">
                  <c:v>19.657183458198954</c:v>
                </c:pt>
                <c:pt idx="611">
                  <c:v>19.657183458198954</c:v>
                </c:pt>
                <c:pt idx="612">
                  <c:v>19.657183458198954</c:v>
                </c:pt>
                <c:pt idx="613">
                  <c:v>19.657183458198954</c:v>
                </c:pt>
                <c:pt idx="614">
                  <c:v>19.657183458198954</c:v>
                </c:pt>
                <c:pt idx="615">
                  <c:v>19.657183458198954</c:v>
                </c:pt>
                <c:pt idx="616">
                  <c:v>19.657183458198954</c:v>
                </c:pt>
                <c:pt idx="617">
                  <c:v>19.657183458198954</c:v>
                </c:pt>
                <c:pt idx="618">
                  <c:v>19.657183458198954</c:v>
                </c:pt>
                <c:pt idx="619">
                  <c:v>19.657183458198954</c:v>
                </c:pt>
                <c:pt idx="620">
                  <c:v>19.657183458198954</c:v>
                </c:pt>
                <c:pt idx="621">
                  <c:v>19.657183458198954</c:v>
                </c:pt>
                <c:pt idx="622">
                  <c:v>19.657183458198954</c:v>
                </c:pt>
                <c:pt idx="623">
                  <c:v>19.657183458198954</c:v>
                </c:pt>
                <c:pt idx="624">
                  <c:v>19.657183458198954</c:v>
                </c:pt>
                <c:pt idx="625">
                  <c:v>19.657183458198954</c:v>
                </c:pt>
                <c:pt idx="626">
                  <c:v>19.657183458198954</c:v>
                </c:pt>
                <c:pt idx="627">
                  <c:v>19.657183458198954</c:v>
                </c:pt>
                <c:pt idx="628">
                  <c:v>19.657183458198954</c:v>
                </c:pt>
                <c:pt idx="629">
                  <c:v>19.657183458198954</c:v>
                </c:pt>
                <c:pt idx="630">
                  <c:v>20.937943039706855</c:v>
                </c:pt>
                <c:pt idx="631">
                  <c:v>20.937943039706855</c:v>
                </c:pt>
                <c:pt idx="632">
                  <c:v>20.937943039706855</c:v>
                </c:pt>
                <c:pt idx="633">
                  <c:v>20.937943039706855</c:v>
                </c:pt>
                <c:pt idx="634">
                  <c:v>20.937943039706855</c:v>
                </c:pt>
                <c:pt idx="635">
                  <c:v>20.937943039706855</c:v>
                </c:pt>
                <c:pt idx="636">
                  <c:v>20.937943039706855</c:v>
                </c:pt>
                <c:pt idx="637">
                  <c:v>20.937943039706855</c:v>
                </c:pt>
                <c:pt idx="638">
                  <c:v>20.937943039706855</c:v>
                </c:pt>
                <c:pt idx="639">
                  <c:v>22.465352523655948</c:v>
                </c:pt>
                <c:pt idx="640">
                  <c:v>22.465352523655948</c:v>
                </c:pt>
                <c:pt idx="641">
                  <c:v>22.465352523655948</c:v>
                </c:pt>
                <c:pt idx="642">
                  <c:v>22.465352523655948</c:v>
                </c:pt>
                <c:pt idx="643">
                  <c:v>22.465352523655948</c:v>
                </c:pt>
                <c:pt idx="644">
                  <c:v>22.465352523655948</c:v>
                </c:pt>
                <c:pt idx="645">
                  <c:v>22.465352523655948</c:v>
                </c:pt>
                <c:pt idx="646">
                  <c:v>22.465352523655948</c:v>
                </c:pt>
                <c:pt idx="647">
                  <c:v>22.465352523655948</c:v>
                </c:pt>
                <c:pt idx="648">
                  <c:v>22.465352523655948</c:v>
                </c:pt>
                <c:pt idx="649">
                  <c:v>22.465352523655948</c:v>
                </c:pt>
                <c:pt idx="650">
                  <c:v>22.465352523655948</c:v>
                </c:pt>
                <c:pt idx="651">
                  <c:v>22.465352523655948</c:v>
                </c:pt>
                <c:pt idx="652">
                  <c:v>22.465352523655948</c:v>
                </c:pt>
                <c:pt idx="653">
                  <c:v>22.465352523655948</c:v>
                </c:pt>
                <c:pt idx="654">
                  <c:v>22.465352523655948</c:v>
                </c:pt>
                <c:pt idx="655">
                  <c:v>22.465352523655948</c:v>
                </c:pt>
                <c:pt idx="656">
                  <c:v>22.465352523655948</c:v>
                </c:pt>
                <c:pt idx="657">
                  <c:v>22.465352523655948</c:v>
                </c:pt>
                <c:pt idx="658">
                  <c:v>22.465352523655948</c:v>
                </c:pt>
                <c:pt idx="659">
                  <c:v>22.465352523655948</c:v>
                </c:pt>
                <c:pt idx="660">
                  <c:v>22.465352523655948</c:v>
                </c:pt>
                <c:pt idx="661">
                  <c:v>22.465352523655948</c:v>
                </c:pt>
                <c:pt idx="662">
                  <c:v>22.465352523655948</c:v>
                </c:pt>
                <c:pt idx="663">
                  <c:v>22.465352523655948</c:v>
                </c:pt>
                <c:pt idx="664">
                  <c:v>22.465352523655948</c:v>
                </c:pt>
                <c:pt idx="665">
                  <c:v>22.465352523655948</c:v>
                </c:pt>
                <c:pt idx="666">
                  <c:v>22.465352523655948</c:v>
                </c:pt>
                <c:pt idx="667">
                  <c:v>22.465352523655948</c:v>
                </c:pt>
                <c:pt idx="668">
                  <c:v>22.465352523655948</c:v>
                </c:pt>
                <c:pt idx="669">
                  <c:v>22.465352523655948</c:v>
                </c:pt>
                <c:pt idx="670">
                  <c:v>22.465352523655948</c:v>
                </c:pt>
                <c:pt idx="671">
                  <c:v>22.465352523655948</c:v>
                </c:pt>
                <c:pt idx="672">
                  <c:v>22.465352523655948</c:v>
                </c:pt>
                <c:pt idx="673">
                  <c:v>22.465352523655948</c:v>
                </c:pt>
                <c:pt idx="674">
                  <c:v>22.465352523655948</c:v>
                </c:pt>
                <c:pt idx="675">
                  <c:v>22.465352523655948</c:v>
                </c:pt>
                <c:pt idx="676">
                  <c:v>22.465352523655948</c:v>
                </c:pt>
                <c:pt idx="677">
                  <c:v>22.465352523655948</c:v>
                </c:pt>
                <c:pt idx="678">
                  <c:v>22.465352523655948</c:v>
                </c:pt>
                <c:pt idx="679">
                  <c:v>22.465352523655948</c:v>
                </c:pt>
                <c:pt idx="680">
                  <c:v>22.465352523655948</c:v>
                </c:pt>
                <c:pt idx="681">
                  <c:v>22.465352523655948</c:v>
                </c:pt>
                <c:pt idx="682">
                  <c:v>22.465352523655948</c:v>
                </c:pt>
                <c:pt idx="683">
                  <c:v>22.465352523655948</c:v>
                </c:pt>
                <c:pt idx="684">
                  <c:v>25.273521589112942</c:v>
                </c:pt>
                <c:pt idx="685">
                  <c:v>25.273521589112942</c:v>
                </c:pt>
                <c:pt idx="686">
                  <c:v>25.273521589112942</c:v>
                </c:pt>
                <c:pt idx="687">
                  <c:v>25.273521589112942</c:v>
                </c:pt>
                <c:pt idx="688">
                  <c:v>25.273521589112942</c:v>
                </c:pt>
                <c:pt idx="689">
                  <c:v>25.273521589112942</c:v>
                </c:pt>
                <c:pt idx="690">
                  <c:v>25.273521589112942</c:v>
                </c:pt>
                <c:pt idx="691">
                  <c:v>25.273521589112942</c:v>
                </c:pt>
                <c:pt idx="692">
                  <c:v>25.273521589112942</c:v>
                </c:pt>
                <c:pt idx="693">
                  <c:v>25.273521589112942</c:v>
                </c:pt>
                <c:pt idx="694">
                  <c:v>25.273521589112942</c:v>
                </c:pt>
                <c:pt idx="695">
                  <c:v>25.273521589112942</c:v>
                </c:pt>
                <c:pt idx="696">
                  <c:v>25.273521589112942</c:v>
                </c:pt>
                <c:pt idx="697">
                  <c:v>25.273521589112942</c:v>
                </c:pt>
                <c:pt idx="698">
                  <c:v>25.273521589112942</c:v>
                </c:pt>
                <c:pt idx="699">
                  <c:v>25.273521589112942</c:v>
                </c:pt>
                <c:pt idx="700">
                  <c:v>25.273521589112942</c:v>
                </c:pt>
                <c:pt idx="701">
                  <c:v>25.273521589112942</c:v>
                </c:pt>
                <c:pt idx="702">
                  <c:v>25.273521589112942</c:v>
                </c:pt>
                <c:pt idx="703">
                  <c:v>25.273521589112942</c:v>
                </c:pt>
                <c:pt idx="704">
                  <c:v>25.273521589112942</c:v>
                </c:pt>
                <c:pt idx="705">
                  <c:v>25.273521589112942</c:v>
                </c:pt>
                <c:pt idx="706">
                  <c:v>25.273521589112942</c:v>
                </c:pt>
                <c:pt idx="707">
                  <c:v>25.273521589112942</c:v>
                </c:pt>
                <c:pt idx="708">
                  <c:v>25.273521589112942</c:v>
                </c:pt>
                <c:pt idx="709">
                  <c:v>25.273521589112942</c:v>
                </c:pt>
                <c:pt idx="710">
                  <c:v>25.273521589112942</c:v>
                </c:pt>
                <c:pt idx="711">
                  <c:v>25.273521589112942</c:v>
                </c:pt>
                <c:pt idx="712">
                  <c:v>25.273521589112942</c:v>
                </c:pt>
                <c:pt idx="713">
                  <c:v>25.273521589112942</c:v>
                </c:pt>
                <c:pt idx="714">
                  <c:v>25.273521589112942</c:v>
                </c:pt>
                <c:pt idx="715">
                  <c:v>25.273521589112942</c:v>
                </c:pt>
                <c:pt idx="716">
                  <c:v>25.273521589112942</c:v>
                </c:pt>
                <c:pt idx="717">
                  <c:v>25.273521589112942</c:v>
                </c:pt>
                <c:pt idx="718">
                  <c:v>25.273521589112942</c:v>
                </c:pt>
                <c:pt idx="719">
                  <c:v>25.273521589112942</c:v>
                </c:pt>
                <c:pt idx="720">
                  <c:v>25.273521589112942</c:v>
                </c:pt>
                <c:pt idx="721">
                  <c:v>25.273521589112942</c:v>
                </c:pt>
                <c:pt idx="722">
                  <c:v>25.273521589112942</c:v>
                </c:pt>
                <c:pt idx="723">
                  <c:v>25.273521589112942</c:v>
                </c:pt>
                <c:pt idx="724">
                  <c:v>25.273521589112942</c:v>
                </c:pt>
                <c:pt idx="725">
                  <c:v>25.273521589112942</c:v>
                </c:pt>
                <c:pt idx="726">
                  <c:v>25.273521589112942</c:v>
                </c:pt>
                <c:pt idx="727">
                  <c:v>25.273521589112942</c:v>
                </c:pt>
                <c:pt idx="728">
                  <c:v>25.273521589112942</c:v>
                </c:pt>
              </c:numCache>
            </c:numRef>
          </c:xVal>
          <c:yVal>
            <c:numRef>
              <c:f>CDF!$B$2:$B$730</c:f>
              <c:numCache>
                <c:formatCode>General</c:formatCode>
                <c:ptCount val="729"/>
                <c:pt idx="0">
                  <c:v>2.44140625E-4</c:v>
                </c:pt>
                <c:pt idx="1">
                  <c:v>7.32421875E-4</c:v>
                </c:pt>
                <c:pt idx="2">
                  <c:v>9.765625E-4</c:v>
                </c:pt>
                <c:pt idx="3">
                  <c:v>1.46484375E-3</c:v>
                </c:pt>
                <c:pt idx="4">
                  <c:v>2.44140625E-3</c:v>
                </c:pt>
                <c:pt idx="5">
                  <c:v>2.9296875E-3</c:v>
                </c:pt>
                <c:pt idx="6">
                  <c:v>3.173828125E-3</c:v>
                </c:pt>
                <c:pt idx="7">
                  <c:v>3.662109375E-3</c:v>
                </c:pt>
                <c:pt idx="8">
                  <c:v>3.90625E-3</c:v>
                </c:pt>
                <c:pt idx="9">
                  <c:v>4.39453125E-3</c:v>
                </c:pt>
                <c:pt idx="10">
                  <c:v>5.37109375E-3</c:v>
                </c:pt>
                <c:pt idx="11">
                  <c:v>5.859375E-3</c:v>
                </c:pt>
                <c:pt idx="12">
                  <c:v>6.8359375E-3</c:v>
                </c:pt>
                <c:pt idx="13">
                  <c:v>8.7890625E-3</c:v>
                </c:pt>
                <c:pt idx="14">
                  <c:v>9.765625E-3</c:v>
                </c:pt>
                <c:pt idx="15">
                  <c:v>1.025390625E-2</c:v>
                </c:pt>
                <c:pt idx="16">
                  <c:v>1.123046875E-2</c:v>
                </c:pt>
                <c:pt idx="17">
                  <c:v>1.171875E-2</c:v>
                </c:pt>
                <c:pt idx="18">
                  <c:v>1.1962890625E-2</c:v>
                </c:pt>
                <c:pt idx="19">
                  <c:v>1.2451171875E-2</c:v>
                </c:pt>
                <c:pt idx="20">
                  <c:v>1.26953125E-2</c:v>
                </c:pt>
                <c:pt idx="21">
                  <c:v>1.318359375E-2</c:v>
                </c:pt>
                <c:pt idx="22">
                  <c:v>1.416015625E-2</c:v>
                </c:pt>
                <c:pt idx="23">
                  <c:v>1.46484375E-2</c:v>
                </c:pt>
                <c:pt idx="24">
                  <c:v>1.4892578125E-2</c:v>
                </c:pt>
                <c:pt idx="25">
                  <c:v>1.5380859375E-2</c:v>
                </c:pt>
                <c:pt idx="26">
                  <c:v>1.5625E-2</c:v>
                </c:pt>
                <c:pt idx="27">
                  <c:v>1.611328125E-2</c:v>
                </c:pt>
                <c:pt idx="28">
                  <c:v>1.708984375E-2</c:v>
                </c:pt>
                <c:pt idx="29">
                  <c:v>1.7578125E-2</c:v>
                </c:pt>
                <c:pt idx="30">
                  <c:v>1.85546875E-2</c:v>
                </c:pt>
                <c:pt idx="31">
                  <c:v>2.05078125E-2</c:v>
                </c:pt>
                <c:pt idx="32">
                  <c:v>2.1484375E-2</c:v>
                </c:pt>
                <c:pt idx="33">
                  <c:v>2.197265625E-2</c:v>
                </c:pt>
                <c:pt idx="34">
                  <c:v>2.294921875E-2</c:v>
                </c:pt>
                <c:pt idx="35">
                  <c:v>2.34375E-2</c:v>
                </c:pt>
                <c:pt idx="36">
                  <c:v>2.44140625E-2</c:v>
                </c:pt>
                <c:pt idx="37">
                  <c:v>2.63671875E-2</c:v>
                </c:pt>
                <c:pt idx="38">
                  <c:v>2.734375E-2</c:v>
                </c:pt>
                <c:pt idx="39">
                  <c:v>2.9296875E-2</c:v>
                </c:pt>
                <c:pt idx="40">
                  <c:v>3.3203125E-2</c:v>
                </c:pt>
                <c:pt idx="41">
                  <c:v>3.515625E-2</c:v>
                </c:pt>
                <c:pt idx="42">
                  <c:v>3.61328125E-2</c:v>
                </c:pt>
                <c:pt idx="43">
                  <c:v>3.80859375E-2</c:v>
                </c:pt>
                <c:pt idx="44">
                  <c:v>3.90625E-2</c:v>
                </c:pt>
                <c:pt idx="45">
                  <c:v>3.955078125E-2</c:v>
                </c:pt>
                <c:pt idx="46">
                  <c:v>4.052734375E-2</c:v>
                </c:pt>
                <c:pt idx="47">
                  <c:v>4.1015625E-2</c:v>
                </c:pt>
                <c:pt idx="48">
                  <c:v>4.19921875E-2</c:v>
                </c:pt>
                <c:pt idx="49">
                  <c:v>4.39453125E-2</c:v>
                </c:pt>
                <c:pt idx="50">
                  <c:v>4.4921875E-2</c:v>
                </c:pt>
                <c:pt idx="51">
                  <c:v>4.541015625E-2</c:v>
                </c:pt>
                <c:pt idx="52">
                  <c:v>4.638671875E-2</c:v>
                </c:pt>
                <c:pt idx="53">
                  <c:v>4.6875E-2</c:v>
                </c:pt>
                <c:pt idx="54">
                  <c:v>4.7119140625E-2</c:v>
                </c:pt>
                <c:pt idx="55">
                  <c:v>4.7607421875E-2</c:v>
                </c:pt>
                <c:pt idx="56">
                  <c:v>4.78515625E-2</c:v>
                </c:pt>
                <c:pt idx="57">
                  <c:v>4.833984375E-2</c:v>
                </c:pt>
                <c:pt idx="58">
                  <c:v>4.931640625E-2</c:v>
                </c:pt>
                <c:pt idx="59">
                  <c:v>4.98046875E-2</c:v>
                </c:pt>
                <c:pt idx="60">
                  <c:v>5.0048828125E-2</c:v>
                </c:pt>
                <c:pt idx="61">
                  <c:v>5.0537109375E-2</c:v>
                </c:pt>
                <c:pt idx="62">
                  <c:v>5.078125E-2</c:v>
                </c:pt>
                <c:pt idx="63">
                  <c:v>5.126953125E-2</c:v>
                </c:pt>
                <c:pt idx="64">
                  <c:v>5.224609375E-2</c:v>
                </c:pt>
                <c:pt idx="65">
                  <c:v>5.2734375E-2</c:v>
                </c:pt>
                <c:pt idx="66">
                  <c:v>5.37109375E-2</c:v>
                </c:pt>
                <c:pt idx="67">
                  <c:v>5.56640625E-2</c:v>
                </c:pt>
                <c:pt idx="68">
                  <c:v>5.6640625E-2</c:v>
                </c:pt>
                <c:pt idx="69">
                  <c:v>5.712890625E-2</c:v>
                </c:pt>
                <c:pt idx="70">
                  <c:v>5.810546875E-2</c:v>
                </c:pt>
                <c:pt idx="71">
                  <c:v>5.859375E-2</c:v>
                </c:pt>
                <c:pt idx="72">
                  <c:v>5.8837890625E-2</c:v>
                </c:pt>
                <c:pt idx="73">
                  <c:v>5.9326171875E-2</c:v>
                </c:pt>
                <c:pt idx="74">
                  <c:v>5.95703125E-2</c:v>
                </c:pt>
                <c:pt idx="75">
                  <c:v>6.005859375E-2</c:v>
                </c:pt>
                <c:pt idx="76">
                  <c:v>6.103515625E-2</c:v>
                </c:pt>
                <c:pt idx="77">
                  <c:v>6.15234375E-2</c:v>
                </c:pt>
                <c:pt idx="78">
                  <c:v>6.1767578125E-2</c:v>
                </c:pt>
                <c:pt idx="79">
                  <c:v>6.2255859375E-2</c:v>
                </c:pt>
                <c:pt idx="80">
                  <c:v>6.25E-2</c:v>
                </c:pt>
                <c:pt idx="81">
                  <c:v>6.298828125E-2</c:v>
                </c:pt>
                <c:pt idx="82">
                  <c:v>6.396484375E-2</c:v>
                </c:pt>
                <c:pt idx="83">
                  <c:v>6.4453125E-2</c:v>
                </c:pt>
                <c:pt idx="84">
                  <c:v>6.54296875E-2</c:v>
                </c:pt>
                <c:pt idx="85">
                  <c:v>6.73828125E-2</c:v>
                </c:pt>
                <c:pt idx="86">
                  <c:v>6.8359375E-2</c:v>
                </c:pt>
                <c:pt idx="87">
                  <c:v>6.884765625E-2</c:v>
                </c:pt>
                <c:pt idx="88">
                  <c:v>6.982421875E-2</c:v>
                </c:pt>
                <c:pt idx="89">
                  <c:v>7.03125E-2</c:v>
                </c:pt>
                <c:pt idx="90">
                  <c:v>7.12890625E-2</c:v>
                </c:pt>
                <c:pt idx="91">
                  <c:v>7.32421875E-2</c:v>
                </c:pt>
                <c:pt idx="92">
                  <c:v>7.421875E-2</c:v>
                </c:pt>
                <c:pt idx="93">
                  <c:v>7.6171875E-2</c:v>
                </c:pt>
                <c:pt idx="94">
                  <c:v>8.0078125E-2</c:v>
                </c:pt>
                <c:pt idx="95">
                  <c:v>8.203125E-2</c:v>
                </c:pt>
                <c:pt idx="96">
                  <c:v>8.30078125E-2</c:v>
                </c:pt>
                <c:pt idx="97">
                  <c:v>8.49609375E-2</c:v>
                </c:pt>
                <c:pt idx="98">
                  <c:v>8.59375E-2</c:v>
                </c:pt>
                <c:pt idx="99">
                  <c:v>8.642578125E-2</c:v>
                </c:pt>
                <c:pt idx="100">
                  <c:v>8.740234375E-2</c:v>
                </c:pt>
                <c:pt idx="101">
                  <c:v>8.7890625E-2</c:v>
                </c:pt>
                <c:pt idx="102">
                  <c:v>8.88671875E-2</c:v>
                </c:pt>
                <c:pt idx="103">
                  <c:v>9.08203125E-2</c:v>
                </c:pt>
                <c:pt idx="104">
                  <c:v>9.1796875E-2</c:v>
                </c:pt>
                <c:pt idx="105">
                  <c:v>9.228515625E-2</c:v>
                </c:pt>
                <c:pt idx="106">
                  <c:v>9.326171875E-2</c:v>
                </c:pt>
                <c:pt idx="107">
                  <c:v>9.375E-2</c:v>
                </c:pt>
                <c:pt idx="108">
                  <c:v>9.3994140625E-2</c:v>
                </c:pt>
                <c:pt idx="109">
                  <c:v>9.4482421875E-2</c:v>
                </c:pt>
                <c:pt idx="110">
                  <c:v>9.47265625E-2</c:v>
                </c:pt>
                <c:pt idx="111">
                  <c:v>9.521484375E-2</c:v>
                </c:pt>
                <c:pt idx="112">
                  <c:v>9.619140625E-2</c:v>
                </c:pt>
                <c:pt idx="113">
                  <c:v>9.66796875E-2</c:v>
                </c:pt>
                <c:pt idx="114">
                  <c:v>9.6923828125E-2</c:v>
                </c:pt>
                <c:pt idx="115">
                  <c:v>9.7412109375E-2</c:v>
                </c:pt>
                <c:pt idx="116">
                  <c:v>9.765625E-2</c:v>
                </c:pt>
                <c:pt idx="117">
                  <c:v>9.86328125E-2</c:v>
                </c:pt>
                <c:pt idx="118">
                  <c:v>0.1005859375</c:v>
                </c:pt>
                <c:pt idx="119">
                  <c:v>0.1015625</c:v>
                </c:pt>
                <c:pt idx="120">
                  <c:v>0.103515625</c:v>
                </c:pt>
                <c:pt idx="121">
                  <c:v>0.107421875</c:v>
                </c:pt>
                <c:pt idx="122">
                  <c:v>0.109375</c:v>
                </c:pt>
                <c:pt idx="123">
                  <c:v>0.1103515625</c:v>
                </c:pt>
                <c:pt idx="124">
                  <c:v>0.1123046875</c:v>
                </c:pt>
                <c:pt idx="125">
                  <c:v>0.11328125</c:v>
                </c:pt>
                <c:pt idx="126">
                  <c:v>0.115234375</c:v>
                </c:pt>
                <c:pt idx="127">
                  <c:v>0.119140625</c:v>
                </c:pt>
                <c:pt idx="128">
                  <c:v>0.12109375</c:v>
                </c:pt>
                <c:pt idx="129">
                  <c:v>0.125</c:v>
                </c:pt>
                <c:pt idx="130">
                  <c:v>0.1328125</c:v>
                </c:pt>
                <c:pt idx="131">
                  <c:v>0.13671875</c:v>
                </c:pt>
                <c:pt idx="132">
                  <c:v>0.138671875</c:v>
                </c:pt>
                <c:pt idx="133">
                  <c:v>0.142578125</c:v>
                </c:pt>
                <c:pt idx="134">
                  <c:v>0.14453125</c:v>
                </c:pt>
                <c:pt idx="135">
                  <c:v>0.1455078125</c:v>
                </c:pt>
                <c:pt idx="136">
                  <c:v>0.1474609375</c:v>
                </c:pt>
                <c:pt idx="137">
                  <c:v>0.1484375</c:v>
                </c:pt>
                <c:pt idx="138">
                  <c:v>0.150390625</c:v>
                </c:pt>
                <c:pt idx="139">
                  <c:v>0.154296875</c:v>
                </c:pt>
                <c:pt idx="140">
                  <c:v>0.15625</c:v>
                </c:pt>
                <c:pt idx="141">
                  <c:v>0.1572265625</c:v>
                </c:pt>
                <c:pt idx="142">
                  <c:v>0.1591796875</c:v>
                </c:pt>
                <c:pt idx="143">
                  <c:v>0.16015625</c:v>
                </c:pt>
                <c:pt idx="144">
                  <c:v>0.16064453125</c:v>
                </c:pt>
                <c:pt idx="145">
                  <c:v>0.16162109375</c:v>
                </c:pt>
                <c:pt idx="146">
                  <c:v>0.162109375</c:v>
                </c:pt>
                <c:pt idx="147">
                  <c:v>0.1630859375</c:v>
                </c:pt>
                <c:pt idx="148">
                  <c:v>0.1650390625</c:v>
                </c:pt>
                <c:pt idx="149">
                  <c:v>0.166015625</c:v>
                </c:pt>
                <c:pt idx="150">
                  <c:v>0.16650390625</c:v>
                </c:pt>
                <c:pt idx="151">
                  <c:v>0.16748046875</c:v>
                </c:pt>
                <c:pt idx="152">
                  <c:v>0.16796875</c:v>
                </c:pt>
                <c:pt idx="153">
                  <c:v>0.1689453125</c:v>
                </c:pt>
                <c:pt idx="154">
                  <c:v>0.1708984375</c:v>
                </c:pt>
                <c:pt idx="155">
                  <c:v>0.171875</c:v>
                </c:pt>
                <c:pt idx="156">
                  <c:v>0.173828125</c:v>
                </c:pt>
                <c:pt idx="157">
                  <c:v>0.177734375</c:v>
                </c:pt>
                <c:pt idx="158">
                  <c:v>0.1796875</c:v>
                </c:pt>
                <c:pt idx="159">
                  <c:v>0.1806640625</c:v>
                </c:pt>
                <c:pt idx="160">
                  <c:v>0.1826171875</c:v>
                </c:pt>
                <c:pt idx="161">
                  <c:v>0.18359375</c:v>
                </c:pt>
                <c:pt idx="162">
                  <c:v>0.18408203125</c:v>
                </c:pt>
                <c:pt idx="163">
                  <c:v>0.18505859375</c:v>
                </c:pt>
                <c:pt idx="164">
                  <c:v>0.185546875</c:v>
                </c:pt>
                <c:pt idx="165">
                  <c:v>0.1865234375</c:v>
                </c:pt>
                <c:pt idx="166">
                  <c:v>0.1884765625</c:v>
                </c:pt>
                <c:pt idx="167">
                  <c:v>0.189453125</c:v>
                </c:pt>
                <c:pt idx="168">
                  <c:v>0.18994140625</c:v>
                </c:pt>
                <c:pt idx="169">
                  <c:v>0.19091796875</c:v>
                </c:pt>
                <c:pt idx="170">
                  <c:v>0.19140625</c:v>
                </c:pt>
                <c:pt idx="171">
                  <c:v>0.19189453125</c:v>
                </c:pt>
                <c:pt idx="172">
                  <c:v>0.19287109375</c:v>
                </c:pt>
                <c:pt idx="173">
                  <c:v>0.193359375</c:v>
                </c:pt>
                <c:pt idx="174">
                  <c:v>0.1943359375</c:v>
                </c:pt>
                <c:pt idx="175">
                  <c:v>0.1962890625</c:v>
                </c:pt>
                <c:pt idx="176">
                  <c:v>0.197265625</c:v>
                </c:pt>
                <c:pt idx="177">
                  <c:v>0.19775390625</c:v>
                </c:pt>
                <c:pt idx="178">
                  <c:v>0.19873046875</c:v>
                </c:pt>
                <c:pt idx="179">
                  <c:v>0.19921875</c:v>
                </c:pt>
                <c:pt idx="180">
                  <c:v>0.199462890625</c:v>
                </c:pt>
                <c:pt idx="181">
                  <c:v>0.199951171875</c:v>
                </c:pt>
                <c:pt idx="182">
                  <c:v>0.2001953125</c:v>
                </c:pt>
                <c:pt idx="183">
                  <c:v>0.20068359375</c:v>
                </c:pt>
                <c:pt idx="184">
                  <c:v>0.20166015625</c:v>
                </c:pt>
                <c:pt idx="185">
                  <c:v>0.2021484375</c:v>
                </c:pt>
                <c:pt idx="186">
                  <c:v>0.202392578125</c:v>
                </c:pt>
                <c:pt idx="187">
                  <c:v>0.202880859375</c:v>
                </c:pt>
                <c:pt idx="188">
                  <c:v>0.203125</c:v>
                </c:pt>
                <c:pt idx="189">
                  <c:v>0.20361328125</c:v>
                </c:pt>
                <c:pt idx="190">
                  <c:v>0.20458984375</c:v>
                </c:pt>
                <c:pt idx="191">
                  <c:v>0.205078125</c:v>
                </c:pt>
                <c:pt idx="192">
                  <c:v>0.2060546875</c:v>
                </c:pt>
                <c:pt idx="193">
                  <c:v>0.2080078125</c:v>
                </c:pt>
                <c:pt idx="194">
                  <c:v>0.208984375</c:v>
                </c:pt>
                <c:pt idx="195">
                  <c:v>0.20947265625</c:v>
                </c:pt>
                <c:pt idx="196">
                  <c:v>0.21044921875</c:v>
                </c:pt>
                <c:pt idx="197">
                  <c:v>0.2109375</c:v>
                </c:pt>
                <c:pt idx="198">
                  <c:v>0.2119140625</c:v>
                </c:pt>
                <c:pt idx="199">
                  <c:v>0.2138671875</c:v>
                </c:pt>
                <c:pt idx="200">
                  <c:v>0.21484375</c:v>
                </c:pt>
                <c:pt idx="201">
                  <c:v>0.216796875</c:v>
                </c:pt>
                <c:pt idx="202">
                  <c:v>0.220703125</c:v>
                </c:pt>
                <c:pt idx="203">
                  <c:v>0.22265625</c:v>
                </c:pt>
                <c:pt idx="204">
                  <c:v>0.2236328125</c:v>
                </c:pt>
                <c:pt idx="205">
                  <c:v>0.2255859375</c:v>
                </c:pt>
                <c:pt idx="206">
                  <c:v>0.2265625</c:v>
                </c:pt>
                <c:pt idx="207">
                  <c:v>0.22705078125</c:v>
                </c:pt>
                <c:pt idx="208">
                  <c:v>0.22802734375</c:v>
                </c:pt>
                <c:pt idx="209">
                  <c:v>0.228515625</c:v>
                </c:pt>
                <c:pt idx="210">
                  <c:v>0.2294921875</c:v>
                </c:pt>
                <c:pt idx="211">
                  <c:v>0.2314453125</c:v>
                </c:pt>
                <c:pt idx="212">
                  <c:v>0.232421875</c:v>
                </c:pt>
                <c:pt idx="213">
                  <c:v>0.23291015625</c:v>
                </c:pt>
                <c:pt idx="214">
                  <c:v>0.23388671875</c:v>
                </c:pt>
                <c:pt idx="215">
                  <c:v>0.234375</c:v>
                </c:pt>
                <c:pt idx="216">
                  <c:v>0.23486328125</c:v>
                </c:pt>
                <c:pt idx="217">
                  <c:v>0.23583984375</c:v>
                </c:pt>
                <c:pt idx="218">
                  <c:v>0.236328125</c:v>
                </c:pt>
                <c:pt idx="219">
                  <c:v>0.2373046875</c:v>
                </c:pt>
                <c:pt idx="220">
                  <c:v>0.2392578125</c:v>
                </c:pt>
                <c:pt idx="221">
                  <c:v>0.240234375</c:v>
                </c:pt>
                <c:pt idx="222">
                  <c:v>0.24072265625</c:v>
                </c:pt>
                <c:pt idx="223">
                  <c:v>0.24169921875</c:v>
                </c:pt>
                <c:pt idx="224">
                  <c:v>0.2421875</c:v>
                </c:pt>
                <c:pt idx="225">
                  <c:v>0.2431640625</c:v>
                </c:pt>
                <c:pt idx="226">
                  <c:v>0.2451171875</c:v>
                </c:pt>
                <c:pt idx="227">
                  <c:v>0.24609375</c:v>
                </c:pt>
                <c:pt idx="228">
                  <c:v>0.248046875</c:v>
                </c:pt>
                <c:pt idx="229">
                  <c:v>0.251953125</c:v>
                </c:pt>
                <c:pt idx="230">
                  <c:v>0.25390625</c:v>
                </c:pt>
                <c:pt idx="231">
                  <c:v>0.2548828125</c:v>
                </c:pt>
                <c:pt idx="232">
                  <c:v>0.2568359375</c:v>
                </c:pt>
                <c:pt idx="233">
                  <c:v>0.2578125</c:v>
                </c:pt>
                <c:pt idx="234">
                  <c:v>0.25830078125</c:v>
                </c:pt>
                <c:pt idx="235">
                  <c:v>0.25927734375</c:v>
                </c:pt>
                <c:pt idx="236">
                  <c:v>0.259765625</c:v>
                </c:pt>
                <c:pt idx="237">
                  <c:v>0.2607421875</c:v>
                </c:pt>
                <c:pt idx="238">
                  <c:v>0.2626953125</c:v>
                </c:pt>
                <c:pt idx="239">
                  <c:v>0.263671875</c:v>
                </c:pt>
                <c:pt idx="240">
                  <c:v>0.26416015625</c:v>
                </c:pt>
                <c:pt idx="241">
                  <c:v>0.26513671875</c:v>
                </c:pt>
                <c:pt idx="242">
                  <c:v>0.265625</c:v>
                </c:pt>
                <c:pt idx="243">
                  <c:v>0.265869140625</c:v>
                </c:pt>
                <c:pt idx="244">
                  <c:v>0.266357421875</c:v>
                </c:pt>
                <c:pt idx="245">
                  <c:v>0.2666015625</c:v>
                </c:pt>
                <c:pt idx="246">
                  <c:v>0.26708984375</c:v>
                </c:pt>
                <c:pt idx="247">
                  <c:v>0.26806640625</c:v>
                </c:pt>
                <c:pt idx="248">
                  <c:v>0.2685546875</c:v>
                </c:pt>
                <c:pt idx="249">
                  <c:v>0.268798828125</c:v>
                </c:pt>
                <c:pt idx="250">
                  <c:v>0.269287109375</c:v>
                </c:pt>
                <c:pt idx="251">
                  <c:v>0.26953125</c:v>
                </c:pt>
                <c:pt idx="252">
                  <c:v>0.27001953125</c:v>
                </c:pt>
                <c:pt idx="253">
                  <c:v>0.27099609375</c:v>
                </c:pt>
                <c:pt idx="254">
                  <c:v>0.271484375</c:v>
                </c:pt>
                <c:pt idx="255">
                  <c:v>0.2724609375</c:v>
                </c:pt>
                <c:pt idx="256">
                  <c:v>0.2744140625</c:v>
                </c:pt>
                <c:pt idx="257">
                  <c:v>0.275390625</c:v>
                </c:pt>
                <c:pt idx="258">
                  <c:v>0.27587890625</c:v>
                </c:pt>
                <c:pt idx="259">
                  <c:v>0.27685546875</c:v>
                </c:pt>
                <c:pt idx="260">
                  <c:v>0.27734375</c:v>
                </c:pt>
                <c:pt idx="261">
                  <c:v>0.277587890625</c:v>
                </c:pt>
                <c:pt idx="262">
                  <c:v>0.278076171875</c:v>
                </c:pt>
                <c:pt idx="263">
                  <c:v>0.2783203125</c:v>
                </c:pt>
                <c:pt idx="264">
                  <c:v>0.27880859375</c:v>
                </c:pt>
                <c:pt idx="265">
                  <c:v>0.27978515625</c:v>
                </c:pt>
                <c:pt idx="266">
                  <c:v>0.2802734375</c:v>
                </c:pt>
                <c:pt idx="267">
                  <c:v>0.280517578125</c:v>
                </c:pt>
                <c:pt idx="268">
                  <c:v>0.281005859375</c:v>
                </c:pt>
                <c:pt idx="269">
                  <c:v>0.28125</c:v>
                </c:pt>
                <c:pt idx="270">
                  <c:v>0.2822265625</c:v>
                </c:pt>
                <c:pt idx="271">
                  <c:v>0.2841796875</c:v>
                </c:pt>
                <c:pt idx="272">
                  <c:v>0.28515625</c:v>
                </c:pt>
                <c:pt idx="273">
                  <c:v>0.287109375</c:v>
                </c:pt>
                <c:pt idx="274">
                  <c:v>0.291015625</c:v>
                </c:pt>
                <c:pt idx="275">
                  <c:v>0.29296875</c:v>
                </c:pt>
                <c:pt idx="276">
                  <c:v>0.2939453125</c:v>
                </c:pt>
                <c:pt idx="277">
                  <c:v>0.2958984375</c:v>
                </c:pt>
                <c:pt idx="278">
                  <c:v>0.296875</c:v>
                </c:pt>
                <c:pt idx="279">
                  <c:v>0.29736328125</c:v>
                </c:pt>
                <c:pt idx="280">
                  <c:v>0.29833984375</c:v>
                </c:pt>
                <c:pt idx="281">
                  <c:v>0.298828125</c:v>
                </c:pt>
                <c:pt idx="282">
                  <c:v>0.2998046875</c:v>
                </c:pt>
                <c:pt idx="283">
                  <c:v>0.3017578125</c:v>
                </c:pt>
                <c:pt idx="284">
                  <c:v>0.302734375</c:v>
                </c:pt>
                <c:pt idx="285">
                  <c:v>0.30322265625</c:v>
                </c:pt>
                <c:pt idx="286">
                  <c:v>0.30419921875</c:v>
                </c:pt>
                <c:pt idx="287">
                  <c:v>0.3046875</c:v>
                </c:pt>
                <c:pt idx="288">
                  <c:v>0.304931640625</c:v>
                </c:pt>
                <c:pt idx="289">
                  <c:v>0.305419921875</c:v>
                </c:pt>
                <c:pt idx="290">
                  <c:v>0.3056640625</c:v>
                </c:pt>
                <c:pt idx="291">
                  <c:v>0.30615234375</c:v>
                </c:pt>
                <c:pt idx="292">
                  <c:v>0.30712890625</c:v>
                </c:pt>
                <c:pt idx="293">
                  <c:v>0.3076171875</c:v>
                </c:pt>
                <c:pt idx="294">
                  <c:v>0.307861328125</c:v>
                </c:pt>
                <c:pt idx="295">
                  <c:v>0.308349609375</c:v>
                </c:pt>
                <c:pt idx="296">
                  <c:v>0.30859375</c:v>
                </c:pt>
                <c:pt idx="297">
                  <c:v>0.310546875</c:v>
                </c:pt>
                <c:pt idx="298">
                  <c:v>0.314453125</c:v>
                </c:pt>
                <c:pt idx="299">
                  <c:v>0.31640625</c:v>
                </c:pt>
                <c:pt idx="300">
                  <c:v>0.3203125</c:v>
                </c:pt>
                <c:pt idx="301">
                  <c:v>0.328125</c:v>
                </c:pt>
                <c:pt idx="302">
                  <c:v>0.33203125</c:v>
                </c:pt>
                <c:pt idx="303">
                  <c:v>0.333984375</c:v>
                </c:pt>
                <c:pt idx="304">
                  <c:v>0.337890625</c:v>
                </c:pt>
                <c:pt idx="305">
                  <c:v>0.33984375</c:v>
                </c:pt>
                <c:pt idx="306">
                  <c:v>0.34033203125</c:v>
                </c:pt>
                <c:pt idx="307">
                  <c:v>0.34130859375</c:v>
                </c:pt>
                <c:pt idx="308">
                  <c:v>0.341796875</c:v>
                </c:pt>
                <c:pt idx="309">
                  <c:v>0.3427734375</c:v>
                </c:pt>
                <c:pt idx="310">
                  <c:v>0.3447265625</c:v>
                </c:pt>
                <c:pt idx="311">
                  <c:v>0.345703125</c:v>
                </c:pt>
                <c:pt idx="312">
                  <c:v>0.34619140625</c:v>
                </c:pt>
                <c:pt idx="313">
                  <c:v>0.34716796875</c:v>
                </c:pt>
                <c:pt idx="314">
                  <c:v>0.34765625</c:v>
                </c:pt>
                <c:pt idx="315">
                  <c:v>0.3486328125</c:v>
                </c:pt>
                <c:pt idx="316">
                  <c:v>0.3505859375</c:v>
                </c:pt>
                <c:pt idx="317">
                  <c:v>0.3515625</c:v>
                </c:pt>
                <c:pt idx="318">
                  <c:v>0.353515625</c:v>
                </c:pt>
                <c:pt idx="319">
                  <c:v>0.357421875</c:v>
                </c:pt>
                <c:pt idx="320">
                  <c:v>0.359375</c:v>
                </c:pt>
                <c:pt idx="321">
                  <c:v>0.3603515625</c:v>
                </c:pt>
                <c:pt idx="322">
                  <c:v>0.3623046875</c:v>
                </c:pt>
                <c:pt idx="323">
                  <c:v>0.36328125</c:v>
                </c:pt>
                <c:pt idx="324">
                  <c:v>0.363525390625</c:v>
                </c:pt>
                <c:pt idx="325">
                  <c:v>0.364013671875</c:v>
                </c:pt>
                <c:pt idx="326">
                  <c:v>0.3642578125</c:v>
                </c:pt>
                <c:pt idx="327">
                  <c:v>0.36474609375</c:v>
                </c:pt>
                <c:pt idx="328">
                  <c:v>0.36572265625</c:v>
                </c:pt>
                <c:pt idx="329">
                  <c:v>0.3662109375</c:v>
                </c:pt>
                <c:pt idx="330">
                  <c:v>0.366455078125</c:v>
                </c:pt>
                <c:pt idx="331">
                  <c:v>0.366943359375</c:v>
                </c:pt>
                <c:pt idx="332">
                  <c:v>0.3671875</c:v>
                </c:pt>
                <c:pt idx="333">
                  <c:v>0.3681640625</c:v>
                </c:pt>
                <c:pt idx="334">
                  <c:v>0.3701171875</c:v>
                </c:pt>
                <c:pt idx="335">
                  <c:v>0.37109375</c:v>
                </c:pt>
                <c:pt idx="336">
                  <c:v>0.373046875</c:v>
                </c:pt>
                <c:pt idx="337">
                  <c:v>0.376953125</c:v>
                </c:pt>
                <c:pt idx="338">
                  <c:v>0.37890625</c:v>
                </c:pt>
                <c:pt idx="339">
                  <c:v>0.3798828125</c:v>
                </c:pt>
                <c:pt idx="340">
                  <c:v>0.3818359375</c:v>
                </c:pt>
                <c:pt idx="341">
                  <c:v>0.3828125</c:v>
                </c:pt>
                <c:pt idx="342">
                  <c:v>0.3837890625</c:v>
                </c:pt>
                <c:pt idx="343">
                  <c:v>0.3857421875</c:v>
                </c:pt>
                <c:pt idx="344">
                  <c:v>0.38671875</c:v>
                </c:pt>
                <c:pt idx="345">
                  <c:v>0.388671875</c:v>
                </c:pt>
                <c:pt idx="346">
                  <c:v>0.392578125</c:v>
                </c:pt>
                <c:pt idx="347">
                  <c:v>0.39453125</c:v>
                </c:pt>
                <c:pt idx="348">
                  <c:v>0.3955078125</c:v>
                </c:pt>
                <c:pt idx="349">
                  <c:v>0.3974609375</c:v>
                </c:pt>
                <c:pt idx="350">
                  <c:v>0.3984375</c:v>
                </c:pt>
                <c:pt idx="351">
                  <c:v>0.39892578125</c:v>
                </c:pt>
                <c:pt idx="352">
                  <c:v>0.39990234375</c:v>
                </c:pt>
                <c:pt idx="353">
                  <c:v>0.400390625</c:v>
                </c:pt>
                <c:pt idx="354">
                  <c:v>0.4013671875</c:v>
                </c:pt>
                <c:pt idx="355">
                  <c:v>0.4033203125</c:v>
                </c:pt>
                <c:pt idx="356">
                  <c:v>0.404296875</c:v>
                </c:pt>
                <c:pt idx="357">
                  <c:v>0.40478515625</c:v>
                </c:pt>
                <c:pt idx="358">
                  <c:v>0.40576171875</c:v>
                </c:pt>
                <c:pt idx="359">
                  <c:v>0.40625</c:v>
                </c:pt>
                <c:pt idx="360">
                  <c:v>0.40673828125</c:v>
                </c:pt>
                <c:pt idx="361">
                  <c:v>0.40771484375</c:v>
                </c:pt>
                <c:pt idx="362">
                  <c:v>0.408203125</c:v>
                </c:pt>
                <c:pt idx="363">
                  <c:v>0.4091796875</c:v>
                </c:pt>
                <c:pt idx="364">
                  <c:v>0.4111328125</c:v>
                </c:pt>
                <c:pt idx="365">
                  <c:v>0.412109375</c:v>
                </c:pt>
                <c:pt idx="366">
                  <c:v>0.41259765625</c:v>
                </c:pt>
                <c:pt idx="367">
                  <c:v>0.41357421875</c:v>
                </c:pt>
                <c:pt idx="368">
                  <c:v>0.4140625</c:v>
                </c:pt>
                <c:pt idx="369">
                  <c:v>0.416015625</c:v>
                </c:pt>
                <c:pt idx="370">
                  <c:v>0.419921875</c:v>
                </c:pt>
                <c:pt idx="371">
                  <c:v>0.421875</c:v>
                </c:pt>
                <c:pt idx="372">
                  <c:v>0.42578125</c:v>
                </c:pt>
                <c:pt idx="373">
                  <c:v>0.43359375</c:v>
                </c:pt>
                <c:pt idx="374">
                  <c:v>0.4375</c:v>
                </c:pt>
                <c:pt idx="375">
                  <c:v>0.439453125</c:v>
                </c:pt>
                <c:pt idx="376">
                  <c:v>0.443359375</c:v>
                </c:pt>
                <c:pt idx="377">
                  <c:v>0.4453125</c:v>
                </c:pt>
                <c:pt idx="378">
                  <c:v>0.4462890625</c:v>
                </c:pt>
                <c:pt idx="379">
                  <c:v>0.4482421875</c:v>
                </c:pt>
                <c:pt idx="380">
                  <c:v>0.44921875</c:v>
                </c:pt>
                <c:pt idx="381">
                  <c:v>0.451171875</c:v>
                </c:pt>
                <c:pt idx="382">
                  <c:v>0.455078125</c:v>
                </c:pt>
                <c:pt idx="383">
                  <c:v>0.45703125</c:v>
                </c:pt>
                <c:pt idx="384">
                  <c:v>0.4580078125</c:v>
                </c:pt>
                <c:pt idx="385">
                  <c:v>0.4599609375</c:v>
                </c:pt>
                <c:pt idx="386">
                  <c:v>0.4609375</c:v>
                </c:pt>
                <c:pt idx="387">
                  <c:v>0.46142578125</c:v>
                </c:pt>
                <c:pt idx="388">
                  <c:v>0.46240234375</c:v>
                </c:pt>
                <c:pt idx="389">
                  <c:v>0.462890625</c:v>
                </c:pt>
                <c:pt idx="390">
                  <c:v>0.4638671875</c:v>
                </c:pt>
                <c:pt idx="391">
                  <c:v>0.4658203125</c:v>
                </c:pt>
                <c:pt idx="392">
                  <c:v>0.466796875</c:v>
                </c:pt>
                <c:pt idx="393">
                  <c:v>0.46728515625</c:v>
                </c:pt>
                <c:pt idx="394">
                  <c:v>0.46826171875</c:v>
                </c:pt>
                <c:pt idx="395">
                  <c:v>0.46875</c:v>
                </c:pt>
                <c:pt idx="396">
                  <c:v>0.4697265625</c:v>
                </c:pt>
                <c:pt idx="397">
                  <c:v>0.4716796875</c:v>
                </c:pt>
                <c:pt idx="398">
                  <c:v>0.47265625</c:v>
                </c:pt>
                <c:pt idx="399">
                  <c:v>0.474609375</c:v>
                </c:pt>
                <c:pt idx="400">
                  <c:v>0.478515625</c:v>
                </c:pt>
                <c:pt idx="401">
                  <c:v>0.48046875</c:v>
                </c:pt>
                <c:pt idx="402">
                  <c:v>0.4814453125</c:v>
                </c:pt>
                <c:pt idx="403">
                  <c:v>0.4833984375</c:v>
                </c:pt>
                <c:pt idx="404">
                  <c:v>0.484375</c:v>
                </c:pt>
                <c:pt idx="405">
                  <c:v>0.48486328125</c:v>
                </c:pt>
                <c:pt idx="406">
                  <c:v>0.48583984375</c:v>
                </c:pt>
                <c:pt idx="407">
                  <c:v>0.486328125</c:v>
                </c:pt>
                <c:pt idx="408">
                  <c:v>0.4873046875</c:v>
                </c:pt>
                <c:pt idx="409">
                  <c:v>0.4892578125</c:v>
                </c:pt>
                <c:pt idx="410">
                  <c:v>0.490234375</c:v>
                </c:pt>
                <c:pt idx="411">
                  <c:v>0.49072265625</c:v>
                </c:pt>
                <c:pt idx="412">
                  <c:v>0.49169921875</c:v>
                </c:pt>
                <c:pt idx="413">
                  <c:v>0.4921875</c:v>
                </c:pt>
                <c:pt idx="414">
                  <c:v>0.492431640625</c:v>
                </c:pt>
                <c:pt idx="415">
                  <c:v>0.492919921875</c:v>
                </c:pt>
                <c:pt idx="416">
                  <c:v>0.4931640625</c:v>
                </c:pt>
                <c:pt idx="417">
                  <c:v>0.49365234375</c:v>
                </c:pt>
                <c:pt idx="418">
                  <c:v>0.49462890625</c:v>
                </c:pt>
                <c:pt idx="419">
                  <c:v>0.4951171875</c:v>
                </c:pt>
                <c:pt idx="420">
                  <c:v>0.495361328125</c:v>
                </c:pt>
                <c:pt idx="421">
                  <c:v>0.495849609375</c:v>
                </c:pt>
                <c:pt idx="422">
                  <c:v>0.49609375</c:v>
                </c:pt>
                <c:pt idx="423">
                  <c:v>0.498046875</c:v>
                </c:pt>
                <c:pt idx="424">
                  <c:v>0.501953125</c:v>
                </c:pt>
                <c:pt idx="425">
                  <c:v>0.50390625</c:v>
                </c:pt>
                <c:pt idx="426">
                  <c:v>0.5078125</c:v>
                </c:pt>
                <c:pt idx="427">
                  <c:v>0.515625</c:v>
                </c:pt>
                <c:pt idx="428">
                  <c:v>0.51953125</c:v>
                </c:pt>
                <c:pt idx="429">
                  <c:v>0.521484375</c:v>
                </c:pt>
                <c:pt idx="430">
                  <c:v>0.525390625</c:v>
                </c:pt>
                <c:pt idx="431">
                  <c:v>0.52734375</c:v>
                </c:pt>
                <c:pt idx="432">
                  <c:v>0.5283203125</c:v>
                </c:pt>
                <c:pt idx="433">
                  <c:v>0.5302734375</c:v>
                </c:pt>
                <c:pt idx="434">
                  <c:v>0.53125</c:v>
                </c:pt>
                <c:pt idx="435">
                  <c:v>0.533203125</c:v>
                </c:pt>
                <c:pt idx="436">
                  <c:v>0.537109375</c:v>
                </c:pt>
                <c:pt idx="437">
                  <c:v>0.5390625</c:v>
                </c:pt>
                <c:pt idx="438">
                  <c:v>0.5400390625</c:v>
                </c:pt>
                <c:pt idx="439">
                  <c:v>0.5419921875</c:v>
                </c:pt>
                <c:pt idx="440">
                  <c:v>0.54296875</c:v>
                </c:pt>
                <c:pt idx="441">
                  <c:v>0.54345703125</c:v>
                </c:pt>
                <c:pt idx="442">
                  <c:v>0.54443359375</c:v>
                </c:pt>
                <c:pt idx="443">
                  <c:v>0.544921875</c:v>
                </c:pt>
                <c:pt idx="444">
                  <c:v>0.5458984375</c:v>
                </c:pt>
                <c:pt idx="445">
                  <c:v>0.5478515625</c:v>
                </c:pt>
                <c:pt idx="446">
                  <c:v>0.548828125</c:v>
                </c:pt>
                <c:pt idx="447">
                  <c:v>0.54931640625</c:v>
                </c:pt>
                <c:pt idx="448">
                  <c:v>0.55029296875</c:v>
                </c:pt>
                <c:pt idx="449">
                  <c:v>0.55078125</c:v>
                </c:pt>
                <c:pt idx="450">
                  <c:v>0.55126953125</c:v>
                </c:pt>
                <c:pt idx="451">
                  <c:v>0.55224609375</c:v>
                </c:pt>
                <c:pt idx="452">
                  <c:v>0.552734375</c:v>
                </c:pt>
                <c:pt idx="453">
                  <c:v>0.5537109375</c:v>
                </c:pt>
                <c:pt idx="454">
                  <c:v>0.5556640625</c:v>
                </c:pt>
                <c:pt idx="455">
                  <c:v>0.556640625</c:v>
                </c:pt>
                <c:pt idx="456">
                  <c:v>0.55712890625</c:v>
                </c:pt>
                <c:pt idx="457">
                  <c:v>0.55810546875</c:v>
                </c:pt>
                <c:pt idx="458">
                  <c:v>0.55859375</c:v>
                </c:pt>
                <c:pt idx="459">
                  <c:v>0.5595703125</c:v>
                </c:pt>
                <c:pt idx="460">
                  <c:v>0.5615234375</c:v>
                </c:pt>
                <c:pt idx="461">
                  <c:v>0.5625</c:v>
                </c:pt>
                <c:pt idx="462">
                  <c:v>0.564453125</c:v>
                </c:pt>
                <c:pt idx="463">
                  <c:v>0.568359375</c:v>
                </c:pt>
                <c:pt idx="464">
                  <c:v>0.5703125</c:v>
                </c:pt>
                <c:pt idx="465">
                  <c:v>0.5712890625</c:v>
                </c:pt>
                <c:pt idx="466">
                  <c:v>0.5732421875</c:v>
                </c:pt>
                <c:pt idx="467">
                  <c:v>0.57421875</c:v>
                </c:pt>
                <c:pt idx="468">
                  <c:v>0.578125</c:v>
                </c:pt>
                <c:pt idx="469">
                  <c:v>0.5859375</c:v>
                </c:pt>
                <c:pt idx="470">
                  <c:v>0.58984375</c:v>
                </c:pt>
                <c:pt idx="471">
                  <c:v>0.59765625</c:v>
                </c:pt>
                <c:pt idx="472">
                  <c:v>0.61328125</c:v>
                </c:pt>
                <c:pt idx="473">
                  <c:v>0.62109375</c:v>
                </c:pt>
                <c:pt idx="474">
                  <c:v>0.625</c:v>
                </c:pt>
                <c:pt idx="475">
                  <c:v>0.6328125</c:v>
                </c:pt>
                <c:pt idx="476">
                  <c:v>0.63671875</c:v>
                </c:pt>
                <c:pt idx="477">
                  <c:v>0.638671875</c:v>
                </c:pt>
                <c:pt idx="478">
                  <c:v>0.642578125</c:v>
                </c:pt>
                <c:pt idx="479">
                  <c:v>0.64453125</c:v>
                </c:pt>
                <c:pt idx="480">
                  <c:v>0.6484375</c:v>
                </c:pt>
                <c:pt idx="481">
                  <c:v>0.65625</c:v>
                </c:pt>
                <c:pt idx="482">
                  <c:v>0.66015625</c:v>
                </c:pt>
                <c:pt idx="483">
                  <c:v>0.662109375</c:v>
                </c:pt>
                <c:pt idx="484">
                  <c:v>0.666015625</c:v>
                </c:pt>
                <c:pt idx="485">
                  <c:v>0.66796875</c:v>
                </c:pt>
                <c:pt idx="486">
                  <c:v>0.6689453125</c:v>
                </c:pt>
                <c:pt idx="487">
                  <c:v>0.6708984375</c:v>
                </c:pt>
                <c:pt idx="488">
                  <c:v>0.671875</c:v>
                </c:pt>
                <c:pt idx="489">
                  <c:v>0.673828125</c:v>
                </c:pt>
                <c:pt idx="490">
                  <c:v>0.677734375</c:v>
                </c:pt>
                <c:pt idx="491">
                  <c:v>0.6796875</c:v>
                </c:pt>
                <c:pt idx="492">
                  <c:v>0.6806640625</c:v>
                </c:pt>
                <c:pt idx="493">
                  <c:v>0.6826171875</c:v>
                </c:pt>
                <c:pt idx="494">
                  <c:v>0.68359375</c:v>
                </c:pt>
                <c:pt idx="495">
                  <c:v>0.685546875</c:v>
                </c:pt>
                <c:pt idx="496">
                  <c:v>0.689453125</c:v>
                </c:pt>
                <c:pt idx="497">
                  <c:v>0.69140625</c:v>
                </c:pt>
                <c:pt idx="498">
                  <c:v>0.6953125</c:v>
                </c:pt>
                <c:pt idx="499">
                  <c:v>0.703125</c:v>
                </c:pt>
                <c:pt idx="500">
                  <c:v>0.70703125</c:v>
                </c:pt>
                <c:pt idx="501">
                  <c:v>0.708984375</c:v>
                </c:pt>
                <c:pt idx="502">
                  <c:v>0.712890625</c:v>
                </c:pt>
                <c:pt idx="503">
                  <c:v>0.71484375</c:v>
                </c:pt>
                <c:pt idx="504">
                  <c:v>0.7158203125</c:v>
                </c:pt>
                <c:pt idx="505">
                  <c:v>0.7177734375</c:v>
                </c:pt>
                <c:pt idx="506">
                  <c:v>0.71875</c:v>
                </c:pt>
                <c:pt idx="507">
                  <c:v>0.720703125</c:v>
                </c:pt>
                <c:pt idx="508">
                  <c:v>0.724609375</c:v>
                </c:pt>
                <c:pt idx="509">
                  <c:v>0.7265625</c:v>
                </c:pt>
                <c:pt idx="510">
                  <c:v>0.7275390625</c:v>
                </c:pt>
                <c:pt idx="511">
                  <c:v>0.7294921875</c:v>
                </c:pt>
                <c:pt idx="512">
                  <c:v>0.73046875</c:v>
                </c:pt>
                <c:pt idx="513">
                  <c:v>0.730712890625</c:v>
                </c:pt>
                <c:pt idx="514">
                  <c:v>0.731201171875</c:v>
                </c:pt>
                <c:pt idx="515">
                  <c:v>0.7314453125</c:v>
                </c:pt>
                <c:pt idx="516">
                  <c:v>0.73193359375</c:v>
                </c:pt>
                <c:pt idx="517">
                  <c:v>0.73291015625</c:v>
                </c:pt>
                <c:pt idx="518">
                  <c:v>0.7333984375</c:v>
                </c:pt>
                <c:pt idx="519">
                  <c:v>0.733642578125</c:v>
                </c:pt>
                <c:pt idx="520">
                  <c:v>0.734130859375</c:v>
                </c:pt>
                <c:pt idx="521">
                  <c:v>0.734375</c:v>
                </c:pt>
                <c:pt idx="522">
                  <c:v>0.73486328125</c:v>
                </c:pt>
                <c:pt idx="523">
                  <c:v>0.73583984375</c:v>
                </c:pt>
                <c:pt idx="524">
                  <c:v>0.736328125</c:v>
                </c:pt>
                <c:pt idx="525">
                  <c:v>0.7373046875</c:v>
                </c:pt>
                <c:pt idx="526">
                  <c:v>0.7392578125</c:v>
                </c:pt>
                <c:pt idx="527">
                  <c:v>0.740234375</c:v>
                </c:pt>
                <c:pt idx="528">
                  <c:v>0.74072265625</c:v>
                </c:pt>
                <c:pt idx="529">
                  <c:v>0.74169921875</c:v>
                </c:pt>
                <c:pt idx="530">
                  <c:v>0.7421875</c:v>
                </c:pt>
                <c:pt idx="531">
                  <c:v>0.744140625</c:v>
                </c:pt>
                <c:pt idx="532">
                  <c:v>0.748046875</c:v>
                </c:pt>
                <c:pt idx="533">
                  <c:v>0.75</c:v>
                </c:pt>
                <c:pt idx="534">
                  <c:v>0.75390625</c:v>
                </c:pt>
                <c:pt idx="535">
                  <c:v>0.76171875</c:v>
                </c:pt>
                <c:pt idx="536">
                  <c:v>0.765625</c:v>
                </c:pt>
                <c:pt idx="537">
                  <c:v>0.767578125</c:v>
                </c:pt>
                <c:pt idx="538">
                  <c:v>0.771484375</c:v>
                </c:pt>
                <c:pt idx="539">
                  <c:v>0.7734375</c:v>
                </c:pt>
                <c:pt idx="540">
                  <c:v>0.7744140625</c:v>
                </c:pt>
                <c:pt idx="541">
                  <c:v>0.7763671875</c:v>
                </c:pt>
                <c:pt idx="542">
                  <c:v>0.77734375</c:v>
                </c:pt>
                <c:pt idx="543">
                  <c:v>0.779296875</c:v>
                </c:pt>
                <c:pt idx="544">
                  <c:v>0.783203125</c:v>
                </c:pt>
                <c:pt idx="545">
                  <c:v>0.78515625</c:v>
                </c:pt>
                <c:pt idx="546">
                  <c:v>0.7861328125</c:v>
                </c:pt>
                <c:pt idx="547">
                  <c:v>0.7880859375</c:v>
                </c:pt>
                <c:pt idx="548">
                  <c:v>0.7890625</c:v>
                </c:pt>
                <c:pt idx="549">
                  <c:v>0.78955078125</c:v>
                </c:pt>
                <c:pt idx="550">
                  <c:v>0.79052734375</c:v>
                </c:pt>
                <c:pt idx="551">
                  <c:v>0.791015625</c:v>
                </c:pt>
                <c:pt idx="552">
                  <c:v>0.7919921875</c:v>
                </c:pt>
                <c:pt idx="553">
                  <c:v>0.7939453125</c:v>
                </c:pt>
                <c:pt idx="554">
                  <c:v>0.794921875</c:v>
                </c:pt>
                <c:pt idx="555">
                  <c:v>0.79541015625</c:v>
                </c:pt>
                <c:pt idx="556">
                  <c:v>0.79638671875</c:v>
                </c:pt>
                <c:pt idx="557">
                  <c:v>0.796875</c:v>
                </c:pt>
                <c:pt idx="558">
                  <c:v>0.7978515625</c:v>
                </c:pt>
                <c:pt idx="559">
                  <c:v>0.7998046875</c:v>
                </c:pt>
                <c:pt idx="560">
                  <c:v>0.80078125</c:v>
                </c:pt>
                <c:pt idx="561">
                  <c:v>0.802734375</c:v>
                </c:pt>
                <c:pt idx="562">
                  <c:v>0.806640625</c:v>
                </c:pt>
                <c:pt idx="563">
                  <c:v>0.80859375</c:v>
                </c:pt>
                <c:pt idx="564">
                  <c:v>0.8095703125</c:v>
                </c:pt>
                <c:pt idx="565">
                  <c:v>0.8115234375</c:v>
                </c:pt>
                <c:pt idx="566">
                  <c:v>0.8125</c:v>
                </c:pt>
                <c:pt idx="567">
                  <c:v>0.81298828125</c:v>
                </c:pt>
                <c:pt idx="568">
                  <c:v>0.81396484375</c:v>
                </c:pt>
                <c:pt idx="569">
                  <c:v>0.814453125</c:v>
                </c:pt>
                <c:pt idx="570">
                  <c:v>0.8154296875</c:v>
                </c:pt>
                <c:pt idx="571">
                  <c:v>0.8173828125</c:v>
                </c:pt>
                <c:pt idx="572">
                  <c:v>0.818359375</c:v>
                </c:pt>
                <c:pt idx="573">
                  <c:v>0.81884765625</c:v>
                </c:pt>
                <c:pt idx="574">
                  <c:v>0.81982421875</c:v>
                </c:pt>
                <c:pt idx="575">
                  <c:v>0.8203125</c:v>
                </c:pt>
                <c:pt idx="576">
                  <c:v>0.8212890625</c:v>
                </c:pt>
                <c:pt idx="577">
                  <c:v>0.8232421875</c:v>
                </c:pt>
                <c:pt idx="578">
                  <c:v>0.82421875</c:v>
                </c:pt>
                <c:pt idx="579">
                  <c:v>0.826171875</c:v>
                </c:pt>
                <c:pt idx="580">
                  <c:v>0.830078125</c:v>
                </c:pt>
                <c:pt idx="581">
                  <c:v>0.83203125</c:v>
                </c:pt>
                <c:pt idx="582">
                  <c:v>0.8330078125</c:v>
                </c:pt>
                <c:pt idx="583">
                  <c:v>0.8349609375</c:v>
                </c:pt>
                <c:pt idx="584">
                  <c:v>0.8359375</c:v>
                </c:pt>
                <c:pt idx="585">
                  <c:v>0.8369140625</c:v>
                </c:pt>
                <c:pt idx="586">
                  <c:v>0.8388671875</c:v>
                </c:pt>
                <c:pt idx="587">
                  <c:v>0.83984375</c:v>
                </c:pt>
                <c:pt idx="588">
                  <c:v>0.841796875</c:v>
                </c:pt>
                <c:pt idx="589">
                  <c:v>0.845703125</c:v>
                </c:pt>
                <c:pt idx="590">
                  <c:v>0.84765625</c:v>
                </c:pt>
                <c:pt idx="591">
                  <c:v>0.8486328125</c:v>
                </c:pt>
                <c:pt idx="592">
                  <c:v>0.8505859375</c:v>
                </c:pt>
                <c:pt idx="593">
                  <c:v>0.8515625</c:v>
                </c:pt>
                <c:pt idx="594">
                  <c:v>0.85205078125</c:v>
                </c:pt>
                <c:pt idx="595">
                  <c:v>0.85302734375</c:v>
                </c:pt>
                <c:pt idx="596">
                  <c:v>0.853515625</c:v>
                </c:pt>
                <c:pt idx="597">
                  <c:v>0.8544921875</c:v>
                </c:pt>
                <c:pt idx="598">
                  <c:v>0.8564453125</c:v>
                </c:pt>
                <c:pt idx="599">
                  <c:v>0.857421875</c:v>
                </c:pt>
                <c:pt idx="600">
                  <c:v>0.85791015625</c:v>
                </c:pt>
                <c:pt idx="601">
                  <c:v>0.85888671875</c:v>
                </c:pt>
                <c:pt idx="602">
                  <c:v>0.859375</c:v>
                </c:pt>
                <c:pt idx="603">
                  <c:v>0.859619140625</c:v>
                </c:pt>
                <c:pt idx="604">
                  <c:v>0.860107421875</c:v>
                </c:pt>
                <c:pt idx="605">
                  <c:v>0.8603515625</c:v>
                </c:pt>
                <c:pt idx="606">
                  <c:v>0.86083984375</c:v>
                </c:pt>
                <c:pt idx="607">
                  <c:v>0.86181640625</c:v>
                </c:pt>
                <c:pt idx="608">
                  <c:v>0.8623046875</c:v>
                </c:pt>
                <c:pt idx="609">
                  <c:v>0.862548828125</c:v>
                </c:pt>
                <c:pt idx="610">
                  <c:v>0.863037109375</c:v>
                </c:pt>
                <c:pt idx="611">
                  <c:v>0.86328125</c:v>
                </c:pt>
                <c:pt idx="612">
                  <c:v>0.86376953125</c:v>
                </c:pt>
                <c:pt idx="613">
                  <c:v>0.86474609375</c:v>
                </c:pt>
                <c:pt idx="614">
                  <c:v>0.865234375</c:v>
                </c:pt>
                <c:pt idx="615">
                  <c:v>0.8662109375</c:v>
                </c:pt>
                <c:pt idx="616">
                  <c:v>0.8681640625</c:v>
                </c:pt>
                <c:pt idx="617">
                  <c:v>0.869140625</c:v>
                </c:pt>
                <c:pt idx="618">
                  <c:v>0.86962890625</c:v>
                </c:pt>
                <c:pt idx="619">
                  <c:v>0.87060546875</c:v>
                </c:pt>
                <c:pt idx="620">
                  <c:v>0.87109375</c:v>
                </c:pt>
                <c:pt idx="621">
                  <c:v>0.871337890625</c:v>
                </c:pt>
                <c:pt idx="622">
                  <c:v>0.871826171875</c:v>
                </c:pt>
                <c:pt idx="623">
                  <c:v>0.8720703125</c:v>
                </c:pt>
                <c:pt idx="624">
                  <c:v>0.87255859375</c:v>
                </c:pt>
                <c:pt idx="625">
                  <c:v>0.87353515625</c:v>
                </c:pt>
                <c:pt idx="626">
                  <c:v>0.8740234375</c:v>
                </c:pt>
                <c:pt idx="627">
                  <c:v>0.874267578125</c:v>
                </c:pt>
                <c:pt idx="628">
                  <c:v>0.874755859375</c:v>
                </c:pt>
                <c:pt idx="629">
                  <c:v>0.875</c:v>
                </c:pt>
                <c:pt idx="630">
                  <c:v>0.87548828125</c:v>
                </c:pt>
                <c:pt idx="631">
                  <c:v>0.87646484375</c:v>
                </c:pt>
                <c:pt idx="632">
                  <c:v>0.876953125</c:v>
                </c:pt>
                <c:pt idx="633">
                  <c:v>0.8779296875</c:v>
                </c:pt>
                <c:pt idx="634">
                  <c:v>0.8798828125</c:v>
                </c:pt>
                <c:pt idx="635">
                  <c:v>0.880859375</c:v>
                </c:pt>
                <c:pt idx="636">
                  <c:v>0.88134765625</c:v>
                </c:pt>
                <c:pt idx="637">
                  <c:v>0.88232421875</c:v>
                </c:pt>
                <c:pt idx="638">
                  <c:v>0.8828125</c:v>
                </c:pt>
                <c:pt idx="639">
                  <c:v>0.884765625</c:v>
                </c:pt>
                <c:pt idx="640">
                  <c:v>0.888671875</c:v>
                </c:pt>
                <c:pt idx="641">
                  <c:v>0.890625</c:v>
                </c:pt>
                <c:pt idx="642">
                  <c:v>0.89453125</c:v>
                </c:pt>
                <c:pt idx="643">
                  <c:v>0.90234375</c:v>
                </c:pt>
                <c:pt idx="644">
                  <c:v>0.90625</c:v>
                </c:pt>
                <c:pt idx="645">
                  <c:v>0.908203125</c:v>
                </c:pt>
                <c:pt idx="646">
                  <c:v>0.912109375</c:v>
                </c:pt>
                <c:pt idx="647">
                  <c:v>0.9140625</c:v>
                </c:pt>
                <c:pt idx="648">
                  <c:v>0.9150390625</c:v>
                </c:pt>
                <c:pt idx="649">
                  <c:v>0.9169921875</c:v>
                </c:pt>
                <c:pt idx="650">
                  <c:v>0.91796875</c:v>
                </c:pt>
                <c:pt idx="651">
                  <c:v>0.919921875</c:v>
                </c:pt>
                <c:pt idx="652">
                  <c:v>0.923828125</c:v>
                </c:pt>
                <c:pt idx="653">
                  <c:v>0.92578125</c:v>
                </c:pt>
                <c:pt idx="654">
                  <c:v>0.9267578125</c:v>
                </c:pt>
                <c:pt idx="655">
                  <c:v>0.9287109375</c:v>
                </c:pt>
                <c:pt idx="656">
                  <c:v>0.9296875</c:v>
                </c:pt>
                <c:pt idx="657">
                  <c:v>0.93017578125</c:v>
                </c:pt>
                <c:pt idx="658">
                  <c:v>0.93115234375</c:v>
                </c:pt>
                <c:pt idx="659">
                  <c:v>0.931640625</c:v>
                </c:pt>
                <c:pt idx="660">
                  <c:v>0.9326171875</c:v>
                </c:pt>
                <c:pt idx="661">
                  <c:v>0.9345703125</c:v>
                </c:pt>
                <c:pt idx="662">
                  <c:v>0.935546875</c:v>
                </c:pt>
                <c:pt idx="663">
                  <c:v>0.93603515625</c:v>
                </c:pt>
                <c:pt idx="664">
                  <c:v>0.93701171875</c:v>
                </c:pt>
                <c:pt idx="665">
                  <c:v>0.9375</c:v>
                </c:pt>
                <c:pt idx="666">
                  <c:v>0.9384765625</c:v>
                </c:pt>
                <c:pt idx="667">
                  <c:v>0.9404296875</c:v>
                </c:pt>
                <c:pt idx="668">
                  <c:v>0.94140625</c:v>
                </c:pt>
                <c:pt idx="669">
                  <c:v>0.943359375</c:v>
                </c:pt>
                <c:pt idx="670">
                  <c:v>0.947265625</c:v>
                </c:pt>
                <c:pt idx="671">
                  <c:v>0.94921875</c:v>
                </c:pt>
                <c:pt idx="672">
                  <c:v>0.9501953125</c:v>
                </c:pt>
                <c:pt idx="673">
                  <c:v>0.9521484375</c:v>
                </c:pt>
                <c:pt idx="674">
                  <c:v>0.953125</c:v>
                </c:pt>
                <c:pt idx="675">
                  <c:v>0.95361328125</c:v>
                </c:pt>
                <c:pt idx="676">
                  <c:v>0.95458984375</c:v>
                </c:pt>
                <c:pt idx="677">
                  <c:v>0.955078125</c:v>
                </c:pt>
                <c:pt idx="678">
                  <c:v>0.9560546875</c:v>
                </c:pt>
                <c:pt idx="679">
                  <c:v>0.9580078125</c:v>
                </c:pt>
                <c:pt idx="680">
                  <c:v>0.958984375</c:v>
                </c:pt>
                <c:pt idx="681">
                  <c:v>0.95947265625</c:v>
                </c:pt>
                <c:pt idx="682">
                  <c:v>0.96044921875</c:v>
                </c:pt>
                <c:pt idx="683">
                  <c:v>0.9609375</c:v>
                </c:pt>
                <c:pt idx="684">
                  <c:v>0.9619140625</c:v>
                </c:pt>
                <c:pt idx="685">
                  <c:v>0.9638671875</c:v>
                </c:pt>
                <c:pt idx="686">
                  <c:v>0.96484375</c:v>
                </c:pt>
                <c:pt idx="687">
                  <c:v>0.966796875</c:v>
                </c:pt>
                <c:pt idx="688">
                  <c:v>0.970703125</c:v>
                </c:pt>
                <c:pt idx="689">
                  <c:v>0.97265625</c:v>
                </c:pt>
                <c:pt idx="690">
                  <c:v>0.9736328125</c:v>
                </c:pt>
                <c:pt idx="691">
                  <c:v>0.9755859375</c:v>
                </c:pt>
                <c:pt idx="692">
                  <c:v>0.9765625</c:v>
                </c:pt>
                <c:pt idx="693">
                  <c:v>0.97705078125</c:v>
                </c:pt>
                <c:pt idx="694">
                  <c:v>0.97802734375</c:v>
                </c:pt>
                <c:pt idx="695">
                  <c:v>0.978515625</c:v>
                </c:pt>
                <c:pt idx="696">
                  <c:v>0.9794921875</c:v>
                </c:pt>
                <c:pt idx="697">
                  <c:v>0.9814453125</c:v>
                </c:pt>
                <c:pt idx="698">
                  <c:v>0.982421875</c:v>
                </c:pt>
                <c:pt idx="699">
                  <c:v>0.98291015625</c:v>
                </c:pt>
                <c:pt idx="700">
                  <c:v>0.98388671875</c:v>
                </c:pt>
                <c:pt idx="701">
                  <c:v>0.984375</c:v>
                </c:pt>
                <c:pt idx="702">
                  <c:v>0.984619140625</c:v>
                </c:pt>
                <c:pt idx="703">
                  <c:v>0.985107421875</c:v>
                </c:pt>
                <c:pt idx="704">
                  <c:v>0.9853515625</c:v>
                </c:pt>
                <c:pt idx="705">
                  <c:v>0.98583984375</c:v>
                </c:pt>
                <c:pt idx="706">
                  <c:v>0.98681640625</c:v>
                </c:pt>
                <c:pt idx="707">
                  <c:v>0.9873046875</c:v>
                </c:pt>
                <c:pt idx="708">
                  <c:v>0.987548828125</c:v>
                </c:pt>
                <c:pt idx="709">
                  <c:v>0.988037109375</c:v>
                </c:pt>
                <c:pt idx="710">
                  <c:v>0.98828125</c:v>
                </c:pt>
                <c:pt idx="711">
                  <c:v>0.98876953125</c:v>
                </c:pt>
                <c:pt idx="712">
                  <c:v>0.98974609375</c:v>
                </c:pt>
                <c:pt idx="713">
                  <c:v>0.990234375</c:v>
                </c:pt>
                <c:pt idx="714">
                  <c:v>0.9912109375</c:v>
                </c:pt>
                <c:pt idx="715">
                  <c:v>0.9931640625</c:v>
                </c:pt>
                <c:pt idx="716">
                  <c:v>0.994140625</c:v>
                </c:pt>
                <c:pt idx="717">
                  <c:v>0.99462890625</c:v>
                </c:pt>
                <c:pt idx="718">
                  <c:v>0.99560546875</c:v>
                </c:pt>
                <c:pt idx="719">
                  <c:v>0.99609375</c:v>
                </c:pt>
                <c:pt idx="720">
                  <c:v>0.996337890625</c:v>
                </c:pt>
                <c:pt idx="721">
                  <c:v>0.996826171875</c:v>
                </c:pt>
                <c:pt idx="722">
                  <c:v>0.9970703125</c:v>
                </c:pt>
                <c:pt idx="723">
                  <c:v>0.99755859375</c:v>
                </c:pt>
                <c:pt idx="724">
                  <c:v>0.99853515625</c:v>
                </c:pt>
                <c:pt idx="725">
                  <c:v>0.9990234375</c:v>
                </c:pt>
                <c:pt idx="726">
                  <c:v>0.999267578125</c:v>
                </c:pt>
                <c:pt idx="727">
                  <c:v>0.999755859375</c:v>
                </c:pt>
                <c:pt idx="72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9-4879-946B-D04D489FFFA5}"/>
            </c:ext>
          </c:extLst>
        </c:ser>
        <c:ser>
          <c:idx val="1"/>
          <c:order val="1"/>
          <c:tx>
            <c:v>Strategy 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CDF!$D$2:$D$730</c:f>
              <c:numCache>
                <c:formatCode>General</c:formatCode>
                <c:ptCount val="729"/>
                <c:pt idx="0">
                  <c:v>-17</c:v>
                </c:pt>
                <c:pt idx="1">
                  <c:v>-17</c:v>
                </c:pt>
                <c:pt idx="2">
                  <c:v>-17</c:v>
                </c:pt>
                <c:pt idx="3">
                  <c:v>-17</c:v>
                </c:pt>
                <c:pt idx="4">
                  <c:v>-17</c:v>
                </c:pt>
                <c:pt idx="5">
                  <c:v>-17</c:v>
                </c:pt>
                <c:pt idx="6">
                  <c:v>-17</c:v>
                </c:pt>
                <c:pt idx="7">
                  <c:v>-17</c:v>
                </c:pt>
                <c:pt idx="8">
                  <c:v>-17</c:v>
                </c:pt>
                <c:pt idx="9">
                  <c:v>-17</c:v>
                </c:pt>
                <c:pt idx="10">
                  <c:v>-17</c:v>
                </c:pt>
                <c:pt idx="11">
                  <c:v>-17</c:v>
                </c:pt>
                <c:pt idx="12">
                  <c:v>-17</c:v>
                </c:pt>
                <c:pt idx="13">
                  <c:v>-17</c:v>
                </c:pt>
                <c:pt idx="14">
                  <c:v>-17</c:v>
                </c:pt>
                <c:pt idx="15">
                  <c:v>-17</c:v>
                </c:pt>
                <c:pt idx="16">
                  <c:v>-17</c:v>
                </c:pt>
                <c:pt idx="17">
                  <c:v>-17</c:v>
                </c:pt>
                <c:pt idx="18">
                  <c:v>-17</c:v>
                </c:pt>
                <c:pt idx="19">
                  <c:v>-17</c:v>
                </c:pt>
                <c:pt idx="20">
                  <c:v>-17</c:v>
                </c:pt>
                <c:pt idx="21">
                  <c:v>-17</c:v>
                </c:pt>
                <c:pt idx="22">
                  <c:v>-17</c:v>
                </c:pt>
                <c:pt idx="23">
                  <c:v>-17</c:v>
                </c:pt>
                <c:pt idx="24">
                  <c:v>-17</c:v>
                </c:pt>
                <c:pt idx="25">
                  <c:v>-17</c:v>
                </c:pt>
                <c:pt idx="26">
                  <c:v>-17</c:v>
                </c:pt>
                <c:pt idx="27">
                  <c:v>-15.499072183533563</c:v>
                </c:pt>
                <c:pt idx="28">
                  <c:v>-15.499072183533563</c:v>
                </c:pt>
                <c:pt idx="29">
                  <c:v>-15.499072183533563</c:v>
                </c:pt>
                <c:pt idx="30">
                  <c:v>-14.60163586688383</c:v>
                </c:pt>
                <c:pt idx="31">
                  <c:v>-14.60163586688383</c:v>
                </c:pt>
                <c:pt idx="32">
                  <c:v>-14.60163586688383</c:v>
                </c:pt>
                <c:pt idx="33">
                  <c:v>-14.5</c:v>
                </c:pt>
                <c:pt idx="34">
                  <c:v>-14.5</c:v>
                </c:pt>
                <c:pt idx="35">
                  <c:v>-14.5</c:v>
                </c:pt>
                <c:pt idx="36">
                  <c:v>-14.5</c:v>
                </c:pt>
                <c:pt idx="37">
                  <c:v>-14.5</c:v>
                </c:pt>
                <c:pt idx="38">
                  <c:v>-14.5</c:v>
                </c:pt>
                <c:pt idx="39">
                  <c:v>-14.5</c:v>
                </c:pt>
                <c:pt idx="40">
                  <c:v>-14.5</c:v>
                </c:pt>
                <c:pt idx="41">
                  <c:v>-14.5</c:v>
                </c:pt>
                <c:pt idx="42">
                  <c:v>-14.5</c:v>
                </c:pt>
                <c:pt idx="43">
                  <c:v>-14.5</c:v>
                </c:pt>
                <c:pt idx="44">
                  <c:v>-14.5</c:v>
                </c:pt>
                <c:pt idx="45">
                  <c:v>-14.5</c:v>
                </c:pt>
                <c:pt idx="46">
                  <c:v>-14.5</c:v>
                </c:pt>
                <c:pt idx="47">
                  <c:v>-14.5</c:v>
                </c:pt>
                <c:pt idx="48">
                  <c:v>-14.5</c:v>
                </c:pt>
                <c:pt idx="49">
                  <c:v>-14.5</c:v>
                </c:pt>
                <c:pt idx="50">
                  <c:v>-14.5</c:v>
                </c:pt>
                <c:pt idx="51">
                  <c:v>-14.5</c:v>
                </c:pt>
                <c:pt idx="52">
                  <c:v>-14.5</c:v>
                </c:pt>
                <c:pt idx="53">
                  <c:v>-14.5</c:v>
                </c:pt>
                <c:pt idx="54">
                  <c:v>-14.5</c:v>
                </c:pt>
                <c:pt idx="55">
                  <c:v>-14.5</c:v>
                </c:pt>
                <c:pt idx="56">
                  <c:v>-14.5</c:v>
                </c:pt>
                <c:pt idx="57">
                  <c:v>-14.5</c:v>
                </c:pt>
                <c:pt idx="58">
                  <c:v>-14.5</c:v>
                </c:pt>
                <c:pt idx="59">
                  <c:v>-14.5</c:v>
                </c:pt>
                <c:pt idx="60">
                  <c:v>-14.393219174018933</c:v>
                </c:pt>
                <c:pt idx="61">
                  <c:v>-14.393219174018933</c:v>
                </c:pt>
                <c:pt idx="62">
                  <c:v>-14.393219174018933</c:v>
                </c:pt>
                <c:pt idx="63">
                  <c:v>-13.998144367067118</c:v>
                </c:pt>
                <c:pt idx="64">
                  <c:v>-13.998144367067118</c:v>
                </c:pt>
                <c:pt idx="65">
                  <c:v>-13.998144367067118</c:v>
                </c:pt>
                <c:pt idx="66">
                  <c:v>-13.247680458833893</c:v>
                </c:pt>
                <c:pt idx="67">
                  <c:v>-13.247680458833893</c:v>
                </c:pt>
                <c:pt idx="68">
                  <c:v>-13.247680458833893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-13</c:v>
                </c:pt>
                <c:pt idx="75">
                  <c:v>-13</c:v>
                </c:pt>
                <c:pt idx="76">
                  <c:v>-13</c:v>
                </c:pt>
                <c:pt idx="77">
                  <c:v>-13</c:v>
                </c:pt>
                <c:pt idx="78">
                  <c:v>-13</c:v>
                </c:pt>
                <c:pt idx="79">
                  <c:v>-13</c:v>
                </c:pt>
                <c:pt idx="80">
                  <c:v>-13</c:v>
                </c:pt>
                <c:pt idx="81">
                  <c:v>-13</c:v>
                </c:pt>
                <c:pt idx="82">
                  <c:v>-13</c:v>
                </c:pt>
                <c:pt idx="83">
                  <c:v>-13</c:v>
                </c:pt>
                <c:pt idx="84">
                  <c:v>-13</c:v>
                </c:pt>
                <c:pt idx="85">
                  <c:v>-13</c:v>
                </c:pt>
                <c:pt idx="86">
                  <c:v>-13</c:v>
                </c:pt>
                <c:pt idx="87">
                  <c:v>-13</c:v>
                </c:pt>
                <c:pt idx="88">
                  <c:v>-13</c:v>
                </c:pt>
                <c:pt idx="89">
                  <c:v>-13</c:v>
                </c:pt>
                <c:pt idx="90">
                  <c:v>-13</c:v>
                </c:pt>
                <c:pt idx="91">
                  <c:v>-13</c:v>
                </c:pt>
                <c:pt idx="92">
                  <c:v>-13</c:v>
                </c:pt>
                <c:pt idx="93">
                  <c:v>-13</c:v>
                </c:pt>
                <c:pt idx="94">
                  <c:v>-13</c:v>
                </c:pt>
                <c:pt idx="95">
                  <c:v>-13</c:v>
                </c:pt>
                <c:pt idx="96">
                  <c:v>-12.999072183533562</c:v>
                </c:pt>
                <c:pt idx="97">
                  <c:v>-12.999072183533562</c:v>
                </c:pt>
                <c:pt idx="98">
                  <c:v>-12.999072183533562</c:v>
                </c:pt>
                <c:pt idx="99">
                  <c:v>-12.203271733767659</c:v>
                </c:pt>
                <c:pt idx="100">
                  <c:v>-12.203271733767659</c:v>
                </c:pt>
                <c:pt idx="101">
                  <c:v>-12.203271733767659</c:v>
                </c:pt>
                <c:pt idx="102">
                  <c:v>-12.10163586688383</c:v>
                </c:pt>
                <c:pt idx="103">
                  <c:v>-12.10163586688383</c:v>
                </c:pt>
                <c:pt idx="104">
                  <c:v>-12.10163586688383</c:v>
                </c:pt>
                <c:pt idx="105">
                  <c:v>-11.893219174018935</c:v>
                </c:pt>
                <c:pt idx="106">
                  <c:v>-11.893219174018935</c:v>
                </c:pt>
                <c:pt idx="107">
                  <c:v>-11.893219174018935</c:v>
                </c:pt>
                <c:pt idx="108">
                  <c:v>-11.786438348037867</c:v>
                </c:pt>
                <c:pt idx="109">
                  <c:v>-11.786438348037867</c:v>
                </c:pt>
                <c:pt idx="110">
                  <c:v>-11.786438348037867</c:v>
                </c:pt>
                <c:pt idx="111">
                  <c:v>-11.499072183533562</c:v>
                </c:pt>
                <c:pt idx="112">
                  <c:v>-11.499072183533562</c:v>
                </c:pt>
                <c:pt idx="113">
                  <c:v>-11.499072183533562</c:v>
                </c:pt>
                <c:pt idx="114">
                  <c:v>-11.498144367067116</c:v>
                </c:pt>
                <c:pt idx="115">
                  <c:v>-11.498144367067116</c:v>
                </c:pt>
                <c:pt idx="116">
                  <c:v>-11.498144367067116</c:v>
                </c:pt>
                <c:pt idx="117">
                  <c:v>-11.004089667209579</c:v>
                </c:pt>
                <c:pt idx="118">
                  <c:v>-11.004089667209579</c:v>
                </c:pt>
                <c:pt idx="119">
                  <c:v>-11.004089667209579</c:v>
                </c:pt>
                <c:pt idx="120">
                  <c:v>-10.996288734134236</c:v>
                </c:pt>
                <c:pt idx="121">
                  <c:v>-10.996288734134236</c:v>
                </c:pt>
                <c:pt idx="122">
                  <c:v>-10.996288734134236</c:v>
                </c:pt>
                <c:pt idx="123">
                  <c:v>-10.747680458833893</c:v>
                </c:pt>
                <c:pt idx="124">
                  <c:v>-10.747680458833893</c:v>
                </c:pt>
                <c:pt idx="125">
                  <c:v>-10.747680458833893</c:v>
                </c:pt>
                <c:pt idx="126">
                  <c:v>-10.60163586688383</c:v>
                </c:pt>
                <c:pt idx="127">
                  <c:v>-10.60163586688383</c:v>
                </c:pt>
                <c:pt idx="128">
                  <c:v>-10.60163586688383</c:v>
                </c:pt>
                <c:pt idx="129">
                  <c:v>-10.483047935047331</c:v>
                </c:pt>
                <c:pt idx="130">
                  <c:v>-10.483047935047331</c:v>
                </c:pt>
                <c:pt idx="131">
                  <c:v>-10.483047935047331</c:v>
                </c:pt>
                <c:pt idx="132">
                  <c:v>-10.393219174018935</c:v>
                </c:pt>
                <c:pt idx="133">
                  <c:v>-10.393219174018935</c:v>
                </c:pt>
                <c:pt idx="134">
                  <c:v>-10.393219174018935</c:v>
                </c:pt>
                <c:pt idx="135">
                  <c:v>-9.9981443670671162</c:v>
                </c:pt>
                <c:pt idx="136">
                  <c:v>-9.9981443670671162</c:v>
                </c:pt>
                <c:pt idx="137">
                  <c:v>-9.9981443670671162</c:v>
                </c:pt>
                <c:pt idx="138">
                  <c:v>-9.7032717337676591</c:v>
                </c:pt>
                <c:pt idx="139">
                  <c:v>-9.7032717337676591</c:v>
                </c:pt>
                <c:pt idx="140">
                  <c:v>-9.7032717337676591</c:v>
                </c:pt>
                <c:pt idx="141">
                  <c:v>-9.495360917667794</c:v>
                </c:pt>
                <c:pt idx="142">
                  <c:v>-9.495360917667794</c:v>
                </c:pt>
                <c:pt idx="143">
                  <c:v>-9.495360917667794</c:v>
                </c:pt>
                <c:pt idx="144">
                  <c:v>-9.4953609176677851</c:v>
                </c:pt>
                <c:pt idx="145">
                  <c:v>-9.4953609176677851</c:v>
                </c:pt>
                <c:pt idx="146">
                  <c:v>-9.4953609176677851</c:v>
                </c:pt>
                <c:pt idx="147">
                  <c:v>-9.2864383480378674</c:v>
                </c:pt>
                <c:pt idx="148">
                  <c:v>-9.2864383480378674</c:v>
                </c:pt>
                <c:pt idx="149">
                  <c:v>-9.2864383480378674</c:v>
                </c:pt>
                <c:pt idx="150">
                  <c:v>-9.2476804588338926</c:v>
                </c:pt>
                <c:pt idx="151">
                  <c:v>-9.2476804588338926</c:v>
                </c:pt>
                <c:pt idx="152">
                  <c:v>-9.2476804588338926</c:v>
                </c:pt>
                <c:pt idx="153">
                  <c:v>-8.7448970094345775</c:v>
                </c:pt>
                <c:pt idx="154">
                  <c:v>-8.7448970094345775</c:v>
                </c:pt>
                <c:pt idx="155">
                  <c:v>-8.7448970094345775</c:v>
                </c:pt>
                <c:pt idx="156">
                  <c:v>-8.5040896672095787</c:v>
                </c:pt>
                <c:pt idx="157">
                  <c:v>-8.5040896672095787</c:v>
                </c:pt>
                <c:pt idx="158">
                  <c:v>-8.5040896672095787</c:v>
                </c:pt>
                <c:pt idx="159">
                  <c:v>-8.4962887341342359</c:v>
                </c:pt>
                <c:pt idx="160">
                  <c:v>-8.4962887341342359</c:v>
                </c:pt>
                <c:pt idx="161">
                  <c:v>-8.4962887341342359</c:v>
                </c:pt>
                <c:pt idx="162">
                  <c:v>-8.2032717337676591</c:v>
                </c:pt>
                <c:pt idx="163">
                  <c:v>-8.2032717337676591</c:v>
                </c:pt>
                <c:pt idx="164">
                  <c:v>-8.2032717337676591</c:v>
                </c:pt>
                <c:pt idx="165">
                  <c:v>-7.9944331012013539</c:v>
                </c:pt>
                <c:pt idx="166">
                  <c:v>-7.9944331012013539</c:v>
                </c:pt>
                <c:pt idx="167">
                  <c:v>-7.9944331012013539</c:v>
                </c:pt>
                <c:pt idx="168">
                  <c:v>-7.9830479350473311</c:v>
                </c:pt>
                <c:pt idx="169">
                  <c:v>-7.9830479350473311</c:v>
                </c:pt>
                <c:pt idx="170">
                  <c:v>-7.9830479350473311</c:v>
                </c:pt>
                <c:pt idx="171">
                  <c:v>-7.7864383480378674</c:v>
                </c:pt>
                <c:pt idx="172">
                  <c:v>-7.7864383480378674</c:v>
                </c:pt>
                <c:pt idx="173">
                  <c:v>-7.7864383480378674</c:v>
                </c:pt>
                <c:pt idx="174">
                  <c:v>-7.4065434675353199</c:v>
                </c:pt>
                <c:pt idx="175">
                  <c:v>-7.4065434675353199</c:v>
                </c:pt>
                <c:pt idx="176">
                  <c:v>-7.4065434675353199</c:v>
                </c:pt>
                <c:pt idx="177">
                  <c:v>-7.0040896672095787</c:v>
                </c:pt>
                <c:pt idx="178">
                  <c:v>-7.0040896672095787</c:v>
                </c:pt>
                <c:pt idx="179">
                  <c:v>-7.0040896672095787</c:v>
                </c:pt>
                <c:pt idx="180">
                  <c:v>-6.9962887341342359</c:v>
                </c:pt>
                <c:pt idx="181">
                  <c:v>-6.9962887341342359</c:v>
                </c:pt>
                <c:pt idx="182">
                  <c:v>-6.9962887341342359</c:v>
                </c:pt>
                <c:pt idx="183">
                  <c:v>-6.995360917667794</c:v>
                </c:pt>
                <c:pt idx="184">
                  <c:v>-6.995360917667794</c:v>
                </c:pt>
                <c:pt idx="185">
                  <c:v>-6.995360917667794</c:v>
                </c:pt>
                <c:pt idx="186">
                  <c:v>-6.995360917667786</c:v>
                </c:pt>
                <c:pt idx="187">
                  <c:v>-6.995360917667786</c:v>
                </c:pt>
                <c:pt idx="188">
                  <c:v>-6.995360917667786</c:v>
                </c:pt>
                <c:pt idx="189">
                  <c:v>-6.5728766960757419</c:v>
                </c:pt>
                <c:pt idx="190">
                  <c:v>-6.5728766960757419</c:v>
                </c:pt>
                <c:pt idx="191">
                  <c:v>-6.5728766960757419</c:v>
                </c:pt>
                <c:pt idx="192">
                  <c:v>-6.4935052847349111</c:v>
                </c:pt>
                <c:pt idx="193">
                  <c:v>-6.4935052847349111</c:v>
                </c:pt>
                <c:pt idx="194">
                  <c:v>-6.4935052847349111</c:v>
                </c:pt>
                <c:pt idx="195">
                  <c:v>-6.4830479350473311</c:v>
                </c:pt>
                <c:pt idx="196">
                  <c:v>-6.4830479350473311</c:v>
                </c:pt>
                <c:pt idx="197">
                  <c:v>-6.4830479350473311</c:v>
                </c:pt>
                <c:pt idx="198">
                  <c:v>-6.2448970094345793</c:v>
                </c:pt>
                <c:pt idx="199">
                  <c:v>-6.2448970094345793</c:v>
                </c:pt>
                <c:pt idx="200">
                  <c:v>-6.2448970094345793</c:v>
                </c:pt>
                <c:pt idx="201">
                  <c:v>-5.495360917667794</c:v>
                </c:pt>
                <c:pt idx="202">
                  <c:v>-5.495360917667794</c:v>
                </c:pt>
                <c:pt idx="203">
                  <c:v>-5.495360917667794</c:v>
                </c:pt>
                <c:pt idx="204">
                  <c:v>-5.4953609176677878</c:v>
                </c:pt>
                <c:pt idx="205">
                  <c:v>-5.4953609176677878</c:v>
                </c:pt>
                <c:pt idx="206">
                  <c:v>-5.4953609176677878</c:v>
                </c:pt>
                <c:pt idx="207">
                  <c:v>-5.4944331012013539</c:v>
                </c:pt>
                <c:pt idx="208">
                  <c:v>-5.4944331012013539</c:v>
                </c:pt>
                <c:pt idx="209">
                  <c:v>-5.4944331012013539</c:v>
                </c:pt>
                <c:pt idx="210">
                  <c:v>-5.0596113222263472</c:v>
                </c:pt>
                <c:pt idx="211">
                  <c:v>-5.0596113222263472</c:v>
                </c:pt>
                <c:pt idx="212">
                  <c:v>-5.0596113222263472</c:v>
                </c:pt>
                <c:pt idx="213">
                  <c:v>-5.0596113222263472</c:v>
                </c:pt>
                <c:pt idx="214">
                  <c:v>-5.0596113222263472</c:v>
                </c:pt>
                <c:pt idx="215">
                  <c:v>-5.0596113222263472</c:v>
                </c:pt>
                <c:pt idx="216">
                  <c:v>-4.9925774682684709</c:v>
                </c:pt>
                <c:pt idx="217">
                  <c:v>-4.9925774682684709</c:v>
                </c:pt>
                <c:pt idx="218">
                  <c:v>-4.9925774682684709</c:v>
                </c:pt>
                <c:pt idx="219">
                  <c:v>-4.9065434675353217</c:v>
                </c:pt>
                <c:pt idx="220">
                  <c:v>-4.9065434675353217</c:v>
                </c:pt>
                <c:pt idx="221">
                  <c:v>-4.9065434675353217</c:v>
                </c:pt>
                <c:pt idx="222">
                  <c:v>-4.7448970094345793</c:v>
                </c:pt>
                <c:pt idx="223">
                  <c:v>-4.7448970094345793</c:v>
                </c:pt>
                <c:pt idx="224">
                  <c:v>-4.7448970094345793</c:v>
                </c:pt>
                <c:pt idx="225">
                  <c:v>-4.4294892017680674</c:v>
                </c:pt>
                <c:pt idx="226">
                  <c:v>-4.4294892017680674</c:v>
                </c:pt>
                <c:pt idx="227">
                  <c:v>-4.4294892017680674</c:v>
                </c:pt>
                <c:pt idx="228">
                  <c:v>-4.3446050569387502</c:v>
                </c:pt>
                <c:pt idx="229">
                  <c:v>-4.3446050569387502</c:v>
                </c:pt>
                <c:pt idx="230">
                  <c:v>-4.3446050569387502</c:v>
                </c:pt>
                <c:pt idx="231">
                  <c:v>-4.3446050569387475</c:v>
                </c:pt>
                <c:pt idx="232">
                  <c:v>-4.3446050569387475</c:v>
                </c:pt>
                <c:pt idx="233">
                  <c:v>-4.3446050569387475</c:v>
                </c:pt>
                <c:pt idx="234">
                  <c:v>-4.2045988987920433</c:v>
                </c:pt>
                <c:pt idx="235">
                  <c:v>-4.2045988987920433</c:v>
                </c:pt>
                <c:pt idx="236">
                  <c:v>-4.2045988987920433</c:v>
                </c:pt>
                <c:pt idx="237">
                  <c:v>-4.1171713473951597</c:v>
                </c:pt>
                <c:pt idx="238">
                  <c:v>-4.1171713473951597</c:v>
                </c:pt>
                <c:pt idx="239">
                  <c:v>-4.1171713473951597</c:v>
                </c:pt>
                <c:pt idx="240">
                  <c:v>-3.9944331012013521</c:v>
                </c:pt>
                <c:pt idx="241">
                  <c:v>-3.9944331012013521</c:v>
                </c:pt>
                <c:pt idx="242">
                  <c:v>-3.9944331012013521</c:v>
                </c:pt>
                <c:pt idx="243">
                  <c:v>-3.9935052847349115</c:v>
                </c:pt>
                <c:pt idx="244">
                  <c:v>-3.9935052847349115</c:v>
                </c:pt>
                <c:pt idx="245">
                  <c:v>-3.9935052847349115</c:v>
                </c:pt>
                <c:pt idx="246">
                  <c:v>-3.6925488061003531</c:v>
                </c:pt>
                <c:pt idx="247">
                  <c:v>-3.6925488061003531</c:v>
                </c:pt>
                <c:pt idx="248">
                  <c:v>-3.6925488061003531</c:v>
                </c:pt>
                <c:pt idx="249">
                  <c:v>-3.5617458222870511</c:v>
                </c:pt>
                <c:pt idx="250">
                  <c:v>-3.5617458222870511</c:v>
                </c:pt>
                <c:pt idx="251">
                  <c:v>-3.5617458222870511</c:v>
                </c:pt>
                <c:pt idx="252">
                  <c:v>-3.3325607143886926</c:v>
                </c:pt>
                <c:pt idx="253">
                  <c:v>-3.3325607143886926</c:v>
                </c:pt>
                <c:pt idx="254">
                  <c:v>-3.3325607143886926</c:v>
                </c:pt>
                <c:pt idx="255">
                  <c:v>-3.0420332032869952</c:v>
                </c:pt>
                <c:pt idx="256">
                  <c:v>-3.0420332032869952</c:v>
                </c:pt>
                <c:pt idx="257">
                  <c:v>-3.0420332032869952</c:v>
                </c:pt>
                <c:pt idx="258">
                  <c:v>-3.0420332032869939</c:v>
                </c:pt>
                <c:pt idx="259">
                  <c:v>-3.0420332032869939</c:v>
                </c:pt>
                <c:pt idx="260">
                  <c:v>-3.0420332032869939</c:v>
                </c:pt>
                <c:pt idx="261">
                  <c:v>-2.9900607231347447</c:v>
                </c:pt>
                <c:pt idx="262">
                  <c:v>-2.9900607231347447</c:v>
                </c:pt>
                <c:pt idx="263">
                  <c:v>-2.9900607231347447</c:v>
                </c:pt>
                <c:pt idx="264">
                  <c:v>-2.7917339750834369</c:v>
                </c:pt>
                <c:pt idx="265">
                  <c:v>-2.7917339750834369</c:v>
                </c:pt>
                <c:pt idx="266">
                  <c:v>-2.7917339750834369</c:v>
                </c:pt>
                <c:pt idx="267">
                  <c:v>-2.6920034286358208</c:v>
                </c:pt>
                <c:pt idx="268">
                  <c:v>-2.6920034286358208</c:v>
                </c:pt>
                <c:pt idx="269">
                  <c:v>-2.6920034286358208</c:v>
                </c:pt>
                <c:pt idx="270">
                  <c:v>-2.5956324169788907</c:v>
                </c:pt>
                <c:pt idx="271">
                  <c:v>-2.5956324169788907</c:v>
                </c:pt>
                <c:pt idx="272">
                  <c:v>-2.5956324169788907</c:v>
                </c:pt>
                <c:pt idx="273">
                  <c:v>-2.4983465249789889</c:v>
                </c:pt>
                <c:pt idx="274">
                  <c:v>-2.4983465249789889</c:v>
                </c:pt>
                <c:pt idx="275">
                  <c:v>-2.4983465249789889</c:v>
                </c:pt>
                <c:pt idx="276">
                  <c:v>-2.4298072441115979</c:v>
                </c:pt>
                <c:pt idx="277">
                  <c:v>-2.4298072441115979</c:v>
                </c:pt>
                <c:pt idx="278">
                  <c:v>-2.4298072441115979</c:v>
                </c:pt>
                <c:pt idx="279">
                  <c:v>-2.3468547121122434</c:v>
                </c:pt>
                <c:pt idx="280">
                  <c:v>-2.3468547121122434</c:v>
                </c:pt>
                <c:pt idx="281">
                  <c:v>-2.3468547121122434</c:v>
                </c:pt>
                <c:pt idx="282">
                  <c:v>-2.3468547121122407</c:v>
                </c:pt>
                <c:pt idx="283">
                  <c:v>-2.3468547121122407</c:v>
                </c:pt>
                <c:pt idx="284">
                  <c:v>-2.3468547121122407</c:v>
                </c:pt>
                <c:pt idx="285">
                  <c:v>-2.127715838674793</c:v>
                </c:pt>
                <c:pt idx="286">
                  <c:v>-2.127715838674793</c:v>
                </c:pt>
                <c:pt idx="287">
                  <c:v>-2.127715838674793</c:v>
                </c:pt>
                <c:pt idx="288">
                  <c:v>-1.849986467453121</c:v>
                </c:pt>
                <c:pt idx="289">
                  <c:v>-1.849986467453121</c:v>
                </c:pt>
                <c:pt idx="290">
                  <c:v>-1.849986467453121</c:v>
                </c:pt>
                <c:pt idx="291">
                  <c:v>-1.8499864674531208</c:v>
                </c:pt>
                <c:pt idx="292">
                  <c:v>-1.8499864674531208</c:v>
                </c:pt>
                <c:pt idx="293">
                  <c:v>-1.8499864674531208</c:v>
                </c:pt>
                <c:pt idx="294">
                  <c:v>-1.7109222562879141</c:v>
                </c:pt>
                <c:pt idx="295">
                  <c:v>-1.7109222562879141</c:v>
                </c:pt>
                <c:pt idx="296">
                  <c:v>-1.7109222562879141</c:v>
                </c:pt>
                <c:pt idx="297">
                  <c:v>-1.6520230774009681</c:v>
                </c:pt>
                <c:pt idx="298">
                  <c:v>-1.6520230774009681</c:v>
                </c:pt>
                <c:pt idx="299">
                  <c:v>-1.6520230774009681</c:v>
                </c:pt>
                <c:pt idx="300">
                  <c:v>-1.607294633344857</c:v>
                </c:pt>
                <c:pt idx="301">
                  <c:v>-1.607294633344857</c:v>
                </c:pt>
                <c:pt idx="302">
                  <c:v>-1.607294633344857</c:v>
                </c:pt>
                <c:pt idx="303">
                  <c:v>-1.5290406772738361</c:v>
                </c:pt>
                <c:pt idx="304">
                  <c:v>-1.5290406772738361</c:v>
                </c:pt>
                <c:pt idx="305">
                  <c:v>-1.5290406772738361</c:v>
                </c:pt>
                <c:pt idx="306">
                  <c:v>-1.3604288056436586</c:v>
                </c:pt>
                <c:pt idx="307">
                  <c:v>-1.3604288056436586</c:v>
                </c:pt>
                <c:pt idx="308">
                  <c:v>-1.3604288056436586</c:v>
                </c:pt>
                <c:pt idx="309">
                  <c:v>-1.2545834449263205</c:v>
                </c:pt>
                <c:pt idx="310">
                  <c:v>-1.2545834449263205</c:v>
                </c:pt>
                <c:pt idx="311">
                  <c:v>-1.2545834449263205</c:v>
                </c:pt>
                <c:pt idx="312">
                  <c:v>-1.1677106800845569</c:v>
                </c:pt>
                <c:pt idx="313">
                  <c:v>-1.1677106800845569</c:v>
                </c:pt>
                <c:pt idx="314">
                  <c:v>-1.1677106800845569</c:v>
                </c:pt>
                <c:pt idx="315">
                  <c:v>-1.1677106800845551</c:v>
                </c:pt>
                <c:pt idx="316">
                  <c:v>-1.1677106800845551</c:v>
                </c:pt>
                <c:pt idx="317">
                  <c:v>-1.1677106800845551</c:v>
                </c:pt>
                <c:pt idx="318">
                  <c:v>-0.96030536397420951</c:v>
                </c:pt>
                <c:pt idx="319">
                  <c:v>-0.96030536397420951</c:v>
                </c:pt>
                <c:pt idx="320">
                  <c:v>-0.96030536397420951</c:v>
                </c:pt>
                <c:pt idx="321">
                  <c:v>-0.7008665723579155</c:v>
                </c:pt>
                <c:pt idx="322">
                  <c:v>-0.7008665723579155</c:v>
                </c:pt>
                <c:pt idx="323">
                  <c:v>-0.7008665723579155</c:v>
                </c:pt>
                <c:pt idx="324">
                  <c:v>-0.65748311961275752</c:v>
                </c:pt>
                <c:pt idx="325">
                  <c:v>-0.65748311961275752</c:v>
                </c:pt>
                <c:pt idx="326">
                  <c:v>-0.65748311961275752</c:v>
                </c:pt>
                <c:pt idx="327">
                  <c:v>-0.5537080305622587</c:v>
                </c:pt>
                <c:pt idx="328">
                  <c:v>-0.5537080305622587</c:v>
                </c:pt>
                <c:pt idx="329">
                  <c:v>-0.5537080305622587</c:v>
                </c:pt>
                <c:pt idx="330">
                  <c:v>-0.54515180132103835</c:v>
                </c:pt>
                <c:pt idx="331">
                  <c:v>-0.54515180132103835</c:v>
                </c:pt>
                <c:pt idx="332">
                  <c:v>-0.54515180132103835</c:v>
                </c:pt>
                <c:pt idx="333">
                  <c:v>-0.19301833094307452</c:v>
                </c:pt>
                <c:pt idx="334">
                  <c:v>-0.19301833094307452</c:v>
                </c:pt>
                <c:pt idx="335">
                  <c:v>-0.19301833094307452</c:v>
                </c:pt>
                <c:pt idx="336">
                  <c:v>-3.3973102100479657E-3</c:v>
                </c:pt>
                <c:pt idx="337">
                  <c:v>-3.3973102100479657E-3</c:v>
                </c:pt>
                <c:pt idx="338">
                  <c:v>-3.3973102100479657E-3</c:v>
                </c:pt>
                <c:pt idx="339">
                  <c:v>3.3748584991527442E-2</c:v>
                </c:pt>
                <c:pt idx="340">
                  <c:v>3.3748584991527442E-2</c:v>
                </c:pt>
                <c:pt idx="341">
                  <c:v>3.3748584991527442E-2</c:v>
                </c:pt>
                <c:pt idx="342">
                  <c:v>0.28222818173536612</c:v>
                </c:pt>
                <c:pt idx="343">
                  <c:v>0.28222818173536612</c:v>
                </c:pt>
                <c:pt idx="344">
                  <c:v>0.28222818173536612</c:v>
                </c:pt>
                <c:pt idx="345">
                  <c:v>0.37820513723450122</c:v>
                </c:pt>
                <c:pt idx="346">
                  <c:v>0.37820513723450122</c:v>
                </c:pt>
                <c:pt idx="347">
                  <c:v>0.37820513723450122</c:v>
                </c:pt>
                <c:pt idx="348">
                  <c:v>0.47861892205448392</c:v>
                </c:pt>
                <c:pt idx="349">
                  <c:v>0.47861892205448392</c:v>
                </c:pt>
                <c:pt idx="350">
                  <c:v>0.47861892205448392</c:v>
                </c:pt>
                <c:pt idx="351">
                  <c:v>0.60805662147890094</c:v>
                </c:pt>
                <c:pt idx="352">
                  <c:v>0.60805662147890094</c:v>
                </c:pt>
                <c:pt idx="353">
                  <c:v>0.60805662147890094</c:v>
                </c:pt>
                <c:pt idx="354">
                  <c:v>1.0642540092333412</c:v>
                </c:pt>
                <c:pt idx="355">
                  <c:v>1.0642540092333412</c:v>
                </c:pt>
                <c:pt idx="356">
                  <c:v>1.0642540092333412</c:v>
                </c:pt>
                <c:pt idx="357">
                  <c:v>1.2164230862483281</c:v>
                </c:pt>
                <c:pt idx="358">
                  <c:v>1.2164230862483281</c:v>
                </c:pt>
                <c:pt idx="359">
                  <c:v>1.2164230862483281</c:v>
                </c:pt>
                <c:pt idx="360">
                  <c:v>1.4230314944119988</c:v>
                </c:pt>
                <c:pt idx="361">
                  <c:v>1.4230314944119988</c:v>
                </c:pt>
                <c:pt idx="362">
                  <c:v>1.4230314944119988</c:v>
                </c:pt>
                <c:pt idx="363">
                  <c:v>1.4902727149252621</c:v>
                </c:pt>
                <c:pt idx="364">
                  <c:v>1.4902727149252621</c:v>
                </c:pt>
                <c:pt idx="365">
                  <c:v>1.4902727149252621</c:v>
                </c:pt>
                <c:pt idx="366">
                  <c:v>1.6123160523055924</c:v>
                </c:pt>
                <c:pt idx="367">
                  <c:v>1.6123160523055924</c:v>
                </c:pt>
                <c:pt idx="368">
                  <c:v>1.6123160523055924</c:v>
                </c:pt>
                <c:pt idx="369">
                  <c:v>1.8956858265406606</c:v>
                </c:pt>
                <c:pt idx="370">
                  <c:v>1.8956858265406606</c:v>
                </c:pt>
                <c:pt idx="371">
                  <c:v>1.8956858265406606</c:v>
                </c:pt>
                <c:pt idx="372">
                  <c:v>1.8979415442510021</c:v>
                </c:pt>
                <c:pt idx="373">
                  <c:v>1.8979415442510021</c:v>
                </c:pt>
                <c:pt idx="374">
                  <c:v>1.8979415442510021</c:v>
                </c:pt>
                <c:pt idx="375">
                  <c:v>2.3540494624909964</c:v>
                </c:pt>
                <c:pt idx="376">
                  <c:v>2.3540494624909964</c:v>
                </c:pt>
                <c:pt idx="377">
                  <c:v>2.3540494624909964</c:v>
                </c:pt>
                <c:pt idx="378">
                  <c:v>2.5713743458996654</c:v>
                </c:pt>
                <c:pt idx="379">
                  <c:v>2.5713743458996654</c:v>
                </c:pt>
                <c:pt idx="380">
                  <c:v>2.5713743458996654</c:v>
                </c:pt>
                <c:pt idx="381">
                  <c:v>2.813423786679401</c:v>
                </c:pt>
                <c:pt idx="382">
                  <c:v>2.813423786679401</c:v>
                </c:pt>
                <c:pt idx="383">
                  <c:v>2.813423786679401</c:v>
                </c:pt>
                <c:pt idx="384">
                  <c:v>2.9551202375351329</c:v>
                </c:pt>
                <c:pt idx="385">
                  <c:v>2.9551202375351329</c:v>
                </c:pt>
                <c:pt idx="386">
                  <c:v>2.9551202375351329</c:v>
                </c:pt>
                <c:pt idx="387">
                  <c:v>2.9841941874053277</c:v>
                </c:pt>
                <c:pt idx="388">
                  <c:v>2.9841941874053277</c:v>
                </c:pt>
                <c:pt idx="389">
                  <c:v>2.9841941874053277</c:v>
                </c:pt>
                <c:pt idx="390">
                  <c:v>3.0137144708029968</c:v>
                </c:pt>
                <c:pt idx="391">
                  <c:v>3.0137144708029968</c:v>
                </c:pt>
                <c:pt idx="392">
                  <c:v>3.0137144708029968</c:v>
                </c:pt>
                <c:pt idx="393">
                  <c:v>3.2111092996583683</c:v>
                </c:pt>
                <c:pt idx="394">
                  <c:v>3.2111092996583683</c:v>
                </c:pt>
                <c:pt idx="395">
                  <c:v>3.2111092996583683</c:v>
                </c:pt>
                <c:pt idx="396">
                  <c:v>3.483101077794271</c:v>
                </c:pt>
                <c:pt idx="397">
                  <c:v>3.483101077794271</c:v>
                </c:pt>
                <c:pt idx="398">
                  <c:v>3.483101077794271</c:v>
                </c:pt>
                <c:pt idx="399">
                  <c:v>4.0671878152258945</c:v>
                </c:pt>
                <c:pt idx="400">
                  <c:v>4.0671878152258945</c:v>
                </c:pt>
                <c:pt idx="401">
                  <c:v>4.0671878152258945</c:v>
                </c:pt>
                <c:pt idx="402">
                  <c:v>4.3235231091175752</c:v>
                </c:pt>
                <c:pt idx="403">
                  <c:v>4.3235231091175752</c:v>
                </c:pt>
                <c:pt idx="404">
                  <c:v>4.3235231091175752</c:v>
                </c:pt>
                <c:pt idx="405">
                  <c:v>4.373790546417478</c:v>
                </c:pt>
                <c:pt idx="406">
                  <c:v>4.373790546417478</c:v>
                </c:pt>
                <c:pt idx="407">
                  <c:v>4.373790546417478</c:v>
                </c:pt>
                <c:pt idx="408">
                  <c:v>4.5279509801869846</c:v>
                </c:pt>
                <c:pt idx="409">
                  <c:v>4.5279509801869846</c:v>
                </c:pt>
                <c:pt idx="410">
                  <c:v>4.5279509801869846</c:v>
                </c:pt>
                <c:pt idx="411">
                  <c:v>4.5951686554850308</c:v>
                </c:pt>
                <c:pt idx="412">
                  <c:v>4.5951686554850308</c:v>
                </c:pt>
                <c:pt idx="413">
                  <c:v>4.5951686554850308</c:v>
                </c:pt>
                <c:pt idx="414">
                  <c:v>4.6682585902700255</c:v>
                </c:pt>
                <c:pt idx="415">
                  <c:v>4.6682585902700255</c:v>
                </c:pt>
                <c:pt idx="416">
                  <c:v>4.6682585902700255</c:v>
                </c:pt>
                <c:pt idx="417">
                  <c:v>4.8723522556397576</c:v>
                </c:pt>
                <c:pt idx="418">
                  <c:v>4.8723522556397576</c:v>
                </c:pt>
                <c:pt idx="419">
                  <c:v>4.8723522556397576</c:v>
                </c:pt>
                <c:pt idx="420">
                  <c:v>5.0426982494922781</c:v>
                </c:pt>
                <c:pt idx="421">
                  <c:v>5.0426982494922781</c:v>
                </c:pt>
                <c:pt idx="422">
                  <c:v>5.0426982494922781</c:v>
                </c:pt>
                <c:pt idx="423">
                  <c:v>5.0645552624763033</c:v>
                </c:pt>
                <c:pt idx="424">
                  <c:v>5.0645552624763033</c:v>
                </c:pt>
                <c:pt idx="425">
                  <c:v>5.0645552624763033</c:v>
                </c:pt>
                <c:pt idx="426">
                  <c:v>5.4344442763823277</c:v>
                </c:pt>
                <c:pt idx="427">
                  <c:v>5.4344442763823277</c:v>
                </c:pt>
                <c:pt idx="428">
                  <c:v>5.4344442763823277</c:v>
                </c:pt>
                <c:pt idx="429">
                  <c:v>5.7706930533776735</c:v>
                </c:pt>
                <c:pt idx="430">
                  <c:v>5.7706930533776735</c:v>
                </c:pt>
                <c:pt idx="431">
                  <c:v>5.7706930533776735</c:v>
                </c:pt>
                <c:pt idx="432">
                  <c:v>6.1481362377391306</c:v>
                </c:pt>
                <c:pt idx="433">
                  <c:v>6.1481362377391306</c:v>
                </c:pt>
                <c:pt idx="434">
                  <c:v>6.1481362377391306</c:v>
                </c:pt>
                <c:pt idx="435">
                  <c:v>6.1497717551027478</c:v>
                </c:pt>
                <c:pt idx="436">
                  <c:v>6.1497717551027478</c:v>
                </c:pt>
                <c:pt idx="437">
                  <c:v>6.1497717551027478</c:v>
                </c:pt>
                <c:pt idx="438">
                  <c:v>6.3718429117564508</c:v>
                </c:pt>
                <c:pt idx="439">
                  <c:v>6.3718429117564508</c:v>
                </c:pt>
                <c:pt idx="440">
                  <c:v>6.3718429117564508</c:v>
                </c:pt>
                <c:pt idx="441">
                  <c:v>6.6852886767591286</c:v>
                </c:pt>
                <c:pt idx="442">
                  <c:v>6.6852886767591286</c:v>
                </c:pt>
                <c:pt idx="443">
                  <c:v>6.6852886767591286</c:v>
                </c:pt>
                <c:pt idx="444">
                  <c:v>6.8057474880542728</c:v>
                </c:pt>
                <c:pt idx="445">
                  <c:v>6.8057474880542728</c:v>
                </c:pt>
                <c:pt idx="446">
                  <c:v>6.8057474880542728</c:v>
                </c:pt>
                <c:pt idx="447">
                  <c:v>7.1446538052209014</c:v>
                </c:pt>
                <c:pt idx="448">
                  <c:v>7.1446538052209014</c:v>
                </c:pt>
                <c:pt idx="449">
                  <c:v>7.1446538052209014</c:v>
                </c:pt>
                <c:pt idx="450">
                  <c:v>7.2308047390087697</c:v>
                </c:pt>
                <c:pt idx="451">
                  <c:v>7.2308047390087697</c:v>
                </c:pt>
                <c:pt idx="452">
                  <c:v>7.2308047390087697</c:v>
                </c:pt>
                <c:pt idx="453">
                  <c:v>7.4528758956624728</c:v>
                </c:pt>
                <c:pt idx="454">
                  <c:v>7.4528758956624728</c:v>
                </c:pt>
                <c:pt idx="455">
                  <c:v>7.4528758956624728</c:v>
                </c:pt>
                <c:pt idx="456">
                  <c:v>7.4787069513138844</c:v>
                </c:pt>
                <c:pt idx="457">
                  <c:v>7.4787069513138844</c:v>
                </c:pt>
                <c:pt idx="458">
                  <c:v>7.4787069513138844</c:v>
                </c:pt>
                <c:pt idx="459">
                  <c:v>7.7663216606651506</c:v>
                </c:pt>
                <c:pt idx="460">
                  <c:v>7.7663216606651506</c:v>
                </c:pt>
                <c:pt idx="461">
                  <c:v>7.7663216606651506</c:v>
                </c:pt>
                <c:pt idx="462">
                  <c:v>7.853263110672775</c:v>
                </c:pt>
                <c:pt idx="463">
                  <c:v>7.853263110672775</c:v>
                </c:pt>
                <c:pt idx="464">
                  <c:v>7.853263110672775</c:v>
                </c:pt>
                <c:pt idx="465">
                  <c:v>8.7755783776250844</c:v>
                </c:pt>
                <c:pt idx="466">
                  <c:v>8.7755783776250844</c:v>
                </c:pt>
                <c:pt idx="467">
                  <c:v>8.7755783776250844</c:v>
                </c:pt>
                <c:pt idx="468">
                  <c:v>8.9463754450642696</c:v>
                </c:pt>
                <c:pt idx="469">
                  <c:v>8.9463754450642696</c:v>
                </c:pt>
                <c:pt idx="470">
                  <c:v>8.9463754450642696</c:v>
                </c:pt>
                <c:pt idx="471">
                  <c:v>9.224566322344721</c:v>
                </c:pt>
                <c:pt idx="472">
                  <c:v>9.224566322344721</c:v>
                </c:pt>
                <c:pt idx="473">
                  <c:v>9.224566322344721</c:v>
                </c:pt>
                <c:pt idx="474">
                  <c:v>9.4137620187462474</c:v>
                </c:pt>
                <c:pt idx="475">
                  <c:v>9.4137620187462474</c:v>
                </c:pt>
                <c:pt idx="476">
                  <c:v>9.4137620187462474</c:v>
                </c:pt>
                <c:pt idx="477">
                  <c:v>9.8975257856043335</c:v>
                </c:pt>
                <c:pt idx="478">
                  <c:v>9.8975257856043335</c:v>
                </c:pt>
                <c:pt idx="479">
                  <c:v>9.8975257856043335</c:v>
                </c:pt>
                <c:pt idx="480">
                  <c:v>10.007860615072559</c:v>
                </c:pt>
                <c:pt idx="481">
                  <c:v>10.007860615072559</c:v>
                </c:pt>
                <c:pt idx="482">
                  <c:v>10.007860615072559</c:v>
                </c:pt>
                <c:pt idx="483">
                  <c:v>10.24161466355287</c:v>
                </c:pt>
                <c:pt idx="484">
                  <c:v>10.24161466355287</c:v>
                </c:pt>
                <c:pt idx="485">
                  <c:v>10.24161466355287</c:v>
                </c:pt>
                <c:pt idx="486">
                  <c:v>10.577300017468453</c:v>
                </c:pt>
                <c:pt idx="487">
                  <c:v>10.577300017468453</c:v>
                </c:pt>
                <c:pt idx="488">
                  <c:v>10.577300017468453</c:v>
                </c:pt>
                <c:pt idx="489">
                  <c:v>11.023925996452062</c:v>
                </c:pt>
                <c:pt idx="490">
                  <c:v>11.023925996452062</c:v>
                </c:pt>
                <c:pt idx="491">
                  <c:v>11.023925996452062</c:v>
                </c:pt>
                <c:pt idx="492">
                  <c:v>11.130933880251099</c:v>
                </c:pt>
                <c:pt idx="493">
                  <c:v>11.130933880251099</c:v>
                </c:pt>
                <c:pt idx="494">
                  <c:v>11.130933880251099</c:v>
                </c:pt>
                <c:pt idx="495">
                  <c:v>11.606092902532644</c:v>
                </c:pt>
                <c:pt idx="496">
                  <c:v>11.606092902532644</c:v>
                </c:pt>
                <c:pt idx="497">
                  <c:v>11.606092902532644</c:v>
                </c:pt>
                <c:pt idx="498">
                  <c:v>11.629485097309161</c:v>
                </c:pt>
                <c:pt idx="499">
                  <c:v>11.629485097309161</c:v>
                </c:pt>
                <c:pt idx="500">
                  <c:v>11.629485097309161</c:v>
                </c:pt>
                <c:pt idx="501">
                  <c:v>12.142250752679082</c:v>
                </c:pt>
                <c:pt idx="502">
                  <c:v>12.142250752679082</c:v>
                </c:pt>
                <c:pt idx="503">
                  <c:v>12.142250752679082</c:v>
                </c:pt>
                <c:pt idx="504">
                  <c:v>12.617409774960631</c:v>
                </c:pt>
                <c:pt idx="505">
                  <c:v>12.617409774960631</c:v>
                </c:pt>
                <c:pt idx="506">
                  <c:v>12.617409774960631</c:v>
                </c:pt>
                <c:pt idx="507">
                  <c:v>12.777610861340639</c:v>
                </c:pt>
                <c:pt idx="508">
                  <c:v>12.777610861340639</c:v>
                </c:pt>
                <c:pt idx="509">
                  <c:v>12.777610861340639</c:v>
                </c:pt>
                <c:pt idx="510">
                  <c:v>12.977700868993718</c:v>
                </c:pt>
                <c:pt idx="511">
                  <c:v>12.977700868993718</c:v>
                </c:pt>
                <c:pt idx="512">
                  <c:v>12.977700868993718</c:v>
                </c:pt>
                <c:pt idx="513">
                  <c:v>13.825126483959142</c:v>
                </c:pt>
                <c:pt idx="514">
                  <c:v>13.825126483959142</c:v>
                </c:pt>
                <c:pt idx="515">
                  <c:v>13.825126483959142</c:v>
                </c:pt>
                <c:pt idx="516">
                  <c:v>14.672155004634858</c:v>
                </c:pt>
                <c:pt idx="517">
                  <c:v>14.672155004634858</c:v>
                </c:pt>
                <c:pt idx="518">
                  <c:v>14.672155004634858</c:v>
                </c:pt>
                <c:pt idx="519">
                  <c:v>14.723560240024558</c:v>
                </c:pt>
                <c:pt idx="520">
                  <c:v>14.723560240024558</c:v>
                </c:pt>
                <c:pt idx="521">
                  <c:v>14.723560240024558</c:v>
                </c:pt>
                <c:pt idx="522">
                  <c:v>14.849017359196388</c:v>
                </c:pt>
                <c:pt idx="523">
                  <c:v>14.849017359196388</c:v>
                </c:pt>
                <c:pt idx="524">
                  <c:v>14.849017359196388</c:v>
                </c:pt>
                <c:pt idx="525">
                  <c:v>15.771075862643059</c:v>
                </c:pt>
                <c:pt idx="526">
                  <c:v>15.771075862643059</c:v>
                </c:pt>
                <c:pt idx="527">
                  <c:v>15.771075862643059</c:v>
                </c:pt>
                <c:pt idx="528">
                  <c:v>16.357683125348164</c:v>
                </c:pt>
                <c:pt idx="529">
                  <c:v>16.357683125348164</c:v>
                </c:pt>
                <c:pt idx="530">
                  <c:v>16.357683125348164</c:v>
                </c:pt>
                <c:pt idx="531">
                  <c:v>16.594876730227227</c:v>
                </c:pt>
                <c:pt idx="532">
                  <c:v>16.594876730227227</c:v>
                </c:pt>
                <c:pt idx="533">
                  <c:v>16.594876730227227</c:v>
                </c:pt>
                <c:pt idx="534">
                  <c:v>17.11929163432762</c:v>
                </c:pt>
                <c:pt idx="535">
                  <c:v>17.11929163432762</c:v>
                </c:pt>
                <c:pt idx="536">
                  <c:v>17.11929163432762</c:v>
                </c:pt>
                <c:pt idx="537">
                  <c:v>17.358411863345417</c:v>
                </c:pt>
                <c:pt idx="538">
                  <c:v>17.358411863345417</c:v>
                </c:pt>
                <c:pt idx="539">
                  <c:v>17.358411863345417</c:v>
                </c:pt>
                <c:pt idx="540">
                  <c:v>17.616686715366686</c:v>
                </c:pt>
                <c:pt idx="541">
                  <c:v>17.616686715366686</c:v>
                </c:pt>
                <c:pt idx="542">
                  <c:v>17.616686715366686</c:v>
                </c:pt>
                <c:pt idx="543">
                  <c:v>18.666283228082971</c:v>
                </c:pt>
                <c:pt idx="544">
                  <c:v>18.666283228082971</c:v>
                </c:pt>
                <c:pt idx="545">
                  <c:v>18.666283228082971</c:v>
                </c:pt>
                <c:pt idx="546">
                  <c:v>18.865151005358459</c:v>
                </c:pt>
                <c:pt idx="547">
                  <c:v>18.865151005358459</c:v>
                </c:pt>
                <c:pt idx="548">
                  <c:v>18.865151005358459</c:v>
                </c:pt>
                <c:pt idx="549">
                  <c:v>19.880288354212805</c:v>
                </c:pt>
                <c:pt idx="550">
                  <c:v>19.880288354212805</c:v>
                </c:pt>
                <c:pt idx="551">
                  <c:v>19.880288354212805</c:v>
                </c:pt>
                <c:pt idx="552">
                  <c:v>19.898904249731924</c:v>
                </c:pt>
                <c:pt idx="553">
                  <c:v>19.898904249731924</c:v>
                </c:pt>
                <c:pt idx="554">
                  <c:v>19.898904249731924</c:v>
                </c:pt>
                <c:pt idx="555">
                  <c:v>20.374145977663829</c:v>
                </c:pt>
                <c:pt idx="556">
                  <c:v>20.374145977663829</c:v>
                </c:pt>
                <c:pt idx="557">
                  <c:v>20.374145977663829</c:v>
                </c:pt>
                <c:pt idx="558">
                  <c:v>20.765558014284956</c:v>
                </c:pt>
                <c:pt idx="559">
                  <c:v>20.765558014284956</c:v>
                </c:pt>
                <c:pt idx="560">
                  <c:v>20.765558014284956</c:v>
                </c:pt>
                <c:pt idx="561">
                  <c:v>21.260882399661533</c:v>
                </c:pt>
                <c:pt idx="562">
                  <c:v>21.260882399661533</c:v>
                </c:pt>
                <c:pt idx="563">
                  <c:v>21.260882399661533</c:v>
                </c:pt>
                <c:pt idx="564">
                  <c:v>21.385462850091812</c:v>
                </c:pt>
                <c:pt idx="565">
                  <c:v>21.385462850091812</c:v>
                </c:pt>
                <c:pt idx="566">
                  <c:v>21.385462850091812</c:v>
                </c:pt>
                <c:pt idx="567">
                  <c:v>21.543057198977468</c:v>
                </c:pt>
                <c:pt idx="568">
                  <c:v>21.543057198977468</c:v>
                </c:pt>
                <c:pt idx="569">
                  <c:v>21.543057198977468</c:v>
                </c:pt>
                <c:pt idx="570">
                  <c:v>21.811835241858656</c:v>
                </c:pt>
                <c:pt idx="571">
                  <c:v>21.811835241858656</c:v>
                </c:pt>
                <c:pt idx="572">
                  <c:v>21.811835241858656</c:v>
                </c:pt>
                <c:pt idx="573">
                  <c:v>22.45108613499826</c:v>
                </c:pt>
                <c:pt idx="574">
                  <c:v>22.45108613499826</c:v>
                </c:pt>
                <c:pt idx="575">
                  <c:v>22.45108613499826</c:v>
                </c:pt>
                <c:pt idx="576">
                  <c:v>22.457393991675644</c:v>
                </c:pt>
                <c:pt idx="577">
                  <c:v>22.457393991675644</c:v>
                </c:pt>
                <c:pt idx="578">
                  <c:v>22.457393991675644</c:v>
                </c:pt>
                <c:pt idx="579">
                  <c:v>22.51527942119969</c:v>
                </c:pt>
                <c:pt idx="580">
                  <c:v>22.51527942119969</c:v>
                </c:pt>
                <c:pt idx="581">
                  <c:v>22.51527942119969</c:v>
                </c:pt>
                <c:pt idx="582">
                  <c:v>22.961119279202251</c:v>
                </c:pt>
                <c:pt idx="583">
                  <c:v>22.961119279202251</c:v>
                </c:pt>
                <c:pt idx="584">
                  <c:v>22.961119279202251</c:v>
                </c:pt>
                <c:pt idx="585">
                  <c:v>23.462403007426246</c:v>
                </c:pt>
                <c:pt idx="586">
                  <c:v>23.462403007426246</c:v>
                </c:pt>
                <c:pt idx="587">
                  <c:v>23.462403007426246</c:v>
                </c:pt>
                <c:pt idx="588">
                  <c:v>23.497363362571964</c:v>
                </c:pt>
                <c:pt idx="589">
                  <c:v>23.497363362571964</c:v>
                </c:pt>
                <c:pt idx="590">
                  <c:v>23.497363362571964</c:v>
                </c:pt>
                <c:pt idx="591">
                  <c:v>23.972436151630234</c:v>
                </c:pt>
                <c:pt idx="592">
                  <c:v>23.972436151630234</c:v>
                </c:pt>
                <c:pt idx="593">
                  <c:v>23.972436151630234</c:v>
                </c:pt>
                <c:pt idx="594">
                  <c:v>24.142922112388952</c:v>
                </c:pt>
                <c:pt idx="595">
                  <c:v>24.142922112388952</c:v>
                </c:pt>
                <c:pt idx="596">
                  <c:v>24.142922112388952</c:v>
                </c:pt>
                <c:pt idx="597">
                  <c:v>24.508680234999947</c:v>
                </c:pt>
                <c:pt idx="598">
                  <c:v>24.508680234999947</c:v>
                </c:pt>
                <c:pt idx="599">
                  <c:v>24.508680234999947</c:v>
                </c:pt>
                <c:pt idx="600">
                  <c:v>25.079554386461371</c:v>
                </c:pt>
                <c:pt idx="601">
                  <c:v>25.079554386461371</c:v>
                </c:pt>
                <c:pt idx="602">
                  <c:v>25.079554386461371</c:v>
                </c:pt>
                <c:pt idx="603">
                  <c:v>25.154238984816935</c:v>
                </c:pt>
                <c:pt idx="604">
                  <c:v>25.154238984816935</c:v>
                </c:pt>
                <c:pt idx="605">
                  <c:v>25.154238984816935</c:v>
                </c:pt>
                <c:pt idx="606">
                  <c:v>25.367738955906368</c:v>
                </c:pt>
                <c:pt idx="607">
                  <c:v>25.367738955906368</c:v>
                </c:pt>
                <c:pt idx="608">
                  <c:v>25.367738955906368</c:v>
                </c:pt>
                <c:pt idx="609">
                  <c:v>26.699924756831738</c:v>
                </c:pt>
                <c:pt idx="610">
                  <c:v>26.699924756831738</c:v>
                </c:pt>
                <c:pt idx="611">
                  <c:v>26.699924756831738</c:v>
                </c:pt>
                <c:pt idx="612">
                  <c:v>27.053267076619676</c:v>
                </c:pt>
                <c:pt idx="613">
                  <c:v>27.053267076619676</c:v>
                </c:pt>
                <c:pt idx="614">
                  <c:v>27.053267076619676</c:v>
                </c:pt>
                <c:pt idx="615">
                  <c:v>27.672146979053963</c:v>
                </c:pt>
                <c:pt idx="616">
                  <c:v>27.672146979053963</c:v>
                </c:pt>
                <c:pt idx="617">
                  <c:v>27.672146979053963</c:v>
                </c:pt>
                <c:pt idx="618">
                  <c:v>28.064583949047659</c:v>
                </c:pt>
                <c:pt idx="619">
                  <c:v>28.064583949047659</c:v>
                </c:pt>
                <c:pt idx="620">
                  <c:v>28.064583949047659</c:v>
                </c:pt>
                <c:pt idx="621">
                  <c:v>28.822345323068816</c:v>
                </c:pt>
                <c:pt idx="622">
                  <c:v>28.822345323068816</c:v>
                </c:pt>
                <c:pt idx="623">
                  <c:v>28.822345323068816</c:v>
                </c:pt>
                <c:pt idx="624">
                  <c:v>30.130191857535941</c:v>
                </c:pt>
                <c:pt idx="625">
                  <c:v>30.130191857535941</c:v>
                </c:pt>
                <c:pt idx="626">
                  <c:v>30.130191857535941</c:v>
                </c:pt>
                <c:pt idx="627">
                  <c:v>30.23642194431563</c:v>
                </c:pt>
                <c:pt idx="628">
                  <c:v>30.23642194431563</c:v>
                </c:pt>
                <c:pt idx="629">
                  <c:v>30.23642194431563</c:v>
                </c:pt>
                <c:pt idx="630">
                  <c:v>30.507873443782124</c:v>
                </c:pt>
                <c:pt idx="631">
                  <c:v>30.507873443782124</c:v>
                </c:pt>
                <c:pt idx="632">
                  <c:v>30.507873443782124</c:v>
                </c:pt>
                <c:pt idx="633">
                  <c:v>31.487100124166211</c:v>
                </c:pt>
                <c:pt idx="634">
                  <c:v>31.487100124166211</c:v>
                </c:pt>
                <c:pt idx="635">
                  <c:v>31.487100124166211</c:v>
                </c:pt>
                <c:pt idx="636">
                  <c:v>31.815719978249248</c:v>
                </c:pt>
                <c:pt idx="637">
                  <c:v>31.815719978249248</c:v>
                </c:pt>
                <c:pt idx="638">
                  <c:v>31.815719978249248</c:v>
                </c:pt>
                <c:pt idx="639">
                  <c:v>31.856792314686004</c:v>
                </c:pt>
                <c:pt idx="640">
                  <c:v>31.856792314686004</c:v>
                </c:pt>
                <c:pt idx="641">
                  <c:v>31.856792314686004</c:v>
                </c:pt>
                <c:pt idx="642">
                  <c:v>32.791362982364475</c:v>
                </c:pt>
                <c:pt idx="643">
                  <c:v>32.791362982364475</c:v>
                </c:pt>
                <c:pt idx="644">
                  <c:v>32.791362982364475</c:v>
                </c:pt>
                <c:pt idx="645">
                  <c:v>32.829014536908225</c:v>
                </c:pt>
                <c:pt idx="646">
                  <c:v>32.829014536908225</c:v>
                </c:pt>
                <c:pt idx="647">
                  <c:v>32.829014536908225</c:v>
                </c:pt>
                <c:pt idx="648">
                  <c:v>35.3932895021699</c:v>
                </c:pt>
                <c:pt idx="649">
                  <c:v>35.3932895021699</c:v>
                </c:pt>
                <c:pt idx="650">
                  <c:v>35.3932895021699</c:v>
                </c:pt>
                <c:pt idx="651">
                  <c:v>36.87711274159205</c:v>
                </c:pt>
                <c:pt idx="652">
                  <c:v>36.87711274159205</c:v>
                </c:pt>
                <c:pt idx="653">
                  <c:v>36.87711274159205</c:v>
                </c:pt>
                <c:pt idx="654">
                  <c:v>37.013659872540273</c:v>
                </c:pt>
                <c:pt idx="655">
                  <c:v>37.013659872540273</c:v>
                </c:pt>
                <c:pt idx="656">
                  <c:v>37.013659872540273</c:v>
                </c:pt>
                <c:pt idx="657">
                  <c:v>37.985882094762495</c:v>
                </c:pt>
                <c:pt idx="658">
                  <c:v>37.985882094762495</c:v>
                </c:pt>
                <c:pt idx="659">
                  <c:v>37.985882094762495</c:v>
                </c:pt>
                <c:pt idx="660">
                  <c:v>38.442228171429953</c:v>
                </c:pt>
                <c:pt idx="661">
                  <c:v>38.442228171429953</c:v>
                </c:pt>
                <c:pt idx="662">
                  <c:v>38.442228171429953</c:v>
                </c:pt>
                <c:pt idx="663">
                  <c:v>38.497483111962424</c:v>
                </c:pt>
                <c:pt idx="664">
                  <c:v>38.497483111962424</c:v>
                </c:pt>
                <c:pt idx="665">
                  <c:v>38.497483111962424</c:v>
                </c:pt>
                <c:pt idx="666">
                  <c:v>39.469705334184646</c:v>
                </c:pt>
                <c:pt idx="667">
                  <c:v>39.469705334184646</c:v>
                </c:pt>
                <c:pt idx="668">
                  <c:v>39.469705334184646</c:v>
                </c:pt>
                <c:pt idx="669">
                  <c:v>40.06259854180032</c:v>
                </c:pt>
                <c:pt idx="670">
                  <c:v>40.06259854180032</c:v>
                </c:pt>
                <c:pt idx="671">
                  <c:v>40.06259854180032</c:v>
                </c:pt>
                <c:pt idx="672">
                  <c:v>41.034820764022548</c:v>
                </c:pt>
                <c:pt idx="673">
                  <c:v>41.034820764022548</c:v>
                </c:pt>
                <c:pt idx="674">
                  <c:v>41.034820764022548</c:v>
                </c:pt>
                <c:pt idx="675">
                  <c:v>44.859717951610477</c:v>
                </c:pt>
                <c:pt idx="676">
                  <c:v>44.859717951610477</c:v>
                </c:pt>
                <c:pt idx="677">
                  <c:v>44.859717951610477</c:v>
                </c:pt>
                <c:pt idx="678">
                  <c:v>46.480088321980844</c:v>
                </c:pt>
                <c:pt idx="679">
                  <c:v>46.480088321980844</c:v>
                </c:pt>
                <c:pt idx="680">
                  <c:v>46.480088321980844</c:v>
                </c:pt>
                <c:pt idx="681">
                  <c:v>46.685685953088026</c:v>
                </c:pt>
                <c:pt idx="682">
                  <c:v>46.685685953088026</c:v>
                </c:pt>
                <c:pt idx="683">
                  <c:v>46.685685953088026</c:v>
                </c:pt>
                <c:pt idx="684">
                  <c:v>47.452310544203073</c:v>
                </c:pt>
                <c:pt idx="685">
                  <c:v>47.452310544203073</c:v>
                </c:pt>
                <c:pt idx="686">
                  <c:v>47.452310544203073</c:v>
                </c:pt>
                <c:pt idx="687">
                  <c:v>48.306056323458392</c:v>
                </c:pt>
                <c:pt idx="688">
                  <c:v>48.306056323458392</c:v>
                </c:pt>
                <c:pt idx="689">
                  <c:v>48.306056323458392</c:v>
                </c:pt>
                <c:pt idx="690">
                  <c:v>49.278278545680621</c:v>
                </c:pt>
                <c:pt idx="691">
                  <c:v>49.278278545680621</c:v>
                </c:pt>
                <c:pt idx="692">
                  <c:v>49.278278545680621</c:v>
                </c:pt>
                <c:pt idx="693">
                  <c:v>52.842323161628904</c:v>
                </c:pt>
                <c:pt idx="694">
                  <c:v>52.842323161628904</c:v>
                </c:pt>
                <c:pt idx="695">
                  <c:v>52.842323161628904</c:v>
                </c:pt>
                <c:pt idx="696">
                  <c:v>54.462693531999271</c:v>
                </c:pt>
                <c:pt idx="697">
                  <c:v>54.462693531999271</c:v>
                </c:pt>
                <c:pt idx="698">
                  <c:v>54.462693531999271</c:v>
                </c:pt>
                <c:pt idx="699">
                  <c:v>54.929143734746091</c:v>
                </c:pt>
                <c:pt idx="700">
                  <c:v>54.929143734746091</c:v>
                </c:pt>
                <c:pt idx="701">
                  <c:v>54.929143734746091</c:v>
                </c:pt>
                <c:pt idx="702">
                  <c:v>55.434915754221493</c:v>
                </c:pt>
                <c:pt idx="703">
                  <c:v>55.434915754221493</c:v>
                </c:pt>
                <c:pt idx="704">
                  <c:v>55.434915754221493</c:v>
                </c:pt>
                <c:pt idx="705">
                  <c:v>56.549514105116465</c:v>
                </c:pt>
                <c:pt idx="706">
                  <c:v>56.549514105116465</c:v>
                </c:pt>
                <c:pt idx="707">
                  <c:v>56.549514105116465</c:v>
                </c:pt>
                <c:pt idx="708">
                  <c:v>57.521736327338687</c:v>
                </c:pt>
                <c:pt idx="709">
                  <c:v>57.521736327338687</c:v>
                </c:pt>
                <c:pt idx="710">
                  <c:v>57.521736327338687</c:v>
                </c:pt>
                <c:pt idx="711">
                  <c:v>60.824928371647346</c:v>
                </c:pt>
                <c:pt idx="712">
                  <c:v>60.824928371647346</c:v>
                </c:pt>
                <c:pt idx="713">
                  <c:v>60.824928371647346</c:v>
                </c:pt>
                <c:pt idx="714">
                  <c:v>62.445298742017719</c:v>
                </c:pt>
                <c:pt idx="715">
                  <c:v>62.445298742017719</c:v>
                </c:pt>
                <c:pt idx="716">
                  <c:v>62.445298742017719</c:v>
                </c:pt>
                <c:pt idx="717">
                  <c:v>63.172601516404178</c:v>
                </c:pt>
                <c:pt idx="718">
                  <c:v>63.172601516404178</c:v>
                </c:pt>
                <c:pt idx="719">
                  <c:v>63.172601516404178</c:v>
                </c:pt>
                <c:pt idx="720">
                  <c:v>63.417520964239941</c:v>
                </c:pt>
                <c:pt idx="721">
                  <c:v>63.417520964239941</c:v>
                </c:pt>
                <c:pt idx="722">
                  <c:v>63.417520964239941</c:v>
                </c:pt>
                <c:pt idx="723">
                  <c:v>64.792971886774538</c:v>
                </c:pt>
                <c:pt idx="724">
                  <c:v>64.792971886774538</c:v>
                </c:pt>
                <c:pt idx="725">
                  <c:v>64.792971886774538</c:v>
                </c:pt>
                <c:pt idx="726">
                  <c:v>65.765194108996766</c:v>
                </c:pt>
                <c:pt idx="727">
                  <c:v>65.765194108996766</c:v>
                </c:pt>
                <c:pt idx="728">
                  <c:v>65.765194108996766</c:v>
                </c:pt>
              </c:numCache>
            </c:numRef>
          </c:xVal>
          <c:yVal>
            <c:numRef>
              <c:f>CDF!$E$2:$E$730</c:f>
              <c:numCache>
                <c:formatCode>General</c:formatCode>
                <c:ptCount val="729"/>
                <c:pt idx="0">
                  <c:v>2.44140625E-4</c:v>
                </c:pt>
                <c:pt idx="1">
                  <c:v>7.32421875E-4</c:v>
                </c:pt>
                <c:pt idx="2">
                  <c:v>9.765625E-4</c:v>
                </c:pt>
                <c:pt idx="3">
                  <c:v>1.46484375E-3</c:v>
                </c:pt>
                <c:pt idx="4">
                  <c:v>2.44140625E-3</c:v>
                </c:pt>
                <c:pt idx="5">
                  <c:v>2.9296875E-3</c:v>
                </c:pt>
                <c:pt idx="6">
                  <c:v>3.173828125E-3</c:v>
                </c:pt>
                <c:pt idx="7">
                  <c:v>3.662109375E-3</c:v>
                </c:pt>
                <c:pt idx="8">
                  <c:v>3.90625E-3</c:v>
                </c:pt>
                <c:pt idx="9">
                  <c:v>4.39453125E-3</c:v>
                </c:pt>
                <c:pt idx="10">
                  <c:v>5.37109375E-3</c:v>
                </c:pt>
                <c:pt idx="11">
                  <c:v>5.859375E-3</c:v>
                </c:pt>
                <c:pt idx="12">
                  <c:v>6.8359375E-3</c:v>
                </c:pt>
                <c:pt idx="13">
                  <c:v>8.7890625E-3</c:v>
                </c:pt>
                <c:pt idx="14">
                  <c:v>9.765625E-3</c:v>
                </c:pt>
                <c:pt idx="15">
                  <c:v>1.025390625E-2</c:v>
                </c:pt>
                <c:pt idx="16">
                  <c:v>1.123046875E-2</c:v>
                </c:pt>
                <c:pt idx="17">
                  <c:v>1.171875E-2</c:v>
                </c:pt>
                <c:pt idx="18">
                  <c:v>1.1962890625E-2</c:v>
                </c:pt>
                <c:pt idx="19">
                  <c:v>1.2451171875E-2</c:v>
                </c:pt>
                <c:pt idx="20">
                  <c:v>1.26953125E-2</c:v>
                </c:pt>
                <c:pt idx="21">
                  <c:v>1.318359375E-2</c:v>
                </c:pt>
                <c:pt idx="22">
                  <c:v>1.416015625E-2</c:v>
                </c:pt>
                <c:pt idx="23">
                  <c:v>1.46484375E-2</c:v>
                </c:pt>
                <c:pt idx="24">
                  <c:v>1.4892578125E-2</c:v>
                </c:pt>
                <c:pt idx="25">
                  <c:v>1.5380859375E-2</c:v>
                </c:pt>
                <c:pt idx="26">
                  <c:v>1.5625E-2</c:v>
                </c:pt>
                <c:pt idx="27">
                  <c:v>1.611328125E-2</c:v>
                </c:pt>
                <c:pt idx="28">
                  <c:v>1.708984375E-2</c:v>
                </c:pt>
                <c:pt idx="29">
                  <c:v>1.7578125E-2</c:v>
                </c:pt>
                <c:pt idx="30">
                  <c:v>1.85546875E-2</c:v>
                </c:pt>
                <c:pt idx="31">
                  <c:v>2.05078125E-2</c:v>
                </c:pt>
                <c:pt idx="32">
                  <c:v>2.1484375E-2</c:v>
                </c:pt>
                <c:pt idx="33">
                  <c:v>2.197265625E-2</c:v>
                </c:pt>
                <c:pt idx="34">
                  <c:v>2.294921875E-2</c:v>
                </c:pt>
                <c:pt idx="35">
                  <c:v>2.34375E-2</c:v>
                </c:pt>
                <c:pt idx="36">
                  <c:v>2.44140625E-2</c:v>
                </c:pt>
                <c:pt idx="37">
                  <c:v>2.63671875E-2</c:v>
                </c:pt>
                <c:pt idx="38">
                  <c:v>2.734375E-2</c:v>
                </c:pt>
                <c:pt idx="39">
                  <c:v>2.783203125E-2</c:v>
                </c:pt>
                <c:pt idx="40">
                  <c:v>2.880859375E-2</c:v>
                </c:pt>
                <c:pt idx="41">
                  <c:v>2.9296875E-2</c:v>
                </c:pt>
                <c:pt idx="42">
                  <c:v>3.02734375E-2</c:v>
                </c:pt>
                <c:pt idx="43">
                  <c:v>3.22265625E-2</c:v>
                </c:pt>
                <c:pt idx="44">
                  <c:v>3.3203125E-2</c:v>
                </c:pt>
                <c:pt idx="45">
                  <c:v>3.515625E-2</c:v>
                </c:pt>
                <c:pt idx="46">
                  <c:v>3.90625E-2</c:v>
                </c:pt>
                <c:pt idx="47">
                  <c:v>4.1015625E-2</c:v>
                </c:pt>
                <c:pt idx="48">
                  <c:v>4.19921875E-2</c:v>
                </c:pt>
                <c:pt idx="49">
                  <c:v>4.39453125E-2</c:v>
                </c:pt>
                <c:pt idx="50">
                  <c:v>4.4921875E-2</c:v>
                </c:pt>
                <c:pt idx="51">
                  <c:v>4.541015625E-2</c:v>
                </c:pt>
                <c:pt idx="52">
                  <c:v>4.638671875E-2</c:v>
                </c:pt>
                <c:pt idx="53">
                  <c:v>4.6875E-2</c:v>
                </c:pt>
                <c:pt idx="54">
                  <c:v>4.78515625E-2</c:v>
                </c:pt>
                <c:pt idx="55">
                  <c:v>4.98046875E-2</c:v>
                </c:pt>
                <c:pt idx="56">
                  <c:v>5.078125E-2</c:v>
                </c:pt>
                <c:pt idx="57">
                  <c:v>5.126953125E-2</c:v>
                </c:pt>
                <c:pt idx="58">
                  <c:v>5.224609375E-2</c:v>
                </c:pt>
                <c:pt idx="59">
                  <c:v>5.2734375E-2</c:v>
                </c:pt>
                <c:pt idx="60">
                  <c:v>5.322265625E-2</c:v>
                </c:pt>
                <c:pt idx="61">
                  <c:v>5.419921875E-2</c:v>
                </c:pt>
                <c:pt idx="62">
                  <c:v>5.46875E-2</c:v>
                </c:pt>
                <c:pt idx="63">
                  <c:v>5.4931640625E-2</c:v>
                </c:pt>
                <c:pt idx="64">
                  <c:v>5.5419921875E-2</c:v>
                </c:pt>
                <c:pt idx="65">
                  <c:v>5.56640625E-2</c:v>
                </c:pt>
                <c:pt idx="66">
                  <c:v>5.6640625E-2</c:v>
                </c:pt>
                <c:pt idx="67">
                  <c:v>5.859375E-2</c:v>
                </c:pt>
                <c:pt idx="68">
                  <c:v>5.95703125E-2</c:v>
                </c:pt>
                <c:pt idx="69">
                  <c:v>5.9814453125E-2</c:v>
                </c:pt>
                <c:pt idx="70">
                  <c:v>6.0302734375E-2</c:v>
                </c:pt>
                <c:pt idx="71">
                  <c:v>6.0546875E-2</c:v>
                </c:pt>
                <c:pt idx="72">
                  <c:v>6.103515625E-2</c:v>
                </c:pt>
                <c:pt idx="73">
                  <c:v>6.201171875E-2</c:v>
                </c:pt>
                <c:pt idx="74">
                  <c:v>6.25E-2</c:v>
                </c:pt>
                <c:pt idx="75">
                  <c:v>6.2744140625E-2</c:v>
                </c:pt>
                <c:pt idx="76">
                  <c:v>6.3232421875E-2</c:v>
                </c:pt>
                <c:pt idx="77">
                  <c:v>6.34765625E-2</c:v>
                </c:pt>
                <c:pt idx="78">
                  <c:v>6.396484375E-2</c:v>
                </c:pt>
                <c:pt idx="79">
                  <c:v>6.494140625E-2</c:v>
                </c:pt>
                <c:pt idx="80">
                  <c:v>6.54296875E-2</c:v>
                </c:pt>
                <c:pt idx="81">
                  <c:v>6.640625E-2</c:v>
                </c:pt>
                <c:pt idx="82">
                  <c:v>6.8359375E-2</c:v>
                </c:pt>
                <c:pt idx="83">
                  <c:v>6.93359375E-2</c:v>
                </c:pt>
                <c:pt idx="84">
                  <c:v>6.982421875E-2</c:v>
                </c:pt>
                <c:pt idx="85">
                  <c:v>7.080078125E-2</c:v>
                </c:pt>
                <c:pt idx="86">
                  <c:v>7.12890625E-2</c:v>
                </c:pt>
                <c:pt idx="87">
                  <c:v>7.1533203125E-2</c:v>
                </c:pt>
                <c:pt idx="88">
                  <c:v>7.2021484375E-2</c:v>
                </c:pt>
                <c:pt idx="89">
                  <c:v>7.2265625E-2</c:v>
                </c:pt>
                <c:pt idx="90">
                  <c:v>7.275390625E-2</c:v>
                </c:pt>
                <c:pt idx="91">
                  <c:v>7.373046875E-2</c:v>
                </c:pt>
                <c:pt idx="92">
                  <c:v>7.421875E-2</c:v>
                </c:pt>
                <c:pt idx="93">
                  <c:v>7.4462890625E-2</c:v>
                </c:pt>
                <c:pt idx="94">
                  <c:v>7.4951171875E-2</c:v>
                </c:pt>
                <c:pt idx="95">
                  <c:v>7.51953125E-2</c:v>
                </c:pt>
                <c:pt idx="96">
                  <c:v>7.6171875E-2</c:v>
                </c:pt>
                <c:pt idx="97">
                  <c:v>7.8125E-2</c:v>
                </c:pt>
                <c:pt idx="98">
                  <c:v>7.91015625E-2</c:v>
                </c:pt>
                <c:pt idx="99">
                  <c:v>7.958984375E-2</c:v>
                </c:pt>
                <c:pt idx="100">
                  <c:v>8.056640625E-2</c:v>
                </c:pt>
                <c:pt idx="101">
                  <c:v>8.10546875E-2</c:v>
                </c:pt>
                <c:pt idx="102">
                  <c:v>8.30078125E-2</c:v>
                </c:pt>
                <c:pt idx="103">
                  <c:v>8.69140625E-2</c:v>
                </c:pt>
                <c:pt idx="104">
                  <c:v>8.88671875E-2</c:v>
                </c:pt>
                <c:pt idx="105">
                  <c:v>8.984375E-2</c:v>
                </c:pt>
                <c:pt idx="106">
                  <c:v>9.1796875E-2</c:v>
                </c:pt>
                <c:pt idx="107">
                  <c:v>9.27734375E-2</c:v>
                </c:pt>
                <c:pt idx="108">
                  <c:v>9.3017578125E-2</c:v>
                </c:pt>
                <c:pt idx="109">
                  <c:v>9.3505859375E-2</c:v>
                </c:pt>
                <c:pt idx="110">
                  <c:v>9.375E-2</c:v>
                </c:pt>
                <c:pt idx="111">
                  <c:v>9.423828125E-2</c:v>
                </c:pt>
                <c:pt idx="112">
                  <c:v>9.521484375E-2</c:v>
                </c:pt>
                <c:pt idx="113">
                  <c:v>9.5703125E-2</c:v>
                </c:pt>
                <c:pt idx="114">
                  <c:v>9.619140625E-2</c:v>
                </c:pt>
                <c:pt idx="115">
                  <c:v>9.716796875E-2</c:v>
                </c:pt>
                <c:pt idx="116">
                  <c:v>9.765625E-2</c:v>
                </c:pt>
                <c:pt idx="117">
                  <c:v>9.9609375E-2</c:v>
                </c:pt>
                <c:pt idx="118">
                  <c:v>0.103515625</c:v>
                </c:pt>
                <c:pt idx="119">
                  <c:v>0.10546875</c:v>
                </c:pt>
                <c:pt idx="120">
                  <c:v>0.10595703125</c:v>
                </c:pt>
                <c:pt idx="121">
                  <c:v>0.10693359375</c:v>
                </c:pt>
                <c:pt idx="122">
                  <c:v>0.107421875</c:v>
                </c:pt>
                <c:pt idx="123">
                  <c:v>0.109375</c:v>
                </c:pt>
                <c:pt idx="124">
                  <c:v>0.11328125</c:v>
                </c:pt>
                <c:pt idx="125">
                  <c:v>0.115234375</c:v>
                </c:pt>
                <c:pt idx="126">
                  <c:v>0.1162109375</c:v>
                </c:pt>
                <c:pt idx="127">
                  <c:v>0.1181640625</c:v>
                </c:pt>
                <c:pt idx="128">
                  <c:v>0.119140625</c:v>
                </c:pt>
                <c:pt idx="129">
                  <c:v>0.1201171875</c:v>
                </c:pt>
                <c:pt idx="130">
                  <c:v>0.1220703125</c:v>
                </c:pt>
                <c:pt idx="131">
                  <c:v>0.123046875</c:v>
                </c:pt>
                <c:pt idx="132">
                  <c:v>0.12353515625</c:v>
                </c:pt>
                <c:pt idx="133">
                  <c:v>0.12451171875</c:v>
                </c:pt>
                <c:pt idx="134">
                  <c:v>0.125</c:v>
                </c:pt>
                <c:pt idx="135">
                  <c:v>0.125244140625</c:v>
                </c:pt>
                <c:pt idx="136">
                  <c:v>0.125732421875</c:v>
                </c:pt>
                <c:pt idx="137">
                  <c:v>0.1259765625</c:v>
                </c:pt>
                <c:pt idx="138">
                  <c:v>0.126953125</c:v>
                </c:pt>
                <c:pt idx="139">
                  <c:v>0.12890625</c:v>
                </c:pt>
                <c:pt idx="140">
                  <c:v>0.1298828125</c:v>
                </c:pt>
                <c:pt idx="141">
                  <c:v>0.130859375</c:v>
                </c:pt>
                <c:pt idx="142">
                  <c:v>0.1328125</c:v>
                </c:pt>
                <c:pt idx="143">
                  <c:v>0.1337890625</c:v>
                </c:pt>
                <c:pt idx="144">
                  <c:v>0.13427734375</c:v>
                </c:pt>
                <c:pt idx="145">
                  <c:v>0.13525390625</c:v>
                </c:pt>
                <c:pt idx="146">
                  <c:v>0.1357421875</c:v>
                </c:pt>
                <c:pt idx="147">
                  <c:v>0.13623046875</c:v>
                </c:pt>
                <c:pt idx="148">
                  <c:v>0.13720703125</c:v>
                </c:pt>
                <c:pt idx="149">
                  <c:v>0.1376953125</c:v>
                </c:pt>
                <c:pt idx="150">
                  <c:v>0.138671875</c:v>
                </c:pt>
                <c:pt idx="151">
                  <c:v>0.140625</c:v>
                </c:pt>
                <c:pt idx="152">
                  <c:v>0.1416015625</c:v>
                </c:pt>
                <c:pt idx="153">
                  <c:v>0.14208984375</c:v>
                </c:pt>
                <c:pt idx="154">
                  <c:v>0.14306640625</c:v>
                </c:pt>
                <c:pt idx="155">
                  <c:v>0.1435546875</c:v>
                </c:pt>
                <c:pt idx="156">
                  <c:v>0.1474609375</c:v>
                </c:pt>
                <c:pt idx="157">
                  <c:v>0.1552734375</c:v>
                </c:pt>
                <c:pt idx="158">
                  <c:v>0.1591796875</c:v>
                </c:pt>
                <c:pt idx="159">
                  <c:v>0.16015625</c:v>
                </c:pt>
                <c:pt idx="160">
                  <c:v>0.162109375</c:v>
                </c:pt>
                <c:pt idx="161">
                  <c:v>0.1630859375</c:v>
                </c:pt>
                <c:pt idx="162">
                  <c:v>0.16357421875</c:v>
                </c:pt>
                <c:pt idx="163">
                  <c:v>0.16455078125</c:v>
                </c:pt>
                <c:pt idx="164">
                  <c:v>0.1650390625</c:v>
                </c:pt>
                <c:pt idx="165">
                  <c:v>0.16552734375</c:v>
                </c:pt>
                <c:pt idx="166">
                  <c:v>0.16650390625</c:v>
                </c:pt>
                <c:pt idx="167">
                  <c:v>0.1669921875</c:v>
                </c:pt>
                <c:pt idx="168">
                  <c:v>0.1689453125</c:v>
                </c:pt>
                <c:pt idx="169">
                  <c:v>0.1728515625</c:v>
                </c:pt>
                <c:pt idx="170">
                  <c:v>0.1748046875</c:v>
                </c:pt>
                <c:pt idx="171">
                  <c:v>0.175048828125</c:v>
                </c:pt>
                <c:pt idx="172">
                  <c:v>0.175537109375</c:v>
                </c:pt>
                <c:pt idx="173">
                  <c:v>0.17578125</c:v>
                </c:pt>
                <c:pt idx="174">
                  <c:v>0.1767578125</c:v>
                </c:pt>
                <c:pt idx="175">
                  <c:v>0.1787109375</c:v>
                </c:pt>
                <c:pt idx="176">
                  <c:v>0.1796875</c:v>
                </c:pt>
                <c:pt idx="177">
                  <c:v>0.181640625</c:v>
                </c:pt>
                <c:pt idx="178">
                  <c:v>0.185546875</c:v>
                </c:pt>
                <c:pt idx="179">
                  <c:v>0.1875</c:v>
                </c:pt>
                <c:pt idx="180">
                  <c:v>0.18798828125</c:v>
                </c:pt>
                <c:pt idx="181">
                  <c:v>0.18896484375</c:v>
                </c:pt>
                <c:pt idx="182">
                  <c:v>0.189453125</c:v>
                </c:pt>
                <c:pt idx="183">
                  <c:v>0.19140625</c:v>
                </c:pt>
                <c:pt idx="184">
                  <c:v>0.1953125</c:v>
                </c:pt>
                <c:pt idx="185">
                  <c:v>0.197265625</c:v>
                </c:pt>
                <c:pt idx="186">
                  <c:v>0.1982421875</c:v>
                </c:pt>
                <c:pt idx="187">
                  <c:v>0.2001953125</c:v>
                </c:pt>
                <c:pt idx="188">
                  <c:v>0.201171875</c:v>
                </c:pt>
                <c:pt idx="189">
                  <c:v>0.20166015625</c:v>
                </c:pt>
                <c:pt idx="190">
                  <c:v>0.20263671875</c:v>
                </c:pt>
                <c:pt idx="191">
                  <c:v>0.203125</c:v>
                </c:pt>
                <c:pt idx="192">
                  <c:v>0.203369140625</c:v>
                </c:pt>
                <c:pt idx="193">
                  <c:v>0.203857421875</c:v>
                </c:pt>
                <c:pt idx="194">
                  <c:v>0.2041015625</c:v>
                </c:pt>
                <c:pt idx="195">
                  <c:v>0.205078125</c:v>
                </c:pt>
                <c:pt idx="196">
                  <c:v>0.20703125</c:v>
                </c:pt>
                <c:pt idx="197">
                  <c:v>0.2080078125</c:v>
                </c:pt>
                <c:pt idx="198">
                  <c:v>0.208984375</c:v>
                </c:pt>
                <c:pt idx="199">
                  <c:v>0.2109375</c:v>
                </c:pt>
                <c:pt idx="200">
                  <c:v>0.2119140625</c:v>
                </c:pt>
                <c:pt idx="201">
                  <c:v>0.212890625</c:v>
                </c:pt>
                <c:pt idx="202">
                  <c:v>0.21484375</c:v>
                </c:pt>
                <c:pt idx="203">
                  <c:v>0.2158203125</c:v>
                </c:pt>
                <c:pt idx="204">
                  <c:v>0.21630859375</c:v>
                </c:pt>
                <c:pt idx="205">
                  <c:v>0.21728515625</c:v>
                </c:pt>
                <c:pt idx="206">
                  <c:v>0.2177734375</c:v>
                </c:pt>
                <c:pt idx="207">
                  <c:v>0.21875</c:v>
                </c:pt>
                <c:pt idx="208">
                  <c:v>0.220703125</c:v>
                </c:pt>
                <c:pt idx="209">
                  <c:v>0.2216796875</c:v>
                </c:pt>
                <c:pt idx="210">
                  <c:v>0.2236328125</c:v>
                </c:pt>
                <c:pt idx="211">
                  <c:v>0.2275390625</c:v>
                </c:pt>
                <c:pt idx="212">
                  <c:v>0.2294921875</c:v>
                </c:pt>
                <c:pt idx="213">
                  <c:v>0.23046875</c:v>
                </c:pt>
                <c:pt idx="214">
                  <c:v>0.232421875</c:v>
                </c:pt>
                <c:pt idx="215">
                  <c:v>0.2333984375</c:v>
                </c:pt>
                <c:pt idx="216">
                  <c:v>0.23388671875</c:v>
                </c:pt>
                <c:pt idx="217">
                  <c:v>0.23486328125</c:v>
                </c:pt>
                <c:pt idx="218">
                  <c:v>0.2353515625</c:v>
                </c:pt>
                <c:pt idx="219">
                  <c:v>0.2373046875</c:v>
                </c:pt>
                <c:pt idx="220">
                  <c:v>0.2412109375</c:v>
                </c:pt>
                <c:pt idx="221">
                  <c:v>0.2431640625</c:v>
                </c:pt>
                <c:pt idx="222">
                  <c:v>0.24365234375</c:v>
                </c:pt>
                <c:pt idx="223">
                  <c:v>0.24462890625</c:v>
                </c:pt>
                <c:pt idx="224">
                  <c:v>0.2451171875</c:v>
                </c:pt>
                <c:pt idx="225">
                  <c:v>0.24609375</c:v>
                </c:pt>
                <c:pt idx="226">
                  <c:v>0.248046875</c:v>
                </c:pt>
                <c:pt idx="227">
                  <c:v>0.2490234375</c:v>
                </c:pt>
                <c:pt idx="228">
                  <c:v>0.25</c:v>
                </c:pt>
                <c:pt idx="229">
                  <c:v>0.251953125</c:v>
                </c:pt>
                <c:pt idx="230">
                  <c:v>0.2529296875</c:v>
                </c:pt>
                <c:pt idx="231">
                  <c:v>0.25341796875</c:v>
                </c:pt>
                <c:pt idx="232">
                  <c:v>0.25439453125</c:v>
                </c:pt>
                <c:pt idx="233">
                  <c:v>0.2548828125</c:v>
                </c:pt>
                <c:pt idx="234">
                  <c:v>0.255859375</c:v>
                </c:pt>
                <c:pt idx="235">
                  <c:v>0.2578125</c:v>
                </c:pt>
                <c:pt idx="236">
                  <c:v>0.2587890625</c:v>
                </c:pt>
                <c:pt idx="237">
                  <c:v>0.25927734375</c:v>
                </c:pt>
                <c:pt idx="238">
                  <c:v>0.26025390625</c:v>
                </c:pt>
                <c:pt idx="239">
                  <c:v>0.2607421875</c:v>
                </c:pt>
                <c:pt idx="240">
                  <c:v>0.26123046875</c:v>
                </c:pt>
                <c:pt idx="241">
                  <c:v>0.26220703125</c:v>
                </c:pt>
                <c:pt idx="242">
                  <c:v>0.2626953125</c:v>
                </c:pt>
                <c:pt idx="243">
                  <c:v>0.26318359375</c:v>
                </c:pt>
                <c:pt idx="244">
                  <c:v>0.26416015625</c:v>
                </c:pt>
                <c:pt idx="245">
                  <c:v>0.2646484375</c:v>
                </c:pt>
                <c:pt idx="246">
                  <c:v>0.264892578125</c:v>
                </c:pt>
                <c:pt idx="247">
                  <c:v>0.265380859375</c:v>
                </c:pt>
                <c:pt idx="248">
                  <c:v>0.265625</c:v>
                </c:pt>
                <c:pt idx="249">
                  <c:v>0.2666015625</c:v>
                </c:pt>
                <c:pt idx="250">
                  <c:v>0.2685546875</c:v>
                </c:pt>
                <c:pt idx="251">
                  <c:v>0.26953125</c:v>
                </c:pt>
                <c:pt idx="252">
                  <c:v>0.2705078125</c:v>
                </c:pt>
                <c:pt idx="253">
                  <c:v>0.2724609375</c:v>
                </c:pt>
                <c:pt idx="254">
                  <c:v>0.2734375</c:v>
                </c:pt>
                <c:pt idx="255">
                  <c:v>0.27734375</c:v>
                </c:pt>
                <c:pt idx="256">
                  <c:v>0.28515625</c:v>
                </c:pt>
                <c:pt idx="257">
                  <c:v>0.2890625</c:v>
                </c:pt>
                <c:pt idx="258">
                  <c:v>0.291015625</c:v>
                </c:pt>
                <c:pt idx="259">
                  <c:v>0.294921875</c:v>
                </c:pt>
                <c:pt idx="260">
                  <c:v>0.296875</c:v>
                </c:pt>
                <c:pt idx="261">
                  <c:v>0.29736328125</c:v>
                </c:pt>
                <c:pt idx="262">
                  <c:v>0.29833984375</c:v>
                </c:pt>
                <c:pt idx="263">
                  <c:v>0.298828125</c:v>
                </c:pt>
                <c:pt idx="264">
                  <c:v>0.2998046875</c:v>
                </c:pt>
                <c:pt idx="265">
                  <c:v>0.3017578125</c:v>
                </c:pt>
                <c:pt idx="266">
                  <c:v>0.302734375</c:v>
                </c:pt>
                <c:pt idx="267">
                  <c:v>0.302978515625</c:v>
                </c:pt>
                <c:pt idx="268">
                  <c:v>0.303466796875</c:v>
                </c:pt>
                <c:pt idx="269">
                  <c:v>0.3037109375</c:v>
                </c:pt>
                <c:pt idx="270">
                  <c:v>0.3046875</c:v>
                </c:pt>
                <c:pt idx="271">
                  <c:v>0.306640625</c:v>
                </c:pt>
                <c:pt idx="272">
                  <c:v>0.3076171875</c:v>
                </c:pt>
                <c:pt idx="273">
                  <c:v>0.30810546875</c:v>
                </c:pt>
                <c:pt idx="274">
                  <c:v>0.30908203125</c:v>
                </c:pt>
                <c:pt idx="275">
                  <c:v>0.3095703125</c:v>
                </c:pt>
                <c:pt idx="276">
                  <c:v>0.3115234375</c:v>
                </c:pt>
                <c:pt idx="277">
                  <c:v>0.3154296875</c:v>
                </c:pt>
                <c:pt idx="278">
                  <c:v>0.3173828125</c:v>
                </c:pt>
                <c:pt idx="279">
                  <c:v>0.3193359375</c:v>
                </c:pt>
                <c:pt idx="280">
                  <c:v>0.3232421875</c:v>
                </c:pt>
                <c:pt idx="281">
                  <c:v>0.3251953125</c:v>
                </c:pt>
                <c:pt idx="282">
                  <c:v>0.326171875</c:v>
                </c:pt>
                <c:pt idx="283">
                  <c:v>0.328125</c:v>
                </c:pt>
                <c:pt idx="284">
                  <c:v>0.3291015625</c:v>
                </c:pt>
                <c:pt idx="285">
                  <c:v>0.330078125</c:v>
                </c:pt>
                <c:pt idx="286">
                  <c:v>0.33203125</c:v>
                </c:pt>
                <c:pt idx="287">
                  <c:v>0.3330078125</c:v>
                </c:pt>
                <c:pt idx="288">
                  <c:v>0.333984375</c:v>
                </c:pt>
                <c:pt idx="289">
                  <c:v>0.3359375</c:v>
                </c:pt>
                <c:pt idx="290">
                  <c:v>0.3369140625</c:v>
                </c:pt>
                <c:pt idx="291">
                  <c:v>0.3388671875</c:v>
                </c:pt>
                <c:pt idx="292">
                  <c:v>0.3427734375</c:v>
                </c:pt>
                <c:pt idx="293">
                  <c:v>0.3447265625</c:v>
                </c:pt>
                <c:pt idx="294">
                  <c:v>0.34521484375</c:v>
                </c:pt>
                <c:pt idx="295">
                  <c:v>0.34619140625</c:v>
                </c:pt>
                <c:pt idx="296">
                  <c:v>0.3466796875</c:v>
                </c:pt>
                <c:pt idx="297">
                  <c:v>0.34716796875</c:v>
                </c:pt>
                <c:pt idx="298">
                  <c:v>0.34814453125</c:v>
                </c:pt>
                <c:pt idx="299">
                  <c:v>0.3486328125</c:v>
                </c:pt>
                <c:pt idx="300">
                  <c:v>0.34912109375</c:v>
                </c:pt>
                <c:pt idx="301">
                  <c:v>0.35009765625</c:v>
                </c:pt>
                <c:pt idx="302">
                  <c:v>0.3505859375</c:v>
                </c:pt>
                <c:pt idx="303">
                  <c:v>0.350830078125</c:v>
                </c:pt>
                <c:pt idx="304">
                  <c:v>0.351318359375</c:v>
                </c:pt>
                <c:pt idx="305">
                  <c:v>0.3515625</c:v>
                </c:pt>
                <c:pt idx="306">
                  <c:v>0.353515625</c:v>
                </c:pt>
                <c:pt idx="307">
                  <c:v>0.357421875</c:v>
                </c:pt>
                <c:pt idx="308">
                  <c:v>0.359375</c:v>
                </c:pt>
                <c:pt idx="309">
                  <c:v>0.3603515625</c:v>
                </c:pt>
                <c:pt idx="310">
                  <c:v>0.3623046875</c:v>
                </c:pt>
                <c:pt idx="311">
                  <c:v>0.36328125</c:v>
                </c:pt>
                <c:pt idx="312">
                  <c:v>0.3642578125</c:v>
                </c:pt>
                <c:pt idx="313">
                  <c:v>0.3662109375</c:v>
                </c:pt>
                <c:pt idx="314">
                  <c:v>0.3671875</c:v>
                </c:pt>
                <c:pt idx="315">
                  <c:v>0.36767578125</c:v>
                </c:pt>
                <c:pt idx="316">
                  <c:v>0.36865234375</c:v>
                </c:pt>
                <c:pt idx="317">
                  <c:v>0.369140625</c:v>
                </c:pt>
                <c:pt idx="318">
                  <c:v>0.36962890625</c:v>
                </c:pt>
                <c:pt idx="319">
                  <c:v>0.37060546875</c:v>
                </c:pt>
                <c:pt idx="320">
                  <c:v>0.37109375</c:v>
                </c:pt>
                <c:pt idx="321">
                  <c:v>0.371337890625</c:v>
                </c:pt>
                <c:pt idx="322">
                  <c:v>0.371826171875</c:v>
                </c:pt>
                <c:pt idx="323">
                  <c:v>0.3720703125</c:v>
                </c:pt>
                <c:pt idx="324">
                  <c:v>0.3740234375</c:v>
                </c:pt>
                <c:pt idx="325">
                  <c:v>0.3779296875</c:v>
                </c:pt>
                <c:pt idx="326">
                  <c:v>0.3798828125</c:v>
                </c:pt>
                <c:pt idx="327">
                  <c:v>0.380126953125</c:v>
                </c:pt>
                <c:pt idx="328">
                  <c:v>0.380615234375</c:v>
                </c:pt>
                <c:pt idx="329">
                  <c:v>0.380859375</c:v>
                </c:pt>
                <c:pt idx="330">
                  <c:v>0.3818359375</c:v>
                </c:pt>
                <c:pt idx="331">
                  <c:v>0.3837890625</c:v>
                </c:pt>
                <c:pt idx="332">
                  <c:v>0.384765625</c:v>
                </c:pt>
                <c:pt idx="333">
                  <c:v>0.3857421875</c:v>
                </c:pt>
                <c:pt idx="334">
                  <c:v>0.3876953125</c:v>
                </c:pt>
                <c:pt idx="335">
                  <c:v>0.388671875</c:v>
                </c:pt>
                <c:pt idx="336">
                  <c:v>0.3896484375</c:v>
                </c:pt>
                <c:pt idx="337">
                  <c:v>0.3916015625</c:v>
                </c:pt>
                <c:pt idx="338">
                  <c:v>0.392578125</c:v>
                </c:pt>
                <c:pt idx="339">
                  <c:v>0.39453125</c:v>
                </c:pt>
                <c:pt idx="340">
                  <c:v>0.3984375</c:v>
                </c:pt>
                <c:pt idx="341">
                  <c:v>0.400390625</c:v>
                </c:pt>
                <c:pt idx="342">
                  <c:v>0.4013671875</c:v>
                </c:pt>
                <c:pt idx="343">
                  <c:v>0.4033203125</c:v>
                </c:pt>
                <c:pt idx="344">
                  <c:v>0.404296875</c:v>
                </c:pt>
                <c:pt idx="345">
                  <c:v>0.40478515625</c:v>
                </c:pt>
                <c:pt idx="346">
                  <c:v>0.40576171875</c:v>
                </c:pt>
                <c:pt idx="347">
                  <c:v>0.40625</c:v>
                </c:pt>
                <c:pt idx="348">
                  <c:v>0.4072265625</c:v>
                </c:pt>
                <c:pt idx="349">
                  <c:v>0.4091796875</c:v>
                </c:pt>
                <c:pt idx="350">
                  <c:v>0.41015625</c:v>
                </c:pt>
                <c:pt idx="351">
                  <c:v>0.41064453125</c:v>
                </c:pt>
                <c:pt idx="352">
                  <c:v>0.41162109375</c:v>
                </c:pt>
                <c:pt idx="353">
                  <c:v>0.412109375</c:v>
                </c:pt>
                <c:pt idx="354">
                  <c:v>0.41259765625</c:v>
                </c:pt>
                <c:pt idx="355">
                  <c:v>0.41357421875</c:v>
                </c:pt>
                <c:pt idx="356">
                  <c:v>0.4140625</c:v>
                </c:pt>
                <c:pt idx="357">
                  <c:v>0.41455078125</c:v>
                </c:pt>
                <c:pt idx="358">
                  <c:v>0.41552734375</c:v>
                </c:pt>
                <c:pt idx="359">
                  <c:v>0.416015625</c:v>
                </c:pt>
                <c:pt idx="360">
                  <c:v>0.41650390625</c:v>
                </c:pt>
                <c:pt idx="361">
                  <c:v>0.41748046875</c:v>
                </c:pt>
                <c:pt idx="362">
                  <c:v>0.41796875</c:v>
                </c:pt>
                <c:pt idx="363">
                  <c:v>0.418212890625</c:v>
                </c:pt>
                <c:pt idx="364">
                  <c:v>0.418701171875</c:v>
                </c:pt>
                <c:pt idx="365">
                  <c:v>0.4189453125</c:v>
                </c:pt>
                <c:pt idx="366">
                  <c:v>0.41943359375</c:v>
                </c:pt>
                <c:pt idx="367">
                  <c:v>0.42041015625</c:v>
                </c:pt>
                <c:pt idx="368">
                  <c:v>0.4208984375</c:v>
                </c:pt>
                <c:pt idx="369">
                  <c:v>0.4248046875</c:v>
                </c:pt>
                <c:pt idx="370">
                  <c:v>0.4326171875</c:v>
                </c:pt>
                <c:pt idx="371">
                  <c:v>0.4365234375</c:v>
                </c:pt>
                <c:pt idx="372">
                  <c:v>0.4384765625</c:v>
                </c:pt>
                <c:pt idx="373">
                  <c:v>0.4423828125</c:v>
                </c:pt>
                <c:pt idx="374">
                  <c:v>0.4443359375</c:v>
                </c:pt>
                <c:pt idx="375">
                  <c:v>0.444580078125</c:v>
                </c:pt>
                <c:pt idx="376">
                  <c:v>0.445068359375</c:v>
                </c:pt>
                <c:pt idx="377">
                  <c:v>0.4453125</c:v>
                </c:pt>
                <c:pt idx="378">
                  <c:v>0.4462890625</c:v>
                </c:pt>
                <c:pt idx="379">
                  <c:v>0.4482421875</c:v>
                </c:pt>
                <c:pt idx="380">
                  <c:v>0.44921875</c:v>
                </c:pt>
                <c:pt idx="381">
                  <c:v>0.449462890625</c:v>
                </c:pt>
                <c:pt idx="382">
                  <c:v>0.449951171875</c:v>
                </c:pt>
                <c:pt idx="383">
                  <c:v>0.4501953125</c:v>
                </c:pt>
                <c:pt idx="384">
                  <c:v>0.451171875</c:v>
                </c:pt>
                <c:pt idx="385">
                  <c:v>0.453125</c:v>
                </c:pt>
                <c:pt idx="386">
                  <c:v>0.4541015625</c:v>
                </c:pt>
                <c:pt idx="387">
                  <c:v>0.4560546875</c:v>
                </c:pt>
                <c:pt idx="388">
                  <c:v>0.4599609375</c:v>
                </c:pt>
                <c:pt idx="389">
                  <c:v>0.4619140625</c:v>
                </c:pt>
                <c:pt idx="390">
                  <c:v>0.462890625</c:v>
                </c:pt>
                <c:pt idx="391">
                  <c:v>0.46484375</c:v>
                </c:pt>
                <c:pt idx="392">
                  <c:v>0.4658203125</c:v>
                </c:pt>
                <c:pt idx="393">
                  <c:v>0.4677734375</c:v>
                </c:pt>
                <c:pt idx="394">
                  <c:v>0.4716796875</c:v>
                </c:pt>
                <c:pt idx="395">
                  <c:v>0.4736328125</c:v>
                </c:pt>
                <c:pt idx="396">
                  <c:v>0.474609375</c:v>
                </c:pt>
                <c:pt idx="397">
                  <c:v>0.4765625</c:v>
                </c:pt>
                <c:pt idx="398">
                  <c:v>0.4775390625</c:v>
                </c:pt>
                <c:pt idx="399">
                  <c:v>0.47802734375</c:v>
                </c:pt>
                <c:pt idx="400">
                  <c:v>0.47900390625</c:v>
                </c:pt>
                <c:pt idx="401">
                  <c:v>0.4794921875</c:v>
                </c:pt>
                <c:pt idx="402">
                  <c:v>0.47998046875</c:v>
                </c:pt>
                <c:pt idx="403">
                  <c:v>0.48095703125</c:v>
                </c:pt>
                <c:pt idx="404">
                  <c:v>0.4814453125</c:v>
                </c:pt>
                <c:pt idx="405">
                  <c:v>0.4833984375</c:v>
                </c:pt>
                <c:pt idx="406">
                  <c:v>0.4873046875</c:v>
                </c:pt>
                <c:pt idx="407">
                  <c:v>0.4892578125</c:v>
                </c:pt>
                <c:pt idx="408">
                  <c:v>0.490234375</c:v>
                </c:pt>
                <c:pt idx="409">
                  <c:v>0.4921875</c:v>
                </c:pt>
                <c:pt idx="410">
                  <c:v>0.4931640625</c:v>
                </c:pt>
                <c:pt idx="411">
                  <c:v>0.49365234375</c:v>
                </c:pt>
                <c:pt idx="412">
                  <c:v>0.49462890625</c:v>
                </c:pt>
                <c:pt idx="413">
                  <c:v>0.4951171875</c:v>
                </c:pt>
                <c:pt idx="414">
                  <c:v>0.49560546875</c:v>
                </c:pt>
                <c:pt idx="415">
                  <c:v>0.49658203125</c:v>
                </c:pt>
                <c:pt idx="416">
                  <c:v>0.4970703125</c:v>
                </c:pt>
                <c:pt idx="417">
                  <c:v>0.497314453125</c:v>
                </c:pt>
                <c:pt idx="418">
                  <c:v>0.497802734375</c:v>
                </c:pt>
                <c:pt idx="419">
                  <c:v>0.498046875</c:v>
                </c:pt>
                <c:pt idx="420">
                  <c:v>0.49853515625</c:v>
                </c:pt>
                <c:pt idx="421">
                  <c:v>0.49951171875</c:v>
                </c:pt>
                <c:pt idx="422">
                  <c:v>0.5</c:v>
                </c:pt>
                <c:pt idx="423">
                  <c:v>0.50390625</c:v>
                </c:pt>
                <c:pt idx="424">
                  <c:v>0.51171875</c:v>
                </c:pt>
                <c:pt idx="425">
                  <c:v>0.515625</c:v>
                </c:pt>
                <c:pt idx="426">
                  <c:v>0.5166015625</c:v>
                </c:pt>
                <c:pt idx="427">
                  <c:v>0.5185546875</c:v>
                </c:pt>
                <c:pt idx="428">
                  <c:v>0.51953125</c:v>
                </c:pt>
                <c:pt idx="429">
                  <c:v>0.519775390625</c:v>
                </c:pt>
                <c:pt idx="430">
                  <c:v>0.520263671875</c:v>
                </c:pt>
                <c:pt idx="431">
                  <c:v>0.5205078125</c:v>
                </c:pt>
                <c:pt idx="432">
                  <c:v>0.5224609375</c:v>
                </c:pt>
                <c:pt idx="433">
                  <c:v>0.5263671875</c:v>
                </c:pt>
                <c:pt idx="434">
                  <c:v>0.5283203125</c:v>
                </c:pt>
                <c:pt idx="435">
                  <c:v>0.529296875</c:v>
                </c:pt>
                <c:pt idx="436">
                  <c:v>0.53125</c:v>
                </c:pt>
                <c:pt idx="437">
                  <c:v>0.5322265625</c:v>
                </c:pt>
                <c:pt idx="438">
                  <c:v>0.5341796875</c:v>
                </c:pt>
                <c:pt idx="439">
                  <c:v>0.5380859375</c:v>
                </c:pt>
                <c:pt idx="440">
                  <c:v>0.5400390625</c:v>
                </c:pt>
                <c:pt idx="441">
                  <c:v>0.54052734375</c:v>
                </c:pt>
                <c:pt idx="442">
                  <c:v>0.54150390625</c:v>
                </c:pt>
                <c:pt idx="443">
                  <c:v>0.5419921875</c:v>
                </c:pt>
                <c:pt idx="444">
                  <c:v>0.54296875</c:v>
                </c:pt>
                <c:pt idx="445">
                  <c:v>0.544921875</c:v>
                </c:pt>
                <c:pt idx="446">
                  <c:v>0.5458984375</c:v>
                </c:pt>
                <c:pt idx="447">
                  <c:v>0.5498046875</c:v>
                </c:pt>
                <c:pt idx="448">
                  <c:v>0.5576171875</c:v>
                </c:pt>
                <c:pt idx="449">
                  <c:v>0.5615234375</c:v>
                </c:pt>
                <c:pt idx="450">
                  <c:v>0.56201171875</c:v>
                </c:pt>
                <c:pt idx="451">
                  <c:v>0.56298828125</c:v>
                </c:pt>
                <c:pt idx="452">
                  <c:v>0.5634765625</c:v>
                </c:pt>
                <c:pt idx="453">
                  <c:v>0.564453125</c:v>
                </c:pt>
                <c:pt idx="454">
                  <c:v>0.56640625</c:v>
                </c:pt>
                <c:pt idx="455">
                  <c:v>0.5673828125</c:v>
                </c:pt>
                <c:pt idx="456">
                  <c:v>0.568359375</c:v>
                </c:pt>
                <c:pt idx="457">
                  <c:v>0.5703125</c:v>
                </c:pt>
                <c:pt idx="458">
                  <c:v>0.5712890625</c:v>
                </c:pt>
                <c:pt idx="459">
                  <c:v>0.571533203125</c:v>
                </c:pt>
                <c:pt idx="460">
                  <c:v>0.572021484375</c:v>
                </c:pt>
                <c:pt idx="461">
                  <c:v>0.572265625</c:v>
                </c:pt>
                <c:pt idx="462">
                  <c:v>0.57275390625</c:v>
                </c:pt>
                <c:pt idx="463">
                  <c:v>0.57373046875</c:v>
                </c:pt>
                <c:pt idx="464">
                  <c:v>0.57421875</c:v>
                </c:pt>
                <c:pt idx="465">
                  <c:v>0.576171875</c:v>
                </c:pt>
                <c:pt idx="466">
                  <c:v>0.580078125</c:v>
                </c:pt>
                <c:pt idx="467">
                  <c:v>0.58203125</c:v>
                </c:pt>
                <c:pt idx="468">
                  <c:v>0.58984375</c:v>
                </c:pt>
                <c:pt idx="469">
                  <c:v>0.60546875</c:v>
                </c:pt>
                <c:pt idx="470">
                  <c:v>0.61328125</c:v>
                </c:pt>
                <c:pt idx="471">
                  <c:v>0.615234375</c:v>
                </c:pt>
                <c:pt idx="472">
                  <c:v>0.619140625</c:v>
                </c:pt>
                <c:pt idx="473">
                  <c:v>0.62109375</c:v>
                </c:pt>
                <c:pt idx="474">
                  <c:v>0.62158203125</c:v>
                </c:pt>
                <c:pt idx="475">
                  <c:v>0.62255859375</c:v>
                </c:pt>
                <c:pt idx="476">
                  <c:v>0.623046875</c:v>
                </c:pt>
                <c:pt idx="477">
                  <c:v>0.62353515625</c:v>
                </c:pt>
                <c:pt idx="478">
                  <c:v>0.62451171875</c:v>
                </c:pt>
                <c:pt idx="479">
                  <c:v>0.625</c:v>
                </c:pt>
                <c:pt idx="480">
                  <c:v>0.62890625</c:v>
                </c:pt>
                <c:pt idx="481">
                  <c:v>0.63671875</c:v>
                </c:pt>
                <c:pt idx="482">
                  <c:v>0.640625</c:v>
                </c:pt>
                <c:pt idx="483">
                  <c:v>0.6416015625</c:v>
                </c:pt>
                <c:pt idx="484">
                  <c:v>0.6435546875</c:v>
                </c:pt>
                <c:pt idx="485">
                  <c:v>0.64453125</c:v>
                </c:pt>
                <c:pt idx="486">
                  <c:v>0.6484375</c:v>
                </c:pt>
                <c:pt idx="487">
                  <c:v>0.65625</c:v>
                </c:pt>
                <c:pt idx="488">
                  <c:v>0.66015625</c:v>
                </c:pt>
                <c:pt idx="489">
                  <c:v>0.662109375</c:v>
                </c:pt>
                <c:pt idx="490">
                  <c:v>0.666015625</c:v>
                </c:pt>
                <c:pt idx="491">
                  <c:v>0.66796875</c:v>
                </c:pt>
                <c:pt idx="492">
                  <c:v>0.6689453125</c:v>
                </c:pt>
                <c:pt idx="493">
                  <c:v>0.6708984375</c:v>
                </c:pt>
                <c:pt idx="494">
                  <c:v>0.671875</c:v>
                </c:pt>
                <c:pt idx="495">
                  <c:v>0.6728515625</c:v>
                </c:pt>
                <c:pt idx="496">
                  <c:v>0.6748046875</c:v>
                </c:pt>
                <c:pt idx="497">
                  <c:v>0.67578125</c:v>
                </c:pt>
                <c:pt idx="498">
                  <c:v>0.677734375</c:v>
                </c:pt>
                <c:pt idx="499">
                  <c:v>0.681640625</c:v>
                </c:pt>
                <c:pt idx="500">
                  <c:v>0.68359375</c:v>
                </c:pt>
                <c:pt idx="501">
                  <c:v>0.68408203125</c:v>
                </c:pt>
                <c:pt idx="502">
                  <c:v>0.68505859375</c:v>
                </c:pt>
                <c:pt idx="503">
                  <c:v>0.685546875</c:v>
                </c:pt>
                <c:pt idx="504">
                  <c:v>0.68603515625</c:v>
                </c:pt>
                <c:pt idx="505">
                  <c:v>0.68701171875</c:v>
                </c:pt>
                <c:pt idx="506">
                  <c:v>0.6875</c:v>
                </c:pt>
                <c:pt idx="507">
                  <c:v>0.69140625</c:v>
                </c:pt>
                <c:pt idx="508">
                  <c:v>0.69921875</c:v>
                </c:pt>
                <c:pt idx="509">
                  <c:v>0.703125</c:v>
                </c:pt>
                <c:pt idx="510">
                  <c:v>0.7041015625</c:v>
                </c:pt>
                <c:pt idx="511">
                  <c:v>0.7060546875</c:v>
                </c:pt>
                <c:pt idx="512">
                  <c:v>0.70703125</c:v>
                </c:pt>
                <c:pt idx="513">
                  <c:v>0.708984375</c:v>
                </c:pt>
                <c:pt idx="514">
                  <c:v>0.712890625</c:v>
                </c:pt>
                <c:pt idx="515">
                  <c:v>0.71484375</c:v>
                </c:pt>
                <c:pt idx="516">
                  <c:v>0.7158203125</c:v>
                </c:pt>
                <c:pt idx="517">
                  <c:v>0.7177734375</c:v>
                </c:pt>
                <c:pt idx="518">
                  <c:v>0.71875</c:v>
                </c:pt>
                <c:pt idx="519">
                  <c:v>0.720703125</c:v>
                </c:pt>
                <c:pt idx="520">
                  <c:v>0.724609375</c:v>
                </c:pt>
                <c:pt idx="521">
                  <c:v>0.7265625</c:v>
                </c:pt>
                <c:pt idx="522">
                  <c:v>0.7275390625</c:v>
                </c:pt>
                <c:pt idx="523">
                  <c:v>0.7294921875</c:v>
                </c:pt>
                <c:pt idx="524">
                  <c:v>0.73046875</c:v>
                </c:pt>
                <c:pt idx="525">
                  <c:v>0.7314453125</c:v>
                </c:pt>
                <c:pt idx="526">
                  <c:v>0.7333984375</c:v>
                </c:pt>
                <c:pt idx="527">
                  <c:v>0.734375</c:v>
                </c:pt>
                <c:pt idx="528">
                  <c:v>0.736328125</c:v>
                </c:pt>
                <c:pt idx="529">
                  <c:v>0.740234375</c:v>
                </c:pt>
                <c:pt idx="530">
                  <c:v>0.7421875</c:v>
                </c:pt>
                <c:pt idx="531">
                  <c:v>0.744140625</c:v>
                </c:pt>
                <c:pt idx="532">
                  <c:v>0.748046875</c:v>
                </c:pt>
                <c:pt idx="533">
                  <c:v>0.75</c:v>
                </c:pt>
                <c:pt idx="534">
                  <c:v>0.75048828125</c:v>
                </c:pt>
                <c:pt idx="535">
                  <c:v>0.75146484375</c:v>
                </c:pt>
                <c:pt idx="536">
                  <c:v>0.751953125</c:v>
                </c:pt>
                <c:pt idx="537">
                  <c:v>0.7529296875</c:v>
                </c:pt>
                <c:pt idx="538">
                  <c:v>0.7548828125</c:v>
                </c:pt>
                <c:pt idx="539">
                  <c:v>0.755859375</c:v>
                </c:pt>
                <c:pt idx="540">
                  <c:v>0.7568359375</c:v>
                </c:pt>
                <c:pt idx="541">
                  <c:v>0.7587890625</c:v>
                </c:pt>
                <c:pt idx="542">
                  <c:v>0.759765625</c:v>
                </c:pt>
                <c:pt idx="543">
                  <c:v>0.76171875</c:v>
                </c:pt>
                <c:pt idx="544">
                  <c:v>0.765625</c:v>
                </c:pt>
                <c:pt idx="545">
                  <c:v>0.767578125</c:v>
                </c:pt>
                <c:pt idx="546">
                  <c:v>0.7685546875</c:v>
                </c:pt>
                <c:pt idx="547">
                  <c:v>0.7705078125</c:v>
                </c:pt>
                <c:pt idx="548">
                  <c:v>0.771484375</c:v>
                </c:pt>
                <c:pt idx="549">
                  <c:v>0.77197265625</c:v>
                </c:pt>
                <c:pt idx="550">
                  <c:v>0.77294921875</c:v>
                </c:pt>
                <c:pt idx="551">
                  <c:v>0.7734375</c:v>
                </c:pt>
                <c:pt idx="552">
                  <c:v>0.77392578125</c:v>
                </c:pt>
                <c:pt idx="553">
                  <c:v>0.77490234375</c:v>
                </c:pt>
                <c:pt idx="554">
                  <c:v>0.775390625</c:v>
                </c:pt>
                <c:pt idx="555">
                  <c:v>0.779296875</c:v>
                </c:pt>
                <c:pt idx="556">
                  <c:v>0.787109375</c:v>
                </c:pt>
                <c:pt idx="557">
                  <c:v>0.791015625</c:v>
                </c:pt>
                <c:pt idx="558">
                  <c:v>0.7919921875</c:v>
                </c:pt>
                <c:pt idx="559">
                  <c:v>0.7939453125</c:v>
                </c:pt>
                <c:pt idx="560">
                  <c:v>0.794921875</c:v>
                </c:pt>
                <c:pt idx="561">
                  <c:v>0.7958984375</c:v>
                </c:pt>
                <c:pt idx="562">
                  <c:v>0.7978515625</c:v>
                </c:pt>
                <c:pt idx="563">
                  <c:v>0.798828125</c:v>
                </c:pt>
                <c:pt idx="564">
                  <c:v>0.80078125</c:v>
                </c:pt>
                <c:pt idx="565">
                  <c:v>0.8046875</c:v>
                </c:pt>
                <c:pt idx="566">
                  <c:v>0.806640625</c:v>
                </c:pt>
                <c:pt idx="567">
                  <c:v>0.8076171875</c:v>
                </c:pt>
                <c:pt idx="568">
                  <c:v>0.8095703125</c:v>
                </c:pt>
                <c:pt idx="569">
                  <c:v>0.810546875</c:v>
                </c:pt>
                <c:pt idx="570">
                  <c:v>0.81103515625</c:v>
                </c:pt>
                <c:pt idx="571">
                  <c:v>0.81201171875</c:v>
                </c:pt>
                <c:pt idx="572">
                  <c:v>0.8125</c:v>
                </c:pt>
                <c:pt idx="573">
                  <c:v>0.814453125</c:v>
                </c:pt>
                <c:pt idx="574">
                  <c:v>0.818359375</c:v>
                </c:pt>
                <c:pt idx="575">
                  <c:v>0.8203125</c:v>
                </c:pt>
                <c:pt idx="576">
                  <c:v>0.8212890625</c:v>
                </c:pt>
                <c:pt idx="577">
                  <c:v>0.8232421875</c:v>
                </c:pt>
                <c:pt idx="578">
                  <c:v>0.82421875</c:v>
                </c:pt>
                <c:pt idx="579">
                  <c:v>0.82470703125</c:v>
                </c:pt>
                <c:pt idx="580">
                  <c:v>0.82568359375</c:v>
                </c:pt>
                <c:pt idx="581">
                  <c:v>0.826171875</c:v>
                </c:pt>
                <c:pt idx="582">
                  <c:v>0.828125</c:v>
                </c:pt>
                <c:pt idx="583">
                  <c:v>0.83203125</c:v>
                </c:pt>
                <c:pt idx="584">
                  <c:v>0.833984375</c:v>
                </c:pt>
                <c:pt idx="585">
                  <c:v>0.8349609375</c:v>
                </c:pt>
                <c:pt idx="586">
                  <c:v>0.8369140625</c:v>
                </c:pt>
                <c:pt idx="587">
                  <c:v>0.837890625</c:v>
                </c:pt>
                <c:pt idx="588">
                  <c:v>0.8388671875</c:v>
                </c:pt>
                <c:pt idx="589">
                  <c:v>0.8408203125</c:v>
                </c:pt>
                <c:pt idx="590">
                  <c:v>0.841796875</c:v>
                </c:pt>
                <c:pt idx="591">
                  <c:v>0.8427734375</c:v>
                </c:pt>
                <c:pt idx="592">
                  <c:v>0.8447265625</c:v>
                </c:pt>
                <c:pt idx="593">
                  <c:v>0.845703125</c:v>
                </c:pt>
                <c:pt idx="594">
                  <c:v>0.84765625</c:v>
                </c:pt>
                <c:pt idx="595">
                  <c:v>0.8515625</c:v>
                </c:pt>
                <c:pt idx="596">
                  <c:v>0.853515625</c:v>
                </c:pt>
                <c:pt idx="597">
                  <c:v>0.85400390625</c:v>
                </c:pt>
                <c:pt idx="598">
                  <c:v>0.85498046875</c:v>
                </c:pt>
                <c:pt idx="599">
                  <c:v>0.85546875</c:v>
                </c:pt>
                <c:pt idx="600">
                  <c:v>0.855712890625</c:v>
                </c:pt>
                <c:pt idx="601">
                  <c:v>0.856201171875</c:v>
                </c:pt>
                <c:pt idx="602">
                  <c:v>0.8564453125</c:v>
                </c:pt>
                <c:pt idx="603">
                  <c:v>0.857421875</c:v>
                </c:pt>
                <c:pt idx="604">
                  <c:v>0.859375</c:v>
                </c:pt>
                <c:pt idx="605">
                  <c:v>0.8603515625</c:v>
                </c:pt>
                <c:pt idx="606">
                  <c:v>0.86083984375</c:v>
                </c:pt>
                <c:pt idx="607">
                  <c:v>0.86181640625</c:v>
                </c:pt>
                <c:pt idx="608">
                  <c:v>0.8623046875</c:v>
                </c:pt>
                <c:pt idx="609">
                  <c:v>0.86279296875</c:v>
                </c:pt>
                <c:pt idx="610">
                  <c:v>0.86376953125</c:v>
                </c:pt>
                <c:pt idx="611">
                  <c:v>0.8642578125</c:v>
                </c:pt>
                <c:pt idx="612">
                  <c:v>0.865234375</c:v>
                </c:pt>
                <c:pt idx="613">
                  <c:v>0.8671875</c:v>
                </c:pt>
                <c:pt idx="614">
                  <c:v>0.8681640625</c:v>
                </c:pt>
                <c:pt idx="615">
                  <c:v>0.868408203125</c:v>
                </c:pt>
                <c:pt idx="616">
                  <c:v>0.868896484375</c:v>
                </c:pt>
                <c:pt idx="617">
                  <c:v>0.869140625</c:v>
                </c:pt>
                <c:pt idx="618">
                  <c:v>0.86962890625</c:v>
                </c:pt>
                <c:pt idx="619">
                  <c:v>0.87060546875</c:v>
                </c:pt>
                <c:pt idx="620">
                  <c:v>0.87109375</c:v>
                </c:pt>
                <c:pt idx="621">
                  <c:v>0.873046875</c:v>
                </c:pt>
                <c:pt idx="622">
                  <c:v>0.876953125</c:v>
                </c:pt>
                <c:pt idx="623">
                  <c:v>0.87890625</c:v>
                </c:pt>
                <c:pt idx="624">
                  <c:v>0.8798828125</c:v>
                </c:pt>
                <c:pt idx="625">
                  <c:v>0.8818359375</c:v>
                </c:pt>
                <c:pt idx="626">
                  <c:v>0.8828125</c:v>
                </c:pt>
                <c:pt idx="627">
                  <c:v>0.88330078125</c:v>
                </c:pt>
                <c:pt idx="628">
                  <c:v>0.88427734375</c:v>
                </c:pt>
                <c:pt idx="629">
                  <c:v>0.884765625</c:v>
                </c:pt>
                <c:pt idx="630">
                  <c:v>0.888671875</c:v>
                </c:pt>
                <c:pt idx="631">
                  <c:v>0.896484375</c:v>
                </c:pt>
                <c:pt idx="632">
                  <c:v>0.900390625</c:v>
                </c:pt>
                <c:pt idx="633">
                  <c:v>0.90234375</c:v>
                </c:pt>
                <c:pt idx="634">
                  <c:v>0.90625</c:v>
                </c:pt>
                <c:pt idx="635">
                  <c:v>0.908203125</c:v>
                </c:pt>
                <c:pt idx="636">
                  <c:v>0.91015625</c:v>
                </c:pt>
                <c:pt idx="637">
                  <c:v>0.9140625</c:v>
                </c:pt>
                <c:pt idx="638">
                  <c:v>0.916015625</c:v>
                </c:pt>
                <c:pt idx="639">
                  <c:v>0.9169921875</c:v>
                </c:pt>
                <c:pt idx="640">
                  <c:v>0.9189453125</c:v>
                </c:pt>
                <c:pt idx="641">
                  <c:v>0.919921875</c:v>
                </c:pt>
                <c:pt idx="642">
                  <c:v>0.9208984375</c:v>
                </c:pt>
                <c:pt idx="643">
                  <c:v>0.9228515625</c:v>
                </c:pt>
                <c:pt idx="644">
                  <c:v>0.923828125</c:v>
                </c:pt>
                <c:pt idx="645">
                  <c:v>0.92431640625</c:v>
                </c:pt>
                <c:pt idx="646">
                  <c:v>0.92529296875</c:v>
                </c:pt>
                <c:pt idx="647">
                  <c:v>0.92578125</c:v>
                </c:pt>
                <c:pt idx="648">
                  <c:v>0.926025390625</c:v>
                </c:pt>
                <c:pt idx="649">
                  <c:v>0.926513671875</c:v>
                </c:pt>
                <c:pt idx="650">
                  <c:v>0.9267578125</c:v>
                </c:pt>
                <c:pt idx="651">
                  <c:v>0.927734375</c:v>
                </c:pt>
                <c:pt idx="652">
                  <c:v>0.9296875</c:v>
                </c:pt>
                <c:pt idx="653">
                  <c:v>0.9306640625</c:v>
                </c:pt>
                <c:pt idx="654">
                  <c:v>0.93115234375</c:v>
                </c:pt>
                <c:pt idx="655">
                  <c:v>0.93212890625</c:v>
                </c:pt>
                <c:pt idx="656">
                  <c:v>0.9326171875</c:v>
                </c:pt>
                <c:pt idx="657">
                  <c:v>0.932861328125</c:v>
                </c:pt>
                <c:pt idx="658">
                  <c:v>0.933349609375</c:v>
                </c:pt>
                <c:pt idx="659">
                  <c:v>0.93359375</c:v>
                </c:pt>
                <c:pt idx="660">
                  <c:v>0.93408203125</c:v>
                </c:pt>
                <c:pt idx="661">
                  <c:v>0.93505859375</c:v>
                </c:pt>
                <c:pt idx="662">
                  <c:v>0.935546875</c:v>
                </c:pt>
                <c:pt idx="663">
                  <c:v>0.9375</c:v>
                </c:pt>
                <c:pt idx="664">
                  <c:v>0.94140625</c:v>
                </c:pt>
                <c:pt idx="665">
                  <c:v>0.943359375</c:v>
                </c:pt>
                <c:pt idx="666">
                  <c:v>0.9443359375</c:v>
                </c:pt>
                <c:pt idx="667">
                  <c:v>0.9462890625</c:v>
                </c:pt>
                <c:pt idx="668">
                  <c:v>0.947265625</c:v>
                </c:pt>
                <c:pt idx="669">
                  <c:v>0.9482421875</c:v>
                </c:pt>
                <c:pt idx="670">
                  <c:v>0.9501953125</c:v>
                </c:pt>
                <c:pt idx="671">
                  <c:v>0.951171875</c:v>
                </c:pt>
                <c:pt idx="672">
                  <c:v>0.95166015625</c:v>
                </c:pt>
                <c:pt idx="673">
                  <c:v>0.95263671875</c:v>
                </c:pt>
                <c:pt idx="674">
                  <c:v>0.953125</c:v>
                </c:pt>
                <c:pt idx="675">
                  <c:v>0.95361328125</c:v>
                </c:pt>
                <c:pt idx="676">
                  <c:v>0.95458984375</c:v>
                </c:pt>
                <c:pt idx="677">
                  <c:v>0.955078125</c:v>
                </c:pt>
                <c:pt idx="678">
                  <c:v>0.9560546875</c:v>
                </c:pt>
                <c:pt idx="679">
                  <c:v>0.9580078125</c:v>
                </c:pt>
                <c:pt idx="680">
                  <c:v>0.958984375</c:v>
                </c:pt>
                <c:pt idx="681">
                  <c:v>0.959228515625</c:v>
                </c:pt>
                <c:pt idx="682">
                  <c:v>0.959716796875</c:v>
                </c:pt>
                <c:pt idx="683">
                  <c:v>0.9599609375</c:v>
                </c:pt>
                <c:pt idx="684">
                  <c:v>0.96044921875</c:v>
                </c:pt>
                <c:pt idx="685">
                  <c:v>0.96142578125</c:v>
                </c:pt>
                <c:pt idx="686">
                  <c:v>0.9619140625</c:v>
                </c:pt>
                <c:pt idx="687">
                  <c:v>0.96240234375</c:v>
                </c:pt>
                <c:pt idx="688">
                  <c:v>0.96337890625</c:v>
                </c:pt>
                <c:pt idx="689">
                  <c:v>0.9638671875</c:v>
                </c:pt>
                <c:pt idx="690">
                  <c:v>0.964111328125</c:v>
                </c:pt>
                <c:pt idx="691">
                  <c:v>0.964599609375</c:v>
                </c:pt>
                <c:pt idx="692">
                  <c:v>0.96484375</c:v>
                </c:pt>
                <c:pt idx="693">
                  <c:v>0.9658203125</c:v>
                </c:pt>
                <c:pt idx="694">
                  <c:v>0.9677734375</c:v>
                </c:pt>
                <c:pt idx="695">
                  <c:v>0.96875</c:v>
                </c:pt>
                <c:pt idx="696">
                  <c:v>0.970703125</c:v>
                </c:pt>
                <c:pt idx="697">
                  <c:v>0.974609375</c:v>
                </c:pt>
                <c:pt idx="698">
                  <c:v>0.9765625</c:v>
                </c:pt>
                <c:pt idx="699">
                  <c:v>0.97705078125</c:v>
                </c:pt>
                <c:pt idx="700">
                  <c:v>0.97802734375</c:v>
                </c:pt>
                <c:pt idx="701">
                  <c:v>0.978515625</c:v>
                </c:pt>
                <c:pt idx="702">
                  <c:v>0.9794921875</c:v>
                </c:pt>
                <c:pt idx="703">
                  <c:v>0.9814453125</c:v>
                </c:pt>
                <c:pt idx="704">
                  <c:v>0.982421875</c:v>
                </c:pt>
                <c:pt idx="705">
                  <c:v>0.9833984375</c:v>
                </c:pt>
                <c:pt idx="706">
                  <c:v>0.9853515625</c:v>
                </c:pt>
                <c:pt idx="707">
                  <c:v>0.986328125</c:v>
                </c:pt>
                <c:pt idx="708">
                  <c:v>0.98681640625</c:v>
                </c:pt>
                <c:pt idx="709">
                  <c:v>0.98779296875</c:v>
                </c:pt>
                <c:pt idx="710">
                  <c:v>0.98828125</c:v>
                </c:pt>
                <c:pt idx="711">
                  <c:v>0.98876953125</c:v>
                </c:pt>
                <c:pt idx="712">
                  <c:v>0.98974609375</c:v>
                </c:pt>
                <c:pt idx="713">
                  <c:v>0.990234375</c:v>
                </c:pt>
                <c:pt idx="714">
                  <c:v>0.9912109375</c:v>
                </c:pt>
                <c:pt idx="715">
                  <c:v>0.9931640625</c:v>
                </c:pt>
                <c:pt idx="716">
                  <c:v>0.994140625</c:v>
                </c:pt>
                <c:pt idx="717">
                  <c:v>0.994384765625</c:v>
                </c:pt>
                <c:pt idx="718">
                  <c:v>0.994873046875</c:v>
                </c:pt>
                <c:pt idx="719">
                  <c:v>0.9951171875</c:v>
                </c:pt>
                <c:pt idx="720">
                  <c:v>0.99560546875</c:v>
                </c:pt>
                <c:pt idx="721">
                  <c:v>0.99658203125</c:v>
                </c:pt>
                <c:pt idx="722">
                  <c:v>0.9970703125</c:v>
                </c:pt>
                <c:pt idx="723">
                  <c:v>0.99755859375</c:v>
                </c:pt>
                <c:pt idx="724">
                  <c:v>0.99853515625</c:v>
                </c:pt>
                <c:pt idx="725">
                  <c:v>0.9990234375</c:v>
                </c:pt>
                <c:pt idx="726">
                  <c:v>0.999267578125</c:v>
                </c:pt>
                <c:pt idx="727">
                  <c:v>0.999755859375</c:v>
                </c:pt>
                <c:pt idx="72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9-4879-946B-D04D489FFFA5}"/>
            </c:ext>
          </c:extLst>
        </c:ser>
        <c:ser>
          <c:idx val="2"/>
          <c:order val="2"/>
          <c:tx>
            <c:v>Strategy 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CDF!$G$2:$G$730</c:f>
              <c:numCache>
                <c:formatCode>General</c:formatCode>
                <c:ptCount val="7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0.48389912802878188</c:v>
                </c:pt>
                <c:pt idx="82">
                  <c:v>0.48389912802878188</c:v>
                </c:pt>
                <c:pt idx="83">
                  <c:v>0.48389912802878188</c:v>
                </c:pt>
                <c:pt idx="84">
                  <c:v>0.59556815757388393</c:v>
                </c:pt>
                <c:pt idx="85">
                  <c:v>0.59556815757388393</c:v>
                </c:pt>
                <c:pt idx="86">
                  <c:v>0.59556815757388393</c:v>
                </c:pt>
                <c:pt idx="87">
                  <c:v>0.67001417727061796</c:v>
                </c:pt>
                <c:pt idx="88">
                  <c:v>0.67001417727061796</c:v>
                </c:pt>
                <c:pt idx="89">
                  <c:v>0.67001417727061796</c:v>
                </c:pt>
                <c:pt idx="90">
                  <c:v>0.77323259651665233</c:v>
                </c:pt>
                <c:pt idx="91">
                  <c:v>0.77323259651665233</c:v>
                </c:pt>
                <c:pt idx="92">
                  <c:v>0.77323259651665233</c:v>
                </c:pt>
                <c:pt idx="93">
                  <c:v>0.84042613829629575</c:v>
                </c:pt>
                <c:pt idx="94">
                  <c:v>0.84042613829629575</c:v>
                </c:pt>
                <c:pt idx="95">
                  <c:v>0.84042613829629575</c:v>
                </c:pt>
                <c:pt idx="96">
                  <c:v>0.9516708880204956</c:v>
                </c:pt>
                <c:pt idx="97">
                  <c:v>0.9516708880204956</c:v>
                </c:pt>
                <c:pt idx="98">
                  <c:v>0.9516708880204956</c:v>
                </c:pt>
                <c:pt idx="99">
                  <c:v>0.96779825605756109</c:v>
                </c:pt>
                <c:pt idx="100">
                  <c:v>0.96779825605756109</c:v>
                </c:pt>
                <c:pt idx="101">
                  <c:v>0.96779825605756109</c:v>
                </c:pt>
                <c:pt idx="102">
                  <c:v>1.0343706317492853</c:v>
                </c:pt>
                <c:pt idx="103">
                  <c:v>1.0343706317492853</c:v>
                </c:pt>
                <c:pt idx="104">
                  <c:v>1.0343706317492853</c:v>
                </c:pt>
                <c:pt idx="105">
                  <c:v>1.0706297490230596</c:v>
                </c:pt>
                <c:pt idx="106">
                  <c:v>1.0706297490230596</c:v>
                </c:pt>
                <c:pt idx="107">
                  <c:v>1.0706297490230596</c:v>
                </c:pt>
                <c:pt idx="108">
                  <c:v>1.1636669607179451</c:v>
                </c:pt>
                <c:pt idx="109">
                  <c:v>1.1636669607179451</c:v>
                </c:pt>
                <c:pt idx="110">
                  <c:v>1.1636669607179451</c:v>
                </c:pt>
                <c:pt idx="111">
                  <c:v>1.1911363151477687</c:v>
                </c:pt>
                <c:pt idx="112">
                  <c:v>1.1911363151477687</c:v>
                </c:pt>
                <c:pt idx="113">
                  <c:v>1.1911363151477687</c:v>
                </c:pt>
                <c:pt idx="114">
                  <c:v>1.2097478200719514</c:v>
                </c:pt>
                <c:pt idx="115">
                  <c:v>1.2097478200719514</c:v>
                </c:pt>
                <c:pt idx="116">
                  <c:v>1.2097478200719514</c:v>
                </c:pt>
                <c:pt idx="117">
                  <c:v>1.3400283545412375</c:v>
                </c:pt>
                <c:pt idx="118">
                  <c:v>1.3400283545412375</c:v>
                </c:pt>
                <c:pt idx="119">
                  <c:v>1.3400283545412375</c:v>
                </c:pt>
                <c:pt idx="120">
                  <c:v>1.4889203939347078</c:v>
                </c:pt>
                <c:pt idx="121">
                  <c:v>1.4889203939347078</c:v>
                </c:pt>
                <c:pt idx="122">
                  <c:v>1.4889203939347078</c:v>
                </c:pt>
                <c:pt idx="123">
                  <c:v>1.5464651930333067</c:v>
                </c:pt>
                <c:pt idx="124">
                  <c:v>1.5464651930333067</c:v>
                </c:pt>
                <c:pt idx="125">
                  <c:v>1.5464651930333067</c:v>
                </c:pt>
                <c:pt idx="126">
                  <c:v>1.6750354431765495</c:v>
                </c:pt>
                <c:pt idx="127">
                  <c:v>1.6750354431765495</c:v>
                </c:pt>
                <c:pt idx="128">
                  <c:v>1.6750354431765495</c:v>
                </c:pt>
                <c:pt idx="129">
                  <c:v>1.6808522765925888</c:v>
                </c:pt>
                <c:pt idx="130">
                  <c:v>1.6808522765925888</c:v>
                </c:pt>
                <c:pt idx="131">
                  <c:v>1.6808522765925888</c:v>
                </c:pt>
                <c:pt idx="132">
                  <c:v>1.9033417760409903</c:v>
                </c:pt>
                <c:pt idx="133">
                  <c:v>1.9033417760409903</c:v>
                </c:pt>
                <c:pt idx="134">
                  <c:v>1.9033417760409903</c:v>
                </c:pt>
                <c:pt idx="135">
                  <c:v>1.933081491291633</c:v>
                </c:pt>
                <c:pt idx="136">
                  <c:v>1.933081491291633</c:v>
                </c:pt>
                <c:pt idx="137">
                  <c:v>1.933081491291633</c:v>
                </c:pt>
                <c:pt idx="138">
                  <c:v>1.9355965121151222</c:v>
                </c:pt>
                <c:pt idx="139">
                  <c:v>1.9355965121151222</c:v>
                </c:pt>
                <c:pt idx="140">
                  <c:v>1.9355965121151222</c:v>
                </c:pt>
                <c:pt idx="141">
                  <c:v>2.0687412634985751</c:v>
                </c:pt>
                <c:pt idx="142">
                  <c:v>2.0687412634985751</c:v>
                </c:pt>
                <c:pt idx="143">
                  <c:v>2.0687412634985751</c:v>
                </c:pt>
                <c:pt idx="144">
                  <c:v>2.1010653457407376</c:v>
                </c:pt>
                <c:pt idx="145">
                  <c:v>2.1010653457407376</c:v>
                </c:pt>
                <c:pt idx="146">
                  <c:v>2.1010653457407376</c:v>
                </c:pt>
                <c:pt idx="147">
                  <c:v>2.1412594980461193</c:v>
                </c:pt>
                <c:pt idx="148">
                  <c:v>2.1412594980461193</c:v>
                </c:pt>
                <c:pt idx="149">
                  <c:v>2.1412594980461193</c:v>
                </c:pt>
                <c:pt idx="150">
                  <c:v>2.3273339214358928</c:v>
                </c:pt>
                <c:pt idx="151">
                  <c:v>2.3273339214358928</c:v>
                </c:pt>
                <c:pt idx="152">
                  <c:v>2.3273339214358928</c:v>
                </c:pt>
                <c:pt idx="153">
                  <c:v>2.3791772200512344</c:v>
                </c:pt>
                <c:pt idx="154">
                  <c:v>2.3791772200512344</c:v>
                </c:pt>
                <c:pt idx="155">
                  <c:v>2.3791772200512344</c:v>
                </c:pt>
                <c:pt idx="156">
                  <c:v>2.3822726302955366</c:v>
                </c:pt>
                <c:pt idx="157">
                  <c:v>2.3822726302955366</c:v>
                </c:pt>
                <c:pt idx="158">
                  <c:v>2.3822726302955366</c:v>
                </c:pt>
                <c:pt idx="159">
                  <c:v>2.4194956401439001</c:v>
                </c:pt>
                <c:pt idx="160">
                  <c:v>2.4194956401439001</c:v>
                </c:pt>
                <c:pt idx="161">
                  <c:v>2.4194956401439001</c:v>
                </c:pt>
                <c:pt idx="162">
                  <c:v>2.4194956401439036</c:v>
                </c:pt>
                <c:pt idx="163">
                  <c:v>2.4194956401439036</c:v>
                </c:pt>
                <c:pt idx="164">
                  <c:v>2.4194956401439036</c:v>
                </c:pt>
                <c:pt idx="165">
                  <c:v>2.5801089173508185</c:v>
                </c:pt>
                <c:pt idx="166">
                  <c:v>2.5801089173508185</c:v>
                </c:pt>
                <c:pt idx="167">
                  <c:v>2.5801089173508185</c:v>
                </c:pt>
                <c:pt idx="168">
                  <c:v>2.6614452041582859</c:v>
                </c:pt>
                <c:pt idx="169">
                  <c:v>2.6614452041582859</c:v>
                </c:pt>
                <c:pt idx="170">
                  <c:v>2.6614452041582859</c:v>
                </c:pt>
                <c:pt idx="171">
                  <c:v>2.6765743725576416</c:v>
                </c:pt>
                <c:pt idx="172">
                  <c:v>2.6765743725576416</c:v>
                </c:pt>
                <c:pt idx="173">
                  <c:v>2.6765743725576416</c:v>
                </c:pt>
                <c:pt idx="174">
                  <c:v>2.6800567090824772</c:v>
                </c:pt>
                <c:pt idx="175">
                  <c:v>2.6800567090824772</c:v>
                </c:pt>
                <c:pt idx="176">
                  <c:v>2.6800567090824772</c:v>
                </c:pt>
                <c:pt idx="177">
                  <c:v>2.8540413662347963</c:v>
                </c:pt>
                <c:pt idx="178">
                  <c:v>2.8540413662347963</c:v>
                </c:pt>
                <c:pt idx="179">
                  <c:v>2.8540413662347963</c:v>
                </c:pt>
                <c:pt idx="180">
                  <c:v>2.9033947681726828</c:v>
                </c:pt>
                <c:pt idx="181">
                  <c:v>2.9033947681726828</c:v>
                </c:pt>
                <c:pt idx="182">
                  <c:v>2.9033947681726828</c:v>
                </c:pt>
                <c:pt idx="183">
                  <c:v>2.9778407878694191</c:v>
                </c:pt>
                <c:pt idx="184">
                  <c:v>2.9778407878694191</c:v>
                </c:pt>
                <c:pt idx="185">
                  <c:v>2.9778407878694191</c:v>
                </c:pt>
                <c:pt idx="186">
                  <c:v>2.9778407878694204</c:v>
                </c:pt>
                <c:pt idx="187">
                  <c:v>2.9778407878694204</c:v>
                </c:pt>
                <c:pt idx="188">
                  <c:v>2.9778407878694204</c:v>
                </c:pt>
                <c:pt idx="189">
                  <c:v>3.0929303860666124</c:v>
                </c:pt>
                <c:pt idx="190">
                  <c:v>3.0929303860666124</c:v>
                </c:pt>
                <c:pt idx="191">
                  <c:v>3.0929303860666124</c:v>
                </c:pt>
                <c:pt idx="192">
                  <c:v>3.2570248666563648</c:v>
                </c:pt>
                <c:pt idx="193">
                  <c:v>3.2570248666563648</c:v>
                </c:pt>
                <c:pt idx="194">
                  <c:v>3.2570248666563648</c:v>
                </c:pt>
                <c:pt idx="195">
                  <c:v>3.3500708863530946</c:v>
                </c:pt>
                <c:pt idx="196">
                  <c:v>3.3500708863530946</c:v>
                </c:pt>
                <c:pt idx="197">
                  <c:v>3.3500708863530946</c:v>
                </c:pt>
                <c:pt idx="198">
                  <c:v>3.3500708863530968</c:v>
                </c:pt>
                <c:pt idx="199">
                  <c:v>3.3500708863530968</c:v>
                </c:pt>
                <c:pt idx="200">
                  <c:v>3.3500708863530968</c:v>
                </c:pt>
                <c:pt idx="201">
                  <c:v>3.3617045531851804</c:v>
                </c:pt>
                <c:pt idx="202">
                  <c:v>3.3617045531851804</c:v>
                </c:pt>
                <c:pt idx="203">
                  <c:v>3.3617045531851804</c:v>
                </c:pt>
                <c:pt idx="204">
                  <c:v>3.3872938962014643</c:v>
                </c:pt>
                <c:pt idx="205">
                  <c:v>3.3872938962014643</c:v>
                </c:pt>
                <c:pt idx="206">
                  <c:v>3.3872938962014643</c:v>
                </c:pt>
                <c:pt idx="207">
                  <c:v>3.5232151320528735</c:v>
                </c:pt>
                <c:pt idx="208">
                  <c:v>3.5232151320528735</c:v>
                </c:pt>
                <c:pt idx="209">
                  <c:v>3.5232151320528735</c:v>
                </c:pt>
                <c:pt idx="210">
                  <c:v>3.5734089454433042</c:v>
                </c:pt>
                <c:pt idx="211">
                  <c:v>3.5734089454433042</c:v>
                </c:pt>
                <c:pt idx="212">
                  <c:v>3.5734089454433042</c:v>
                </c:pt>
                <c:pt idx="213">
                  <c:v>3.6699535247005088</c:v>
                </c:pt>
                <c:pt idx="214">
                  <c:v>3.6699535247005088</c:v>
                </c:pt>
                <c:pt idx="215">
                  <c:v>3.6699535247005088</c:v>
                </c:pt>
                <c:pt idx="216">
                  <c:v>3.6945813024782841</c:v>
                </c:pt>
                <c:pt idx="217">
                  <c:v>3.6945813024782841</c:v>
                </c:pt>
                <c:pt idx="218">
                  <c:v>3.6945813024782841</c:v>
                </c:pt>
                <c:pt idx="219">
                  <c:v>3.8066835520819877</c:v>
                </c:pt>
                <c:pt idx="220">
                  <c:v>3.8066835520819877</c:v>
                </c:pt>
                <c:pt idx="221">
                  <c:v>3.8066835520819877</c:v>
                </c:pt>
                <c:pt idx="222">
                  <c:v>3.819109929021486</c:v>
                </c:pt>
                <c:pt idx="223">
                  <c:v>3.819109929021486</c:v>
                </c:pt>
                <c:pt idx="224">
                  <c:v>3.819109929021486</c:v>
                </c:pt>
                <c:pt idx="225">
                  <c:v>3.819109929021486</c:v>
                </c:pt>
                <c:pt idx="226">
                  <c:v>3.819109929021486</c:v>
                </c:pt>
                <c:pt idx="227">
                  <c:v>3.819109929021486</c:v>
                </c:pt>
                <c:pt idx="228">
                  <c:v>3.819109929021486</c:v>
                </c:pt>
                <c:pt idx="229">
                  <c:v>3.819109929021486</c:v>
                </c:pt>
                <c:pt idx="230">
                  <c:v>3.819109929021486</c:v>
                </c:pt>
                <c:pt idx="231">
                  <c:v>3.819109929021486</c:v>
                </c:pt>
                <c:pt idx="232">
                  <c:v>3.819109929021486</c:v>
                </c:pt>
                <c:pt idx="233">
                  <c:v>3.819109929021486</c:v>
                </c:pt>
                <c:pt idx="234">
                  <c:v>3.8661629825832633</c:v>
                </c:pt>
                <c:pt idx="235">
                  <c:v>3.8661629825832633</c:v>
                </c:pt>
                <c:pt idx="236">
                  <c:v>3.8661629825832633</c:v>
                </c:pt>
                <c:pt idx="237">
                  <c:v>3.8661629825832646</c:v>
                </c:pt>
                <c:pt idx="238">
                  <c:v>3.8661629825832646</c:v>
                </c:pt>
                <c:pt idx="239">
                  <c:v>3.8661629825832646</c:v>
                </c:pt>
                <c:pt idx="240">
                  <c:v>3.8711930242302457</c:v>
                </c:pt>
                <c:pt idx="241">
                  <c:v>3.8711930242302457</c:v>
                </c:pt>
                <c:pt idx="242">
                  <c:v>3.8711930242302457</c:v>
                </c:pt>
                <c:pt idx="243">
                  <c:v>4.0200850636237142</c:v>
                </c:pt>
                <c:pt idx="244">
                  <c:v>4.0200850636237142</c:v>
                </c:pt>
                <c:pt idx="245">
                  <c:v>4.0200850636237142</c:v>
                </c:pt>
                <c:pt idx="246">
                  <c:v>4.1374825269971502</c:v>
                </c:pt>
                <c:pt idx="247">
                  <c:v>4.1374825269971502</c:v>
                </c:pt>
                <c:pt idx="248">
                  <c:v>4.1374825269971502</c:v>
                </c:pt>
                <c:pt idx="249">
                  <c:v>4.1689771030171885</c:v>
                </c:pt>
                <c:pt idx="250">
                  <c:v>4.1689771030171885</c:v>
                </c:pt>
                <c:pt idx="251">
                  <c:v>4.1689771030171885</c:v>
                </c:pt>
                <c:pt idx="252">
                  <c:v>4.2021306914814778</c:v>
                </c:pt>
                <c:pt idx="253">
                  <c:v>4.2021306914814778</c:v>
                </c:pt>
                <c:pt idx="254">
                  <c:v>4.2021306914814778</c:v>
                </c:pt>
                <c:pt idx="255">
                  <c:v>4.2021306914814804</c:v>
                </c:pt>
                <c:pt idx="256">
                  <c:v>4.2021306914814804</c:v>
                </c:pt>
                <c:pt idx="257">
                  <c:v>4.2021306914814804</c:v>
                </c:pt>
                <c:pt idx="258">
                  <c:v>4.2825189960922359</c:v>
                </c:pt>
                <c:pt idx="259">
                  <c:v>4.2825189960922359</c:v>
                </c:pt>
                <c:pt idx="260">
                  <c:v>4.2825189960922359</c:v>
                </c:pt>
                <c:pt idx="261">
                  <c:v>4.3550921522590267</c:v>
                </c:pt>
                <c:pt idx="262">
                  <c:v>4.3550921522590267</c:v>
                </c:pt>
                <c:pt idx="263">
                  <c:v>4.3550921522590267</c:v>
                </c:pt>
                <c:pt idx="264">
                  <c:v>4.6393955790999195</c:v>
                </c:pt>
                <c:pt idx="265">
                  <c:v>4.6393955790999195</c:v>
                </c:pt>
                <c:pt idx="266">
                  <c:v>4.6393955790999195</c:v>
                </c:pt>
                <c:pt idx="267">
                  <c:v>4.65466784287179</c:v>
                </c:pt>
                <c:pt idx="268">
                  <c:v>4.65466784287179</c:v>
                </c:pt>
                <c:pt idx="269">
                  <c:v>4.65466784287179</c:v>
                </c:pt>
                <c:pt idx="270">
                  <c:v>4.6900992408943338</c:v>
                </c:pt>
                <c:pt idx="271">
                  <c:v>4.6900992408943338</c:v>
                </c:pt>
                <c:pt idx="272">
                  <c:v>4.6900992408943338</c:v>
                </c:pt>
                <c:pt idx="273">
                  <c:v>4.7583544401024813</c:v>
                </c:pt>
                <c:pt idx="274">
                  <c:v>4.7583544401024813</c:v>
                </c:pt>
                <c:pt idx="275">
                  <c:v>4.7583544401024813</c:v>
                </c:pt>
                <c:pt idx="276">
                  <c:v>4.7583544401024831</c:v>
                </c:pt>
                <c:pt idx="277">
                  <c:v>4.7583544401024831</c:v>
                </c:pt>
                <c:pt idx="278">
                  <c:v>4.7583544401024831</c:v>
                </c:pt>
                <c:pt idx="279">
                  <c:v>4.7645452605910714</c:v>
                </c:pt>
                <c:pt idx="280">
                  <c:v>4.7645452605910714</c:v>
                </c:pt>
                <c:pt idx="281">
                  <c:v>4.7645452605910714</c:v>
                </c:pt>
                <c:pt idx="282">
                  <c:v>4.8389912802878055</c:v>
                </c:pt>
                <c:pt idx="283">
                  <c:v>4.8389912802878055</c:v>
                </c:pt>
                <c:pt idx="284">
                  <c:v>4.8389912802878055</c:v>
                </c:pt>
                <c:pt idx="285">
                  <c:v>5.0425568297777739</c:v>
                </c:pt>
                <c:pt idx="286">
                  <c:v>5.0425568297777739</c:v>
                </c:pt>
                <c:pt idx="287">
                  <c:v>5.0425568297777739</c:v>
                </c:pt>
                <c:pt idx="288">
                  <c:v>5.1602178347016467</c:v>
                </c:pt>
                <c:pt idx="289">
                  <c:v>5.1602178347016467</c:v>
                </c:pt>
                <c:pt idx="290">
                  <c:v>5.1602178347016467</c:v>
                </c:pt>
                <c:pt idx="291">
                  <c:v>5.1718531587464351</c:v>
                </c:pt>
                <c:pt idx="292">
                  <c:v>5.1718531587464351</c:v>
                </c:pt>
                <c:pt idx="293">
                  <c:v>5.1718531587464351</c:v>
                </c:pt>
                <c:pt idx="294">
                  <c:v>5.3228904083165913</c:v>
                </c:pt>
                <c:pt idx="295">
                  <c:v>5.3228904083165913</c:v>
                </c:pt>
                <c:pt idx="296">
                  <c:v>5.3228904083165913</c:v>
                </c:pt>
                <c:pt idx="297">
                  <c:v>5.353148745115285</c:v>
                </c:pt>
                <c:pt idx="298">
                  <c:v>5.353148745115285</c:v>
                </c:pt>
                <c:pt idx="299">
                  <c:v>5.353148745115285</c:v>
                </c:pt>
                <c:pt idx="300">
                  <c:v>5.3531487451152904</c:v>
                </c:pt>
                <c:pt idx="301">
                  <c:v>5.3531487451152904</c:v>
                </c:pt>
                <c:pt idx="302">
                  <c:v>5.3531487451152904</c:v>
                </c:pt>
                <c:pt idx="303">
                  <c:v>5.3601134181649543</c:v>
                </c:pt>
                <c:pt idx="304">
                  <c:v>5.3601134181649543</c:v>
                </c:pt>
                <c:pt idx="305">
                  <c:v>5.3601134181649543</c:v>
                </c:pt>
                <c:pt idx="306">
                  <c:v>5.3601134181649543</c:v>
                </c:pt>
                <c:pt idx="307">
                  <c:v>5.3601134181649543</c:v>
                </c:pt>
                <c:pt idx="308">
                  <c:v>5.3601134181649543</c:v>
                </c:pt>
                <c:pt idx="309">
                  <c:v>5.4126281756165744</c:v>
                </c:pt>
                <c:pt idx="310">
                  <c:v>5.4126281756165744</c:v>
                </c:pt>
                <c:pt idx="311">
                  <c:v>5.4126281756165744</c:v>
                </c:pt>
                <c:pt idx="312">
                  <c:v>5.7080827324696122</c:v>
                </c:pt>
                <c:pt idx="313">
                  <c:v>5.7080827324696122</c:v>
                </c:pt>
                <c:pt idx="314">
                  <c:v>5.7080827324696122</c:v>
                </c:pt>
                <c:pt idx="315">
                  <c:v>5.7100253281229776</c:v>
                </c:pt>
                <c:pt idx="316">
                  <c:v>5.7100253281229776</c:v>
                </c:pt>
                <c:pt idx="317">
                  <c:v>5.7100253281229776</c:v>
                </c:pt>
                <c:pt idx="318">
                  <c:v>5.8183348035897424</c:v>
                </c:pt>
                <c:pt idx="319">
                  <c:v>5.8183348035897424</c:v>
                </c:pt>
                <c:pt idx="320">
                  <c:v>5.8183348035897424</c:v>
                </c:pt>
                <c:pt idx="321">
                  <c:v>5.88298296807407</c:v>
                </c:pt>
                <c:pt idx="322">
                  <c:v>5.88298296807407</c:v>
                </c:pt>
                <c:pt idx="323">
                  <c:v>5.88298296807407</c:v>
                </c:pt>
                <c:pt idx="324">
                  <c:v>5.9556815757388426</c:v>
                </c:pt>
                <c:pt idx="325">
                  <c:v>5.9556815757388426</c:v>
                </c:pt>
                <c:pt idx="326">
                  <c:v>5.9556815757388426</c:v>
                </c:pt>
                <c:pt idx="327">
                  <c:v>6.0301275954355766</c:v>
                </c:pt>
                <c:pt idx="328">
                  <c:v>6.0301275954355766</c:v>
                </c:pt>
                <c:pt idx="329">
                  <c:v>6.0301275954355766</c:v>
                </c:pt>
                <c:pt idx="330">
                  <c:v>6.0487391003597581</c:v>
                </c:pt>
                <c:pt idx="331">
                  <c:v>6.0487391003597581</c:v>
                </c:pt>
                <c:pt idx="332">
                  <c:v>6.0487391003597581</c:v>
                </c:pt>
                <c:pt idx="333">
                  <c:v>6.1858607721332275</c:v>
                </c:pt>
                <c:pt idx="334">
                  <c:v>6.1858607721332275</c:v>
                </c:pt>
                <c:pt idx="335">
                  <c:v>6.1858607721332275</c:v>
                </c:pt>
                <c:pt idx="336">
                  <c:v>6.2062237904957227</c:v>
                </c:pt>
                <c:pt idx="337">
                  <c:v>6.2062237904957227</c:v>
                </c:pt>
                <c:pt idx="338">
                  <c:v>6.2062237904957227</c:v>
                </c:pt>
                <c:pt idx="339">
                  <c:v>6.4237784941383476</c:v>
                </c:pt>
                <c:pt idx="340">
                  <c:v>6.4237784941383476</c:v>
                </c:pt>
                <c:pt idx="341">
                  <c:v>6.4237784941383476</c:v>
                </c:pt>
                <c:pt idx="342">
                  <c:v>6.5140497333127207</c:v>
                </c:pt>
                <c:pt idx="343">
                  <c:v>6.5140497333127207</c:v>
                </c:pt>
                <c:pt idx="344">
                  <c:v>6.5140497333127207</c:v>
                </c:pt>
                <c:pt idx="345">
                  <c:v>6.6616962161434747</c:v>
                </c:pt>
                <c:pt idx="346">
                  <c:v>6.6616962161434747</c:v>
                </c:pt>
                <c:pt idx="347">
                  <c:v>6.6616962161434747</c:v>
                </c:pt>
                <c:pt idx="348">
                  <c:v>6.7001417727061927</c:v>
                </c:pt>
                <c:pt idx="349">
                  <c:v>6.7001417727061927</c:v>
                </c:pt>
                <c:pt idx="350">
                  <c:v>6.7001417727061927</c:v>
                </c:pt>
                <c:pt idx="351">
                  <c:v>6.7234091063703678</c:v>
                </c:pt>
                <c:pt idx="352">
                  <c:v>6.7234091063703678</c:v>
                </c:pt>
                <c:pt idx="353">
                  <c:v>6.7234091063703678</c:v>
                </c:pt>
                <c:pt idx="354">
                  <c:v>6.9590933686498788</c:v>
                </c:pt>
                <c:pt idx="355">
                  <c:v>6.9590933686498788</c:v>
                </c:pt>
                <c:pt idx="356">
                  <c:v>6.9590933686498788</c:v>
                </c:pt>
                <c:pt idx="357">
                  <c:v>6.9820017643076868</c:v>
                </c:pt>
                <c:pt idx="358">
                  <c:v>6.9820017643076868</c:v>
                </c:pt>
                <c:pt idx="359">
                  <c:v>6.9820017643076868</c:v>
                </c:pt>
                <c:pt idx="360">
                  <c:v>7.0464302641057577</c:v>
                </c:pt>
                <c:pt idx="361">
                  <c:v>7.0464302641057577</c:v>
                </c:pt>
                <c:pt idx="362">
                  <c:v>7.0464302641057577</c:v>
                </c:pt>
                <c:pt idx="363">
                  <c:v>7.2405944222450067</c:v>
                </c:pt>
                <c:pt idx="364">
                  <c:v>7.2405944222450067</c:v>
                </c:pt>
                <c:pt idx="365">
                  <c:v>7.2405944222450067</c:v>
                </c:pt>
                <c:pt idx="366">
                  <c:v>7.2584869204317108</c:v>
                </c:pt>
                <c:pt idx="367">
                  <c:v>7.2584869204317108</c:v>
                </c:pt>
                <c:pt idx="368">
                  <c:v>7.2584869204317108</c:v>
                </c:pt>
                <c:pt idx="369">
                  <c:v>7.3399070494010648</c:v>
                </c:pt>
                <c:pt idx="370">
                  <c:v>7.3399070494010648</c:v>
                </c:pt>
                <c:pt idx="371">
                  <c:v>7.3399070494010648</c:v>
                </c:pt>
                <c:pt idx="372">
                  <c:v>7.3891626049566161</c:v>
                </c:pt>
                <c:pt idx="373">
                  <c:v>7.3891626049566161</c:v>
                </c:pt>
                <c:pt idx="374">
                  <c:v>7.3891626049566161</c:v>
                </c:pt>
                <c:pt idx="375">
                  <c:v>7.444601969673549</c:v>
                </c:pt>
                <c:pt idx="376">
                  <c:v>7.444601969673549</c:v>
                </c:pt>
                <c:pt idx="377">
                  <c:v>7.444601969673549</c:v>
                </c:pt>
                <c:pt idx="378">
                  <c:v>7.4944082431614056</c:v>
                </c:pt>
                <c:pt idx="379">
                  <c:v>7.4944082431614056</c:v>
                </c:pt>
                <c:pt idx="380">
                  <c:v>7.4944082431614056</c:v>
                </c:pt>
                <c:pt idx="381">
                  <c:v>7.5638352446666604</c:v>
                </c:pt>
                <c:pt idx="382">
                  <c:v>7.5638352446666604</c:v>
                </c:pt>
                <c:pt idx="383">
                  <c:v>7.5638352446666604</c:v>
                </c:pt>
                <c:pt idx="384">
                  <c:v>7.6133671041639683</c:v>
                </c:pt>
                <c:pt idx="385">
                  <c:v>7.6133671041639683</c:v>
                </c:pt>
                <c:pt idx="386">
                  <c:v>7.6133671041639683</c:v>
                </c:pt>
                <c:pt idx="387">
                  <c:v>7.6382198580430352</c:v>
                </c:pt>
                <c:pt idx="388">
                  <c:v>7.6382198580430352</c:v>
                </c:pt>
                <c:pt idx="389">
                  <c:v>7.6382198580430352</c:v>
                </c:pt>
                <c:pt idx="390">
                  <c:v>7.6382198580430352</c:v>
                </c:pt>
                <c:pt idx="391">
                  <c:v>7.6382198580430352</c:v>
                </c:pt>
                <c:pt idx="392">
                  <c:v>7.6382198580430352</c:v>
                </c:pt>
                <c:pt idx="393">
                  <c:v>7.6382198580430352</c:v>
                </c:pt>
                <c:pt idx="394">
                  <c:v>7.6382198580430352</c:v>
                </c:pt>
                <c:pt idx="395">
                  <c:v>7.6382198580430352</c:v>
                </c:pt>
                <c:pt idx="396">
                  <c:v>7.6382198580430352</c:v>
                </c:pt>
                <c:pt idx="397">
                  <c:v>7.6382198580430352</c:v>
                </c:pt>
                <c:pt idx="398">
                  <c:v>7.6382198580430352</c:v>
                </c:pt>
                <c:pt idx="399">
                  <c:v>7.7323259651665301</c:v>
                </c:pt>
                <c:pt idx="400">
                  <c:v>7.7323259651665301</c:v>
                </c:pt>
                <c:pt idx="401">
                  <c:v>7.7323259651665301</c:v>
                </c:pt>
                <c:pt idx="402">
                  <c:v>8.1456687250256294</c:v>
                </c:pt>
                <c:pt idx="403">
                  <c:v>8.1456687250256294</c:v>
                </c:pt>
                <c:pt idx="404">
                  <c:v>8.1456687250256294</c:v>
                </c:pt>
                <c:pt idx="405">
                  <c:v>8.2749650539942952</c:v>
                </c:pt>
                <c:pt idx="406">
                  <c:v>8.2749650539942952</c:v>
                </c:pt>
                <c:pt idx="407">
                  <c:v>8.2749650539942952</c:v>
                </c:pt>
                <c:pt idx="408">
                  <c:v>8.3751772158827436</c:v>
                </c:pt>
                <c:pt idx="409">
                  <c:v>8.3751772158827436</c:v>
                </c:pt>
                <c:pt idx="410">
                  <c:v>8.3751772158827436</c:v>
                </c:pt>
                <c:pt idx="411">
                  <c:v>8.4042613829629573</c:v>
                </c:pt>
                <c:pt idx="412">
                  <c:v>8.4042613829629573</c:v>
                </c:pt>
                <c:pt idx="413">
                  <c:v>8.4042613829629573</c:v>
                </c:pt>
                <c:pt idx="414">
                  <c:v>8.4682347405036644</c:v>
                </c:pt>
                <c:pt idx="415">
                  <c:v>8.4682347405036644</c:v>
                </c:pt>
                <c:pt idx="416">
                  <c:v>8.4682347405036644</c:v>
                </c:pt>
                <c:pt idx="417">
                  <c:v>8.5650379921844646</c:v>
                </c:pt>
                <c:pt idx="418">
                  <c:v>8.5650379921844646</c:v>
                </c:pt>
                <c:pt idx="419">
                  <c:v>8.5650379921844646</c:v>
                </c:pt>
                <c:pt idx="420">
                  <c:v>8.5650379921844664</c:v>
                </c:pt>
                <c:pt idx="421">
                  <c:v>8.5650379921844664</c:v>
                </c:pt>
                <c:pt idx="422">
                  <c:v>8.5650379921844664</c:v>
                </c:pt>
                <c:pt idx="423">
                  <c:v>8.9335223636082564</c:v>
                </c:pt>
                <c:pt idx="424">
                  <c:v>8.9335223636082564</c:v>
                </c:pt>
                <c:pt idx="425">
                  <c:v>8.9335223636082564</c:v>
                </c:pt>
                <c:pt idx="426">
                  <c:v>9.3093356857435818</c:v>
                </c:pt>
                <c:pt idx="427">
                  <c:v>9.3093356857435818</c:v>
                </c:pt>
                <c:pt idx="428">
                  <c:v>9.3093356857435818</c:v>
                </c:pt>
                <c:pt idx="429">
                  <c:v>9.3093356857435818</c:v>
                </c:pt>
                <c:pt idx="430">
                  <c:v>9.3093356857435818</c:v>
                </c:pt>
                <c:pt idx="431">
                  <c:v>9.3093356857435818</c:v>
                </c:pt>
                <c:pt idx="432">
                  <c:v>9.5167088802049662</c:v>
                </c:pt>
                <c:pt idx="433">
                  <c:v>9.5167088802049662</c:v>
                </c:pt>
                <c:pt idx="434">
                  <c:v>9.5167088802049662</c:v>
                </c:pt>
                <c:pt idx="435">
                  <c:v>9.6356677412075218</c:v>
                </c:pt>
                <c:pt idx="436">
                  <c:v>9.6356677412075218</c:v>
                </c:pt>
                <c:pt idx="437">
                  <c:v>9.6356677412075218</c:v>
                </c:pt>
                <c:pt idx="438">
                  <c:v>9.6654074564581656</c:v>
                </c:pt>
                <c:pt idx="439">
                  <c:v>9.6654074564581656</c:v>
                </c:pt>
                <c:pt idx="440">
                  <c:v>9.6654074564581656</c:v>
                </c:pt>
                <c:pt idx="441">
                  <c:v>9.6779825605756198</c:v>
                </c:pt>
                <c:pt idx="442">
                  <c:v>9.6779825605756198</c:v>
                </c:pt>
                <c:pt idx="443">
                  <c:v>9.6779825605756198</c:v>
                </c:pt>
                <c:pt idx="444">
                  <c:v>10.0502126590593</c:v>
                </c:pt>
                <c:pt idx="445">
                  <c:v>10.0502126590593</c:v>
                </c:pt>
                <c:pt idx="446">
                  <c:v>10.0502126590593</c:v>
                </c:pt>
                <c:pt idx="447">
                  <c:v>10.320435669403297</c:v>
                </c:pt>
                <c:pt idx="448">
                  <c:v>10.320435669403297</c:v>
                </c:pt>
                <c:pt idx="449">
                  <c:v>10.320435669403297</c:v>
                </c:pt>
                <c:pt idx="450">
                  <c:v>10.422442757542964</c:v>
                </c:pt>
                <c:pt idx="451">
                  <c:v>10.422442757542964</c:v>
                </c:pt>
                <c:pt idx="452">
                  <c:v>10.422442757542964</c:v>
                </c:pt>
                <c:pt idx="453">
                  <c:v>10.473002646461527</c:v>
                </c:pt>
                <c:pt idx="454">
                  <c:v>10.473002646461527</c:v>
                </c:pt>
                <c:pt idx="455">
                  <c:v>10.473002646461527</c:v>
                </c:pt>
                <c:pt idx="456">
                  <c:v>10.50532672870369</c:v>
                </c:pt>
                <c:pt idx="457">
                  <c:v>10.50532672870369</c:v>
                </c:pt>
                <c:pt idx="458">
                  <c:v>10.50532672870369</c:v>
                </c:pt>
                <c:pt idx="459">
                  <c:v>10.645780816633172</c:v>
                </c:pt>
                <c:pt idx="460">
                  <c:v>10.645780816633172</c:v>
                </c:pt>
                <c:pt idx="461">
                  <c:v>10.645780816633172</c:v>
                </c:pt>
                <c:pt idx="462">
                  <c:v>10.706297490230577</c:v>
                </c:pt>
                <c:pt idx="463">
                  <c:v>10.706297490230577</c:v>
                </c:pt>
                <c:pt idx="464">
                  <c:v>10.706297490230577</c:v>
                </c:pt>
                <c:pt idx="465">
                  <c:v>10.887730380647568</c:v>
                </c:pt>
                <c:pt idx="466">
                  <c:v>10.887730380647568</c:v>
                </c:pt>
                <c:pt idx="467">
                  <c:v>10.887730380647568</c:v>
                </c:pt>
                <c:pt idx="468">
                  <c:v>11.416165464939224</c:v>
                </c:pt>
                <c:pt idx="469">
                  <c:v>11.416165464939224</c:v>
                </c:pt>
                <c:pt idx="470">
                  <c:v>11.416165464939224</c:v>
                </c:pt>
                <c:pt idx="471">
                  <c:v>11.5984889477498</c:v>
                </c:pt>
                <c:pt idx="472">
                  <c:v>11.5984889477498</c:v>
                </c:pt>
                <c:pt idx="473">
                  <c:v>11.5984889477498</c:v>
                </c:pt>
                <c:pt idx="474">
                  <c:v>11.725248102235838</c:v>
                </c:pt>
                <c:pt idx="475">
                  <c:v>11.725248102235838</c:v>
                </c:pt>
                <c:pt idx="476">
                  <c:v>11.725248102235838</c:v>
                </c:pt>
                <c:pt idx="477">
                  <c:v>11.895886100256199</c:v>
                </c:pt>
                <c:pt idx="478">
                  <c:v>11.895886100256199</c:v>
                </c:pt>
                <c:pt idx="479">
                  <c:v>11.895886100256199</c:v>
                </c:pt>
                <c:pt idx="480">
                  <c:v>11.91136315147768</c:v>
                </c:pt>
                <c:pt idx="481">
                  <c:v>11.91136315147768</c:v>
                </c:pt>
                <c:pt idx="482">
                  <c:v>11.91136315147768</c:v>
                </c:pt>
                <c:pt idx="483">
                  <c:v>12.606392074444438</c:v>
                </c:pt>
                <c:pt idx="484">
                  <c:v>12.606392074444438</c:v>
                </c:pt>
                <c:pt idx="485">
                  <c:v>12.606392074444438</c:v>
                </c:pt>
                <c:pt idx="486">
                  <c:v>12.900544586754114</c:v>
                </c:pt>
                <c:pt idx="487">
                  <c:v>12.900544586754114</c:v>
                </c:pt>
                <c:pt idx="488">
                  <c:v>12.900544586754114</c:v>
                </c:pt>
                <c:pt idx="489">
                  <c:v>13.028099466625456</c:v>
                </c:pt>
                <c:pt idx="490">
                  <c:v>13.028099466625456</c:v>
                </c:pt>
                <c:pt idx="491">
                  <c:v>13.028099466625456</c:v>
                </c:pt>
                <c:pt idx="492">
                  <c:v>13.307226020791473</c:v>
                </c:pt>
                <c:pt idx="493">
                  <c:v>13.307226020791473</c:v>
                </c:pt>
                <c:pt idx="494">
                  <c:v>13.307226020791473</c:v>
                </c:pt>
                <c:pt idx="495">
                  <c:v>13.382871862788226</c:v>
                </c:pt>
                <c:pt idx="496">
                  <c:v>13.382871862788226</c:v>
                </c:pt>
                <c:pt idx="497">
                  <c:v>13.382871862788226</c:v>
                </c:pt>
                <c:pt idx="498">
                  <c:v>13.400283545412396</c:v>
                </c:pt>
                <c:pt idx="499">
                  <c:v>13.400283545412396</c:v>
                </c:pt>
                <c:pt idx="500">
                  <c:v>13.400283545412396</c:v>
                </c:pt>
                <c:pt idx="501">
                  <c:v>13.400283545412396</c:v>
                </c:pt>
                <c:pt idx="502">
                  <c:v>13.400283545412396</c:v>
                </c:pt>
                <c:pt idx="503">
                  <c:v>13.400283545412396</c:v>
                </c:pt>
                <c:pt idx="504">
                  <c:v>13.531570439041428</c:v>
                </c:pt>
                <c:pt idx="505">
                  <c:v>13.531570439041428</c:v>
                </c:pt>
                <c:pt idx="506">
                  <c:v>13.531570439041428</c:v>
                </c:pt>
                <c:pt idx="507">
                  <c:v>14.092860528211519</c:v>
                </c:pt>
                <c:pt idx="508">
                  <c:v>14.092860528211519</c:v>
                </c:pt>
                <c:pt idx="509">
                  <c:v>14.092860528211519</c:v>
                </c:pt>
                <c:pt idx="510">
                  <c:v>14.27020683117402</c:v>
                </c:pt>
                <c:pt idx="511">
                  <c:v>14.27020683117402</c:v>
                </c:pt>
                <c:pt idx="512">
                  <c:v>14.27020683117402</c:v>
                </c:pt>
                <c:pt idx="513">
                  <c:v>14.275063320307433</c:v>
                </c:pt>
                <c:pt idx="514">
                  <c:v>14.275063320307433</c:v>
                </c:pt>
                <c:pt idx="515">
                  <c:v>14.275063320307433</c:v>
                </c:pt>
                <c:pt idx="516">
                  <c:v>14.679814098802112</c:v>
                </c:pt>
                <c:pt idx="517">
                  <c:v>14.679814098802112</c:v>
                </c:pt>
                <c:pt idx="518">
                  <c:v>14.679814098802112</c:v>
                </c:pt>
                <c:pt idx="519">
                  <c:v>14.707457420185172</c:v>
                </c:pt>
                <c:pt idx="520">
                  <c:v>14.707457420185172</c:v>
                </c:pt>
                <c:pt idx="521">
                  <c:v>14.707457420185172</c:v>
                </c:pt>
                <c:pt idx="522">
                  <c:v>14.778325209913223</c:v>
                </c:pt>
                <c:pt idx="523">
                  <c:v>14.778325209913223</c:v>
                </c:pt>
                <c:pt idx="524">
                  <c:v>14.778325209913223</c:v>
                </c:pt>
                <c:pt idx="525">
                  <c:v>15.075318988588934</c:v>
                </c:pt>
                <c:pt idx="526">
                  <c:v>15.075318988588934</c:v>
                </c:pt>
                <c:pt idx="527">
                  <c:v>15.075318988588934</c:v>
                </c:pt>
                <c:pt idx="528">
                  <c:v>15.27643971608607</c:v>
                </c:pt>
                <c:pt idx="529">
                  <c:v>15.27643971608607</c:v>
                </c:pt>
                <c:pt idx="530">
                  <c:v>15.27643971608607</c:v>
                </c:pt>
                <c:pt idx="531">
                  <c:v>15.27643971608607</c:v>
                </c:pt>
                <c:pt idx="532">
                  <c:v>15.27643971608607</c:v>
                </c:pt>
                <c:pt idx="533">
                  <c:v>15.27643971608607</c:v>
                </c:pt>
                <c:pt idx="534">
                  <c:v>15.27643971608607</c:v>
                </c:pt>
                <c:pt idx="535">
                  <c:v>15.27643971608607</c:v>
                </c:pt>
                <c:pt idx="536">
                  <c:v>15.27643971608607</c:v>
                </c:pt>
                <c:pt idx="537">
                  <c:v>15.27643971608607</c:v>
                </c:pt>
                <c:pt idx="538">
                  <c:v>15.27643971608607</c:v>
                </c:pt>
                <c:pt idx="539">
                  <c:v>15.27643971608607</c:v>
                </c:pt>
                <c:pt idx="540">
                  <c:v>15.464651930333066</c:v>
                </c:pt>
                <c:pt idx="541">
                  <c:v>15.464651930333066</c:v>
                </c:pt>
                <c:pt idx="542">
                  <c:v>15.464651930333066</c:v>
                </c:pt>
                <c:pt idx="543">
                  <c:v>15.480653504104936</c:v>
                </c:pt>
                <c:pt idx="544">
                  <c:v>15.480653504104936</c:v>
                </c:pt>
                <c:pt idx="545">
                  <c:v>15.480653504104936</c:v>
                </c:pt>
                <c:pt idx="546">
                  <c:v>15.968671224949766</c:v>
                </c:pt>
                <c:pt idx="547">
                  <c:v>15.968671224949766</c:v>
                </c:pt>
                <c:pt idx="548">
                  <c:v>15.968671224949766</c:v>
                </c:pt>
                <c:pt idx="549">
                  <c:v>16.059446235345884</c:v>
                </c:pt>
                <c:pt idx="550">
                  <c:v>16.059446235345884</c:v>
                </c:pt>
                <c:pt idx="551">
                  <c:v>16.059446235345884</c:v>
                </c:pt>
                <c:pt idx="552">
                  <c:v>16.285124333281807</c:v>
                </c:pt>
                <c:pt idx="553">
                  <c:v>16.285124333281807</c:v>
                </c:pt>
                <c:pt idx="554">
                  <c:v>16.285124333281807</c:v>
                </c:pt>
                <c:pt idx="555">
                  <c:v>16.654240540358682</c:v>
                </c:pt>
                <c:pt idx="556">
                  <c:v>16.654240540358682</c:v>
                </c:pt>
                <c:pt idx="557">
                  <c:v>16.654240540358682</c:v>
                </c:pt>
                <c:pt idx="558">
                  <c:v>16.808522765925922</c:v>
                </c:pt>
                <c:pt idx="559">
                  <c:v>16.808522765925922</c:v>
                </c:pt>
                <c:pt idx="560">
                  <c:v>16.808522765925922</c:v>
                </c:pt>
                <c:pt idx="561">
                  <c:v>17.124248197408818</c:v>
                </c:pt>
                <c:pt idx="562">
                  <c:v>17.124248197408818</c:v>
                </c:pt>
                <c:pt idx="563">
                  <c:v>17.124248197408818</c:v>
                </c:pt>
                <c:pt idx="564">
                  <c:v>17.397733421624689</c:v>
                </c:pt>
                <c:pt idx="565">
                  <c:v>17.397733421624689</c:v>
                </c:pt>
                <c:pt idx="566">
                  <c:v>17.397733421624689</c:v>
                </c:pt>
                <c:pt idx="567">
                  <c:v>17.616075660264386</c:v>
                </c:pt>
                <c:pt idx="568">
                  <c:v>17.616075660264386</c:v>
                </c:pt>
                <c:pt idx="569">
                  <c:v>17.616075660264386</c:v>
                </c:pt>
                <c:pt idx="570">
                  <c:v>18.060762421455756</c:v>
                </c:pt>
                <c:pt idx="571">
                  <c:v>18.060762421455756</c:v>
                </c:pt>
                <c:pt idx="572">
                  <c:v>18.060762421455756</c:v>
                </c:pt>
                <c:pt idx="573">
                  <c:v>18.349767623502622</c:v>
                </c:pt>
                <c:pt idx="574">
                  <c:v>18.349767623502622</c:v>
                </c:pt>
                <c:pt idx="575">
                  <c:v>18.349767623502622</c:v>
                </c:pt>
                <c:pt idx="576">
                  <c:v>18.472906512391507</c:v>
                </c:pt>
                <c:pt idx="577">
                  <c:v>18.472906512391507</c:v>
                </c:pt>
                <c:pt idx="578">
                  <c:v>18.472906512391507</c:v>
                </c:pt>
                <c:pt idx="579">
                  <c:v>18.63011642910806</c:v>
                </c:pt>
                <c:pt idx="580">
                  <c:v>18.63011642910806</c:v>
                </c:pt>
                <c:pt idx="581">
                  <c:v>18.63011642910806</c:v>
                </c:pt>
                <c:pt idx="582">
                  <c:v>18.736020607903523</c:v>
                </c:pt>
                <c:pt idx="583">
                  <c:v>18.736020607903523</c:v>
                </c:pt>
                <c:pt idx="584">
                  <c:v>18.736020607903523</c:v>
                </c:pt>
                <c:pt idx="585">
                  <c:v>18.909588111666647</c:v>
                </c:pt>
                <c:pt idx="586">
                  <c:v>18.909588111666647</c:v>
                </c:pt>
                <c:pt idx="587">
                  <c:v>18.909588111666647</c:v>
                </c:pt>
                <c:pt idx="588">
                  <c:v>19.033417760409929</c:v>
                </c:pt>
                <c:pt idx="589">
                  <c:v>19.033417760409929</c:v>
                </c:pt>
                <c:pt idx="590">
                  <c:v>19.033417760409929</c:v>
                </c:pt>
                <c:pt idx="591">
                  <c:v>19.09554964510756</c:v>
                </c:pt>
                <c:pt idx="592">
                  <c:v>19.09554964510756</c:v>
                </c:pt>
                <c:pt idx="593">
                  <c:v>19.09554964510756</c:v>
                </c:pt>
                <c:pt idx="594">
                  <c:v>19.09554964510756</c:v>
                </c:pt>
                <c:pt idx="595">
                  <c:v>19.09554964510756</c:v>
                </c:pt>
                <c:pt idx="596">
                  <c:v>19.09554964510756</c:v>
                </c:pt>
                <c:pt idx="597">
                  <c:v>19.09554964510756</c:v>
                </c:pt>
                <c:pt idx="598">
                  <c:v>19.09554964510756</c:v>
                </c:pt>
                <c:pt idx="599">
                  <c:v>19.09554964510756</c:v>
                </c:pt>
                <c:pt idx="600">
                  <c:v>19.09554964510756</c:v>
                </c:pt>
                <c:pt idx="601">
                  <c:v>19.09554964510756</c:v>
                </c:pt>
                <c:pt idx="602">
                  <c:v>19.09554964510756</c:v>
                </c:pt>
                <c:pt idx="603">
                  <c:v>19.542149199938162</c:v>
                </c:pt>
                <c:pt idx="604">
                  <c:v>19.542149199938162</c:v>
                </c:pt>
                <c:pt idx="605">
                  <c:v>19.542149199938162</c:v>
                </c:pt>
                <c:pt idx="606">
                  <c:v>19.978289563643632</c:v>
                </c:pt>
                <c:pt idx="607">
                  <c:v>19.978289563643632</c:v>
                </c:pt>
                <c:pt idx="608">
                  <c:v>19.978289563643632</c:v>
                </c:pt>
                <c:pt idx="609">
                  <c:v>20.640871338806591</c:v>
                </c:pt>
                <c:pt idx="610">
                  <c:v>20.640871338806591</c:v>
                </c:pt>
                <c:pt idx="611">
                  <c:v>20.640871338806591</c:v>
                </c:pt>
                <c:pt idx="612">
                  <c:v>21.139290792317265</c:v>
                </c:pt>
                <c:pt idx="613">
                  <c:v>21.139290792317265</c:v>
                </c:pt>
                <c:pt idx="614">
                  <c:v>21.139290792317265</c:v>
                </c:pt>
                <c:pt idx="615">
                  <c:v>21.291561633266344</c:v>
                </c:pt>
                <c:pt idx="616">
                  <c:v>21.291561633266344</c:v>
                </c:pt>
                <c:pt idx="617">
                  <c:v>21.291561633266344</c:v>
                </c:pt>
                <c:pt idx="618">
                  <c:v>21.412594980461172</c:v>
                </c:pt>
                <c:pt idx="619">
                  <c:v>21.412594980461172</c:v>
                </c:pt>
                <c:pt idx="620">
                  <c:v>21.412594980461172</c:v>
                </c:pt>
                <c:pt idx="621">
                  <c:v>21.412594980461172</c:v>
                </c:pt>
                <c:pt idx="622">
                  <c:v>21.412594980461172</c:v>
                </c:pt>
                <c:pt idx="623">
                  <c:v>21.412594980461172</c:v>
                </c:pt>
                <c:pt idx="624">
                  <c:v>22.019721148203125</c:v>
                </c:pt>
                <c:pt idx="625">
                  <c:v>22.019721148203125</c:v>
                </c:pt>
                <c:pt idx="626">
                  <c:v>22.019721148203125</c:v>
                </c:pt>
                <c:pt idx="627">
                  <c:v>22.167487814869794</c:v>
                </c:pt>
                <c:pt idx="628">
                  <c:v>22.167487814869794</c:v>
                </c:pt>
                <c:pt idx="629">
                  <c:v>22.167487814869794</c:v>
                </c:pt>
                <c:pt idx="630">
                  <c:v>22.799174066594546</c:v>
                </c:pt>
                <c:pt idx="631">
                  <c:v>22.799174066594546</c:v>
                </c:pt>
                <c:pt idx="632">
                  <c:v>22.799174066594546</c:v>
                </c:pt>
                <c:pt idx="633">
                  <c:v>22.832330929878431</c:v>
                </c:pt>
                <c:pt idx="634">
                  <c:v>22.832330929878431</c:v>
                </c:pt>
                <c:pt idx="635">
                  <c:v>22.832330929878431</c:v>
                </c:pt>
                <c:pt idx="636">
                  <c:v>22.914659574129047</c:v>
                </c:pt>
                <c:pt idx="637">
                  <c:v>22.914659574129047</c:v>
                </c:pt>
                <c:pt idx="638">
                  <c:v>22.914659574129047</c:v>
                </c:pt>
                <c:pt idx="639">
                  <c:v>22.914659574129047</c:v>
                </c:pt>
                <c:pt idx="640">
                  <c:v>22.914659574129047</c:v>
                </c:pt>
                <c:pt idx="641">
                  <c:v>22.914659574129047</c:v>
                </c:pt>
                <c:pt idx="642">
                  <c:v>22.914659574129047</c:v>
                </c:pt>
                <c:pt idx="643">
                  <c:v>22.914659574129047</c:v>
                </c:pt>
                <c:pt idx="644">
                  <c:v>22.914659574129047</c:v>
                </c:pt>
                <c:pt idx="645">
                  <c:v>22.914659574129047</c:v>
                </c:pt>
                <c:pt idx="646">
                  <c:v>22.914659574129047</c:v>
                </c:pt>
                <c:pt idx="647">
                  <c:v>22.914659574129047</c:v>
                </c:pt>
                <c:pt idx="648">
                  <c:v>23.220980256157414</c:v>
                </c:pt>
                <c:pt idx="649">
                  <c:v>23.220980256157414</c:v>
                </c:pt>
                <c:pt idx="650">
                  <c:v>23.220980256157414</c:v>
                </c:pt>
                <c:pt idx="651">
                  <c:v>23.953006837424645</c:v>
                </c:pt>
                <c:pt idx="652">
                  <c:v>23.953006837424645</c:v>
                </c:pt>
                <c:pt idx="653">
                  <c:v>23.953006837424645</c:v>
                </c:pt>
                <c:pt idx="654">
                  <c:v>24.089169353018811</c:v>
                </c:pt>
                <c:pt idx="655">
                  <c:v>24.089169353018811</c:v>
                </c:pt>
                <c:pt idx="656">
                  <c:v>24.089169353018811</c:v>
                </c:pt>
                <c:pt idx="657">
                  <c:v>24.662505924370151</c:v>
                </c:pt>
                <c:pt idx="658">
                  <c:v>24.662505924370151</c:v>
                </c:pt>
                <c:pt idx="659">
                  <c:v>24.662505924370151</c:v>
                </c:pt>
                <c:pt idx="660">
                  <c:v>25.686372296113241</c:v>
                </c:pt>
                <c:pt idx="661">
                  <c:v>25.686372296113241</c:v>
                </c:pt>
                <c:pt idx="662">
                  <c:v>25.686372296113241</c:v>
                </c:pt>
                <c:pt idx="663">
                  <c:v>25.689674672903667</c:v>
                </c:pt>
                <c:pt idx="664">
                  <c:v>25.689674672903667</c:v>
                </c:pt>
                <c:pt idx="665">
                  <c:v>25.689674672903667</c:v>
                </c:pt>
                <c:pt idx="666">
                  <c:v>25.862069117348113</c:v>
                </c:pt>
                <c:pt idx="667">
                  <c:v>25.862069117348113</c:v>
                </c:pt>
                <c:pt idx="668">
                  <c:v>25.862069117348113</c:v>
                </c:pt>
                <c:pt idx="669">
                  <c:v>26.056198933250901</c:v>
                </c:pt>
                <c:pt idx="670">
                  <c:v>26.056198933250901</c:v>
                </c:pt>
                <c:pt idx="671">
                  <c:v>26.056198933250901</c:v>
                </c:pt>
                <c:pt idx="672">
                  <c:v>26.733769503150594</c:v>
                </c:pt>
                <c:pt idx="673">
                  <c:v>26.733769503150594</c:v>
                </c:pt>
                <c:pt idx="674">
                  <c:v>26.733769503150594</c:v>
                </c:pt>
                <c:pt idx="675">
                  <c:v>26.733769503150594</c:v>
                </c:pt>
                <c:pt idx="676">
                  <c:v>26.733769503150594</c:v>
                </c:pt>
                <c:pt idx="677">
                  <c:v>26.733769503150594</c:v>
                </c:pt>
                <c:pt idx="678">
                  <c:v>26.733769503150594</c:v>
                </c:pt>
                <c:pt idx="679">
                  <c:v>26.733769503150594</c:v>
                </c:pt>
                <c:pt idx="680">
                  <c:v>26.733769503150594</c:v>
                </c:pt>
                <c:pt idx="681">
                  <c:v>26.733769503150594</c:v>
                </c:pt>
                <c:pt idx="682">
                  <c:v>26.733769503150594</c:v>
                </c:pt>
                <c:pt idx="683">
                  <c:v>26.733769503150594</c:v>
                </c:pt>
                <c:pt idx="684">
                  <c:v>28.185721056423024</c:v>
                </c:pt>
                <c:pt idx="685">
                  <c:v>28.185721056423024</c:v>
                </c:pt>
                <c:pt idx="686">
                  <c:v>28.185721056423024</c:v>
                </c:pt>
                <c:pt idx="687">
                  <c:v>29.313223799907266</c:v>
                </c:pt>
                <c:pt idx="688">
                  <c:v>29.313223799907266</c:v>
                </c:pt>
                <c:pt idx="689">
                  <c:v>29.313223799907266</c:v>
                </c:pt>
                <c:pt idx="690">
                  <c:v>29.359628197604181</c:v>
                </c:pt>
                <c:pt idx="691">
                  <c:v>29.359628197604181</c:v>
                </c:pt>
                <c:pt idx="692">
                  <c:v>29.359628197604181</c:v>
                </c:pt>
                <c:pt idx="693">
                  <c:v>29.556650419826404</c:v>
                </c:pt>
                <c:pt idx="694">
                  <c:v>29.556650419826404</c:v>
                </c:pt>
                <c:pt idx="695">
                  <c:v>29.556650419826404</c:v>
                </c:pt>
                <c:pt idx="696">
                  <c:v>30.552879432172077</c:v>
                </c:pt>
                <c:pt idx="697">
                  <c:v>30.552879432172077</c:v>
                </c:pt>
                <c:pt idx="698">
                  <c:v>30.552879432172077</c:v>
                </c:pt>
                <c:pt idx="699">
                  <c:v>30.552879432172077</c:v>
                </c:pt>
                <c:pt idx="700">
                  <c:v>30.552879432172077</c:v>
                </c:pt>
                <c:pt idx="701">
                  <c:v>30.552879432172077</c:v>
                </c:pt>
                <c:pt idx="702">
                  <c:v>30.552879432172077</c:v>
                </c:pt>
                <c:pt idx="703">
                  <c:v>30.552879432172077</c:v>
                </c:pt>
                <c:pt idx="704">
                  <c:v>30.552879432172077</c:v>
                </c:pt>
                <c:pt idx="705">
                  <c:v>30.552879432172077</c:v>
                </c:pt>
                <c:pt idx="706">
                  <c:v>30.552879432172077</c:v>
                </c:pt>
                <c:pt idx="707">
                  <c:v>30.552879432172077</c:v>
                </c:pt>
                <c:pt idx="708">
                  <c:v>31.708936188475928</c:v>
                </c:pt>
                <c:pt idx="709">
                  <c:v>31.708936188475928</c:v>
                </c:pt>
                <c:pt idx="710">
                  <c:v>31.708936188475928</c:v>
                </c:pt>
                <c:pt idx="711">
                  <c:v>33.029581722304734</c:v>
                </c:pt>
                <c:pt idx="712">
                  <c:v>33.029581722304734</c:v>
                </c:pt>
                <c:pt idx="713">
                  <c:v>33.029581722304734</c:v>
                </c:pt>
                <c:pt idx="714">
                  <c:v>33.25123172230473</c:v>
                </c:pt>
                <c:pt idx="715">
                  <c:v>33.25123172230473</c:v>
                </c:pt>
                <c:pt idx="716">
                  <c:v>33.25123172230473</c:v>
                </c:pt>
                <c:pt idx="717">
                  <c:v>34.371989361193634</c:v>
                </c:pt>
                <c:pt idx="718">
                  <c:v>34.371989361193634</c:v>
                </c:pt>
                <c:pt idx="719">
                  <c:v>34.371989361193634</c:v>
                </c:pt>
                <c:pt idx="720">
                  <c:v>34.371989361193634</c:v>
                </c:pt>
                <c:pt idx="721">
                  <c:v>34.371989361193634</c:v>
                </c:pt>
                <c:pt idx="722">
                  <c:v>34.371989361193634</c:v>
                </c:pt>
                <c:pt idx="723">
                  <c:v>34.371989361193634</c:v>
                </c:pt>
                <c:pt idx="724">
                  <c:v>34.371989361193634</c:v>
                </c:pt>
                <c:pt idx="725">
                  <c:v>34.371989361193634</c:v>
                </c:pt>
                <c:pt idx="726">
                  <c:v>34.371989361193634</c:v>
                </c:pt>
                <c:pt idx="727">
                  <c:v>34.371989361193634</c:v>
                </c:pt>
                <c:pt idx="728">
                  <c:v>34.371989361193634</c:v>
                </c:pt>
              </c:numCache>
            </c:numRef>
          </c:xVal>
          <c:yVal>
            <c:numRef>
              <c:f>CDF!$H$2:$H$730</c:f>
              <c:numCache>
                <c:formatCode>General</c:formatCode>
                <c:ptCount val="729"/>
                <c:pt idx="0">
                  <c:v>2.44140625E-4</c:v>
                </c:pt>
                <c:pt idx="1">
                  <c:v>7.32421875E-4</c:v>
                </c:pt>
                <c:pt idx="2">
                  <c:v>9.765625E-4</c:v>
                </c:pt>
                <c:pt idx="3">
                  <c:v>1.46484375E-3</c:v>
                </c:pt>
                <c:pt idx="4">
                  <c:v>2.44140625E-3</c:v>
                </c:pt>
                <c:pt idx="5">
                  <c:v>2.9296875E-3</c:v>
                </c:pt>
                <c:pt idx="6">
                  <c:v>3.173828125E-3</c:v>
                </c:pt>
                <c:pt idx="7">
                  <c:v>3.662109375E-3</c:v>
                </c:pt>
                <c:pt idx="8">
                  <c:v>3.90625E-3</c:v>
                </c:pt>
                <c:pt idx="9">
                  <c:v>4.39453125E-3</c:v>
                </c:pt>
                <c:pt idx="10">
                  <c:v>5.37109375E-3</c:v>
                </c:pt>
                <c:pt idx="11">
                  <c:v>5.859375E-3</c:v>
                </c:pt>
                <c:pt idx="12">
                  <c:v>6.8359375E-3</c:v>
                </c:pt>
                <c:pt idx="13">
                  <c:v>8.7890625E-3</c:v>
                </c:pt>
                <c:pt idx="14">
                  <c:v>9.765625E-3</c:v>
                </c:pt>
                <c:pt idx="15">
                  <c:v>1.025390625E-2</c:v>
                </c:pt>
                <c:pt idx="16">
                  <c:v>1.123046875E-2</c:v>
                </c:pt>
                <c:pt idx="17">
                  <c:v>1.171875E-2</c:v>
                </c:pt>
                <c:pt idx="18">
                  <c:v>1.1962890625E-2</c:v>
                </c:pt>
                <c:pt idx="19">
                  <c:v>1.2451171875E-2</c:v>
                </c:pt>
                <c:pt idx="20">
                  <c:v>1.26953125E-2</c:v>
                </c:pt>
                <c:pt idx="21">
                  <c:v>1.318359375E-2</c:v>
                </c:pt>
                <c:pt idx="22">
                  <c:v>1.416015625E-2</c:v>
                </c:pt>
                <c:pt idx="23">
                  <c:v>1.46484375E-2</c:v>
                </c:pt>
                <c:pt idx="24">
                  <c:v>1.4892578125E-2</c:v>
                </c:pt>
                <c:pt idx="25">
                  <c:v>1.5380859375E-2</c:v>
                </c:pt>
                <c:pt idx="26">
                  <c:v>1.5625E-2</c:v>
                </c:pt>
                <c:pt idx="27">
                  <c:v>1.611328125E-2</c:v>
                </c:pt>
                <c:pt idx="28">
                  <c:v>1.708984375E-2</c:v>
                </c:pt>
                <c:pt idx="29">
                  <c:v>1.7578125E-2</c:v>
                </c:pt>
                <c:pt idx="30">
                  <c:v>1.85546875E-2</c:v>
                </c:pt>
                <c:pt idx="31">
                  <c:v>2.05078125E-2</c:v>
                </c:pt>
                <c:pt idx="32">
                  <c:v>2.1484375E-2</c:v>
                </c:pt>
                <c:pt idx="33">
                  <c:v>2.197265625E-2</c:v>
                </c:pt>
                <c:pt idx="34">
                  <c:v>2.294921875E-2</c:v>
                </c:pt>
                <c:pt idx="35">
                  <c:v>2.34375E-2</c:v>
                </c:pt>
                <c:pt idx="36">
                  <c:v>2.44140625E-2</c:v>
                </c:pt>
                <c:pt idx="37">
                  <c:v>2.63671875E-2</c:v>
                </c:pt>
                <c:pt idx="38">
                  <c:v>2.734375E-2</c:v>
                </c:pt>
                <c:pt idx="39">
                  <c:v>2.9296875E-2</c:v>
                </c:pt>
                <c:pt idx="40">
                  <c:v>3.3203125E-2</c:v>
                </c:pt>
                <c:pt idx="41">
                  <c:v>3.515625E-2</c:v>
                </c:pt>
                <c:pt idx="42">
                  <c:v>3.61328125E-2</c:v>
                </c:pt>
                <c:pt idx="43">
                  <c:v>3.80859375E-2</c:v>
                </c:pt>
                <c:pt idx="44">
                  <c:v>3.90625E-2</c:v>
                </c:pt>
                <c:pt idx="45">
                  <c:v>3.955078125E-2</c:v>
                </c:pt>
                <c:pt idx="46">
                  <c:v>4.052734375E-2</c:v>
                </c:pt>
                <c:pt idx="47">
                  <c:v>4.1015625E-2</c:v>
                </c:pt>
                <c:pt idx="48">
                  <c:v>4.19921875E-2</c:v>
                </c:pt>
                <c:pt idx="49">
                  <c:v>4.39453125E-2</c:v>
                </c:pt>
                <c:pt idx="50">
                  <c:v>4.4921875E-2</c:v>
                </c:pt>
                <c:pt idx="51">
                  <c:v>4.541015625E-2</c:v>
                </c:pt>
                <c:pt idx="52">
                  <c:v>4.638671875E-2</c:v>
                </c:pt>
                <c:pt idx="53">
                  <c:v>4.6875E-2</c:v>
                </c:pt>
                <c:pt idx="54">
                  <c:v>4.7119140625E-2</c:v>
                </c:pt>
                <c:pt idx="55">
                  <c:v>4.7607421875E-2</c:v>
                </c:pt>
                <c:pt idx="56">
                  <c:v>4.78515625E-2</c:v>
                </c:pt>
                <c:pt idx="57">
                  <c:v>4.833984375E-2</c:v>
                </c:pt>
                <c:pt idx="58">
                  <c:v>4.931640625E-2</c:v>
                </c:pt>
                <c:pt idx="59">
                  <c:v>4.98046875E-2</c:v>
                </c:pt>
                <c:pt idx="60">
                  <c:v>5.0048828125E-2</c:v>
                </c:pt>
                <c:pt idx="61">
                  <c:v>5.0537109375E-2</c:v>
                </c:pt>
                <c:pt idx="62">
                  <c:v>5.078125E-2</c:v>
                </c:pt>
                <c:pt idx="63">
                  <c:v>5.126953125E-2</c:v>
                </c:pt>
                <c:pt idx="64">
                  <c:v>5.224609375E-2</c:v>
                </c:pt>
                <c:pt idx="65">
                  <c:v>5.2734375E-2</c:v>
                </c:pt>
                <c:pt idx="66">
                  <c:v>5.37109375E-2</c:v>
                </c:pt>
                <c:pt idx="67">
                  <c:v>5.56640625E-2</c:v>
                </c:pt>
                <c:pt idx="68">
                  <c:v>5.6640625E-2</c:v>
                </c:pt>
                <c:pt idx="69">
                  <c:v>5.712890625E-2</c:v>
                </c:pt>
                <c:pt idx="70">
                  <c:v>5.810546875E-2</c:v>
                </c:pt>
                <c:pt idx="71">
                  <c:v>5.859375E-2</c:v>
                </c:pt>
                <c:pt idx="72">
                  <c:v>5.8837890625E-2</c:v>
                </c:pt>
                <c:pt idx="73">
                  <c:v>5.9326171875E-2</c:v>
                </c:pt>
                <c:pt idx="74">
                  <c:v>5.95703125E-2</c:v>
                </c:pt>
                <c:pt idx="75">
                  <c:v>6.005859375E-2</c:v>
                </c:pt>
                <c:pt idx="76">
                  <c:v>6.103515625E-2</c:v>
                </c:pt>
                <c:pt idx="77">
                  <c:v>6.15234375E-2</c:v>
                </c:pt>
                <c:pt idx="78">
                  <c:v>6.1767578125E-2</c:v>
                </c:pt>
                <c:pt idx="79">
                  <c:v>6.2255859375E-2</c:v>
                </c:pt>
                <c:pt idx="80">
                  <c:v>6.25E-2</c:v>
                </c:pt>
                <c:pt idx="81">
                  <c:v>6.298828125E-2</c:v>
                </c:pt>
                <c:pt idx="82">
                  <c:v>6.396484375E-2</c:v>
                </c:pt>
                <c:pt idx="83">
                  <c:v>6.4453125E-2</c:v>
                </c:pt>
                <c:pt idx="84">
                  <c:v>6.54296875E-2</c:v>
                </c:pt>
                <c:pt idx="85">
                  <c:v>6.73828125E-2</c:v>
                </c:pt>
                <c:pt idx="86">
                  <c:v>6.8359375E-2</c:v>
                </c:pt>
                <c:pt idx="87">
                  <c:v>6.884765625E-2</c:v>
                </c:pt>
                <c:pt idx="88">
                  <c:v>6.982421875E-2</c:v>
                </c:pt>
                <c:pt idx="89">
                  <c:v>7.03125E-2</c:v>
                </c:pt>
                <c:pt idx="90">
                  <c:v>7.12890625E-2</c:v>
                </c:pt>
                <c:pt idx="91">
                  <c:v>7.32421875E-2</c:v>
                </c:pt>
                <c:pt idx="92">
                  <c:v>7.421875E-2</c:v>
                </c:pt>
                <c:pt idx="93">
                  <c:v>7.470703125E-2</c:v>
                </c:pt>
                <c:pt idx="94">
                  <c:v>7.568359375E-2</c:v>
                </c:pt>
                <c:pt idx="95">
                  <c:v>7.6171875E-2</c:v>
                </c:pt>
                <c:pt idx="96">
                  <c:v>7.8125E-2</c:v>
                </c:pt>
                <c:pt idx="97">
                  <c:v>8.203125E-2</c:v>
                </c:pt>
                <c:pt idx="98">
                  <c:v>8.3984375E-2</c:v>
                </c:pt>
                <c:pt idx="99">
                  <c:v>8.4228515625E-2</c:v>
                </c:pt>
                <c:pt idx="100">
                  <c:v>8.4716796875E-2</c:v>
                </c:pt>
                <c:pt idx="101">
                  <c:v>8.49609375E-2</c:v>
                </c:pt>
                <c:pt idx="102">
                  <c:v>8.59375E-2</c:v>
                </c:pt>
                <c:pt idx="103">
                  <c:v>8.7890625E-2</c:v>
                </c:pt>
                <c:pt idx="104">
                  <c:v>8.88671875E-2</c:v>
                </c:pt>
                <c:pt idx="105">
                  <c:v>8.984375E-2</c:v>
                </c:pt>
                <c:pt idx="106">
                  <c:v>9.1796875E-2</c:v>
                </c:pt>
                <c:pt idx="107">
                  <c:v>9.27734375E-2</c:v>
                </c:pt>
                <c:pt idx="108">
                  <c:v>9.326171875E-2</c:v>
                </c:pt>
                <c:pt idx="109">
                  <c:v>9.423828125E-2</c:v>
                </c:pt>
                <c:pt idx="110">
                  <c:v>9.47265625E-2</c:v>
                </c:pt>
                <c:pt idx="111">
                  <c:v>9.521484375E-2</c:v>
                </c:pt>
                <c:pt idx="112">
                  <c:v>9.619140625E-2</c:v>
                </c:pt>
                <c:pt idx="113">
                  <c:v>9.66796875E-2</c:v>
                </c:pt>
                <c:pt idx="114">
                  <c:v>9.765625E-2</c:v>
                </c:pt>
                <c:pt idx="115">
                  <c:v>9.9609375E-2</c:v>
                </c:pt>
                <c:pt idx="116">
                  <c:v>0.1005859375</c:v>
                </c:pt>
                <c:pt idx="117">
                  <c:v>0.100830078125</c:v>
                </c:pt>
                <c:pt idx="118">
                  <c:v>0.101318359375</c:v>
                </c:pt>
                <c:pt idx="119">
                  <c:v>0.1015625</c:v>
                </c:pt>
                <c:pt idx="120">
                  <c:v>0.103515625</c:v>
                </c:pt>
                <c:pt idx="121">
                  <c:v>0.107421875</c:v>
                </c:pt>
                <c:pt idx="122">
                  <c:v>0.109375</c:v>
                </c:pt>
                <c:pt idx="123">
                  <c:v>0.10986328125</c:v>
                </c:pt>
                <c:pt idx="124">
                  <c:v>0.11083984375</c:v>
                </c:pt>
                <c:pt idx="125">
                  <c:v>0.111328125</c:v>
                </c:pt>
                <c:pt idx="126">
                  <c:v>0.1123046875</c:v>
                </c:pt>
                <c:pt idx="127">
                  <c:v>0.1142578125</c:v>
                </c:pt>
                <c:pt idx="128">
                  <c:v>0.115234375</c:v>
                </c:pt>
                <c:pt idx="129">
                  <c:v>0.115478515625</c:v>
                </c:pt>
                <c:pt idx="130">
                  <c:v>0.115966796875</c:v>
                </c:pt>
                <c:pt idx="131">
                  <c:v>0.1162109375</c:v>
                </c:pt>
                <c:pt idx="132">
                  <c:v>0.1171875</c:v>
                </c:pt>
                <c:pt idx="133">
                  <c:v>0.119140625</c:v>
                </c:pt>
                <c:pt idx="134">
                  <c:v>0.1201171875</c:v>
                </c:pt>
                <c:pt idx="135">
                  <c:v>0.1220703125</c:v>
                </c:pt>
                <c:pt idx="136">
                  <c:v>0.1259765625</c:v>
                </c:pt>
                <c:pt idx="137">
                  <c:v>0.1279296875</c:v>
                </c:pt>
                <c:pt idx="138">
                  <c:v>0.12841796875</c:v>
                </c:pt>
                <c:pt idx="139">
                  <c:v>0.12939453125</c:v>
                </c:pt>
                <c:pt idx="140">
                  <c:v>0.1298828125</c:v>
                </c:pt>
                <c:pt idx="141">
                  <c:v>0.13037109375</c:v>
                </c:pt>
                <c:pt idx="142">
                  <c:v>0.13134765625</c:v>
                </c:pt>
                <c:pt idx="143">
                  <c:v>0.1318359375</c:v>
                </c:pt>
                <c:pt idx="144">
                  <c:v>0.1328125</c:v>
                </c:pt>
                <c:pt idx="145">
                  <c:v>0.134765625</c:v>
                </c:pt>
                <c:pt idx="146">
                  <c:v>0.1357421875</c:v>
                </c:pt>
                <c:pt idx="147">
                  <c:v>0.13623046875</c:v>
                </c:pt>
                <c:pt idx="148">
                  <c:v>0.13720703125</c:v>
                </c:pt>
                <c:pt idx="149">
                  <c:v>0.1376953125</c:v>
                </c:pt>
                <c:pt idx="150">
                  <c:v>0.137939453125</c:v>
                </c:pt>
                <c:pt idx="151">
                  <c:v>0.138427734375</c:v>
                </c:pt>
                <c:pt idx="152">
                  <c:v>0.138671875</c:v>
                </c:pt>
                <c:pt idx="153">
                  <c:v>0.142578125</c:v>
                </c:pt>
                <c:pt idx="154">
                  <c:v>0.150390625</c:v>
                </c:pt>
                <c:pt idx="155">
                  <c:v>0.154296875</c:v>
                </c:pt>
                <c:pt idx="156">
                  <c:v>0.1552734375</c:v>
                </c:pt>
                <c:pt idx="157">
                  <c:v>0.1572265625</c:v>
                </c:pt>
                <c:pt idx="158">
                  <c:v>0.158203125</c:v>
                </c:pt>
                <c:pt idx="159">
                  <c:v>0.15869140625</c:v>
                </c:pt>
                <c:pt idx="160">
                  <c:v>0.15966796875</c:v>
                </c:pt>
                <c:pt idx="161">
                  <c:v>0.16015625</c:v>
                </c:pt>
                <c:pt idx="162">
                  <c:v>0.1611328125</c:v>
                </c:pt>
                <c:pt idx="163">
                  <c:v>0.1630859375</c:v>
                </c:pt>
                <c:pt idx="164">
                  <c:v>0.1640625</c:v>
                </c:pt>
                <c:pt idx="165">
                  <c:v>0.166015625</c:v>
                </c:pt>
                <c:pt idx="166">
                  <c:v>0.169921875</c:v>
                </c:pt>
                <c:pt idx="167">
                  <c:v>0.171875</c:v>
                </c:pt>
                <c:pt idx="168">
                  <c:v>0.17236328125</c:v>
                </c:pt>
                <c:pt idx="169">
                  <c:v>0.17333984375</c:v>
                </c:pt>
                <c:pt idx="170">
                  <c:v>0.173828125</c:v>
                </c:pt>
                <c:pt idx="171">
                  <c:v>0.17578125</c:v>
                </c:pt>
                <c:pt idx="172">
                  <c:v>0.1796875</c:v>
                </c:pt>
                <c:pt idx="173">
                  <c:v>0.181640625</c:v>
                </c:pt>
                <c:pt idx="174">
                  <c:v>0.18212890625</c:v>
                </c:pt>
                <c:pt idx="175">
                  <c:v>0.18310546875</c:v>
                </c:pt>
                <c:pt idx="176">
                  <c:v>0.18359375</c:v>
                </c:pt>
                <c:pt idx="177">
                  <c:v>0.1845703125</c:v>
                </c:pt>
                <c:pt idx="178">
                  <c:v>0.1865234375</c:v>
                </c:pt>
                <c:pt idx="179">
                  <c:v>0.1875</c:v>
                </c:pt>
                <c:pt idx="180">
                  <c:v>0.18798828125</c:v>
                </c:pt>
                <c:pt idx="181">
                  <c:v>0.18896484375</c:v>
                </c:pt>
                <c:pt idx="182">
                  <c:v>0.189453125</c:v>
                </c:pt>
                <c:pt idx="183">
                  <c:v>0.19140625</c:v>
                </c:pt>
                <c:pt idx="184">
                  <c:v>0.1953125</c:v>
                </c:pt>
                <c:pt idx="185">
                  <c:v>0.197265625</c:v>
                </c:pt>
                <c:pt idx="186">
                  <c:v>0.1982421875</c:v>
                </c:pt>
                <c:pt idx="187">
                  <c:v>0.2001953125</c:v>
                </c:pt>
                <c:pt idx="188">
                  <c:v>0.201171875</c:v>
                </c:pt>
                <c:pt idx="189">
                  <c:v>0.2021484375</c:v>
                </c:pt>
                <c:pt idx="190">
                  <c:v>0.2041015625</c:v>
                </c:pt>
                <c:pt idx="191">
                  <c:v>0.205078125</c:v>
                </c:pt>
                <c:pt idx="192">
                  <c:v>0.2060546875</c:v>
                </c:pt>
                <c:pt idx="193">
                  <c:v>0.2080078125</c:v>
                </c:pt>
                <c:pt idx="194">
                  <c:v>0.208984375</c:v>
                </c:pt>
                <c:pt idx="195">
                  <c:v>0.20947265625</c:v>
                </c:pt>
                <c:pt idx="196">
                  <c:v>0.21044921875</c:v>
                </c:pt>
                <c:pt idx="197">
                  <c:v>0.2109375</c:v>
                </c:pt>
                <c:pt idx="198">
                  <c:v>0.2119140625</c:v>
                </c:pt>
                <c:pt idx="199">
                  <c:v>0.2138671875</c:v>
                </c:pt>
                <c:pt idx="200">
                  <c:v>0.21484375</c:v>
                </c:pt>
                <c:pt idx="201">
                  <c:v>0.21533203125</c:v>
                </c:pt>
                <c:pt idx="202">
                  <c:v>0.21630859375</c:v>
                </c:pt>
                <c:pt idx="203">
                  <c:v>0.216796875</c:v>
                </c:pt>
                <c:pt idx="204">
                  <c:v>0.217041015625</c:v>
                </c:pt>
                <c:pt idx="205">
                  <c:v>0.217529296875</c:v>
                </c:pt>
                <c:pt idx="206">
                  <c:v>0.2177734375</c:v>
                </c:pt>
                <c:pt idx="207">
                  <c:v>0.21826171875</c:v>
                </c:pt>
                <c:pt idx="208">
                  <c:v>0.21923828125</c:v>
                </c:pt>
                <c:pt idx="209">
                  <c:v>0.2197265625</c:v>
                </c:pt>
                <c:pt idx="210">
                  <c:v>0.220703125</c:v>
                </c:pt>
                <c:pt idx="211">
                  <c:v>0.22265625</c:v>
                </c:pt>
                <c:pt idx="212">
                  <c:v>0.2236328125</c:v>
                </c:pt>
                <c:pt idx="213">
                  <c:v>0.224609375</c:v>
                </c:pt>
                <c:pt idx="214">
                  <c:v>0.2265625</c:v>
                </c:pt>
                <c:pt idx="215">
                  <c:v>0.2275390625</c:v>
                </c:pt>
                <c:pt idx="216">
                  <c:v>0.22802734375</c:v>
                </c:pt>
                <c:pt idx="217">
                  <c:v>0.22900390625</c:v>
                </c:pt>
                <c:pt idx="218">
                  <c:v>0.2294921875</c:v>
                </c:pt>
                <c:pt idx="219">
                  <c:v>0.2314453125</c:v>
                </c:pt>
                <c:pt idx="220">
                  <c:v>0.2353515625</c:v>
                </c:pt>
                <c:pt idx="221">
                  <c:v>0.2373046875</c:v>
                </c:pt>
                <c:pt idx="222">
                  <c:v>0.2392578125</c:v>
                </c:pt>
                <c:pt idx="223">
                  <c:v>0.2431640625</c:v>
                </c:pt>
                <c:pt idx="224">
                  <c:v>0.2451171875</c:v>
                </c:pt>
                <c:pt idx="225">
                  <c:v>0.24609375</c:v>
                </c:pt>
                <c:pt idx="226">
                  <c:v>0.248046875</c:v>
                </c:pt>
                <c:pt idx="227">
                  <c:v>0.2490234375</c:v>
                </c:pt>
                <c:pt idx="228">
                  <c:v>0.25</c:v>
                </c:pt>
                <c:pt idx="229">
                  <c:v>0.251953125</c:v>
                </c:pt>
                <c:pt idx="230">
                  <c:v>0.2529296875</c:v>
                </c:pt>
                <c:pt idx="231">
                  <c:v>0.25341796875</c:v>
                </c:pt>
                <c:pt idx="232">
                  <c:v>0.25439453125</c:v>
                </c:pt>
                <c:pt idx="233">
                  <c:v>0.2548828125</c:v>
                </c:pt>
                <c:pt idx="234">
                  <c:v>0.2568359375</c:v>
                </c:pt>
                <c:pt idx="235">
                  <c:v>0.2607421875</c:v>
                </c:pt>
                <c:pt idx="236">
                  <c:v>0.2626953125</c:v>
                </c:pt>
                <c:pt idx="237">
                  <c:v>0.263671875</c:v>
                </c:pt>
                <c:pt idx="238">
                  <c:v>0.265625</c:v>
                </c:pt>
                <c:pt idx="239">
                  <c:v>0.2666015625</c:v>
                </c:pt>
                <c:pt idx="240">
                  <c:v>0.26708984375</c:v>
                </c:pt>
                <c:pt idx="241">
                  <c:v>0.26806640625</c:v>
                </c:pt>
                <c:pt idx="242">
                  <c:v>0.2685546875</c:v>
                </c:pt>
                <c:pt idx="243">
                  <c:v>0.26904296875</c:v>
                </c:pt>
                <c:pt idx="244">
                  <c:v>0.27001953125</c:v>
                </c:pt>
                <c:pt idx="245">
                  <c:v>0.2705078125</c:v>
                </c:pt>
                <c:pt idx="246">
                  <c:v>0.271484375</c:v>
                </c:pt>
                <c:pt idx="247">
                  <c:v>0.2734375</c:v>
                </c:pt>
                <c:pt idx="248">
                  <c:v>0.2744140625</c:v>
                </c:pt>
                <c:pt idx="249">
                  <c:v>0.27490234375</c:v>
                </c:pt>
                <c:pt idx="250">
                  <c:v>0.27587890625</c:v>
                </c:pt>
                <c:pt idx="251">
                  <c:v>0.2763671875</c:v>
                </c:pt>
                <c:pt idx="252">
                  <c:v>0.27685546875</c:v>
                </c:pt>
                <c:pt idx="253">
                  <c:v>0.27783203125</c:v>
                </c:pt>
                <c:pt idx="254">
                  <c:v>0.2783203125</c:v>
                </c:pt>
                <c:pt idx="255">
                  <c:v>0.279296875</c:v>
                </c:pt>
                <c:pt idx="256">
                  <c:v>0.28125</c:v>
                </c:pt>
                <c:pt idx="257">
                  <c:v>0.2822265625</c:v>
                </c:pt>
                <c:pt idx="258">
                  <c:v>0.283203125</c:v>
                </c:pt>
                <c:pt idx="259">
                  <c:v>0.28515625</c:v>
                </c:pt>
                <c:pt idx="260">
                  <c:v>0.2861328125</c:v>
                </c:pt>
                <c:pt idx="261">
                  <c:v>0.286376953125</c:v>
                </c:pt>
                <c:pt idx="262">
                  <c:v>0.286865234375</c:v>
                </c:pt>
                <c:pt idx="263">
                  <c:v>0.287109375</c:v>
                </c:pt>
                <c:pt idx="264">
                  <c:v>0.2880859375</c:v>
                </c:pt>
                <c:pt idx="265">
                  <c:v>0.2900390625</c:v>
                </c:pt>
                <c:pt idx="266">
                  <c:v>0.291015625</c:v>
                </c:pt>
                <c:pt idx="267">
                  <c:v>0.29150390625</c:v>
                </c:pt>
                <c:pt idx="268">
                  <c:v>0.29248046875</c:v>
                </c:pt>
                <c:pt idx="269">
                  <c:v>0.29296875</c:v>
                </c:pt>
                <c:pt idx="270">
                  <c:v>0.293212890625</c:v>
                </c:pt>
                <c:pt idx="271">
                  <c:v>0.293701171875</c:v>
                </c:pt>
                <c:pt idx="272">
                  <c:v>0.2939453125</c:v>
                </c:pt>
                <c:pt idx="273">
                  <c:v>0.2958984375</c:v>
                </c:pt>
                <c:pt idx="274">
                  <c:v>0.2998046875</c:v>
                </c:pt>
                <c:pt idx="275">
                  <c:v>0.3017578125</c:v>
                </c:pt>
                <c:pt idx="276">
                  <c:v>0.3056640625</c:v>
                </c:pt>
                <c:pt idx="277">
                  <c:v>0.3134765625</c:v>
                </c:pt>
                <c:pt idx="278">
                  <c:v>0.3173828125</c:v>
                </c:pt>
                <c:pt idx="279">
                  <c:v>0.318359375</c:v>
                </c:pt>
                <c:pt idx="280">
                  <c:v>0.3203125</c:v>
                </c:pt>
                <c:pt idx="281">
                  <c:v>0.3212890625</c:v>
                </c:pt>
                <c:pt idx="282">
                  <c:v>0.322265625</c:v>
                </c:pt>
                <c:pt idx="283">
                  <c:v>0.32421875</c:v>
                </c:pt>
                <c:pt idx="284">
                  <c:v>0.3251953125</c:v>
                </c:pt>
                <c:pt idx="285">
                  <c:v>0.32568359375</c:v>
                </c:pt>
                <c:pt idx="286">
                  <c:v>0.32666015625</c:v>
                </c:pt>
                <c:pt idx="287">
                  <c:v>0.3271484375</c:v>
                </c:pt>
                <c:pt idx="288">
                  <c:v>0.328125</c:v>
                </c:pt>
                <c:pt idx="289">
                  <c:v>0.330078125</c:v>
                </c:pt>
                <c:pt idx="290">
                  <c:v>0.3310546875</c:v>
                </c:pt>
                <c:pt idx="291">
                  <c:v>0.3330078125</c:v>
                </c:pt>
                <c:pt idx="292">
                  <c:v>0.3369140625</c:v>
                </c:pt>
                <c:pt idx="293">
                  <c:v>0.3388671875</c:v>
                </c:pt>
                <c:pt idx="294">
                  <c:v>0.339111328125</c:v>
                </c:pt>
                <c:pt idx="295">
                  <c:v>0.339599609375</c:v>
                </c:pt>
                <c:pt idx="296">
                  <c:v>0.33984375</c:v>
                </c:pt>
                <c:pt idx="297">
                  <c:v>0.3408203125</c:v>
                </c:pt>
                <c:pt idx="298">
                  <c:v>0.3427734375</c:v>
                </c:pt>
                <c:pt idx="299">
                  <c:v>0.34375</c:v>
                </c:pt>
                <c:pt idx="300">
                  <c:v>0.345703125</c:v>
                </c:pt>
                <c:pt idx="301">
                  <c:v>0.349609375</c:v>
                </c:pt>
                <c:pt idx="302">
                  <c:v>0.3515625</c:v>
                </c:pt>
                <c:pt idx="303">
                  <c:v>0.35205078125</c:v>
                </c:pt>
                <c:pt idx="304">
                  <c:v>0.35302734375</c:v>
                </c:pt>
                <c:pt idx="305">
                  <c:v>0.353515625</c:v>
                </c:pt>
                <c:pt idx="306">
                  <c:v>0.35400390625</c:v>
                </c:pt>
                <c:pt idx="307">
                  <c:v>0.35498046875</c:v>
                </c:pt>
                <c:pt idx="308">
                  <c:v>0.35546875</c:v>
                </c:pt>
                <c:pt idx="309">
                  <c:v>0.35595703125</c:v>
                </c:pt>
                <c:pt idx="310">
                  <c:v>0.35693359375</c:v>
                </c:pt>
                <c:pt idx="311">
                  <c:v>0.357421875</c:v>
                </c:pt>
                <c:pt idx="312">
                  <c:v>0.35791015625</c:v>
                </c:pt>
                <c:pt idx="313">
                  <c:v>0.35888671875</c:v>
                </c:pt>
                <c:pt idx="314">
                  <c:v>0.359375</c:v>
                </c:pt>
                <c:pt idx="315">
                  <c:v>0.361328125</c:v>
                </c:pt>
                <c:pt idx="316">
                  <c:v>0.365234375</c:v>
                </c:pt>
                <c:pt idx="317">
                  <c:v>0.3671875</c:v>
                </c:pt>
                <c:pt idx="318">
                  <c:v>0.3681640625</c:v>
                </c:pt>
                <c:pt idx="319">
                  <c:v>0.3701171875</c:v>
                </c:pt>
                <c:pt idx="320">
                  <c:v>0.37109375</c:v>
                </c:pt>
                <c:pt idx="321">
                  <c:v>0.371337890625</c:v>
                </c:pt>
                <c:pt idx="322">
                  <c:v>0.371826171875</c:v>
                </c:pt>
                <c:pt idx="323">
                  <c:v>0.3720703125</c:v>
                </c:pt>
                <c:pt idx="324">
                  <c:v>0.3740234375</c:v>
                </c:pt>
                <c:pt idx="325">
                  <c:v>0.3779296875</c:v>
                </c:pt>
                <c:pt idx="326">
                  <c:v>0.3798828125</c:v>
                </c:pt>
                <c:pt idx="327">
                  <c:v>0.380126953125</c:v>
                </c:pt>
                <c:pt idx="328">
                  <c:v>0.380615234375</c:v>
                </c:pt>
                <c:pt idx="329">
                  <c:v>0.380859375</c:v>
                </c:pt>
                <c:pt idx="330">
                  <c:v>0.3828125</c:v>
                </c:pt>
                <c:pt idx="331">
                  <c:v>0.38671875</c:v>
                </c:pt>
                <c:pt idx="332">
                  <c:v>0.388671875</c:v>
                </c:pt>
                <c:pt idx="333">
                  <c:v>0.3896484375</c:v>
                </c:pt>
                <c:pt idx="334">
                  <c:v>0.3916015625</c:v>
                </c:pt>
                <c:pt idx="335">
                  <c:v>0.392578125</c:v>
                </c:pt>
                <c:pt idx="336">
                  <c:v>0.3935546875</c:v>
                </c:pt>
                <c:pt idx="337">
                  <c:v>0.3955078125</c:v>
                </c:pt>
                <c:pt idx="338">
                  <c:v>0.396484375</c:v>
                </c:pt>
                <c:pt idx="339">
                  <c:v>0.3974609375</c:v>
                </c:pt>
                <c:pt idx="340">
                  <c:v>0.3994140625</c:v>
                </c:pt>
                <c:pt idx="341">
                  <c:v>0.400390625</c:v>
                </c:pt>
                <c:pt idx="342">
                  <c:v>0.40087890625</c:v>
                </c:pt>
                <c:pt idx="343">
                  <c:v>0.40185546875</c:v>
                </c:pt>
                <c:pt idx="344">
                  <c:v>0.40234375</c:v>
                </c:pt>
                <c:pt idx="345">
                  <c:v>0.4033203125</c:v>
                </c:pt>
                <c:pt idx="346">
                  <c:v>0.4052734375</c:v>
                </c:pt>
                <c:pt idx="347">
                  <c:v>0.40625</c:v>
                </c:pt>
                <c:pt idx="348">
                  <c:v>0.4072265625</c:v>
                </c:pt>
                <c:pt idx="349">
                  <c:v>0.4091796875</c:v>
                </c:pt>
                <c:pt idx="350">
                  <c:v>0.41015625</c:v>
                </c:pt>
                <c:pt idx="351">
                  <c:v>0.41064453125</c:v>
                </c:pt>
                <c:pt idx="352">
                  <c:v>0.41162109375</c:v>
                </c:pt>
                <c:pt idx="353">
                  <c:v>0.412109375</c:v>
                </c:pt>
                <c:pt idx="354">
                  <c:v>0.41259765625</c:v>
                </c:pt>
                <c:pt idx="355">
                  <c:v>0.41357421875</c:v>
                </c:pt>
                <c:pt idx="356">
                  <c:v>0.4140625</c:v>
                </c:pt>
                <c:pt idx="357">
                  <c:v>0.41455078125</c:v>
                </c:pt>
                <c:pt idx="358">
                  <c:v>0.41552734375</c:v>
                </c:pt>
                <c:pt idx="359">
                  <c:v>0.416015625</c:v>
                </c:pt>
                <c:pt idx="360">
                  <c:v>0.416259765625</c:v>
                </c:pt>
                <c:pt idx="361">
                  <c:v>0.416748046875</c:v>
                </c:pt>
                <c:pt idx="362">
                  <c:v>0.4169921875</c:v>
                </c:pt>
                <c:pt idx="363">
                  <c:v>0.41748046875</c:v>
                </c:pt>
                <c:pt idx="364">
                  <c:v>0.41845703125</c:v>
                </c:pt>
                <c:pt idx="365">
                  <c:v>0.4189453125</c:v>
                </c:pt>
                <c:pt idx="366">
                  <c:v>0.419921875</c:v>
                </c:pt>
                <c:pt idx="367">
                  <c:v>0.421875</c:v>
                </c:pt>
                <c:pt idx="368">
                  <c:v>0.4228515625</c:v>
                </c:pt>
                <c:pt idx="369">
                  <c:v>0.42333984375</c:v>
                </c:pt>
                <c:pt idx="370">
                  <c:v>0.42431640625</c:v>
                </c:pt>
                <c:pt idx="371">
                  <c:v>0.4248046875</c:v>
                </c:pt>
                <c:pt idx="372">
                  <c:v>0.425048828125</c:v>
                </c:pt>
                <c:pt idx="373">
                  <c:v>0.425537109375</c:v>
                </c:pt>
                <c:pt idx="374">
                  <c:v>0.42578125</c:v>
                </c:pt>
                <c:pt idx="375">
                  <c:v>0.4296875</c:v>
                </c:pt>
                <c:pt idx="376">
                  <c:v>0.4375</c:v>
                </c:pt>
                <c:pt idx="377">
                  <c:v>0.44140625</c:v>
                </c:pt>
                <c:pt idx="378">
                  <c:v>0.44189453125</c:v>
                </c:pt>
                <c:pt idx="379">
                  <c:v>0.44287109375</c:v>
                </c:pt>
                <c:pt idx="380">
                  <c:v>0.443359375</c:v>
                </c:pt>
                <c:pt idx="381">
                  <c:v>0.443603515625</c:v>
                </c:pt>
                <c:pt idx="382">
                  <c:v>0.444091796875</c:v>
                </c:pt>
                <c:pt idx="383">
                  <c:v>0.4443359375</c:v>
                </c:pt>
                <c:pt idx="384">
                  <c:v>0.4462890625</c:v>
                </c:pt>
                <c:pt idx="385">
                  <c:v>0.4501953125</c:v>
                </c:pt>
                <c:pt idx="386">
                  <c:v>0.4521484375</c:v>
                </c:pt>
                <c:pt idx="387">
                  <c:v>0.453125</c:v>
                </c:pt>
                <c:pt idx="388">
                  <c:v>0.455078125</c:v>
                </c:pt>
                <c:pt idx="389">
                  <c:v>0.4560546875</c:v>
                </c:pt>
                <c:pt idx="390">
                  <c:v>0.45654296875</c:v>
                </c:pt>
                <c:pt idx="391">
                  <c:v>0.45751953125</c:v>
                </c:pt>
                <c:pt idx="392">
                  <c:v>0.4580078125</c:v>
                </c:pt>
                <c:pt idx="393">
                  <c:v>0.45849609375</c:v>
                </c:pt>
                <c:pt idx="394">
                  <c:v>0.45947265625</c:v>
                </c:pt>
                <c:pt idx="395">
                  <c:v>0.4599609375</c:v>
                </c:pt>
                <c:pt idx="396">
                  <c:v>0.460205078125</c:v>
                </c:pt>
                <c:pt idx="397">
                  <c:v>0.460693359375</c:v>
                </c:pt>
                <c:pt idx="398">
                  <c:v>0.4609375</c:v>
                </c:pt>
                <c:pt idx="399">
                  <c:v>0.462890625</c:v>
                </c:pt>
                <c:pt idx="400">
                  <c:v>0.466796875</c:v>
                </c:pt>
                <c:pt idx="401">
                  <c:v>0.46875</c:v>
                </c:pt>
                <c:pt idx="402">
                  <c:v>0.468994140625</c:v>
                </c:pt>
                <c:pt idx="403">
                  <c:v>0.469482421875</c:v>
                </c:pt>
                <c:pt idx="404">
                  <c:v>0.4697265625</c:v>
                </c:pt>
                <c:pt idx="405">
                  <c:v>0.470703125</c:v>
                </c:pt>
                <c:pt idx="406">
                  <c:v>0.47265625</c:v>
                </c:pt>
                <c:pt idx="407">
                  <c:v>0.4736328125</c:v>
                </c:pt>
                <c:pt idx="408">
                  <c:v>0.4755859375</c:v>
                </c:pt>
                <c:pt idx="409">
                  <c:v>0.4794921875</c:v>
                </c:pt>
                <c:pt idx="410">
                  <c:v>0.4814453125</c:v>
                </c:pt>
                <c:pt idx="411">
                  <c:v>0.482421875</c:v>
                </c:pt>
                <c:pt idx="412">
                  <c:v>0.484375</c:v>
                </c:pt>
                <c:pt idx="413">
                  <c:v>0.4853515625</c:v>
                </c:pt>
                <c:pt idx="414">
                  <c:v>0.48583984375</c:v>
                </c:pt>
                <c:pt idx="415">
                  <c:v>0.48681640625</c:v>
                </c:pt>
                <c:pt idx="416">
                  <c:v>0.4873046875</c:v>
                </c:pt>
                <c:pt idx="417">
                  <c:v>0.48828125</c:v>
                </c:pt>
                <c:pt idx="418">
                  <c:v>0.490234375</c:v>
                </c:pt>
                <c:pt idx="419">
                  <c:v>0.4912109375</c:v>
                </c:pt>
                <c:pt idx="420">
                  <c:v>0.4921875</c:v>
                </c:pt>
                <c:pt idx="421">
                  <c:v>0.494140625</c:v>
                </c:pt>
                <c:pt idx="422">
                  <c:v>0.4951171875</c:v>
                </c:pt>
                <c:pt idx="423">
                  <c:v>0.4970703125</c:v>
                </c:pt>
                <c:pt idx="424">
                  <c:v>0.5009765625</c:v>
                </c:pt>
                <c:pt idx="425">
                  <c:v>0.5029296875</c:v>
                </c:pt>
                <c:pt idx="426">
                  <c:v>0.50341796875</c:v>
                </c:pt>
                <c:pt idx="427">
                  <c:v>0.50439453125</c:v>
                </c:pt>
                <c:pt idx="428">
                  <c:v>0.5048828125</c:v>
                </c:pt>
                <c:pt idx="429">
                  <c:v>0.50537109375</c:v>
                </c:pt>
                <c:pt idx="430">
                  <c:v>0.50634765625</c:v>
                </c:pt>
                <c:pt idx="431">
                  <c:v>0.5068359375</c:v>
                </c:pt>
                <c:pt idx="432">
                  <c:v>0.5107421875</c:v>
                </c:pt>
                <c:pt idx="433">
                  <c:v>0.5185546875</c:v>
                </c:pt>
                <c:pt idx="434">
                  <c:v>0.5224609375</c:v>
                </c:pt>
                <c:pt idx="435">
                  <c:v>0.52294921875</c:v>
                </c:pt>
                <c:pt idx="436">
                  <c:v>0.52392578125</c:v>
                </c:pt>
                <c:pt idx="437">
                  <c:v>0.5244140625</c:v>
                </c:pt>
                <c:pt idx="438">
                  <c:v>0.5283203125</c:v>
                </c:pt>
                <c:pt idx="439">
                  <c:v>0.5361328125</c:v>
                </c:pt>
                <c:pt idx="440">
                  <c:v>0.5400390625</c:v>
                </c:pt>
                <c:pt idx="441">
                  <c:v>0.541015625</c:v>
                </c:pt>
                <c:pt idx="442">
                  <c:v>0.54296875</c:v>
                </c:pt>
                <c:pt idx="443">
                  <c:v>0.5439453125</c:v>
                </c:pt>
                <c:pt idx="444">
                  <c:v>0.544921875</c:v>
                </c:pt>
                <c:pt idx="445">
                  <c:v>0.546875</c:v>
                </c:pt>
                <c:pt idx="446">
                  <c:v>0.5478515625</c:v>
                </c:pt>
                <c:pt idx="447">
                  <c:v>0.5498046875</c:v>
                </c:pt>
                <c:pt idx="448">
                  <c:v>0.5537109375</c:v>
                </c:pt>
                <c:pt idx="449">
                  <c:v>0.5556640625</c:v>
                </c:pt>
                <c:pt idx="450">
                  <c:v>0.556640625</c:v>
                </c:pt>
                <c:pt idx="451">
                  <c:v>0.55859375</c:v>
                </c:pt>
                <c:pt idx="452">
                  <c:v>0.5595703125</c:v>
                </c:pt>
                <c:pt idx="453">
                  <c:v>0.559814453125</c:v>
                </c:pt>
                <c:pt idx="454">
                  <c:v>0.560302734375</c:v>
                </c:pt>
                <c:pt idx="455">
                  <c:v>0.560546875</c:v>
                </c:pt>
                <c:pt idx="456">
                  <c:v>0.5625</c:v>
                </c:pt>
                <c:pt idx="457">
                  <c:v>0.56640625</c:v>
                </c:pt>
                <c:pt idx="458">
                  <c:v>0.568359375</c:v>
                </c:pt>
                <c:pt idx="459">
                  <c:v>0.56884765625</c:v>
                </c:pt>
                <c:pt idx="460">
                  <c:v>0.56982421875</c:v>
                </c:pt>
                <c:pt idx="461">
                  <c:v>0.5703125</c:v>
                </c:pt>
                <c:pt idx="462">
                  <c:v>0.572265625</c:v>
                </c:pt>
                <c:pt idx="463">
                  <c:v>0.576171875</c:v>
                </c:pt>
                <c:pt idx="464">
                  <c:v>0.578125</c:v>
                </c:pt>
                <c:pt idx="465">
                  <c:v>0.57861328125</c:v>
                </c:pt>
                <c:pt idx="466">
                  <c:v>0.57958984375</c:v>
                </c:pt>
                <c:pt idx="467">
                  <c:v>0.580078125</c:v>
                </c:pt>
                <c:pt idx="468">
                  <c:v>0.5810546875</c:v>
                </c:pt>
                <c:pt idx="469">
                  <c:v>0.5830078125</c:v>
                </c:pt>
                <c:pt idx="470">
                  <c:v>0.583984375</c:v>
                </c:pt>
                <c:pt idx="471">
                  <c:v>0.5859375</c:v>
                </c:pt>
                <c:pt idx="472">
                  <c:v>0.58984375</c:v>
                </c:pt>
                <c:pt idx="473">
                  <c:v>0.591796875</c:v>
                </c:pt>
                <c:pt idx="474">
                  <c:v>0.59228515625</c:v>
                </c:pt>
                <c:pt idx="475">
                  <c:v>0.59326171875</c:v>
                </c:pt>
                <c:pt idx="476">
                  <c:v>0.59375</c:v>
                </c:pt>
                <c:pt idx="477">
                  <c:v>0.6015625</c:v>
                </c:pt>
                <c:pt idx="478">
                  <c:v>0.6171875</c:v>
                </c:pt>
                <c:pt idx="479">
                  <c:v>0.625</c:v>
                </c:pt>
                <c:pt idx="480">
                  <c:v>0.626953125</c:v>
                </c:pt>
                <c:pt idx="481">
                  <c:v>0.630859375</c:v>
                </c:pt>
                <c:pt idx="482">
                  <c:v>0.6328125</c:v>
                </c:pt>
                <c:pt idx="483">
                  <c:v>0.6337890625</c:v>
                </c:pt>
                <c:pt idx="484">
                  <c:v>0.6357421875</c:v>
                </c:pt>
                <c:pt idx="485">
                  <c:v>0.63671875</c:v>
                </c:pt>
                <c:pt idx="486">
                  <c:v>0.640625</c:v>
                </c:pt>
                <c:pt idx="487">
                  <c:v>0.6484375</c:v>
                </c:pt>
                <c:pt idx="488">
                  <c:v>0.65234375</c:v>
                </c:pt>
                <c:pt idx="489">
                  <c:v>0.6533203125</c:v>
                </c:pt>
                <c:pt idx="490">
                  <c:v>0.6552734375</c:v>
                </c:pt>
                <c:pt idx="491">
                  <c:v>0.65625</c:v>
                </c:pt>
                <c:pt idx="492">
                  <c:v>0.6572265625</c:v>
                </c:pt>
                <c:pt idx="493">
                  <c:v>0.6591796875</c:v>
                </c:pt>
                <c:pt idx="494">
                  <c:v>0.66015625</c:v>
                </c:pt>
                <c:pt idx="495">
                  <c:v>0.6640625</c:v>
                </c:pt>
                <c:pt idx="496">
                  <c:v>0.671875</c:v>
                </c:pt>
                <c:pt idx="497">
                  <c:v>0.67578125</c:v>
                </c:pt>
                <c:pt idx="498">
                  <c:v>0.6767578125</c:v>
                </c:pt>
                <c:pt idx="499">
                  <c:v>0.6787109375</c:v>
                </c:pt>
                <c:pt idx="500">
                  <c:v>0.6796875</c:v>
                </c:pt>
                <c:pt idx="501">
                  <c:v>0.6806640625</c:v>
                </c:pt>
                <c:pt idx="502">
                  <c:v>0.6826171875</c:v>
                </c:pt>
                <c:pt idx="503">
                  <c:v>0.68359375</c:v>
                </c:pt>
                <c:pt idx="504">
                  <c:v>0.6845703125</c:v>
                </c:pt>
                <c:pt idx="505">
                  <c:v>0.6865234375</c:v>
                </c:pt>
                <c:pt idx="506">
                  <c:v>0.6875</c:v>
                </c:pt>
                <c:pt idx="507">
                  <c:v>0.68798828125</c:v>
                </c:pt>
                <c:pt idx="508">
                  <c:v>0.68896484375</c:v>
                </c:pt>
                <c:pt idx="509">
                  <c:v>0.689453125</c:v>
                </c:pt>
                <c:pt idx="510">
                  <c:v>0.69140625</c:v>
                </c:pt>
                <c:pt idx="511">
                  <c:v>0.6953125</c:v>
                </c:pt>
                <c:pt idx="512">
                  <c:v>0.697265625</c:v>
                </c:pt>
                <c:pt idx="513">
                  <c:v>0.701171875</c:v>
                </c:pt>
                <c:pt idx="514">
                  <c:v>0.708984375</c:v>
                </c:pt>
                <c:pt idx="515">
                  <c:v>0.712890625</c:v>
                </c:pt>
                <c:pt idx="516">
                  <c:v>0.7138671875</c:v>
                </c:pt>
                <c:pt idx="517">
                  <c:v>0.7158203125</c:v>
                </c:pt>
                <c:pt idx="518">
                  <c:v>0.716796875</c:v>
                </c:pt>
                <c:pt idx="519">
                  <c:v>0.71728515625</c:v>
                </c:pt>
                <c:pt idx="520">
                  <c:v>0.71826171875</c:v>
                </c:pt>
                <c:pt idx="521">
                  <c:v>0.71875</c:v>
                </c:pt>
                <c:pt idx="522">
                  <c:v>0.71923828125</c:v>
                </c:pt>
                <c:pt idx="523">
                  <c:v>0.72021484375</c:v>
                </c:pt>
                <c:pt idx="524">
                  <c:v>0.720703125</c:v>
                </c:pt>
                <c:pt idx="525">
                  <c:v>0.72119140625</c:v>
                </c:pt>
                <c:pt idx="526">
                  <c:v>0.72216796875</c:v>
                </c:pt>
                <c:pt idx="527">
                  <c:v>0.72265625</c:v>
                </c:pt>
                <c:pt idx="528">
                  <c:v>0.724609375</c:v>
                </c:pt>
                <c:pt idx="529">
                  <c:v>0.728515625</c:v>
                </c:pt>
                <c:pt idx="530">
                  <c:v>0.73046875</c:v>
                </c:pt>
                <c:pt idx="531">
                  <c:v>0.7314453125</c:v>
                </c:pt>
                <c:pt idx="532">
                  <c:v>0.7333984375</c:v>
                </c:pt>
                <c:pt idx="533">
                  <c:v>0.734375</c:v>
                </c:pt>
                <c:pt idx="534">
                  <c:v>0.7353515625</c:v>
                </c:pt>
                <c:pt idx="535">
                  <c:v>0.7373046875</c:v>
                </c:pt>
                <c:pt idx="536">
                  <c:v>0.73828125</c:v>
                </c:pt>
                <c:pt idx="537">
                  <c:v>0.73876953125</c:v>
                </c:pt>
                <c:pt idx="538">
                  <c:v>0.73974609375</c:v>
                </c:pt>
                <c:pt idx="539">
                  <c:v>0.740234375</c:v>
                </c:pt>
                <c:pt idx="540">
                  <c:v>0.7421875</c:v>
                </c:pt>
                <c:pt idx="541">
                  <c:v>0.74609375</c:v>
                </c:pt>
                <c:pt idx="542">
                  <c:v>0.748046875</c:v>
                </c:pt>
                <c:pt idx="543">
                  <c:v>0.75</c:v>
                </c:pt>
                <c:pt idx="544">
                  <c:v>0.75390625</c:v>
                </c:pt>
                <c:pt idx="545">
                  <c:v>0.755859375</c:v>
                </c:pt>
                <c:pt idx="546">
                  <c:v>0.75634765625</c:v>
                </c:pt>
                <c:pt idx="547">
                  <c:v>0.75732421875</c:v>
                </c:pt>
                <c:pt idx="548">
                  <c:v>0.7578125</c:v>
                </c:pt>
                <c:pt idx="549">
                  <c:v>0.759765625</c:v>
                </c:pt>
                <c:pt idx="550">
                  <c:v>0.763671875</c:v>
                </c:pt>
                <c:pt idx="551">
                  <c:v>0.765625</c:v>
                </c:pt>
                <c:pt idx="552">
                  <c:v>0.767578125</c:v>
                </c:pt>
                <c:pt idx="553">
                  <c:v>0.771484375</c:v>
                </c:pt>
                <c:pt idx="554">
                  <c:v>0.7734375</c:v>
                </c:pt>
                <c:pt idx="555">
                  <c:v>0.775390625</c:v>
                </c:pt>
                <c:pt idx="556">
                  <c:v>0.779296875</c:v>
                </c:pt>
                <c:pt idx="557">
                  <c:v>0.78125</c:v>
                </c:pt>
                <c:pt idx="558">
                  <c:v>0.7822265625</c:v>
                </c:pt>
                <c:pt idx="559">
                  <c:v>0.7841796875</c:v>
                </c:pt>
                <c:pt idx="560">
                  <c:v>0.78515625</c:v>
                </c:pt>
                <c:pt idx="561">
                  <c:v>0.7861328125</c:v>
                </c:pt>
                <c:pt idx="562">
                  <c:v>0.7880859375</c:v>
                </c:pt>
                <c:pt idx="563">
                  <c:v>0.7890625</c:v>
                </c:pt>
                <c:pt idx="564">
                  <c:v>0.7900390625</c:v>
                </c:pt>
                <c:pt idx="565">
                  <c:v>0.7919921875</c:v>
                </c:pt>
                <c:pt idx="566">
                  <c:v>0.79296875</c:v>
                </c:pt>
                <c:pt idx="567">
                  <c:v>0.7939453125</c:v>
                </c:pt>
                <c:pt idx="568">
                  <c:v>0.7958984375</c:v>
                </c:pt>
                <c:pt idx="569">
                  <c:v>0.796875</c:v>
                </c:pt>
                <c:pt idx="570">
                  <c:v>0.7978515625</c:v>
                </c:pt>
                <c:pt idx="571">
                  <c:v>0.7998046875</c:v>
                </c:pt>
                <c:pt idx="572">
                  <c:v>0.80078125</c:v>
                </c:pt>
                <c:pt idx="573">
                  <c:v>0.802734375</c:v>
                </c:pt>
                <c:pt idx="574">
                  <c:v>0.806640625</c:v>
                </c:pt>
                <c:pt idx="575">
                  <c:v>0.80859375</c:v>
                </c:pt>
                <c:pt idx="576">
                  <c:v>0.8095703125</c:v>
                </c:pt>
                <c:pt idx="577">
                  <c:v>0.8115234375</c:v>
                </c:pt>
                <c:pt idx="578">
                  <c:v>0.8125</c:v>
                </c:pt>
                <c:pt idx="579">
                  <c:v>0.812744140625</c:v>
                </c:pt>
                <c:pt idx="580">
                  <c:v>0.813232421875</c:v>
                </c:pt>
                <c:pt idx="581">
                  <c:v>0.8134765625</c:v>
                </c:pt>
                <c:pt idx="582">
                  <c:v>0.814453125</c:v>
                </c:pt>
                <c:pt idx="583">
                  <c:v>0.81640625</c:v>
                </c:pt>
                <c:pt idx="584">
                  <c:v>0.8173828125</c:v>
                </c:pt>
                <c:pt idx="585">
                  <c:v>0.81787109375</c:v>
                </c:pt>
                <c:pt idx="586">
                  <c:v>0.81884765625</c:v>
                </c:pt>
                <c:pt idx="587">
                  <c:v>0.8193359375</c:v>
                </c:pt>
                <c:pt idx="588">
                  <c:v>0.8232421875</c:v>
                </c:pt>
                <c:pt idx="589">
                  <c:v>0.8310546875</c:v>
                </c:pt>
                <c:pt idx="590">
                  <c:v>0.8349609375</c:v>
                </c:pt>
                <c:pt idx="591">
                  <c:v>0.8388671875</c:v>
                </c:pt>
                <c:pt idx="592">
                  <c:v>0.8466796875</c:v>
                </c:pt>
                <c:pt idx="593">
                  <c:v>0.8505859375</c:v>
                </c:pt>
                <c:pt idx="594">
                  <c:v>0.8525390625</c:v>
                </c:pt>
                <c:pt idx="595">
                  <c:v>0.8564453125</c:v>
                </c:pt>
                <c:pt idx="596">
                  <c:v>0.8583984375</c:v>
                </c:pt>
                <c:pt idx="597">
                  <c:v>0.8603515625</c:v>
                </c:pt>
                <c:pt idx="598">
                  <c:v>0.8642578125</c:v>
                </c:pt>
                <c:pt idx="599">
                  <c:v>0.8662109375</c:v>
                </c:pt>
                <c:pt idx="600">
                  <c:v>0.8671875</c:v>
                </c:pt>
                <c:pt idx="601">
                  <c:v>0.869140625</c:v>
                </c:pt>
                <c:pt idx="602">
                  <c:v>0.8701171875</c:v>
                </c:pt>
                <c:pt idx="603">
                  <c:v>0.87109375</c:v>
                </c:pt>
                <c:pt idx="604">
                  <c:v>0.873046875</c:v>
                </c:pt>
                <c:pt idx="605">
                  <c:v>0.8740234375</c:v>
                </c:pt>
                <c:pt idx="606">
                  <c:v>0.87451171875</c:v>
                </c:pt>
                <c:pt idx="607">
                  <c:v>0.87548828125</c:v>
                </c:pt>
                <c:pt idx="608">
                  <c:v>0.8759765625</c:v>
                </c:pt>
                <c:pt idx="609">
                  <c:v>0.8779296875</c:v>
                </c:pt>
                <c:pt idx="610">
                  <c:v>0.8818359375</c:v>
                </c:pt>
                <c:pt idx="611">
                  <c:v>0.8837890625</c:v>
                </c:pt>
                <c:pt idx="612">
                  <c:v>0.88427734375</c:v>
                </c:pt>
                <c:pt idx="613">
                  <c:v>0.88525390625</c:v>
                </c:pt>
                <c:pt idx="614">
                  <c:v>0.8857421875</c:v>
                </c:pt>
                <c:pt idx="615">
                  <c:v>0.88623046875</c:v>
                </c:pt>
                <c:pt idx="616">
                  <c:v>0.88720703125</c:v>
                </c:pt>
                <c:pt idx="617">
                  <c:v>0.8876953125</c:v>
                </c:pt>
                <c:pt idx="618">
                  <c:v>0.8896484375</c:v>
                </c:pt>
                <c:pt idx="619">
                  <c:v>0.8935546875</c:v>
                </c:pt>
                <c:pt idx="620">
                  <c:v>0.8955078125</c:v>
                </c:pt>
                <c:pt idx="621">
                  <c:v>0.8974609375</c:v>
                </c:pt>
                <c:pt idx="622">
                  <c:v>0.9013671875</c:v>
                </c:pt>
                <c:pt idx="623">
                  <c:v>0.9033203125</c:v>
                </c:pt>
                <c:pt idx="624">
                  <c:v>0.904296875</c:v>
                </c:pt>
                <c:pt idx="625">
                  <c:v>0.90625</c:v>
                </c:pt>
                <c:pt idx="626">
                  <c:v>0.9072265625</c:v>
                </c:pt>
                <c:pt idx="627">
                  <c:v>0.90771484375</c:v>
                </c:pt>
                <c:pt idx="628">
                  <c:v>0.90869140625</c:v>
                </c:pt>
                <c:pt idx="629">
                  <c:v>0.9091796875</c:v>
                </c:pt>
                <c:pt idx="630">
                  <c:v>0.90966796875</c:v>
                </c:pt>
                <c:pt idx="631">
                  <c:v>0.91064453125</c:v>
                </c:pt>
                <c:pt idx="632">
                  <c:v>0.9111328125</c:v>
                </c:pt>
                <c:pt idx="633">
                  <c:v>0.912109375</c:v>
                </c:pt>
                <c:pt idx="634">
                  <c:v>0.9140625</c:v>
                </c:pt>
                <c:pt idx="635">
                  <c:v>0.9150390625</c:v>
                </c:pt>
                <c:pt idx="636">
                  <c:v>0.9169921875</c:v>
                </c:pt>
                <c:pt idx="637">
                  <c:v>0.9208984375</c:v>
                </c:pt>
                <c:pt idx="638">
                  <c:v>0.9228515625</c:v>
                </c:pt>
                <c:pt idx="639">
                  <c:v>0.923828125</c:v>
                </c:pt>
                <c:pt idx="640">
                  <c:v>0.92578125</c:v>
                </c:pt>
                <c:pt idx="641">
                  <c:v>0.9267578125</c:v>
                </c:pt>
                <c:pt idx="642">
                  <c:v>0.927734375</c:v>
                </c:pt>
                <c:pt idx="643">
                  <c:v>0.9296875</c:v>
                </c:pt>
                <c:pt idx="644">
                  <c:v>0.9306640625</c:v>
                </c:pt>
                <c:pt idx="645">
                  <c:v>0.93115234375</c:v>
                </c:pt>
                <c:pt idx="646">
                  <c:v>0.93212890625</c:v>
                </c:pt>
                <c:pt idx="647">
                  <c:v>0.9326171875</c:v>
                </c:pt>
                <c:pt idx="648">
                  <c:v>0.93359375</c:v>
                </c:pt>
                <c:pt idx="649">
                  <c:v>0.935546875</c:v>
                </c:pt>
                <c:pt idx="650">
                  <c:v>0.9365234375</c:v>
                </c:pt>
                <c:pt idx="651">
                  <c:v>0.936767578125</c:v>
                </c:pt>
                <c:pt idx="652">
                  <c:v>0.937255859375</c:v>
                </c:pt>
                <c:pt idx="653">
                  <c:v>0.9375</c:v>
                </c:pt>
                <c:pt idx="654">
                  <c:v>0.9384765625</c:v>
                </c:pt>
                <c:pt idx="655">
                  <c:v>0.9404296875</c:v>
                </c:pt>
                <c:pt idx="656">
                  <c:v>0.94140625</c:v>
                </c:pt>
                <c:pt idx="657">
                  <c:v>0.941650390625</c:v>
                </c:pt>
                <c:pt idx="658">
                  <c:v>0.942138671875</c:v>
                </c:pt>
                <c:pt idx="659">
                  <c:v>0.9423828125</c:v>
                </c:pt>
                <c:pt idx="660">
                  <c:v>0.94287109375</c:v>
                </c:pt>
                <c:pt idx="661">
                  <c:v>0.94384765625</c:v>
                </c:pt>
                <c:pt idx="662">
                  <c:v>0.9443359375</c:v>
                </c:pt>
                <c:pt idx="663">
                  <c:v>0.94482421875</c:v>
                </c:pt>
                <c:pt idx="664">
                  <c:v>0.94580078125</c:v>
                </c:pt>
                <c:pt idx="665">
                  <c:v>0.9462890625</c:v>
                </c:pt>
                <c:pt idx="666">
                  <c:v>0.946533203125</c:v>
                </c:pt>
                <c:pt idx="667">
                  <c:v>0.947021484375</c:v>
                </c:pt>
                <c:pt idx="668">
                  <c:v>0.947265625</c:v>
                </c:pt>
                <c:pt idx="669">
                  <c:v>0.9482421875</c:v>
                </c:pt>
                <c:pt idx="670">
                  <c:v>0.9501953125</c:v>
                </c:pt>
                <c:pt idx="671">
                  <c:v>0.951171875</c:v>
                </c:pt>
                <c:pt idx="672">
                  <c:v>0.9521484375</c:v>
                </c:pt>
                <c:pt idx="673">
                  <c:v>0.9541015625</c:v>
                </c:pt>
                <c:pt idx="674">
                  <c:v>0.955078125</c:v>
                </c:pt>
                <c:pt idx="675">
                  <c:v>0.95556640625</c:v>
                </c:pt>
                <c:pt idx="676">
                  <c:v>0.95654296875</c:v>
                </c:pt>
                <c:pt idx="677">
                  <c:v>0.95703125</c:v>
                </c:pt>
                <c:pt idx="678">
                  <c:v>0.95751953125</c:v>
                </c:pt>
                <c:pt idx="679">
                  <c:v>0.95849609375</c:v>
                </c:pt>
                <c:pt idx="680">
                  <c:v>0.958984375</c:v>
                </c:pt>
                <c:pt idx="681">
                  <c:v>0.959228515625</c:v>
                </c:pt>
                <c:pt idx="682">
                  <c:v>0.959716796875</c:v>
                </c:pt>
                <c:pt idx="683">
                  <c:v>0.9599609375</c:v>
                </c:pt>
                <c:pt idx="684">
                  <c:v>0.96044921875</c:v>
                </c:pt>
                <c:pt idx="685">
                  <c:v>0.96142578125</c:v>
                </c:pt>
                <c:pt idx="686">
                  <c:v>0.9619140625</c:v>
                </c:pt>
                <c:pt idx="687">
                  <c:v>0.96240234375</c:v>
                </c:pt>
                <c:pt idx="688">
                  <c:v>0.96337890625</c:v>
                </c:pt>
                <c:pt idx="689">
                  <c:v>0.9638671875</c:v>
                </c:pt>
                <c:pt idx="690">
                  <c:v>0.96484375</c:v>
                </c:pt>
                <c:pt idx="691">
                  <c:v>0.966796875</c:v>
                </c:pt>
                <c:pt idx="692">
                  <c:v>0.9677734375</c:v>
                </c:pt>
                <c:pt idx="693">
                  <c:v>0.96826171875</c:v>
                </c:pt>
                <c:pt idx="694">
                  <c:v>0.96923828125</c:v>
                </c:pt>
                <c:pt idx="695">
                  <c:v>0.9697265625</c:v>
                </c:pt>
                <c:pt idx="696">
                  <c:v>0.9716796875</c:v>
                </c:pt>
                <c:pt idx="697">
                  <c:v>0.9755859375</c:v>
                </c:pt>
                <c:pt idx="698">
                  <c:v>0.9775390625</c:v>
                </c:pt>
                <c:pt idx="699">
                  <c:v>0.978515625</c:v>
                </c:pt>
                <c:pt idx="700">
                  <c:v>0.98046875</c:v>
                </c:pt>
                <c:pt idx="701">
                  <c:v>0.9814453125</c:v>
                </c:pt>
                <c:pt idx="702">
                  <c:v>0.982421875</c:v>
                </c:pt>
                <c:pt idx="703">
                  <c:v>0.984375</c:v>
                </c:pt>
                <c:pt idx="704">
                  <c:v>0.9853515625</c:v>
                </c:pt>
                <c:pt idx="705">
                  <c:v>0.98583984375</c:v>
                </c:pt>
                <c:pt idx="706">
                  <c:v>0.98681640625</c:v>
                </c:pt>
                <c:pt idx="707">
                  <c:v>0.9873046875</c:v>
                </c:pt>
                <c:pt idx="708">
                  <c:v>0.987548828125</c:v>
                </c:pt>
                <c:pt idx="709">
                  <c:v>0.988037109375</c:v>
                </c:pt>
                <c:pt idx="710">
                  <c:v>0.98828125</c:v>
                </c:pt>
                <c:pt idx="711">
                  <c:v>0.98876953125</c:v>
                </c:pt>
                <c:pt idx="712">
                  <c:v>0.98974609375</c:v>
                </c:pt>
                <c:pt idx="713">
                  <c:v>0.990234375</c:v>
                </c:pt>
                <c:pt idx="714">
                  <c:v>0.990478515625</c:v>
                </c:pt>
                <c:pt idx="715">
                  <c:v>0.990966796875</c:v>
                </c:pt>
                <c:pt idx="716">
                  <c:v>0.9912109375</c:v>
                </c:pt>
                <c:pt idx="717">
                  <c:v>0.9921875</c:v>
                </c:pt>
                <c:pt idx="718">
                  <c:v>0.994140625</c:v>
                </c:pt>
                <c:pt idx="719">
                  <c:v>0.9951171875</c:v>
                </c:pt>
                <c:pt idx="720">
                  <c:v>0.99560546875</c:v>
                </c:pt>
                <c:pt idx="721">
                  <c:v>0.99658203125</c:v>
                </c:pt>
                <c:pt idx="722">
                  <c:v>0.9970703125</c:v>
                </c:pt>
                <c:pt idx="723">
                  <c:v>0.99755859375</c:v>
                </c:pt>
                <c:pt idx="724">
                  <c:v>0.99853515625</c:v>
                </c:pt>
                <c:pt idx="725">
                  <c:v>0.9990234375</c:v>
                </c:pt>
                <c:pt idx="726">
                  <c:v>0.999267578125</c:v>
                </c:pt>
                <c:pt idx="727">
                  <c:v>0.999755859375</c:v>
                </c:pt>
                <c:pt idx="72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9-4879-946B-D04D489FFFA5}"/>
            </c:ext>
          </c:extLst>
        </c:ser>
        <c:ser>
          <c:idx val="3"/>
          <c:order val="3"/>
          <c:tx>
            <c:v>Strategy 4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CDF!$J$2:$J$730</c:f>
              <c:numCache>
                <c:formatCode>General</c:formatCode>
                <c:ptCount val="729"/>
                <c:pt idx="0">
                  <c:v>1.4154049494841852</c:v>
                </c:pt>
                <c:pt idx="1">
                  <c:v>1.4154049494841852</c:v>
                </c:pt>
                <c:pt idx="2">
                  <c:v>1.4154049494841852</c:v>
                </c:pt>
                <c:pt idx="3">
                  <c:v>1.4154049494841852</c:v>
                </c:pt>
                <c:pt idx="4">
                  <c:v>1.4154049494841852</c:v>
                </c:pt>
                <c:pt idx="5">
                  <c:v>1.4154049494841852</c:v>
                </c:pt>
                <c:pt idx="6">
                  <c:v>1.4154049494841852</c:v>
                </c:pt>
                <c:pt idx="7">
                  <c:v>1.4154049494841852</c:v>
                </c:pt>
                <c:pt idx="8">
                  <c:v>1.4154049494841852</c:v>
                </c:pt>
                <c:pt idx="9">
                  <c:v>1.5605746878928177</c:v>
                </c:pt>
                <c:pt idx="10">
                  <c:v>1.5605746878928177</c:v>
                </c:pt>
                <c:pt idx="11">
                  <c:v>1.5605746878928177</c:v>
                </c:pt>
                <c:pt idx="12">
                  <c:v>1.5605746878928177</c:v>
                </c:pt>
                <c:pt idx="13">
                  <c:v>1.5605746878928177</c:v>
                </c:pt>
                <c:pt idx="14">
                  <c:v>1.5605746878928177</c:v>
                </c:pt>
                <c:pt idx="15">
                  <c:v>1.5605746878928177</c:v>
                </c:pt>
                <c:pt idx="16">
                  <c:v>1.5605746878928177</c:v>
                </c:pt>
                <c:pt idx="17">
                  <c:v>1.5605746878928177</c:v>
                </c:pt>
                <c:pt idx="18">
                  <c:v>1.6694519916992943</c:v>
                </c:pt>
                <c:pt idx="19">
                  <c:v>1.6694519916992943</c:v>
                </c:pt>
                <c:pt idx="20">
                  <c:v>1.6694519916992943</c:v>
                </c:pt>
                <c:pt idx="21">
                  <c:v>1.6694519916992943</c:v>
                </c:pt>
                <c:pt idx="22">
                  <c:v>1.6694519916992943</c:v>
                </c:pt>
                <c:pt idx="23">
                  <c:v>1.6694519916992943</c:v>
                </c:pt>
                <c:pt idx="24">
                  <c:v>1.6694519916992943</c:v>
                </c:pt>
                <c:pt idx="25">
                  <c:v>1.6694519916992943</c:v>
                </c:pt>
                <c:pt idx="26">
                  <c:v>1.6694519916992943</c:v>
                </c:pt>
                <c:pt idx="27">
                  <c:v>1.7420368609036128</c:v>
                </c:pt>
                <c:pt idx="28">
                  <c:v>1.7420368609036128</c:v>
                </c:pt>
                <c:pt idx="29">
                  <c:v>1.7420368609036128</c:v>
                </c:pt>
                <c:pt idx="30">
                  <c:v>1.7420368609036128</c:v>
                </c:pt>
                <c:pt idx="31">
                  <c:v>1.7420368609036128</c:v>
                </c:pt>
                <c:pt idx="32">
                  <c:v>1.7420368609036128</c:v>
                </c:pt>
                <c:pt idx="33">
                  <c:v>1.7420368609036128</c:v>
                </c:pt>
                <c:pt idx="34">
                  <c:v>1.7420368609036128</c:v>
                </c:pt>
                <c:pt idx="35">
                  <c:v>1.7420368609036128</c:v>
                </c:pt>
                <c:pt idx="36">
                  <c:v>1.9207073081757775</c:v>
                </c:pt>
                <c:pt idx="37">
                  <c:v>1.9207073081757775</c:v>
                </c:pt>
                <c:pt idx="38">
                  <c:v>1.9207073081757775</c:v>
                </c:pt>
                <c:pt idx="39">
                  <c:v>1.9207073081757775</c:v>
                </c:pt>
                <c:pt idx="40">
                  <c:v>1.9207073081757775</c:v>
                </c:pt>
                <c:pt idx="41">
                  <c:v>1.9207073081757775</c:v>
                </c:pt>
                <c:pt idx="42">
                  <c:v>1.9207073081757775</c:v>
                </c:pt>
                <c:pt idx="43">
                  <c:v>1.9207073081757775</c:v>
                </c:pt>
                <c:pt idx="44">
                  <c:v>1.9207073081757775</c:v>
                </c:pt>
                <c:pt idx="45">
                  <c:v>1.9597914685165641</c:v>
                </c:pt>
                <c:pt idx="46">
                  <c:v>1.9597914685165641</c:v>
                </c:pt>
                <c:pt idx="47">
                  <c:v>1.9597914685165641</c:v>
                </c:pt>
                <c:pt idx="48">
                  <c:v>1.9597914685165641</c:v>
                </c:pt>
                <c:pt idx="49">
                  <c:v>1.9597914685165641</c:v>
                </c:pt>
                <c:pt idx="50">
                  <c:v>1.9597914685165641</c:v>
                </c:pt>
                <c:pt idx="51">
                  <c:v>1.9597914685165641</c:v>
                </c:pt>
                <c:pt idx="52">
                  <c:v>1.9597914685165641</c:v>
                </c:pt>
                <c:pt idx="53">
                  <c:v>1.9597914685165641</c:v>
                </c:pt>
                <c:pt idx="54">
                  <c:v>2.0547101436299009</c:v>
                </c:pt>
                <c:pt idx="55">
                  <c:v>2.0547101436299009</c:v>
                </c:pt>
                <c:pt idx="56">
                  <c:v>2.0547101436299009</c:v>
                </c:pt>
                <c:pt idx="57">
                  <c:v>2.0547101436299009</c:v>
                </c:pt>
                <c:pt idx="58">
                  <c:v>2.0547101436299009</c:v>
                </c:pt>
                <c:pt idx="59">
                  <c:v>2.0547101436299009</c:v>
                </c:pt>
                <c:pt idx="60">
                  <c:v>2.0547101436299009</c:v>
                </c:pt>
                <c:pt idx="61">
                  <c:v>2.0547101436299009</c:v>
                </c:pt>
                <c:pt idx="62">
                  <c:v>2.0547101436299009</c:v>
                </c:pt>
                <c:pt idx="63">
                  <c:v>2.1607957216977498</c:v>
                </c:pt>
                <c:pt idx="64">
                  <c:v>2.1607957216977498</c:v>
                </c:pt>
                <c:pt idx="65">
                  <c:v>2.1607957216977498</c:v>
                </c:pt>
                <c:pt idx="66">
                  <c:v>2.1607957216977498</c:v>
                </c:pt>
                <c:pt idx="67">
                  <c:v>2.1607957216977498</c:v>
                </c:pt>
                <c:pt idx="68">
                  <c:v>2.1607957216977498</c:v>
                </c:pt>
                <c:pt idx="69">
                  <c:v>2.1607957216977498</c:v>
                </c:pt>
                <c:pt idx="70">
                  <c:v>2.1607957216977498</c:v>
                </c:pt>
                <c:pt idx="71">
                  <c:v>2.1607957216977498</c:v>
                </c:pt>
                <c:pt idx="72">
                  <c:v>2.2617053448112117</c:v>
                </c:pt>
                <c:pt idx="73">
                  <c:v>2.2617053448112117</c:v>
                </c:pt>
                <c:pt idx="74">
                  <c:v>2.2617053448112117</c:v>
                </c:pt>
                <c:pt idx="75">
                  <c:v>2.2617053448112117</c:v>
                </c:pt>
                <c:pt idx="76">
                  <c:v>2.2617053448112117</c:v>
                </c:pt>
                <c:pt idx="77">
                  <c:v>2.2617053448112117</c:v>
                </c:pt>
                <c:pt idx="78">
                  <c:v>2.2617053448112117</c:v>
                </c:pt>
                <c:pt idx="79">
                  <c:v>2.2617053448112117</c:v>
                </c:pt>
                <c:pt idx="80">
                  <c:v>2.2617053448112117</c:v>
                </c:pt>
                <c:pt idx="81">
                  <c:v>2.3115489115836398</c:v>
                </c:pt>
                <c:pt idx="82">
                  <c:v>2.3115489115836398</c:v>
                </c:pt>
                <c:pt idx="83">
                  <c:v>2.3115489115836398</c:v>
                </c:pt>
                <c:pt idx="84">
                  <c:v>2.3115489115836398</c:v>
                </c:pt>
                <c:pt idx="85">
                  <c:v>2.3115489115836398</c:v>
                </c:pt>
                <c:pt idx="86">
                  <c:v>2.3115489115836398</c:v>
                </c:pt>
                <c:pt idx="87">
                  <c:v>2.3115489115836398</c:v>
                </c:pt>
                <c:pt idx="88">
                  <c:v>2.3115489115836398</c:v>
                </c:pt>
                <c:pt idx="89">
                  <c:v>2.3115489115836398</c:v>
                </c:pt>
                <c:pt idx="90">
                  <c:v>2.4582464545166651</c:v>
                </c:pt>
                <c:pt idx="91">
                  <c:v>2.4582464545166651</c:v>
                </c:pt>
                <c:pt idx="92">
                  <c:v>2.4582464545166651</c:v>
                </c:pt>
                <c:pt idx="93">
                  <c:v>2.4582464545166651</c:v>
                </c:pt>
                <c:pt idx="94">
                  <c:v>2.4582464545166651</c:v>
                </c:pt>
                <c:pt idx="95">
                  <c:v>2.4582464545166651</c:v>
                </c:pt>
                <c:pt idx="96">
                  <c:v>2.4582464545166651</c:v>
                </c:pt>
                <c:pt idx="97">
                  <c:v>2.4582464545166651</c:v>
                </c:pt>
                <c:pt idx="98">
                  <c:v>2.4582464545166651</c:v>
                </c:pt>
                <c:pt idx="99">
                  <c:v>2.4936751237662054</c:v>
                </c:pt>
                <c:pt idx="100">
                  <c:v>2.4936751237662054</c:v>
                </c:pt>
                <c:pt idx="101">
                  <c:v>2.4936751237662054</c:v>
                </c:pt>
                <c:pt idx="102">
                  <c:v>2.4936751237662054</c:v>
                </c:pt>
                <c:pt idx="103">
                  <c:v>2.4936751237662054</c:v>
                </c:pt>
                <c:pt idx="104">
                  <c:v>2.4936751237662054</c:v>
                </c:pt>
                <c:pt idx="105">
                  <c:v>2.4936751237662054</c:v>
                </c:pt>
                <c:pt idx="106">
                  <c:v>2.4936751237662054</c:v>
                </c:pt>
                <c:pt idx="107">
                  <c:v>2.4936751237662054</c:v>
                </c:pt>
                <c:pt idx="108">
                  <c:v>2.6676524579824568</c:v>
                </c:pt>
                <c:pt idx="109">
                  <c:v>2.6676524579824568</c:v>
                </c:pt>
                <c:pt idx="110">
                  <c:v>2.6676524579824568</c:v>
                </c:pt>
                <c:pt idx="111">
                  <c:v>2.6676524579824568</c:v>
                </c:pt>
                <c:pt idx="112">
                  <c:v>2.6676524579824568</c:v>
                </c:pt>
                <c:pt idx="113">
                  <c:v>2.6676524579824568</c:v>
                </c:pt>
                <c:pt idx="114">
                  <c:v>2.6676524579824568</c:v>
                </c:pt>
                <c:pt idx="115">
                  <c:v>2.6676524579824568</c:v>
                </c:pt>
                <c:pt idx="116">
                  <c:v>2.6676524579824568</c:v>
                </c:pt>
                <c:pt idx="117">
                  <c:v>2.7103742960055541</c:v>
                </c:pt>
                <c:pt idx="118">
                  <c:v>2.7103742960055541</c:v>
                </c:pt>
                <c:pt idx="119">
                  <c:v>2.7103742960055541</c:v>
                </c:pt>
                <c:pt idx="120">
                  <c:v>2.7103742960055541</c:v>
                </c:pt>
                <c:pt idx="121">
                  <c:v>2.7103742960055541</c:v>
                </c:pt>
                <c:pt idx="122">
                  <c:v>2.7103742960055541</c:v>
                </c:pt>
                <c:pt idx="123">
                  <c:v>2.7103742960055541</c:v>
                </c:pt>
                <c:pt idx="124">
                  <c:v>2.7103742960055541</c:v>
                </c:pt>
                <c:pt idx="125">
                  <c:v>2.7103742960055541</c:v>
                </c:pt>
                <c:pt idx="126">
                  <c:v>2.7836373474599538</c:v>
                </c:pt>
                <c:pt idx="127">
                  <c:v>2.7836373474599538</c:v>
                </c:pt>
                <c:pt idx="128">
                  <c:v>2.7836373474599538</c:v>
                </c:pt>
                <c:pt idx="129">
                  <c:v>2.7836373474599538</c:v>
                </c:pt>
                <c:pt idx="130">
                  <c:v>2.7836373474599538</c:v>
                </c:pt>
                <c:pt idx="131">
                  <c:v>2.7836373474599538</c:v>
                </c:pt>
                <c:pt idx="132">
                  <c:v>2.7836373474599538</c:v>
                </c:pt>
                <c:pt idx="133">
                  <c:v>2.7836373474599538</c:v>
                </c:pt>
                <c:pt idx="134">
                  <c:v>2.7836373474599538</c:v>
                </c:pt>
                <c:pt idx="135">
                  <c:v>2.8994701771222213</c:v>
                </c:pt>
                <c:pt idx="136">
                  <c:v>2.8994701771222213</c:v>
                </c:pt>
                <c:pt idx="137">
                  <c:v>2.8994701771222213</c:v>
                </c:pt>
                <c:pt idx="138">
                  <c:v>2.8994701771222213</c:v>
                </c:pt>
                <c:pt idx="139">
                  <c:v>2.8994701771222213</c:v>
                </c:pt>
                <c:pt idx="140">
                  <c:v>2.8994701771222213</c:v>
                </c:pt>
                <c:pt idx="141">
                  <c:v>2.8994701771222213</c:v>
                </c:pt>
                <c:pt idx="142">
                  <c:v>2.8994701771222213</c:v>
                </c:pt>
                <c:pt idx="143">
                  <c:v>2.8994701771222213</c:v>
                </c:pt>
                <c:pt idx="144">
                  <c:v>3.0255340978666676</c:v>
                </c:pt>
                <c:pt idx="145">
                  <c:v>3.0255340978666676</c:v>
                </c:pt>
                <c:pt idx="146">
                  <c:v>3.0255340978666676</c:v>
                </c:pt>
                <c:pt idx="147">
                  <c:v>3.0255340978666676</c:v>
                </c:pt>
                <c:pt idx="148">
                  <c:v>3.0255340978666676</c:v>
                </c:pt>
                <c:pt idx="149">
                  <c:v>3.0255340978666676</c:v>
                </c:pt>
                <c:pt idx="150">
                  <c:v>3.0255340978666676</c:v>
                </c:pt>
                <c:pt idx="151">
                  <c:v>3.0255340978666676</c:v>
                </c:pt>
                <c:pt idx="152">
                  <c:v>3.0255340978666676</c:v>
                </c:pt>
                <c:pt idx="153">
                  <c:v>3.0691386138661052</c:v>
                </c:pt>
                <c:pt idx="154">
                  <c:v>3.0691386138661052</c:v>
                </c:pt>
                <c:pt idx="155">
                  <c:v>3.0691386138661052</c:v>
                </c:pt>
                <c:pt idx="156">
                  <c:v>3.0691386138661052</c:v>
                </c:pt>
                <c:pt idx="157">
                  <c:v>3.0691386138661052</c:v>
                </c:pt>
                <c:pt idx="158">
                  <c:v>3.0691386138661052</c:v>
                </c:pt>
                <c:pt idx="159">
                  <c:v>3.0691386138661052</c:v>
                </c:pt>
                <c:pt idx="160">
                  <c:v>3.0691386138661052</c:v>
                </c:pt>
                <c:pt idx="161">
                  <c:v>3.0691386138661052</c:v>
                </c:pt>
                <c:pt idx="162">
                  <c:v>3.1315920158924504</c:v>
                </c:pt>
                <c:pt idx="163">
                  <c:v>3.1315920158924504</c:v>
                </c:pt>
                <c:pt idx="164">
                  <c:v>3.1315920158924504</c:v>
                </c:pt>
                <c:pt idx="165">
                  <c:v>3.1315920158924504</c:v>
                </c:pt>
                <c:pt idx="166">
                  <c:v>3.1315920158924504</c:v>
                </c:pt>
                <c:pt idx="167">
                  <c:v>3.1315920158924504</c:v>
                </c:pt>
                <c:pt idx="168">
                  <c:v>3.1315920158924504</c:v>
                </c:pt>
                <c:pt idx="169">
                  <c:v>3.1315920158924504</c:v>
                </c:pt>
                <c:pt idx="170">
                  <c:v>3.1315920158924504</c:v>
                </c:pt>
                <c:pt idx="171">
                  <c:v>3.2832645636707141</c:v>
                </c:pt>
                <c:pt idx="172">
                  <c:v>3.2832645636707141</c:v>
                </c:pt>
                <c:pt idx="173">
                  <c:v>3.2832645636707141</c:v>
                </c:pt>
                <c:pt idx="174">
                  <c:v>3.2832645636707141</c:v>
                </c:pt>
                <c:pt idx="175">
                  <c:v>3.2832645636707141</c:v>
                </c:pt>
                <c:pt idx="176">
                  <c:v>3.2832645636707141</c:v>
                </c:pt>
                <c:pt idx="177">
                  <c:v>3.2832645636707141</c:v>
                </c:pt>
                <c:pt idx="178">
                  <c:v>3.2832645636707141</c:v>
                </c:pt>
                <c:pt idx="179">
                  <c:v>3.2832645636707141</c:v>
                </c:pt>
                <c:pt idx="180">
                  <c:v>3.3358452873914528</c:v>
                </c:pt>
                <c:pt idx="181">
                  <c:v>3.3358452873914528</c:v>
                </c:pt>
                <c:pt idx="182">
                  <c:v>3.3358452873914528</c:v>
                </c:pt>
                <c:pt idx="183">
                  <c:v>3.3358452873914528</c:v>
                </c:pt>
                <c:pt idx="184">
                  <c:v>3.3358452873914528</c:v>
                </c:pt>
                <c:pt idx="185">
                  <c:v>3.3358452873914528</c:v>
                </c:pt>
                <c:pt idx="186">
                  <c:v>3.3358452873914528</c:v>
                </c:pt>
                <c:pt idx="187">
                  <c:v>3.3358452873914528</c:v>
                </c:pt>
                <c:pt idx="188">
                  <c:v>3.3358452873914528</c:v>
                </c:pt>
                <c:pt idx="189">
                  <c:v>3.403725860100002</c:v>
                </c:pt>
                <c:pt idx="190">
                  <c:v>3.403725860100002</c:v>
                </c:pt>
                <c:pt idx="191">
                  <c:v>3.403725860100002</c:v>
                </c:pt>
                <c:pt idx="192">
                  <c:v>3.403725860100002</c:v>
                </c:pt>
                <c:pt idx="193">
                  <c:v>3.403725860100002</c:v>
                </c:pt>
                <c:pt idx="194">
                  <c:v>3.403725860100002</c:v>
                </c:pt>
                <c:pt idx="195">
                  <c:v>3.403725860100002</c:v>
                </c:pt>
                <c:pt idx="196">
                  <c:v>3.403725860100002</c:v>
                </c:pt>
                <c:pt idx="197">
                  <c:v>3.403725860100002</c:v>
                </c:pt>
                <c:pt idx="198">
                  <c:v>3.4527809405993679</c:v>
                </c:pt>
                <c:pt idx="199">
                  <c:v>3.4527809405993679</c:v>
                </c:pt>
                <c:pt idx="200">
                  <c:v>3.4527809405993679</c:v>
                </c:pt>
                <c:pt idx="201">
                  <c:v>3.4527809405993679</c:v>
                </c:pt>
                <c:pt idx="202">
                  <c:v>3.4527809405993679</c:v>
                </c:pt>
                <c:pt idx="203">
                  <c:v>3.4527809405993679</c:v>
                </c:pt>
                <c:pt idx="204">
                  <c:v>3.4527809405993679</c:v>
                </c:pt>
                <c:pt idx="205">
                  <c:v>3.4527809405993679</c:v>
                </c:pt>
                <c:pt idx="206">
                  <c:v>3.4527809405993679</c:v>
                </c:pt>
                <c:pt idx="207">
                  <c:v>3.5385123737104625</c:v>
                </c:pt>
                <c:pt idx="208">
                  <c:v>3.5385123737104625</c:v>
                </c:pt>
                <c:pt idx="209">
                  <c:v>3.5385123737104625</c:v>
                </c:pt>
                <c:pt idx="210">
                  <c:v>3.5385123737104625</c:v>
                </c:pt>
                <c:pt idx="211">
                  <c:v>3.5385123737104625</c:v>
                </c:pt>
                <c:pt idx="212">
                  <c:v>3.5385123737104625</c:v>
                </c:pt>
                <c:pt idx="213">
                  <c:v>3.5385123737104625</c:v>
                </c:pt>
                <c:pt idx="214">
                  <c:v>3.5385123737104625</c:v>
                </c:pt>
                <c:pt idx="215">
                  <c:v>3.5385123737104625</c:v>
                </c:pt>
                <c:pt idx="216">
                  <c:v>3.5685786795350425</c:v>
                </c:pt>
                <c:pt idx="217">
                  <c:v>3.5685786795350425</c:v>
                </c:pt>
                <c:pt idx="218">
                  <c:v>3.5685786795350425</c:v>
                </c:pt>
                <c:pt idx="219">
                  <c:v>3.5685786795350425</c:v>
                </c:pt>
                <c:pt idx="220">
                  <c:v>3.5685786795350425</c:v>
                </c:pt>
                <c:pt idx="221">
                  <c:v>3.5685786795350425</c:v>
                </c:pt>
                <c:pt idx="222">
                  <c:v>3.5685786795350425</c:v>
                </c:pt>
                <c:pt idx="223">
                  <c:v>3.5685786795350425</c:v>
                </c:pt>
                <c:pt idx="224">
                  <c:v>3.5685786795350425</c:v>
                </c:pt>
                <c:pt idx="225">
                  <c:v>3.6936726341295558</c:v>
                </c:pt>
                <c:pt idx="226">
                  <c:v>3.6936726341295558</c:v>
                </c:pt>
                <c:pt idx="227">
                  <c:v>3.6936726341295558</c:v>
                </c:pt>
                <c:pt idx="228">
                  <c:v>3.6936726341295558</c:v>
                </c:pt>
                <c:pt idx="229">
                  <c:v>3.6936726341295558</c:v>
                </c:pt>
                <c:pt idx="230">
                  <c:v>3.6936726341295558</c:v>
                </c:pt>
                <c:pt idx="231">
                  <c:v>3.6936726341295558</c:v>
                </c:pt>
                <c:pt idx="232">
                  <c:v>3.6936726341295558</c:v>
                </c:pt>
                <c:pt idx="233">
                  <c:v>3.6936726341295558</c:v>
                </c:pt>
                <c:pt idx="234">
                  <c:v>3.7528259483153876</c:v>
                </c:pt>
                <c:pt idx="235">
                  <c:v>3.7528259483153876</c:v>
                </c:pt>
                <c:pt idx="236">
                  <c:v>3.7528259483153876</c:v>
                </c:pt>
                <c:pt idx="237">
                  <c:v>3.7528259483153876</c:v>
                </c:pt>
                <c:pt idx="238">
                  <c:v>3.7528259483153876</c:v>
                </c:pt>
                <c:pt idx="239">
                  <c:v>3.7528259483153876</c:v>
                </c:pt>
                <c:pt idx="240">
                  <c:v>3.7528259483153876</c:v>
                </c:pt>
                <c:pt idx="241">
                  <c:v>3.7528259483153876</c:v>
                </c:pt>
                <c:pt idx="242">
                  <c:v>3.7528259483153876</c:v>
                </c:pt>
                <c:pt idx="243">
                  <c:v>3.901436719732045</c:v>
                </c:pt>
                <c:pt idx="244">
                  <c:v>3.901436719732045</c:v>
                </c:pt>
                <c:pt idx="245">
                  <c:v>3.901436719732045</c:v>
                </c:pt>
                <c:pt idx="246">
                  <c:v>3.901436719732045</c:v>
                </c:pt>
                <c:pt idx="247">
                  <c:v>3.901436719732045</c:v>
                </c:pt>
                <c:pt idx="248">
                  <c:v>3.901436719732045</c:v>
                </c:pt>
                <c:pt idx="249">
                  <c:v>3.901436719732045</c:v>
                </c:pt>
                <c:pt idx="250">
                  <c:v>3.901436719732045</c:v>
                </c:pt>
                <c:pt idx="251">
                  <c:v>3.901436719732045</c:v>
                </c:pt>
                <c:pt idx="252">
                  <c:v>4.0146510144769225</c:v>
                </c:pt>
                <c:pt idx="253">
                  <c:v>4.0146510144769225</c:v>
                </c:pt>
                <c:pt idx="254">
                  <c:v>4.0146510144769225</c:v>
                </c:pt>
                <c:pt idx="255">
                  <c:v>4.0146510144769225</c:v>
                </c:pt>
                <c:pt idx="256">
                  <c:v>4.0146510144769225</c:v>
                </c:pt>
                <c:pt idx="257">
                  <c:v>4.0146510144769225</c:v>
                </c:pt>
                <c:pt idx="258">
                  <c:v>4.0146510144769225</c:v>
                </c:pt>
                <c:pt idx="259">
                  <c:v>4.0146510144769225</c:v>
                </c:pt>
                <c:pt idx="260">
                  <c:v>4.0146510144769225</c:v>
                </c:pt>
                <c:pt idx="261">
                  <c:v>4.173629979248239</c:v>
                </c:pt>
                <c:pt idx="262">
                  <c:v>4.173629979248239</c:v>
                </c:pt>
                <c:pt idx="263">
                  <c:v>4.173629979248239</c:v>
                </c:pt>
                <c:pt idx="264">
                  <c:v>4.173629979248239</c:v>
                </c:pt>
                <c:pt idx="265">
                  <c:v>4.173629979248239</c:v>
                </c:pt>
                <c:pt idx="266">
                  <c:v>4.173629979248239</c:v>
                </c:pt>
                <c:pt idx="267">
                  <c:v>4.173629979248239</c:v>
                </c:pt>
                <c:pt idx="268">
                  <c:v>4.173629979248239</c:v>
                </c:pt>
                <c:pt idx="269">
                  <c:v>4.173629979248239</c:v>
                </c:pt>
                <c:pt idx="270">
                  <c:v>4.3550921522590311</c:v>
                </c:pt>
                <c:pt idx="271">
                  <c:v>4.3550921522590311</c:v>
                </c:pt>
                <c:pt idx="272">
                  <c:v>4.3550921522590311</c:v>
                </c:pt>
                <c:pt idx="273">
                  <c:v>4.3550921522590311</c:v>
                </c:pt>
                <c:pt idx="274">
                  <c:v>4.3550921522590311</c:v>
                </c:pt>
                <c:pt idx="275">
                  <c:v>4.3550921522590311</c:v>
                </c:pt>
                <c:pt idx="276">
                  <c:v>4.3550921522590311</c:v>
                </c:pt>
                <c:pt idx="277">
                  <c:v>4.3550921522590311</c:v>
                </c:pt>
                <c:pt idx="278">
                  <c:v>4.3550921522590311</c:v>
                </c:pt>
                <c:pt idx="279">
                  <c:v>4.8017682704394451</c:v>
                </c:pt>
                <c:pt idx="280">
                  <c:v>4.8017682704394451</c:v>
                </c:pt>
                <c:pt idx="281">
                  <c:v>4.8017682704394451</c:v>
                </c:pt>
                <c:pt idx="282">
                  <c:v>4.8017682704394451</c:v>
                </c:pt>
                <c:pt idx="283">
                  <c:v>4.8017682704394451</c:v>
                </c:pt>
                <c:pt idx="284">
                  <c:v>4.8017682704394451</c:v>
                </c:pt>
                <c:pt idx="285">
                  <c:v>4.8017682704394451</c:v>
                </c:pt>
                <c:pt idx="286">
                  <c:v>4.8017682704394451</c:v>
                </c:pt>
                <c:pt idx="287">
                  <c:v>4.8017682704394451</c:v>
                </c:pt>
                <c:pt idx="288">
                  <c:v>4.8994786712914102</c:v>
                </c:pt>
                <c:pt idx="289">
                  <c:v>4.8994786712914102</c:v>
                </c:pt>
                <c:pt idx="290">
                  <c:v>4.8994786712914102</c:v>
                </c:pt>
                <c:pt idx="291">
                  <c:v>4.8994786712914102</c:v>
                </c:pt>
                <c:pt idx="292">
                  <c:v>4.8994786712914102</c:v>
                </c:pt>
                <c:pt idx="293">
                  <c:v>4.8994786712914102</c:v>
                </c:pt>
                <c:pt idx="294">
                  <c:v>4.8994786712914102</c:v>
                </c:pt>
                <c:pt idx="295">
                  <c:v>4.8994786712914102</c:v>
                </c:pt>
                <c:pt idx="296">
                  <c:v>4.8994786712914102</c:v>
                </c:pt>
                <c:pt idx="297">
                  <c:v>5.1367753590747496</c:v>
                </c:pt>
                <c:pt idx="298">
                  <c:v>5.1367753590747496</c:v>
                </c:pt>
                <c:pt idx="299">
                  <c:v>5.1367753590747496</c:v>
                </c:pt>
                <c:pt idx="300">
                  <c:v>5.1367753590747496</c:v>
                </c:pt>
                <c:pt idx="301">
                  <c:v>5.1367753590747496</c:v>
                </c:pt>
                <c:pt idx="302">
                  <c:v>5.1367753590747496</c:v>
                </c:pt>
                <c:pt idx="303">
                  <c:v>5.1367753590747496</c:v>
                </c:pt>
                <c:pt idx="304">
                  <c:v>5.1367753590747496</c:v>
                </c:pt>
                <c:pt idx="305">
                  <c:v>5.1367753590747496</c:v>
                </c:pt>
                <c:pt idx="306">
                  <c:v>5.4019893042443732</c:v>
                </c:pt>
                <c:pt idx="307">
                  <c:v>5.4019893042443732</c:v>
                </c:pt>
                <c:pt idx="308">
                  <c:v>5.4019893042443732</c:v>
                </c:pt>
                <c:pt idx="309">
                  <c:v>5.4019893042443732</c:v>
                </c:pt>
                <c:pt idx="310">
                  <c:v>5.4019893042443732</c:v>
                </c:pt>
                <c:pt idx="311">
                  <c:v>5.4019893042443732</c:v>
                </c:pt>
                <c:pt idx="312">
                  <c:v>5.4019893042443732</c:v>
                </c:pt>
                <c:pt idx="313">
                  <c:v>5.4019893042443732</c:v>
                </c:pt>
                <c:pt idx="314">
                  <c:v>5.4019893042443732</c:v>
                </c:pt>
                <c:pt idx="315">
                  <c:v>5.6542633620280318</c:v>
                </c:pt>
                <c:pt idx="316">
                  <c:v>5.6542633620280318</c:v>
                </c:pt>
                <c:pt idx="317">
                  <c:v>5.6542633620280318</c:v>
                </c:pt>
                <c:pt idx="318">
                  <c:v>5.6542633620280318</c:v>
                </c:pt>
                <c:pt idx="319">
                  <c:v>5.6542633620280318</c:v>
                </c:pt>
                <c:pt idx="320">
                  <c:v>5.6542633620280318</c:v>
                </c:pt>
                <c:pt idx="321">
                  <c:v>5.6542633620280318</c:v>
                </c:pt>
                <c:pt idx="322">
                  <c:v>5.6542633620280318</c:v>
                </c:pt>
                <c:pt idx="323">
                  <c:v>5.6542633620280318</c:v>
                </c:pt>
                <c:pt idx="324">
                  <c:v>5.7788722789590938</c:v>
                </c:pt>
                <c:pt idx="325">
                  <c:v>5.7788722789590938</c:v>
                </c:pt>
                <c:pt idx="326">
                  <c:v>5.7788722789590938</c:v>
                </c:pt>
                <c:pt idx="327">
                  <c:v>5.7788722789590938</c:v>
                </c:pt>
                <c:pt idx="328">
                  <c:v>5.7788722789590938</c:v>
                </c:pt>
                <c:pt idx="329">
                  <c:v>5.7788722789590938</c:v>
                </c:pt>
                <c:pt idx="330">
                  <c:v>5.7788722789590938</c:v>
                </c:pt>
                <c:pt idx="331">
                  <c:v>5.7788722789590938</c:v>
                </c:pt>
                <c:pt idx="332">
                  <c:v>5.7788722789590938</c:v>
                </c:pt>
                <c:pt idx="333">
                  <c:v>6.1456161362916664</c:v>
                </c:pt>
                <c:pt idx="334">
                  <c:v>6.1456161362916664</c:v>
                </c:pt>
                <c:pt idx="335">
                  <c:v>6.1456161362916664</c:v>
                </c:pt>
                <c:pt idx="336">
                  <c:v>6.1456161362916664</c:v>
                </c:pt>
                <c:pt idx="337">
                  <c:v>6.1456161362916664</c:v>
                </c:pt>
                <c:pt idx="338">
                  <c:v>6.1456161362916664</c:v>
                </c:pt>
                <c:pt idx="339">
                  <c:v>6.1456161362916664</c:v>
                </c:pt>
                <c:pt idx="340">
                  <c:v>6.1456161362916664</c:v>
                </c:pt>
                <c:pt idx="341">
                  <c:v>6.1456161362916664</c:v>
                </c:pt>
                <c:pt idx="342">
                  <c:v>6.2341878094155181</c:v>
                </c:pt>
                <c:pt idx="343">
                  <c:v>6.2341878094155181</c:v>
                </c:pt>
                <c:pt idx="344">
                  <c:v>6.2341878094155181</c:v>
                </c:pt>
                <c:pt idx="345">
                  <c:v>6.2341878094155181</c:v>
                </c:pt>
                <c:pt idx="346">
                  <c:v>6.2341878094155181</c:v>
                </c:pt>
                <c:pt idx="347">
                  <c:v>6.2341878094155181</c:v>
                </c:pt>
                <c:pt idx="348">
                  <c:v>6.2341878094155181</c:v>
                </c:pt>
                <c:pt idx="349">
                  <c:v>6.2341878094155181</c:v>
                </c:pt>
                <c:pt idx="350">
                  <c:v>6.2341878094155181</c:v>
                </c:pt>
                <c:pt idx="351">
                  <c:v>6.6691311449561415</c:v>
                </c:pt>
                <c:pt idx="352">
                  <c:v>6.6691311449561415</c:v>
                </c:pt>
                <c:pt idx="353">
                  <c:v>6.6691311449561415</c:v>
                </c:pt>
                <c:pt idx="354">
                  <c:v>6.6691311449561415</c:v>
                </c:pt>
                <c:pt idx="355">
                  <c:v>6.6691311449561415</c:v>
                </c:pt>
                <c:pt idx="356">
                  <c:v>6.6691311449561415</c:v>
                </c:pt>
                <c:pt idx="357">
                  <c:v>6.6691311449561415</c:v>
                </c:pt>
                <c:pt idx="358">
                  <c:v>6.6691311449561415</c:v>
                </c:pt>
                <c:pt idx="359">
                  <c:v>6.6691311449561415</c:v>
                </c:pt>
                <c:pt idx="360">
                  <c:v>6.7759357400138889</c:v>
                </c:pt>
                <c:pt idx="361">
                  <c:v>6.7759357400138889</c:v>
                </c:pt>
                <c:pt idx="362">
                  <c:v>6.7759357400138889</c:v>
                </c:pt>
                <c:pt idx="363">
                  <c:v>6.7759357400138889</c:v>
                </c:pt>
                <c:pt idx="364">
                  <c:v>6.7759357400138889</c:v>
                </c:pt>
                <c:pt idx="365">
                  <c:v>6.7759357400138889</c:v>
                </c:pt>
                <c:pt idx="366">
                  <c:v>6.7759357400138889</c:v>
                </c:pt>
                <c:pt idx="367">
                  <c:v>6.7759357400138889</c:v>
                </c:pt>
                <c:pt idx="368">
                  <c:v>6.7759357400138889</c:v>
                </c:pt>
                <c:pt idx="369">
                  <c:v>6.9590933686498833</c:v>
                </c:pt>
                <c:pt idx="370">
                  <c:v>6.9590933686498833</c:v>
                </c:pt>
                <c:pt idx="371">
                  <c:v>6.9590933686498833</c:v>
                </c:pt>
                <c:pt idx="372">
                  <c:v>6.9590933686498833</c:v>
                </c:pt>
                <c:pt idx="373">
                  <c:v>6.9590933686498833</c:v>
                </c:pt>
                <c:pt idx="374">
                  <c:v>6.9590933686498833</c:v>
                </c:pt>
                <c:pt idx="375">
                  <c:v>6.9590933686498833</c:v>
                </c:pt>
                <c:pt idx="376">
                  <c:v>6.9590933686498833</c:v>
                </c:pt>
                <c:pt idx="377">
                  <c:v>6.9590933686498833</c:v>
                </c:pt>
                <c:pt idx="378">
                  <c:v>7.2486754428055598</c:v>
                </c:pt>
                <c:pt idx="379">
                  <c:v>7.2486754428055598</c:v>
                </c:pt>
                <c:pt idx="380">
                  <c:v>7.2486754428055598</c:v>
                </c:pt>
                <c:pt idx="381">
                  <c:v>7.2486754428055598</c:v>
                </c:pt>
                <c:pt idx="382">
                  <c:v>7.2486754428055598</c:v>
                </c:pt>
                <c:pt idx="383">
                  <c:v>7.2486754428055598</c:v>
                </c:pt>
                <c:pt idx="384">
                  <c:v>7.2486754428055598</c:v>
                </c:pt>
                <c:pt idx="385">
                  <c:v>7.2486754428055598</c:v>
                </c:pt>
                <c:pt idx="386">
                  <c:v>7.2486754428055598</c:v>
                </c:pt>
                <c:pt idx="387">
                  <c:v>7.5638352446666657</c:v>
                </c:pt>
                <c:pt idx="388">
                  <c:v>7.5638352446666657</c:v>
                </c:pt>
                <c:pt idx="389">
                  <c:v>7.5638352446666657</c:v>
                </c:pt>
                <c:pt idx="390">
                  <c:v>7.5638352446666657</c:v>
                </c:pt>
                <c:pt idx="391">
                  <c:v>7.5638352446666657</c:v>
                </c:pt>
                <c:pt idx="392">
                  <c:v>7.5638352446666657</c:v>
                </c:pt>
                <c:pt idx="393">
                  <c:v>7.5638352446666657</c:v>
                </c:pt>
                <c:pt idx="394">
                  <c:v>7.5638352446666657</c:v>
                </c:pt>
                <c:pt idx="395">
                  <c:v>7.5638352446666657</c:v>
                </c:pt>
                <c:pt idx="396">
                  <c:v>7.6728465346652532</c:v>
                </c:pt>
                <c:pt idx="397">
                  <c:v>7.6728465346652532</c:v>
                </c:pt>
                <c:pt idx="398">
                  <c:v>7.6728465346652532</c:v>
                </c:pt>
                <c:pt idx="399">
                  <c:v>7.6728465346652532</c:v>
                </c:pt>
                <c:pt idx="400">
                  <c:v>7.6728465346652532</c:v>
                </c:pt>
                <c:pt idx="401">
                  <c:v>7.6728465346652532</c:v>
                </c:pt>
                <c:pt idx="402">
                  <c:v>7.6728465346652532</c:v>
                </c:pt>
                <c:pt idx="403">
                  <c:v>7.6728465346652532</c:v>
                </c:pt>
                <c:pt idx="404">
                  <c:v>7.6728465346652532</c:v>
                </c:pt>
                <c:pt idx="405">
                  <c:v>7.7847272221630144</c:v>
                </c:pt>
                <c:pt idx="406">
                  <c:v>7.7847272221630144</c:v>
                </c:pt>
                <c:pt idx="407">
                  <c:v>7.7847272221630144</c:v>
                </c:pt>
                <c:pt idx="408">
                  <c:v>7.7847272221630144</c:v>
                </c:pt>
                <c:pt idx="409">
                  <c:v>7.7847272221630144</c:v>
                </c:pt>
                <c:pt idx="410">
                  <c:v>7.7847272221630144</c:v>
                </c:pt>
                <c:pt idx="411">
                  <c:v>7.7847272221630144</c:v>
                </c:pt>
                <c:pt idx="412">
                  <c:v>7.7847272221630144</c:v>
                </c:pt>
                <c:pt idx="413">
                  <c:v>7.7847272221630144</c:v>
                </c:pt>
                <c:pt idx="414">
                  <c:v>7.8289800397311256</c:v>
                </c:pt>
                <c:pt idx="415">
                  <c:v>7.8289800397311256</c:v>
                </c:pt>
                <c:pt idx="416">
                  <c:v>7.8289800397311256</c:v>
                </c:pt>
                <c:pt idx="417">
                  <c:v>7.8289800397311256</c:v>
                </c:pt>
                <c:pt idx="418">
                  <c:v>7.8289800397311256</c:v>
                </c:pt>
                <c:pt idx="419">
                  <c:v>7.8289800397311256</c:v>
                </c:pt>
                <c:pt idx="420">
                  <c:v>7.8289800397311256</c:v>
                </c:pt>
                <c:pt idx="421">
                  <c:v>7.8289800397311256</c:v>
                </c:pt>
                <c:pt idx="422">
                  <c:v>7.8289800397311256</c:v>
                </c:pt>
                <c:pt idx="423">
                  <c:v>8.2081614091767889</c:v>
                </c:pt>
                <c:pt idx="424">
                  <c:v>8.2081614091767889</c:v>
                </c:pt>
                <c:pt idx="425">
                  <c:v>8.2081614091767889</c:v>
                </c:pt>
                <c:pt idx="426">
                  <c:v>8.2081614091767889</c:v>
                </c:pt>
                <c:pt idx="427">
                  <c:v>8.2081614091767889</c:v>
                </c:pt>
                <c:pt idx="428">
                  <c:v>8.2081614091767889</c:v>
                </c:pt>
                <c:pt idx="429">
                  <c:v>8.2081614091767889</c:v>
                </c:pt>
                <c:pt idx="430">
                  <c:v>8.2081614091767889</c:v>
                </c:pt>
                <c:pt idx="431">
                  <c:v>8.2081614091767889</c:v>
                </c:pt>
                <c:pt idx="432">
                  <c:v>8.3396132184786271</c:v>
                </c:pt>
                <c:pt idx="433">
                  <c:v>8.3396132184786271</c:v>
                </c:pt>
                <c:pt idx="434">
                  <c:v>8.3396132184786271</c:v>
                </c:pt>
                <c:pt idx="435">
                  <c:v>8.3396132184786271</c:v>
                </c:pt>
                <c:pt idx="436">
                  <c:v>8.3396132184786271</c:v>
                </c:pt>
                <c:pt idx="437">
                  <c:v>8.3396132184786271</c:v>
                </c:pt>
                <c:pt idx="438">
                  <c:v>8.3396132184786271</c:v>
                </c:pt>
                <c:pt idx="439">
                  <c:v>8.3396132184786271</c:v>
                </c:pt>
                <c:pt idx="440">
                  <c:v>8.3396132184786271</c:v>
                </c:pt>
                <c:pt idx="441">
                  <c:v>8.5093146502500066</c:v>
                </c:pt>
                <c:pt idx="442">
                  <c:v>8.5093146502500066</c:v>
                </c:pt>
                <c:pt idx="443">
                  <c:v>8.5093146502500066</c:v>
                </c:pt>
                <c:pt idx="444">
                  <c:v>8.5093146502500066</c:v>
                </c:pt>
                <c:pt idx="445">
                  <c:v>8.5093146502500066</c:v>
                </c:pt>
                <c:pt idx="446">
                  <c:v>8.5093146502500066</c:v>
                </c:pt>
                <c:pt idx="447">
                  <c:v>8.5093146502500066</c:v>
                </c:pt>
                <c:pt idx="448">
                  <c:v>8.5093146502500066</c:v>
                </c:pt>
                <c:pt idx="449">
                  <c:v>8.5093146502500066</c:v>
                </c:pt>
                <c:pt idx="450">
                  <c:v>8.5831607834105093</c:v>
                </c:pt>
                <c:pt idx="451">
                  <c:v>8.5831607834105093</c:v>
                </c:pt>
                <c:pt idx="452">
                  <c:v>8.5831607834105093</c:v>
                </c:pt>
                <c:pt idx="453">
                  <c:v>8.5831607834105093</c:v>
                </c:pt>
                <c:pt idx="454">
                  <c:v>8.5831607834105093</c:v>
                </c:pt>
                <c:pt idx="455">
                  <c:v>8.5831607834105093</c:v>
                </c:pt>
                <c:pt idx="456">
                  <c:v>8.5831607834105093</c:v>
                </c:pt>
                <c:pt idx="457">
                  <c:v>8.5831607834105093</c:v>
                </c:pt>
                <c:pt idx="458">
                  <c:v>8.5831607834105093</c:v>
                </c:pt>
                <c:pt idx="459">
                  <c:v>8.631952351498418</c:v>
                </c:pt>
                <c:pt idx="460">
                  <c:v>8.631952351498418</c:v>
                </c:pt>
                <c:pt idx="461">
                  <c:v>8.631952351498418</c:v>
                </c:pt>
                <c:pt idx="462">
                  <c:v>8.631952351498418</c:v>
                </c:pt>
                <c:pt idx="463">
                  <c:v>8.631952351498418</c:v>
                </c:pt>
                <c:pt idx="464">
                  <c:v>8.631952351498418</c:v>
                </c:pt>
                <c:pt idx="465">
                  <c:v>8.631952351498418</c:v>
                </c:pt>
                <c:pt idx="466">
                  <c:v>8.631952351498418</c:v>
                </c:pt>
                <c:pt idx="467">
                  <c:v>8.631952351498418</c:v>
                </c:pt>
                <c:pt idx="468">
                  <c:v>8.9214466988376042</c:v>
                </c:pt>
                <c:pt idx="469">
                  <c:v>8.9214466988376042</c:v>
                </c:pt>
                <c:pt idx="470">
                  <c:v>8.9214466988376042</c:v>
                </c:pt>
                <c:pt idx="471">
                  <c:v>8.9214466988376042</c:v>
                </c:pt>
                <c:pt idx="472">
                  <c:v>8.9214466988376042</c:v>
                </c:pt>
                <c:pt idx="473">
                  <c:v>8.9214466988376042</c:v>
                </c:pt>
                <c:pt idx="474">
                  <c:v>8.9214466988376042</c:v>
                </c:pt>
                <c:pt idx="475">
                  <c:v>8.9214466988376042</c:v>
                </c:pt>
                <c:pt idx="476">
                  <c:v>8.9214466988376042</c:v>
                </c:pt>
                <c:pt idx="477">
                  <c:v>9.1819859543461195</c:v>
                </c:pt>
                <c:pt idx="478">
                  <c:v>9.1819859543461195</c:v>
                </c:pt>
                <c:pt idx="479">
                  <c:v>9.1819859543461195</c:v>
                </c:pt>
                <c:pt idx="480">
                  <c:v>9.1819859543461195</c:v>
                </c:pt>
                <c:pt idx="481">
                  <c:v>9.1819859543461195</c:v>
                </c:pt>
                <c:pt idx="482">
                  <c:v>9.1819859543461195</c:v>
                </c:pt>
                <c:pt idx="483">
                  <c:v>9.1819859543461195</c:v>
                </c:pt>
                <c:pt idx="484">
                  <c:v>9.1819859543461195</c:v>
                </c:pt>
                <c:pt idx="485">
                  <c:v>9.1819859543461195</c:v>
                </c:pt>
                <c:pt idx="486">
                  <c:v>9.2341815853238813</c:v>
                </c:pt>
                <c:pt idx="487">
                  <c:v>9.2341815853238813</c:v>
                </c:pt>
                <c:pt idx="488">
                  <c:v>9.2341815853238813</c:v>
                </c:pt>
                <c:pt idx="489">
                  <c:v>9.2341815853238813</c:v>
                </c:pt>
                <c:pt idx="490">
                  <c:v>9.2341815853238813</c:v>
                </c:pt>
                <c:pt idx="491">
                  <c:v>9.2341815853238813</c:v>
                </c:pt>
                <c:pt idx="492">
                  <c:v>9.2341815853238813</c:v>
                </c:pt>
                <c:pt idx="493">
                  <c:v>9.2341815853238813</c:v>
                </c:pt>
                <c:pt idx="494">
                  <c:v>9.2341815853238813</c:v>
                </c:pt>
                <c:pt idx="495">
                  <c:v>9.3820648707884615</c:v>
                </c:pt>
                <c:pt idx="496">
                  <c:v>9.3820648707884615</c:v>
                </c:pt>
                <c:pt idx="497">
                  <c:v>9.3820648707884615</c:v>
                </c:pt>
                <c:pt idx="498">
                  <c:v>9.3820648707884615</c:v>
                </c:pt>
                <c:pt idx="499">
                  <c:v>9.3820648707884615</c:v>
                </c:pt>
                <c:pt idx="500">
                  <c:v>9.3820648707884615</c:v>
                </c:pt>
                <c:pt idx="501">
                  <c:v>9.3820648707884615</c:v>
                </c:pt>
                <c:pt idx="502">
                  <c:v>9.3820648707884615</c:v>
                </c:pt>
                <c:pt idx="503">
                  <c:v>9.3820648707884615</c:v>
                </c:pt>
                <c:pt idx="504">
                  <c:v>9.5812027349698674</c:v>
                </c:pt>
                <c:pt idx="505">
                  <c:v>9.5812027349698674</c:v>
                </c:pt>
                <c:pt idx="506">
                  <c:v>9.5812027349698674</c:v>
                </c:pt>
                <c:pt idx="507">
                  <c:v>9.5812027349698674</c:v>
                </c:pt>
                <c:pt idx="508">
                  <c:v>9.5812027349698674</c:v>
                </c:pt>
                <c:pt idx="509">
                  <c:v>9.5812027349698674</c:v>
                </c:pt>
                <c:pt idx="510">
                  <c:v>9.5812027349698674</c:v>
                </c:pt>
                <c:pt idx="511">
                  <c:v>9.5812027349698674</c:v>
                </c:pt>
                <c:pt idx="512">
                  <c:v>9.5812027349698674</c:v>
                </c:pt>
                <c:pt idx="513">
                  <c:v>10.036627536192313</c:v>
                </c:pt>
                <c:pt idx="514">
                  <c:v>10.036627536192313</c:v>
                </c:pt>
                <c:pt idx="515">
                  <c:v>10.036627536192313</c:v>
                </c:pt>
                <c:pt idx="516">
                  <c:v>10.036627536192313</c:v>
                </c:pt>
                <c:pt idx="517">
                  <c:v>10.036627536192313</c:v>
                </c:pt>
                <c:pt idx="518">
                  <c:v>10.036627536192313</c:v>
                </c:pt>
                <c:pt idx="519">
                  <c:v>10.036627536192313</c:v>
                </c:pt>
                <c:pt idx="520">
                  <c:v>10.036627536192313</c:v>
                </c:pt>
                <c:pt idx="521">
                  <c:v>10.036627536192313</c:v>
                </c:pt>
                <c:pt idx="522">
                  <c:v>10.563890194966778</c:v>
                </c:pt>
                <c:pt idx="523">
                  <c:v>10.563890194966778</c:v>
                </c:pt>
                <c:pt idx="524">
                  <c:v>10.563890194966778</c:v>
                </c:pt>
                <c:pt idx="525">
                  <c:v>10.563890194966778</c:v>
                </c:pt>
                <c:pt idx="526">
                  <c:v>10.563890194966778</c:v>
                </c:pt>
                <c:pt idx="527">
                  <c:v>10.563890194966778</c:v>
                </c:pt>
                <c:pt idx="528">
                  <c:v>10.563890194966778</c:v>
                </c:pt>
                <c:pt idx="529">
                  <c:v>10.563890194966778</c:v>
                </c:pt>
                <c:pt idx="530">
                  <c:v>10.563890194966778</c:v>
                </c:pt>
                <c:pt idx="531">
                  <c:v>10.778853076841109</c:v>
                </c:pt>
                <c:pt idx="532">
                  <c:v>10.778853076841109</c:v>
                </c:pt>
                <c:pt idx="533">
                  <c:v>10.778853076841109</c:v>
                </c:pt>
                <c:pt idx="534">
                  <c:v>10.778853076841109</c:v>
                </c:pt>
                <c:pt idx="535">
                  <c:v>10.778853076841109</c:v>
                </c:pt>
                <c:pt idx="536">
                  <c:v>10.778853076841109</c:v>
                </c:pt>
                <c:pt idx="537">
                  <c:v>10.778853076841109</c:v>
                </c:pt>
                <c:pt idx="538">
                  <c:v>10.778853076841109</c:v>
                </c:pt>
                <c:pt idx="539">
                  <c:v>10.778853076841109</c:v>
                </c:pt>
                <c:pt idx="540">
                  <c:v>11.300905789964462</c:v>
                </c:pt>
                <c:pt idx="541">
                  <c:v>11.300905789964462</c:v>
                </c:pt>
                <c:pt idx="542">
                  <c:v>11.300905789964462</c:v>
                </c:pt>
                <c:pt idx="543">
                  <c:v>11.300905789964462</c:v>
                </c:pt>
                <c:pt idx="544">
                  <c:v>11.300905789964462</c:v>
                </c:pt>
                <c:pt idx="545">
                  <c:v>11.300905789964462</c:v>
                </c:pt>
                <c:pt idx="546">
                  <c:v>11.300905789964462</c:v>
                </c:pt>
                <c:pt idx="547">
                  <c:v>11.300905789964462</c:v>
                </c:pt>
                <c:pt idx="548">
                  <c:v>11.300905789964462</c:v>
                </c:pt>
                <c:pt idx="549">
                  <c:v>11.884376469337615</c:v>
                </c:pt>
                <c:pt idx="550">
                  <c:v>11.884376469337615</c:v>
                </c:pt>
                <c:pt idx="551">
                  <c:v>11.884376469337615</c:v>
                </c:pt>
                <c:pt idx="552">
                  <c:v>11.884376469337615</c:v>
                </c:pt>
                <c:pt idx="553">
                  <c:v>11.884376469337615</c:v>
                </c:pt>
                <c:pt idx="554">
                  <c:v>11.884376469337615</c:v>
                </c:pt>
                <c:pt idx="555">
                  <c:v>11.884376469337615</c:v>
                </c:pt>
                <c:pt idx="556">
                  <c:v>11.884376469337615</c:v>
                </c:pt>
                <c:pt idx="557">
                  <c:v>11.884376469337615</c:v>
                </c:pt>
                <c:pt idx="558">
                  <c:v>12.439379396461669</c:v>
                </c:pt>
                <c:pt idx="559">
                  <c:v>12.439379396461669</c:v>
                </c:pt>
                <c:pt idx="560">
                  <c:v>12.439379396461669</c:v>
                </c:pt>
                <c:pt idx="561">
                  <c:v>12.439379396461669</c:v>
                </c:pt>
                <c:pt idx="562">
                  <c:v>12.439379396461669</c:v>
                </c:pt>
                <c:pt idx="563">
                  <c:v>12.439379396461669</c:v>
                </c:pt>
                <c:pt idx="564">
                  <c:v>12.439379396461669</c:v>
                </c:pt>
                <c:pt idx="565">
                  <c:v>12.439379396461669</c:v>
                </c:pt>
                <c:pt idx="566">
                  <c:v>12.439379396461669</c:v>
                </c:pt>
                <c:pt idx="567">
                  <c:v>12.713519013710021</c:v>
                </c:pt>
                <c:pt idx="568">
                  <c:v>12.713519013710021</c:v>
                </c:pt>
                <c:pt idx="569">
                  <c:v>12.713519013710021</c:v>
                </c:pt>
                <c:pt idx="570">
                  <c:v>12.713519013710021</c:v>
                </c:pt>
                <c:pt idx="571">
                  <c:v>12.713519013710021</c:v>
                </c:pt>
                <c:pt idx="572">
                  <c:v>12.713519013710021</c:v>
                </c:pt>
                <c:pt idx="573">
                  <c:v>12.713519013710021</c:v>
                </c:pt>
                <c:pt idx="574">
                  <c:v>12.713519013710021</c:v>
                </c:pt>
                <c:pt idx="575">
                  <c:v>12.713519013710021</c:v>
                </c:pt>
                <c:pt idx="576">
                  <c:v>13.520355499841669</c:v>
                </c:pt>
                <c:pt idx="577">
                  <c:v>13.520355499841669</c:v>
                </c:pt>
                <c:pt idx="578">
                  <c:v>13.520355499841669</c:v>
                </c:pt>
                <c:pt idx="579">
                  <c:v>13.520355499841669</c:v>
                </c:pt>
                <c:pt idx="580">
                  <c:v>13.520355499841669</c:v>
                </c:pt>
                <c:pt idx="581">
                  <c:v>13.520355499841669</c:v>
                </c:pt>
                <c:pt idx="582">
                  <c:v>13.520355499841669</c:v>
                </c:pt>
                <c:pt idx="583">
                  <c:v>13.520355499841669</c:v>
                </c:pt>
                <c:pt idx="584">
                  <c:v>13.520355499841669</c:v>
                </c:pt>
                <c:pt idx="585">
                  <c:v>13.715213180714144</c:v>
                </c:pt>
                <c:pt idx="586">
                  <c:v>13.715213180714144</c:v>
                </c:pt>
                <c:pt idx="587">
                  <c:v>13.715213180714144</c:v>
                </c:pt>
                <c:pt idx="588">
                  <c:v>13.715213180714144</c:v>
                </c:pt>
                <c:pt idx="589">
                  <c:v>13.715213180714144</c:v>
                </c:pt>
                <c:pt idx="590">
                  <c:v>13.715213180714144</c:v>
                </c:pt>
                <c:pt idx="591">
                  <c:v>13.715213180714144</c:v>
                </c:pt>
                <c:pt idx="592">
                  <c:v>13.715213180714144</c:v>
                </c:pt>
                <c:pt idx="593">
                  <c:v>13.715213180714144</c:v>
                </c:pt>
                <c:pt idx="594">
                  <c:v>14.672088518903514</c:v>
                </c:pt>
                <c:pt idx="595">
                  <c:v>14.672088518903514</c:v>
                </c:pt>
                <c:pt idx="596">
                  <c:v>14.672088518903514</c:v>
                </c:pt>
                <c:pt idx="597">
                  <c:v>14.672088518903514</c:v>
                </c:pt>
                <c:pt idx="598">
                  <c:v>14.672088518903514</c:v>
                </c:pt>
                <c:pt idx="599">
                  <c:v>14.672088518903514</c:v>
                </c:pt>
                <c:pt idx="600">
                  <c:v>14.672088518903514</c:v>
                </c:pt>
                <c:pt idx="601">
                  <c:v>14.672088518903514</c:v>
                </c:pt>
                <c:pt idx="602">
                  <c:v>14.672088518903514</c:v>
                </c:pt>
                <c:pt idx="603">
                  <c:v>14.907058628030558</c:v>
                </c:pt>
                <c:pt idx="604">
                  <c:v>14.907058628030558</c:v>
                </c:pt>
                <c:pt idx="605">
                  <c:v>14.907058628030558</c:v>
                </c:pt>
                <c:pt idx="606">
                  <c:v>14.907058628030558</c:v>
                </c:pt>
                <c:pt idx="607">
                  <c:v>14.907058628030558</c:v>
                </c:pt>
                <c:pt idx="608">
                  <c:v>14.907058628030558</c:v>
                </c:pt>
                <c:pt idx="609">
                  <c:v>14.907058628030558</c:v>
                </c:pt>
                <c:pt idx="610">
                  <c:v>14.907058628030558</c:v>
                </c:pt>
                <c:pt idx="611">
                  <c:v>14.907058628030558</c:v>
                </c:pt>
                <c:pt idx="612">
                  <c:v>15.310005411029751</c:v>
                </c:pt>
                <c:pt idx="613">
                  <c:v>15.310005411029751</c:v>
                </c:pt>
                <c:pt idx="614">
                  <c:v>15.310005411029751</c:v>
                </c:pt>
                <c:pt idx="615">
                  <c:v>15.310005411029751</c:v>
                </c:pt>
                <c:pt idx="616">
                  <c:v>15.310005411029751</c:v>
                </c:pt>
                <c:pt idx="617">
                  <c:v>15.310005411029751</c:v>
                </c:pt>
                <c:pt idx="618">
                  <c:v>15.310005411029751</c:v>
                </c:pt>
                <c:pt idx="619">
                  <c:v>15.310005411029751</c:v>
                </c:pt>
                <c:pt idx="620">
                  <c:v>15.310005411029751</c:v>
                </c:pt>
                <c:pt idx="621">
                  <c:v>15.947085974172223</c:v>
                </c:pt>
                <c:pt idx="622">
                  <c:v>15.947085974172223</c:v>
                </c:pt>
                <c:pt idx="623">
                  <c:v>15.947085974172223</c:v>
                </c:pt>
                <c:pt idx="624">
                  <c:v>15.947085974172223</c:v>
                </c:pt>
                <c:pt idx="625">
                  <c:v>15.947085974172223</c:v>
                </c:pt>
                <c:pt idx="626">
                  <c:v>15.947085974172223</c:v>
                </c:pt>
                <c:pt idx="627">
                  <c:v>15.947085974172223</c:v>
                </c:pt>
                <c:pt idx="628">
                  <c:v>15.947085974172223</c:v>
                </c:pt>
                <c:pt idx="629">
                  <c:v>15.947085974172223</c:v>
                </c:pt>
                <c:pt idx="630">
                  <c:v>16.64043753826666</c:v>
                </c:pt>
                <c:pt idx="631">
                  <c:v>16.64043753826666</c:v>
                </c:pt>
                <c:pt idx="632">
                  <c:v>16.64043753826666</c:v>
                </c:pt>
                <c:pt idx="633">
                  <c:v>16.64043753826666</c:v>
                </c:pt>
                <c:pt idx="634">
                  <c:v>16.64043753826666</c:v>
                </c:pt>
                <c:pt idx="635">
                  <c:v>16.64043753826666</c:v>
                </c:pt>
                <c:pt idx="636">
                  <c:v>16.64043753826666</c:v>
                </c:pt>
                <c:pt idx="637">
                  <c:v>16.64043753826666</c:v>
                </c:pt>
                <c:pt idx="638">
                  <c:v>16.64043753826666</c:v>
                </c:pt>
                <c:pt idx="639">
                  <c:v>16.880262376263577</c:v>
                </c:pt>
                <c:pt idx="640">
                  <c:v>16.880262376263577</c:v>
                </c:pt>
                <c:pt idx="641">
                  <c:v>16.880262376263577</c:v>
                </c:pt>
                <c:pt idx="642">
                  <c:v>16.880262376263577</c:v>
                </c:pt>
                <c:pt idx="643">
                  <c:v>16.880262376263577</c:v>
                </c:pt>
                <c:pt idx="644">
                  <c:v>16.880262376263577</c:v>
                </c:pt>
                <c:pt idx="645">
                  <c:v>16.880262376263577</c:v>
                </c:pt>
                <c:pt idx="646">
                  <c:v>16.880262376263577</c:v>
                </c:pt>
                <c:pt idx="647">
                  <c:v>16.880262376263577</c:v>
                </c:pt>
                <c:pt idx="648">
                  <c:v>17.223756087408475</c:v>
                </c:pt>
                <c:pt idx="649">
                  <c:v>17.223756087408475</c:v>
                </c:pt>
                <c:pt idx="650">
                  <c:v>17.223756087408475</c:v>
                </c:pt>
                <c:pt idx="651">
                  <c:v>17.223756087408475</c:v>
                </c:pt>
                <c:pt idx="652">
                  <c:v>17.223756087408475</c:v>
                </c:pt>
                <c:pt idx="653">
                  <c:v>17.223756087408475</c:v>
                </c:pt>
                <c:pt idx="654">
                  <c:v>17.223756087408475</c:v>
                </c:pt>
                <c:pt idx="655">
                  <c:v>17.223756087408475</c:v>
                </c:pt>
                <c:pt idx="656">
                  <c:v>17.223756087408475</c:v>
                </c:pt>
                <c:pt idx="657">
                  <c:v>18.057955100188927</c:v>
                </c:pt>
                <c:pt idx="658">
                  <c:v>18.057955100188927</c:v>
                </c:pt>
                <c:pt idx="659">
                  <c:v>18.057955100188927</c:v>
                </c:pt>
                <c:pt idx="660">
                  <c:v>18.057955100188927</c:v>
                </c:pt>
                <c:pt idx="661">
                  <c:v>18.057955100188927</c:v>
                </c:pt>
                <c:pt idx="662">
                  <c:v>18.057955100188927</c:v>
                </c:pt>
                <c:pt idx="663">
                  <c:v>18.057955100188927</c:v>
                </c:pt>
                <c:pt idx="664">
                  <c:v>18.057955100188927</c:v>
                </c:pt>
                <c:pt idx="665">
                  <c:v>18.057955100188927</c:v>
                </c:pt>
                <c:pt idx="666">
                  <c:v>18.34714908065299</c:v>
                </c:pt>
                <c:pt idx="667">
                  <c:v>18.34714908065299</c:v>
                </c:pt>
                <c:pt idx="668">
                  <c:v>18.34714908065299</c:v>
                </c:pt>
                <c:pt idx="669">
                  <c:v>18.34714908065299</c:v>
                </c:pt>
                <c:pt idx="670">
                  <c:v>18.34714908065299</c:v>
                </c:pt>
                <c:pt idx="671">
                  <c:v>18.34714908065299</c:v>
                </c:pt>
                <c:pt idx="672">
                  <c:v>18.34714908065299</c:v>
                </c:pt>
                <c:pt idx="673">
                  <c:v>18.34714908065299</c:v>
                </c:pt>
                <c:pt idx="674">
                  <c:v>18.34714908065299</c:v>
                </c:pt>
                <c:pt idx="675">
                  <c:v>18.720492230550001</c:v>
                </c:pt>
                <c:pt idx="676">
                  <c:v>18.720492230550001</c:v>
                </c:pt>
                <c:pt idx="677">
                  <c:v>18.720492230550001</c:v>
                </c:pt>
                <c:pt idx="678">
                  <c:v>18.720492230550001</c:v>
                </c:pt>
                <c:pt idx="679">
                  <c:v>18.720492230550001</c:v>
                </c:pt>
                <c:pt idx="680">
                  <c:v>18.720492230550001</c:v>
                </c:pt>
                <c:pt idx="681">
                  <c:v>18.720492230550001</c:v>
                </c:pt>
                <c:pt idx="682">
                  <c:v>18.720492230550001</c:v>
                </c:pt>
                <c:pt idx="683">
                  <c:v>18.720492230550001</c:v>
                </c:pt>
                <c:pt idx="684">
                  <c:v>18.990295173296527</c:v>
                </c:pt>
                <c:pt idx="685">
                  <c:v>18.990295173296527</c:v>
                </c:pt>
                <c:pt idx="686">
                  <c:v>18.990295173296527</c:v>
                </c:pt>
                <c:pt idx="687">
                  <c:v>18.990295173296527</c:v>
                </c:pt>
                <c:pt idx="688">
                  <c:v>18.990295173296527</c:v>
                </c:pt>
                <c:pt idx="689">
                  <c:v>18.990295173296527</c:v>
                </c:pt>
                <c:pt idx="690">
                  <c:v>18.990295173296527</c:v>
                </c:pt>
                <c:pt idx="691">
                  <c:v>18.990295173296527</c:v>
                </c:pt>
                <c:pt idx="692">
                  <c:v>18.990295173296527</c:v>
                </c:pt>
                <c:pt idx="693">
                  <c:v>19.627182737442741</c:v>
                </c:pt>
                <c:pt idx="694">
                  <c:v>19.627182737442741</c:v>
                </c:pt>
                <c:pt idx="695">
                  <c:v>19.627182737442741</c:v>
                </c:pt>
                <c:pt idx="696">
                  <c:v>19.627182737442741</c:v>
                </c:pt>
                <c:pt idx="697">
                  <c:v>19.627182737442741</c:v>
                </c:pt>
                <c:pt idx="698">
                  <c:v>19.627182737442741</c:v>
                </c:pt>
                <c:pt idx="699">
                  <c:v>19.627182737442741</c:v>
                </c:pt>
                <c:pt idx="700">
                  <c:v>19.627182737442741</c:v>
                </c:pt>
                <c:pt idx="701">
                  <c:v>19.627182737442741</c:v>
                </c:pt>
                <c:pt idx="702">
                  <c:v>20.315199487712544</c:v>
                </c:pt>
                <c:pt idx="703">
                  <c:v>20.315199487712544</c:v>
                </c:pt>
                <c:pt idx="704">
                  <c:v>20.315199487712544</c:v>
                </c:pt>
                <c:pt idx="705">
                  <c:v>20.315199487712544</c:v>
                </c:pt>
                <c:pt idx="706">
                  <c:v>20.315199487712544</c:v>
                </c:pt>
                <c:pt idx="707">
                  <c:v>20.315199487712544</c:v>
                </c:pt>
                <c:pt idx="708">
                  <c:v>20.315199487712544</c:v>
                </c:pt>
                <c:pt idx="709">
                  <c:v>20.315199487712544</c:v>
                </c:pt>
                <c:pt idx="710">
                  <c:v>20.315199487712544</c:v>
                </c:pt>
                <c:pt idx="711">
                  <c:v>20.640542715734622</c:v>
                </c:pt>
                <c:pt idx="712">
                  <c:v>20.640542715734622</c:v>
                </c:pt>
                <c:pt idx="713">
                  <c:v>20.640542715734622</c:v>
                </c:pt>
                <c:pt idx="714">
                  <c:v>20.640542715734622</c:v>
                </c:pt>
                <c:pt idx="715">
                  <c:v>20.640542715734622</c:v>
                </c:pt>
                <c:pt idx="716">
                  <c:v>20.640542715734622</c:v>
                </c:pt>
                <c:pt idx="717">
                  <c:v>20.640542715734622</c:v>
                </c:pt>
                <c:pt idx="718">
                  <c:v>20.640542715734622</c:v>
                </c:pt>
                <c:pt idx="719">
                  <c:v>20.640542715734622</c:v>
                </c:pt>
                <c:pt idx="720">
                  <c:v>22.080580579623085</c:v>
                </c:pt>
                <c:pt idx="721">
                  <c:v>22.080580579623085</c:v>
                </c:pt>
                <c:pt idx="722">
                  <c:v>22.080580579623085</c:v>
                </c:pt>
                <c:pt idx="723">
                  <c:v>22.080580579623085</c:v>
                </c:pt>
                <c:pt idx="724">
                  <c:v>22.080580579623085</c:v>
                </c:pt>
                <c:pt idx="725">
                  <c:v>22.080580579623085</c:v>
                </c:pt>
                <c:pt idx="726">
                  <c:v>22.080580579623085</c:v>
                </c:pt>
                <c:pt idx="727">
                  <c:v>22.080580579623085</c:v>
                </c:pt>
                <c:pt idx="728">
                  <c:v>22.080580579623085</c:v>
                </c:pt>
              </c:numCache>
            </c:numRef>
          </c:xVal>
          <c:yVal>
            <c:numRef>
              <c:f>CDF!$K$2:$K$730</c:f>
              <c:numCache>
                <c:formatCode>General</c:formatCode>
                <c:ptCount val="729"/>
                <c:pt idx="0">
                  <c:v>2.44140625E-4</c:v>
                </c:pt>
                <c:pt idx="1">
                  <c:v>7.32421875E-4</c:v>
                </c:pt>
                <c:pt idx="2">
                  <c:v>9.765625E-4</c:v>
                </c:pt>
                <c:pt idx="3">
                  <c:v>1.46484375E-3</c:v>
                </c:pt>
                <c:pt idx="4">
                  <c:v>2.44140625E-3</c:v>
                </c:pt>
                <c:pt idx="5">
                  <c:v>2.9296875E-3</c:v>
                </c:pt>
                <c:pt idx="6">
                  <c:v>3.173828125E-3</c:v>
                </c:pt>
                <c:pt idx="7">
                  <c:v>3.662109375E-3</c:v>
                </c:pt>
                <c:pt idx="8">
                  <c:v>3.90625E-3</c:v>
                </c:pt>
                <c:pt idx="9">
                  <c:v>4.39453125E-3</c:v>
                </c:pt>
                <c:pt idx="10">
                  <c:v>5.37109375E-3</c:v>
                </c:pt>
                <c:pt idx="11">
                  <c:v>5.859375E-3</c:v>
                </c:pt>
                <c:pt idx="12">
                  <c:v>6.8359375E-3</c:v>
                </c:pt>
                <c:pt idx="13">
                  <c:v>8.7890625E-3</c:v>
                </c:pt>
                <c:pt idx="14">
                  <c:v>9.765625E-3</c:v>
                </c:pt>
                <c:pt idx="15">
                  <c:v>1.025390625E-2</c:v>
                </c:pt>
                <c:pt idx="16">
                  <c:v>1.123046875E-2</c:v>
                </c:pt>
                <c:pt idx="17">
                  <c:v>1.171875E-2</c:v>
                </c:pt>
                <c:pt idx="18">
                  <c:v>1.1962890625E-2</c:v>
                </c:pt>
                <c:pt idx="19">
                  <c:v>1.2451171875E-2</c:v>
                </c:pt>
                <c:pt idx="20">
                  <c:v>1.26953125E-2</c:v>
                </c:pt>
                <c:pt idx="21">
                  <c:v>1.318359375E-2</c:v>
                </c:pt>
                <c:pt idx="22">
                  <c:v>1.416015625E-2</c:v>
                </c:pt>
                <c:pt idx="23">
                  <c:v>1.46484375E-2</c:v>
                </c:pt>
                <c:pt idx="24">
                  <c:v>1.4892578125E-2</c:v>
                </c:pt>
                <c:pt idx="25">
                  <c:v>1.5380859375E-2</c:v>
                </c:pt>
                <c:pt idx="26">
                  <c:v>1.5625E-2</c:v>
                </c:pt>
                <c:pt idx="27">
                  <c:v>1.611328125E-2</c:v>
                </c:pt>
                <c:pt idx="28">
                  <c:v>1.708984375E-2</c:v>
                </c:pt>
                <c:pt idx="29">
                  <c:v>1.7578125E-2</c:v>
                </c:pt>
                <c:pt idx="30">
                  <c:v>1.85546875E-2</c:v>
                </c:pt>
                <c:pt idx="31">
                  <c:v>2.05078125E-2</c:v>
                </c:pt>
                <c:pt idx="32">
                  <c:v>2.1484375E-2</c:v>
                </c:pt>
                <c:pt idx="33">
                  <c:v>2.197265625E-2</c:v>
                </c:pt>
                <c:pt idx="34">
                  <c:v>2.294921875E-2</c:v>
                </c:pt>
                <c:pt idx="35">
                  <c:v>2.34375E-2</c:v>
                </c:pt>
                <c:pt idx="36">
                  <c:v>2.44140625E-2</c:v>
                </c:pt>
                <c:pt idx="37">
                  <c:v>2.63671875E-2</c:v>
                </c:pt>
                <c:pt idx="38">
                  <c:v>2.734375E-2</c:v>
                </c:pt>
                <c:pt idx="39">
                  <c:v>2.9296875E-2</c:v>
                </c:pt>
                <c:pt idx="40">
                  <c:v>3.3203125E-2</c:v>
                </c:pt>
                <c:pt idx="41">
                  <c:v>3.515625E-2</c:v>
                </c:pt>
                <c:pt idx="42">
                  <c:v>3.61328125E-2</c:v>
                </c:pt>
                <c:pt idx="43">
                  <c:v>3.80859375E-2</c:v>
                </c:pt>
                <c:pt idx="44">
                  <c:v>3.90625E-2</c:v>
                </c:pt>
                <c:pt idx="45">
                  <c:v>3.9306640625E-2</c:v>
                </c:pt>
                <c:pt idx="46">
                  <c:v>3.9794921875E-2</c:v>
                </c:pt>
                <c:pt idx="47">
                  <c:v>4.00390625E-2</c:v>
                </c:pt>
                <c:pt idx="48">
                  <c:v>4.052734375E-2</c:v>
                </c:pt>
                <c:pt idx="49">
                  <c:v>4.150390625E-2</c:v>
                </c:pt>
                <c:pt idx="50">
                  <c:v>4.19921875E-2</c:v>
                </c:pt>
                <c:pt idx="51">
                  <c:v>4.2236328125E-2</c:v>
                </c:pt>
                <c:pt idx="52">
                  <c:v>4.2724609375E-2</c:v>
                </c:pt>
                <c:pt idx="53">
                  <c:v>4.296875E-2</c:v>
                </c:pt>
                <c:pt idx="54">
                  <c:v>4.345703125E-2</c:v>
                </c:pt>
                <c:pt idx="55">
                  <c:v>4.443359375E-2</c:v>
                </c:pt>
                <c:pt idx="56">
                  <c:v>4.4921875E-2</c:v>
                </c:pt>
                <c:pt idx="57">
                  <c:v>4.58984375E-2</c:v>
                </c:pt>
                <c:pt idx="58">
                  <c:v>4.78515625E-2</c:v>
                </c:pt>
                <c:pt idx="59">
                  <c:v>4.8828125E-2</c:v>
                </c:pt>
                <c:pt idx="60">
                  <c:v>4.931640625E-2</c:v>
                </c:pt>
                <c:pt idx="61">
                  <c:v>5.029296875E-2</c:v>
                </c:pt>
                <c:pt idx="62">
                  <c:v>5.078125E-2</c:v>
                </c:pt>
                <c:pt idx="63">
                  <c:v>5.126953125E-2</c:v>
                </c:pt>
                <c:pt idx="64">
                  <c:v>5.224609375E-2</c:v>
                </c:pt>
                <c:pt idx="65">
                  <c:v>5.2734375E-2</c:v>
                </c:pt>
                <c:pt idx="66">
                  <c:v>5.37109375E-2</c:v>
                </c:pt>
                <c:pt idx="67">
                  <c:v>5.56640625E-2</c:v>
                </c:pt>
                <c:pt idx="68">
                  <c:v>5.6640625E-2</c:v>
                </c:pt>
                <c:pt idx="69">
                  <c:v>5.712890625E-2</c:v>
                </c:pt>
                <c:pt idx="70">
                  <c:v>5.810546875E-2</c:v>
                </c:pt>
                <c:pt idx="71">
                  <c:v>5.859375E-2</c:v>
                </c:pt>
                <c:pt idx="72">
                  <c:v>5.908203125E-2</c:v>
                </c:pt>
                <c:pt idx="73">
                  <c:v>6.005859375E-2</c:v>
                </c:pt>
                <c:pt idx="74">
                  <c:v>6.0546875E-2</c:v>
                </c:pt>
                <c:pt idx="75">
                  <c:v>6.15234375E-2</c:v>
                </c:pt>
                <c:pt idx="76">
                  <c:v>6.34765625E-2</c:v>
                </c:pt>
                <c:pt idx="77">
                  <c:v>6.4453125E-2</c:v>
                </c:pt>
                <c:pt idx="78">
                  <c:v>6.494140625E-2</c:v>
                </c:pt>
                <c:pt idx="79">
                  <c:v>6.591796875E-2</c:v>
                </c:pt>
                <c:pt idx="80">
                  <c:v>6.640625E-2</c:v>
                </c:pt>
                <c:pt idx="81">
                  <c:v>6.6650390625E-2</c:v>
                </c:pt>
                <c:pt idx="82">
                  <c:v>6.7138671875E-2</c:v>
                </c:pt>
                <c:pt idx="83">
                  <c:v>6.73828125E-2</c:v>
                </c:pt>
                <c:pt idx="84">
                  <c:v>6.787109375E-2</c:v>
                </c:pt>
                <c:pt idx="85">
                  <c:v>6.884765625E-2</c:v>
                </c:pt>
                <c:pt idx="86">
                  <c:v>6.93359375E-2</c:v>
                </c:pt>
                <c:pt idx="87">
                  <c:v>6.9580078125E-2</c:v>
                </c:pt>
                <c:pt idx="88">
                  <c:v>7.0068359375E-2</c:v>
                </c:pt>
                <c:pt idx="89">
                  <c:v>7.03125E-2</c:v>
                </c:pt>
                <c:pt idx="90">
                  <c:v>7.0556640625E-2</c:v>
                </c:pt>
                <c:pt idx="91">
                  <c:v>7.1044921875E-2</c:v>
                </c:pt>
                <c:pt idx="92">
                  <c:v>7.12890625E-2</c:v>
                </c:pt>
                <c:pt idx="93">
                  <c:v>7.177734375E-2</c:v>
                </c:pt>
                <c:pt idx="94">
                  <c:v>7.275390625E-2</c:v>
                </c:pt>
                <c:pt idx="95">
                  <c:v>7.32421875E-2</c:v>
                </c:pt>
                <c:pt idx="96">
                  <c:v>7.3486328125E-2</c:v>
                </c:pt>
                <c:pt idx="97">
                  <c:v>7.3974609375E-2</c:v>
                </c:pt>
                <c:pt idx="98">
                  <c:v>7.421875E-2</c:v>
                </c:pt>
                <c:pt idx="99">
                  <c:v>7.51953125E-2</c:v>
                </c:pt>
                <c:pt idx="100">
                  <c:v>7.71484375E-2</c:v>
                </c:pt>
                <c:pt idx="101">
                  <c:v>7.8125E-2</c:v>
                </c:pt>
                <c:pt idx="102">
                  <c:v>8.0078125E-2</c:v>
                </c:pt>
                <c:pt idx="103">
                  <c:v>8.3984375E-2</c:v>
                </c:pt>
                <c:pt idx="104">
                  <c:v>8.59375E-2</c:v>
                </c:pt>
                <c:pt idx="105">
                  <c:v>8.69140625E-2</c:v>
                </c:pt>
                <c:pt idx="106">
                  <c:v>8.88671875E-2</c:v>
                </c:pt>
                <c:pt idx="107">
                  <c:v>8.984375E-2</c:v>
                </c:pt>
                <c:pt idx="108">
                  <c:v>9.033203125E-2</c:v>
                </c:pt>
                <c:pt idx="109">
                  <c:v>9.130859375E-2</c:v>
                </c:pt>
                <c:pt idx="110">
                  <c:v>9.1796875E-2</c:v>
                </c:pt>
                <c:pt idx="111">
                  <c:v>9.27734375E-2</c:v>
                </c:pt>
                <c:pt idx="112">
                  <c:v>9.47265625E-2</c:v>
                </c:pt>
                <c:pt idx="113">
                  <c:v>9.5703125E-2</c:v>
                </c:pt>
                <c:pt idx="114">
                  <c:v>9.619140625E-2</c:v>
                </c:pt>
                <c:pt idx="115">
                  <c:v>9.716796875E-2</c:v>
                </c:pt>
                <c:pt idx="116">
                  <c:v>9.765625E-2</c:v>
                </c:pt>
                <c:pt idx="117">
                  <c:v>9.814453125E-2</c:v>
                </c:pt>
                <c:pt idx="118">
                  <c:v>9.912109375E-2</c:v>
                </c:pt>
                <c:pt idx="119">
                  <c:v>9.9609375E-2</c:v>
                </c:pt>
                <c:pt idx="120">
                  <c:v>0.1005859375</c:v>
                </c:pt>
                <c:pt idx="121">
                  <c:v>0.1025390625</c:v>
                </c:pt>
                <c:pt idx="122">
                  <c:v>0.103515625</c:v>
                </c:pt>
                <c:pt idx="123">
                  <c:v>0.10400390625</c:v>
                </c:pt>
                <c:pt idx="124">
                  <c:v>0.10498046875</c:v>
                </c:pt>
                <c:pt idx="125">
                  <c:v>0.10546875</c:v>
                </c:pt>
                <c:pt idx="126">
                  <c:v>0.1064453125</c:v>
                </c:pt>
                <c:pt idx="127">
                  <c:v>0.1083984375</c:v>
                </c:pt>
                <c:pt idx="128">
                  <c:v>0.109375</c:v>
                </c:pt>
                <c:pt idx="129">
                  <c:v>0.111328125</c:v>
                </c:pt>
                <c:pt idx="130">
                  <c:v>0.115234375</c:v>
                </c:pt>
                <c:pt idx="131">
                  <c:v>0.1171875</c:v>
                </c:pt>
                <c:pt idx="132">
                  <c:v>0.1181640625</c:v>
                </c:pt>
                <c:pt idx="133">
                  <c:v>0.1201171875</c:v>
                </c:pt>
                <c:pt idx="134">
                  <c:v>0.12109375</c:v>
                </c:pt>
                <c:pt idx="135">
                  <c:v>0.121337890625</c:v>
                </c:pt>
                <c:pt idx="136">
                  <c:v>0.121826171875</c:v>
                </c:pt>
                <c:pt idx="137">
                  <c:v>0.1220703125</c:v>
                </c:pt>
                <c:pt idx="138">
                  <c:v>0.12255859375</c:v>
                </c:pt>
                <c:pt idx="139">
                  <c:v>0.12353515625</c:v>
                </c:pt>
                <c:pt idx="140">
                  <c:v>0.1240234375</c:v>
                </c:pt>
                <c:pt idx="141">
                  <c:v>0.124267578125</c:v>
                </c:pt>
                <c:pt idx="142">
                  <c:v>0.124755859375</c:v>
                </c:pt>
                <c:pt idx="143">
                  <c:v>0.125</c:v>
                </c:pt>
                <c:pt idx="144">
                  <c:v>0.12548828125</c:v>
                </c:pt>
                <c:pt idx="145">
                  <c:v>0.12646484375</c:v>
                </c:pt>
                <c:pt idx="146">
                  <c:v>0.126953125</c:v>
                </c:pt>
                <c:pt idx="147">
                  <c:v>0.1279296875</c:v>
                </c:pt>
                <c:pt idx="148">
                  <c:v>0.1298828125</c:v>
                </c:pt>
                <c:pt idx="149">
                  <c:v>0.130859375</c:v>
                </c:pt>
                <c:pt idx="150">
                  <c:v>0.13134765625</c:v>
                </c:pt>
                <c:pt idx="151">
                  <c:v>0.13232421875</c:v>
                </c:pt>
                <c:pt idx="152">
                  <c:v>0.1328125</c:v>
                </c:pt>
                <c:pt idx="153">
                  <c:v>0.134765625</c:v>
                </c:pt>
                <c:pt idx="154">
                  <c:v>0.138671875</c:v>
                </c:pt>
                <c:pt idx="155">
                  <c:v>0.140625</c:v>
                </c:pt>
                <c:pt idx="156">
                  <c:v>0.14453125</c:v>
                </c:pt>
                <c:pt idx="157">
                  <c:v>0.15234375</c:v>
                </c:pt>
                <c:pt idx="158">
                  <c:v>0.15625</c:v>
                </c:pt>
                <c:pt idx="159">
                  <c:v>0.158203125</c:v>
                </c:pt>
                <c:pt idx="160">
                  <c:v>0.162109375</c:v>
                </c:pt>
                <c:pt idx="161">
                  <c:v>0.1640625</c:v>
                </c:pt>
                <c:pt idx="162">
                  <c:v>0.16455078125</c:v>
                </c:pt>
                <c:pt idx="163">
                  <c:v>0.16552734375</c:v>
                </c:pt>
                <c:pt idx="164">
                  <c:v>0.166015625</c:v>
                </c:pt>
                <c:pt idx="165">
                  <c:v>0.1669921875</c:v>
                </c:pt>
                <c:pt idx="166">
                  <c:v>0.1689453125</c:v>
                </c:pt>
                <c:pt idx="167">
                  <c:v>0.169921875</c:v>
                </c:pt>
                <c:pt idx="168">
                  <c:v>0.17041015625</c:v>
                </c:pt>
                <c:pt idx="169">
                  <c:v>0.17138671875</c:v>
                </c:pt>
                <c:pt idx="170">
                  <c:v>0.171875</c:v>
                </c:pt>
                <c:pt idx="171">
                  <c:v>0.1728515625</c:v>
                </c:pt>
                <c:pt idx="172">
                  <c:v>0.1748046875</c:v>
                </c:pt>
                <c:pt idx="173">
                  <c:v>0.17578125</c:v>
                </c:pt>
                <c:pt idx="174">
                  <c:v>0.177734375</c:v>
                </c:pt>
                <c:pt idx="175">
                  <c:v>0.181640625</c:v>
                </c:pt>
                <c:pt idx="176">
                  <c:v>0.18359375</c:v>
                </c:pt>
                <c:pt idx="177">
                  <c:v>0.1845703125</c:v>
                </c:pt>
                <c:pt idx="178">
                  <c:v>0.1865234375</c:v>
                </c:pt>
                <c:pt idx="179">
                  <c:v>0.1875</c:v>
                </c:pt>
                <c:pt idx="180">
                  <c:v>0.1884765625</c:v>
                </c:pt>
                <c:pt idx="181">
                  <c:v>0.1904296875</c:v>
                </c:pt>
                <c:pt idx="182">
                  <c:v>0.19140625</c:v>
                </c:pt>
                <c:pt idx="183">
                  <c:v>0.193359375</c:v>
                </c:pt>
                <c:pt idx="184">
                  <c:v>0.197265625</c:v>
                </c:pt>
                <c:pt idx="185">
                  <c:v>0.19921875</c:v>
                </c:pt>
                <c:pt idx="186">
                  <c:v>0.2001953125</c:v>
                </c:pt>
                <c:pt idx="187">
                  <c:v>0.2021484375</c:v>
                </c:pt>
                <c:pt idx="188">
                  <c:v>0.203125</c:v>
                </c:pt>
                <c:pt idx="189">
                  <c:v>0.203369140625</c:v>
                </c:pt>
                <c:pt idx="190">
                  <c:v>0.203857421875</c:v>
                </c:pt>
                <c:pt idx="191">
                  <c:v>0.2041015625</c:v>
                </c:pt>
                <c:pt idx="192">
                  <c:v>0.20458984375</c:v>
                </c:pt>
                <c:pt idx="193">
                  <c:v>0.20556640625</c:v>
                </c:pt>
                <c:pt idx="194">
                  <c:v>0.2060546875</c:v>
                </c:pt>
                <c:pt idx="195">
                  <c:v>0.206298828125</c:v>
                </c:pt>
                <c:pt idx="196">
                  <c:v>0.206787109375</c:v>
                </c:pt>
                <c:pt idx="197">
                  <c:v>0.20703125</c:v>
                </c:pt>
                <c:pt idx="198">
                  <c:v>0.2080078125</c:v>
                </c:pt>
                <c:pt idx="199">
                  <c:v>0.2099609375</c:v>
                </c:pt>
                <c:pt idx="200">
                  <c:v>0.2109375</c:v>
                </c:pt>
                <c:pt idx="201">
                  <c:v>0.212890625</c:v>
                </c:pt>
                <c:pt idx="202">
                  <c:v>0.216796875</c:v>
                </c:pt>
                <c:pt idx="203">
                  <c:v>0.21875</c:v>
                </c:pt>
                <c:pt idx="204">
                  <c:v>0.2197265625</c:v>
                </c:pt>
                <c:pt idx="205">
                  <c:v>0.2216796875</c:v>
                </c:pt>
                <c:pt idx="206">
                  <c:v>0.22265625</c:v>
                </c:pt>
                <c:pt idx="207">
                  <c:v>0.22314453125</c:v>
                </c:pt>
                <c:pt idx="208">
                  <c:v>0.22412109375</c:v>
                </c:pt>
                <c:pt idx="209">
                  <c:v>0.224609375</c:v>
                </c:pt>
                <c:pt idx="210">
                  <c:v>0.2255859375</c:v>
                </c:pt>
                <c:pt idx="211">
                  <c:v>0.2275390625</c:v>
                </c:pt>
                <c:pt idx="212">
                  <c:v>0.228515625</c:v>
                </c:pt>
                <c:pt idx="213">
                  <c:v>0.22900390625</c:v>
                </c:pt>
                <c:pt idx="214">
                  <c:v>0.22998046875</c:v>
                </c:pt>
                <c:pt idx="215">
                  <c:v>0.23046875</c:v>
                </c:pt>
                <c:pt idx="216">
                  <c:v>0.23095703125</c:v>
                </c:pt>
                <c:pt idx="217">
                  <c:v>0.23193359375</c:v>
                </c:pt>
                <c:pt idx="218">
                  <c:v>0.232421875</c:v>
                </c:pt>
                <c:pt idx="219">
                  <c:v>0.2333984375</c:v>
                </c:pt>
                <c:pt idx="220">
                  <c:v>0.2353515625</c:v>
                </c:pt>
                <c:pt idx="221">
                  <c:v>0.236328125</c:v>
                </c:pt>
                <c:pt idx="222">
                  <c:v>0.23681640625</c:v>
                </c:pt>
                <c:pt idx="223">
                  <c:v>0.23779296875</c:v>
                </c:pt>
                <c:pt idx="224">
                  <c:v>0.23828125</c:v>
                </c:pt>
                <c:pt idx="225">
                  <c:v>0.23876953125</c:v>
                </c:pt>
                <c:pt idx="226">
                  <c:v>0.23974609375</c:v>
                </c:pt>
                <c:pt idx="227">
                  <c:v>0.240234375</c:v>
                </c:pt>
                <c:pt idx="228">
                  <c:v>0.2412109375</c:v>
                </c:pt>
                <c:pt idx="229">
                  <c:v>0.2431640625</c:v>
                </c:pt>
                <c:pt idx="230">
                  <c:v>0.244140625</c:v>
                </c:pt>
                <c:pt idx="231">
                  <c:v>0.24462890625</c:v>
                </c:pt>
                <c:pt idx="232">
                  <c:v>0.24560546875</c:v>
                </c:pt>
                <c:pt idx="233">
                  <c:v>0.24609375</c:v>
                </c:pt>
                <c:pt idx="234">
                  <c:v>0.24658203125</c:v>
                </c:pt>
                <c:pt idx="235">
                  <c:v>0.24755859375</c:v>
                </c:pt>
                <c:pt idx="236">
                  <c:v>0.248046875</c:v>
                </c:pt>
                <c:pt idx="237">
                  <c:v>0.2490234375</c:v>
                </c:pt>
                <c:pt idx="238">
                  <c:v>0.2509765625</c:v>
                </c:pt>
                <c:pt idx="239">
                  <c:v>0.251953125</c:v>
                </c:pt>
                <c:pt idx="240">
                  <c:v>0.25244140625</c:v>
                </c:pt>
                <c:pt idx="241">
                  <c:v>0.25341796875</c:v>
                </c:pt>
                <c:pt idx="242">
                  <c:v>0.25390625</c:v>
                </c:pt>
                <c:pt idx="243">
                  <c:v>0.2548828125</c:v>
                </c:pt>
                <c:pt idx="244">
                  <c:v>0.2568359375</c:v>
                </c:pt>
                <c:pt idx="245">
                  <c:v>0.2578125</c:v>
                </c:pt>
                <c:pt idx="246">
                  <c:v>0.259765625</c:v>
                </c:pt>
                <c:pt idx="247">
                  <c:v>0.263671875</c:v>
                </c:pt>
                <c:pt idx="248">
                  <c:v>0.265625</c:v>
                </c:pt>
                <c:pt idx="249">
                  <c:v>0.2666015625</c:v>
                </c:pt>
                <c:pt idx="250">
                  <c:v>0.2685546875</c:v>
                </c:pt>
                <c:pt idx="251">
                  <c:v>0.26953125</c:v>
                </c:pt>
                <c:pt idx="252">
                  <c:v>0.269775390625</c:v>
                </c:pt>
                <c:pt idx="253">
                  <c:v>0.270263671875</c:v>
                </c:pt>
                <c:pt idx="254">
                  <c:v>0.2705078125</c:v>
                </c:pt>
                <c:pt idx="255">
                  <c:v>0.27099609375</c:v>
                </c:pt>
                <c:pt idx="256">
                  <c:v>0.27197265625</c:v>
                </c:pt>
                <c:pt idx="257">
                  <c:v>0.2724609375</c:v>
                </c:pt>
                <c:pt idx="258">
                  <c:v>0.272705078125</c:v>
                </c:pt>
                <c:pt idx="259">
                  <c:v>0.273193359375</c:v>
                </c:pt>
                <c:pt idx="260">
                  <c:v>0.2734375</c:v>
                </c:pt>
                <c:pt idx="261">
                  <c:v>0.27392578125</c:v>
                </c:pt>
                <c:pt idx="262">
                  <c:v>0.27490234375</c:v>
                </c:pt>
                <c:pt idx="263">
                  <c:v>0.275390625</c:v>
                </c:pt>
                <c:pt idx="264">
                  <c:v>0.2763671875</c:v>
                </c:pt>
                <c:pt idx="265">
                  <c:v>0.2783203125</c:v>
                </c:pt>
                <c:pt idx="266">
                  <c:v>0.279296875</c:v>
                </c:pt>
                <c:pt idx="267">
                  <c:v>0.27978515625</c:v>
                </c:pt>
                <c:pt idx="268">
                  <c:v>0.28076171875</c:v>
                </c:pt>
                <c:pt idx="269">
                  <c:v>0.28125</c:v>
                </c:pt>
                <c:pt idx="270">
                  <c:v>0.2822265625</c:v>
                </c:pt>
                <c:pt idx="271">
                  <c:v>0.2841796875</c:v>
                </c:pt>
                <c:pt idx="272">
                  <c:v>0.28515625</c:v>
                </c:pt>
                <c:pt idx="273">
                  <c:v>0.287109375</c:v>
                </c:pt>
                <c:pt idx="274">
                  <c:v>0.291015625</c:v>
                </c:pt>
                <c:pt idx="275">
                  <c:v>0.29296875</c:v>
                </c:pt>
                <c:pt idx="276">
                  <c:v>0.2939453125</c:v>
                </c:pt>
                <c:pt idx="277">
                  <c:v>0.2958984375</c:v>
                </c:pt>
                <c:pt idx="278">
                  <c:v>0.296875</c:v>
                </c:pt>
                <c:pt idx="279">
                  <c:v>0.298828125</c:v>
                </c:pt>
                <c:pt idx="280">
                  <c:v>0.302734375</c:v>
                </c:pt>
                <c:pt idx="281">
                  <c:v>0.3046875</c:v>
                </c:pt>
                <c:pt idx="282">
                  <c:v>0.30859375</c:v>
                </c:pt>
                <c:pt idx="283">
                  <c:v>0.31640625</c:v>
                </c:pt>
                <c:pt idx="284">
                  <c:v>0.3203125</c:v>
                </c:pt>
                <c:pt idx="285">
                  <c:v>0.322265625</c:v>
                </c:pt>
                <c:pt idx="286">
                  <c:v>0.326171875</c:v>
                </c:pt>
                <c:pt idx="287">
                  <c:v>0.328125</c:v>
                </c:pt>
                <c:pt idx="288">
                  <c:v>0.32861328125</c:v>
                </c:pt>
                <c:pt idx="289">
                  <c:v>0.32958984375</c:v>
                </c:pt>
                <c:pt idx="290">
                  <c:v>0.330078125</c:v>
                </c:pt>
                <c:pt idx="291">
                  <c:v>0.3310546875</c:v>
                </c:pt>
                <c:pt idx="292">
                  <c:v>0.3330078125</c:v>
                </c:pt>
                <c:pt idx="293">
                  <c:v>0.333984375</c:v>
                </c:pt>
                <c:pt idx="294">
                  <c:v>0.33447265625</c:v>
                </c:pt>
                <c:pt idx="295">
                  <c:v>0.33544921875</c:v>
                </c:pt>
                <c:pt idx="296">
                  <c:v>0.3359375</c:v>
                </c:pt>
                <c:pt idx="297">
                  <c:v>0.3369140625</c:v>
                </c:pt>
                <c:pt idx="298">
                  <c:v>0.3388671875</c:v>
                </c:pt>
                <c:pt idx="299">
                  <c:v>0.33984375</c:v>
                </c:pt>
                <c:pt idx="300">
                  <c:v>0.341796875</c:v>
                </c:pt>
                <c:pt idx="301">
                  <c:v>0.345703125</c:v>
                </c:pt>
                <c:pt idx="302">
                  <c:v>0.34765625</c:v>
                </c:pt>
                <c:pt idx="303">
                  <c:v>0.3486328125</c:v>
                </c:pt>
                <c:pt idx="304">
                  <c:v>0.3505859375</c:v>
                </c:pt>
                <c:pt idx="305">
                  <c:v>0.3515625</c:v>
                </c:pt>
                <c:pt idx="306">
                  <c:v>0.3525390625</c:v>
                </c:pt>
                <c:pt idx="307">
                  <c:v>0.3544921875</c:v>
                </c:pt>
                <c:pt idx="308">
                  <c:v>0.35546875</c:v>
                </c:pt>
                <c:pt idx="309">
                  <c:v>0.357421875</c:v>
                </c:pt>
                <c:pt idx="310">
                  <c:v>0.361328125</c:v>
                </c:pt>
                <c:pt idx="311">
                  <c:v>0.36328125</c:v>
                </c:pt>
                <c:pt idx="312">
                  <c:v>0.3642578125</c:v>
                </c:pt>
                <c:pt idx="313">
                  <c:v>0.3662109375</c:v>
                </c:pt>
                <c:pt idx="314">
                  <c:v>0.3671875</c:v>
                </c:pt>
                <c:pt idx="315">
                  <c:v>0.3681640625</c:v>
                </c:pt>
                <c:pt idx="316">
                  <c:v>0.3701171875</c:v>
                </c:pt>
                <c:pt idx="317">
                  <c:v>0.37109375</c:v>
                </c:pt>
                <c:pt idx="318">
                  <c:v>0.373046875</c:v>
                </c:pt>
                <c:pt idx="319">
                  <c:v>0.376953125</c:v>
                </c:pt>
                <c:pt idx="320">
                  <c:v>0.37890625</c:v>
                </c:pt>
                <c:pt idx="321">
                  <c:v>0.3798828125</c:v>
                </c:pt>
                <c:pt idx="322">
                  <c:v>0.3818359375</c:v>
                </c:pt>
                <c:pt idx="323">
                  <c:v>0.3828125</c:v>
                </c:pt>
                <c:pt idx="324">
                  <c:v>0.38330078125</c:v>
                </c:pt>
                <c:pt idx="325">
                  <c:v>0.38427734375</c:v>
                </c:pt>
                <c:pt idx="326">
                  <c:v>0.384765625</c:v>
                </c:pt>
                <c:pt idx="327">
                  <c:v>0.3857421875</c:v>
                </c:pt>
                <c:pt idx="328">
                  <c:v>0.3876953125</c:v>
                </c:pt>
                <c:pt idx="329">
                  <c:v>0.388671875</c:v>
                </c:pt>
                <c:pt idx="330">
                  <c:v>0.38916015625</c:v>
                </c:pt>
                <c:pt idx="331">
                  <c:v>0.39013671875</c:v>
                </c:pt>
                <c:pt idx="332">
                  <c:v>0.390625</c:v>
                </c:pt>
                <c:pt idx="333">
                  <c:v>0.39111328125</c:v>
                </c:pt>
                <c:pt idx="334">
                  <c:v>0.39208984375</c:v>
                </c:pt>
                <c:pt idx="335">
                  <c:v>0.392578125</c:v>
                </c:pt>
                <c:pt idx="336">
                  <c:v>0.3935546875</c:v>
                </c:pt>
                <c:pt idx="337">
                  <c:v>0.3955078125</c:v>
                </c:pt>
                <c:pt idx="338">
                  <c:v>0.396484375</c:v>
                </c:pt>
                <c:pt idx="339">
                  <c:v>0.39697265625</c:v>
                </c:pt>
                <c:pt idx="340">
                  <c:v>0.39794921875</c:v>
                </c:pt>
                <c:pt idx="341">
                  <c:v>0.3984375</c:v>
                </c:pt>
                <c:pt idx="342">
                  <c:v>0.400390625</c:v>
                </c:pt>
                <c:pt idx="343">
                  <c:v>0.404296875</c:v>
                </c:pt>
                <c:pt idx="344">
                  <c:v>0.40625</c:v>
                </c:pt>
                <c:pt idx="345">
                  <c:v>0.41015625</c:v>
                </c:pt>
                <c:pt idx="346">
                  <c:v>0.41796875</c:v>
                </c:pt>
                <c:pt idx="347">
                  <c:v>0.421875</c:v>
                </c:pt>
                <c:pt idx="348">
                  <c:v>0.423828125</c:v>
                </c:pt>
                <c:pt idx="349">
                  <c:v>0.427734375</c:v>
                </c:pt>
                <c:pt idx="350">
                  <c:v>0.4296875</c:v>
                </c:pt>
                <c:pt idx="351">
                  <c:v>0.4306640625</c:v>
                </c:pt>
                <c:pt idx="352">
                  <c:v>0.4326171875</c:v>
                </c:pt>
                <c:pt idx="353">
                  <c:v>0.43359375</c:v>
                </c:pt>
                <c:pt idx="354">
                  <c:v>0.435546875</c:v>
                </c:pt>
                <c:pt idx="355">
                  <c:v>0.439453125</c:v>
                </c:pt>
                <c:pt idx="356">
                  <c:v>0.44140625</c:v>
                </c:pt>
                <c:pt idx="357">
                  <c:v>0.4423828125</c:v>
                </c:pt>
                <c:pt idx="358">
                  <c:v>0.4443359375</c:v>
                </c:pt>
                <c:pt idx="359">
                  <c:v>0.4453125</c:v>
                </c:pt>
                <c:pt idx="360">
                  <c:v>0.4462890625</c:v>
                </c:pt>
                <c:pt idx="361">
                  <c:v>0.4482421875</c:v>
                </c:pt>
                <c:pt idx="362">
                  <c:v>0.44921875</c:v>
                </c:pt>
                <c:pt idx="363">
                  <c:v>0.451171875</c:v>
                </c:pt>
                <c:pt idx="364">
                  <c:v>0.455078125</c:v>
                </c:pt>
                <c:pt idx="365">
                  <c:v>0.45703125</c:v>
                </c:pt>
                <c:pt idx="366">
                  <c:v>0.4580078125</c:v>
                </c:pt>
                <c:pt idx="367">
                  <c:v>0.4599609375</c:v>
                </c:pt>
                <c:pt idx="368">
                  <c:v>0.4609375</c:v>
                </c:pt>
                <c:pt idx="369">
                  <c:v>0.462890625</c:v>
                </c:pt>
                <c:pt idx="370">
                  <c:v>0.466796875</c:v>
                </c:pt>
                <c:pt idx="371">
                  <c:v>0.46875</c:v>
                </c:pt>
                <c:pt idx="372">
                  <c:v>0.47265625</c:v>
                </c:pt>
                <c:pt idx="373">
                  <c:v>0.48046875</c:v>
                </c:pt>
                <c:pt idx="374">
                  <c:v>0.484375</c:v>
                </c:pt>
                <c:pt idx="375">
                  <c:v>0.486328125</c:v>
                </c:pt>
                <c:pt idx="376">
                  <c:v>0.490234375</c:v>
                </c:pt>
                <c:pt idx="377">
                  <c:v>0.4921875</c:v>
                </c:pt>
                <c:pt idx="378">
                  <c:v>0.49267578125</c:v>
                </c:pt>
                <c:pt idx="379">
                  <c:v>0.49365234375</c:v>
                </c:pt>
                <c:pt idx="380">
                  <c:v>0.494140625</c:v>
                </c:pt>
                <c:pt idx="381">
                  <c:v>0.4951171875</c:v>
                </c:pt>
                <c:pt idx="382">
                  <c:v>0.4970703125</c:v>
                </c:pt>
                <c:pt idx="383">
                  <c:v>0.498046875</c:v>
                </c:pt>
                <c:pt idx="384">
                  <c:v>0.49853515625</c:v>
                </c:pt>
                <c:pt idx="385">
                  <c:v>0.49951171875</c:v>
                </c:pt>
                <c:pt idx="386">
                  <c:v>0.5</c:v>
                </c:pt>
                <c:pt idx="387">
                  <c:v>0.5009765625</c:v>
                </c:pt>
                <c:pt idx="388">
                  <c:v>0.5029296875</c:v>
                </c:pt>
                <c:pt idx="389">
                  <c:v>0.50390625</c:v>
                </c:pt>
                <c:pt idx="390">
                  <c:v>0.505859375</c:v>
                </c:pt>
                <c:pt idx="391">
                  <c:v>0.509765625</c:v>
                </c:pt>
                <c:pt idx="392">
                  <c:v>0.51171875</c:v>
                </c:pt>
                <c:pt idx="393">
                  <c:v>0.5126953125</c:v>
                </c:pt>
                <c:pt idx="394">
                  <c:v>0.5146484375</c:v>
                </c:pt>
                <c:pt idx="395">
                  <c:v>0.515625</c:v>
                </c:pt>
                <c:pt idx="396">
                  <c:v>0.51953125</c:v>
                </c:pt>
                <c:pt idx="397">
                  <c:v>0.52734375</c:v>
                </c:pt>
                <c:pt idx="398">
                  <c:v>0.53125</c:v>
                </c:pt>
                <c:pt idx="399">
                  <c:v>0.5390625</c:v>
                </c:pt>
                <c:pt idx="400">
                  <c:v>0.5546875</c:v>
                </c:pt>
                <c:pt idx="401">
                  <c:v>0.5625</c:v>
                </c:pt>
                <c:pt idx="402">
                  <c:v>0.56640625</c:v>
                </c:pt>
                <c:pt idx="403">
                  <c:v>0.57421875</c:v>
                </c:pt>
                <c:pt idx="404">
                  <c:v>0.578125</c:v>
                </c:pt>
                <c:pt idx="405">
                  <c:v>0.578369140625</c:v>
                </c:pt>
                <c:pt idx="406">
                  <c:v>0.578857421875</c:v>
                </c:pt>
                <c:pt idx="407">
                  <c:v>0.5791015625</c:v>
                </c:pt>
                <c:pt idx="408">
                  <c:v>0.57958984375</c:v>
                </c:pt>
                <c:pt idx="409">
                  <c:v>0.58056640625</c:v>
                </c:pt>
                <c:pt idx="410">
                  <c:v>0.5810546875</c:v>
                </c:pt>
                <c:pt idx="411">
                  <c:v>0.581298828125</c:v>
                </c:pt>
                <c:pt idx="412">
                  <c:v>0.581787109375</c:v>
                </c:pt>
                <c:pt idx="413">
                  <c:v>0.58203125</c:v>
                </c:pt>
                <c:pt idx="414">
                  <c:v>0.5830078125</c:v>
                </c:pt>
                <c:pt idx="415">
                  <c:v>0.5849609375</c:v>
                </c:pt>
                <c:pt idx="416">
                  <c:v>0.5859375</c:v>
                </c:pt>
                <c:pt idx="417">
                  <c:v>0.587890625</c:v>
                </c:pt>
                <c:pt idx="418">
                  <c:v>0.591796875</c:v>
                </c:pt>
                <c:pt idx="419">
                  <c:v>0.59375</c:v>
                </c:pt>
                <c:pt idx="420">
                  <c:v>0.5947265625</c:v>
                </c:pt>
                <c:pt idx="421">
                  <c:v>0.5966796875</c:v>
                </c:pt>
                <c:pt idx="422">
                  <c:v>0.59765625</c:v>
                </c:pt>
                <c:pt idx="423">
                  <c:v>0.599609375</c:v>
                </c:pt>
                <c:pt idx="424">
                  <c:v>0.603515625</c:v>
                </c:pt>
                <c:pt idx="425">
                  <c:v>0.60546875</c:v>
                </c:pt>
                <c:pt idx="426">
                  <c:v>0.609375</c:v>
                </c:pt>
                <c:pt idx="427">
                  <c:v>0.6171875</c:v>
                </c:pt>
                <c:pt idx="428">
                  <c:v>0.62109375</c:v>
                </c:pt>
                <c:pt idx="429">
                  <c:v>0.623046875</c:v>
                </c:pt>
                <c:pt idx="430">
                  <c:v>0.626953125</c:v>
                </c:pt>
                <c:pt idx="431">
                  <c:v>0.62890625</c:v>
                </c:pt>
                <c:pt idx="432">
                  <c:v>0.630859375</c:v>
                </c:pt>
                <c:pt idx="433">
                  <c:v>0.634765625</c:v>
                </c:pt>
                <c:pt idx="434">
                  <c:v>0.63671875</c:v>
                </c:pt>
                <c:pt idx="435">
                  <c:v>0.640625</c:v>
                </c:pt>
                <c:pt idx="436">
                  <c:v>0.6484375</c:v>
                </c:pt>
                <c:pt idx="437">
                  <c:v>0.65234375</c:v>
                </c:pt>
                <c:pt idx="438">
                  <c:v>0.654296875</c:v>
                </c:pt>
                <c:pt idx="439">
                  <c:v>0.658203125</c:v>
                </c:pt>
                <c:pt idx="440">
                  <c:v>0.66015625</c:v>
                </c:pt>
                <c:pt idx="441">
                  <c:v>0.66064453125</c:v>
                </c:pt>
                <c:pt idx="442">
                  <c:v>0.66162109375</c:v>
                </c:pt>
                <c:pt idx="443">
                  <c:v>0.662109375</c:v>
                </c:pt>
                <c:pt idx="444">
                  <c:v>0.6630859375</c:v>
                </c:pt>
                <c:pt idx="445">
                  <c:v>0.6650390625</c:v>
                </c:pt>
                <c:pt idx="446">
                  <c:v>0.666015625</c:v>
                </c:pt>
                <c:pt idx="447">
                  <c:v>0.66650390625</c:v>
                </c:pt>
                <c:pt idx="448">
                  <c:v>0.66748046875</c:v>
                </c:pt>
                <c:pt idx="449">
                  <c:v>0.66796875</c:v>
                </c:pt>
                <c:pt idx="450">
                  <c:v>0.66845703125</c:v>
                </c:pt>
                <c:pt idx="451">
                  <c:v>0.66943359375</c:v>
                </c:pt>
                <c:pt idx="452">
                  <c:v>0.669921875</c:v>
                </c:pt>
                <c:pt idx="453">
                  <c:v>0.6708984375</c:v>
                </c:pt>
                <c:pt idx="454">
                  <c:v>0.6728515625</c:v>
                </c:pt>
                <c:pt idx="455">
                  <c:v>0.673828125</c:v>
                </c:pt>
                <c:pt idx="456">
                  <c:v>0.67431640625</c:v>
                </c:pt>
                <c:pt idx="457">
                  <c:v>0.67529296875</c:v>
                </c:pt>
                <c:pt idx="458">
                  <c:v>0.67578125</c:v>
                </c:pt>
                <c:pt idx="459">
                  <c:v>0.677734375</c:v>
                </c:pt>
                <c:pt idx="460">
                  <c:v>0.681640625</c:v>
                </c:pt>
                <c:pt idx="461">
                  <c:v>0.68359375</c:v>
                </c:pt>
                <c:pt idx="462">
                  <c:v>0.6875</c:v>
                </c:pt>
                <c:pt idx="463">
                  <c:v>0.6953125</c:v>
                </c:pt>
                <c:pt idx="464">
                  <c:v>0.69921875</c:v>
                </c:pt>
                <c:pt idx="465">
                  <c:v>0.701171875</c:v>
                </c:pt>
                <c:pt idx="466">
                  <c:v>0.705078125</c:v>
                </c:pt>
                <c:pt idx="467">
                  <c:v>0.70703125</c:v>
                </c:pt>
                <c:pt idx="468">
                  <c:v>0.7080078125</c:v>
                </c:pt>
                <c:pt idx="469">
                  <c:v>0.7099609375</c:v>
                </c:pt>
                <c:pt idx="470">
                  <c:v>0.7109375</c:v>
                </c:pt>
                <c:pt idx="471">
                  <c:v>0.712890625</c:v>
                </c:pt>
                <c:pt idx="472">
                  <c:v>0.716796875</c:v>
                </c:pt>
                <c:pt idx="473">
                  <c:v>0.71875</c:v>
                </c:pt>
                <c:pt idx="474">
                  <c:v>0.7197265625</c:v>
                </c:pt>
                <c:pt idx="475">
                  <c:v>0.7216796875</c:v>
                </c:pt>
                <c:pt idx="476">
                  <c:v>0.72265625</c:v>
                </c:pt>
                <c:pt idx="477">
                  <c:v>0.722900390625</c:v>
                </c:pt>
                <c:pt idx="478">
                  <c:v>0.723388671875</c:v>
                </c:pt>
                <c:pt idx="479">
                  <c:v>0.7236328125</c:v>
                </c:pt>
                <c:pt idx="480">
                  <c:v>0.72412109375</c:v>
                </c:pt>
                <c:pt idx="481">
                  <c:v>0.72509765625</c:v>
                </c:pt>
                <c:pt idx="482">
                  <c:v>0.7255859375</c:v>
                </c:pt>
                <c:pt idx="483">
                  <c:v>0.725830078125</c:v>
                </c:pt>
                <c:pt idx="484">
                  <c:v>0.726318359375</c:v>
                </c:pt>
                <c:pt idx="485">
                  <c:v>0.7265625</c:v>
                </c:pt>
                <c:pt idx="486">
                  <c:v>0.7275390625</c:v>
                </c:pt>
                <c:pt idx="487">
                  <c:v>0.7294921875</c:v>
                </c:pt>
                <c:pt idx="488">
                  <c:v>0.73046875</c:v>
                </c:pt>
                <c:pt idx="489">
                  <c:v>0.732421875</c:v>
                </c:pt>
                <c:pt idx="490">
                  <c:v>0.736328125</c:v>
                </c:pt>
                <c:pt idx="491">
                  <c:v>0.73828125</c:v>
                </c:pt>
                <c:pt idx="492">
                  <c:v>0.7392578125</c:v>
                </c:pt>
                <c:pt idx="493">
                  <c:v>0.7412109375</c:v>
                </c:pt>
                <c:pt idx="494">
                  <c:v>0.7421875</c:v>
                </c:pt>
                <c:pt idx="495">
                  <c:v>0.7431640625</c:v>
                </c:pt>
                <c:pt idx="496">
                  <c:v>0.7451171875</c:v>
                </c:pt>
                <c:pt idx="497">
                  <c:v>0.74609375</c:v>
                </c:pt>
                <c:pt idx="498">
                  <c:v>0.748046875</c:v>
                </c:pt>
                <c:pt idx="499">
                  <c:v>0.751953125</c:v>
                </c:pt>
                <c:pt idx="500">
                  <c:v>0.75390625</c:v>
                </c:pt>
                <c:pt idx="501">
                  <c:v>0.7548828125</c:v>
                </c:pt>
                <c:pt idx="502">
                  <c:v>0.7568359375</c:v>
                </c:pt>
                <c:pt idx="503">
                  <c:v>0.7578125</c:v>
                </c:pt>
                <c:pt idx="504">
                  <c:v>0.75830078125</c:v>
                </c:pt>
                <c:pt idx="505">
                  <c:v>0.75927734375</c:v>
                </c:pt>
                <c:pt idx="506">
                  <c:v>0.759765625</c:v>
                </c:pt>
                <c:pt idx="507">
                  <c:v>0.7607421875</c:v>
                </c:pt>
                <c:pt idx="508">
                  <c:v>0.7626953125</c:v>
                </c:pt>
                <c:pt idx="509">
                  <c:v>0.763671875</c:v>
                </c:pt>
                <c:pt idx="510">
                  <c:v>0.76416015625</c:v>
                </c:pt>
                <c:pt idx="511">
                  <c:v>0.76513671875</c:v>
                </c:pt>
                <c:pt idx="512">
                  <c:v>0.765625</c:v>
                </c:pt>
                <c:pt idx="513">
                  <c:v>0.76611328125</c:v>
                </c:pt>
                <c:pt idx="514">
                  <c:v>0.76708984375</c:v>
                </c:pt>
                <c:pt idx="515">
                  <c:v>0.767578125</c:v>
                </c:pt>
                <c:pt idx="516">
                  <c:v>0.7685546875</c:v>
                </c:pt>
                <c:pt idx="517">
                  <c:v>0.7705078125</c:v>
                </c:pt>
                <c:pt idx="518">
                  <c:v>0.771484375</c:v>
                </c:pt>
                <c:pt idx="519">
                  <c:v>0.77197265625</c:v>
                </c:pt>
                <c:pt idx="520">
                  <c:v>0.77294921875</c:v>
                </c:pt>
                <c:pt idx="521">
                  <c:v>0.7734375</c:v>
                </c:pt>
                <c:pt idx="522">
                  <c:v>0.7744140625</c:v>
                </c:pt>
                <c:pt idx="523">
                  <c:v>0.7763671875</c:v>
                </c:pt>
                <c:pt idx="524">
                  <c:v>0.77734375</c:v>
                </c:pt>
                <c:pt idx="525">
                  <c:v>0.779296875</c:v>
                </c:pt>
                <c:pt idx="526">
                  <c:v>0.783203125</c:v>
                </c:pt>
                <c:pt idx="527">
                  <c:v>0.78515625</c:v>
                </c:pt>
                <c:pt idx="528">
                  <c:v>0.7861328125</c:v>
                </c:pt>
                <c:pt idx="529">
                  <c:v>0.7880859375</c:v>
                </c:pt>
                <c:pt idx="530">
                  <c:v>0.7890625</c:v>
                </c:pt>
                <c:pt idx="531">
                  <c:v>0.789306640625</c:v>
                </c:pt>
                <c:pt idx="532">
                  <c:v>0.789794921875</c:v>
                </c:pt>
                <c:pt idx="533">
                  <c:v>0.7900390625</c:v>
                </c:pt>
                <c:pt idx="534">
                  <c:v>0.79052734375</c:v>
                </c:pt>
                <c:pt idx="535">
                  <c:v>0.79150390625</c:v>
                </c:pt>
                <c:pt idx="536">
                  <c:v>0.7919921875</c:v>
                </c:pt>
                <c:pt idx="537">
                  <c:v>0.792236328125</c:v>
                </c:pt>
                <c:pt idx="538">
                  <c:v>0.792724609375</c:v>
                </c:pt>
                <c:pt idx="539">
                  <c:v>0.79296875</c:v>
                </c:pt>
                <c:pt idx="540">
                  <c:v>0.79345703125</c:v>
                </c:pt>
                <c:pt idx="541">
                  <c:v>0.79443359375</c:v>
                </c:pt>
                <c:pt idx="542">
                  <c:v>0.794921875</c:v>
                </c:pt>
                <c:pt idx="543">
                  <c:v>0.7958984375</c:v>
                </c:pt>
                <c:pt idx="544">
                  <c:v>0.7978515625</c:v>
                </c:pt>
                <c:pt idx="545">
                  <c:v>0.798828125</c:v>
                </c:pt>
                <c:pt idx="546">
                  <c:v>0.79931640625</c:v>
                </c:pt>
                <c:pt idx="547">
                  <c:v>0.80029296875</c:v>
                </c:pt>
                <c:pt idx="548">
                  <c:v>0.80078125</c:v>
                </c:pt>
                <c:pt idx="549">
                  <c:v>0.80126953125</c:v>
                </c:pt>
                <c:pt idx="550">
                  <c:v>0.80224609375</c:v>
                </c:pt>
                <c:pt idx="551">
                  <c:v>0.802734375</c:v>
                </c:pt>
                <c:pt idx="552">
                  <c:v>0.8037109375</c:v>
                </c:pt>
                <c:pt idx="553">
                  <c:v>0.8056640625</c:v>
                </c:pt>
                <c:pt idx="554">
                  <c:v>0.806640625</c:v>
                </c:pt>
                <c:pt idx="555">
                  <c:v>0.80712890625</c:v>
                </c:pt>
                <c:pt idx="556">
                  <c:v>0.80810546875</c:v>
                </c:pt>
                <c:pt idx="557">
                  <c:v>0.80859375</c:v>
                </c:pt>
                <c:pt idx="558">
                  <c:v>0.80908203125</c:v>
                </c:pt>
                <c:pt idx="559">
                  <c:v>0.81005859375</c:v>
                </c:pt>
                <c:pt idx="560">
                  <c:v>0.810546875</c:v>
                </c:pt>
                <c:pt idx="561">
                  <c:v>0.8115234375</c:v>
                </c:pt>
                <c:pt idx="562">
                  <c:v>0.8134765625</c:v>
                </c:pt>
                <c:pt idx="563">
                  <c:v>0.814453125</c:v>
                </c:pt>
                <c:pt idx="564">
                  <c:v>0.81494140625</c:v>
                </c:pt>
                <c:pt idx="565">
                  <c:v>0.81591796875</c:v>
                </c:pt>
                <c:pt idx="566">
                  <c:v>0.81640625</c:v>
                </c:pt>
                <c:pt idx="567">
                  <c:v>0.816650390625</c:v>
                </c:pt>
                <c:pt idx="568">
                  <c:v>0.817138671875</c:v>
                </c:pt>
                <c:pt idx="569">
                  <c:v>0.8173828125</c:v>
                </c:pt>
                <c:pt idx="570">
                  <c:v>0.81787109375</c:v>
                </c:pt>
                <c:pt idx="571">
                  <c:v>0.81884765625</c:v>
                </c:pt>
                <c:pt idx="572">
                  <c:v>0.8193359375</c:v>
                </c:pt>
                <c:pt idx="573">
                  <c:v>0.819580078125</c:v>
                </c:pt>
                <c:pt idx="574">
                  <c:v>0.820068359375</c:v>
                </c:pt>
                <c:pt idx="575">
                  <c:v>0.8203125</c:v>
                </c:pt>
                <c:pt idx="576">
                  <c:v>0.820556640625</c:v>
                </c:pt>
                <c:pt idx="577">
                  <c:v>0.821044921875</c:v>
                </c:pt>
                <c:pt idx="578">
                  <c:v>0.8212890625</c:v>
                </c:pt>
                <c:pt idx="579">
                  <c:v>0.82177734375</c:v>
                </c:pt>
                <c:pt idx="580">
                  <c:v>0.82275390625</c:v>
                </c:pt>
                <c:pt idx="581">
                  <c:v>0.8232421875</c:v>
                </c:pt>
                <c:pt idx="582">
                  <c:v>0.823486328125</c:v>
                </c:pt>
                <c:pt idx="583">
                  <c:v>0.823974609375</c:v>
                </c:pt>
                <c:pt idx="584">
                  <c:v>0.82421875</c:v>
                </c:pt>
                <c:pt idx="585">
                  <c:v>0.8251953125</c:v>
                </c:pt>
                <c:pt idx="586">
                  <c:v>0.8271484375</c:v>
                </c:pt>
                <c:pt idx="587">
                  <c:v>0.828125</c:v>
                </c:pt>
                <c:pt idx="588">
                  <c:v>0.830078125</c:v>
                </c:pt>
                <c:pt idx="589">
                  <c:v>0.833984375</c:v>
                </c:pt>
                <c:pt idx="590">
                  <c:v>0.8359375</c:v>
                </c:pt>
                <c:pt idx="591">
                  <c:v>0.8369140625</c:v>
                </c:pt>
                <c:pt idx="592">
                  <c:v>0.8388671875</c:v>
                </c:pt>
                <c:pt idx="593">
                  <c:v>0.83984375</c:v>
                </c:pt>
                <c:pt idx="594">
                  <c:v>0.84033203125</c:v>
                </c:pt>
                <c:pt idx="595">
                  <c:v>0.84130859375</c:v>
                </c:pt>
                <c:pt idx="596">
                  <c:v>0.841796875</c:v>
                </c:pt>
                <c:pt idx="597">
                  <c:v>0.8427734375</c:v>
                </c:pt>
                <c:pt idx="598">
                  <c:v>0.8447265625</c:v>
                </c:pt>
                <c:pt idx="599">
                  <c:v>0.845703125</c:v>
                </c:pt>
                <c:pt idx="600">
                  <c:v>0.84619140625</c:v>
                </c:pt>
                <c:pt idx="601">
                  <c:v>0.84716796875</c:v>
                </c:pt>
                <c:pt idx="602">
                  <c:v>0.84765625</c:v>
                </c:pt>
                <c:pt idx="603">
                  <c:v>0.84814453125</c:v>
                </c:pt>
                <c:pt idx="604">
                  <c:v>0.84912109375</c:v>
                </c:pt>
                <c:pt idx="605">
                  <c:v>0.849609375</c:v>
                </c:pt>
                <c:pt idx="606">
                  <c:v>0.8505859375</c:v>
                </c:pt>
                <c:pt idx="607">
                  <c:v>0.8525390625</c:v>
                </c:pt>
                <c:pt idx="608">
                  <c:v>0.853515625</c:v>
                </c:pt>
                <c:pt idx="609">
                  <c:v>0.85400390625</c:v>
                </c:pt>
                <c:pt idx="610">
                  <c:v>0.85498046875</c:v>
                </c:pt>
                <c:pt idx="611">
                  <c:v>0.85546875</c:v>
                </c:pt>
                <c:pt idx="612">
                  <c:v>0.8564453125</c:v>
                </c:pt>
                <c:pt idx="613">
                  <c:v>0.8583984375</c:v>
                </c:pt>
                <c:pt idx="614">
                  <c:v>0.859375</c:v>
                </c:pt>
                <c:pt idx="615">
                  <c:v>0.861328125</c:v>
                </c:pt>
                <c:pt idx="616">
                  <c:v>0.865234375</c:v>
                </c:pt>
                <c:pt idx="617">
                  <c:v>0.8671875</c:v>
                </c:pt>
                <c:pt idx="618">
                  <c:v>0.8681640625</c:v>
                </c:pt>
                <c:pt idx="619">
                  <c:v>0.8701171875</c:v>
                </c:pt>
                <c:pt idx="620">
                  <c:v>0.87109375</c:v>
                </c:pt>
                <c:pt idx="621">
                  <c:v>0.871337890625</c:v>
                </c:pt>
                <c:pt idx="622">
                  <c:v>0.871826171875</c:v>
                </c:pt>
                <c:pt idx="623">
                  <c:v>0.8720703125</c:v>
                </c:pt>
                <c:pt idx="624">
                  <c:v>0.87255859375</c:v>
                </c:pt>
                <c:pt idx="625">
                  <c:v>0.87353515625</c:v>
                </c:pt>
                <c:pt idx="626">
                  <c:v>0.8740234375</c:v>
                </c:pt>
                <c:pt idx="627">
                  <c:v>0.874267578125</c:v>
                </c:pt>
                <c:pt idx="628">
                  <c:v>0.874755859375</c:v>
                </c:pt>
                <c:pt idx="629">
                  <c:v>0.875</c:v>
                </c:pt>
                <c:pt idx="630">
                  <c:v>0.87548828125</c:v>
                </c:pt>
                <c:pt idx="631">
                  <c:v>0.87646484375</c:v>
                </c:pt>
                <c:pt idx="632">
                  <c:v>0.876953125</c:v>
                </c:pt>
                <c:pt idx="633">
                  <c:v>0.8779296875</c:v>
                </c:pt>
                <c:pt idx="634">
                  <c:v>0.8798828125</c:v>
                </c:pt>
                <c:pt idx="635">
                  <c:v>0.880859375</c:v>
                </c:pt>
                <c:pt idx="636">
                  <c:v>0.88134765625</c:v>
                </c:pt>
                <c:pt idx="637">
                  <c:v>0.88232421875</c:v>
                </c:pt>
                <c:pt idx="638">
                  <c:v>0.8828125</c:v>
                </c:pt>
                <c:pt idx="639">
                  <c:v>0.884765625</c:v>
                </c:pt>
                <c:pt idx="640">
                  <c:v>0.888671875</c:v>
                </c:pt>
                <c:pt idx="641">
                  <c:v>0.890625</c:v>
                </c:pt>
                <c:pt idx="642">
                  <c:v>0.89453125</c:v>
                </c:pt>
                <c:pt idx="643">
                  <c:v>0.90234375</c:v>
                </c:pt>
                <c:pt idx="644">
                  <c:v>0.90625</c:v>
                </c:pt>
                <c:pt idx="645">
                  <c:v>0.908203125</c:v>
                </c:pt>
                <c:pt idx="646">
                  <c:v>0.912109375</c:v>
                </c:pt>
                <c:pt idx="647">
                  <c:v>0.9140625</c:v>
                </c:pt>
                <c:pt idx="648">
                  <c:v>0.91455078125</c:v>
                </c:pt>
                <c:pt idx="649">
                  <c:v>0.91552734375</c:v>
                </c:pt>
                <c:pt idx="650">
                  <c:v>0.916015625</c:v>
                </c:pt>
                <c:pt idx="651">
                  <c:v>0.9169921875</c:v>
                </c:pt>
                <c:pt idx="652">
                  <c:v>0.9189453125</c:v>
                </c:pt>
                <c:pt idx="653">
                  <c:v>0.919921875</c:v>
                </c:pt>
                <c:pt idx="654">
                  <c:v>0.92041015625</c:v>
                </c:pt>
                <c:pt idx="655">
                  <c:v>0.92138671875</c:v>
                </c:pt>
                <c:pt idx="656">
                  <c:v>0.921875</c:v>
                </c:pt>
                <c:pt idx="657">
                  <c:v>0.9228515625</c:v>
                </c:pt>
                <c:pt idx="658">
                  <c:v>0.9248046875</c:v>
                </c:pt>
                <c:pt idx="659">
                  <c:v>0.92578125</c:v>
                </c:pt>
                <c:pt idx="660">
                  <c:v>0.927734375</c:v>
                </c:pt>
                <c:pt idx="661">
                  <c:v>0.931640625</c:v>
                </c:pt>
                <c:pt idx="662">
                  <c:v>0.93359375</c:v>
                </c:pt>
                <c:pt idx="663">
                  <c:v>0.9345703125</c:v>
                </c:pt>
                <c:pt idx="664">
                  <c:v>0.9365234375</c:v>
                </c:pt>
                <c:pt idx="665">
                  <c:v>0.9375</c:v>
                </c:pt>
                <c:pt idx="666">
                  <c:v>0.9384765625</c:v>
                </c:pt>
                <c:pt idx="667">
                  <c:v>0.9404296875</c:v>
                </c:pt>
                <c:pt idx="668">
                  <c:v>0.94140625</c:v>
                </c:pt>
                <c:pt idx="669">
                  <c:v>0.943359375</c:v>
                </c:pt>
                <c:pt idx="670">
                  <c:v>0.947265625</c:v>
                </c:pt>
                <c:pt idx="671">
                  <c:v>0.94921875</c:v>
                </c:pt>
                <c:pt idx="672">
                  <c:v>0.9501953125</c:v>
                </c:pt>
                <c:pt idx="673">
                  <c:v>0.9521484375</c:v>
                </c:pt>
                <c:pt idx="674">
                  <c:v>0.953125</c:v>
                </c:pt>
                <c:pt idx="675">
                  <c:v>0.953369140625</c:v>
                </c:pt>
                <c:pt idx="676">
                  <c:v>0.953857421875</c:v>
                </c:pt>
                <c:pt idx="677">
                  <c:v>0.9541015625</c:v>
                </c:pt>
                <c:pt idx="678">
                  <c:v>0.95458984375</c:v>
                </c:pt>
                <c:pt idx="679">
                  <c:v>0.95556640625</c:v>
                </c:pt>
                <c:pt idx="680">
                  <c:v>0.9560546875</c:v>
                </c:pt>
                <c:pt idx="681">
                  <c:v>0.956298828125</c:v>
                </c:pt>
                <c:pt idx="682">
                  <c:v>0.956787109375</c:v>
                </c:pt>
                <c:pt idx="683">
                  <c:v>0.95703125</c:v>
                </c:pt>
                <c:pt idx="684">
                  <c:v>0.9580078125</c:v>
                </c:pt>
                <c:pt idx="685">
                  <c:v>0.9599609375</c:v>
                </c:pt>
                <c:pt idx="686">
                  <c:v>0.9609375</c:v>
                </c:pt>
                <c:pt idx="687">
                  <c:v>0.962890625</c:v>
                </c:pt>
                <c:pt idx="688">
                  <c:v>0.966796875</c:v>
                </c:pt>
                <c:pt idx="689">
                  <c:v>0.96875</c:v>
                </c:pt>
                <c:pt idx="690">
                  <c:v>0.9697265625</c:v>
                </c:pt>
                <c:pt idx="691">
                  <c:v>0.9716796875</c:v>
                </c:pt>
                <c:pt idx="692">
                  <c:v>0.97265625</c:v>
                </c:pt>
                <c:pt idx="693">
                  <c:v>0.97314453125</c:v>
                </c:pt>
                <c:pt idx="694">
                  <c:v>0.97412109375</c:v>
                </c:pt>
                <c:pt idx="695">
                  <c:v>0.974609375</c:v>
                </c:pt>
                <c:pt idx="696">
                  <c:v>0.9755859375</c:v>
                </c:pt>
                <c:pt idx="697">
                  <c:v>0.9775390625</c:v>
                </c:pt>
                <c:pt idx="698">
                  <c:v>0.978515625</c:v>
                </c:pt>
                <c:pt idx="699">
                  <c:v>0.97900390625</c:v>
                </c:pt>
                <c:pt idx="700">
                  <c:v>0.97998046875</c:v>
                </c:pt>
                <c:pt idx="701">
                  <c:v>0.98046875</c:v>
                </c:pt>
                <c:pt idx="702">
                  <c:v>0.98095703125</c:v>
                </c:pt>
                <c:pt idx="703">
                  <c:v>0.98193359375</c:v>
                </c:pt>
                <c:pt idx="704">
                  <c:v>0.982421875</c:v>
                </c:pt>
                <c:pt idx="705">
                  <c:v>0.9833984375</c:v>
                </c:pt>
                <c:pt idx="706">
                  <c:v>0.9853515625</c:v>
                </c:pt>
                <c:pt idx="707">
                  <c:v>0.986328125</c:v>
                </c:pt>
                <c:pt idx="708">
                  <c:v>0.98681640625</c:v>
                </c:pt>
                <c:pt idx="709">
                  <c:v>0.98779296875</c:v>
                </c:pt>
                <c:pt idx="710">
                  <c:v>0.98828125</c:v>
                </c:pt>
                <c:pt idx="711">
                  <c:v>0.98876953125</c:v>
                </c:pt>
                <c:pt idx="712">
                  <c:v>0.98974609375</c:v>
                </c:pt>
                <c:pt idx="713">
                  <c:v>0.990234375</c:v>
                </c:pt>
                <c:pt idx="714">
                  <c:v>0.9912109375</c:v>
                </c:pt>
                <c:pt idx="715">
                  <c:v>0.9931640625</c:v>
                </c:pt>
                <c:pt idx="716">
                  <c:v>0.994140625</c:v>
                </c:pt>
                <c:pt idx="717">
                  <c:v>0.99462890625</c:v>
                </c:pt>
                <c:pt idx="718">
                  <c:v>0.99560546875</c:v>
                </c:pt>
                <c:pt idx="719">
                  <c:v>0.99609375</c:v>
                </c:pt>
                <c:pt idx="720">
                  <c:v>0.996337890625</c:v>
                </c:pt>
                <c:pt idx="721">
                  <c:v>0.996826171875</c:v>
                </c:pt>
                <c:pt idx="722">
                  <c:v>0.9970703125</c:v>
                </c:pt>
                <c:pt idx="723">
                  <c:v>0.99755859375</c:v>
                </c:pt>
                <c:pt idx="724">
                  <c:v>0.99853515625</c:v>
                </c:pt>
                <c:pt idx="725">
                  <c:v>0.9990234375</c:v>
                </c:pt>
                <c:pt idx="726">
                  <c:v>0.999267578125</c:v>
                </c:pt>
                <c:pt idx="727">
                  <c:v>0.999755859375</c:v>
                </c:pt>
                <c:pt idx="72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19-4879-946B-D04D489FF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73408"/>
        <c:axId val="505576688"/>
      </c:scatterChart>
      <c:valAx>
        <c:axId val="505573408"/>
        <c:scaling>
          <c:orientation val="minMax"/>
          <c:max val="6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Present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6688"/>
        <c:crosses val="autoZero"/>
        <c:crossBetween val="midCat"/>
      </c:valAx>
      <c:valAx>
        <c:axId val="5055766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CDF</a:t>
                </a:r>
                <a:r>
                  <a:rPr lang="en-US" baseline="0"/>
                  <a:t> Value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3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Percent of Joint Venture RBL Biochem keeps</a:t>
            </a:r>
          </a:p>
        </c:rich>
      </c:tx>
      <c:layout>
        <c:manualLayout>
          <c:xMode val="edge"/>
          <c:yMode val="edge"/>
          <c:x val="0.13192344706911635"/>
          <c:y val="2.318840579710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Strategy 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Sheet12!$B$3:$B$9</c:f>
              <c:numCache>
                <c:formatCode>General</c:formatCode>
                <c:ptCount val="7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</c:numCache>
            </c:numRef>
          </c:xVal>
          <c:yVal>
            <c:numRef>
              <c:f>Sheet12!$C$3:$C$9</c:f>
              <c:numCache>
                <c:formatCode>General</c:formatCode>
                <c:ptCount val="7"/>
                <c:pt idx="0">
                  <c:v>9.49</c:v>
                </c:pt>
                <c:pt idx="1">
                  <c:v>9.6999999999999993</c:v>
                </c:pt>
                <c:pt idx="2">
                  <c:v>9.91</c:v>
                </c:pt>
                <c:pt idx="3">
                  <c:v>10.119999999999999</c:v>
                </c:pt>
                <c:pt idx="4">
                  <c:v>10.33</c:v>
                </c:pt>
                <c:pt idx="5">
                  <c:v>10.54</c:v>
                </c:pt>
                <c:pt idx="6">
                  <c:v>10.75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12-448D-AC96-26D2EA9C303A}"/>
            </c:ext>
          </c:extLst>
        </c:ser>
        <c:ser>
          <c:idx val="1"/>
          <c:order val="1"/>
          <c:tx>
            <c:v>Strategy 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Sheet12!$B$3:$B$9</c:f>
              <c:numCache>
                <c:formatCode>General</c:formatCode>
                <c:ptCount val="7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</c:numCache>
            </c:numRef>
          </c:xVal>
          <c:yVal>
            <c:numRef>
              <c:f>Sheet12!$D$3:$D$9</c:f>
              <c:numCache>
                <c:formatCode>General</c:formatCode>
                <c:ptCount val="7"/>
                <c:pt idx="0">
                  <c:v>10.545158200350798</c:v>
                </c:pt>
                <c:pt idx="1">
                  <c:v>10.545158200350798</c:v>
                </c:pt>
                <c:pt idx="2">
                  <c:v>10.545158200350798</c:v>
                </c:pt>
                <c:pt idx="3">
                  <c:v>10.545158200350798</c:v>
                </c:pt>
                <c:pt idx="4">
                  <c:v>10.545158200350798</c:v>
                </c:pt>
                <c:pt idx="5">
                  <c:v>10.545158200350798</c:v>
                </c:pt>
                <c:pt idx="6">
                  <c:v>10.545158200350798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12-448D-AC96-26D2EA9C3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3839264"/>
        <c:axId val="653832048"/>
      </c:scatterChart>
      <c:valAx>
        <c:axId val="65383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% of Joint Venture we keep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832048"/>
        <c:crosses val="autoZero"/>
        <c:crossBetween val="midCat"/>
      </c:valAx>
      <c:valAx>
        <c:axId val="653832048"/>
        <c:scaling>
          <c:orientation val="minMax"/>
          <c:max val="1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NPV</a:t>
                </a:r>
                <a:r>
                  <a:rPr lang="en-US" sz="800" baseline="0"/>
                  <a:t> (in millions of dollars)</a:t>
                </a:r>
                <a:endParaRPr lang="en-US" sz="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83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royalty received from PuDont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Strategy 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Sheet12!$B$15:$B$20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4.2</c:v>
                </c:pt>
                <c:pt idx="3">
                  <c:v>4.25</c:v>
                </c:pt>
                <c:pt idx="4">
                  <c:v>4.3</c:v>
                </c:pt>
                <c:pt idx="5">
                  <c:v>4.5</c:v>
                </c:pt>
              </c:numCache>
            </c:numRef>
          </c:xVal>
          <c:yVal>
            <c:numRef>
              <c:f>Sheet12!$C$15:$C$20</c:f>
              <c:numCache>
                <c:formatCode>General</c:formatCode>
                <c:ptCount val="6"/>
                <c:pt idx="0">
                  <c:v>7.61</c:v>
                </c:pt>
                <c:pt idx="1">
                  <c:v>9.9879999999999995</c:v>
                </c:pt>
                <c:pt idx="2">
                  <c:v>10.45</c:v>
                </c:pt>
                <c:pt idx="3">
                  <c:v>10.57</c:v>
                </c:pt>
                <c:pt idx="4">
                  <c:v>10.68</c:v>
                </c:pt>
                <c:pt idx="5">
                  <c:v>11.14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C1-4055-80F6-F6A6FFC9C6F7}"/>
            </c:ext>
          </c:extLst>
        </c:ser>
        <c:ser>
          <c:idx val="1"/>
          <c:order val="1"/>
          <c:tx>
            <c:v>Strategy 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Sheet12!$B$15:$B$20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4.2</c:v>
                </c:pt>
                <c:pt idx="3">
                  <c:v>4.25</c:v>
                </c:pt>
                <c:pt idx="4">
                  <c:v>4.3</c:v>
                </c:pt>
                <c:pt idx="5">
                  <c:v>4.5</c:v>
                </c:pt>
              </c:numCache>
            </c:numRef>
          </c:xVal>
          <c:yVal>
            <c:numRef>
              <c:f>Sheet12!$D$15:$D$20</c:f>
              <c:numCache>
                <c:formatCode>General</c:formatCode>
                <c:ptCount val="6"/>
                <c:pt idx="0">
                  <c:v>10.54</c:v>
                </c:pt>
                <c:pt idx="1">
                  <c:v>10.54</c:v>
                </c:pt>
                <c:pt idx="2">
                  <c:v>10.54</c:v>
                </c:pt>
                <c:pt idx="3">
                  <c:v>10.54</c:v>
                </c:pt>
                <c:pt idx="4">
                  <c:v>10.54</c:v>
                </c:pt>
                <c:pt idx="5">
                  <c:v>10.54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C1-4055-80F6-F6A6FFC9C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457496"/>
        <c:axId val="689454544"/>
      </c:scatterChart>
      <c:valAx>
        <c:axId val="689457496"/>
        <c:scaling>
          <c:orientation val="minMax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Royalty received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54544"/>
        <c:crosses val="autoZero"/>
        <c:crossBetween val="midCat"/>
        <c:majorUnit val="0.1"/>
      </c:valAx>
      <c:valAx>
        <c:axId val="6894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 (in millions of dollars)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57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595311</xdr:colOff>
      <xdr:row>1</xdr:row>
      <xdr:rowOff>185734</xdr:rowOff>
    </xdr:from>
    <xdr:to>
      <xdr:col>32</xdr:col>
      <xdr:colOff>171448</xdr:colOff>
      <xdr:row>19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8088FE-0A2E-4411-87FD-6B8EE95D4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602456</xdr:colOff>
      <xdr:row>2</xdr:row>
      <xdr:rowOff>88106</xdr:rowOff>
    </xdr:from>
    <xdr:to>
      <xdr:col>14</xdr:col>
      <xdr:colOff>640556</xdr:colOff>
      <xdr:row>17</xdr:row>
      <xdr:rowOff>40481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BDFC0B-DAB4-432E-81E2-D7A9BD0F2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745331</xdr:colOff>
      <xdr:row>18</xdr:row>
      <xdr:rowOff>121443</xdr:rowOff>
    </xdr:from>
    <xdr:to>
      <xdr:col>13</xdr:col>
      <xdr:colOff>473868</xdr:colOff>
      <xdr:row>33</xdr:row>
      <xdr:rowOff>130968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119843-9124-41FC-B459-C67E3CD44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0.11615</cdr:x>
      <cdr:y>0.22309</cdr:y>
    </cdr:from>
    <cdr:to>
      <cdr:x>0.98177</cdr:x>
      <cdr:y>0.22483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399754E-ECA9-4DE6-820D-E1ECF4894CAC}"/>
            </a:ext>
          </a:extLst>
        </cdr:cNvPr>
        <cdr:cNvCxnSpPr/>
      </cdr:nvCxnSpPr>
      <cdr:spPr>
        <a:xfrm xmlns:a="http://schemas.openxmlformats.org/drawingml/2006/main" flipV="1">
          <a:off x="531019" y="611981"/>
          <a:ext cx="3957638" cy="476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3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2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0.86042</cdr:x>
      <cdr:y>0.15712</cdr:y>
    </cdr:from>
    <cdr:to>
      <cdr:x>1</cdr:x>
      <cdr:y>0.2717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964009C-CF67-4D7D-8C86-9EFCD0BE5F10}"/>
            </a:ext>
          </a:extLst>
        </cdr:cNvPr>
        <cdr:cNvSpPr txBox="1"/>
      </cdr:nvSpPr>
      <cdr:spPr>
        <a:xfrm xmlns:a="http://schemas.openxmlformats.org/drawingml/2006/main">
          <a:off x="3933825" y="431007"/>
          <a:ext cx="63817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800"/>
            <a:t>Best w/ CV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12</xdr:row>
      <xdr:rowOff>57150</xdr:rowOff>
    </xdr:from>
    <xdr:to>
      <xdr:col>6</xdr:col>
      <xdr:colOff>9525</xdr:colOff>
      <xdr:row>26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585787</xdr:colOff>
      <xdr:row>12</xdr:row>
      <xdr:rowOff>85725</xdr:rowOff>
    </xdr:from>
    <xdr:to>
      <xdr:col>13</xdr:col>
      <xdr:colOff>33337</xdr:colOff>
      <xdr:row>26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423862</xdr:colOff>
      <xdr:row>12</xdr:row>
      <xdr:rowOff>47625</xdr:rowOff>
    </xdr:from>
    <xdr:to>
      <xdr:col>19</xdr:col>
      <xdr:colOff>481012</xdr:colOff>
      <xdr:row>26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223837</xdr:colOff>
      <xdr:row>12</xdr:row>
      <xdr:rowOff>57150</xdr:rowOff>
    </xdr:from>
    <xdr:to>
      <xdr:col>26</xdr:col>
      <xdr:colOff>90487</xdr:colOff>
      <xdr:row>26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100012</xdr:colOff>
      <xdr:row>6</xdr:row>
      <xdr:rowOff>9525</xdr:rowOff>
    </xdr:from>
    <xdr:to>
      <xdr:col>14</xdr:col>
      <xdr:colOff>404812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323850</xdr:colOff>
      <xdr:row>14</xdr:row>
      <xdr:rowOff>19051</xdr:rowOff>
    </xdr:from>
    <xdr:to>
      <xdr:col>13</xdr:col>
      <xdr:colOff>438150</xdr:colOff>
      <xdr:row>14</xdr:row>
      <xdr:rowOff>114301</xdr:rowOff>
    </xdr:to>
    <xdr:sp macro="" textlink="">
      <xdr:nvSpPr>
        <xdr:cNvPr id="3" name="5-Point Sta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743950" y="2552701"/>
          <a:ext cx="114300" cy="95250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581025</xdr:colOff>
      <xdr:row>13</xdr:row>
      <xdr:rowOff>171451</xdr:rowOff>
    </xdr:from>
    <xdr:to>
      <xdr:col>12</xdr:col>
      <xdr:colOff>85725</xdr:colOff>
      <xdr:row>14</xdr:row>
      <xdr:rowOff>76201</xdr:rowOff>
    </xdr:to>
    <xdr:sp macro="" textlink="">
      <xdr:nvSpPr>
        <xdr:cNvPr id="4" name="5-Point St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705725" y="2524126"/>
          <a:ext cx="152400" cy="85725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238125</xdr:colOff>
      <xdr:row>14</xdr:row>
      <xdr:rowOff>161926</xdr:rowOff>
    </xdr:from>
    <xdr:to>
      <xdr:col>10</xdr:col>
      <xdr:colOff>352425</xdr:colOff>
      <xdr:row>15</xdr:row>
      <xdr:rowOff>66676</xdr:rowOff>
    </xdr:to>
    <xdr:sp macro="" textlink="">
      <xdr:nvSpPr>
        <xdr:cNvPr id="5" name="5-Point Sta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715125" y="2695576"/>
          <a:ext cx="114300" cy="85725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514350</xdr:colOff>
      <xdr:row>13</xdr:row>
      <xdr:rowOff>133351</xdr:rowOff>
    </xdr:from>
    <xdr:to>
      <xdr:col>9</xdr:col>
      <xdr:colOff>19050</xdr:colOff>
      <xdr:row>14</xdr:row>
      <xdr:rowOff>38101</xdr:rowOff>
    </xdr:to>
    <xdr:sp macro="" textlink="">
      <xdr:nvSpPr>
        <xdr:cNvPr id="6" name="5-Point Sta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695950" y="2486026"/>
          <a:ext cx="152400" cy="85725"/>
        </a:xfrm>
        <a:prstGeom prst="star5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452438</xdr:colOff>
      <xdr:row>1</xdr:row>
      <xdr:rowOff>142875</xdr:rowOff>
    </xdr:from>
    <xdr:ext cx="10615612" cy="420252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8" y="323850"/>
          <a:ext cx="10615612" cy="420252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416718</xdr:colOff>
      <xdr:row>4</xdr:row>
      <xdr:rowOff>21430</xdr:rowOff>
    </xdr:from>
    <xdr:to>
      <xdr:col>18</xdr:col>
      <xdr:colOff>454818</xdr:colOff>
      <xdr:row>19</xdr:row>
      <xdr:rowOff>50005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156285-51E1-4C25-B18C-71FD53EC1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492918</xdr:colOff>
      <xdr:row>0</xdr:row>
      <xdr:rowOff>0</xdr:rowOff>
    </xdr:from>
    <xdr:to>
      <xdr:col>14</xdr:col>
      <xdr:colOff>531018</xdr:colOff>
      <xdr:row>18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D0827F-B2A3-4EE2-B576-7B8734C6F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66677</xdr:colOff>
      <xdr:row>2</xdr:row>
      <xdr:rowOff>66676</xdr:rowOff>
    </xdr:from>
    <xdr:to>
      <xdr:col>13</xdr:col>
      <xdr:colOff>66677</xdr:colOff>
      <xdr:row>13</xdr:row>
      <xdr:rowOff>128588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9142E72-F332-4096-A734-29BDC2D896E8}"/>
            </a:ext>
          </a:extLst>
        </xdr:cNvPr>
        <xdr:cNvCxnSpPr/>
      </xdr:nvCxnSpPr>
      <xdr:spPr>
        <a:xfrm flipV="1">
          <a:off x="8486777" y="428626"/>
          <a:ext cx="0" cy="2052637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373855</xdr:colOff>
      <xdr:row>18</xdr:row>
      <xdr:rowOff>83343</xdr:rowOff>
    </xdr:from>
    <xdr:to>
      <xdr:col>12</xdr:col>
      <xdr:colOff>411955</xdr:colOff>
      <xdr:row>33</xdr:row>
      <xdr:rowOff>111918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B1A155-0643-40C8-84CD-B2117D6E2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0.76614</cdr:x>
      <cdr:y>0.16753</cdr:y>
    </cdr:from>
    <cdr:to>
      <cdr:x>0.76614</cdr:x>
      <cdr:y>0.68663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5BADB9F-1684-4A54-B73B-B3CB29F5929F}"/>
            </a:ext>
          </a:extLst>
        </cdr:cNvPr>
        <cdr:cNvCxnSpPr/>
      </cdr:nvCxnSpPr>
      <cdr:spPr>
        <a:xfrm xmlns:a="http://schemas.openxmlformats.org/drawingml/2006/main" flipV="1">
          <a:off x="3502805" y="459582"/>
          <a:ext cx="0" cy="142398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3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2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otb/AppData/Local/Microsoft/Windows/INetCache/Content.Outlook/J6N0411P/Updated%20DA%20Spread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12"/>
      <sheetName val="Sheet2"/>
      <sheetName val="Sheet3"/>
      <sheetName val="Sheet4"/>
      <sheetName val="Sheet5"/>
      <sheetName val="Sheet7"/>
      <sheetName val="Sheet8"/>
      <sheetName val="Sheet6"/>
      <sheetName val="Sheet9"/>
      <sheetName val="Sheet10"/>
    </sheetNames>
    <sheetDataSet>
      <sheetData sheetId="0">
        <row r="5">
          <cell r="K5">
            <v>4</v>
          </cell>
        </row>
        <row r="6">
          <cell r="K6" t="str">
            <v>Royalty</v>
          </cell>
        </row>
        <row r="18">
          <cell r="I18">
            <v>0.08</v>
          </cell>
        </row>
        <row r="19">
          <cell r="I19">
            <v>0.38</v>
          </cell>
        </row>
        <row r="21">
          <cell r="I21">
            <v>2.5</v>
          </cell>
        </row>
        <row r="22">
          <cell r="I22">
            <v>8.5</v>
          </cell>
        </row>
        <row r="23">
          <cell r="I23">
            <v>50</v>
          </cell>
        </row>
        <row r="24">
          <cell r="I24">
            <v>30</v>
          </cell>
        </row>
        <row r="31">
          <cell r="K31">
            <v>1</v>
          </cell>
        </row>
        <row r="32">
          <cell r="K32">
            <v>7.0000000000000007E-2</v>
          </cell>
        </row>
        <row r="33">
          <cell r="K33">
            <v>1.6</v>
          </cell>
        </row>
        <row r="34">
          <cell r="K34">
            <v>14.5</v>
          </cell>
        </row>
        <row r="35">
          <cell r="K35">
            <v>9.5</v>
          </cell>
        </row>
        <row r="36">
          <cell r="K36">
            <v>10.75</v>
          </cell>
        </row>
        <row r="75">
          <cell r="H75">
            <v>3.0691386138661052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388"/>
  <sheetViews>
    <sheetView topLeftCell="A23" zoomScale="50" zoomScaleNormal="50" workbookViewId="0">
      <selection activeCell="Y44" sqref="Y44"/>
    </sheetView>
  </sheetViews>
  <sheetFormatPr defaultRowHeight="14.25" x14ac:dyDescent="0.45"/>
  <cols>
    <col min="1" max="10" width="8.86328125" style="2" customWidth="1"/>
    <col min="11" max="11" width="10.46484375" style="2" customWidth="1"/>
    <col min="12" max="13" width="8.86328125" style="2" customWidth="1"/>
    <col min="14" max="14" width="9.46484375" style="2" customWidth="1"/>
    <col min="15" max="15" width="9.73046875" style="2" customWidth="1"/>
    <col min="16" max="20" width="8.86328125" style="2" customWidth="1"/>
    <col min="28" max="28" width="11.59765625" bestFit="1" customWidth="1"/>
    <col min="38" max="39" width="9.3984375" bestFit="1" customWidth="1"/>
  </cols>
  <sheetData>
    <row r="1" spans="1:27" ht="18.399999999999999" x14ac:dyDescent="0.6">
      <c r="A1" s="1" t="s">
        <v>0</v>
      </c>
    </row>
    <row r="2" spans="1:27" ht="14.65" thickBot="1" x14ac:dyDescent="0.5"/>
    <row r="3" spans="1:27" ht="16.149999999999999" x14ac:dyDescent="0.55000000000000004">
      <c r="A3" s="3" t="s">
        <v>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7" x14ac:dyDescent="0.45">
      <c r="A4" s="5"/>
      <c r="B4" s="6"/>
      <c r="C4" s="6"/>
      <c r="D4" s="6"/>
      <c r="E4" s="6"/>
      <c r="F4" s="6"/>
      <c r="G4" s="6"/>
      <c r="H4" s="6"/>
      <c r="I4" s="6"/>
      <c r="J4" s="6"/>
      <c r="L4" s="6"/>
      <c r="M4" s="6"/>
      <c r="N4" s="6"/>
      <c r="O4" s="6"/>
      <c r="P4" s="6"/>
      <c r="Q4" s="6"/>
      <c r="R4" s="6"/>
      <c r="S4" s="6"/>
      <c r="T4" s="6"/>
    </row>
    <row r="5" spans="1:27" x14ac:dyDescent="0.45">
      <c r="E5" s="7" t="s">
        <v>2</v>
      </c>
      <c r="F5" s="8"/>
      <c r="G5" s="8"/>
      <c r="H5" s="8"/>
      <c r="I5" s="8"/>
      <c r="J5" s="8"/>
      <c r="K5" s="9">
        <v>4</v>
      </c>
      <c r="L5" s="10" t="s">
        <v>3</v>
      </c>
      <c r="Z5" t="s">
        <v>2</v>
      </c>
      <c r="AA5" t="s">
        <v>78</v>
      </c>
    </row>
    <row r="6" spans="1:27" x14ac:dyDescent="0.45">
      <c r="E6" s="11" t="s">
        <v>4</v>
      </c>
      <c r="F6" s="12"/>
      <c r="G6" s="12"/>
      <c r="H6" s="12"/>
      <c r="I6" s="12"/>
      <c r="J6" s="12"/>
      <c r="K6" s="13" t="str">
        <f>INDEX(F9:F12,K5)</f>
        <v>Royalty</v>
      </c>
      <c r="L6" s="14" t="s">
        <v>5</v>
      </c>
      <c r="Z6">
        <v>1</v>
      </c>
      <c r="AA6">
        <v>14.04</v>
      </c>
    </row>
    <row r="7" spans="1:27" x14ac:dyDescent="0.45">
      <c r="Z7">
        <v>2</v>
      </c>
      <c r="AA7">
        <v>8.9499999999999993</v>
      </c>
    </row>
    <row r="8" spans="1:27" x14ac:dyDescent="0.45">
      <c r="E8" s="2" t="s">
        <v>6</v>
      </c>
      <c r="Z8">
        <v>3</v>
      </c>
      <c r="AA8">
        <v>11.9</v>
      </c>
    </row>
    <row r="9" spans="1:27" x14ac:dyDescent="0.45">
      <c r="E9" s="2">
        <v>1</v>
      </c>
      <c r="F9" s="15" t="s">
        <v>7</v>
      </c>
      <c r="Z9">
        <v>4</v>
      </c>
      <c r="AA9">
        <v>7.67</v>
      </c>
    </row>
    <row r="10" spans="1:27" x14ac:dyDescent="0.45">
      <c r="E10" s="2">
        <v>2</v>
      </c>
      <c r="F10" s="15" t="s">
        <v>8</v>
      </c>
      <c r="M10" s="16"/>
    </row>
    <row r="11" spans="1:27" x14ac:dyDescent="0.45">
      <c r="E11" s="2">
        <v>3</v>
      </c>
      <c r="F11" s="15" t="s">
        <v>9</v>
      </c>
      <c r="M11" s="16"/>
    </row>
    <row r="12" spans="1:27" x14ac:dyDescent="0.45">
      <c r="E12" s="2">
        <v>4</v>
      </c>
      <c r="F12" s="15" t="s">
        <v>10</v>
      </c>
    </row>
    <row r="13" spans="1:27" ht="14.65" thickBot="1" x14ac:dyDescent="0.5"/>
    <row r="14" spans="1:27" ht="16.149999999999999" x14ac:dyDescent="0.55000000000000004">
      <c r="A14" s="3" t="s">
        <v>11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6" spans="1:27" ht="16.149999999999999" x14ac:dyDescent="0.55000000000000004">
      <c r="A16" s="17"/>
      <c r="B16" s="17" t="s">
        <v>12</v>
      </c>
      <c r="C16" s="17"/>
      <c r="D16" s="17"/>
      <c r="E16" s="17"/>
      <c r="F16" s="17"/>
      <c r="G16" s="17"/>
      <c r="H16" s="18" t="s">
        <v>13</v>
      </c>
      <c r="I16" s="18" t="s">
        <v>14</v>
      </c>
      <c r="J16" s="18" t="s">
        <v>15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4" x14ac:dyDescent="0.45">
      <c r="A17" s="19"/>
      <c r="B17" s="7"/>
      <c r="C17" s="8"/>
      <c r="D17" s="8"/>
      <c r="E17" s="8"/>
      <c r="F17" s="8"/>
      <c r="G17" s="8"/>
      <c r="H17" s="8"/>
      <c r="I17" s="8"/>
      <c r="J17" s="20"/>
      <c r="K17" s="21"/>
      <c r="L17" s="6"/>
      <c r="M17" s="6"/>
      <c r="N17" s="6"/>
      <c r="O17" s="22"/>
      <c r="P17" s="22"/>
      <c r="Q17" s="22"/>
      <c r="R17" s="22"/>
      <c r="S17" s="6"/>
      <c r="T17" s="6"/>
    </row>
    <row r="18" spans="1:24" x14ac:dyDescent="0.45">
      <c r="A18" s="23" t="s">
        <v>16</v>
      </c>
      <c r="B18" s="24" t="s">
        <v>17</v>
      </c>
      <c r="C18" s="6"/>
      <c r="D18" s="6"/>
      <c r="E18" s="6"/>
      <c r="F18" s="6"/>
      <c r="G18" s="6"/>
      <c r="H18" s="25" t="s">
        <v>18</v>
      </c>
      <c r="I18" s="26">
        <v>0.08</v>
      </c>
      <c r="J18" s="27" t="s">
        <v>19</v>
      </c>
      <c r="K18" s="6"/>
      <c r="L18" s="6"/>
      <c r="M18" s="28"/>
      <c r="N18" s="28"/>
      <c r="O18" s="28"/>
      <c r="P18" s="28"/>
      <c r="Q18" s="28"/>
      <c r="R18" s="28"/>
      <c r="S18" s="6"/>
      <c r="T18" s="29"/>
    </row>
    <row r="19" spans="1:24" x14ac:dyDescent="0.45">
      <c r="A19" s="23" t="s">
        <v>16</v>
      </c>
      <c r="B19" s="24" t="s">
        <v>20</v>
      </c>
      <c r="C19" s="6"/>
      <c r="D19" s="6"/>
      <c r="E19" s="6"/>
      <c r="F19" s="6"/>
      <c r="G19" s="6"/>
      <c r="H19" s="25" t="s">
        <v>18</v>
      </c>
      <c r="I19" s="30">
        <v>0.38</v>
      </c>
      <c r="J19" s="27" t="s">
        <v>21</v>
      </c>
      <c r="K19" s="6"/>
      <c r="L19" s="6"/>
      <c r="M19" s="28"/>
      <c r="N19" s="28"/>
      <c r="O19" s="28"/>
      <c r="P19" s="28"/>
      <c r="Q19" s="28"/>
      <c r="R19" s="28"/>
      <c r="S19" s="6"/>
      <c r="T19" s="29"/>
    </row>
    <row r="20" spans="1:24" x14ac:dyDescent="0.45">
      <c r="A20" s="23"/>
      <c r="B20" s="24"/>
      <c r="C20" s="6"/>
      <c r="D20" s="6"/>
      <c r="E20" s="6"/>
      <c r="F20" s="6"/>
      <c r="G20" s="6"/>
      <c r="H20" s="25"/>
      <c r="I20" s="28"/>
      <c r="J20" s="31"/>
      <c r="K20" s="6"/>
      <c r="L20" s="6"/>
      <c r="M20" s="28"/>
      <c r="N20" s="28"/>
      <c r="O20" s="28"/>
      <c r="P20" s="28"/>
      <c r="Q20" s="28"/>
      <c r="R20" s="28"/>
      <c r="S20" s="6"/>
      <c r="T20" s="29"/>
    </row>
    <row r="21" spans="1:24" x14ac:dyDescent="0.45">
      <c r="A21" s="23"/>
      <c r="B21" s="24" t="s">
        <v>22</v>
      </c>
      <c r="C21" s="6"/>
      <c r="D21" s="6"/>
      <c r="E21" s="6"/>
      <c r="F21" s="6"/>
      <c r="G21" s="6"/>
      <c r="H21" s="25" t="s">
        <v>23</v>
      </c>
      <c r="I21" s="32">
        <v>2.5</v>
      </c>
      <c r="J21" s="27" t="s">
        <v>24</v>
      </c>
      <c r="K21" s="6"/>
      <c r="L21" s="6"/>
      <c r="M21" s="32"/>
      <c r="N21" s="32"/>
      <c r="O21" s="32"/>
      <c r="P21" s="32"/>
      <c r="Q21" s="32"/>
      <c r="R21" s="32"/>
      <c r="S21" s="6"/>
      <c r="T21" s="29"/>
    </row>
    <row r="22" spans="1:24" x14ac:dyDescent="0.45">
      <c r="A22" s="23"/>
      <c r="B22" s="24" t="s">
        <v>25</v>
      </c>
      <c r="C22" s="6"/>
      <c r="D22" s="6"/>
      <c r="E22" s="6"/>
      <c r="F22" s="6"/>
      <c r="G22" s="6"/>
      <c r="H22" s="25" t="s">
        <v>23</v>
      </c>
      <c r="I22" s="32">
        <v>8.5</v>
      </c>
      <c r="J22" s="27" t="s">
        <v>26</v>
      </c>
      <c r="K22" s="6"/>
      <c r="L22" s="6"/>
      <c r="M22" s="32"/>
      <c r="N22" s="32"/>
      <c r="O22" s="32"/>
      <c r="P22" s="32"/>
      <c r="Q22" s="32"/>
      <c r="R22" s="32"/>
      <c r="S22" s="6"/>
      <c r="T22" s="29"/>
    </row>
    <row r="23" spans="1:24" x14ac:dyDescent="0.45">
      <c r="A23" s="23"/>
      <c r="B23" s="2" t="s">
        <v>27</v>
      </c>
      <c r="C23" s="6"/>
      <c r="D23" s="6"/>
      <c r="H23" s="2" t="s">
        <v>23</v>
      </c>
      <c r="I23" s="33">
        <v>50</v>
      </c>
      <c r="J23" s="2" t="s">
        <v>28</v>
      </c>
      <c r="K23" s="6"/>
      <c r="L23" s="6"/>
      <c r="M23" s="34"/>
      <c r="N23" s="34"/>
      <c r="O23" s="34"/>
      <c r="P23" s="34"/>
      <c r="Q23" s="34"/>
      <c r="R23" s="34"/>
      <c r="S23" s="6"/>
      <c r="T23" s="29"/>
    </row>
    <row r="24" spans="1:24" x14ac:dyDescent="0.45">
      <c r="A24" s="23"/>
      <c r="B24" s="24" t="s">
        <v>29</v>
      </c>
      <c r="C24" s="6"/>
      <c r="D24" s="6"/>
      <c r="E24" s="6"/>
      <c r="F24" s="6"/>
      <c r="G24" s="6"/>
      <c r="H24" s="25" t="s">
        <v>30</v>
      </c>
      <c r="I24" s="35">
        <v>30</v>
      </c>
      <c r="J24" s="27" t="s">
        <v>31</v>
      </c>
      <c r="K24" s="6"/>
      <c r="L24" s="6"/>
      <c r="M24" s="34"/>
      <c r="N24" s="34"/>
      <c r="O24" s="34"/>
      <c r="P24" s="34"/>
      <c r="Q24" s="34"/>
      <c r="R24" s="34"/>
      <c r="S24" s="6"/>
      <c r="T24" s="29"/>
    </row>
    <row r="25" spans="1:24" x14ac:dyDescent="0.45">
      <c r="A25" s="23" t="s">
        <v>16</v>
      </c>
      <c r="B25" s="11"/>
      <c r="C25" s="12"/>
      <c r="D25" s="12"/>
      <c r="E25" s="12"/>
      <c r="F25" s="12"/>
      <c r="G25" s="12"/>
      <c r="H25" s="12"/>
      <c r="I25" s="12"/>
      <c r="J25" s="36"/>
      <c r="K25" s="21"/>
      <c r="L25" s="6"/>
      <c r="M25" s="6"/>
      <c r="N25" s="6"/>
      <c r="O25" s="22"/>
      <c r="P25" s="22"/>
      <c r="Q25" s="22"/>
      <c r="R25" s="22"/>
      <c r="S25" s="6"/>
      <c r="T25" s="29"/>
    </row>
    <row r="26" spans="1:24" ht="14.65" thickBot="1" x14ac:dyDescent="0.5">
      <c r="A26" s="23"/>
      <c r="B26" s="6"/>
      <c r="C26" s="6"/>
      <c r="D26" s="6"/>
      <c r="E26" s="6"/>
      <c r="F26" s="6"/>
      <c r="G26" s="6"/>
      <c r="H26" s="6"/>
      <c r="I26" s="6"/>
      <c r="K26" s="21"/>
      <c r="L26" s="6"/>
      <c r="M26" s="6"/>
      <c r="N26" s="6"/>
      <c r="O26" s="22"/>
      <c r="P26" s="22"/>
      <c r="Q26" s="22"/>
      <c r="R26" s="22"/>
      <c r="S26" s="6"/>
      <c r="T26" s="29"/>
    </row>
    <row r="27" spans="1:24" ht="16.149999999999999" x14ac:dyDescent="0.55000000000000004">
      <c r="A27" s="3" t="s">
        <v>32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  <row r="28" spans="1:24" ht="16.149999999999999" x14ac:dyDescent="0.55000000000000004">
      <c r="A28" s="37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t="s">
        <v>90</v>
      </c>
      <c r="V28" t="s">
        <v>91</v>
      </c>
      <c r="W28" t="s">
        <v>89</v>
      </c>
    </row>
    <row r="29" spans="1:24" ht="16.149999999999999" x14ac:dyDescent="0.55000000000000004">
      <c r="A29" s="17"/>
      <c r="B29" s="17" t="s">
        <v>12</v>
      </c>
      <c r="C29" s="17"/>
      <c r="D29" s="17"/>
      <c r="E29" s="17"/>
      <c r="F29" s="17"/>
      <c r="G29" s="17"/>
      <c r="H29" s="18" t="s">
        <v>13</v>
      </c>
      <c r="I29" s="18" t="s">
        <v>33</v>
      </c>
      <c r="J29" s="18" t="s">
        <v>77</v>
      </c>
      <c r="K29" s="18" t="s">
        <v>34</v>
      </c>
      <c r="L29" s="18" t="s">
        <v>15</v>
      </c>
      <c r="M29" s="18" t="s">
        <v>35</v>
      </c>
      <c r="N29" s="18" t="s">
        <v>36</v>
      </c>
      <c r="O29" s="18" t="s">
        <v>37</v>
      </c>
      <c r="P29" s="12"/>
      <c r="R29" s="18"/>
      <c r="T29" s="2" t="s">
        <v>89</v>
      </c>
      <c r="U29">
        <v>0.16669999999999999</v>
      </c>
      <c r="V29">
        <v>0.33329999999999999</v>
      </c>
      <c r="W29">
        <v>0.5</v>
      </c>
      <c r="X29">
        <f>SUM(U29:W29)</f>
        <v>1</v>
      </c>
    </row>
    <row r="30" spans="1:24" x14ac:dyDescent="0.45">
      <c r="A30" s="23" t="s">
        <v>16</v>
      </c>
      <c r="B30" s="38" t="s">
        <v>38</v>
      </c>
      <c r="C30" s="8"/>
      <c r="D30" s="8"/>
      <c r="E30" s="8"/>
      <c r="F30" s="8"/>
      <c r="G30" s="8"/>
      <c r="H30" s="8"/>
      <c r="I30" s="8"/>
      <c r="J30" s="8"/>
      <c r="K30" s="39"/>
      <c r="L30" s="8"/>
      <c r="M30" s="94">
        <v>0.25</v>
      </c>
      <c r="N30" s="94">
        <v>0.5</v>
      </c>
      <c r="O30" s="95">
        <v>0.25</v>
      </c>
      <c r="P30" s="31"/>
      <c r="R30" s="22"/>
      <c r="T30" s="2" t="s">
        <v>91</v>
      </c>
      <c r="U30">
        <v>0.21</v>
      </c>
      <c r="V30">
        <v>0.63200000000000001</v>
      </c>
      <c r="W30">
        <v>0.158</v>
      </c>
      <c r="X30">
        <f t="shared" ref="X30:X31" si="0">SUM(U30:W30)</f>
        <v>1</v>
      </c>
    </row>
    <row r="31" spans="1:24" x14ac:dyDescent="0.45">
      <c r="A31" s="40" t="s">
        <v>16</v>
      </c>
      <c r="B31" s="41" t="s">
        <v>39</v>
      </c>
      <c r="C31" s="6"/>
      <c r="D31" s="6"/>
      <c r="E31" s="6"/>
      <c r="F31" s="6"/>
      <c r="G31" s="6"/>
      <c r="H31" s="42" t="s">
        <v>23</v>
      </c>
      <c r="I31" s="43">
        <v>3</v>
      </c>
      <c r="J31" s="10">
        <f>INDEX($M$30:$O$30,I31)</f>
        <v>0.25</v>
      </c>
      <c r="K31" s="44">
        <f>INDEX(M31:O31,I31)</f>
        <v>5.5</v>
      </c>
      <c r="L31" s="10" t="s">
        <v>40</v>
      </c>
      <c r="M31" s="45">
        <v>1</v>
      </c>
      <c r="N31" s="45">
        <v>2.5</v>
      </c>
      <c r="O31" s="45">
        <v>5.5</v>
      </c>
      <c r="P31" s="31"/>
      <c r="R31" s="46"/>
      <c r="T31" s="2" t="s">
        <v>90</v>
      </c>
      <c r="U31">
        <v>0.44400000000000001</v>
      </c>
      <c r="V31">
        <v>0.44400000000000001</v>
      </c>
      <c r="W31">
        <v>0.112</v>
      </c>
      <c r="X31">
        <f t="shared" si="0"/>
        <v>1</v>
      </c>
    </row>
    <row r="32" spans="1:24" x14ac:dyDescent="0.45">
      <c r="A32" s="40" t="s">
        <v>16</v>
      </c>
      <c r="B32" s="41" t="s">
        <v>41</v>
      </c>
      <c r="C32" s="6"/>
      <c r="D32" s="6"/>
      <c r="E32" s="6"/>
      <c r="F32" s="6"/>
      <c r="G32" s="6"/>
      <c r="H32" s="42" t="s">
        <v>42</v>
      </c>
      <c r="I32" s="43">
        <v>3</v>
      </c>
      <c r="J32" s="10">
        <f t="shared" ref="J32:J36" si="1">INDEX($M$30:$O$30,I32)</f>
        <v>0.25</v>
      </c>
      <c r="K32" s="47">
        <f t="shared" ref="K32:K36" si="2">INDEX(M32:O32,I32)</f>
        <v>0.09</v>
      </c>
      <c r="L32" s="10" t="s">
        <v>43</v>
      </c>
      <c r="M32" s="48">
        <v>-0.05</v>
      </c>
      <c r="N32" s="48">
        <v>7.0000000000000007E-2</v>
      </c>
      <c r="O32" s="48">
        <v>0.09</v>
      </c>
      <c r="P32" s="31"/>
      <c r="R32" s="6"/>
    </row>
    <row r="33" spans="1:39" x14ac:dyDescent="0.45">
      <c r="A33" s="23" t="s">
        <v>16</v>
      </c>
      <c r="B33" s="41" t="s">
        <v>44</v>
      </c>
      <c r="C33" s="6"/>
      <c r="D33" s="6"/>
      <c r="E33" s="6"/>
      <c r="F33" s="6"/>
      <c r="G33" s="6"/>
      <c r="H33" s="42" t="s">
        <v>45</v>
      </c>
      <c r="I33" s="43">
        <v>3</v>
      </c>
      <c r="J33" s="10">
        <f t="shared" si="1"/>
        <v>0.25</v>
      </c>
      <c r="K33" s="44">
        <f t="shared" si="2"/>
        <v>1.8</v>
      </c>
      <c r="L33" s="10" t="s">
        <v>46</v>
      </c>
      <c r="M33" s="49">
        <v>1.3</v>
      </c>
      <c r="N33" s="49">
        <v>1.6</v>
      </c>
      <c r="O33" s="49">
        <v>1.8</v>
      </c>
      <c r="P33" s="31"/>
      <c r="R33" s="50"/>
    </row>
    <row r="34" spans="1:39" x14ac:dyDescent="0.45">
      <c r="A34" s="23" t="s">
        <v>16</v>
      </c>
      <c r="B34" s="24" t="s">
        <v>47</v>
      </c>
      <c r="C34" s="6"/>
      <c r="D34" s="6"/>
      <c r="E34" s="6"/>
      <c r="F34" s="6"/>
      <c r="G34" s="6"/>
      <c r="H34" s="42" t="s">
        <v>30</v>
      </c>
      <c r="I34" s="43">
        <v>3</v>
      </c>
      <c r="J34" s="10">
        <f t="shared" si="1"/>
        <v>0.25</v>
      </c>
      <c r="K34" s="51">
        <f t="shared" si="2"/>
        <v>17</v>
      </c>
      <c r="L34" s="10" t="s">
        <v>48</v>
      </c>
      <c r="M34" s="52">
        <v>13</v>
      </c>
      <c r="N34" s="52">
        <v>14.5</v>
      </c>
      <c r="O34" s="52">
        <v>17</v>
      </c>
      <c r="P34" s="31"/>
      <c r="R34" s="6"/>
    </row>
    <row r="35" spans="1:39" x14ac:dyDescent="0.45">
      <c r="A35" s="23" t="s">
        <v>16</v>
      </c>
      <c r="B35" s="24" t="s">
        <v>49</v>
      </c>
      <c r="C35" s="6"/>
      <c r="D35" s="6"/>
      <c r="E35" s="6"/>
      <c r="F35" s="6"/>
      <c r="G35" s="6"/>
      <c r="H35" s="42" t="s">
        <v>50</v>
      </c>
      <c r="I35" s="43">
        <v>3</v>
      </c>
      <c r="J35" s="10">
        <f t="shared" si="1"/>
        <v>0.25</v>
      </c>
      <c r="K35" s="51">
        <f t="shared" si="2"/>
        <v>9.75</v>
      </c>
      <c r="L35" s="10" t="s">
        <v>51</v>
      </c>
      <c r="M35" s="53">
        <v>9.25</v>
      </c>
      <c r="N35" s="53">
        <v>9.5</v>
      </c>
      <c r="O35" s="53">
        <v>9.75</v>
      </c>
      <c r="P35" s="31"/>
    </row>
    <row r="36" spans="1:39" x14ac:dyDescent="0.45">
      <c r="A36" s="23" t="s">
        <v>16</v>
      </c>
      <c r="B36" s="24" t="s">
        <v>52</v>
      </c>
      <c r="C36" s="6"/>
      <c r="D36" s="6"/>
      <c r="E36" s="6"/>
      <c r="F36" s="6"/>
      <c r="G36" s="6"/>
      <c r="H36" s="42" t="s">
        <v>50</v>
      </c>
      <c r="I36" s="43">
        <v>3</v>
      </c>
      <c r="J36" s="10">
        <f t="shared" si="1"/>
        <v>0.25</v>
      </c>
      <c r="K36" s="51">
        <f t="shared" si="2"/>
        <v>11.5</v>
      </c>
      <c r="L36" s="10" t="s">
        <v>53</v>
      </c>
      <c r="M36" s="54">
        <v>9.75</v>
      </c>
      <c r="N36" s="54">
        <v>10.75</v>
      </c>
      <c r="O36" s="54">
        <v>11.5</v>
      </c>
      <c r="P36" s="31"/>
    </row>
    <row r="37" spans="1:39" x14ac:dyDescent="0.45">
      <c r="A37" s="23"/>
      <c r="B37" s="24"/>
      <c r="C37" s="6"/>
      <c r="D37" s="6"/>
      <c r="E37" s="6"/>
      <c r="F37" s="6"/>
      <c r="G37" s="6"/>
      <c r="H37" s="25"/>
      <c r="I37" s="55"/>
      <c r="J37" s="10"/>
      <c r="K37" s="32"/>
      <c r="L37" s="10"/>
      <c r="M37" s="46"/>
      <c r="N37" s="46"/>
      <c r="O37" s="46"/>
      <c r="P37" s="31"/>
    </row>
    <row r="38" spans="1:39" x14ac:dyDescent="0.45">
      <c r="B38" s="24" t="s">
        <v>94</v>
      </c>
      <c r="C38" s="6"/>
      <c r="D38" s="6"/>
      <c r="E38" s="6"/>
      <c r="F38" s="6"/>
      <c r="G38" s="6"/>
      <c r="H38" s="6"/>
      <c r="I38" s="56"/>
      <c r="J38" s="6">
        <f>PRODUCT(J31:J36)</f>
        <v>2.44140625E-4</v>
      </c>
      <c r="K38" s="6"/>
      <c r="L38" s="6"/>
      <c r="M38" s="6"/>
      <c r="N38" s="6"/>
      <c r="O38" s="6"/>
      <c r="P38" s="31"/>
    </row>
    <row r="39" spans="1:39" x14ac:dyDescent="0.45">
      <c r="A39" s="23" t="s">
        <v>16</v>
      </c>
      <c r="B39" s="57"/>
      <c r="C39" s="6"/>
      <c r="D39" s="6"/>
      <c r="E39" s="6"/>
      <c r="F39" s="6"/>
      <c r="G39" s="6"/>
      <c r="H39" s="6"/>
      <c r="I39" s="56"/>
      <c r="J39" s="6"/>
      <c r="K39" s="6"/>
      <c r="L39" s="6"/>
      <c r="M39" s="6"/>
      <c r="N39" s="6"/>
      <c r="O39" s="6"/>
      <c r="P39" s="31"/>
    </row>
    <row r="40" spans="1:39" x14ac:dyDescent="0.45">
      <c r="A40" s="40" t="s">
        <v>16</v>
      </c>
      <c r="B40" s="41"/>
      <c r="C40" s="6"/>
      <c r="D40" s="6"/>
      <c r="E40" s="6"/>
      <c r="F40" s="6"/>
      <c r="G40" s="6"/>
      <c r="H40" s="25"/>
      <c r="I40" s="55"/>
      <c r="J40" s="10"/>
      <c r="K40" s="46"/>
      <c r="L40" s="10"/>
      <c r="M40" s="46"/>
      <c r="N40" s="46"/>
      <c r="O40" s="46"/>
      <c r="P40" s="31"/>
    </row>
    <row r="41" spans="1:39" x14ac:dyDescent="0.45">
      <c r="A41" s="19"/>
      <c r="B41" s="58"/>
      <c r="C41" s="12"/>
      <c r="D41" s="12"/>
      <c r="E41" s="12"/>
      <c r="F41" s="12"/>
      <c r="G41" s="12"/>
      <c r="H41" s="59"/>
      <c r="I41" s="59"/>
      <c r="J41" s="12"/>
      <c r="K41" s="60"/>
      <c r="L41" s="61"/>
      <c r="M41" s="60"/>
      <c r="N41" s="60"/>
      <c r="O41" s="60"/>
      <c r="P41" s="36"/>
      <c r="R41" s="46"/>
    </row>
    <row r="42" spans="1:39" ht="14.65" thickBot="1" x14ac:dyDescent="0.5"/>
    <row r="43" spans="1:39" ht="16.149999999999999" x14ac:dyDescent="0.55000000000000004">
      <c r="A43" s="3" t="s">
        <v>54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4" spans="1:39" ht="16.5" thickBot="1" x14ac:dyDescent="0.6">
      <c r="A44" s="37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AC44" s="17" t="s">
        <v>12</v>
      </c>
      <c r="AD44" s="17"/>
      <c r="AE44" s="17"/>
      <c r="AF44" s="17"/>
      <c r="AG44" s="17"/>
      <c r="AH44" s="17"/>
      <c r="AI44" s="18" t="s">
        <v>13</v>
      </c>
      <c r="AJ44" s="18" t="s">
        <v>15</v>
      </c>
      <c r="AK44" s="18" t="s">
        <v>35</v>
      </c>
      <c r="AL44" s="18" t="s">
        <v>36</v>
      </c>
      <c r="AM44" s="18" t="s">
        <v>37</v>
      </c>
    </row>
    <row r="45" spans="1:39" ht="16.149999999999999" x14ac:dyDescent="0.55000000000000004">
      <c r="A45" s="37" t="str">
        <f>strategy_name</f>
        <v>Royalty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AC45" s="124" t="s">
        <v>38</v>
      </c>
      <c r="AD45" s="4"/>
      <c r="AE45" s="4"/>
      <c r="AF45" s="4"/>
      <c r="AG45" s="4"/>
      <c r="AH45" s="4"/>
      <c r="AI45" s="4"/>
      <c r="AJ45" s="4"/>
      <c r="AK45" s="125">
        <v>0.25</v>
      </c>
      <c r="AL45" s="125">
        <v>0.5</v>
      </c>
      <c r="AM45" s="126">
        <v>0.25</v>
      </c>
    </row>
    <row r="46" spans="1:39" x14ac:dyDescent="0.45">
      <c r="A46" s="62"/>
      <c r="AC46" s="127" t="s">
        <v>39</v>
      </c>
      <c r="AD46" s="6"/>
      <c r="AE46" s="6"/>
      <c r="AF46" s="6"/>
      <c r="AG46" s="6"/>
      <c r="AH46" s="6"/>
      <c r="AI46" s="42" t="s">
        <v>23</v>
      </c>
      <c r="AJ46" s="10" t="s">
        <v>40</v>
      </c>
      <c r="AK46" s="45">
        <v>1</v>
      </c>
      <c r="AL46" s="45">
        <v>2.5</v>
      </c>
      <c r="AM46" s="128">
        <v>5.5</v>
      </c>
    </row>
    <row r="47" spans="1:39" ht="16.149999999999999" x14ac:dyDescent="0.55000000000000004">
      <c r="A47" s="17" t="s">
        <v>55</v>
      </c>
      <c r="B47" s="63"/>
      <c r="C47" s="63"/>
      <c r="G47" s="64"/>
      <c r="H47" s="65">
        <v>2017</v>
      </c>
      <c r="I47" s="65">
        <f>H47+1</f>
        <v>2018</v>
      </c>
      <c r="J47" s="65">
        <f t="shared" ref="J47:O47" si="3">I47+1</f>
        <v>2019</v>
      </c>
      <c r="K47" s="65">
        <f t="shared" si="3"/>
        <v>2020</v>
      </c>
      <c r="L47" s="65">
        <f t="shared" si="3"/>
        <v>2021</v>
      </c>
      <c r="M47" s="65">
        <f t="shared" si="3"/>
        <v>2022</v>
      </c>
      <c r="N47" s="65">
        <f t="shared" si="3"/>
        <v>2023</v>
      </c>
      <c r="O47" s="65">
        <f t="shared" si="3"/>
        <v>2024</v>
      </c>
      <c r="P47" s="65">
        <f>O47+1</f>
        <v>2025</v>
      </c>
      <c r="Q47" s="65">
        <f>P47+1</f>
        <v>2026</v>
      </c>
      <c r="R47" s="65"/>
      <c r="AC47" s="127" t="s">
        <v>41</v>
      </c>
      <c r="AD47" s="6"/>
      <c r="AE47" s="6"/>
      <c r="AF47" s="6"/>
      <c r="AG47" s="6"/>
      <c r="AH47" s="6"/>
      <c r="AI47" s="42" t="s">
        <v>42</v>
      </c>
      <c r="AJ47" s="10" t="s">
        <v>43</v>
      </c>
      <c r="AK47" s="48">
        <v>-0.05</v>
      </c>
      <c r="AL47" s="48">
        <v>7.0000000000000007E-2</v>
      </c>
      <c r="AM47" s="129">
        <v>0.09</v>
      </c>
    </row>
    <row r="48" spans="1:39" ht="16.149999999999999" x14ac:dyDescent="0.55000000000000004">
      <c r="A48" s="17" t="s">
        <v>56</v>
      </c>
      <c r="B48" s="63"/>
      <c r="C48" s="63"/>
      <c r="G48" s="64"/>
      <c r="H48" s="65">
        <f>H47-$H$47</f>
        <v>0</v>
      </c>
      <c r="I48" s="65">
        <f t="shared" ref="I48:Q48" si="4">I47-$H$47</f>
        <v>1</v>
      </c>
      <c r="J48" s="65">
        <f t="shared" si="4"/>
        <v>2</v>
      </c>
      <c r="K48" s="65">
        <f t="shared" si="4"/>
        <v>3</v>
      </c>
      <c r="L48" s="65">
        <f t="shared" si="4"/>
        <v>4</v>
      </c>
      <c r="M48" s="65">
        <f t="shared" si="4"/>
        <v>5</v>
      </c>
      <c r="N48" s="65">
        <f t="shared" si="4"/>
        <v>6</v>
      </c>
      <c r="O48" s="65">
        <f t="shared" si="4"/>
        <v>7</v>
      </c>
      <c r="P48" s="65">
        <f t="shared" si="4"/>
        <v>8</v>
      </c>
      <c r="Q48" s="65">
        <f t="shared" si="4"/>
        <v>9</v>
      </c>
      <c r="R48" s="65"/>
      <c r="AC48" s="127" t="s">
        <v>44</v>
      </c>
      <c r="AD48" s="6"/>
      <c r="AE48" s="6"/>
      <c r="AF48" s="6"/>
      <c r="AG48" s="6"/>
      <c r="AH48" s="6"/>
      <c r="AI48" s="42" t="s">
        <v>45</v>
      </c>
      <c r="AJ48" s="10" t="s">
        <v>46</v>
      </c>
      <c r="AK48" s="49">
        <v>1.3</v>
      </c>
      <c r="AL48" s="49">
        <v>1.6</v>
      </c>
      <c r="AM48" s="130">
        <v>1.8</v>
      </c>
    </row>
    <row r="49" spans="1:39" ht="16.149999999999999" x14ac:dyDescent="0.55000000000000004">
      <c r="A49" s="17"/>
      <c r="B49" s="63"/>
      <c r="C49" s="63"/>
      <c r="G49" s="64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7"/>
      <c r="S49" s="67"/>
      <c r="T49" s="67"/>
      <c r="AC49" s="131" t="s">
        <v>47</v>
      </c>
      <c r="AD49" s="6"/>
      <c r="AE49" s="6"/>
      <c r="AF49" s="6"/>
      <c r="AG49" s="6"/>
      <c r="AH49" s="6"/>
      <c r="AI49" s="42" t="s">
        <v>30</v>
      </c>
      <c r="AJ49" s="10" t="s">
        <v>48</v>
      </c>
      <c r="AK49" s="52">
        <v>13</v>
      </c>
      <c r="AL49" s="52">
        <v>14.5</v>
      </c>
      <c r="AM49" s="132">
        <v>17</v>
      </c>
    </row>
    <row r="50" spans="1:39" ht="16.149999999999999" x14ac:dyDescent="0.55000000000000004">
      <c r="A50" s="17" t="s">
        <v>57</v>
      </c>
      <c r="B50" s="63"/>
      <c r="C50" s="63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7"/>
      <c r="S50" s="67"/>
      <c r="T50" s="67"/>
      <c r="AC50" s="131" t="s">
        <v>49</v>
      </c>
      <c r="AD50" s="6"/>
      <c r="AE50" s="6"/>
      <c r="AF50" s="6"/>
      <c r="AG50" s="6"/>
      <c r="AH50" s="6"/>
      <c r="AI50" s="42" t="s">
        <v>50</v>
      </c>
      <c r="AJ50" s="10" t="s">
        <v>51</v>
      </c>
      <c r="AK50" s="53">
        <v>9.25</v>
      </c>
      <c r="AL50" s="53">
        <v>9.5</v>
      </c>
      <c r="AM50" s="133">
        <v>9.75</v>
      </c>
    </row>
    <row r="51" spans="1:39" ht="16.149999999999999" thickBot="1" x14ac:dyDescent="0.55000000000000004">
      <c r="A51" s="63"/>
      <c r="B51" s="63" t="s">
        <v>58</v>
      </c>
      <c r="C51" s="63"/>
      <c r="G51" s="16" t="s">
        <v>23</v>
      </c>
      <c r="H51" s="69">
        <f t="shared" ref="H51:Q51" si="5">dem_RBL*(1+dem_g_PD)^H48</f>
        <v>5.5</v>
      </c>
      <c r="I51" s="69">
        <f t="shared" si="5"/>
        <v>5.9950000000000001</v>
      </c>
      <c r="J51" s="69">
        <f t="shared" si="5"/>
        <v>6.5345500000000012</v>
      </c>
      <c r="K51" s="69">
        <f t="shared" si="5"/>
        <v>7.122659500000001</v>
      </c>
      <c r="L51" s="69">
        <f t="shared" si="5"/>
        <v>7.7636988550000012</v>
      </c>
      <c r="M51" s="69">
        <f t="shared" si="5"/>
        <v>8.4624317519500032</v>
      </c>
      <c r="N51" s="69">
        <f t="shared" si="5"/>
        <v>9.2240506096255039</v>
      </c>
      <c r="O51" s="69">
        <f t="shared" si="5"/>
        <v>10.054215164491799</v>
      </c>
      <c r="P51" s="69">
        <f t="shared" si="5"/>
        <v>10.959094529296062</v>
      </c>
      <c r="Q51" s="69">
        <f t="shared" si="5"/>
        <v>11.945413036932708</v>
      </c>
      <c r="R51" s="67"/>
      <c r="S51" s="67"/>
      <c r="T51" s="67"/>
      <c r="AC51" s="134" t="s">
        <v>52</v>
      </c>
      <c r="AD51" s="135"/>
      <c r="AE51" s="135"/>
      <c r="AF51" s="135"/>
      <c r="AG51" s="135"/>
      <c r="AH51" s="135"/>
      <c r="AI51" s="136" t="s">
        <v>50</v>
      </c>
      <c r="AJ51" s="137" t="s">
        <v>53</v>
      </c>
      <c r="AK51" s="138">
        <v>9.75</v>
      </c>
      <c r="AL51" s="138">
        <v>10.75</v>
      </c>
      <c r="AM51" s="139">
        <v>11.5</v>
      </c>
    </row>
    <row r="52" spans="1:39" ht="15.75" x14ac:dyDescent="0.5">
      <c r="A52" s="63"/>
      <c r="B52" s="63" t="s">
        <v>59</v>
      </c>
      <c r="C52" s="63"/>
      <c r="G52" s="16" t="s">
        <v>23</v>
      </c>
      <c r="H52" s="69">
        <f t="shared" ref="H52:Q52" si="6">dem_RBL*mult_PD*(1+dem_g_PD)^H48</f>
        <v>9.9</v>
      </c>
      <c r="I52" s="69">
        <f t="shared" si="6"/>
        <v>10.791</v>
      </c>
      <c r="J52" s="69">
        <f t="shared" si="6"/>
        <v>11.762190000000002</v>
      </c>
      <c r="K52" s="69">
        <f t="shared" si="6"/>
        <v>12.820787100000002</v>
      </c>
      <c r="L52" s="69">
        <f t="shared" si="6"/>
        <v>13.974657939000004</v>
      </c>
      <c r="M52" s="69">
        <f t="shared" si="6"/>
        <v>15.232377153510006</v>
      </c>
      <c r="N52" s="69">
        <f t="shared" si="6"/>
        <v>16.603291097325908</v>
      </c>
      <c r="O52" s="69">
        <f t="shared" si="6"/>
        <v>18.097587296085237</v>
      </c>
      <c r="P52" s="69">
        <f t="shared" si="6"/>
        <v>19.726370152732912</v>
      </c>
      <c r="Q52" s="69">
        <f t="shared" si="6"/>
        <v>21.501743466478874</v>
      </c>
      <c r="R52" s="67"/>
      <c r="S52" s="67"/>
      <c r="T52" s="67"/>
    </row>
    <row r="53" spans="1:39" ht="15.75" x14ac:dyDescent="0.5">
      <c r="A53" s="63"/>
      <c r="B53" s="63" t="s">
        <v>60</v>
      </c>
      <c r="C53" s="63"/>
      <c r="G53" s="16" t="s">
        <v>23</v>
      </c>
      <c r="H53" s="70">
        <f t="shared" ref="H53:Q53" si="7">IF(strategy=1,prod_wo_exp,IF(strategy=4,prod_PuD,prod_w_exp))</f>
        <v>50</v>
      </c>
      <c r="I53" s="70">
        <f t="shared" si="7"/>
        <v>50</v>
      </c>
      <c r="J53" s="70">
        <f t="shared" si="7"/>
        <v>50</v>
      </c>
      <c r="K53" s="70">
        <f t="shared" si="7"/>
        <v>50</v>
      </c>
      <c r="L53" s="70">
        <f t="shared" si="7"/>
        <v>50</v>
      </c>
      <c r="M53" s="70">
        <f t="shared" si="7"/>
        <v>50</v>
      </c>
      <c r="N53" s="70">
        <f t="shared" si="7"/>
        <v>50</v>
      </c>
      <c r="O53" s="70">
        <f t="shared" si="7"/>
        <v>50</v>
      </c>
      <c r="P53" s="70">
        <f t="shared" si="7"/>
        <v>50</v>
      </c>
      <c r="Q53" s="70">
        <f t="shared" si="7"/>
        <v>50</v>
      </c>
      <c r="R53" s="67"/>
      <c r="S53" s="67"/>
      <c r="T53" s="67"/>
    </row>
    <row r="54" spans="1:39" ht="15.75" x14ac:dyDescent="0.5">
      <c r="A54" s="63"/>
      <c r="B54" s="63" t="s">
        <v>57</v>
      </c>
      <c r="C54" s="63"/>
      <c r="G54" s="16" t="s">
        <v>23</v>
      </c>
      <c r="H54" s="69">
        <f t="shared" ref="H54:Q54" si="8">MIN(IF(strategy&lt;=2,H51,H52),H53)</f>
        <v>9.9</v>
      </c>
      <c r="I54" s="69">
        <f t="shared" si="8"/>
        <v>10.791</v>
      </c>
      <c r="J54" s="69">
        <f t="shared" si="8"/>
        <v>11.762190000000002</v>
      </c>
      <c r="K54" s="69">
        <f t="shared" si="8"/>
        <v>12.820787100000002</v>
      </c>
      <c r="L54" s="69">
        <f t="shared" si="8"/>
        <v>13.974657939000004</v>
      </c>
      <c r="M54" s="69">
        <f t="shared" si="8"/>
        <v>15.232377153510006</v>
      </c>
      <c r="N54" s="69">
        <f t="shared" si="8"/>
        <v>16.603291097325908</v>
      </c>
      <c r="O54" s="69">
        <f t="shared" si="8"/>
        <v>18.097587296085237</v>
      </c>
      <c r="P54" s="69">
        <f t="shared" si="8"/>
        <v>19.726370152732912</v>
      </c>
      <c r="Q54" s="69">
        <f t="shared" si="8"/>
        <v>21.501743466478874</v>
      </c>
      <c r="R54" s="67"/>
      <c r="S54" s="67"/>
      <c r="T54" s="67"/>
    </row>
    <row r="55" spans="1:39" ht="15.75" x14ac:dyDescent="0.5">
      <c r="A55" s="63"/>
      <c r="B55" s="63"/>
      <c r="C55" s="63"/>
      <c r="G55" s="16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67"/>
      <c r="S55" s="67"/>
      <c r="T55" s="67"/>
    </row>
    <row r="56" spans="1:39" ht="16.149999999999999" x14ac:dyDescent="0.55000000000000004">
      <c r="A56" s="17" t="s">
        <v>61</v>
      </c>
      <c r="B56" s="72"/>
      <c r="C56" s="72"/>
      <c r="D56" s="6"/>
      <c r="E56" s="6"/>
      <c r="F56" s="6"/>
      <c r="G56" s="73" t="s">
        <v>30</v>
      </c>
      <c r="H56" s="74">
        <f t="shared" ref="H56:Q56" si="9">unit_rev*H54</f>
        <v>113.85000000000001</v>
      </c>
      <c r="I56" s="74">
        <f t="shared" si="9"/>
        <v>124.09650000000001</v>
      </c>
      <c r="J56" s="74">
        <f t="shared" si="9"/>
        <v>135.26518500000003</v>
      </c>
      <c r="K56" s="74">
        <f t="shared" si="9"/>
        <v>147.43905165000004</v>
      </c>
      <c r="L56" s="74">
        <f t="shared" si="9"/>
        <v>160.70856629850005</v>
      </c>
      <c r="M56" s="74">
        <f t="shared" si="9"/>
        <v>175.17233726536506</v>
      </c>
      <c r="N56" s="74">
        <f t="shared" si="9"/>
        <v>190.93784761924795</v>
      </c>
      <c r="O56" s="74">
        <f t="shared" si="9"/>
        <v>208.12225390498023</v>
      </c>
      <c r="P56" s="74">
        <f t="shared" si="9"/>
        <v>226.85325675642849</v>
      </c>
      <c r="Q56" s="74">
        <f t="shared" si="9"/>
        <v>247.27004986450706</v>
      </c>
      <c r="R56" s="67"/>
      <c r="S56" s="67"/>
      <c r="T56" s="67"/>
    </row>
    <row r="57" spans="1:39" ht="15.75" x14ac:dyDescent="0.5">
      <c r="A57" s="63"/>
      <c r="B57" s="72"/>
      <c r="C57" s="72"/>
      <c r="D57" s="6"/>
      <c r="E57" s="6"/>
      <c r="F57" s="6"/>
      <c r="G57" s="73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67"/>
      <c r="S57" s="67"/>
      <c r="T57" s="67"/>
    </row>
    <row r="58" spans="1:39" ht="16.149999999999999" x14ac:dyDescent="0.55000000000000004">
      <c r="A58" s="17" t="s">
        <v>62</v>
      </c>
      <c r="B58" s="72"/>
      <c r="C58" s="72"/>
      <c r="D58" s="6"/>
      <c r="E58" s="6"/>
      <c r="F58" s="6"/>
      <c r="G58" s="73" t="s">
        <v>30</v>
      </c>
      <c r="H58" s="74">
        <f t="shared" ref="H58:Q58" si="10">IF(strategy&lt;4,unit_prod,0)*H54</f>
        <v>0</v>
      </c>
      <c r="I58" s="74">
        <f t="shared" si="10"/>
        <v>0</v>
      </c>
      <c r="J58" s="74">
        <f t="shared" si="10"/>
        <v>0</v>
      </c>
      <c r="K58" s="74">
        <f t="shared" si="10"/>
        <v>0</v>
      </c>
      <c r="L58" s="74">
        <f t="shared" si="10"/>
        <v>0</v>
      </c>
      <c r="M58" s="74">
        <f t="shared" si="10"/>
        <v>0</v>
      </c>
      <c r="N58" s="74">
        <f t="shared" si="10"/>
        <v>0</v>
      </c>
      <c r="O58" s="74">
        <f t="shared" si="10"/>
        <v>0</v>
      </c>
      <c r="P58" s="74">
        <f t="shared" si="10"/>
        <v>0</v>
      </c>
      <c r="Q58" s="74">
        <f t="shared" si="10"/>
        <v>0</v>
      </c>
      <c r="R58" s="67"/>
      <c r="S58" s="67"/>
      <c r="T58" s="67"/>
    </row>
    <row r="59" spans="1:39" ht="15.75" x14ac:dyDescent="0.5">
      <c r="A59" s="63"/>
      <c r="B59" s="72"/>
      <c r="C59" s="72"/>
      <c r="D59" s="6"/>
      <c r="E59" s="6"/>
      <c r="F59" s="6"/>
      <c r="G59" s="7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67"/>
      <c r="S59" s="67"/>
      <c r="T59" s="67"/>
    </row>
    <row r="60" spans="1:39" ht="16.149999999999999" x14ac:dyDescent="0.55000000000000004">
      <c r="A60" s="17" t="s">
        <v>63</v>
      </c>
      <c r="B60" s="72"/>
      <c r="C60" s="72"/>
      <c r="D60" s="6"/>
      <c r="E60" s="6"/>
      <c r="F60" s="6"/>
      <c r="G60" s="73" t="s">
        <v>30</v>
      </c>
      <c r="H60" s="74">
        <f t="shared" ref="H60" si="11">IF(strategy=2,plant_const,0)</f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0</v>
      </c>
      <c r="Q60" s="74">
        <v>0</v>
      </c>
      <c r="R60" s="67"/>
      <c r="S60" s="67"/>
      <c r="T60" s="67"/>
    </row>
    <row r="61" spans="1:39" ht="15.75" x14ac:dyDescent="0.5">
      <c r="A61" s="72"/>
      <c r="B61" s="72"/>
      <c r="C61" s="72"/>
      <c r="D61" s="6"/>
      <c r="E61" s="6"/>
      <c r="F61" s="6"/>
      <c r="G61" s="73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67"/>
      <c r="S61" s="67"/>
      <c r="T61" s="67"/>
    </row>
    <row r="62" spans="1:39" ht="16.149999999999999" x14ac:dyDescent="0.55000000000000004">
      <c r="A62" s="75" t="s">
        <v>64</v>
      </c>
      <c r="B62" s="72"/>
      <c r="C62" s="72"/>
      <c r="D62" s="6"/>
      <c r="E62" s="6"/>
      <c r="F62" s="6"/>
      <c r="G62" s="73" t="s">
        <v>30</v>
      </c>
      <c r="H62" s="74">
        <f t="shared" ref="H62:Q62" si="12">IF(strategy=3,0.6*(H56-H58-H60),0)</f>
        <v>0</v>
      </c>
      <c r="I62" s="74">
        <f t="shared" si="12"/>
        <v>0</v>
      </c>
      <c r="J62" s="74">
        <f t="shared" si="12"/>
        <v>0</v>
      </c>
      <c r="K62" s="74">
        <f t="shared" si="12"/>
        <v>0</v>
      </c>
      <c r="L62" s="74">
        <f t="shared" si="12"/>
        <v>0</v>
      </c>
      <c r="M62" s="74">
        <f t="shared" si="12"/>
        <v>0</v>
      </c>
      <c r="N62" s="74">
        <f t="shared" si="12"/>
        <v>0</v>
      </c>
      <c r="O62" s="74">
        <f t="shared" si="12"/>
        <v>0</v>
      </c>
      <c r="P62" s="74">
        <f t="shared" si="12"/>
        <v>0</v>
      </c>
      <c r="Q62" s="74">
        <f t="shared" si="12"/>
        <v>0</v>
      </c>
      <c r="R62" s="67"/>
      <c r="S62" s="67"/>
      <c r="T62" s="67"/>
    </row>
    <row r="63" spans="1:39" ht="16.149999999999999" x14ac:dyDescent="0.55000000000000004">
      <c r="A63" s="75" t="s">
        <v>65</v>
      </c>
      <c r="B63" s="72"/>
      <c r="C63" s="72"/>
      <c r="D63" s="6"/>
      <c r="E63" s="6"/>
      <c r="F63" s="6"/>
      <c r="G63" s="73" t="s">
        <v>30</v>
      </c>
      <c r="H63" s="74">
        <f t="shared" ref="H63:Q63" si="13">IF(strategy=4,0.97,0)*H56</f>
        <v>110.4345</v>
      </c>
      <c r="I63" s="74">
        <f t="shared" si="13"/>
        <v>120.373605</v>
      </c>
      <c r="J63" s="74">
        <f t="shared" si="13"/>
        <v>131.20722945000003</v>
      </c>
      <c r="K63" s="74">
        <f t="shared" si="13"/>
        <v>143.01588010050003</v>
      </c>
      <c r="L63" s="74">
        <f t="shared" si="13"/>
        <v>155.88730930954503</v>
      </c>
      <c r="M63" s="74">
        <f t="shared" si="13"/>
        <v>169.91716714740411</v>
      </c>
      <c r="N63" s="74">
        <f t="shared" si="13"/>
        <v>185.2097121906705</v>
      </c>
      <c r="O63" s="74">
        <f t="shared" si="13"/>
        <v>201.87858628783081</v>
      </c>
      <c r="P63" s="74">
        <f t="shared" si="13"/>
        <v>220.04765905373563</v>
      </c>
      <c r="Q63" s="74">
        <f t="shared" si="13"/>
        <v>239.85194836857184</v>
      </c>
      <c r="R63" s="67"/>
      <c r="S63" s="67"/>
      <c r="T63" s="67"/>
    </row>
    <row r="64" spans="1:39" ht="15.75" x14ac:dyDescent="0.5">
      <c r="A64" s="72"/>
      <c r="B64" s="72"/>
      <c r="C64" s="72"/>
      <c r="D64" s="6"/>
      <c r="E64" s="6"/>
      <c r="F64" s="6"/>
      <c r="G64" s="73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67"/>
      <c r="S64" s="67"/>
      <c r="T64" s="67"/>
    </row>
    <row r="65" spans="1:20" ht="16.149999999999999" x14ac:dyDescent="0.55000000000000004">
      <c r="A65" s="75" t="s">
        <v>66</v>
      </c>
      <c r="B65" s="72"/>
      <c r="C65" s="72"/>
      <c r="D65" s="6"/>
      <c r="E65" s="6"/>
      <c r="F65" s="6"/>
      <c r="G65" s="73" t="s">
        <v>30</v>
      </c>
      <c r="H65" s="74">
        <f>H56-(SUM(H58:H63))</f>
        <v>3.4155000000000086</v>
      </c>
      <c r="I65" s="74">
        <f t="shared" ref="I65:Q65" si="14">I56-(SUM(I58:I63))</f>
        <v>3.7228950000000083</v>
      </c>
      <c r="J65" s="74">
        <f t="shared" si="14"/>
        <v>4.0579555500000026</v>
      </c>
      <c r="K65" s="74">
        <f t="shared" si="14"/>
        <v>4.4231715495000117</v>
      </c>
      <c r="L65" s="74">
        <f t="shared" si="14"/>
        <v>4.8212569889550139</v>
      </c>
      <c r="M65" s="74">
        <f t="shared" si="14"/>
        <v>5.2551701179609438</v>
      </c>
      <c r="N65" s="74">
        <f t="shared" si="14"/>
        <v>5.7281354285774455</v>
      </c>
      <c r="O65" s="74">
        <f t="shared" si="14"/>
        <v>6.2436676171494128</v>
      </c>
      <c r="P65" s="74">
        <f t="shared" si="14"/>
        <v>6.8055977026928645</v>
      </c>
      <c r="Q65" s="74">
        <f t="shared" si="14"/>
        <v>7.4181014959352183</v>
      </c>
      <c r="R65" s="67"/>
      <c r="S65" s="67"/>
      <c r="T65" s="67"/>
    </row>
    <row r="66" spans="1:20" ht="15.75" x14ac:dyDescent="0.5">
      <c r="A66" s="72"/>
      <c r="B66" s="72"/>
      <c r="C66" s="72"/>
      <c r="D66" s="6"/>
      <c r="E66" s="6"/>
      <c r="F66" s="6"/>
      <c r="G66" s="73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67"/>
      <c r="S66" s="67"/>
      <c r="T66" s="67"/>
    </row>
    <row r="67" spans="1:20" ht="16.149999999999999" x14ac:dyDescent="0.55000000000000004">
      <c r="A67" s="75" t="s">
        <v>67</v>
      </c>
      <c r="B67" s="72"/>
      <c r="C67" s="72"/>
      <c r="D67" s="6"/>
      <c r="E67" s="6"/>
      <c r="F67" s="6"/>
      <c r="G67" s="73" t="s">
        <v>30</v>
      </c>
      <c r="H67" s="74">
        <f t="shared" ref="H67:Q67" si="15">tax_rate*H65</f>
        <v>1.2978900000000033</v>
      </c>
      <c r="I67" s="74">
        <f t="shared" si="15"/>
        <v>1.4147001000000032</v>
      </c>
      <c r="J67" s="74">
        <f t="shared" si="15"/>
        <v>1.5420231090000009</v>
      </c>
      <c r="K67" s="74">
        <f t="shared" si="15"/>
        <v>1.6808051888100044</v>
      </c>
      <c r="L67" s="74">
        <f t="shared" si="15"/>
        <v>1.8320776558029053</v>
      </c>
      <c r="M67" s="74">
        <f t="shared" si="15"/>
        <v>1.9969646448251586</v>
      </c>
      <c r="N67" s="74">
        <f t="shared" si="15"/>
        <v>2.1766914628594294</v>
      </c>
      <c r="O67" s="74">
        <f t="shared" si="15"/>
        <v>2.3725936945167767</v>
      </c>
      <c r="P67" s="74">
        <f t="shared" si="15"/>
        <v>2.5861271270232886</v>
      </c>
      <c r="Q67" s="74">
        <f t="shared" si="15"/>
        <v>2.818878568455383</v>
      </c>
      <c r="R67" s="67"/>
      <c r="S67" s="67"/>
      <c r="T67" s="67"/>
    </row>
    <row r="68" spans="1:20" ht="16.149999999999999" x14ac:dyDescent="0.55000000000000004">
      <c r="A68" s="75" t="s">
        <v>68</v>
      </c>
      <c r="B68" s="72"/>
      <c r="C68" s="72"/>
      <c r="D68" s="6"/>
      <c r="E68" s="6"/>
      <c r="F68" s="6"/>
      <c r="G68" s="73" t="s">
        <v>30</v>
      </c>
      <c r="H68" s="74">
        <f>IF(H67&lt;0,H67*-1,0)</f>
        <v>0</v>
      </c>
      <c r="I68" s="74">
        <f>MAX(H68-I67,0)</f>
        <v>0</v>
      </c>
      <c r="J68" s="74">
        <f t="shared" ref="J68:Q68" si="16">MAX(I68-J67,0)</f>
        <v>0</v>
      </c>
      <c r="K68" s="74">
        <f t="shared" si="16"/>
        <v>0</v>
      </c>
      <c r="L68" s="74">
        <f t="shared" si="16"/>
        <v>0</v>
      </c>
      <c r="M68" s="74">
        <f t="shared" si="16"/>
        <v>0</v>
      </c>
      <c r="N68" s="74">
        <f t="shared" si="16"/>
        <v>0</v>
      </c>
      <c r="O68" s="74">
        <f t="shared" si="16"/>
        <v>0</v>
      </c>
      <c r="P68" s="74">
        <f t="shared" si="16"/>
        <v>0</v>
      </c>
      <c r="Q68" s="74">
        <f t="shared" si="16"/>
        <v>0</v>
      </c>
      <c r="R68" s="67"/>
      <c r="S68" s="67"/>
      <c r="T68" s="67"/>
    </row>
    <row r="69" spans="1:20" ht="16.149999999999999" x14ac:dyDescent="0.55000000000000004">
      <c r="A69" s="75" t="s">
        <v>69</v>
      </c>
      <c r="B69" s="72"/>
      <c r="C69" s="72"/>
      <c r="D69" s="6"/>
      <c r="E69" s="6"/>
      <c r="F69" s="6"/>
      <c r="G69" s="73" t="s">
        <v>30</v>
      </c>
      <c r="H69" s="74">
        <f>IF(H67&lt;0,0,H67)</f>
        <v>1.2978900000000033</v>
      </c>
      <c r="I69" s="74">
        <f>MAX(I67-H68,0)</f>
        <v>1.4147001000000032</v>
      </c>
      <c r="J69" s="74">
        <f t="shared" ref="J69:Q69" si="17">MAX(J67-I68,0)</f>
        <v>1.5420231090000009</v>
      </c>
      <c r="K69" s="74">
        <f t="shared" si="17"/>
        <v>1.6808051888100044</v>
      </c>
      <c r="L69" s="74">
        <f t="shared" si="17"/>
        <v>1.8320776558029053</v>
      </c>
      <c r="M69" s="74">
        <f t="shared" si="17"/>
        <v>1.9969646448251586</v>
      </c>
      <c r="N69" s="74">
        <f t="shared" si="17"/>
        <v>2.1766914628594294</v>
      </c>
      <c r="O69" s="74">
        <f t="shared" si="17"/>
        <v>2.3725936945167767</v>
      </c>
      <c r="P69" s="74">
        <f t="shared" si="17"/>
        <v>2.5861271270232886</v>
      </c>
      <c r="Q69" s="74">
        <f t="shared" si="17"/>
        <v>2.818878568455383</v>
      </c>
      <c r="R69" s="67"/>
      <c r="S69" s="67"/>
      <c r="T69" s="67"/>
    </row>
    <row r="70" spans="1:20" ht="15.75" x14ac:dyDescent="0.5">
      <c r="A70" s="72"/>
      <c r="B70" s="72"/>
      <c r="C70" s="72"/>
      <c r="D70" s="6"/>
      <c r="E70" s="6"/>
      <c r="F70" s="6"/>
      <c r="G70" s="73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6"/>
      <c r="S70" s="76"/>
      <c r="T70" s="76"/>
    </row>
    <row r="71" spans="1:20" ht="16.149999999999999" x14ac:dyDescent="0.55000000000000004">
      <c r="A71" s="75" t="s">
        <v>70</v>
      </c>
      <c r="B71" s="6"/>
      <c r="C71" s="6"/>
      <c r="D71" s="6"/>
      <c r="E71" s="6"/>
      <c r="F71" s="6"/>
      <c r="G71" s="73" t="s">
        <v>30</v>
      </c>
      <c r="H71" s="77">
        <f>H65-H69</f>
        <v>2.1176100000000053</v>
      </c>
      <c r="I71" s="77">
        <f t="shared" ref="I71:Q71" si="18">I65-I69</f>
        <v>2.308194900000005</v>
      </c>
      <c r="J71" s="77">
        <f t="shared" si="18"/>
        <v>2.5159324410000017</v>
      </c>
      <c r="K71" s="77">
        <f t="shared" si="18"/>
        <v>2.7423663606900073</v>
      </c>
      <c r="L71" s="77">
        <f t="shared" si="18"/>
        <v>2.9891793331521086</v>
      </c>
      <c r="M71" s="77">
        <f t="shared" si="18"/>
        <v>3.258205473135785</v>
      </c>
      <c r="N71" s="77">
        <f t="shared" si="18"/>
        <v>3.5514439657180161</v>
      </c>
      <c r="O71" s="77">
        <f t="shared" si="18"/>
        <v>3.8710739226326361</v>
      </c>
      <c r="P71" s="77">
        <f t="shared" si="18"/>
        <v>4.2194705756695754</v>
      </c>
      <c r="Q71" s="77">
        <f t="shared" si="18"/>
        <v>4.5992229274798353</v>
      </c>
      <c r="R71" s="78"/>
      <c r="S71" s="78"/>
      <c r="T71" s="78"/>
    </row>
    <row r="72" spans="1:20" ht="16.149999999999999" x14ac:dyDescent="0.55000000000000004">
      <c r="A72" s="75" t="s">
        <v>71</v>
      </c>
      <c r="B72" s="6"/>
      <c r="C72" s="6"/>
      <c r="D72" s="6"/>
      <c r="E72" s="6"/>
      <c r="F72" s="6"/>
      <c r="G72" s="73" t="s">
        <v>30</v>
      </c>
      <c r="H72" s="77">
        <f t="shared" ref="H72:Q72" si="19">H71/(1+discount_rate)^H48</f>
        <v>2.1176100000000053</v>
      </c>
      <c r="I72" s="77">
        <f t="shared" si="19"/>
        <v>2.1372175000000047</v>
      </c>
      <c r="J72" s="77">
        <f t="shared" si="19"/>
        <v>2.1570065509259271</v>
      </c>
      <c r="K72" s="77">
        <f t="shared" si="19"/>
        <v>2.176978833804875</v>
      </c>
      <c r="L72" s="77">
        <f t="shared" si="19"/>
        <v>2.1971360452289947</v>
      </c>
      <c r="M72" s="77">
        <f t="shared" si="19"/>
        <v>2.2174798974996244</v>
      </c>
      <c r="N72" s="77">
        <f t="shared" si="19"/>
        <v>2.2380121187727755</v>
      </c>
      <c r="O72" s="77">
        <f t="shared" si="19"/>
        <v>2.2587344532058555</v>
      </c>
      <c r="P72" s="77">
        <f t="shared" si="19"/>
        <v>2.2796486611059112</v>
      </c>
      <c r="Q72" s="77">
        <f t="shared" si="19"/>
        <v>2.3007565190791128</v>
      </c>
      <c r="R72" s="78"/>
      <c r="S72" s="78"/>
      <c r="T72" s="78"/>
    </row>
    <row r="73" spans="1:20" ht="16.149999999999999" x14ac:dyDescent="0.55000000000000004">
      <c r="A73" s="75"/>
      <c r="B73" s="6"/>
      <c r="C73" s="6"/>
      <c r="D73" s="6"/>
      <c r="E73" s="6"/>
      <c r="F73" s="6"/>
      <c r="G73" s="73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8"/>
      <c r="S73" s="78"/>
      <c r="T73" s="78"/>
    </row>
    <row r="74" spans="1:20" x14ac:dyDescent="0.45">
      <c r="A74" s="6"/>
      <c r="B74" s="6"/>
      <c r="C74" s="6"/>
      <c r="D74" s="6"/>
      <c r="E74" s="6"/>
      <c r="F74" s="6"/>
      <c r="G74" s="6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</row>
    <row r="75" spans="1:20" ht="16.149999999999999" x14ac:dyDescent="0.55000000000000004">
      <c r="A75" s="75" t="s">
        <v>72</v>
      </c>
      <c r="B75" s="72"/>
      <c r="C75" s="72"/>
      <c r="D75" s="6"/>
      <c r="E75" s="6"/>
      <c r="F75" s="6"/>
      <c r="G75" s="73" t="s">
        <v>73</v>
      </c>
      <c r="H75" s="79">
        <f>SUM(H72:Q72)</f>
        <v>22.080580579623085</v>
      </c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</row>
    <row r="76" spans="1:20" x14ac:dyDescent="0.45">
      <c r="A76" s="6"/>
      <c r="B76" s="6"/>
      <c r="C76" s="6"/>
      <c r="D76" s="6"/>
      <c r="E76" s="6"/>
      <c r="F76" s="6"/>
      <c r="G76" s="6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</row>
    <row r="77" spans="1:20" x14ac:dyDescent="0.45">
      <c r="A77" s="6" t="s">
        <v>74</v>
      </c>
      <c r="B77" s="6"/>
      <c r="C77" s="6"/>
      <c r="D77" s="6"/>
      <c r="E77" s="6"/>
      <c r="F77" s="6"/>
      <c r="G77" s="6"/>
      <c r="H77" s="81">
        <f>-EXP(-H75/risk_tol)</f>
        <v>-0.47901692285023123</v>
      </c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</row>
    <row r="78" spans="1:20" x14ac:dyDescent="0.45">
      <c r="A78" s="6"/>
      <c r="B78" s="6"/>
      <c r="C78" s="6"/>
      <c r="D78" s="6"/>
      <c r="E78" s="6"/>
      <c r="F78" s="6"/>
      <c r="G78" s="6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</row>
    <row r="79" spans="1:20" x14ac:dyDescent="0.45">
      <c r="A79" s="6"/>
      <c r="B79" s="6"/>
      <c r="C79" s="6"/>
      <c r="D79" s="6"/>
      <c r="E79" s="6"/>
      <c r="F79" s="6"/>
      <c r="G79" s="10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</row>
    <row r="80" spans="1:20" x14ac:dyDescent="0.45">
      <c r="A80" s="6"/>
      <c r="B80" s="6"/>
      <c r="C80" s="6"/>
      <c r="D80" s="6"/>
      <c r="E80" s="6"/>
      <c r="F80" s="6"/>
      <c r="G80" s="6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</row>
    <row r="81" spans="1:20" x14ac:dyDescent="0.45">
      <c r="A81" s="6"/>
      <c r="B81" s="6"/>
      <c r="C81" s="6"/>
      <c r="D81" s="6"/>
      <c r="E81" s="6"/>
      <c r="F81" s="6"/>
      <c r="G81" s="6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</row>
    <row r="82" spans="1:20" x14ac:dyDescent="0.45">
      <c r="A82" s="6"/>
      <c r="B82" s="83"/>
      <c r="C82" s="6"/>
      <c r="D82" s="6"/>
      <c r="E82" s="6"/>
      <c r="F82" s="6"/>
      <c r="G82" s="6"/>
      <c r="H82" s="84"/>
      <c r="I82" s="84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</row>
    <row r="83" spans="1:20" x14ac:dyDescent="0.45">
      <c r="A83" s="83"/>
      <c r="B83" s="6"/>
      <c r="C83" s="6"/>
      <c r="D83" s="6"/>
      <c r="E83" s="6"/>
      <c r="F83" s="6"/>
      <c r="G83" s="6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</row>
    <row r="84" spans="1:20" x14ac:dyDescent="0.45">
      <c r="A84" s="6"/>
      <c r="B84" s="6"/>
      <c r="C84" s="6"/>
      <c r="D84" s="6"/>
      <c r="E84" s="6"/>
      <c r="F84" s="6"/>
      <c r="G84" s="6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</row>
    <row r="85" spans="1:20" x14ac:dyDescent="0.45">
      <c r="A85" s="6"/>
      <c r="B85" s="6"/>
      <c r="C85" s="6"/>
      <c r="D85" s="6"/>
      <c r="E85" s="6"/>
      <c r="F85" s="6"/>
      <c r="G85" s="6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</row>
    <row r="86" spans="1:20" x14ac:dyDescent="0.45">
      <c r="A86" s="6"/>
      <c r="B86" s="86"/>
      <c r="C86" s="6"/>
      <c r="D86" s="6"/>
      <c r="E86" s="6"/>
      <c r="F86" s="6"/>
      <c r="G86" s="6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</row>
    <row r="87" spans="1:20" x14ac:dyDescent="0.45">
      <c r="A87" s="6"/>
      <c r="B87" s="86"/>
      <c r="C87" s="6"/>
      <c r="D87" s="6"/>
      <c r="E87" s="6"/>
      <c r="F87" s="6"/>
      <c r="G87" s="6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</row>
    <row r="88" spans="1:20" x14ac:dyDescent="0.45">
      <c r="A88" s="6"/>
      <c r="B88" s="86"/>
      <c r="C88" s="6"/>
      <c r="D88" s="6"/>
      <c r="E88" s="6"/>
      <c r="F88" s="6"/>
      <c r="G88" s="6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</row>
    <row r="89" spans="1:20" x14ac:dyDescent="0.45">
      <c r="A89" s="6"/>
      <c r="B89" s="6"/>
      <c r="C89" s="6"/>
      <c r="D89" s="6"/>
      <c r="E89" s="6"/>
      <c r="F89" s="6"/>
      <c r="G89" s="6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</row>
    <row r="90" spans="1:20" x14ac:dyDescent="0.45">
      <c r="A90" s="6"/>
      <c r="B90" s="6"/>
      <c r="C90" s="6"/>
      <c r="D90" s="6"/>
      <c r="E90" s="6"/>
      <c r="F90" s="6"/>
      <c r="G90" s="6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</row>
    <row r="91" spans="1:20" x14ac:dyDescent="0.45">
      <c r="A91" s="6"/>
      <c r="B91" s="6"/>
      <c r="C91" s="6"/>
      <c r="D91" s="6"/>
      <c r="E91" s="6"/>
      <c r="F91" s="6"/>
      <c r="G91" s="6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</row>
    <row r="92" spans="1:20" x14ac:dyDescent="0.45">
      <c r="A92" s="6"/>
      <c r="B92" s="6"/>
      <c r="C92" s="6"/>
      <c r="D92" s="6"/>
      <c r="E92" s="6"/>
      <c r="F92" s="6"/>
      <c r="G92" s="87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</row>
    <row r="93" spans="1:20" x14ac:dyDescent="0.45">
      <c r="A93" s="6"/>
      <c r="B93" s="6"/>
      <c r="C93" s="6"/>
      <c r="D93" s="6"/>
      <c r="E93" s="6"/>
      <c r="F93" s="6"/>
      <c r="G93" s="6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</row>
    <row r="94" spans="1:20" x14ac:dyDescent="0.45">
      <c r="A94" s="6"/>
      <c r="B94" s="6"/>
      <c r="C94" s="6"/>
      <c r="D94" s="6"/>
      <c r="E94" s="6"/>
      <c r="F94" s="6"/>
      <c r="G94" s="6"/>
      <c r="H94" s="78"/>
      <c r="I94" s="8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</row>
    <row r="95" spans="1:20" x14ac:dyDescent="0.45">
      <c r="A95" s="6"/>
      <c r="B95" s="6"/>
      <c r="C95" s="6"/>
      <c r="D95" s="6"/>
      <c r="E95" s="6"/>
      <c r="F95" s="6"/>
      <c r="G95" s="6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</row>
    <row r="96" spans="1:20" x14ac:dyDescent="0.45">
      <c r="A96" s="83"/>
      <c r="B96" s="6"/>
      <c r="C96" s="6"/>
      <c r="D96" s="6"/>
      <c r="E96" s="6"/>
      <c r="F96" s="6"/>
      <c r="G96" s="6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</row>
    <row r="97" spans="1:20" x14ac:dyDescent="0.45">
      <c r="A97" s="5"/>
      <c r="B97" s="6"/>
      <c r="C97" s="6"/>
      <c r="D97" s="6"/>
      <c r="E97" s="6"/>
      <c r="F97" s="6"/>
      <c r="G97" s="6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</row>
    <row r="98" spans="1:20" x14ac:dyDescent="0.45">
      <c r="A98" s="6"/>
      <c r="B98" s="83"/>
      <c r="C98" s="6"/>
      <c r="D98" s="6"/>
      <c r="E98" s="6"/>
      <c r="F98" s="6"/>
      <c r="G98" s="6"/>
      <c r="H98" s="84"/>
      <c r="I98" s="84"/>
      <c r="J98" s="84"/>
      <c r="K98" s="82"/>
      <c r="L98" s="82"/>
      <c r="M98" s="82"/>
      <c r="N98" s="82"/>
      <c r="O98" s="82"/>
      <c r="P98" s="82"/>
      <c r="Q98" s="82"/>
      <c r="R98" s="82"/>
      <c r="S98" s="82"/>
      <c r="T98" s="82"/>
    </row>
    <row r="99" spans="1:20" x14ac:dyDescent="0.45">
      <c r="A99" s="83"/>
      <c r="B99" s="6"/>
      <c r="C99" s="6"/>
      <c r="D99" s="6"/>
      <c r="E99" s="6"/>
      <c r="F99" s="6"/>
      <c r="G99" s="6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</row>
    <row r="100" spans="1:20" x14ac:dyDescent="0.45">
      <c r="A100" s="83"/>
      <c r="B100" s="6"/>
      <c r="C100" s="6"/>
      <c r="D100" s="6"/>
      <c r="E100" s="6"/>
      <c r="F100" s="6"/>
      <c r="G100" s="6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</row>
    <row r="101" spans="1:20" x14ac:dyDescent="0.45">
      <c r="A101" s="6"/>
      <c r="B101" s="6"/>
      <c r="C101" s="6"/>
      <c r="D101" s="6"/>
      <c r="E101" s="6"/>
      <c r="F101" s="6"/>
      <c r="G101" s="89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</row>
    <row r="102" spans="1:20" x14ac:dyDescent="0.45">
      <c r="A102" s="6"/>
      <c r="B102" s="6"/>
      <c r="C102" s="6"/>
      <c r="D102" s="6"/>
      <c r="E102" s="6"/>
      <c r="F102" s="6"/>
      <c r="G102" s="6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</row>
    <row r="103" spans="1:20" x14ac:dyDescent="0.45">
      <c r="A103" s="6"/>
      <c r="B103" s="6"/>
      <c r="C103" s="6"/>
      <c r="D103" s="6"/>
      <c r="E103" s="6"/>
      <c r="F103" s="6"/>
      <c r="G103" s="6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</row>
    <row r="104" spans="1:20" x14ac:dyDescent="0.45">
      <c r="A104" s="6"/>
      <c r="B104" s="6"/>
      <c r="C104" s="6"/>
      <c r="D104" s="6"/>
      <c r="E104" s="6"/>
      <c r="F104" s="6"/>
      <c r="G104" s="6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</row>
    <row r="105" spans="1:20" x14ac:dyDescent="0.45">
      <c r="A105" s="6"/>
      <c r="B105" s="6"/>
      <c r="C105" s="6"/>
      <c r="D105" s="6"/>
      <c r="E105" s="6"/>
      <c r="F105" s="6"/>
      <c r="G105" s="6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</row>
    <row r="106" spans="1:20" x14ac:dyDescent="0.45">
      <c r="A106" s="6"/>
      <c r="B106" s="6"/>
      <c r="C106" s="6"/>
      <c r="D106" s="6"/>
      <c r="E106" s="6"/>
      <c r="F106" s="6"/>
      <c r="G106" s="6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</row>
    <row r="107" spans="1:20" x14ac:dyDescent="0.45">
      <c r="A107" s="6"/>
      <c r="B107" s="6"/>
      <c r="C107" s="6"/>
      <c r="D107" s="6"/>
      <c r="E107" s="6"/>
      <c r="F107" s="6"/>
      <c r="G107" s="6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</row>
    <row r="108" spans="1:20" x14ac:dyDescent="0.45">
      <c r="A108" s="6"/>
      <c r="B108" s="6"/>
      <c r="C108" s="6"/>
      <c r="D108" s="6"/>
      <c r="E108" s="6"/>
      <c r="F108" s="6"/>
      <c r="G108" s="6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</row>
    <row r="109" spans="1:20" x14ac:dyDescent="0.45">
      <c r="A109" s="6"/>
      <c r="B109" s="6"/>
      <c r="C109" s="6"/>
      <c r="D109" s="6"/>
      <c r="E109" s="6"/>
      <c r="F109" s="6"/>
      <c r="G109" s="6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82"/>
    </row>
    <row r="110" spans="1:20" x14ac:dyDescent="0.45">
      <c r="A110" s="6"/>
      <c r="B110" s="6"/>
      <c r="C110" s="6"/>
      <c r="D110" s="6"/>
      <c r="E110" s="6"/>
      <c r="F110" s="6"/>
      <c r="G110" s="6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82"/>
    </row>
    <row r="111" spans="1:20" x14ac:dyDescent="0.45">
      <c r="A111" s="6"/>
      <c r="B111" s="6"/>
      <c r="C111" s="6"/>
      <c r="D111" s="6"/>
      <c r="E111" s="6"/>
      <c r="F111" s="6"/>
      <c r="G111" s="6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</row>
    <row r="112" spans="1:20" x14ac:dyDescent="0.45">
      <c r="A112" s="6"/>
      <c r="B112" s="6"/>
      <c r="C112" s="6"/>
      <c r="D112" s="6"/>
      <c r="E112" s="6"/>
      <c r="F112" s="6"/>
      <c r="G112" s="6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</row>
    <row r="113" spans="1:20" x14ac:dyDescent="0.45">
      <c r="A113" s="6"/>
      <c r="B113" s="6"/>
      <c r="C113" s="6"/>
      <c r="D113" s="6"/>
      <c r="E113" s="6"/>
      <c r="F113" s="6"/>
      <c r="G113" s="6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</row>
    <row r="114" spans="1:20" x14ac:dyDescent="0.45">
      <c r="A114" s="6"/>
      <c r="B114" s="6"/>
      <c r="C114" s="6"/>
      <c r="D114" s="6"/>
      <c r="E114" s="6"/>
      <c r="F114" s="6"/>
      <c r="G114" s="6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</row>
    <row r="115" spans="1:20" x14ac:dyDescent="0.45">
      <c r="A115" s="6"/>
      <c r="B115" s="6"/>
      <c r="C115" s="6"/>
      <c r="D115" s="6"/>
      <c r="E115" s="6"/>
      <c r="F115" s="6"/>
      <c r="G115" s="6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</row>
    <row r="116" spans="1:20" x14ac:dyDescent="0.45">
      <c r="A116" s="6"/>
      <c r="B116" s="6"/>
      <c r="C116" s="6"/>
      <c r="D116" s="6"/>
      <c r="E116" s="6"/>
      <c r="F116" s="6"/>
      <c r="G116" s="6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</row>
    <row r="117" spans="1:20" x14ac:dyDescent="0.45">
      <c r="A117" s="6"/>
      <c r="B117" s="6"/>
      <c r="C117" s="6"/>
      <c r="D117" s="6"/>
      <c r="E117" s="6"/>
      <c r="F117" s="6"/>
      <c r="G117" s="6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</row>
    <row r="118" spans="1:20" x14ac:dyDescent="0.45">
      <c r="A118" s="6"/>
      <c r="B118" s="6"/>
      <c r="C118" s="6"/>
      <c r="D118" s="6"/>
      <c r="E118" s="6"/>
      <c r="F118" s="6"/>
      <c r="G118" s="6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82"/>
    </row>
    <row r="119" spans="1:20" x14ac:dyDescent="0.45">
      <c r="A119" s="6"/>
      <c r="B119" s="6"/>
      <c r="C119" s="6"/>
      <c r="D119" s="6"/>
      <c r="E119" s="6"/>
      <c r="F119" s="6"/>
      <c r="G119" s="10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</row>
    <row r="120" spans="1:20" x14ac:dyDescent="0.45">
      <c r="A120" s="6"/>
      <c r="B120" s="6"/>
      <c r="C120" s="6"/>
      <c r="D120" s="6"/>
      <c r="E120" s="6"/>
      <c r="F120" s="6"/>
      <c r="G120" s="6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2"/>
      <c r="T120" s="82"/>
    </row>
    <row r="121" spans="1:20" x14ac:dyDescent="0.45">
      <c r="A121" s="6"/>
      <c r="B121" s="6"/>
      <c r="C121" s="6"/>
      <c r="D121" s="6"/>
      <c r="E121" s="6"/>
      <c r="F121" s="6"/>
      <c r="G121" s="6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</row>
    <row r="122" spans="1:20" x14ac:dyDescent="0.45">
      <c r="A122" s="6"/>
      <c r="B122" s="83"/>
      <c r="C122" s="6"/>
      <c r="D122" s="6"/>
      <c r="E122" s="6"/>
      <c r="F122" s="6"/>
      <c r="G122" s="6"/>
      <c r="H122" s="84"/>
      <c r="I122" s="84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</row>
    <row r="123" spans="1:20" x14ac:dyDescent="0.45">
      <c r="A123" s="83"/>
      <c r="B123" s="6"/>
      <c r="C123" s="6"/>
      <c r="D123" s="6"/>
      <c r="E123" s="6"/>
      <c r="F123" s="6"/>
      <c r="G123" s="6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</row>
    <row r="124" spans="1:20" x14ac:dyDescent="0.45">
      <c r="A124" s="6"/>
      <c r="B124" s="6"/>
      <c r="C124" s="6"/>
      <c r="D124" s="6"/>
      <c r="E124" s="6"/>
      <c r="F124" s="6"/>
      <c r="G124" s="6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</row>
    <row r="125" spans="1:20" x14ac:dyDescent="0.45">
      <c r="A125" s="6"/>
      <c r="B125" s="6"/>
      <c r="C125" s="6"/>
      <c r="D125" s="6"/>
      <c r="E125" s="6"/>
      <c r="F125" s="6"/>
      <c r="G125" s="6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</row>
    <row r="126" spans="1:20" x14ac:dyDescent="0.45">
      <c r="A126" s="6"/>
      <c r="B126" s="86"/>
      <c r="C126" s="6"/>
      <c r="D126" s="6"/>
      <c r="E126" s="6"/>
      <c r="F126" s="6"/>
      <c r="G126" s="6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</row>
    <row r="127" spans="1:20" x14ac:dyDescent="0.45">
      <c r="A127" s="6"/>
      <c r="B127" s="86"/>
      <c r="C127" s="6"/>
      <c r="D127" s="6"/>
      <c r="E127" s="6"/>
      <c r="F127" s="6"/>
      <c r="G127" s="6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</row>
    <row r="128" spans="1:20" x14ac:dyDescent="0.45">
      <c r="A128" s="6"/>
      <c r="B128" s="86"/>
      <c r="C128" s="6"/>
      <c r="D128" s="6"/>
      <c r="E128" s="6"/>
      <c r="F128" s="6"/>
      <c r="G128" s="6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</row>
    <row r="129" spans="1:20" x14ac:dyDescent="0.45">
      <c r="A129" s="6"/>
      <c r="B129" s="6"/>
      <c r="C129" s="6"/>
      <c r="D129" s="6"/>
      <c r="E129" s="6"/>
      <c r="F129" s="6"/>
      <c r="G129" s="6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</row>
    <row r="130" spans="1:20" x14ac:dyDescent="0.45">
      <c r="A130" s="6"/>
      <c r="B130" s="6"/>
      <c r="C130" s="6"/>
      <c r="D130" s="6"/>
      <c r="E130" s="6"/>
      <c r="F130" s="6"/>
      <c r="G130" s="6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</row>
    <row r="131" spans="1:20" x14ac:dyDescent="0.45">
      <c r="A131" s="6"/>
      <c r="B131" s="6"/>
      <c r="C131" s="6"/>
      <c r="D131" s="6"/>
      <c r="E131" s="6"/>
      <c r="F131" s="6"/>
      <c r="G131" s="6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</row>
    <row r="132" spans="1:20" x14ac:dyDescent="0.45">
      <c r="A132" s="6"/>
      <c r="B132" s="6"/>
      <c r="C132" s="6"/>
      <c r="D132" s="6"/>
      <c r="E132" s="6"/>
      <c r="F132" s="6"/>
      <c r="G132" s="87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</row>
    <row r="133" spans="1:20" x14ac:dyDescent="0.45">
      <c r="A133" s="6"/>
      <c r="B133" s="6"/>
      <c r="C133" s="6"/>
      <c r="D133" s="6"/>
      <c r="E133" s="6"/>
      <c r="F133" s="6"/>
      <c r="G133" s="6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</row>
    <row r="134" spans="1:20" x14ac:dyDescent="0.45">
      <c r="A134" s="6"/>
      <c r="B134" s="6"/>
      <c r="C134" s="6"/>
      <c r="D134" s="6"/>
      <c r="E134" s="6"/>
      <c r="F134" s="6"/>
      <c r="G134" s="6"/>
      <c r="H134" s="78"/>
      <c r="I134" s="8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</row>
    <row r="135" spans="1:20" x14ac:dyDescent="0.45">
      <c r="A135" s="6"/>
      <c r="B135" s="6"/>
      <c r="C135" s="6"/>
      <c r="D135" s="6"/>
      <c r="E135" s="6"/>
      <c r="F135" s="6"/>
      <c r="G135" s="6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</row>
    <row r="136" spans="1:20" x14ac:dyDescent="0.45">
      <c r="A136" s="83"/>
      <c r="B136" s="6"/>
      <c r="C136" s="6"/>
      <c r="D136" s="6"/>
      <c r="E136" s="6"/>
      <c r="F136" s="6"/>
      <c r="G136" s="6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</row>
    <row r="137" spans="1:20" x14ac:dyDescent="0.45">
      <c r="A137" s="5"/>
      <c r="B137" s="6"/>
      <c r="C137" s="6"/>
      <c r="D137" s="6"/>
      <c r="E137" s="6"/>
      <c r="F137" s="6"/>
      <c r="G137" s="6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</row>
    <row r="138" spans="1:20" x14ac:dyDescent="0.45">
      <c r="A138" s="6"/>
      <c r="B138" s="83"/>
      <c r="C138" s="6"/>
      <c r="D138" s="6"/>
      <c r="E138" s="6"/>
      <c r="F138" s="6"/>
      <c r="G138" s="6"/>
      <c r="H138" s="84"/>
      <c r="I138" s="84"/>
      <c r="J138" s="84"/>
      <c r="K138" s="82"/>
      <c r="L138" s="82"/>
      <c r="M138" s="82"/>
      <c r="N138" s="82"/>
      <c r="O138" s="82"/>
      <c r="P138" s="82"/>
      <c r="Q138" s="82"/>
      <c r="R138" s="82"/>
      <c r="S138" s="82"/>
      <c r="T138" s="82"/>
    </row>
    <row r="139" spans="1:20" x14ac:dyDescent="0.45">
      <c r="A139" s="83"/>
      <c r="B139" s="6"/>
      <c r="C139" s="6"/>
      <c r="D139" s="6"/>
      <c r="E139" s="6"/>
      <c r="F139" s="6"/>
      <c r="G139" s="6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</row>
    <row r="140" spans="1:20" x14ac:dyDescent="0.45">
      <c r="A140" s="83"/>
      <c r="B140" s="6"/>
      <c r="C140" s="6"/>
      <c r="D140" s="6"/>
      <c r="E140" s="6"/>
      <c r="F140" s="6"/>
      <c r="G140" s="6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</row>
    <row r="141" spans="1:20" x14ac:dyDescent="0.45">
      <c r="A141" s="6"/>
      <c r="B141" s="6"/>
      <c r="C141" s="6"/>
      <c r="D141" s="6"/>
      <c r="E141" s="6"/>
      <c r="F141" s="6"/>
      <c r="G141" s="89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</row>
    <row r="142" spans="1:20" x14ac:dyDescent="0.45">
      <c r="A142" s="6"/>
      <c r="B142" s="6"/>
      <c r="C142" s="6"/>
      <c r="D142" s="6"/>
      <c r="E142" s="6"/>
      <c r="F142" s="6"/>
      <c r="G142" s="6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</row>
    <row r="143" spans="1:20" x14ac:dyDescent="0.45">
      <c r="A143" s="6"/>
      <c r="B143" s="6"/>
      <c r="C143" s="6"/>
      <c r="D143" s="6"/>
      <c r="E143" s="6"/>
      <c r="F143" s="6"/>
      <c r="G143" s="6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</row>
    <row r="144" spans="1:20" x14ac:dyDescent="0.45">
      <c r="A144" s="6"/>
      <c r="B144" s="6"/>
      <c r="C144" s="6"/>
      <c r="D144" s="6"/>
      <c r="E144" s="6"/>
      <c r="F144" s="6"/>
      <c r="G144" s="6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</row>
    <row r="145" spans="1:20" x14ac:dyDescent="0.45">
      <c r="A145" s="6"/>
      <c r="B145" s="6"/>
      <c r="C145" s="6"/>
      <c r="D145" s="6"/>
      <c r="E145" s="6"/>
      <c r="F145" s="6"/>
      <c r="G145" s="6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</row>
    <row r="146" spans="1:20" x14ac:dyDescent="0.45">
      <c r="A146" s="6"/>
      <c r="B146" s="6"/>
      <c r="C146" s="6"/>
      <c r="D146" s="6"/>
      <c r="E146" s="6"/>
      <c r="F146" s="6"/>
      <c r="G146" s="6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</row>
    <row r="147" spans="1:20" x14ac:dyDescent="0.45">
      <c r="A147" s="6"/>
      <c r="B147" s="6"/>
      <c r="C147" s="6"/>
      <c r="D147" s="6"/>
      <c r="E147" s="6"/>
      <c r="F147" s="6"/>
      <c r="G147" s="6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</row>
    <row r="148" spans="1:20" x14ac:dyDescent="0.45">
      <c r="A148" s="6"/>
      <c r="B148" s="6"/>
      <c r="C148" s="6"/>
      <c r="D148" s="6"/>
      <c r="E148" s="6"/>
      <c r="F148" s="6"/>
      <c r="G148" s="6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</row>
    <row r="149" spans="1:20" x14ac:dyDescent="0.45">
      <c r="A149" s="6"/>
      <c r="B149" s="6"/>
      <c r="C149" s="6"/>
      <c r="D149" s="6"/>
      <c r="E149" s="6"/>
      <c r="F149" s="6"/>
      <c r="G149" s="6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</row>
    <row r="150" spans="1:20" x14ac:dyDescent="0.45">
      <c r="A150" s="6"/>
      <c r="B150" s="6"/>
      <c r="C150" s="6"/>
      <c r="D150" s="6"/>
      <c r="E150" s="6"/>
      <c r="F150" s="6"/>
      <c r="G150" s="6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</row>
    <row r="151" spans="1:20" x14ac:dyDescent="0.45">
      <c r="A151" s="6"/>
      <c r="B151" s="6"/>
      <c r="C151" s="6"/>
      <c r="D151" s="6"/>
      <c r="E151" s="6"/>
      <c r="F151" s="6"/>
      <c r="G151" s="6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</row>
    <row r="152" spans="1:20" x14ac:dyDescent="0.45">
      <c r="A152" s="6"/>
      <c r="B152" s="6"/>
      <c r="C152" s="6"/>
      <c r="D152" s="6"/>
      <c r="E152" s="6"/>
      <c r="F152" s="6"/>
      <c r="G152" s="6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</row>
    <row r="153" spans="1:20" x14ac:dyDescent="0.45">
      <c r="A153" s="6"/>
      <c r="B153" s="6"/>
      <c r="C153" s="6"/>
      <c r="D153" s="6"/>
      <c r="E153" s="6"/>
      <c r="F153" s="6"/>
      <c r="G153" s="6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</row>
    <row r="154" spans="1:20" x14ac:dyDescent="0.45">
      <c r="A154" s="6"/>
      <c r="B154" s="6"/>
      <c r="C154" s="6"/>
      <c r="D154" s="6"/>
      <c r="E154" s="6"/>
      <c r="F154" s="6"/>
      <c r="G154" s="6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</row>
    <row r="155" spans="1:20" x14ac:dyDescent="0.45">
      <c r="A155" s="6"/>
      <c r="B155" s="6"/>
      <c r="C155" s="6"/>
      <c r="D155" s="6"/>
      <c r="E155" s="6"/>
      <c r="F155" s="6"/>
      <c r="G155" s="6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</row>
    <row r="156" spans="1:20" x14ac:dyDescent="0.45">
      <c r="A156" s="6"/>
      <c r="B156" s="6"/>
      <c r="C156" s="6"/>
      <c r="D156" s="6"/>
      <c r="E156" s="6"/>
      <c r="F156" s="6"/>
      <c r="G156" s="6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</row>
    <row r="157" spans="1:20" x14ac:dyDescent="0.45">
      <c r="A157" s="6"/>
      <c r="B157" s="6"/>
      <c r="C157" s="6"/>
      <c r="D157" s="6"/>
      <c r="E157" s="6"/>
      <c r="F157" s="6"/>
      <c r="G157" s="6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</row>
    <row r="158" spans="1:20" x14ac:dyDescent="0.45">
      <c r="A158" s="6"/>
      <c r="B158" s="6"/>
      <c r="C158" s="6"/>
      <c r="D158" s="6"/>
      <c r="E158" s="6"/>
      <c r="F158" s="6"/>
      <c r="G158" s="6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</row>
    <row r="159" spans="1:20" x14ac:dyDescent="0.45">
      <c r="A159" s="6"/>
      <c r="B159" s="6"/>
      <c r="C159" s="6"/>
      <c r="D159" s="6"/>
      <c r="E159" s="6"/>
      <c r="F159" s="6"/>
      <c r="G159" s="10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</row>
    <row r="160" spans="1:20" x14ac:dyDescent="0.45">
      <c r="A160" s="6"/>
      <c r="B160" s="6"/>
      <c r="C160" s="6"/>
      <c r="D160" s="6"/>
      <c r="E160" s="6"/>
      <c r="F160" s="6"/>
      <c r="G160" s="6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  <c r="S160" s="82"/>
      <c r="T160" s="82"/>
    </row>
    <row r="161" spans="1:20" x14ac:dyDescent="0.4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45">
      <c r="A162" s="6"/>
      <c r="B162" s="83"/>
      <c r="C162" s="6"/>
      <c r="D162" s="6"/>
      <c r="E162" s="6"/>
      <c r="F162" s="6"/>
      <c r="G162" s="6"/>
      <c r="H162" s="86"/>
      <c r="I162" s="8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45">
      <c r="A163" s="83"/>
      <c r="B163" s="6"/>
      <c r="C163" s="6"/>
      <c r="D163" s="6"/>
      <c r="E163" s="6"/>
      <c r="F163" s="6"/>
      <c r="G163" s="6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</row>
    <row r="164" spans="1:20" x14ac:dyDescent="0.45">
      <c r="A164" s="6"/>
      <c r="B164" s="6"/>
      <c r="C164" s="6"/>
      <c r="D164" s="6"/>
      <c r="E164" s="6"/>
      <c r="F164" s="6"/>
      <c r="G164" s="6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</row>
    <row r="165" spans="1:20" x14ac:dyDescent="0.45">
      <c r="A165" s="6"/>
      <c r="B165" s="6"/>
      <c r="C165" s="6"/>
      <c r="D165" s="6"/>
      <c r="E165" s="6"/>
      <c r="F165" s="6"/>
      <c r="G165" s="6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</row>
    <row r="166" spans="1:20" x14ac:dyDescent="0.45">
      <c r="A166" s="6"/>
      <c r="B166" s="86"/>
      <c r="C166" s="6"/>
      <c r="D166" s="6"/>
      <c r="E166" s="6"/>
      <c r="F166" s="6"/>
      <c r="G166" s="6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</row>
    <row r="167" spans="1:20" x14ac:dyDescent="0.45">
      <c r="A167" s="6"/>
      <c r="B167" s="86"/>
      <c r="C167" s="6"/>
      <c r="D167" s="6"/>
      <c r="E167" s="6"/>
      <c r="F167" s="6"/>
      <c r="G167" s="6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</row>
    <row r="168" spans="1:20" x14ac:dyDescent="0.45">
      <c r="A168" s="6"/>
      <c r="B168" s="86"/>
      <c r="C168" s="6"/>
      <c r="D168" s="6"/>
      <c r="E168" s="6"/>
      <c r="F168" s="6"/>
      <c r="G168" s="6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</row>
    <row r="169" spans="1:20" x14ac:dyDescent="0.45">
      <c r="A169" s="6"/>
      <c r="B169" s="6"/>
      <c r="C169" s="6"/>
      <c r="D169" s="6"/>
      <c r="E169" s="6"/>
      <c r="F169" s="6"/>
      <c r="G169" s="6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</row>
    <row r="170" spans="1:20" x14ac:dyDescent="0.45">
      <c r="A170" s="6"/>
      <c r="B170" s="6"/>
      <c r="C170" s="6"/>
      <c r="D170" s="6"/>
      <c r="E170" s="6"/>
      <c r="F170" s="6"/>
      <c r="G170" s="6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</row>
    <row r="171" spans="1:20" x14ac:dyDescent="0.45">
      <c r="A171" s="6"/>
      <c r="B171" s="6"/>
      <c r="C171" s="6"/>
      <c r="D171" s="6"/>
      <c r="E171" s="6"/>
      <c r="F171" s="6"/>
      <c r="G171" s="6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</row>
    <row r="172" spans="1:20" x14ac:dyDescent="0.45">
      <c r="A172" s="6"/>
      <c r="B172" s="6"/>
      <c r="C172" s="6"/>
      <c r="D172" s="6"/>
      <c r="E172" s="6"/>
      <c r="F172" s="6"/>
      <c r="G172" s="87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</row>
    <row r="173" spans="1:20" x14ac:dyDescent="0.45">
      <c r="A173" s="6"/>
      <c r="B173" s="6"/>
      <c r="C173" s="6"/>
      <c r="D173" s="6"/>
      <c r="E173" s="6"/>
      <c r="F173" s="6"/>
      <c r="G173" s="6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</row>
    <row r="174" spans="1:20" x14ac:dyDescent="0.45">
      <c r="A174" s="6"/>
      <c r="B174" s="6"/>
      <c r="C174" s="6"/>
      <c r="D174" s="6"/>
      <c r="E174" s="6"/>
      <c r="F174" s="6"/>
      <c r="G174" s="6"/>
      <c r="H174" s="91"/>
      <c r="I174" s="92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</row>
    <row r="175" spans="1:20" x14ac:dyDescent="0.45">
      <c r="A175" s="6"/>
      <c r="B175" s="6"/>
      <c r="C175" s="6"/>
      <c r="D175" s="6"/>
      <c r="E175" s="6"/>
      <c r="F175" s="6"/>
      <c r="G175" s="6"/>
      <c r="H175" s="91"/>
      <c r="I175" s="92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</row>
    <row r="176" spans="1:20" x14ac:dyDescent="0.45">
      <c r="A176" s="83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45">
      <c r="A177" s="5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45">
      <c r="A178" s="6"/>
      <c r="B178" s="83"/>
      <c r="C178" s="6"/>
      <c r="D178" s="6"/>
      <c r="E178" s="6"/>
      <c r="F178" s="6"/>
      <c r="G178" s="6"/>
      <c r="H178" s="86"/>
      <c r="I178" s="86"/>
      <c r="J178" s="8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45">
      <c r="A179" s="83"/>
      <c r="B179" s="6"/>
      <c r="C179" s="6"/>
      <c r="D179" s="6"/>
      <c r="E179" s="6"/>
      <c r="F179" s="6"/>
      <c r="G179" s="6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</row>
    <row r="180" spans="1:20" x14ac:dyDescent="0.45">
      <c r="A180" s="83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45">
      <c r="A181" s="6"/>
      <c r="B181" s="6"/>
      <c r="C181" s="6"/>
      <c r="D181" s="6"/>
      <c r="E181" s="6"/>
      <c r="F181" s="6"/>
      <c r="G181" s="89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</row>
    <row r="182" spans="1:20" x14ac:dyDescent="0.4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4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45">
      <c r="A184" s="6"/>
      <c r="B184" s="6"/>
      <c r="C184" s="6"/>
      <c r="D184" s="6"/>
      <c r="E184" s="6"/>
      <c r="F184" s="6"/>
      <c r="G184" s="6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</row>
    <row r="185" spans="1:20" x14ac:dyDescent="0.45">
      <c r="A185" s="6"/>
      <c r="B185" s="6"/>
      <c r="C185" s="6"/>
      <c r="D185" s="6"/>
      <c r="E185" s="6"/>
      <c r="F185" s="6"/>
      <c r="G185" s="6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</row>
    <row r="186" spans="1:20" x14ac:dyDescent="0.45">
      <c r="A186" s="6"/>
      <c r="B186" s="6"/>
      <c r="C186" s="6"/>
      <c r="D186" s="6"/>
      <c r="E186" s="6"/>
      <c r="F186" s="6"/>
      <c r="G186" s="6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</row>
    <row r="187" spans="1:20" x14ac:dyDescent="0.4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45">
      <c r="A188" s="6"/>
      <c r="B188" s="6"/>
      <c r="C188" s="6"/>
      <c r="D188" s="6"/>
      <c r="E188" s="6"/>
      <c r="F188" s="6"/>
      <c r="G188" s="6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</row>
    <row r="189" spans="1:20" x14ac:dyDescent="0.4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4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45">
      <c r="A191" s="6"/>
      <c r="B191" s="6"/>
      <c r="C191" s="6"/>
      <c r="D191" s="6"/>
      <c r="E191" s="6"/>
      <c r="F191" s="6"/>
      <c r="G191" s="6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</row>
    <row r="192" spans="1:20" x14ac:dyDescent="0.45">
      <c r="A192" s="6"/>
      <c r="B192" s="6"/>
      <c r="C192" s="6"/>
      <c r="D192" s="6"/>
      <c r="E192" s="6"/>
      <c r="F192" s="6"/>
      <c r="G192" s="6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</row>
    <row r="193" spans="1:20" x14ac:dyDescent="0.45">
      <c r="A193" s="6"/>
      <c r="B193" s="6"/>
      <c r="C193" s="6"/>
      <c r="D193" s="6"/>
      <c r="E193" s="6"/>
      <c r="F193" s="6"/>
      <c r="G193" s="6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</row>
    <row r="194" spans="1:20" x14ac:dyDescent="0.45">
      <c r="A194" s="6"/>
      <c r="B194" s="6"/>
      <c r="C194" s="6"/>
      <c r="D194" s="6"/>
      <c r="E194" s="6"/>
      <c r="F194" s="6"/>
      <c r="G194" s="6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</row>
    <row r="195" spans="1:20" x14ac:dyDescent="0.4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45">
      <c r="A196" s="6"/>
      <c r="B196" s="6"/>
      <c r="C196" s="6"/>
      <c r="D196" s="6"/>
      <c r="E196" s="6"/>
      <c r="F196" s="6"/>
      <c r="G196" s="6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</row>
    <row r="197" spans="1:20" x14ac:dyDescent="0.45">
      <c r="A197" s="6"/>
      <c r="B197" s="6"/>
      <c r="C197" s="6"/>
      <c r="D197" s="6"/>
      <c r="E197" s="6"/>
      <c r="F197" s="6"/>
      <c r="G197" s="6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</row>
    <row r="198" spans="1:20" x14ac:dyDescent="0.4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45">
      <c r="A199" s="6"/>
      <c r="B199" s="6"/>
      <c r="C199" s="6"/>
      <c r="D199" s="6"/>
      <c r="E199" s="6"/>
      <c r="F199" s="6"/>
      <c r="G199" s="10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</row>
    <row r="200" spans="1:20" x14ac:dyDescent="0.4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4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45">
      <c r="A202" s="6"/>
      <c r="B202" s="83"/>
      <c r="C202" s="6"/>
      <c r="D202" s="6"/>
      <c r="E202" s="6"/>
      <c r="F202" s="6"/>
      <c r="G202" s="6"/>
      <c r="H202" s="86"/>
      <c r="I202" s="8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45">
      <c r="A203" s="83"/>
      <c r="B203" s="6"/>
      <c r="C203" s="6"/>
      <c r="D203" s="6"/>
      <c r="E203" s="6"/>
      <c r="F203" s="6"/>
      <c r="G203" s="6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</row>
    <row r="204" spans="1:20" x14ac:dyDescent="0.45">
      <c r="A204" s="6"/>
      <c r="B204" s="6"/>
      <c r="C204" s="6"/>
      <c r="D204" s="6"/>
      <c r="E204" s="6"/>
      <c r="F204" s="6"/>
      <c r="G204" s="6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</row>
    <row r="205" spans="1:20" x14ac:dyDescent="0.45">
      <c r="A205" s="6"/>
      <c r="B205" s="6"/>
      <c r="C205" s="6"/>
      <c r="D205" s="6"/>
      <c r="E205" s="6"/>
      <c r="F205" s="6"/>
      <c r="G205" s="6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</row>
    <row r="206" spans="1:20" x14ac:dyDescent="0.45">
      <c r="A206" s="6"/>
      <c r="B206" s="86"/>
      <c r="C206" s="6"/>
      <c r="D206" s="6"/>
      <c r="E206" s="6"/>
      <c r="F206" s="6"/>
      <c r="G206" s="6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</row>
    <row r="207" spans="1:20" x14ac:dyDescent="0.45">
      <c r="A207" s="6"/>
      <c r="B207" s="86"/>
      <c r="C207" s="6"/>
      <c r="D207" s="6"/>
      <c r="E207" s="6"/>
      <c r="F207" s="6"/>
      <c r="G207" s="6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</row>
    <row r="208" spans="1:20" x14ac:dyDescent="0.45">
      <c r="A208" s="6"/>
      <c r="B208" s="86"/>
      <c r="C208" s="6"/>
      <c r="D208" s="6"/>
      <c r="E208" s="6"/>
      <c r="F208" s="6"/>
      <c r="G208" s="6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</row>
    <row r="209" spans="1:20" x14ac:dyDescent="0.45">
      <c r="A209" s="6"/>
      <c r="B209" s="6"/>
      <c r="C209" s="6"/>
      <c r="D209" s="6"/>
      <c r="E209" s="6"/>
      <c r="F209" s="6"/>
      <c r="G209" s="6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</row>
    <row r="210" spans="1:20" x14ac:dyDescent="0.45">
      <c r="A210" s="6"/>
      <c r="B210" s="6"/>
      <c r="C210" s="6"/>
      <c r="D210" s="6"/>
      <c r="E210" s="6"/>
      <c r="F210" s="6"/>
      <c r="G210" s="6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</row>
    <row r="211" spans="1:20" x14ac:dyDescent="0.45">
      <c r="A211" s="6"/>
      <c r="B211" s="6"/>
      <c r="C211" s="6"/>
      <c r="D211" s="6"/>
      <c r="E211" s="6"/>
      <c r="F211" s="6"/>
      <c r="G211" s="6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</row>
    <row r="212" spans="1:20" x14ac:dyDescent="0.45">
      <c r="A212" s="6"/>
      <c r="B212" s="6"/>
      <c r="C212" s="6"/>
      <c r="D212" s="6"/>
      <c r="E212" s="6"/>
      <c r="F212" s="6"/>
      <c r="G212" s="87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</row>
    <row r="213" spans="1:20" x14ac:dyDescent="0.45">
      <c r="A213" s="6"/>
      <c r="B213" s="6"/>
      <c r="C213" s="6"/>
      <c r="D213" s="6"/>
      <c r="E213" s="6"/>
      <c r="F213" s="6"/>
      <c r="G213" s="6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</row>
    <row r="214" spans="1:20" x14ac:dyDescent="0.45">
      <c r="A214" s="6"/>
      <c r="B214" s="6"/>
      <c r="C214" s="6"/>
      <c r="D214" s="6"/>
      <c r="E214" s="6"/>
      <c r="F214" s="6"/>
      <c r="G214" s="6"/>
      <c r="H214" s="91"/>
      <c r="I214" s="92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</row>
    <row r="215" spans="1:20" x14ac:dyDescent="0.45">
      <c r="A215" s="6"/>
      <c r="B215" s="6"/>
      <c r="C215" s="6"/>
      <c r="D215" s="6"/>
      <c r="E215" s="6"/>
      <c r="F215" s="6"/>
      <c r="G215" s="6"/>
      <c r="H215" s="91"/>
      <c r="I215" s="92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</row>
    <row r="216" spans="1:20" x14ac:dyDescent="0.45">
      <c r="A216" s="83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45">
      <c r="A217" s="5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45">
      <c r="A218" s="6"/>
      <c r="B218" s="83"/>
      <c r="C218" s="6"/>
      <c r="D218" s="6"/>
      <c r="E218" s="6"/>
      <c r="F218" s="6"/>
      <c r="G218" s="6"/>
      <c r="H218" s="86"/>
      <c r="I218" s="86"/>
      <c r="J218" s="86"/>
      <c r="K218" s="6"/>
      <c r="L218" s="6"/>
      <c r="M218" s="6"/>
      <c r="N218" s="6"/>
      <c r="O218" s="6"/>
      <c r="P218" s="6"/>
      <c r="Q218" s="6"/>
      <c r="R218" s="6"/>
      <c r="S218" s="6"/>
      <c r="T218" s="6"/>
    </row>
    <row r="219" spans="1:20" x14ac:dyDescent="0.45">
      <c r="A219" s="83"/>
      <c r="B219" s="6"/>
      <c r="C219" s="6"/>
      <c r="D219" s="6"/>
      <c r="E219" s="6"/>
      <c r="F219" s="6"/>
      <c r="G219" s="6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</row>
    <row r="220" spans="1:20" x14ac:dyDescent="0.45">
      <c r="A220" s="83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</row>
    <row r="221" spans="1:20" x14ac:dyDescent="0.45">
      <c r="A221" s="6"/>
      <c r="B221" s="6"/>
      <c r="C221" s="6"/>
      <c r="D221" s="6"/>
      <c r="E221" s="6"/>
      <c r="F221" s="6"/>
      <c r="G221" s="89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</row>
    <row r="222" spans="1:20" x14ac:dyDescent="0.4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</row>
    <row r="223" spans="1:20" x14ac:dyDescent="0.4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</row>
    <row r="224" spans="1:20" x14ac:dyDescent="0.45">
      <c r="A224" s="6"/>
      <c r="B224" s="6"/>
      <c r="C224" s="6"/>
      <c r="D224" s="6"/>
      <c r="E224" s="6"/>
      <c r="F224" s="6"/>
      <c r="G224" s="6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</row>
    <row r="225" spans="1:20" x14ac:dyDescent="0.45">
      <c r="A225" s="6"/>
      <c r="B225" s="6"/>
      <c r="C225" s="6"/>
      <c r="D225" s="6"/>
      <c r="E225" s="6"/>
      <c r="F225" s="6"/>
      <c r="G225" s="6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</row>
    <row r="226" spans="1:20" x14ac:dyDescent="0.45">
      <c r="A226" s="6"/>
      <c r="B226" s="6"/>
      <c r="C226" s="6"/>
      <c r="D226" s="6"/>
      <c r="E226" s="6"/>
      <c r="F226" s="6"/>
      <c r="G226" s="6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</row>
    <row r="227" spans="1:20" x14ac:dyDescent="0.4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</row>
    <row r="228" spans="1:20" x14ac:dyDescent="0.45">
      <c r="A228" s="6"/>
      <c r="B228" s="6"/>
      <c r="C228" s="6"/>
      <c r="D228" s="6"/>
      <c r="E228" s="6"/>
      <c r="F228" s="6"/>
      <c r="G228" s="6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</row>
    <row r="229" spans="1:20" x14ac:dyDescent="0.4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</row>
    <row r="230" spans="1:20" x14ac:dyDescent="0.4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</row>
    <row r="231" spans="1:20" x14ac:dyDescent="0.45">
      <c r="A231" s="6"/>
      <c r="B231" s="6"/>
      <c r="C231" s="6"/>
      <c r="D231" s="6"/>
      <c r="E231" s="6"/>
      <c r="F231" s="6"/>
      <c r="G231" s="6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</row>
    <row r="232" spans="1:20" x14ac:dyDescent="0.45">
      <c r="A232" s="6"/>
      <c r="B232" s="6"/>
      <c r="C232" s="6"/>
      <c r="D232" s="6"/>
      <c r="E232" s="6"/>
      <c r="F232" s="6"/>
      <c r="G232" s="6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</row>
    <row r="233" spans="1:20" x14ac:dyDescent="0.45">
      <c r="A233" s="6"/>
      <c r="B233" s="6"/>
      <c r="C233" s="6"/>
      <c r="D233" s="6"/>
      <c r="E233" s="6"/>
      <c r="F233" s="6"/>
      <c r="G233" s="6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</row>
    <row r="234" spans="1:20" x14ac:dyDescent="0.45">
      <c r="A234" s="6"/>
      <c r="B234" s="6"/>
      <c r="C234" s="6"/>
      <c r="D234" s="6"/>
      <c r="E234" s="6"/>
      <c r="F234" s="6"/>
      <c r="G234" s="6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</row>
    <row r="235" spans="1:20" x14ac:dyDescent="0.4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</row>
    <row r="236" spans="1:20" x14ac:dyDescent="0.45">
      <c r="A236" s="6"/>
      <c r="B236" s="6"/>
      <c r="C236" s="6"/>
      <c r="D236" s="6"/>
      <c r="E236" s="6"/>
      <c r="F236" s="6"/>
      <c r="G236" s="6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</row>
    <row r="237" spans="1:20" x14ac:dyDescent="0.45">
      <c r="A237" s="6"/>
      <c r="B237" s="6"/>
      <c r="C237" s="6"/>
      <c r="D237" s="6"/>
      <c r="E237" s="6"/>
      <c r="F237" s="6"/>
      <c r="G237" s="6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</row>
    <row r="238" spans="1:20" x14ac:dyDescent="0.4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</row>
    <row r="239" spans="1:20" x14ac:dyDescent="0.45">
      <c r="A239" s="6"/>
      <c r="B239" s="6"/>
      <c r="C239" s="6"/>
      <c r="D239" s="6"/>
      <c r="E239" s="6"/>
      <c r="F239" s="6"/>
      <c r="G239" s="10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</row>
    <row r="240" spans="1:20" x14ac:dyDescent="0.4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</row>
    <row r="241" spans="1:20" x14ac:dyDescent="0.4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</row>
    <row r="242" spans="1:20" x14ac:dyDescent="0.45">
      <c r="A242" s="6"/>
      <c r="B242" s="83"/>
      <c r="C242" s="6"/>
      <c r="D242" s="6"/>
      <c r="E242" s="6"/>
      <c r="F242" s="6"/>
      <c r="G242" s="6"/>
      <c r="H242" s="86"/>
      <c r="I242" s="8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</row>
    <row r="243" spans="1:20" x14ac:dyDescent="0.45">
      <c r="A243" s="83"/>
      <c r="B243" s="6"/>
      <c r="C243" s="6"/>
      <c r="D243" s="6"/>
      <c r="E243" s="6"/>
      <c r="F243" s="6"/>
      <c r="G243" s="6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</row>
    <row r="244" spans="1:20" x14ac:dyDescent="0.45">
      <c r="A244" s="6"/>
      <c r="B244" s="6"/>
      <c r="C244" s="6"/>
      <c r="D244" s="6"/>
      <c r="E244" s="6"/>
      <c r="F244" s="6"/>
      <c r="G244" s="6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</row>
    <row r="245" spans="1:20" x14ac:dyDescent="0.45">
      <c r="A245" s="6"/>
      <c r="B245" s="6"/>
      <c r="C245" s="6"/>
      <c r="D245" s="6"/>
      <c r="E245" s="6"/>
      <c r="F245" s="6"/>
      <c r="G245" s="6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</row>
    <row r="246" spans="1:20" x14ac:dyDescent="0.45">
      <c r="A246" s="6"/>
      <c r="B246" s="86"/>
      <c r="C246" s="6"/>
      <c r="D246" s="6"/>
      <c r="E246" s="6"/>
      <c r="F246" s="6"/>
      <c r="G246" s="6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</row>
    <row r="247" spans="1:20" x14ac:dyDescent="0.45">
      <c r="A247" s="6"/>
      <c r="B247" s="86"/>
      <c r="C247" s="6"/>
      <c r="D247" s="6"/>
      <c r="E247" s="6"/>
      <c r="F247" s="6"/>
      <c r="G247" s="6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</row>
    <row r="248" spans="1:20" x14ac:dyDescent="0.45">
      <c r="A248" s="6"/>
      <c r="B248" s="86"/>
      <c r="C248" s="6"/>
      <c r="D248" s="6"/>
      <c r="E248" s="6"/>
      <c r="F248" s="6"/>
      <c r="G248" s="6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</row>
    <row r="249" spans="1:20" x14ac:dyDescent="0.45">
      <c r="A249" s="6"/>
      <c r="B249" s="6"/>
      <c r="C249" s="6"/>
      <c r="D249" s="6"/>
      <c r="E249" s="6"/>
      <c r="F249" s="6"/>
      <c r="G249" s="6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</row>
    <row r="250" spans="1:20" x14ac:dyDescent="0.45">
      <c r="A250" s="6"/>
      <c r="B250" s="6"/>
      <c r="C250" s="6"/>
      <c r="D250" s="6"/>
      <c r="E250" s="6"/>
      <c r="F250" s="6"/>
      <c r="G250" s="6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</row>
    <row r="251" spans="1:20" x14ac:dyDescent="0.45">
      <c r="A251" s="6"/>
      <c r="B251" s="6"/>
      <c r="C251" s="6"/>
      <c r="D251" s="6"/>
      <c r="E251" s="6"/>
      <c r="F251" s="6"/>
      <c r="G251" s="6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</row>
    <row r="252" spans="1:20" x14ac:dyDescent="0.45">
      <c r="A252" s="6"/>
      <c r="B252" s="6"/>
      <c r="C252" s="6"/>
      <c r="D252" s="6"/>
      <c r="E252" s="6"/>
      <c r="F252" s="6"/>
      <c r="G252" s="87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</row>
    <row r="253" spans="1:20" x14ac:dyDescent="0.45">
      <c r="A253" s="6"/>
      <c r="B253" s="6"/>
      <c r="C253" s="6"/>
      <c r="D253" s="6"/>
      <c r="E253" s="6"/>
      <c r="F253" s="6"/>
      <c r="G253" s="6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</row>
    <row r="254" spans="1:20" x14ac:dyDescent="0.45">
      <c r="A254" s="6"/>
      <c r="B254" s="6"/>
      <c r="C254" s="6"/>
      <c r="D254" s="6"/>
      <c r="E254" s="6"/>
      <c r="F254" s="6"/>
      <c r="G254" s="6"/>
      <c r="H254" s="91"/>
      <c r="I254" s="92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</row>
    <row r="255" spans="1:20" x14ac:dyDescent="0.45">
      <c r="A255" s="6"/>
      <c r="B255" s="6"/>
      <c r="C255" s="6"/>
      <c r="D255" s="6"/>
      <c r="E255" s="6"/>
      <c r="F255" s="6"/>
      <c r="G255" s="6"/>
      <c r="H255" s="91"/>
      <c r="I255" s="92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</row>
    <row r="256" spans="1:20" x14ac:dyDescent="0.45">
      <c r="A256" s="83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</row>
    <row r="257" spans="1:20" x14ac:dyDescent="0.45">
      <c r="A257" s="5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</row>
    <row r="258" spans="1:20" x14ac:dyDescent="0.45">
      <c r="A258" s="6"/>
      <c r="B258" s="83"/>
      <c r="C258" s="6"/>
      <c r="D258" s="6"/>
      <c r="E258" s="6"/>
      <c r="F258" s="6"/>
      <c r="G258" s="6"/>
      <c r="H258" s="86"/>
      <c r="I258" s="86"/>
      <c r="J258" s="86"/>
      <c r="K258" s="6"/>
      <c r="L258" s="6"/>
      <c r="M258" s="6"/>
      <c r="N258" s="6"/>
      <c r="O258" s="6"/>
      <c r="P258" s="6"/>
      <c r="Q258" s="6"/>
      <c r="R258" s="6"/>
      <c r="S258" s="6"/>
      <c r="T258" s="6"/>
    </row>
    <row r="259" spans="1:20" x14ac:dyDescent="0.45">
      <c r="A259" s="83"/>
      <c r="B259" s="6"/>
      <c r="C259" s="6"/>
      <c r="D259" s="6"/>
      <c r="E259" s="6"/>
      <c r="F259" s="6"/>
      <c r="G259" s="6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</row>
    <row r="260" spans="1:20" x14ac:dyDescent="0.45">
      <c r="A260" s="83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</row>
    <row r="261" spans="1:20" x14ac:dyDescent="0.45">
      <c r="A261" s="6"/>
      <c r="B261" s="6"/>
      <c r="C261" s="6"/>
      <c r="D261" s="6"/>
      <c r="E261" s="6"/>
      <c r="F261" s="6"/>
      <c r="G261" s="89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</row>
    <row r="262" spans="1:20" x14ac:dyDescent="0.4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</row>
    <row r="263" spans="1:20" x14ac:dyDescent="0.4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</row>
    <row r="264" spans="1:20" x14ac:dyDescent="0.45">
      <c r="A264" s="6"/>
      <c r="B264" s="6"/>
      <c r="C264" s="6"/>
      <c r="D264" s="6"/>
      <c r="E264" s="6"/>
      <c r="F264" s="6"/>
      <c r="G264" s="6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</row>
    <row r="265" spans="1:20" x14ac:dyDescent="0.45">
      <c r="A265" s="6"/>
      <c r="B265" s="6"/>
      <c r="C265" s="6"/>
      <c r="D265" s="6"/>
      <c r="E265" s="6"/>
      <c r="F265" s="6"/>
      <c r="G265" s="6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</row>
    <row r="266" spans="1:20" x14ac:dyDescent="0.45">
      <c r="A266" s="6"/>
      <c r="B266" s="6"/>
      <c r="C266" s="6"/>
      <c r="D266" s="6"/>
      <c r="E266" s="6"/>
      <c r="F266" s="6"/>
      <c r="G266" s="6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</row>
    <row r="267" spans="1:20" x14ac:dyDescent="0.4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</row>
    <row r="268" spans="1:20" x14ac:dyDescent="0.45">
      <c r="A268" s="6"/>
      <c r="B268" s="6"/>
      <c r="C268" s="6"/>
      <c r="D268" s="6"/>
      <c r="E268" s="6"/>
      <c r="F268" s="6"/>
      <c r="G268" s="6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</row>
    <row r="269" spans="1:20" x14ac:dyDescent="0.4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</row>
    <row r="270" spans="1:20" x14ac:dyDescent="0.4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</row>
    <row r="271" spans="1:20" x14ac:dyDescent="0.45">
      <c r="A271" s="6"/>
      <c r="B271" s="6"/>
      <c r="C271" s="6"/>
      <c r="D271" s="6"/>
      <c r="E271" s="6"/>
      <c r="F271" s="6"/>
      <c r="G271" s="6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</row>
    <row r="272" spans="1:20" x14ac:dyDescent="0.45">
      <c r="A272" s="6"/>
      <c r="B272" s="6"/>
      <c r="C272" s="6"/>
      <c r="D272" s="6"/>
      <c r="E272" s="6"/>
      <c r="F272" s="6"/>
      <c r="G272" s="6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</row>
    <row r="273" spans="1:20" x14ac:dyDescent="0.45">
      <c r="A273" s="6"/>
      <c r="B273" s="6"/>
      <c r="C273" s="6"/>
      <c r="D273" s="6"/>
      <c r="E273" s="6"/>
      <c r="F273" s="6"/>
      <c r="G273" s="6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</row>
    <row r="274" spans="1:20" x14ac:dyDescent="0.45">
      <c r="A274" s="6"/>
      <c r="B274" s="6"/>
      <c r="C274" s="6"/>
      <c r="D274" s="6"/>
      <c r="E274" s="6"/>
      <c r="F274" s="6"/>
      <c r="G274" s="6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</row>
    <row r="275" spans="1:20" x14ac:dyDescent="0.4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</row>
    <row r="276" spans="1:20" x14ac:dyDescent="0.45">
      <c r="A276" s="6"/>
      <c r="B276" s="6"/>
      <c r="C276" s="6"/>
      <c r="D276" s="6"/>
      <c r="E276" s="6"/>
      <c r="F276" s="6"/>
      <c r="G276" s="6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</row>
    <row r="277" spans="1:20" x14ac:dyDescent="0.45">
      <c r="A277" s="6"/>
      <c r="B277" s="6"/>
      <c r="C277" s="6"/>
      <c r="D277" s="6"/>
      <c r="E277" s="6"/>
      <c r="F277" s="6"/>
      <c r="G277" s="6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</row>
    <row r="278" spans="1:20" x14ac:dyDescent="0.4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</row>
    <row r="279" spans="1:20" x14ac:dyDescent="0.45">
      <c r="A279" s="6"/>
      <c r="B279" s="6"/>
      <c r="C279" s="6"/>
      <c r="D279" s="6"/>
      <c r="E279" s="6"/>
      <c r="F279" s="6"/>
      <c r="G279" s="10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</row>
    <row r="280" spans="1:20" x14ac:dyDescent="0.4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</row>
    <row r="281" spans="1:20" x14ac:dyDescent="0.4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</row>
    <row r="282" spans="1:20" x14ac:dyDescent="0.45">
      <c r="A282" s="6"/>
      <c r="B282" s="83"/>
      <c r="C282" s="6"/>
      <c r="D282" s="6"/>
      <c r="E282" s="6"/>
      <c r="F282" s="6"/>
      <c r="G282" s="6"/>
      <c r="H282" s="86"/>
      <c r="I282" s="8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</row>
    <row r="283" spans="1:20" x14ac:dyDescent="0.45">
      <c r="A283" s="83"/>
      <c r="B283" s="6"/>
      <c r="C283" s="6"/>
      <c r="D283" s="6"/>
      <c r="E283" s="6"/>
      <c r="F283" s="6"/>
      <c r="G283" s="6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</row>
    <row r="284" spans="1:20" x14ac:dyDescent="0.45">
      <c r="A284" s="6"/>
      <c r="B284" s="6"/>
      <c r="C284" s="6"/>
      <c r="D284" s="6"/>
      <c r="E284" s="6"/>
      <c r="F284" s="6"/>
      <c r="G284" s="6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</row>
    <row r="285" spans="1:20" x14ac:dyDescent="0.45">
      <c r="A285" s="6"/>
      <c r="B285" s="6"/>
      <c r="C285" s="6"/>
      <c r="D285" s="6"/>
      <c r="E285" s="6"/>
      <c r="F285" s="6"/>
      <c r="G285" s="6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</row>
    <row r="286" spans="1:20" x14ac:dyDescent="0.45">
      <c r="A286" s="6"/>
      <c r="B286" s="86"/>
      <c r="C286" s="6"/>
      <c r="D286" s="6"/>
      <c r="E286" s="6"/>
      <c r="F286" s="6"/>
      <c r="G286" s="6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</row>
    <row r="287" spans="1:20" x14ac:dyDescent="0.45">
      <c r="A287" s="6"/>
      <c r="B287" s="86"/>
      <c r="C287" s="6"/>
      <c r="D287" s="6"/>
      <c r="E287" s="6"/>
      <c r="F287" s="6"/>
      <c r="G287" s="6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</row>
    <row r="288" spans="1:20" x14ac:dyDescent="0.45">
      <c r="A288" s="6"/>
      <c r="B288" s="86"/>
      <c r="C288" s="6"/>
      <c r="D288" s="6"/>
      <c r="E288" s="6"/>
      <c r="F288" s="6"/>
      <c r="G288" s="6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</row>
    <row r="289" spans="1:20" x14ac:dyDescent="0.45">
      <c r="A289" s="6"/>
      <c r="B289" s="6"/>
      <c r="C289" s="6"/>
      <c r="D289" s="6"/>
      <c r="E289" s="6"/>
      <c r="F289" s="6"/>
      <c r="G289" s="6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</row>
    <row r="290" spans="1:20" x14ac:dyDescent="0.45">
      <c r="A290" s="6"/>
      <c r="B290" s="6"/>
      <c r="C290" s="6"/>
      <c r="D290" s="6"/>
      <c r="E290" s="6"/>
      <c r="F290" s="6"/>
      <c r="G290" s="6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</row>
    <row r="291" spans="1:20" x14ac:dyDescent="0.45">
      <c r="A291" s="6"/>
      <c r="B291" s="6"/>
      <c r="C291" s="6"/>
      <c r="D291" s="6"/>
      <c r="E291" s="6"/>
      <c r="F291" s="6"/>
      <c r="G291" s="6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</row>
    <row r="292" spans="1:20" x14ac:dyDescent="0.45">
      <c r="A292" s="6"/>
      <c r="B292" s="6"/>
      <c r="C292" s="6"/>
      <c r="D292" s="6"/>
      <c r="E292" s="6"/>
      <c r="F292" s="6"/>
      <c r="G292" s="87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</row>
    <row r="293" spans="1:20" x14ac:dyDescent="0.45">
      <c r="A293" s="6"/>
      <c r="B293" s="6"/>
      <c r="C293" s="6"/>
      <c r="D293" s="6"/>
      <c r="E293" s="6"/>
      <c r="F293" s="6"/>
      <c r="G293" s="6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</row>
    <row r="294" spans="1:20" x14ac:dyDescent="0.45">
      <c r="A294" s="6"/>
      <c r="B294" s="6"/>
      <c r="C294" s="6"/>
      <c r="D294" s="6"/>
      <c r="E294" s="6"/>
      <c r="F294" s="6"/>
      <c r="G294" s="6"/>
      <c r="H294" s="91"/>
      <c r="I294" s="92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</row>
    <row r="295" spans="1:20" x14ac:dyDescent="0.4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</row>
    <row r="296" spans="1:20" x14ac:dyDescent="0.4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</row>
    <row r="297" spans="1:20" x14ac:dyDescent="0.45">
      <c r="A297" s="83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</row>
    <row r="298" spans="1:20" x14ac:dyDescent="0.45">
      <c r="A298" s="5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</row>
    <row r="299" spans="1:20" x14ac:dyDescent="0.45">
      <c r="A299" s="6"/>
      <c r="B299" s="83"/>
      <c r="C299" s="6"/>
      <c r="D299" s="6"/>
      <c r="E299" s="6"/>
      <c r="F299" s="6"/>
      <c r="G299" s="6"/>
      <c r="H299" s="86"/>
      <c r="I299" s="86"/>
      <c r="J299" s="86"/>
      <c r="K299" s="6"/>
      <c r="L299" s="6"/>
      <c r="M299" s="6"/>
      <c r="N299" s="6"/>
      <c r="O299" s="6"/>
      <c r="P299" s="6"/>
      <c r="Q299" s="6"/>
      <c r="R299" s="6"/>
      <c r="S299" s="6"/>
      <c r="T299" s="6"/>
    </row>
    <row r="300" spans="1:20" x14ac:dyDescent="0.45">
      <c r="A300" s="83"/>
      <c r="B300" s="6"/>
      <c r="C300" s="6"/>
      <c r="D300" s="6"/>
      <c r="E300" s="6"/>
      <c r="F300" s="6"/>
      <c r="G300" s="6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</row>
    <row r="301" spans="1:20" x14ac:dyDescent="0.45">
      <c r="A301" s="83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</row>
    <row r="302" spans="1:20" x14ac:dyDescent="0.45">
      <c r="A302" s="6"/>
      <c r="B302" s="6"/>
      <c r="C302" s="6"/>
      <c r="D302" s="6"/>
      <c r="E302" s="6"/>
      <c r="F302" s="6"/>
      <c r="G302" s="89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</row>
    <row r="303" spans="1:20" x14ac:dyDescent="0.4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</row>
    <row r="304" spans="1:20" x14ac:dyDescent="0.4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</row>
    <row r="305" spans="1:20" x14ac:dyDescent="0.45">
      <c r="A305" s="6"/>
      <c r="B305" s="6"/>
      <c r="C305" s="6"/>
      <c r="D305" s="6"/>
      <c r="E305" s="6"/>
      <c r="F305" s="6"/>
      <c r="G305" s="6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</row>
    <row r="306" spans="1:20" x14ac:dyDescent="0.45">
      <c r="A306" s="6"/>
      <c r="B306" s="6"/>
      <c r="C306" s="6"/>
      <c r="D306" s="6"/>
      <c r="E306" s="6"/>
      <c r="F306" s="6"/>
      <c r="G306" s="6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</row>
    <row r="307" spans="1:20" x14ac:dyDescent="0.45">
      <c r="A307" s="6"/>
      <c r="B307" s="6"/>
      <c r="C307" s="6"/>
      <c r="D307" s="6"/>
      <c r="E307" s="6"/>
      <c r="F307" s="6"/>
      <c r="G307" s="6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</row>
    <row r="308" spans="1:20" x14ac:dyDescent="0.4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</row>
    <row r="309" spans="1:20" x14ac:dyDescent="0.45">
      <c r="A309" s="6"/>
      <c r="B309" s="6"/>
      <c r="C309" s="6"/>
      <c r="D309" s="6"/>
      <c r="E309" s="6"/>
      <c r="F309" s="6"/>
      <c r="G309" s="6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</row>
    <row r="310" spans="1:20" x14ac:dyDescent="0.4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</row>
    <row r="311" spans="1:20" x14ac:dyDescent="0.4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</row>
    <row r="312" spans="1:20" x14ac:dyDescent="0.45">
      <c r="A312" s="6"/>
      <c r="B312" s="6"/>
      <c r="C312" s="6"/>
      <c r="D312" s="6"/>
      <c r="E312" s="6"/>
      <c r="F312" s="6"/>
      <c r="G312" s="6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</row>
    <row r="313" spans="1:20" x14ac:dyDescent="0.45">
      <c r="A313" s="6"/>
      <c r="B313" s="6"/>
      <c r="C313" s="6"/>
      <c r="D313" s="6"/>
      <c r="E313" s="6"/>
      <c r="F313" s="6"/>
      <c r="G313" s="6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</row>
    <row r="314" spans="1:20" x14ac:dyDescent="0.45">
      <c r="A314" s="6"/>
      <c r="B314" s="6"/>
      <c r="C314" s="6"/>
      <c r="D314" s="6"/>
      <c r="E314" s="6"/>
      <c r="F314" s="6"/>
      <c r="G314" s="6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</row>
    <row r="315" spans="1:20" x14ac:dyDescent="0.45">
      <c r="A315" s="6"/>
      <c r="B315" s="6"/>
      <c r="C315" s="6"/>
      <c r="D315" s="6"/>
      <c r="E315" s="6"/>
      <c r="F315" s="6"/>
      <c r="G315" s="6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</row>
    <row r="316" spans="1:20" x14ac:dyDescent="0.4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</row>
    <row r="317" spans="1:20" x14ac:dyDescent="0.45">
      <c r="A317" s="6"/>
      <c r="B317" s="6"/>
      <c r="C317" s="6"/>
      <c r="D317" s="6"/>
      <c r="E317" s="6"/>
      <c r="F317" s="6"/>
      <c r="G317" s="6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</row>
    <row r="318" spans="1:20" x14ac:dyDescent="0.45">
      <c r="A318" s="6"/>
      <c r="B318" s="6"/>
      <c r="C318" s="6"/>
      <c r="D318" s="6"/>
      <c r="E318" s="6"/>
      <c r="F318" s="6"/>
      <c r="G318" s="6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</row>
    <row r="319" spans="1:20" x14ac:dyDescent="0.4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</row>
    <row r="320" spans="1:20" x14ac:dyDescent="0.45">
      <c r="A320" s="6"/>
      <c r="B320" s="6"/>
      <c r="C320" s="6"/>
      <c r="D320" s="6"/>
      <c r="E320" s="6"/>
      <c r="F320" s="6"/>
      <c r="G320" s="10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</row>
    <row r="321" spans="1:20" x14ac:dyDescent="0.4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</row>
    <row r="322" spans="1:20" x14ac:dyDescent="0.4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</row>
    <row r="323" spans="1:20" x14ac:dyDescent="0.45">
      <c r="A323" s="6"/>
      <c r="B323" s="83"/>
      <c r="C323" s="6"/>
      <c r="D323" s="6"/>
      <c r="E323" s="6"/>
      <c r="F323" s="6"/>
      <c r="G323" s="6"/>
      <c r="H323" s="86"/>
      <c r="I323" s="8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</row>
    <row r="324" spans="1:20" x14ac:dyDescent="0.45">
      <c r="A324" s="83"/>
      <c r="B324" s="6"/>
      <c r="C324" s="6"/>
      <c r="D324" s="6"/>
      <c r="E324" s="6"/>
      <c r="F324" s="6"/>
      <c r="G324" s="6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</row>
    <row r="325" spans="1:20" x14ac:dyDescent="0.45">
      <c r="A325" s="6"/>
      <c r="B325" s="6"/>
      <c r="C325" s="6"/>
      <c r="D325" s="6"/>
      <c r="E325" s="6"/>
      <c r="F325" s="6"/>
      <c r="G325" s="6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</row>
    <row r="326" spans="1:20" x14ac:dyDescent="0.45">
      <c r="A326" s="6"/>
      <c r="B326" s="6"/>
      <c r="C326" s="6"/>
      <c r="D326" s="6"/>
      <c r="E326" s="6"/>
      <c r="F326" s="6"/>
      <c r="G326" s="6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</row>
    <row r="327" spans="1:20" x14ac:dyDescent="0.45">
      <c r="A327" s="6"/>
      <c r="B327" s="86"/>
      <c r="C327" s="6"/>
      <c r="D327" s="6"/>
      <c r="E327" s="6"/>
      <c r="F327" s="6"/>
      <c r="G327" s="6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</row>
    <row r="328" spans="1:20" x14ac:dyDescent="0.45">
      <c r="A328" s="6"/>
      <c r="B328" s="86"/>
      <c r="C328" s="6"/>
      <c r="D328" s="6"/>
      <c r="E328" s="6"/>
      <c r="F328" s="6"/>
      <c r="G328" s="6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</row>
    <row r="329" spans="1:20" x14ac:dyDescent="0.45">
      <c r="A329" s="6"/>
      <c r="B329" s="86"/>
      <c r="C329" s="6"/>
      <c r="D329" s="6"/>
      <c r="E329" s="6"/>
      <c r="F329" s="6"/>
      <c r="G329" s="6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</row>
    <row r="330" spans="1:20" x14ac:dyDescent="0.45">
      <c r="A330" s="6"/>
      <c r="B330" s="6"/>
      <c r="C330" s="6"/>
      <c r="D330" s="6"/>
      <c r="E330" s="6"/>
      <c r="F330" s="6"/>
      <c r="G330" s="6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</row>
    <row r="331" spans="1:20" x14ac:dyDescent="0.45">
      <c r="A331" s="6"/>
      <c r="B331" s="6"/>
      <c r="C331" s="6"/>
      <c r="D331" s="6"/>
      <c r="E331" s="6"/>
      <c r="F331" s="6"/>
      <c r="G331" s="6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</row>
    <row r="332" spans="1:20" x14ac:dyDescent="0.45">
      <c r="A332" s="6"/>
      <c r="B332" s="6"/>
      <c r="C332" s="6"/>
      <c r="D332" s="6"/>
      <c r="E332" s="6"/>
      <c r="F332" s="6"/>
      <c r="G332" s="6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</row>
    <row r="333" spans="1:20" x14ac:dyDescent="0.45">
      <c r="A333" s="6"/>
      <c r="B333" s="6"/>
      <c r="C333" s="6"/>
      <c r="D333" s="6"/>
      <c r="E333" s="6"/>
      <c r="F333" s="6"/>
      <c r="G333" s="87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</row>
    <row r="334" spans="1:20" x14ac:dyDescent="0.45">
      <c r="A334" s="6"/>
      <c r="B334" s="6"/>
      <c r="C334" s="6"/>
      <c r="D334" s="6"/>
      <c r="E334" s="6"/>
      <c r="F334" s="6"/>
      <c r="G334" s="6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</row>
    <row r="335" spans="1:20" x14ac:dyDescent="0.45">
      <c r="A335" s="6"/>
      <c r="B335" s="6"/>
      <c r="C335" s="6"/>
      <c r="D335" s="6"/>
      <c r="E335" s="6"/>
      <c r="F335" s="6"/>
      <c r="G335" s="6"/>
      <c r="H335" s="91"/>
      <c r="I335" s="92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</row>
    <row r="336" spans="1:20" x14ac:dyDescent="0.4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</row>
    <row r="337" spans="1:20" x14ac:dyDescent="0.45">
      <c r="A337" s="6"/>
      <c r="B337" s="6"/>
      <c r="C337" s="6"/>
      <c r="D337" s="6"/>
      <c r="E337" s="6"/>
      <c r="F337" s="6"/>
      <c r="G337" s="6"/>
      <c r="H337" s="93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</row>
    <row r="338" spans="1:20" x14ac:dyDescent="0.4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</row>
    <row r="339" spans="1:20" x14ac:dyDescent="0.4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</row>
    <row r="340" spans="1:20" x14ac:dyDescent="0.4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</row>
    <row r="341" spans="1:20" x14ac:dyDescent="0.4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</row>
    <row r="342" spans="1:20" x14ac:dyDescent="0.4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</row>
    <row r="343" spans="1:20" x14ac:dyDescent="0.4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</row>
    <row r="344" spans="1:20" x14ac:dyDescent="0.4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</row>
    <row r="345" spans="1:20" x14ac:dyDescent="0.4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</row>
    <row r="346" spans="1:20" x14ac:dyDescent="0.4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</row>
    <row r="347" spans="1:20" x14ac:dyDescent="0.4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</row>
    <row r="348" spans="1:20" x14ac:dyDescent="0.4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</row>
    <row r="349" spans="1:20" x14ac:dyDescent="0.4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</row>
    <row r="350" spans="1:20" x14ac:dyDescent="0.4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</row>
    <row r="351" spans="1:20" x14ac:dyDescent="0.4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</row>
    <row r="352" spans="1:20" x14ac:dyDescent="0.4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</row>
    <row r="353" spans="1:20" x14ac:dyDescent="0.4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</row>
    <row r="354" spans="1:20" x14ac:dyDescent="0.4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</row>
    <row r="355" spans="1:20" x14ac:dyDescent="0.4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</row>
    <row r="356" spans="1:20" x14ac:dyDescent="0.4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</row>
    <row r="357" spans="1:20" x14ac:dyDescent="0.4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</row>
    <row r="358" spans="1:20" x14ac:dyDescent="0.4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</row>
    <row r="359" spans="1:20" x14ac:dyDescent="0.4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</row>
    <row r="360" spans="1:20" x14ac:dyDescent="0.4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</row>
    <row r="361" spans="1:20" x14ac:dyDescent="0.4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</row>
    <row r="362" spans="1:20" x14ac:dyDescent="0.4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</row>
    <row r="363" spans="1:20" x14ac:dyDescent="0.4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</row>
    <row r="364" spans="1:20" x14ac:dyDescent="0.4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</row>
    <row r="365" spans="1:20" x14ac:dyDescent="0.4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</row>
    <row r="366" spans="1:20" x14ac:dyDescent="0.4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</row>
    <row r="367" spans="1:20" x14ac:dyDescent="0.4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</row>
    <row r="368" spans="1:20" x14ac:dyDescent="0.4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</row>
    <row r="369" spans="1:20" x14ac:dyDescent="0.4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</row>
    <row r="370" spans="1:20" x14ac:dyDescent="0.4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</row>
    <row r="371" spans="1:20" x14ac:dyDescent="0.4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</row>
    <row r="372" spans="1:20" x14ac:dyDescent="0.4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</row>
    <row r="373" spans="1:20" x14ac:dyDescent="0.4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</row>
    <row r="374" spans="1:20" x14ac:dyDescent="0.4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</row>
    <row r="375" spans="1:20" x14ac:dyDescent="0.4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</row>
    <row r="376" spans="1:20" x14ac:dyDescent="0.4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</row>
    <row r="377" spans="1:20" x14ac:dyDescent="0.4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</row>
    <row r="378" spans="1:20" x14ac:dyDescent="0.4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</row>
    <row r="379" spans="1:20" x14ac:dyDescent="0.4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</row>
    <row r="380" spans="1:20" x14ac:dyDescent="0.4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</row>
    <row r="381" spans="1:20" x14ac:dyDescent="0.4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</row>
    <row r="382" spans="1:20" x14ac:dyDescent="0.4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</row>
    <row r="383" spans="1:20" x14ac:dyDescent="0.4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</row>
    <row r="384" spans="1:20" x14ac:dyDescent="0.4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</row>
    <row r="385" spans="1:20" x14ac:dyDescent="0.4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</row>
    <row r="386" spans="1:20" x14ac:dyDescent="0.4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</row>
    <row r="387" spans="1:20" x14ac:dyDescent="0.4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</row>
    <row r="388" spans="1:20" x14ac:dyDescent="0.4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730"/>
  <sheetViews>
    <sheetView topLeftCell="D1" workbookViewId="0">
      <selection activeCell="H24" sqref="H24"/>
    </sheetView>
  </sheetViews>
  <sheetFormatPr defaultRowHeight="14.25" x14ac:dyDescent="0.45"/>
  <cols>
    <col min="7" max="10" width="9.796875" customWidth="1"/>
    <col min="11" max="12" width="14.33203125" customWidth="1"/>
    <col min="13" max="13" width="13.53125" bestFit="1" customWidth="1"/>
    <col min="14" max="14" width="11.73046875" bestFit="1" customWidth="1"/>
    <col min="15" max="15" width="11.73046875" customWidth="1"/>
    <col min="16" max="16" width="14.33203125" customWidth="1"/>
    <col min="17" max="17" width="9.1328125" style="96" customWidth="1"/>
    <col min="18" max="25" width="9.06640625" style="96"/>
  </cols>
  <sheetData>
    <row r="1" spans="1:16" x14ac:dyDescent="0.45">
      <c r="G1" t="s">
        <v>84</v>
      </c>
      <c r="H1" t="s">
        <v>75</v>
      </c>
      <c r="I1" t="s">
        <v>85</v>
      </c>
      <c r="M1" t="s">
        <v>84</v>
      </c>
      <c r="N1" s="96" t="s">
        <v>75</v>
      </c>
      <c r="O1" t="s">
        <v>76</v>
      </c>
      <c r="P1" t="s">
        <v>84</v>
      </c>
    </row>
    <row r="2" spans="1:16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1.8611504924183875</v>
      </c>
      <c r="H2">
        <v>2.44140625E-4</v>
      </c>
      <c r="I2">
        <v>-0.93984684321104361</v>
      </c>
      <c r="J2">
        <v>-2.2945479570582119E-4</v>
      </c>
      <c r="K2" s="97" t="s">
        <v>86</v>
      </c>
      <c r="L2" s="97">
        <f>SUM(J2:J730)</f>
        <v>-0.70238733693051847</v>
      </c>
      <c r="M2">
        <v>0</v>
      </c>
      <c r="N2">
        <v>2.44140625E-4</v>
      </c>
      <c r="O2">
        <f>N2</f>
        <v>2.44140625E-4</v>
      </c>
      <c r="P2">
        <v>0</v>
      </c>
    </row>
    <row r="3" spans="1:16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5.5834514772551609</v>
      </c>
      <c r="H3">
        <v>4.8828125E-4</v>
      </c>
      <c r="I3">
        <v>-0.83017807812898747</v>
      </c>
      <c r="J3">
        <v>-4.0536038971141966E-4</v>
      </c>
      <c r="K3" s="97"/>
      <c r="L3" s="97"/>
      <c r="M3">
        <v>0</v>
      </c>
      <c r="N3">
        <v>4.8828125E-4</v>
      </c>
      <c r="O3">
        <f>N3+O2</f>
        <v>7.32421875E-4</v>
      </c>
      <c r="P3">
        <v>0</v>
      </c>
    </row>
    <row r="4" spans="1:16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8.3751772158827436</v>
      </c>
      <c r="H4">
        <v>2.44140625E-4</v>
      </c>
      <c r="I4">
        <v>-0.75640935546650756</v>
      </c>
      <c r="J4">
        <v>-1.8467025279944032E-4</v>
      </c>
      <c r="K4" s="97" t="s">
        <v>92</v>
      </c>
      <c r="L4" s="97">
        <f>-LN(-1*L2)/(1/risk_tol)</f>
        <v>10.598107953351839</v>
      </c>
      <c r="M4">
        <v>0</v>
      </c>
      <c r="N4">
        <v>2.44140625E-4</v>
      </c>
      <c r="O4">
        <f t="shared" ref="O4:O67" si="0">N4+O3</f>
        <v>9.765625E-4</v>
      </c>
      <c r="P4">
        <v>0</v>
      </c>
    </row>
    <row r="5" spans="1:16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0.93057524620919363</v>
      </c>
      <c r="H5">
        <v>4.8828125E-4</v>
      </c>
      <c r="I5">
        <v>-0.96945698368264055</v>
      </c>
      <c r="J5">
        <v>-4.7336766781378933E-4</v>
      </c>
      <c r="K5" s="97"/>
      <c r="L5" s="97"/>
      <c r="M5">
        <v>0</v>
      </c>
      <c r="N5">
        <v>4.8828125E-4</v>
      </c>
      <c r="O5">
        <f t="shared" si="0"/>
        <v>1.46484375E-3</v>
      </c>
      <c r="P5">
        <v>0</v>
      </c>
    </row>
    <row r="6" spans="1:16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4.6528762310459681</v>
      </c>
      <c r="H6">
        <v>9.765625E-4</v>
      </c>
      <c r="I6">
        <v>-0.85633307315546947</v>
      </c>
      <c r="J6">
        <v>-8.3626276675338816E-4</v>
      </c>
      <c r="K6" s="97" t="s">
        <v>83</v>
      </c>
      <c r="L6" s="97">
        <f>SUMPRODUCT(G2:G730,H2:H730)</f>
        <v>11.411749934853662</v>
      </c>
      <c r="M6">
        <v>0</v>
      </c>
      <c r="N6">
        <v>9.765625E-4</v>
      </c>
      <c r="O6">
        <f t="shared" si="0"/>
        <v>2.44140625E-3</v>
      </c>
      <c r="P6">
        <v>0</v>
      </c>
    </row>
    <row r="7" spans="1:16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7.4446019696735473</v>
      </c>
      <c r="H7">
        <v>4.8828125E-4</v>
      </c>
      <c r="I7">
        <v>-0.78024024603254005</v>
      </c>
      <c r="J7">
        <v>-3.809766826330762E-4</v>
      </c>
      <c r="M7">
        <v>0</v>
      </c>
      <c r="N7">
        <v>4.8828125E-4</v>
      </c>
      <c r="O7">
        <f t="shared" si="0"/>
        <v>2.9296875E-3</v>
      </c>
      <c r="P7">
        <v>0</v>
      </c>
    </row>
    <row r="8" spans="1:16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2.44140625E-4</v>
      </c>
      <c r="I8">
        <v>-1</v>
      </c>
      <c r="J8">
        <v>-2.44140625E-4</v>
      </c>
      <c r="M8">
        <v>0</v>
      </c>
      <c r="N8">
        <v>2.44140625E-4</v>
      </c>
      <c r="O8">
        <f t="shared" si="0"/>
        <v>3.173828125E-3</v>
      </c>
      <c r="P8">
        <v>0</v>
      </c>
    </row>
    <row r="9" spans="1:16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3.7223009848367745</v>
      </c>
      <c r="H9">
        <v>4.8828125E-4</v>
      </c>
      <c r="I9">
        <v>-0.88331208869376399</v>
      </c>
      <c r="J9">
        <v>-4.3130473080750195E-4</v>
      </c>
      <c r="M9">
        <v>0</v>
      </c>
      <c r="N9">
        <v>4.8828125E-4</v>
      </c>
      <c r="O9">
        <f t="shared" si="0"/>
        <v>3.662109375E-3</v>
      </c>
      <c r="P9">
        <v>0</v>
      </c>
    </row>
    <row r="10" spans="1:16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6.5140267234643545</v>
      </c>
      <c r="H10">
        <v>2.44140625E-4</v>
      </c>
      <c r="I10">
        <v>-0.80482193554237969</v>
      </c>
      <c r="J10">
        <v>-1.9648973035702629E-4</v>
      </c>
      <c r="M10">
        <v>0</v>
      </c>
      <c r="N10">
        <v>2.44140625E-4</v>
      </c>
      <c r="O10">
        <f t="shared" si="0"/>
        <v>3.90625E-3</v>
      </c>
      <c r="P10">
        <v>0</v>
      </c>
    </row>
    <row r="11" spans="1:16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1.8611504924183875</v>
      </c>
      <c r="H11">
        <v>4.8828125E-4</v>
      </c>
      <c r="I11">
        <v>-0.93984684321104361</v>
      </c>
      <c r="J11">
        <v>-4.5890959141164239E-4</v>
      </c>
      <c r="M11">
        <v>0</v>
      </c>
      <c r="N11">
        <v>4.8828125E-4</v>
      </c>
      <c r="O11">
        <f t="shared" si="0"/>
        <v>4.39453125E-3</v>
      </c>
      <c r="P11">
        <v>0</v>
      </c>
    </row>
    <row r="12" spans="1:16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5.5834514772551609</v>
      </c>
      <c r="H12">
        <v>9.765625E-4</v>
      </c>
      <c r="I12">
        <v>-0.83017807812898747</v>
      </c>
      <c r="J12">
        <v>-8.1072077942283933E-4</v>
      </c>
      <c r="M12">
        <v>0</v>
      </c>
      <c r="N12">
        <v>9.765625E-4</v>
      </c>
      <c r="O12">
        <f t="shared" si="0"/>
        <v>5.37109375E-3</v>
      </c>
      <c r="P12">
        <v>0</v>
      </c>
    </row>
    <row r="13" spans="1:16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8.3751772158827436</v>
      </c>
      <c r="H13">
        <v>4.8828125E-4</v>
      </c>
      <c r="I13">
        <v>-0.75640935546650756</v>
      </c>
      <c r="J13">
        <v>-3.6934050559888064E-4</v>
      </c>
      <c r="M13">
        <v>0</v>
      </c>
      <c r="N13">
        <v>4.8828125E-4</v>
      </c>
      <c r="O13">
        <f t="shared" si="0"/>
        <v>5.859375E-3</v>
      </c>
      <c r="P13">
        <v>0</v>
      </c>
    </row>
    <row r="14" spans="1:16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0.93057524620919363</v>
      </c>
      <c r="H14">
        <v>9.765625E-4</v>
      </c>
      <c r="I14">
        <v>-0.96945698368264055</v>
      </c>
      <c r="J14">
        <v>-9.4673533562757866E-4</v>
      </c>
      <c r="M14">
        <v>0</v>
      </c>
      <c r="N14">
        <v>9.765625E-4</v>
      </c>
      <c r="O14">
        <f t="shared" si="0"/>
        <v>6.8359375E-3</v>
      </c>
      <c r="P14">
        <v>0</v>
      </c>
    </row>
    <row r="15" spans="1:16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4.6528762310459681</v>
      </c>
      <c r="H15">
        <v>1.953125E-3</v>
      </c>
      <c r="I15">
        <v>-0.85633307315546947</v>
      </c>
      <c r="J15">
        <v>-1.6725255335067763E-3</v>
      </c>
      <c r="M15">
        <v>0</v>
      </c>
      <c r="N15">
        <v>1.953125E-3</v>
      </c>
      <c r="O15">
        <f t="shared" si="0"/>
        <v>8.7890625E-3</v>
      </c>
      <c r="P15">
        <v>0</v>
      </c>
    </row>
    <row r="16" spans="1:16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7.4446019696735473</v>
      </c>
      <c r="H16">
        <v>9.765625E-4</v>
      </c>
      <c r="I16">
        <v>-0.78024024603254005</v>
      </c>
      <c r="J16">
        <v>-7.6195336526615239E-4</v>
      </c>
      <c r="M16">
        <v>0</v>
      </c>
      <c r="N16">
        <v>9.765625E-4</v>
      </c>
      <c r="O16">
        <f t="shared" si="0"/>
        <v>9.765625E-3</v>
      </c>
      <c r="P16">
        <v>0</v>
      </c>
    </row>
    <row r="17" spans="1:16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0</v>
      </c>
      <c r="H17">
        <v>4.8828125E-4</v>
      </c>
      <c r="I17">
        <v>-1</v>
      </c>
      <c r="J17">
        <v>-4.8828125E-4</v>
      </c>
      <c r="M17">
        <v>0</v>
      </c>
      <c r="N17">
        <v>4.8828125E-4</v>
      </c>
      <c r="O17">
        <f t="shared" si="0"/>
        <v>1.025390625E-2</v>
      </c>
      <c r="P17">
        <v>0</v>
      </c>
    </row>
    <row r="18" spans="1:16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3.7223009848367745</v>
      </c>
      <c r="H18">
        <v>9.765625E-4</v>
      </c>
      <c r="I18">
        <v>-0.88331208869376399</v>
      </c>
      <c r="J18">
        <v>-8.6260946161500389E-4</v>
      </c>
      <c r="M18">
        <v>0</v>
      </c>
      <c r="N18">
        <v>9.765625E-4</v>
      </c>
      <c r="O18">
        <f t="shared" si="0"/>
        <v>1.123046875E-2</v>
      </c>
      <c r="P18">
        <v>0</v>
      </c>
    </row>
    <row r="19" spans="1:16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6.5140267234643545</v>
      </c>
      <c r="H19">
        <v>4.8828125E-4</v>
      </c>
      <c r="I19">
        <v>-0.80482193554237969</v>
      </c>
      <c r="J19">
        <v>-3.9297946071405258E-4</v>
      </c>
      <c r="M19">
        <v>0</v>
      </c>
      <c r="N19">
        <v>4.8828125E-4</v>
      </c>
      <c r="O19">
        <f t="shared" si="0"/>
        <v>1.171875E-2</v>
      </c>
      <c r="P19">
        <v>0</v>
      </c>
    </row>
    <row r="20" spans="1:16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1.8611504924183875</v>
      </c>
      <c r="H20">
        <v>2.44140625E-4</v>
      </c>
      <c r="I20">
        <v>-0.93984684321104361</v>
      </c>
      <c r="J20">
        <v>-2.2945479570582119E-4</v>
      </c>
      <c r="M20">
        <v>0</v>
      </c>
      <c r="N20">
        <v>2.44140625E-4</v>
      </c>
      <c r="O20">
        <f t="shared" si="0"/>
        <v>1.1962890625E-2</v>
      </c>
      <c r="P20">
        <v>0</v>
      </c>
    </row>
    <row r="21" spans="1:16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5.5834514772551609</v>
      </c>
      <c r="H21">
        <v>4.8828125E-4</v>
      </c>
      <c r="I21">
        <v>-0.83017807812898747</v>
      </c>
      <c r="J21">
        <v>-4.0536038971141966E-4</v>
      </c>
      <c r="M21">
        <v>0</v>
      </c>
      <c r="N21">
        <v>4.8828125E-4</v>
      </c>
      <c r="O21">
        <f t="shared" si="0"/>
        <v>1.2451171875E-2</v>
      </c>
      <c r="P21">
        <v>0</v>
      </c>
    </row>
    <row r="22" spans="1:16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8.3751772158827436</v>
      </c>
      <c r="H22">
        <v>2.44140625E-4</v>
      </c>
      <c r="I22">
        <v>-0.75640935546650756</v>
      </c>
      <c r="J22">
        <v>-1.8467025279944032E-4</v>
      </c>
      <c r="M22">
        <v>0</v>
      </c>
      <c r="N22">
        <v>2.44140625E-4</v>
      </c>
      <c r="O22">
        <f t="shared" si="0"/>
        <v>1.26953125E-2</v>
      </c>
      <c r="P22">
        <v>0</v>
      </c>
    </row>
    <row r="23" spans="1:16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0.93057524620919363</v>
      </c>
      <c r="H23">
        <v>4.8828125E-4</v>
      </c>
      <c r="I23">
        <v>-0.96945698368264055</v>
      </c>
      <c r="J23">
        <v>-4.7336766781378933E-4</v>
      </c>
      <c r="M23">
        <v>0</v>
      </c>
      <c r="N23">
        <v>4.8828125E-4</v>
      </c>
      <c r="O23">
        <f t="shared" si="0"/>
        <v>1.318359375E-2</v>
      </c>
      <c r="P23">
        <v>0</v>
      </c>
    </row>
    <row r="24" spans="1:16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4.6528762310459681</v>
      </c>
      <c r="H24">
        <v>9.765625E-4</v>
      </c>
      <c r="I24">
        <v>-0.85633307315546947</v>
      </c>
      <c r="J24">
        <v>-8.3626276675338816E-4</v>
      </c>
      <c r="M24">
        <v>0</v>
      </c>
      <c r="N24">
        <v>9.765625E-4</v>
      </c>
      <c r="O24">
        <f t="shared" si="0"/>
        <v>1.416015625E-2</v>
      </c>
      <c r="P24">
        <v>0</v>
      </c>
    </row>
    <row r="25" spans="1:16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7.4446019696735473</v>
      </c>
      <c r="H25">
        <v>4.8828125E-4</v>
      </c>
      <c r="I25">
        <v>-0.78024024603254005</v>
      </c>
      <c r="J25">
        <v>-3.809766826330762E-4</v>
      </c>
      <c r="M25">
        <v>0</v>
      </c>
      <c r="N25">
        <v>4.8828125E-4</v>
      </c>
      <c r="O25">
        <f t="shared" si="0"/>
        <v>1.46484375E-2</v>
      </c>
      <c r="P25">
        <v>0</v>
      </c>
    </row>
    <row r="26" spans="1:16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0</v>
      </c>
      <c r="H26">
        <v>2.44140625E-4</v>
      </c>
      <c r="I26">
        <v>-1</v>
      </c>
      <c r="J26">
        <v>-2.44140625E-4</v>
      </c>
      <c r="M26">
        <v>0</v>
      </c>
      <c r="N26">
        <v>2.44140625E-4</v>
      </c>
      <c r="O26">
        <f t="shared" si="0"/>
        <v>1.4892578125E-2</v>
      </c>
      <c r="P26">
        <v>0</v>
      </c>
    </row>
    <row r="27" spans="1:16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3.7223009848367745</v>
      </c>
      <c r="H27">
        <v>4.8828125E-4</v>
      </c>
      <c r="I27">
        <v>-0.88331208869376399</v>
      </c>
      <c r="J27">
        <v>-4.3130473080750195E-4</v>
      </c>
      <c r="M27">
        <v>0</v>
      </c>
      <c r="N27">
        <v>4.8828125E-4</v>
      </c>
      <c r="O27">
        <f t="shared" si="0"/>
        <v>1.5380859375E-2</v>
      </c>
      <c r="P27">
        <v>0</v>
      </c>
    </row>
    <row r="28" spans="1:16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6.5140267234643545</v>
      </c>
      <c r="H28">
        <v>2.44140625E-4</v>
      </c>
      <c r="I28">
        <v>-0.80482193554237969</v>
      </c>
      <c r="J28">
        <v>-1.9648973035702629E-4</v>
      </c>
      <c r="M28">
        <v>0</v>
      </c>
      <c r="N28">
        <v>2.44140625E-4</v>
      </c>
      <c r="O28">
        <f t="shared" si="0"/>
        <v>1.5625E-2</v>
      </c>
      <c r="P28">
        <v>0</v>
      </c>
    </row>
    <row r="29" spans="1:16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1.8611504924183875</v>
      </c>
      <c r="H29">
        <v>4.8828125E-4</v>
      </c>
      <c r="I29">
        <v>-0.93984684321104361</v>
      </c>
      <c r="J29">
        <v>-4.5890959141164239E-4</v>
      </c>
      <c r="M29">
        <v>0</v>
      </c>
      <c r="N29">
        <v>4.8828125E-4</v>
      </c>
      <c r="O29">
        <f t="shared" si="0"/>
        <v>1.611328125E-2</v>
      </c>
      <c r="P29">
        <v>0</v>
      </c>
    </row>
    <row r="30" spans="1:16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5.5834514772551609</v>
      </c>
      <c r="H30">
        <v>9.765625E-4</v>
      </c>
      <c r="I30">
        <v>-0.83017807812898747</v>
      </c>
      <c r="J30">
        <v>-8.1072077942283933E-4</v>
      </c>
      <c r="M30">
        <v>0</v>
      </c>
      <c r="N30">
        <v>9.765625E-4</v>
      </c>
      <c r="O30">
        <f t="shared" si="0"/>
        <v>1.708984375E-2</v>
      </c>
      <c r="P30">
        <v>0</v>
      </c>
    </row>
    <row r="31" spans="1:16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8.3751772158827436</v>
      </c>
      <c r="H31">
        <v>4.8828125E-4</v>
      </c>
      <c r="I31">
        <v>-0.75640935546650756</v>
      </c>
      <c r="J31">
        <v>-3.6934050559888064E-4</v>
      </c>
      <c r="M31">
        <v>0</v>
      </c>
      <c r="N31">
        <v>4.8828125E-4</v>
      </c>
      <c r="O31">
        <f t="shared" si="0"/>
        <v>1.7578125E-2</v>
      </c>
      <c r="P31">
        <v>0</v>
      </c>
    </row>
    <row r="32" spans="1:16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0.93057524620919363</v>
      </c>
      <c r="H32">
        <v>9.765625E-4</v>
      </c>
      <c r="I32">
        <v>-0.96945698368264055</v>
      </c>
      <c r="J32">
        <v>-9.4673533562757866E-4</v>
      </c>
      <c r="M32">
        <v>0</v>
      </c>
      <c r="N32">
        <v>9.765625E-4</v>
      </c>
      <c r="O32">
        <f t="shared" si="0"/>
        <v>1.85546875E-2</v>
      </c>
      <c r="P32">
        <v>0</v>
      </c>
    </row>
    <row r="33" spans="1:16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4.6528762310459681</v>
      </c>
      <c r="H33">
        <v>1.953125E-3</v>
      </c>
      <c r="I33">
        <v>-0.85633307315546947</v>
      </c>
      <c r="J33">
        <v>-1.6725255335067763E-3</v>
      </c>
      <c r="M33">
        <v>0</v>
      </c>
      <c r="N33">
        <v>1.953125E-3</v>
      </c>
      <c r="O33">
        <f t="shared" si="0"/>
        <v>2.05078125E-2</v>
      </c>
      <c r="P33">
        <v>0</v>
      </c>
    </row>
    <row r="34" spans="1:16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7.4446019696735473</v>
      </c>
      <c r="H34">
        <v>9.765625E-4</v>
      </c>
      <c r="I34">
        <v>-0.78024024603254005</v>
      </c>
      <c r="J34">
        <v>-7.6195336526615239E-4</v>
      </c>
      <c r="M34">
        <v>0</v>
      </c>
      <c r="N34">
        <v>9.765625E-4</v>
      </c>
      <c r="O34">
        <f t="shared" si="0"/>
        <v>2.1484375E-2</v>
      </c>
      <c r="P34">
        <v>0</v>
      </c>
    </row>
    <row r="35" spans="1:16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0</v>
      </c>
      <c r="H35">
        <v>4.8828125E-4</v>
      </c>
      <c r="I35">
        <v>-1</v>
      </c>
      <c r="J35">
        <v>-4.8828125E-4</v>
      </c>
      <c r="M35">
        <v>0</v>
      </c>
      <c r="N35">
        <v>4.8828125E-4</v>
      </c>
      <c r="O35">
        <f t="shared" si="0"/>
        <v>2.197265625E-2</v>
      </c>
      <c r="P35">
        <v>0</v>
      </c>
    </row>
    <row r="36" spans="1:16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3.7223009848367745</v>
      </c>
      <c r="H36">
        <v>9.765625E-4</v>
      </c>
      <c r="I36">
        <v>-0.88331208869376399</v>
      </c>
      <c r="J36">
        <v>-8.6260946161500389E-4</v>
      </c>
      <c r="M36">
        <v>0</v>
      </c>
      <c r="N36">
        <v>9.765625E-4</v>
      </c>
      <c r="O36">
        <f t="shared" si="0"/>
        <v>2.294921875E-2</v>
      </c>
      <c r="P36">
        <v>0</v>
      </c>
    </row>
    <row r="37" spans="1:16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6.5140267234643545</v>
      </c>
      <c r="H37">
        <v>4.8828125E-4</v>
      </c>
      <c r="I37">
        <v>-0.80482193554237969</v>
      </c>
      <c r="J37">
        <v>-3.9297946071405258E-4</v>
      </c>
      <c r="M37">
        <v>0</v>
      </c>
      <c r="N37">
        <v>4.8828125E-4</v>
      </c>
      <c r="O37">
        <f t="shared" si="0"/>
        <v>2.34375E-2</v>
      </c>
      <c r="P37">
        <v>0</v>
      </c>
    </row>
    <row r="38" spans="1:16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1.8611504924183875</v>
      </c>
      <c r="H38">
        <v>9.765625E-4</v>
      </c>
      <c r="I38">
        <v>-0.93984684321104361</v>
      </c>
      <c r="J38">
        <v>-9.1781918282328478E-4</v>
      </c>
      <c r="M38">
        <v>0</v>
      </c>
      <c r="N38">
        <v>9.765625E-4</v>
      </c>
      <c r="O38">
        <f t="shared" si="0"/>
        <v>2.44140625E-2</v>
      </c>
      <c r="P38">
        <v>0</v>
      </c>
    </row>
    <row r="39" spans="1:16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5.5834514772551609</v>
      </c>
      <c r="H39">
        <v>1.953125E-3</v>
      </c>
      <c r="I39">
        <v>-0.83017807812898747</v>
      </c>
      <c r="J39">
        <v>-1.6214415588456787E-3</v>
      </c>
      <c r="M39">
        <v>0</v>
      </c>
      <c r="N39">
        <v>1.953125E-3</v>
      </c>
      <c r="O39">
        <f t="shared" si="0"/>
        <v>2.63671875E-2</v>
      </c>
      <c r="P39">
        <v>0</v>
      </c>
    </row>
    <row r="40" spans="1:16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8.3751772158827436</v>
      </c>
      <c r="H40">
        <v>9.765625E-4</v>
      </c>
      <c r="I40">
        <v>-0.75640935546650756</v>
      </c>
      <c r="J40">
        <v>-7.3868101119776129E-4</v>
      </c>
      <c r="M40">
        <v>0</v>
      </c>
      <c r="N40">
        <v>9.765625E-4</v>
      </c>
      <c r="O40">
        <f t="shared" si="0"/>
        <v>2.734375E-2</v>
      </c>
      <c r="P40">
        <v>0</v>
      </c>
    </row>
    <row r="41" spans="1:16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0.93057524620919363</v>
      </c>
      <c r="H41">
        <v>1.953125E-3</v>
      </c>
      <c r="I41">
        <v>-0.96945698368264055</v>
      </c>
      <c r="J41">
        <v>-1.8934706712551573E-3</v>
      </c>
      <c r="M41">
        <v>0</v>
      </c>
      <c r="N41">
        <v>1.953125E-3</v>
      </c>
      <c r="O41">
        <f t="shared" si="0"/>
        <v>2.9296875E-2</v>
      </c>
      <c r="P41">
        <v>0</v>
      </c>
    </row>
    <row r="42" spans="1:16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4.6528762310459681</v>
      </c>
      <c r="H42">
        <v>3.90625E-3</v>
      </c>
      <c r="I42">
        <v>-0.85633307315546947</v>
      </c>
      <c r="J42">
        <v>-3.3450510670135526E-3</v>
      </c>
      <c r="M42">
        <v>0</v>
      </c>
      <c r="N42">
        <v>3.90625E-3</v>
      </c>
      <c r="O42">
        <f t="shared" si="0"/>
        <v>3.3203125E-2</v>
      </c>
      <c r="P42">
        <v>0</v>
      </c>
    </row>
    <row r="43" spans="1:16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7.4446019696735473</v>
      </c>
      <c r="H43">
        <v>1.953125E-3</v>
      </c>
      <c r="I43">
        <v>-0.78024024603254005</v>
      </c>
      <c r="J43">
        <v>-1.5239067305323048E-3</v>
      </c>
      <c r="M43">
        <v>0</v>
      </c>
      <c r="N43">
        <v>1.953125E-3</v>
      </c>
      <c r="O43">
        <f t="shared" si="0"/>
        <v>3.515625E-2</v>
      </c>
      <c r="P43">
        <v>0</v>
      </c>
    </row>
    <row r="44" spans="1:16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9.765625E-4</v>
      </c>
      <c r="I44">
        <v>-1</v>
      </c>
      <c r="J44">
        <v>-9.765625E-4</v>
      </c>
      <c r="M44">
        <v>0</v>
      </c>
      <c r="N44">
        <v>9.765625E-4</v>
      </c>
      <c r="O44">
        <f t="shared" si="0"/>
        <v>3.61328125E-2</v>
      </c>
      <c r="P44">
        <v>0</v>
      </c>
    </row>
    <row r="45" spans="1:16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3.7223009848367745</v>
      </c>
      <c r="H45">
        <v>1.953125E-3</v>
      </c>
      <c r="I45">
        <v>-0.88331208869376399</v>
      </c>
      <c r="J45">
        <v>-1.7252189232300078E-3</v>
      </c>
      <c r="M45">
        <v>0</v>
      </c>
      <c r="N45">
        <v>1.953125E-3</v>
      </c>
      <c r="O45">
        <f t="shared" si="0"/>
        <v>3.80859375E-2</v>
      </c>
      <c r="P45">
        <v>0</v>
      </c>
    </row>
    <row r="46" spans="1:16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6.5140267234643545</v>
      </c>
      <c r="H46">
        <v>9.765625E-4</v>
      </c>
      <c r="I46">
        <v>-0.80482193554237969</v>
      </c>
      <c r="J46">
        <v>-7.8595892142810516E-4</v>
      </c>
      <c r="M46">
        <v>0</v>
      </c>
      <c r="N46">
        <v>9.765625E-4</v>
      </c>
      <c r="O46">
        <f t="shared" si="0"/>
        <v>3.90625E-2</v>
      </c>
      <c r="P46">
        <v>0</v>
      </c>
    </row>
    <row r="47" spans="1:16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1.8611504924183875</v>
      </c>
      <c r="H47">
        <v>4.8828125E-4</v>
      </c>
      <c r="I47">
        <v>-0.93984684321104361</v>
      </c>
      <c r="J47">
        <v>-4.5890959141164239E-4</v>
      </c>
      <c r="M47">
        <v>0</v>
      </c>
      <c r="N47">
        <v>4.8828125E-4</v>
      </c>
      <c r="O47">
        <f t="shared" si="0"/>
        <v>3.955078125E-2</v>
      </c>
      <c r="P47">
        <v>0</v>
      </c>
    </row>
    <row r="48" spans="1:16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5.5834514772551609</v>
      </c>
      <c r="H48">
        <v>9.765625E-4</v>
      </c>
      <c r="I48">
        <v>-0.83017807812898747</v>
      </c>
      <c r="J48">
        <v>-8.1072077942283933E-4</v>
      </c>
      <c r="M48">
        <v>0</v>
      </c>
      <c r="N48">
        <v>9.765625E-4</v>
      </c>
      <c r="O48">
        <f t="shared" si="0"/>
        <v>4.052734375E-2</v>
      </c>
      <c r="P48">
        <v>0</v>
      </c>
    </row>
    <row r="49" spans="1:16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8.3751772158827436</v>
      </c>
      <c r="H49">
        <v>4.8828125E-4</v>
      </c>
      <c r="I49">
        <v>-0.75640935546650756</v>
      </c>
      <c r="J49">
        <v>-3.6934050559888064E-4</v>
      </c>
      <c r="M49">
        <v>0</v>
      </c>
      <c r="N49">
        <v>4.8828125E-4</v>
      </c>
      <c r="O49">
        <f t="shared" si="0"/>
        <v>4.1015625E-2</v>
      </c>
      <c r="P49">
        <v>0</v>
      </c>
    </row>
    <row r="50" spans="1:16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0.93057524620919363</v>
      </c>
      <c r="H50">
        <v>9.765625E-4</v>
      </c>
      <c r="I50">
        <v>-0.96945698368264055</v>
      </c>
      <c r="J50">
        <v>-9.4673533562757866E-4</v>
      </c>
      <c r="M50">
        <v>0</v>
      </c>
      <c r="N50">
        <v>9.765625E-4</v>
      </c>
      <c r="O50">
        <f t="shared" si="0"/>
        <v>4.19921875E-2</v>
      </c>
      <c r="P50">
        <v>0</v>
      </c>
    </row>
    <row r="51" spans="1:16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4.6528762310459681</v>
      </c>
      <c r="H51">
        <v>1.953125E-3</v>
      </c>
      <c r="I51">
        <v>-0.85633307315546947</v>
      </c>
      <c r="J51">
        <v>-1.6725255335067763E-3</v>
      </c>
      <c r="M51">
        <v>0</v>
      </c>
      <c r="N51">
        <v>1.953125E-3</v>
      </c>
      <c r="O51">
        <f t="shared" si="0"/>
        <v>4.39453125E-2</v>
      </c>
      <c r="P51">
        <v>0</v>
      </c>
    </row>
    <row r="52" spans="1:16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7.4446019696735473</v>
      </c>
      <c r="H52">
        <v>9.765625E-4</v>
      </c>
      <c r="I52">
        <v>-0.78024024603254005</v>
      </c>
      <c r="J52">
        <v>-7.6195336526615239E-4</v>
      </c>
      <c r="M52">
        <v>0</v>
      </c>
      <c r="N52">
        <v>9.765625E-4</v>
      </c>
      <c r="O52">
        <f t="shared" si="0"/>
        <v>4.4921875E-2</v>
      </c>
      <c r="P52">
        <v>0</v>
      </c>
    </row>
    <row r="53" spans="1:16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4.8828125E-4</v>
      </c>
      <c r="I53">
        <v>-1</v>
      </c>
      <c r="J53">
        <v>-4.8828125E-4</v>
      </c>
      <c r="M53">
        <v>0</v>
      </c>
      <c r="N53">
        <v>4.8828125E-4</v>
      </c>
      <c r="O53">
        <f t="shared" si="0"/>
        <v>4.541015625E-2</v>
      </c>
      <c r="P53">
        <v>0</v>
      </c>
    </row>
    <row r="54" spans="1:16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3.7223009848367745</v>
      </c>
      <c r="H54">
        <v>9.765625E-4</v>
      </c>
      <c r="I54">
        <v>-0.88331208869376399</v>
      </c>
      <c r="J54">
        <v>-8.6260946161500389E-4</v>
      </c>
      <c r="M54">
        <v>0</v>
      </c>
      <c r="N54">
        <v>9.765625E-4</v>
      </c>
      <c r="O54">
        <f t="shared" si="0"/>
        <v>4.638671875E-2</v>
      </c>
      <c r="P54">
        <v>0</v>
      </c>
    </row>
    <row r="55" spans="1:16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6.5140267234643545</v>
      </c>
      <c r="H55">
        <v>4.8828125E-4</v>
      </c>
      <c r="I55">
        <v>-0.80482193554237969</v>
      </c>
      <c r="J55">
        <v>-3.9297946071405258E-4</v>
      </c>
      <c r="M55">
        <v>0</v>
      </c>
      <c r="N55">
        <v>4.8828125E-4</v>
      </c>
      <c r="O55">
        <f t="shared" si="0"/>
        <v>4.6875E-2</v>
      </c>
      <c r="P55">
        <v>0</v>
      </c>
    </row>
    <row r="56" spans="1:16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1.8611504924183875</v>
      </c>
      <c r="H56">
        <v>2.44140625E-4</v>
      </c>
      <c r="I56">
        <v>-0.93984684321104361</v>
      </c>
      <c r="J56">
        <v>-2.2945479570582119E-4</v>
      </c>
      <c r="M56">
        <v>0</v>
      </c>
      <c r="N56">
        <v>2.44140625E-4</v>
      </c>
      <c r="O56">
        <f t="shared" si="0"/>
        <v>4.7119140625E-2</v>
      </c>
      <c r="P56">
        <v>0</v>
      </c>
    </row>
    <row r="57" spans="1:16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5.5834514772551609</v>
      </c>
      <c r="H57">
        <v>4.8828125E-4</v>
      </c>
      <c r="I57">
        <v>-0.83017807812898747</v>
      </c>
      <c r="J57">
        <v>-4.0536038971141966E-4</v>
      </c>
      <c r="M57">
        <v>0</v>
      </c>
      <c r="N57">
        <v>4.8828125E-4</v>
      </c>
      <c r="O57">
        <f t="shared" si="0"/>
        <v>4.7607421875E-2</v>
      </c>
      <c r="P57">
        <v>0</v>
      </c>
    </row>
    <row r="58" spans="1:16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8.3751772158827436</v>
      </c>
      <c r="H58">
        <v>2.44140625E-4</v>
      </c>
      <c r="I58">
        <v>-0.75640935546650756</v>
      </c>
      <c r="J58">
        <v>-1.8467025279944032E-4</v>
      </c>
      <c r="M58">
        <v>0</v>
      </c>
      <c r="N58">
        <v>2.44140625E-4</v>
      </c>
      <c r="O58">
        <f t="shared" si="0"/>
        <v>4.78515625E-2</v>
      </c>
      <c r="P58">
        <v>0</v>
      </c>
    </row>
    <row r="59" spans="1:16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0.93057524620919363</v>
      </c>
      <c r="H59">
        <v>4.8828125E-4</v>
      </c>
      <c r="I59">
        <v>-0.96945698368264055</v>
      </c>
      <c r="J59">
        <v>-4.7336766781378933E-4</v>
      </c>
      <c r="M59">
        <v>0</v>
      </c>
      <c r="N59">
        <v>4.8828125E-4</v>
      </c>
      <c r="O59">
        <f t="shared" si="0"/>
        <v>4.833984375E-2</v>
      </c>
      <c r="P59">
        <v>0</v>
      </c>
    </row>
    <row r="60" spans="1:16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4.6528762310459681</v>
      </c>
      <c r="H60">
        <v>9.765625E-4</v>
      </c>
      <c r="I60">
        <v>-0.85633307315546947</v>
      </c>
      <c r="J60">
        <v>-8.3626276675338816E-4</v>
      </c>
      <c r="M60">
        <v>0</v>
      </c>
      <c r="N60">
        <v>9.765625E-4</v>
      </c>
      <c r="O60">
        <f t="shared" si="0"/>
        <v>4.931640625E-2</v>
      </c>
      <c r="P60">
        <v>0</v>
      </c>
    </row>
    <row r="61" spans="1:16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7.4446019696735473</v>
      </c>
      <c r="H61">
        <v>4.8828125E-4</v>
      </c>
      <c r="I61">
        <v>-0.78024024603254005</v>
      </c>
      <c r="J61">
        <v>-3.809766826330762E-4</v>
      </c>
      <c r="M61">
        <v>0</v>
      </c>
      <c r="N61">
        <v>4.8828125E-4</v>
      </c>
      <c r="O61">
        <f t="shared" si="0"/>
        <v>4.98046875E-2</v>
      </c>
      <c r="P61">
        <v>0</v>
      </c>
    </row>
    <row r="62" spans="1:16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2.44140625E-4</v>
      </c>
      <c r="I62">
        <v>-1</v>
      </c>
      <c r="J62">
        <v>-2.44140625E-4</v>
      </c>
      <c r="M62">
        <v>0</v>
      </c>
      <c r="N62">
        <v>2.44140625E-4</v>
      </c>
      <c r="O62">
        <f t="shared" si="0"/>
        <v>5.0048828125E-2</v>
      </c>
      <c r="P62">
        <v>0</v>
      </c>
    </row>
    <row r="63" spans="1:16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3.7223009848367745</v>
      </c>
      <c r="H63">
        <v>4.8828125E-4</v>
      </c>
      <c r="I63">
        <v>-0.88331208869376399</v>
      </c>
      <c r="J63">
        <v>-4.3130473080750195E-4</v>
      </c>
      <c r="M63">
        <v>0</v>
      </c>
      <c r="N63">
        <v>4.8828125E-4</v>
      </c>
      <c r="O63">
        <f t="shared" si="0"/>
        <v>5.0537109375E-2</v>
      </c>
      <c r="P63">
        <v>0</v>
      </c>
    </row>
    <row r="64" spans="1:16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6.5140267234643545</v>
      </c>
      <c r="H64">
        <v>2.44140625E-4</v>
      </c>
      <c r="I64">
        <v>-0.80482193554237969</v>
      </c>
      <c r="J64">
        <v>-1.9648973035702629E-4</v>
      </c>
      <c r="M64">
        <v>0</v>
      </c>
      <c r="N64">
        <v>2.44140625E-4</v>
      </c>
      <c r="O64">
        <f t="shared" si="0"/>
        <v>5.078125E-2</v>
      </c>
      <c r="P64">
        <v>0</v>
      </c>
    </row>
    <row r="65" spans="1:16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1.8611504924183875</v>
      </c>
      <c r="H65">
        <v>4.8828125E-4</v>
      </c>
      <c r="I65">
        <v>-0.93984684321104361</v>
      </c>
      <c r="J65">
        <v>-4.5890959141164239E-4</v>
      </c>
      <c r="M65">
        <v>0</v>
      </c>
      <c r="N65">
        <v>4.8828125E-4</v>
      </c>
      <c r="O65">
        <f t="shared" si="0"/>
        <v>5.126953125E-2</v>
      </c>
      <c r="P65">
        <v>0</v>
      </c>
    </row>
    <row r="66" spans="1:16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5.5834514772551609</v>
      </c>
      <c r="H66">
        <v>9.765625E-4</v>
      </c>
      <c r="I66">
        <v>-0.83017807812898747</v>
      </c>
      <c r="J66">
        <v>-8.1072077942283933E-4</v>
      </c>
      <c r="M66">
        <v>0</v>
      </c>
      <c r="N66">
        <v>9.765625E-4</v>
      </c>
      <c r="O66">
        <f t="shared" si="0"/>
        <v>5.224609375E-2</v>
      </c>
      <c r="P66">
        <v>0</v>
      </c>
    </row>
    <row r="67" spans="1:16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8.3751772158827436</v>
      </c>
      <c r="H67">
        <v>4.8828125E-4</v>
      </c>
      <c r="I67">
        <v>-0.75640935546650756</v>
      </c>
      <c r="J67">
        <v>-3.6934050559888064E-4</v>
      </c>
      <c r="M67">
        <v>0</v>
      </c>
      <c r="N67">
        <v>4.8828125E-4</v>
      </c>
      <c r="O67">
        <f t="shared" si="0"/>
        <v>5.2734375E-2</v>
      </c>
      <c r="P67">
        <v>0</v>
      </c>
    </row>
    <row r="68" spans="1:16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0.93057524620919363</v>
      </c>
      <c r="H68">
        <v>9.765625E-4</v>
      </c>
      <c r="I68">
        <v>-0.96945698368264055</v>
      </c>
      <c r="J68">
        <v>-9.4673533562757866E-4</v>
      </c>
      <c r="M68">
        <v>0</v>
      </c>
      <c r="N68">
        <v>9.765625E-4</v>
      </c>
      <c r="O68">
        <f t="shared" ref="O68:O131" si="1">N68+O67</f>
        <v>5.37109375E-2</v>
      </c>
      <c r="P68">
        <v>0</v>
      </c>
    </row>
    <row r="69" spans="1:16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4.6528762310459681</v>
      </c>
      <c r="H69">
        <v>1.953125E-3</v>
      </c>
      <c r="I69">
        <v>-0.85633307315546947</v>
      </c>
      <c r="J69">
        <v>-1.6725255335067763E-3</v>
      </c>
      <c r="M69">
        <v>0</v>
      </c>
      <c r="N69">
        <v>1.953125E-3</v>
      </c>
      <c r="O69">
        <f t="shared" si="1"/>
        <v>5.56640625E-2</v>
      </c>
      <c r="P69">
        <v>0</v>
      </c>
    </row>
    <row r="70" spans="1:16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7.4446019696735473</v>
      </c>
      <c r="H70">
        <v>9.765625E-4</v>
      </c>
      <c r="I70">
        <v>-0.78024024603254005</v>
      </c>
      <c r="J70">
        <v>-7.6195336526615239E-4</v>
      </c>
      <c r="M70">
        <v>0</v>
      </c>
      <c r="N70">
        <v>9.765625E-4</v>
      </c>
      <c r="O70">
        <f t="shared" si="1"/>
        <v>5.6640625E-2</v>
      </c>
      <c r="P70">
        <v>0</v>
      </c>
    </row>
    <row r="71" spans="1:16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4.8828125E-4</v>
      </c>
      <c r="I71">
        <v>-1</v>
      </c>
      <c r="J71">
        <v>-4.8828125E-4</v>
      </c>
      <c r="M71">
        <v>0</v>
      </c>
      <c r="N71">
        <v>4.8828125E-4</v>
      </c>
      <c r="O71">
        <f t="shared" si="1"/>
        <v>5.712890625E-2</v>
      </c>
      <c r="P71">
        <v>0</v>
      </c>
    </row>
    <row r="72" spans="1:16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3.7223009848367745</v>
      </c>
      <c r="H72">
        <v>9.765625E-4</v>
      </c>
      <c r="I72">
        <v>-0.88331208869376399</v>
      </c>
      <c r="J72">
        <v>-8.6260946161500389E-4</v>
      </c>
      <c r="M72">
        <v>0</v>
      </c>
      <c r="N72">
        <v>9.765625E-4</v>
      </c>
      <c r="O72">
        <f t="shared" si="1"/>
        <v>5.810546875E-2</v>
      </c>
      <c r="P72">
        <v>0</v>
      </c>
    </row>
    <row r="73" spans="1:16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6.5140267234643545</v>
      </c>
      <c r="H73">
        <v>4.8828125E-4</v>
      </c>
      <c r="I73">
        <v>-0.80482193554237969</v>
      </c>
      <c r="J73">
        <v>-3.9297946071405258E-4</v>
      </c>
      <c r="M73">
        <v>0</v>
      </c>
      <c r="N73">
        <v>4.8828125E-4</v>
      </c>
      <c r="O73">
        <f t="shared" si="1"/>
        <v>5.859375E-2</v>
      </c>
      <c r="P73">
        <v>0</v>
      </c>
    </row>
    <row r="74" spans="1:16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1.8611504924183875</v>
      </c>
      <c r="H74">
        <v>2.44140625E-4</v>
      </c>
      <c r="I74">
        <v>-0.93984684321104361</v>
      </c>
      <c r="J74">
        <v>-2.2945479570582119E-4</v>
      </c>
      <c r="M74">
        <v>0</v>
      </c>
      <c r="N74">
        <v>2.44140625E-4</v>
      </c>
      <c r="O74">
        <f t="shared" si="1"/>
        <v>5.8837890625E-2</v>
      </c>
      <c r="P74">
        <v>0</v>
      </c>
    </row>
    <row r="75" spans="1:16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5.5834514772551609</v>
      </c>
      <c r="H75">
        <v>4.8828125E-4</v>
      </c>
      <c r="I75">
        <v>-0.83017807812898747</v>
      </c>
      <c r="J75">
        <v>-4.0536038971141966E-4</v>
      </c>
      <c r="M75">
        <v>0</v>
      </c>
      <c r="N75">
        <v>4.8828125E-4</v>
      </c>
      <c r="O75">
        <f t="shared" si="1"/>
        <v>5.9326171875E-2</v>
      </c>
      <c r="P75">
        <v>0</v>
      </c>
    </row>
    <row r="76" spans="1:16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8.3751772158827436</v>
      </c>
      <c r="H76">
        <v>2.44140625E-4</v>
      </c>
      <c r="I76">
        <v>-0.75640935546650756</v>
      </c>
      <c r="J76">
        <v>-1.8467025279944032E-4</v>
      </c>
      <c r="M76">
        <v>0</v>
      </c>
      <c r="N76">
        <v>2.44140625E-4</v>
      </c>
      <c r="O76">
        <f t="shared" si="1"/>
        <v>5.95703125E-2</v>
      </c>
      <c r="P76">
        <v>0</v>
      </c>
    </row>
    <row r="77" spans="1:16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0.93057524620919363</v>
      </c>
      <c r="H77">
        <v>4.8828125E-4</v>
      </c>
      <c r="I77">
        <v>-0.96945698368264055</v>
      </c>
      <c r="J77">
        <v>-4.7336766781378933E-4</v>
      </c>
      <c r="M77">
        <v>0</v>
      </c>
      <c r="N77">
        <v>4.8828125E-4</v>
      </c>
      <c r="O77">
        <f t="shared" si="1"/>
        <v>6.005859375E-2</v>
      </c>
      <c r="P77">
        <v>0</v>
      </c>
    </row>
    <row r="78" spans="1:16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4.6528762310459681</v>
      </c>
      <c r="H78">
        <v>9.765625E-4</v>
      </c>
      <c r="I78">
        <v>-0.85633307315546947</v>
      </c>
      <c r="J78">
        <v>-8.3626276675338816E-4</v>
      </c>
      <c r="M78">
        <v>0</v>
      </c>
      <c r="N78">
        <v>9.765625E-4</v>
      </c>
      <c r="O78">
        <f t="shared" si="1"/>
        <v>6.103515625E-2</v>
      </c>
      <c r="P78">
        <v>0</v>
      </c>
    </row>
    <row r="79" spans="1:16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7.4446019696735473</v>
      </c>
      <c r="H79">
        <v>4.8828125E-4</v>
      </c>
      <c r="I79">
        <v>-0.78024024603254005</v>
      </c>
      <c r="J79">
        <v>-3.809766826330762E-4</v>
      </c>
      <c r="M79">
        <v>0</v>
      </c>
      <c r="N79">
        <v>4.8828125E-4</v>
      </c>
      <c r="O79">
        <f t="shared" si="1"/>
        <v>6.15234375E-2</v>
      </c>
      <c r="P79">
        <v>0</v>
      </c>
    </row>
    <row r="80" spans="1:16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2.44140625E-4</v>
      </c>
      <c r="I80">
        <v>-1</v>
      </c>
      <c r="J80">
        <v>-2.44140625E-4</v>
      </c>
      <c r="M80">
        <v>0</v>
      </c>
      <c r="N80">
        <v>2.44140625E-4</v>
      </c>
      <c r="O80">
        <f t="shared" si="1"/>
        <v>6.1767578125E-2</v>
      </c>
      <c r="P80">
        <v>0</v>
      </c>
    </row>
    <row r="81" spans="1:16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3.7223009848367745</v>
      </c>
      <c r="H81">
        <v>4.8828125E-4</v>
      </c>
      <c r="I81">
        <v>-0.88331208869376399</v>
      </c>
      <c r="J81">
        <v>-4.3130473080750195E-4</v>
      </c>
      <c r="M81">
        <v>0</v>
      </c>
      <c r="N81">
        <v>4.8828125E-4</v>
      </c>
      <c r="O81">
        <f t="shared" si="1"/>
        <v>6.2255859375E-2</v>
      </c>
      <c r="P81">
        <v>0</v>
      </c>
    </row>
    <row r="82" spans="1:16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6.5140267234643545</v>
      </c>
      <c r="H82">
        <v>2.44140625E-4</v>
      </c>
      <c r="I82">
        <v>-0.80482193554237969</v>
      </c>
      <c r="J82">
        <v>-1.9648973035702629E-4</v>
      </c>
      <c r="M82">
        <v>0</v>
      </c>
      <c r="N82">
        <v>2.44140625E-4</v>
      </c>
      <c r="O82">
        <f t="shared" si="1"/>
        <v>6.25E-2</v>
      </c>
      <c r="P82">
        <v>0</v>
      </c>
    </row>
    <row r="83" spans="1:16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2.9739715250640515</v>
      </c>
      <c r="H83">
        <v>4.8828125E-4</v>
      </c>
      <c r="I83">
        <v>-0.90562280996447619</v>
      </c>
      <c r="J83">
        <v>-4.4219863767796689E-4</v>
      </c>
      <c r="M83">
        <v>0.93057524620919363</v>
      </c>
      <c r="N83">
        <v>4.8828125E-4</v>
      </c>
      <c r="O83">
        <f t="shared" si="1"/>
        <v>6.298828125E-2</v>
      </c>
      <c r="P83">
        <v>0.93057524620919363</v>
      </c>
    </row>
    <row r="84" spans="1:16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8.9219145751921509</v>
      </c>
      <c r="H84">
        <v>9.765625E-4</v>
      </c>
      <c r="I84">
        <v>-0.74274896916251221</v>
      </c>
      <c r="J84">
        <v>-7.2534079019776583E-4</v>
      </c>
      <c r="M84">
        <v>0.93057524620919363</v>
      </c>
      <c r="N84">
        <v>9.765625E-4</v>
      </c>
      <c r="O84">
        <f t="shared" si="1"/>
        <v>6.396484375E-2</v>
      </c>
      <c r="P84">
        <v>0.93057524620919363</v>
      </c>
    </row>
    <row r="85" spans="1:16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13.38287186278823</v>
      </c>
      <c r="H85">
        <v>4.8828125E-4</v>
      </c>
      <c r="I85">
        <v>-0.64012249099645369</v>
      </c>
      <c r="J85">
        <v>-3.1255981005686215E-4</v>
      </c>
      <c r="M85">
        <v>0.93057524620919363</v>
      </c>
      <c r="N85">
        <v>4.8828125E-4</v>
      </c>
      <c r="O85">
        <f t="shared" si="1"/>
        <v>6.4453125E-2</v>
      </c>
      <c r="P85">
        <v>0.93057524620919363</v>
      </c>
    </row>
    <row r="86" spans="1:16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1.4869857625320251</v>
      </c>
      <c r="H86">
        <v>9.765625E-4</v>
      </c>
      <c r="I86">
        <v>-0.95164216487316078</v>
      </c>
      <c r="J86">
        <v>-9.2933805163394607E-4</v>
      </c>
      <c r="M86">
        <v>0.93057524620919363</v>
      </c>
      <c r="N86">
        <v>9.765625E-4</v>
      </c>
      <c r="O86">
        <f t="shared" si="1"/>
        <v>6.54296875E-2</v>
      </c>
      <c r="P86">
        <v>0.93057524620919363</v>
      </c>
    </row>
    <row r="87" spans="1:16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7.4349288126601252</v>
      </c>
      <c r="H87">
        <v>1.953125E-3</v>
      </c>
      <c r="I87">
        <v>-0.78049186614330945</v>
      </c>
      <c r="J87">
        <v>-1.5243981760611513E-3</v>
      </c>
      <c r="M87">
        <v>0.93057524620919363</v>
      </c>
      <c r="N87">
        <v>1.953125E-3</v>
      </c>
      <c r="O87">
        <f t="shared" si="1"/>
        <v>6.73828125E-2</v>
      </c>
      <c r="P87">
        <v>0.93057524620919363</v>
      </c>
    </row>
    <row r="88" spans="1:16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11.895886100256201</v>
      </c>
      <c r="H88">
        <v>9.765625E-4</v>
      </c>
      <c r="I88">
        <v>-0.67265040855117242</v>
      </c>
      <c r="J88">
        <v>-6.5688516460075431E-4</v>
      </c>
      <c r="M88">
        <v>0.93057524620919363</v>
      </c>
      <c r="N88">
        <v>9.765625E-4</v>
      </c>
      <c r="O88">
        <f t="shared" si="1"/>
        <v>6.8359375E-2</v>
      </c>
      <c r="P88">
        <v>0.93057524620919363</v>
      </c>
    </row>
    <row r="89" spans="1:16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4.8828125E-4</v>
      </c>
      <c r="I89">
        <v>-1</v>
      </c>
      <c r="J89">
        <v>-4.8828125E-4</v>
      </c>
      <c r="M89">
        <v>0.93057524620919363</v>
      </c>
      <c r="N89">
        <v>4.8828125E-4</v>
      </c>
      <c r="O89">
        <f t="shared" si="1"/>
        <v>6.884765625E-2</v>
      </c>
      <c r="P89">
        <v>0.93057524620919363</v>
      </c>
    </row>
    <row r="90" spans="1:16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5.9479430501281003</v>
      </c>
      <c r="H90">
        <v>9.765625E-4</v>
      </c>
      <c r="I90">
        <v>-0.82015267392795377</v>
      </c>
      <c r="J90">
        <v>-8.0093034563276735E-4</v>
      </c>
      <c r="M90">
        <v>0.93057524620919363</v>
      </c>
      <c r="N90">
        <v>9.765625E-4</v>
      </c>
      <c r="O90">
        <f t="shared" si="1"/>
        <v>6.982421875E-2</v>
      </c>
      <c r="P90">
        <v>0.93057524620919363</v>
      </c>
    </row>
    <row r="91" spans="1:16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10.408900337724178</v>
      </c>
      <c r="H91">
        <v>4.8828125E-4</v>
      </c>
      <c r="I91">
        <v>-0.7068312369711216</v>
      </c>
      <c r="J91">
        <v>-3.4513243992730547E-4</v>
      </c>
      <c r="M91">
        <v>0.93057524620919363</v>
      </c>
      <c r="N91">
        <v>4.8828125E-4</v>
      </c>
      <c r="O91">
        <f t="shared" si="1"/>
        <v>7.03125E-2</v>
      </c>
      <c r="P91">
        <v>0.93057524620919363</v>
      </c>
    </row>
    <row r="92" spans="1:16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2.9739715250640515</v>
      </c>
      <c r="H92">
        <v>9.765625E-4</v>
      </c>
      <c r="I92">
        <v>-0.90562280996447619</v>
      </c>
      <c r="J92">
        <v>-8.8439727535593378E-4</v>
      </c>
      <c r="M92">
        <v>1.4869857625320251</v>
      </c>
      <c r="N92">
        <v>9.765625E-4</v>
      </c>
      <c r="O92">
        <f t="shared" si="1"/>
        <v>7.12890625E-2</v>
      </c>
      <c r="P92">
        <v>1.4869857625320251</v>
      </c>
    </row>
    <row r="93" spans="1:16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8.9219145751921509</v>
      </c>
      <c r="H93">
        <v>1.953125E-3</v>
      </c>
      <c r="I93">
        <v>-0.74274896916251221</v>
      </c>
      <c r="J93">
        <v>-1.4506815803955317E-3</v>
      </c>
      <c r="M93">
        <v>1.4869857625320251</v>
      </c>
      <c r="N93">
        <v>1.953125E-3</v>
      </c>
      <c r="O93">
        <f t="shared" si="1"/>
        <v>7.32421875E-2</v>
      </c>
      <c r="P93">
        <v>1.4869857625320251</v>
      </c>
    </row>
    <row r="94" spans="1:16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13.38287186278823</v>
      </c>
      <c r="H94">
        <v>9.765625E-4</v>
      </c>
      <c r="I94">
        <v>-0.64012249099645369</v>
      </c>
      <c r="J94">
        <v>-6.251196201137243E-4</v>
      </c>
      <c r="M94">
        <v>1.4869857625320251</v>
      </c>
      <c r="N94">
        <v>9.765625E-4</v>
      </c>
      <c r="O94">
        <f t="shared" si="1"/>
        <v>7.421875E-2</v>
      </c>
      <c r="P94">
        <v>1.4869857625320251</v>
      </c>
    </row>
    <row r="95" spans="1:16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1.4869857625320251</v>
      </c>
      <c r="H95">
        <v>1.953125E-3</v>
      </c>
      <c r="I95">
        <v>-0.95164216487316078</v>
      </c>
      <c r="J95">
        <v>-1.8586761032678921E-3</v>
      </c>
      <c r="M95">
        <v>1.4869857625320251</v>
      </c>
      <c r="N95">
        <v>1.953125E-3</v>
      </c>
      <c r="O95">
        <f t="shared" si="1"/>
        <v>7.6171875E-2</v>
      </c>
      <c r="P95">
        <v>1.4869857625320251</v>
      </c>
    </row>
    <row r="96" spans="1:16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7.4349288126601252</v>
      </c>
      <c r="H96">
        <v>3.90625E-3</v>
      </c>
      <c r="I96">
        <v>-0.78049186614330945</v>
      </c>
      <c r="J96">
        <v>-3.0487963521223026E-3</v>
      </c>
      <c r="M96">
        <v>1.4869857625320251</v>
      </c>
      <c r="N96">
        <v>3.90625E-3</v>
      </c>
      <c r="O96">
        <f t="shared" si="1"/>
        <v>8.0078125E-2</v>
      </c>
      <c r="P96">
        <v>1.4869857625320251</v>
      </c>
    </row>
    <row r="97" spans="1:16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11.895886100256201</v>
      </c>
      <c r="H97">
        <v>1.953125E-3</v>
      </c>
      <c r="I97">
        <v>-0.67265040855117242</v>
      </c>
      <c r="J97">
        <v>-1.3137703292015086E-3</v>
      </c>
      <c r="M97">
        <v>1.4869857625320251</v>
      </c>
      <c r="N97">
        <v>1.953125E-3</v>
      </c>
      <c r="O97">
        <f t="shared" si="1"/>
        <v>8.203125E-2</v>
      </c>
      <c r="P97">
        <v>1.4869857625320251</v>
      </c>
    </row>
    <row r="98" spans="1:16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9.765625E-4</v>
      </c>
      <c r="I98">
        <v>-1</v>
      </c>
      <c r="J98">
        <v>-9.765625E-4</v>
      </c>
      <c r="M98">
        <v>1.4869857625320251</v>
      </c>
      <c r="N98">
        <v>9.765625E-4</v>
      </c>
      <c r="O98">
        <f t="shared" si="1"/>
        <v>8.30078125E-2</v>
      </c>
      <c r="P98">
        <v>1.4869857625320251</v>
      </c>
    </row>
    <row r="99" spans="1:16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5.9479430501281003</v>
      </c>
      <c r="H99">
        <v>1.953125E-3</v>
      </c>
      <c r="I99">
        <v>-0.82015267392795377</v>
      </c>
      <c r="J99">
        <v>-1.6018606912655347E-3</v>
      </c>
      <c r="M99">
        <v>1.4869857625320251</v>
      </c>
      <c r="N99">
        <v>1.953125E-3</v>
      </c>
      <c r="O99">
        <f t="shared" si="1"/>
        <v>8.49609375E-2</v>
      </c>
      <c r="P99">
        <v>1.4869857625320251</v>
      </c>
    </row>
    <row r="100" spans="1:16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10.408900337724178</v>
      </c>
      <c r="H100">
        <v>9.765625E-4</v>
      </c>
      <c r="I100">
        <v>-0.7068312369711216</v>
      </c>
      <c r="J100">
        <v>-6.9026487985461094E-4</v>
      </c>
      <c r="M100">
        <v>1.4869857625320251</v>
      </c>
      <c r="N100">
        <v>9.765625E-4</v>
      </c>
      <c r="O100">
        <f t="shared" si="1"/>
        <v>8.59375E-2</v>
      </c>
      <c r="P100">
        <v>1.4869857625320251</v>
      </c>
    </row>
    <row r="101" spans="1:16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2.9739715250640515</v>
      </c>
      <c r="H101">
        <v>4.8828125E-4</v>
      </c>
      <c r="I101">
        <v>-0.90562280996447619</v>
      </c>
      <c r="J101">
        <v>-4.4219863767796689E-4</v>
      </c>
      <c r="M101">
        <v>1.6162041121082618</v>
      </c>
      <c r="N101">
        <v>4.8828125E-4</v>
      </c>
      <c r="O101">
        <f t="shared" si="1"/>
        <v>8.642578125E-2</v>
      </c>
      <c r="P101">
        <v>1.6162041121082618</v>
      </c>
    </row>
    <row r="102" spans="1:16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8.9219145751921509</v>
      </c>
      <c r="H102">
        <v>9.765625E-4</v>
      </c>
      <c r="I102">
        <v>-0.74274896916251221</v>
      </c>
      <c r="J102">
        <v>-7.2534079019776583E-4</v>
      </c>
      <c r="M102">
        <v>1.6162041121082618</v>
      </c>
      <c r="N102">
        <v>9.765625E-4</v>
      </c>
      <c r="O102">
        <f t="shared" si="1"/>
        <v>8.740234375E-2</v>
      </c>
      <c r="P102">
        <v>1.6162041121082618</v>
      </c>
    </row>
    <row r="103" spans="1:16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13.38287186278823</v>
      </c>
      <c r="H103">
        <v>4.8828125E-4</v>
      </c>
      <c r="I103">
        <v>-0.64012249099645369</v>
      </c>
      <c r="J103">
        <v>-3.1255981005686215E-4</v>
      </c>
      <c r="M103">
        <v>1.6162041121082618</v>
      </c>
      <c r="N103">
        <v>4.8828125E-4</v>
      </c>
      <c r="O103">
        <f t="shared" si="1"/>
        <v>8.7890625E-2</v>
      </c>
      <c r="P103">
        <v>1.6162041121082618</v>
      </c>
    </row>
    <row r="104" spans="1:16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1.4869857625320251</v>
      </c>
      <c r="H104">
        <v>9.765625E-4</v>
      </c>
      <c r="I104">
        <v>-0.95164216487316078</v>
      </c>
      <c r="J104">
        <v>-9.2933805163394607E-4</v>
      </c>
      <c r="M104">
        <v>1.6162041121082618</v>
      </c>
      <c r="N104">
        <v>9.765625E-4</v>
      </c>
      <c r="O104">
        <f t="shared" si="1"/>
        <v>8.88671875E-2</v>
      </c>
      <c r="P104">
        <v>1.6162041121082618</v>
      </c>
    </row>
    <row r="105" spans="1:16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7.4349288126601252</v>
      </c>
      <c r="H105">
        <v>1.953125E-3</v>
      </c>
      <c r="I105">
        <v>-0.78049186614330945</v>
      </c>
      <c r="J105">
        <v>-1.5243981760611513E-3</v>
      </c>
      <c r="M105">
        <v>1.6162041121082618</v>
      </c>
      <c r="N105">
        <v>1.953125E-3</v>
      </c>
      <c r="O105">
        <f t="shared" si="1"/>
        <v>9.08203125E-2</v>
      </c>
      <c r="P105">
        <v>1.6162041121082618</v>
      </c>
    </row>
    <row r="106" spans="1:16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11.895886100256201</v>
      </c>
      <c r="H106">
        <v>9.765625E-4</v>
      </c>
      <c r="I106">
        <v>-0.67265040855117242</v>
      </c>
      <c r="J106">
        <v>-6.5688516460075431E-4</v>
      </c>
      <c r="M106">
        <v>1.6162041121082618</v>
      </c>
      <c r="N106">
        <v>9.765625E-4</v>
      </c>
      <c r="O106">
        <f t="shared" si="1"/>
        <v>9.1796875E-2</v>
      </c>
      <c r="P106">
        <v>1.6162041121082618</v>
      </c>
    </row>
    <row r="107" spans="1:16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4.8828125E-4</v>
      </c>
      <c r="I107">
        <v>-1</v>
      </c>
      <c r="J107">
        <v>-4.8828125E-4</v>
      </c>
      <c r="M107">
        <v>1.6162041121082618</v>
      </c>
      <c r="N107">
        <v>4.8828125E-4</v>
      </c>
      <c r="O107">
        <f t="shared" si="1"/>
        <v>9.228515625E-2</v>
      </c>
      <c r="P107">
        <v>1.6162041121082618</v>
      </c>
    </row>
    <row r="108" spans="1:16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5.9479430501281003</v>
      </c>
      <c r="H108">
        <v>9.765625E-4</v>
      </c>
      <c r="I108">
        <v>-0.82015267392795377</v>
      </c>
      <c r="J108">
        <v>-8.0093034563276735E-4</v>
      </c>
      <c r="M108">
        <v>1.6162041121082618</v>
      </c>
      <c r="N108">
        <v>9.765625E-4</v>
      </c>
      <c r="O108">
        <f t="shared" si="1"/>
        <v>9.326171875E-2</v>
      </c>
      <c r="P108">
        <v>1.6162041121082618</v>
      </c>
    </row>
    <row r="109" spans="1:16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10.408900337724178</v>
      </c>
      <c r="H109">
        <v>4.8828125E-4</v>
      </c>
      <c r="I109">
        <v>-0.7068312369711216</v>
      </c>
      <c r="J109">
        <v>-3.4513243992730547E-4</v>
      </c>
      <c r="M109">
        <v>1.6162041121082618</v>
      </c>
      <c r="N109">
        <v>4.8828125E-4</v>
      </c>
      <c r="O109">
        <f t="shared" si="1"/>
        <v>9.375E-2</v>
      </c>
      <c r="P109">
        <v>1.6162041121082618</v>
      </c>
    </row>
    <row r="110" spans="1:16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2.9739715250640515</v>
      </c>
      <c r="H110">
        <v>9.765625E-4</v>
      </c>
      <c r="I110">
        <v>-0.90562280996447619</v>
      </c>
      <c r="J110">
        <v>-8.8439727535593378E-4</v>
      </c>
      <c r="M110">
        <v>1.8611504924183875</v>
      </c>
      <c r="N110" s="96">
        <v>2.44140625E-4</v>
      </c>
      <c r="O110">
        <f t="shared" si="1"/>
        <v>9.3994140625E-2</v>
      </c>
      <c r="P110">
        <v>1.8611504924183875</v>
      </c>
    </row>
    <row r="111" spans="1:16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8.9219145751921509</v>
      </c>
      <c r="H111">
        <v>1.953125E-3</v>
      </c>
      <c r="I111">
        <v>-0.74274896916251221</v>
      </c>
      <c r="J111">
        <v>-1.4506815803955317E-3</v>
      </c>
      <c r="M111">
        <v>1.8611504924183875</v>
      </c>
      <c r="N111">
        <v>4.8828125E-4</v>
      </c>
      <c r="O111">
        <f t="shared" si="1"/>
        <v>9.4482421875E-2</v>
      </c>
      <c r="P111">
        <v>1.8611504924183875</v>
      </c>
    </row>
    <row r="112" spans="1:16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13.38287186278823</v>
      </c>
      <c r="H112">
        <v>9.765625E-4</v>
      </c>
      <c r="I112">
        <v>-0.64012249099645369</v>
      </c>
      <c r="J112">
        <v>-6.251196201137243E-4</v>
      </c>
      <c r="M112">
        <v>1.8611504924183875</v>
      </c>
      <c r="N112">
        <v>2.44140625E-4</v>
      </c>
      <c r="O112">
        <f t="shared" si="1"/>
        <v>9.47265625E-2</v>
      </c>
      <c r="P112">
        <v>1.8611504924183875</v>
      </c>
    </row>
    <row r="113" spans="1:16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1.4869857625320251</v>
      </c>
      <c r="H113">
        <v>1.953125E-3</v>
      </c>
      <c r="I113">
        <v>-0.95164216487316078</v>
      </c>
      <c r="J113">
        <v>-1.8586761032678921E-3</v>
      </c>
      <c r="M113">
        <v>1.8611504924183875</v>
      </c>
      <c r="N113">
        <v>4.8828125E-4</v>
      </c>
      <c r="O113">
        <f t="shared" si="1"/>
        <v>9.521484375E-2</v>
      </c>
      <c r="P113">
        <v>1.8611504924183875</v>
      </c>
    </row>
    <row r="114" spans="1:16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7.4349288126601252</v>
      </c>
      <c r="H114">
        <v>3.90625E-3</v>
      </c>
      <c r="I114">
        <v>-0.78049186614330945</v>
      </c>
      <c r="J114">
        <v>-3.0487963521223026E-3</v>
      </c>
      <c r="M114">
        <v>1.8611504924183875</v>
      </c>
      <c r="N114">
        <v>9.765625E-4</v>
      </c>
      <c r="O114">
        <f t="shared" si="1"/>
        <v>9.619140625E-2</v>
      </c>
      <c r="P114">
        <v>1.8611504924183875</v>
      </c>
    </row>
    <row r="115" spans="1:16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11.895886100256201</v>
      </c>
      <c r="H115">
        <v>1.953125E-3</v>
      </c>
      <c r="I115">
        <v>-0.67265040855117242</v>
      </c>
      <c r="J115">
        <v>-1.3137703292015086E-3</v>
      </c>
      <c r="M115">
        <v>1.8611504924183875</v>
      </c>
      <c r="N115">
        <v>4.8828125E-4</v>
      </c>
      <c r="O115">
        <f t="shared" si="1"/>
        <v>9.66796875E-2</v>
      </c>
      <c r="P115">
        <v>1.8611504924183875</v>
      </c>
    </row>
    <row r="116" spans="1:16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9.765625E-4</v>
      </c>
      <c r="I116">
        <v>-1</v>
      </c>
      <c r="J116">
        <v>-9.765625E-4</v>
      </c>
      <c r="M116">
        <v>1.8611504924183875</v>
      </c>
      <c r="N116">
        <v>2.44140625E-4</v>
      </c>
      <c r="O116">
        <f t="shared" si="1"/>
        <v>9.6923828125E-2</v>
      </c>
      <c r="P116">
        <v>1.8611504924183875</v>
      </c>
    </row>
    <row r="117" spans="1:16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5.9479430501281003</v>
      </c>
      <c r="H117">
        <v>1.953125E-3</v>
      </c>
      <c r="I117">
        <v>-0.82015267392795377</v>
      </c>
      <c r="J117">
        <v>-1.6018606912655347E-3</v>
      </c>
      <c r="M117">
        <v>1.8611504924183875</v>
      </c>
      <c r="N117">
        <v>4.8828125E-4</v>
      </c>
      <c r="O117">
        <f t="shared" si="1"/>
        <v>9.7412109375E-2</v>
      </c>
      <c r="P117">
        <v>1.8611504924183875</v>
      </c>
    </row>
    <row r="118" spans="1:16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10.408900337724178</v>
      </c>
      <c r="H118">
        <v>9.765625E-4</v>
      </c>
      <c r="I118">
        <v>-0.7068312369711216</v>
      </c>
      <c r="J118">
        <v>-6.9026487985461094E-4</v>
      </c>
      <c r="M118">
        <v>1.8611504924183875</v>
      </c>
      <c r="N118">
        <v>2.44140625E-4</v>
      </c>
      <c r="O118">
        <f t="shared" si="1"/>
        <v>9.765625E-2</v>
      </c>
      <c r="P118">
        <v>1.8611504924183875</v>
      </c>
    </row>
    <row r="119" spans="1:16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2.9739715250640515</v>
      </c>
      <c r="H119">
        <v>1.953125E-3</v>
      </c>
      <c r="I119">
        <v>-0.90562280996447619</v>
      </c>
      <c r="J119">
        <v>-1.7687945507118676E-3</v>
      </c>
      <c r="M119">
        <v>2.3264381155229863</v>
      </c>
      <c r="N119">
        <v>9.765625E-4</v>
      </c>
      <c r="O119">
        <f t="shared" si="1"/>
        <v>9.86328125E-2</v>
      </c>
      <c r="P119">
        <v>2.3264381155229863</v>
      </c>
    </row>
    <row r="120" spans="1:16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8.9219145751921509</v>
      </c>
      <c r="H120">
        <v>3.90625E-3</v>
      </c>
      <c r="I120">
        <v>-0.74274896916251221</v>
      </c>
      <c r="J120">
        <v>-2.9013631607910633E-3</v>
      </c>
      <c r="M120">
        <v>2.3264381155229863</v>
      </c>
      <c r="N120">
        <v>1.953125E-3</v>
      </c>
      <c r="O120">
        <f t="shared" si="1"/>
        <v>0.1005859375</v>
      </c>
      <c r="P120">
        <v>2.3264381155229863</v>
      </c>
    </row>
    <row r="121" spans="1:16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13.38287186278823</v>
      </c>
      <c r="H121">
        <v>1.953125E-3</v>
      </c>
      <c r="I121">
        <v>-0.64012249099645369</v>
      </c>
      <c r="J121">
        <v>-1.2502392402274486E-3</v>
      </c>
      <c r="M121">
        <v>2.3264381155229863</v>
      </c>
      <c r="N121">
        <v>9.765625E-4</v>
      </c>
      <c r="O121">
        <f t="shared" si="1"/>
        <v>0.1015625</v>
      </c>
      <c r="P121">
        <v>2.3264381155229863</v>
      </c>
    </row>
    <row r="122" spans="1:16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1.4869857625320251</v>
      </c>
      <c r="H122">
        <v>3.90625E-3</v>
      </c>
      <c r="I122">
        <v>-0.95164216487316078</v>
      </c>
      <c r="J122">
        <v>-3.7173522065357843E-3</v>
      </c>
      <c r="M122">
        <v>2.3264381155229863</v>
      </c>
      <c r="N122">
        <v>1.953125E-3</v>
      </c>
      <c r="O122">
        <f t="shared" si="1"/>
        <v>0.103515625</v>
      </c>
      <c r="P122">
        <v>2.3264381155229863</v>
      </c>
    </row>
    <row r="123" spans="1:16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7.4349288126601252</v>
      </c>
      <c r="H123">
        <v>7.8125E-3</v>
      </c>
      <c r="I123">
        <v>-0.78049186614330945</v>
      </c>
      <c r="J123">
        <v>-6.0975927042446051E-3</v>
      </c>
      <c r="M123">
        <v>2.3264381155229863</v>
      </c>
      <c r="N123">
        <v>3.90625E-3</v>
      </c>
      <c r="O123">
        <f t="shared" si="1"/>
        <v>0.107421875</v>
      </c>
      <c r="P123">
        <v>2.3264381155229863</v>
      </c>
    </row>
    <row r="124" spans="1:16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11.895886100256201</v>
      </c>
      <c r="H124">
        <v>3.90625E-3</v>
      </c>
      <c r="I124">
        <v>-0.67265040855117242</v>
      </c>
      <c r="J124">
        <v>-2.6275406584030173E-3</v>
      </c>
      <c r="M124">
        <v>2.3264381155229863</v>
      </c>
      <c r="N124">
        <v>1.953125E-3</v>
      </c>
      <c r="O124">
        <f t="shared" si="1"/>
        <v>0.109375</v>
      </c>
      <c r="P124">
        <v>2.3264381155229863</v>
      </c>
    </row>
    <row r="125" spans="1:16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1.953125E-3</v>
      </c>
      <c r="I125">
        <v>-1</v>
      </c>
      <c r="J125">
        <v>-1.953125E-3</v>
      </c>
      <c r="M125">
        <v>2.3264381155229863</v>
      </c>
      <c r="N125">
        <v>9.765625E-4</v>
      </c>
      <c r="O125">
        <f t="shared" si="1"/>
        <v>0.1103515625</v>
      </c>
      <c r="P125">
        <v>2.3264381155229863</v>
      </c>
    </row>
    <row r="126" spans="1:16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5.9479430501281003</v>
      </c>
      <c r="H126">
        <v>3.90625E-3</v>
      </c>
      <c r="I126">
        <v>-0.82015267392795377</v>
      </c>
      <c r="J126">
        <v>-3.2037213825310694E-3</v>
      </c>
      <c r="M126">
        <v>2.3264381155229863</v>
      </c>
      <c r="N126">
        <v>1.953125E-3</v>
      </c>
      <c r="O126">
        <f t="shared" si="1"/>
        <v>0.1123046875</v>
      </c>
      <c r="P126">
        <v>2.3264381155229863</v>
      </c>
    </row>
    <row r="127" spans="1:16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10.408900337724178</v>
      </c>
      <c r="H127">
        <v>1.953125E-3</v>
      </c>
      <c r="I127">
        <v>-0.7068312369711216</v>
      </c>
      <c r="J127">
        <v>-1.3805297597092219E-3</v>
      </c>
      <c r="M127">
        <v>2.3264381155229863</v>
      </c>
      <c r="N127">
        <v>9.765625E-4</v>
      </c>
      <c r="O127">
        <f t="shared" si="1"/>
        <v>0.11328125</v>
      </c>
      <c r="P127">
        <v>2.3264381155229863</v>
      </c>
    </row>
    <row r="128" spans="1:16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2.9739715250640515</v>
      </c>
      <c r="H128">
        <v>9.765625E-4</v>
      </c>
      <c r="I128">
        <v>-0.90562280996447619</v>
      </c>
      <c r="J128">
        <v>-8.8439727535593378E-4</v>
      </c>
      <c r="M128">
        <v>2.8081690654569935</v>
      </c>
      <c r="N128">
        <v>1.953125E-3</v>
      </c>
      <c r="O128">
        <f t="shared" si="1"/>
        <v>0.115234375</v>
      </c>
      <c r="P128">
        <v>2.8081690654569935</v>
      </c>
    </row>
    <row r="129" spans="1:16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8.9219145751921509</v>
      </c>
      <c r="H129">
        <v>1.953125E-3</v>
      </c>
      <c r="I129">
        <v>-0.74274896916251221</v>
      </c>
      <c r="J129">
        <v>-1.4506815803955317E-3</v>
      </c>
      <c r="M129">
        <v>2.8081690654569935</v>
      </c>
      <c r="N129">
        <v>3.90625E-3</v>
      </c>
      <c r="O129">
        <f t="shared" si="1"/>
        <v>0.119140625</v>
      </c>
      <c r="P129">
        <v>2.8081690654569935</v>
      </c>
    </row>
    <row r="130" spans="1:16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13.38287186278823</v>
      </c>
      <c r="H130">
        <v>9.765625E-4</v>
      </c>
      <c r="I130">
        <v>-0.64012249099645369</v>
      </c>
      <c r="J130">
        <v>-6.251196201137243E-4</v>
      </c>
      <c r="M130">
        <v>2.8081690654569935</v>
      </c>
      <c r="N130">
        <v>1.953125E-3</v>
      </c>
      <c r="O130">
        <f t="shared" si="1"/>
        <v>0.12109375</v>
      </c>
      <c r="P130">
        <v>2.8081690654569935</v>
      </c>
    </row>
    <row r="131" spans="1:16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1.4869857625320251</v>
      </c>
      <c r="H131">
        <v>1.953125E-3</v>
      </c>
      <c r="I131">
        <v>-0.95164216487316078</v>
      </c>
      <c r="J131">
        <v>-1.8586761032678921E-3</v>
      </c>
      <c r="M131">
        <v>2.8081690654569935</v>
      </c>
      <c r="N131">
        <v>3.90625E-3</v>
      </c>
      <c r="O131">
        <f t="shared" si="1"/>
        <v>0.125</v>
      </c>
      <c r="P131">
        <v>2.8081690654569935</v>
      </c>
    </row>
    <row r="132" spans="1:16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7.4349288126601252</v>
      </c>
      <c r="H132">
        <v>3.90625E-3</v>
      </c>
      <c r="I132">
        <v>-0.78049186614330945</v>
      </c>
      <c r="J132">
        <v>-3.0487963521223026E-3</v>
      </c>
      <c r="M132">
        <v>2.8081690654569935</v>
      </c>
      <c r="N132">
        <v>7.8125E-3</v>
      </c>
      <c r="O132">
        <f t="shared" ref="O132:O195" si="2">N132+O131</f>
        <v>0.1328125</v>
      </c>
      <c r="P132">
        <v>2.8081690654569935</v>
      </c>
    </row>
    <row r="133" spans="1:16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11.895886100256201</v>
      </c>
      <c r="H133">
        <v>1.953125E-3</v>
      </c>
      <c r="I133">
        <v>-0.67265040855117242</v>
      </c>
      <c r="J133">
        <v>-1.3137703292015086E-3</v>
      </c>
      <c r="M133">
        <v>2.8081690654569935</v>
      </c>
      <c r="N133">
        <v>3.90625E-3</v>
      </c>
      <c r="O133">
        <f t="shared" si="2"/>
        <v>0.13671875</v>
      </c>
      <c r="P133">
        <v>2.8081690654569935</v>
      </c>
    </row>
    <row r="134" spans="1:16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9.765625E-4</v>
      </c>
      <c r="I134">
        <v>-1</v>
      </c>
      <c r="J134">
        <v>-9.765625E-4</v>
      </c>
      <c r="M134">
        <v>2.8081690654569935</v>
      </c>
      <c r="N134">
        <v>1.953125E-3</v>
      </c>
      <c r="O134">
        <f t="shared" si="2"/>
        <v>0.138671875</v>
      </c>
      <c r="P134">
        <v>2.8081690654569935</v>
      </c>
    </row>
    <row r="135" spans="1:16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5.9479430501281003</v>
      </c>
      <c r="H135">
        <v>1.953125E-3</v>
      </c>
      <c r="I135">
        <v>-0.82015267392795377</v>
      </c>
      <c r="J135">
        <v>-1.6018606912655347E-3</v>
      </c>
      <c r="M135">
        <v>2.8081690654569935</v>
      </c>
      <c r="N135">
        <v>3.90625E-3</v>
      </c>
      <c r="O135">
        <f t="shared" si="2"/>
        <v>0.142578125</v>
      </c>
      <c r="P135">
        <v>2.8081690654569935</v>
      </c>
    </row>
    <row r="136" spans="1:16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10.408900337724178</v>
      </c>
      <c r="H136">
        <v>9.765625E-4</v>
      </c>
      <c r="I136">
        <v>-0.7068312369711216</v>
      </c>
      <c r="J136">
        <v>-6.9026487985461094E-4</v>
      </c>
      <c r="M136">
        <v>2.8081690654569935</v>
      </c>
      <c r="N136">
        <v>1.953125E-3</v>
      </c>
      <c r="O136">
        <f t="shared" si="2"/>
        <v>0.14453125</v>
      </c>
      <c r="P136">
        <v>2.8081690654569935</v>
      </c>
    </row>
    <row r="137" spans="1:16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2.9739715250640515</v>
      </c>
      <c r="H137">
        <v>4.8828125E-4</v>
      </c>
      <c r="I137">
        <v>-0.90562280996447619</v>
      </c>
      <c r="J137">
        <v>-4.4219863767796689E-4</v>
      </c>
      <c r="M137">
        <v>2.8081690654569935</v>
      </c>
      <c r="N137">
        <v>9.765625E-4</v>
      </c>
      <c r="O137">
        <f t="shared" si="2"/>
        <v>0.1455078125</v>
      </c>
      <c r="P137">
        <v>2.8081690654569935</v>
      </c>
    </row>
    <row r="138" spans="1:16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8.9219145751921509</v>
      </c>
      <c r="H138">
        <v>9.765625E-4</v>
      </c>
      <c r="I138">
        <v>-0.74274896916251221</v>
      </c>
      <c r="J138">
        <v>-7.2534079019776583E-4</v>
      </c>
      <c r="M138">
        <v>2.8081690654569935</v>
      </c>
      <c r="N138">
        <v>1.953125E-3</v>
      </c>
      <c r="O138">
        <f t="shared" si="2"/>
        <v>0.1474609375</v>
      </c>
      <c r="P138">
        <v>2.8081690654569935</v>
      </c>
    </row>
    <row r="139" spans="1:16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13.38287186278823</v>
      </c>
      <c r="H139">
        <v>4.8828125E-4</v>
      </c>
      <c r="I139">
        <v>-0.64012249099645369</v>
      </c>
      <c r="J139">
        <v>-3.1255981005686215E-4</v>
      </c>
      <c r="M139">
        <v>2.8081690654569935</v>
      </c>
      <c r="N139">
        <v>9.765625E-4</v>
      </c>
      <c r="O139">
        <f t="shared" si="2"/>
        <v>0.1484375</v>
      </c>
      <c r="P139">
        <v>2.8081690654569935</v>
      </c>
    </row>
    <row r="140" spans="1:16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1.4869857625320251</v>
      </c>
      <c r="H140">
        <v>9.765625E-4</v>
      </c>
      <c r="I140">
        <v>-0.95164216487316078</v>
      </c>
      <c r="J140">
        <v>-9.2933805163394607E-4</v>
      </c>
      <c r="M140">
        <v>2.8081690654569935</v>
      </c>
      <c r="N140">
        <v>1.953125E-3</v>
      </c>
      <c r="O140">
        <f t="shared" si="2"/>
        <v>0.150390625</v>
      </c>
      <c r="P140">
        <v>2.8081690654569935</v>
      </c>
    </row>
    <row r="141" spans="1:16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7.4349288126601252</v>
      </c>
      <c r="H141">
        <v>1.953125E-3</v>
      </c>
      <c r="I141">
        <v>-0.78049186614330945</v>
      </c>
      <c r="J141">
        <v>-1.5243981760611513E-3</v>
      </c>
      <c r="M141">
        <v>2.8081690654569935</v>
      </c>
      <c r="N141">
        <v>3.90625E-3</v>
      </c>
      <c r="O141">
        <f t="shared" si="2"/>
        <v>0.154296875</v>
      </c>
      <c r="P141">
        <v>2.8081690654569935</v>
      </c>
    </row>
    <row r="142" spans="1:16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11.895886100256201</v>
      </c>
      <c r="H142">
        <v>9.765625E-4</v>
      </c>
      <c r="I142">
        <v>-0.67265040855117242</v>
      </c>
      <c r="J142">
        <v>-6.5688516460075431E-4</v>
      </c>
      <c r="M142">
        <v>2.8081690654569935</v>
      </c>
      <c r="N142">
        <v>1.953125E-3</v>
      </c>
      <c r="O142">
        <f t="shared" si="2"/>
        <v>0.15625</v>
      </c>
      <c r="P142">
        <v>2.8081690654569935</v>
      </c>
    </row>
    <row r="143" spans="1:16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4.8828125E-4</v>
      </c>
      <c r="I143">
        <v>-1</v>
      </c>
      <c r="J143">
        <v>-4.8828125E-4</v>
      </c>
      <c r="M143">
        <v>2.8081690654569935</v>
      </c>
      <c r="N143">
        <v>9.765625E-4</v>
      </c>
      <c r="O143">
        <f t="shared" si="2"/>
        <v>0.1572265625</v>
      </c>
      <c r="P143">
        <v>2.8081690654569935</v>
      </c>
    </row>
    <row r="144" spans="1:16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5.9479430501281003</v>
      </c>
      <c r="H144">
        <v>9.765625E-4</v>
      </c>
      <c r="I144">
        <v>-0.82015267392795377</v>
      </c>
      <c r="J144">
        <v>-8.0093034563276735E-4</v>
      </c>
      <c r="M144">
        <v>2.8081690654569935</v>
      </c>
      <c r="N144">
        <v>1.953125E-3</v>
      </c>
      <c r="O144">
        <f t="shared" si="2"/>
        <v>0.1591796875</v>
      </c>
      <c r="P144">
        <v>2.8081690654569935</v>
      </c>
    </row>
    <row r="145" spans="1:16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10.408900337724178</v>
      </c>
      <c r="H145">
        <v>4.8828125E-4</v>
      </c>
      <c r="I145">
        <v>-0.7068312369711216</v>
      </c>
      <c r="J145">
        <v>-3.4513243992730547E-4</v>
      </c>
      <c r="M145">
        <v>2.8081690654569935</v>
      </c>
      <c r="N145">
        <v>9.765625E-4</v>
      </c>
      <c r="O145">
        <f t="shared" si="2"/>
        <v>0.16015625</v>
      </c>
      <c r="P145">
        <v>2.8081690654569935</v>
      </c>
    </row>
    <row r="146" spans="1:16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2.9739715250640515</v>
      </c>
      <c r="H146">
        <v>9.765625E-4</v>
      </c>
      <c r="I146">
        <v>-0.90562280996447619</v>
      </c>
      <c r="J146">
        <v>-8.8439727535593378E-4</v>
      </c>
      <c r="M146">
        <v>2.8081690654569935</v>
      </c>
      <c r="N146">
        <v>4.8828125E-4</v>
      </c>
      <c r="O146">
        <f t="shared" si="2"/>
        <v>0.16064453125</v>
      </c>
      <c r="P146">
        <v>2.8081690654569935</v>
      </c>
    </row>
    <row r="147" spans="1:16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8.9219145751921509</v>
      </c>
      <c r="H147">
        <v>1.953125E-3</v>
      </c>
      <c r="I147">
        <v>-0.74274896916251221</v>
      </c>
      <c r="J147">
        <v>-1.4506815803955317E-3</v>
      </c>
      <c r="M147">
        <v>2.8081690654569935</v>
      </c>
      <c r="N147">
        <v>9.765625E-4</v>
      </c>
      <c r="O147">
        <f t="shared" si="2"/>
        <v>0.16162109375</v>
      </c>
      <c r="P147">
        <v>2.8081690654569935</v>
      </c>
    </row>
    <row r="148" spans="1:16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13.38287186278823</v>
      </c>
      <c r="H148">
        <v>9.765625E-4</v>
      </c>
      <c r="I148">
        <v>-0.64012249099645369</v>
      </c>
      <c r="J148">
        <v>-6.251196201137243E-4</v>
      </c>
      <c r="M148">
        <v>2.8081690654569935</v>
      </c>
      <c r="N148">
        <v>4.8828125E-4</v>
      </c>
      <c r="O148">
        <f t="shared" si="2"/>
        <v>0.162109375</v>
      </c>
      <c r="P148">
        <v>2.8081690654569935</v>
      </c>
    </row>
    <row r="149" spans="1:16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1.4869857625320251</v>
      </c>
      <c r="H149">
        <v>1.953125E-3</v>
      </c>
      <c r="I149">
        <v>-0.95164216487316078</v>
      </c>
      <c r="J149">
        <v>-1.8586761032678921E-3</v>
      </c>
      <c r="M149">
        <v>2.8081690654569935</v>
      </c>
      <c r="N149">
        <v>9.765625E-4</v>
      </c>
      <c r="O149">
        <f t="shared" si="2"/>
        <v>0.1630859375</v>
      </c>
      <c r="P149">
        <v>2.8081690654569935</v>
      </c>
    </row>
    <row r="150" spans="1:16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7.4349288126601252</v>
      </c>
      <c r="H150">
        <v>3.90625E-3</v>
      </c>
      <c r="I150">
        <v>-0.78049186614330945</v>
      </c>
      <c r="J150">
        <v>-3.0487963521223026E-3</v>
      </c>
      <c r="M150">
        <v>2.8081690654569935</v>
      </c>
      <c r="N150">
        <v>1.953125E-3</v>
      </c>
      <c r="O150">
        <f t="shared" si="2"/>
        <v>0.1650390625</v>
      </c>
      <c r="P150">
        <v>2.8081690654569935</v>
      </c>
    </row>
    <row r="151" spans="1:16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11.895886100256201</v>
      </c>
      <c r="H151">
        <v>1.953125E-3</v>
      </c>
      <c r="I151">
        <v>-0.67265040855117242</v>
      </c>
      <c r="J151">
        <v>-1.3137703292015086E-3</v>
      </c>
      <c r="M151">
        <v>2.8081690654569935</v>
      </c>
      <c r="N151">
        <v>9.765625E-4</v>
      </c>
      <c r="O151">
        <f t="shared" si="2"/>
        <v>0.166015625</v>
      </c>
      <c r="P151">
        <v>2.8081690654569935</v>
      </c>
    </row>
    <row r="152" spans="1:16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9.765625E-4</v>
      </c>
      <c r="I152">
        <v>-1</v>
      </c>
      <c r="J152">
        <v>-9.765625E-4</v>
      </c>
      <c r="M152">
        <v>2.8081690654569935</v>
      </c>
      <c r="N152">
        <v>4.8828125E-4</v>
      </c>
      <c r="O152">
        <f t="shared" si="2"/>
        <v>0.16650390625</v>
      </c>
      <c r="P152">
        <v>2.8081690654569935</v>
      </c>
    </row>
    <row r="153" spans="1:16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5.9479430501281003</v>
      </c>
      <c r="H153">
        <v>1.953125E-3</v>
      </c>
      <c r="I153">
        <v>-0.82015267392795377</v>
      </c>
      <c r="J153">
        <v>-1.6018606912655347E-3</v>
      </c>
      <c r="M153">
        <v>2.8081690654569935</v>
      </c>
      <c r="N153">
        <v>9.765625E-4</v>
      </c>
      <c r="O153">
        <f t="shared" si="2"/>
        <v>0.16748046875</v>
      </c>
      <c r="P153">
        <v>2.8081690654569935</v>
      </c>
    </row>
    <row r="154" spans="1:16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10.408900337724178</v>
      </c>
      <c r="H154">
        <v>9.765625E-4</v>
      </c>
      <c r="I154">
        <v>-0.7068312369711216</v>
      </c>
      <c r="J154">
        <v>-6.9026487985461094E-4</v>
      </c>
      <c r="M154">
        <v>2.8081690654569935</v>
      </c>
      <c r="N154">
        <v>4.8828125E-4</v>
      </c>
      <c r="O154">
        <f t="shared" si="2"/>
        <v>0.16796875</v>
      </c>
      <c r="P154">
        <v>2.8081690654569935</v>
      </c>
    </row>
    <row r="155" spans="1:16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2.9739715250640515</v>
      </c>
      <c r="H155">
        <v>4.8828125E-4</v>
      </c>
      <c r="I155">
        <v>-0.90562280996447619</v>
      </c>
      <c r="J155">
        <v>-4.4219863767796689E-4</v>
      </c>
      <c r="M155">
        <v>2.8081690654569935</v>
      </c>
      <c r="N155">
        <v>9.765625E-4</v>
      </c>
      <c r="O155">
        <f t="shared" si="2"/>
        <v>0.1689453125</v>
      </c>
      <c r="P155">
        <v>2.8081690654569935</v>
      </c>
    </row>
    <row r="156" spans="1:16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8.9219145751921509</v>
      </c>
      <c r="H156">
        <v>9.765625E-4</v>
      </c>
      <c r="I156">
        <v>-0.74274896916251221</v>
      </c>
      <c r="J156">
        <v>-7.2534079019776583E-4</v>
      </c>
      <c r="M156">
        <v>2.8081690654569935</v>
      </c>
      <c r="N156">
        <v>1.953125E-3</v>
      </c>
      <c r="O156">
        <f t="shared" si="2"/>
        <v>0.1708984375</v>
      </c>
      <c r="P156">
        <v>2.8081690654569935</v>
      </c>
    </row>
    <row r="157" spans="1:16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13.38287186278823</v>
      </c>
      <c r="H157">
        <v>4.8828125E-4</v>
      </c>
      <c r="I157">
        <v>-0.64012249099645369</v>
      </c>
      <c r="J157">
        <v>-3.1255981005686215E-4</v>
      </c>
      <c r="M157">
        <v>2.8081690654569935</v>
      </c>
      <c r="N157">
        <v>9.765625E-4</v>
      </c>
      <c r="O157">
        <f t="shared" si="2"/>
        <v>0.171875</v>
      </c>
      <c r="P157">
        <v>2.8081690654569935</v>
      </c>
    </row>
    <row r="158" spans="1:16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1.4869857625320251</v>
      </c>
      <c r="H158">
        <v>9.765625E-4</v>
      </c>
      <c r="I158">
        <v>-0.95164216487316078</v>
      </c>
      <c r="J158">
        <v>-9.2933805163394607E-4</v>
      </c>
      <c r="M158">
        <v>2.8081690654569935</v>
      </c>
      <c r="N158">
        <v>1.953125E-3</v>
      </c>
      <c r="O158">
        <f t="shared" si="2"/>
        <v>0.173828125</v>
      </c>
      <c r="P158">
        <v>2.8081690654569935</v>
      </c>
    </row>
    <row r="159" spans="1:16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7.4349288126601252</v>
      </c>
      <c r="H159">
        <v>1.953125E-3</v>
      </c>
      <c r="I159">
        <v>-0.78049186614330945</v>
      </c>
      <c r="J159">
        <v>-1.5243981760611513E-3</v>
      </c>
      <c r="M159">
        <v>2.8081690654569935</v>
      </c>
      <c r="N159">
        <v>3.90625E-3</v>
      </c>
      <c r="O159">
        <f t="shared" si="2"/>
        <v>0.177734375</v>
      </c>
      <c r="P159">
        <v>2.8081690654569935</v>
      </c>
    </row>
    <row r="160" spans="1:16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11.895886100256201</v>
      </c>
      <c r="H160">
        <v>9.765625E-4</v>
      </c>
      <c r="I160">
        <v>-0.67265040855117242</v>
      </c>
      <c r="J160">
        <v>-6.5688516460075431E-4</v>
      </c>
      <c r="M160">
        <v>2.8081690654569935</v>
      </c>
      <c r="N160">
        <v>1.953125E-3</v>
      </c>
      <c r="O160">
        <f t="shared" si="2"/>
        <v>0.1796875</v>
      </c>
      <c r="P160">
        <v>2.8081690654569935</v>
      </c>
    </row>
    <row r="161" spans="1:16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4.8828125E-4</v>
      </c>
      <c r="I161">
        <v>-1</v>
      </c>
      <c r="J161">
        <v>-4.8828125E-4</v>
      </c>
      <c r="M161">
        <v>2.8081690654569935</v>
      </c>
      <c r="N161">
        <v>9.765625E-4</v>
      </c>
      <c r="O161">
        <f t="shared" si="2"/>
        <v>0.1806640625</v>
      </c>
      <c r="P161">
        <v>2.8081690654569935</v>
      </c>
    </row>
    <row r="162" spans="1:16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5.9479430501281003</v>
      </c>
      <c r="H162">
        <v>9.765625E-4</v>
      </c>
      <c r="I162">
        <v>-0.82015267392795377</v>
      </c>
      <c r="J162">
        <v>-8.0093034563276735E-4</v>
      </c>
      <c r="M162">
        <v>2.8081690654569935</v>
      </c>
      <c r="N162">
        <v>1.953125E-3</v>
      </c>
      <c r="O162">
        <f t="shared" si="2"/>
        <v>0.1826171875</v>
      </c>
      <c r="P162">
        <v>2.8081690654569935</v>
      </c>
    </row>
    <row r="163" spans="1:16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10.408900337724178</v>
      </c>
      <c r="H163">
        <v>4.8828125E-4</v>
      </c>
      <c r="I163">
        <v>-0.7068312369711216</v>
      </c>
      <c r="J163">
        <v>-3.4513243992730547E-4</v>
      </c>
      <c r="M163">
        <v>2.8081690654569935</v>
      </c>
      <c r="N163">
        <v>9.765625E-4</v>
      </c>
      <c r="O163">
        <f t="shared" si="2"/>
        <v>0.18359375</v>
      </c>
      <c r="P163">
        <v>2.8081690654569935</v>
      </c>
    </row>
    <row r="164" spans="1:16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3.2324082242165226</v>
      </c>
      <c r="H164">
        <v>2.44140625E-4</v>
      </c>
      <c r="I164">
        <v>-0.89785477808939818</v>
      </c>
      <c r="J164">
        <v>-2.1920282668198198E-4</v>
      </c>
      <c r="M164">
        <v>2.8081690654569935</v>
      </c>
      <c r="N164">
        <v>4.8828125E-4</v>
      </c>
      <c r="O164">
        <f t="shared" si="2"/>
        <v>0.18408203125</v>
      </c>
      <c r="P164">
        <v>2.8081690654569935</v>
      </c>
    </row>
    <row r="165" spans="1:16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9.697224672649563</v>
      </c>
      <c r="H165">
        <v>4.8828125E-4</v>
      </c>
      <c r="I165">
        <v>-0.72379952622299915</v>
      </c>
      <c r="J165">
        <v>-3.534177374135738E-4</v>
      </c>
      <c r="M165">
        <v>2.8081690654569935</v>
      </c>
      <c r="N165">
        <v>9.765625E-4</v>
      </c>
      <c r="O165">
        <f t="shared" si="2"/>
        <v>0.18505859375</v>
      </c>
      <c r="P165">
        <v>2.8081690654569935</v>
      </c>
    </row>
    <row r="166" spans="1:16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14.545837008974342</v>
      </c>
      <c r="H166">
        <v>2.44140625E-4</v>
      </c>
      <c r="I166">
        <v>-0.61578264075601263</v>
      </c>
      <c r="J166">
        <v>-1.503375587783234E-4</v>
      </c>
      <c r="M166">
        <v>2.8081690654569935</v>
      </c>
      <c r="N166">
        <v>4.8828125E-4</v>
      </c>
      <c r="O166">
        <f t="shared" si="2"/>
        <v>0.185546875</v>
      </c>
      <c r="P166">
        <v>2.8081690654569935</v>
      </c>
    </row>
    <row r="167" spans="1:16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1.6162041121082618</v>
      </c>
      <c r="H167">
        <v>4.8828125E-4</v>
      </c>
      <c r="I167">
        <v>-0.94755199228823228</v>
      </c>
      <c r="J167">
        <v>-4.6267187123448842E-4</v>
      </c>
      <c r="M167">
        <v>2.8081690654569935</v>
      </c>
      <c r="N167">
        <v>9.765625E-4</v>
      </c>
      <c r="O167">
        <f t="shared" si="2"/>
        <v>0.1865234375</v>
      </c>
      <c r="P167">
        <v>2.8081690654569935</v>
      </c>
    </row>
    <row r="168" spans="1:16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8.081020560541301</v>
      </c>
      <c r="H168">
        <v>9.765625E-4</v>
      </c>
      <c r="I168">
        <v>-0.7638625976344624</v>
      </c>
      <c r="J168">
        <v>-7.4595956800240469E-4</v>
      </c>
      <c r="M168">
        <v>2.8081690654569935</v>
      </c>
      <c r="N168">
        <v>1.953125E-3</v>
      </c>
      <c r="O168">
        <f t="shared" si="2"/>
        <v>0.1884765625</v>
      </c>
      <c r="P168">
        <v>2.8081690654569935</v>
      </c>
    </row>
    <row r="169" spans="1:16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12.929632896866085</v>
      </c>
      <c r="H169">
        <v>4.8828125E-4</v>
      </c>
      <c r="I169">
        <v>-0.64986686299816243</v>
      </c>
      <c r="J169">
        <v>-3.173178041983215E-4</v>
      </c>
      <c r="M169">
        <v>2.8081690654569935</v>
      </c>
      <c r="N169">
        <v>9.765625E-4</v>
      </c>
      <c r="O169">
        <f t="shared" si="2"/>
        <v>0.189453125</v>
      </c>
      <c r="P169">
        <v>2.8081690654569935</v>
      </c>
    </row>
    <row r="170" spans="1:16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2.44140625E-4</v>
      </c>
      <c r="I170">
        <v>-1</v>
      </c>
      <c r="J170">
        <v>-2.44140625E-4</v>
      </c>
      <c r="M170">
        <v>2.8081690654569935</v>
      </c>
      <c r="N170">
        <v>4.8828125E-4</v>
      </c>
      <c r="O170">
        <f t="shared" si="2"/>
        <v>0.18994140625</v>
      </c>
      <c r="P170">
        <v>2.8081690654569935</v>
      </c>
    </row>
    <row r="171" spans="1:16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6.4648164484330399</v>
      </c>
      <c r="H171">
        <v>4.8828125E-4</v>
      </c>
      <c r="I171">
        <v>-0.80614320253796257</v>
      </c>
      <c r="J171">
        <v>-3.9362461061423953E-4</v>
      </c>
      <c r="M171">
        <v>2.8081690654569935</v>
      </c>
      <c r="N171">
        <v>9.765625E-4</v>
      </c>
      <c r="O171">
        <f t="shared" si="2"/>
        <v>0.19091796875</v>
      </c>
      <c r="P171">
        <v>2.8081690654569935</v>
      </c>
    </row>
    <row r="172" spans="1:16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11.313428784757823</v>
      </c>
      <c r="H172">
        <v>2.44140625E-4</v>
      </c>
      <c r="I172">
        <v>-0.68583768308988147</v>
      </c>
      <c r="J172">
        <v>-1.6744084059811559E-4</v>
      </c>
      <c r="M172">
        <v>2.8081690654569935</v>
      </c>
      <c r="N172">
        <v>4.8828125E-4</v>
      </c>
      <c r="O172">
        <f t="shared" si="2"/>
        <v>0.19140625</v>
      </c>
      <c r="P172">
        <v>2.8081690654569935</v>
      </c>
    </row>
    <row r="173" spans="1:16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3.2324082242165226</v>
      </c>
      <c r="H173">
        <v>4.8828125E-4</v>
      </c>
      <c r="I173">
        <v>-0.89785477808939818</v>
      </c>
      <c r="J173">
        <v>-4.3840565336396395E-4</v>
      </c>
      <c r="M173">
        <v>2.9739715250640515</v>
      </c>
      <c r="N173">
        <v>4.8828125E-4</v>
      </c>
      <c r="O173">
        <f t="shared" si="2"/>
        <v>0.19189453125</v>
      </c>
      <c r="P173">
        <v>2.9739715250640515</v>
      </c>
    </row>
    <row r="174" spans="1:16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9.697224672649563</v>
      </c>
      <c r="H174">
        <v>9.765625E-4</v>
      </c>
      <c r="I174">
        <v>-0.72379952622299915</v>
      </c>
      <c r="J174">
        <v>-7.068354748271476E-4</v>
      </c>
      <c r="M174">
        <v>2.9739715250640515</v>
      </c>
      <c r="N174">
        <v>9.765625E-4</v>
      </c>
      <c r="O174">
        <f t="shared" si="2"/>
        <v>0.19287109375</v>
      </c>
      <c r="P174">
        <v>2.9739715250640515</v>
      </c>
    </row>
    <row r="175" spans="1:16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14.545837008974342</v>
      </c>
      <c r="H175">
        <v>4.8828125E-4</v>
      </c>
      <c r="I175">
        <v>-0.61578264075601263</v>
      </c>
      <c r="J175">
        <v>-3.0067511755664679E-4</v>
      </c>
      <c r="M175">
        <v>2.9739715250640515</v>
      </c>
      <c r="N175">
        <v>4.8828125E-4</v>
      </c>
      <c r="O175">
        <f t="shared" si="2"/>
        <v>0.193359375</v>
      </c>
      <c r="P175">
        <v>2.9739715250640515</v>
      </c>
    </row>
    <row r="176" spans="1:16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1.6162041121082618</v>
      </c>
      <c r="H176">
        <v>9.765625E-4</v>
      </c>
      <c r="I176">
        <v>-0.94755199228823228</v>
      </c>
      <c r="J176">
        <v>-9.2534374246897684E-4</v>
      </c>
      <c r="M176">
        <v>2.9739715250640515</v>
      </c>
      <c r="N176">
        <v>9.765625E-4</v>
      </c>
      <c r="O176">
        <f t="shared" si="2"/>
        <v>0.1943359375</v>
      </c>
      <c r="P176">
        <v>2.9739715250640515</v>
      </c>
    </row>
    <row r="177" spans="1:16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8.081020560541301</v>
      </c>
      <c r="H177">
        <v>1.953125E-3</v>
      </c>
      <c r="I177">
        <v>-0.7638625976344624</v>
      </c>
      <c r="J177">
        <v>-1.4919191360048094E-3</v>
      </c>
      <c r="M177">
        <v>2.9739715250640515</v>
      </c>
      <c r="N177">
        <v>1.953125E-3</v>
      </c>
      <c r="O177">
        <f t="shared" si="2"/>
        <v>0.1962890625</v>
      </c>
      <c r="P177">
        <v>2.9739715250640515</v>
      </c>
    </row>
    <row r="178" spans="1:16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12.929632896866085</v>
      </c>
      <c r="H178">
        <v>9.765625E-4</v>
      </c>
      <c r="I178">
        <v>-0.64986686299816243</v>
      </c>
      <c r="J178">
        <v>-6.34635608396643E-4</v>
      </c>
      <c r="M178">
        <v>2.9739715250640515</v>
      </c>
      <c r="N178">
        <v>9.765625E-4</v>
      </c>
      <c r="O178">
        <f t="shared" si="2"/>
        <v>0.197265625</v>
      </c>
      <c r="P178">
        <v>2.9739715250640515</v>
      </c>
    </row>
    <row r="179" spans="1:16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4.8828125E-4</v>
      </c>
      <c r="I179">
        <v>-1</v>
      </c>
      <c r="J179">
        <v>-4.8828125E-4</v>
      </c>
      <c r="M179">
        <v>2.9739715250640515</v>
      </c>
      <c r="N179">
        <v>4.8828125E-4</v>
      </c>
      <c r="O179">
        <f t="shared" si="2"/>
        <v>0.19775390625</v>
      </c>
      <c r="P179">
        <v>2.9739715250640515</v>
      </c>
    </row>
    <row r="180" spans="1:16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6.4648164484330399</v>
      </c>
      <c r="H180">
        <v>9.765625E-4</v>
      </c>
      <c r="I180">
        <v>-0.80614320253796257</v>
      </c>
      <c r="J180">
        <v>-7.8724922122847907E-4</v>
      </c>
      <c r="M180">
        <v>2.9739715250640515</v>
      </c>
      <c r="N180">
        <v>9.765625E-4</v>
      </c>
      <c r="O180">
        <f t="shared" si="2"/>
        <v>0.19873046875</v>
      </c>
      <c r="P180">
        <v>2.9739715250640515</v>
      </c>
    </row>
    <row r="181" spans="1:16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11.313428784757823</v>
      </c>
      <c r="H181">
        <v>4.8828125E-4</v>
      </c>
      <c r="I181">
        <v>-0.68583768308988147</v>
      </c>
      <c r="J181">
        <v>-3.3488168119623119E-4</v>
      </c>
      <c r="M181">
        <v>2.9739715250640515</v>
      </c>
      <c r="N181">
        <v>4.8828125E-4</v>
      </c>
      <c r="O181">
        <f t="shared" si="2"/>
        <v>0.19921875</v>
      </c>
      <c r="P181">
        <v>2.9739715250640515</v>
      </c>
    </row>
    <row r="182" spans="1:16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3.2324082242165226</v>
      </c>
      <c r="H182">
        <v>2.44140625E-4</v>
      </c>
      <c r="I182">
        <v>-0.89785477808939818</v>
      </c>
      <c r="J182">
        <v>-2.1920282668198198E-4</v>
      </c>
      <c r="M182">
        <v>3.2324082242165226</v>
      </c>
      <c r="N182">
        <v>2.44140625E-4</v>
      </c>
      <c r="O182">
        <f t="shared" si="2"/>
        <v>0.199462890625</v>
      </c>
      <c r="P182">
        <v>3.2324082242165226</v>
      </c>
    </row>
    <row r="183" spans="1:16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9.697224672649563</v>
      </c>
      <c r="H183">
        <v>4.8828125E-4</v>
      </c>
      <c r="I183">
        <v>-0.72379952622299915</v>
      </c>
      <c r="J183">
        <v>-3.534177374135738E-4</v>
      </c>
      <c r="M183">
        <v>3.2324082242165226</v>
      </c>
      <c r="N183">
        <v>4.8828125E-4</v>
      </c>
      <c r="O183">
        <f t="shared" si="2"/>
        <v>0.199951171875</v>
      </c>
      <c r="P183">
        <v>3.2324082242165226</v>
      </c>
    </row>
    <row r="184" spans="1:16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14.545837008974342</v>
      </c>
      <c r="H184">
        <v>2.44140625E-4</v>
      </c>
      <c r="I184">
        <v>-0.61578264075601263</v>
      </c>
      <c r="J184">
        <v>-1.503375587783234E-4</v>
      </c>
      <c r="M184">
        <v>3.2324082242165226</v>
      </c>
      <c r="N184">
        <v>2.44140625E-4</v>
      </c>
      <c r="O184">
        <f t="shared" si="2"/>
        <v>0.2001953125</v>
      </c>
      <c r="P184">
        <v>3.2324082242165226</v>
      </c>
    </row>
    <row r="185" spans="1:16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1.6162041121082618</v>
      </c>
      <c r="H185">
        <v>4.8828125E-4</v>
      </c>
      <c r="I185">
        <v>-0.94755199228823228</v>
      </c>
      <c r="J185">
        <v>-4.6267187123448842E-4</v>
      </c>
      <c r="M185">
        <v>3.2324082242165226</v>
      </c>
      <c r="N185">
        <v>4.8828125E-4</v>
      </c>
      <c r="O185">
        <f t="shared" si="2"/>
        <v>0.20068359375</v>
      </c>
      <c r="P185">
        <v>3.2324082242165226</v>
      </c>
    </row>
    <row r="186" spans="1:16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8.081020560541301</v>
      </c>
      <c r="H186">
        <v>9.765625E-4</v>
      </c>
      <c r="I186">
        <v>-0.7638625976344624</v>
      </c>
      <c r="J186">
        <v>-7.4595956800240469E-4</v>
      </c>
      <c r="M186">
        <v>3.2324082242165226</v>
      </c>
      <c r="N186">
        <v>9.765625E-4</v>
      </c>
      <c r="O186">
        <f t="shared" si="2"/>
        <v>0.20166015625</v>
      </c>
      <c r="P186">
        <v>3.2324082242165226</v>
      </c>
    </row>
    <row r="187" spans="1:16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12.929632896866085</v>
      </c>
      <c r="H187">
        <v>4.8828125E-4</v>
      </c>
      <c r="I187">
        <v>-0.64986686299816243</v>
      </c>
      <c r="J187">
        <v>-3.173178041983215E-4</v>
      </c>
      <c r="M187">
        <v>3.2324082242165226</v>
      </c>
      <c r="N187">
        <v>4.8828125E-4</v>
      </c>
      <c r="O187">
        <f t="shared" si="2"/>
        <v>0.2021484375</v>
      </c>
      <c r="P187">
        <v>3.2324082242165226</v>
      </c>
    </row>
    <row r="188" spans="1:16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2.44140625E-4</v>
      </c>
      <c r="I188">
        <v>-1</v>
      </c>
      <c r="J188">
        <v>-2.44140625E-4</v>
      </c>
      <c r="M188">
        <v>3.2324082242165226</v>
      </c>
      <c r="N188">
        <v>2.44140625E-4</v>
      </c>
      <c r="O188">
        <f t="shared" si="2"/>
        <v>0.202392578125</v>
      </c>
      <c r="P188">
        <v>3.2324082242165226</v>
      </c>
    </row>
    <row r="189" spans="1:16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6.4648164484330399</v>
      </c>
      <c r="H189">
        <v>4.8828125E-4</v>
      </c>
      <c r="I189">
        <v>-0.80614320253796257</v>
      </c>
      <c r="J189">
        <v>-3.9362461061423953E-4</v>
      </c>
      <c r="M189">
        <v>3.2324082242165226</v>
      </c>
      <c r="N189">
        <v>4.8828125E-4</v>
      </c>
      <c r="O189">
        <f t="shared" si="2"/>
        <v>0.202880859375</v>
      </c>
      <c r="P189">
        <v>3.2324082242165226</v>
      </c>
    </row>
    <row r="190" spans="1:16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11.313428784757823</v>
      </c>
      <c r="H190">
        <v>2.44140625E-4</v>
      </c>
      <c r="I190">
        <v>-0.68583768308988147</v>
      </c>
      <c r="J190">
        <v>-1.6744084059811559E-4</v>
      </c>
      <c r="M190">
        <v>3.2324082242165226</v>
      </c>
      <c r="N190">
        <v>2.44140625E-4</v>
      </c>
      <c r="O190">
        <f t="shared" si="2"/>
        <v>0.203125</v>
      </c>
      <c r="P190">
        <v>3.2324082242165226</v>
      </c>
    </row>
    <row r="191" spans="1:16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3.2324082242165226</v>
      </c>
      <c r="H191">
        <v>4.8828125E-4</v>
      </c>
      <c r="I191">
        <v>-0.89785477808939818</v>
      </c>
      <c r="J191">
        <v>-4.3840565336396395E-4</v>
      </c>
      <c r="M191">
        <v>3.7223009848367745</v>
      </c>
      <c r="N191">
        <v>4.8828125E-4</v>
      </c>
      <c r="O191">
        <f t="shared" si="2"/>
        <v>0.20361328125</v>
      </c>
      <c r="P191">
        <v>3.7223009848367745</v>
      </c>
    </row>
    <row r="192" spans="1:16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9.697224672649563</v>
      </c>
      <c r="H192">
        <v>9.765625E-4</v>
      </c>
      <c r="I192">
        <v>-0.72379952622299915</v>
      </c>
      <c r="J192">
        <v>-7.068354748271476E-4</v>
      </c>
      <c r="M192">
        <v>3.7223009848367745</v>
      </c>
      <c r="N192">
        <v>9.765625E-4</v>
      </c>
      <c r="O192">
        <f t="shared" si="2"/>
        <v>0.20458984375</v>
      </c>
      <c r="P192">
        <v>3.7223009848367745</v>
      </c>
    </row>
    <row r="193" spans="1:16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14.545837008974342</v>
      </c>
      <c r="H193">
        <v>4.8828125E-4</v>
      </c>
      <c r="I193">
        <v>-0.61578264075601263</v>
      </c>
      <c r="J193">
        <v>-3.0067511755664679E-4</v>
      </c>
      <c r="M193">
        <v>3.7223009848367745</v>
      </c>
      <c r="N193">
        <v>4.8828125E-4</v>
      </c>
      <c r="O193">
        <f t="shared" si="2"/>
        <v>0.205078125</v>
      </c>
      <c r="P193">
        <v>3.7223009848367745</v>
      </c>
    </row>
    <row r="194" spans="1:16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1.6162041121082618</v>
      </c>
      <c r="H194">
        <v>9.765625E-4</v>
      </c>
      <c r="I194">
        <v>-0.94755199228823228</v>
      </c>
      <c r="J194">
        <v>-9.2534374246897684E-4</v>
      </c>
      <c r="M194">
        <v>3.7223009848367745</v>
      </c>
      <c r="N194">
        <v>9.765625E-4</v>
      </c>
      <c r="O194">
        <f t="shared" si="2"/>
        <v>0.2060546875</v>
      </c>
      <c r="P194">
        <v>3.7223009848367745</v>
      </c>
    </row>
    <row r="195" spans="1:16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8.081020560541301</v>
      </c>
      <c r="H195">
        <v>1.953125E-3</v>
      </c>
      <c r="I195">
        <v>-0.7638625976344624</v>
      </c>
      <c r="J195">
        <v>-1.4919191360048094E-3</v>
      </c>
      <c r="M195">
        <v>3.7223009848367745</v>
      </c>
      <c r="N195">
        <v>1.953125E-3</v>
      </c>
      <c r="O195">
        <f t="shared" si="2"/>
        <v>0.2080078125</v>
      </c>
      <c r="P195">
        <v>3.7223009848367745</v>
      </c>
    </row>
    <row r="196" spans="1:16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12.929632896866085</v>
      </c>
      <c r="H196">
        <v>9.765625E-4</v>
      </c>
      <c r="I196">
        <v>-0.64986686299816243</v>
      </c>
      <c r="J196">
        <v>-6.34635608396643E-4</v>
      </c>
      <c r="M196">
        <v>3.7223009848367745</v>
      </c>
      <c r="N196">
        <v>9.765625E-4</v>
      </c>
      <c r="O196">
        <f t="shared" ref="O196:O259" si="3">N196+O195</f>
        <v>0.208984375</v>
      </c>
      <c r="P196">
        <v>3.7223009848367745</v>
      </c>
    </row>
    <row r="197" spans="1:16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4.8828125E-4</v>
      </c>
      <c r="I197">
        <v>-1</v>
      </c>
      <c r="J197">
        <v>-4.8828125E-4</v>
      </c>
      <c r="M197">
        <v>3.7223009848367745</v>
      </c>
      <c r="N197">
        <v>4.8828125E-4</v>
      </c>
      <c r="O197">
        <f t="shared" si="3"/>
        <v>0.20947265625</v>
      </c>
      <c r="P197">
        <v>3.7223009848367745</v>
      </c>
    </row>
    <row r="198" spans="1:16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6.4648164484330399</v>
      </c>
      <c r="H198">
        <v>9.765625E-4</v>
      </c>
      <c r="I198">
        <v>-0.80614320253796257</v>
      </c>
      <c r="J198">
        <v>-7.8724922122847907E-4</v>
      </c>
      <c r="M198">
        <v>3.7223009848367745</v>
      </c>
      <c r="N198">
        <v>9.765625E-4</v>
      </c>
      <c r="O198">
        <f t="shared" si="3"/>
        <v>0.21044921875</v>
      </c>
      <c r="P198">
        <v>3.7223009848367745</v>
      </c>
    </row>
    <row r="199" spans="1:16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11.313428784757823</v>
      </c>
      <c r="H199">
        <v>4.8828125E-4</v>
      </c>
      <c r="I199">
        <v>-0.68583768308988147</v>
      </c>
      <c r="J199">
        <v>-3.3488168119623119E-4</v>
      </c>
      <c r="M199">
        <v>3.7223009848367745</v>
      </c>
      <c r="N199">
        <v>4.8828125E-4</v>
      </c>
      <c r="O199">
        <f t="shared" si="3"/>
        <v>0.2109375</v>
      </c>
      <c r="P199">
        <v>3.7223009848367745</v>
      </c>
    </row>
    <row r="200" spans="1:16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3.2324082242165226</v>
      </c>
      <c r="H200">
        <v>9.765625E-4</v>
      </c>
      <c r="I200">
        <v>-0.89785477808939818</v>
      </c>
      <c r="J200">
        <v>-8.7681130672792791E-4</v>
      </c>
      <c r="M200">
        <v>4.6528762310459681</v>
      </c>
      <c r="N200">
        <v>9.765625E-4</v>
      </c>
      <c r="O200">
        <f t="shared" si="3"/>
        <v>0.2119140625</v>
      </c>
      <c r="P200">
        <v>4.6528762310459681</v>
      </c>
    </row>
    <row r="201" spans="1:16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9.697224672649563</v>
      </c>
      <c r="H201">
        <v>1.953125E-3</v>
      </c>
      <c r="I201">
        <v>-0.72379952622299915</v>
      </c>
      <c r="J201">
        <v>-1.4136709496542952E-3</v>
      </c>
      <c r="M201">
        <v>4.6528762310459681</v>
      </c>
      <c r="N201">
        <v>1.953125E-3</v>
      </c>
      <c r="O201">
        <f t="shared" si="3"/>
        <v>0.2138671875</v>
      </c>
      <c r="P201">
        <v>4.6528762310459681</v>
      </c>
    </row>
    <row r="202" spans="1:16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14.545837008974342</v>
      </c>
      <c r="H202">
        <v>9.765625E-4</v>
      </c>
      <c r="I202">
        <v>-0.61578264075601263</v>
      </c>
      <c r="J202">
        <v>-6.0135023511329359E-4</v>
      </c>
      <c r="M202">
        <v>4.6528762310459681</v>
      </c>
      <c r="N202">
        <v>9.765625E-4</v>
      </c>
      <c r="O202">
        <f t="shared" si="3"/>
        <v>0.21484375</v>
      </c>
      <c r="P202">
        <v>4.6528762310459681</v>
      </c>
    </row>
    <row r="203" spans="1:16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1.6162041121082618</v>
      </c>
      <c r="H203">
        <v>1.953125E-3</v>
      </c>
      <c r="I203">
        <v>-0.94755199228823228</v>
      </c>
      <c r="J203">
        <v>-1.8506874849379537E-3</v>
      </c>
      <c r="M203">
        <v>4.6528762310459681</v>
      </c>
      <c r="N203">
        <v>1.953125E-3</v>
      </c>
      <c r="O203">
        <f t="shared" si="3"/>
        <v>0.216796875</v>
      </c>
      <c r="P203">
        <v>4.6528762310459681</v>
      </c>
    </row>
    <row r="204" spans="1:16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8.081020560541301</v>
      </c>
      <c r="H204">
        <v>3.90625E-3</v>
      </c>
      <c r="I204">
        <v>-0.7638625976344624</v>
      </c>
      <c r="J204">
        <v>-2.9838382720096188E-3</v>
      </c>
      <c r="M204">
        <v>4.6528762310459681</v>
      </c>
      <c r="N204">
        <v>3.90625E-3</v>
      </c>
      <c r="O204">
        <f t="shared" si="3"/>
        <v>0.220703125</v>
      </c>
      <c r="P204">
        <v>4.6528762310459681</v>
      </c>
    </row>
    <row r="205" spans="1:16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12.929632896866085</v>
      </c>
      <c r="H205">
        <v>1.953125E-3</v>
      </c>
      <c r="I205">
        <v>-0.64986686299816243</v>
      </c>
      <c r="J205">
        <v>-1.269271216793286E-3</v>
      </c>
      <c r="M205">
        <v>4.6528762310459681</v>
      </c>
      <c r="N205">
        <v>1.953125E-3</v>
      </c>
      <c r="O205">
        <f t="shared" si="3"/>
        <v>0.22265625</v>
      </c>
      <c r="P205">
        <v>4.6528762310459681</v>
      </c>
    </row>
    <row r="206" spans="1:16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9.765625E-4</v>
      </c>
      <c r="I206">
        <v>-1</v>
      </c>
      <c r="J206">
        <v>-9.765625E-4</v>
      </c>
      <c r="M206">
        <v>4.6528762310459681</v>
      </c>
      <c r="N206">
        <v>9.765625E-4</v>
      </c>
      <c r="O206">
        <f t="shared" si="3"/>
        <v>0.2236328125</v>
      </c>
      <c r="P206">
        <v>4.6528762310459681</v>
      </c>
    </row>
    <row r="207" spans="1:16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6.4648164484330399</v>
      </c>
      <c r="H207">
        <v>1.953125E-3</v>
      </c>
      <c r="I207">
        <v>-0.80614320253796257</v>
      </c>
      <c r="J207">
        <v>-1.5744984424569581E-3</v>
      </c>
      <c r="M207">
        <v>4.6528762310459681</v>
      </c>
      <c r="N207">
        <v>1.953125E-3</v>
      </c>
      <c r="O207">
        <f t="shared" si="3"/>
        <v>0.2255859375</v>
      </c>
      <c r="P207">
        <v>4.6528762310459681</v>
      </c>
    </row>
    <row r="208" spans="1:16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11.313428784757823</v>
      </c>
      <c r="H208">
        <v>9.765625E-4</v>
      </c>
      <c r="I208">
        <v>-0.68583768308988147</v>
      </c>
      <c r="J208">
        <v>-6.6976336239246237E-4</v>
      </c>
      <c r="M208">
        <v>4.6528762310459681</v>
      </c>
      <c r="N208">
        <v>9.765625E-4</v>
      </c>
      <c r="O208">
        <f t="shared" si="3"/>
        <v>0.2265625</v>
      </c>
      <c r="P208">
        <v>4.6528762310459681</v>
      </c>
    </row>
    <row r="209" spans="1:16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3.2324082242165226</v>
      </c>
      <c r="H209">
        <v>4.8828125E-4</v>
      </c>
      <c r="I209">
        <v>-0.89785477808939818</v>
      </c>
      <c r="J209">
        <v>-4.3840565336396395E-4</v>
      </c>
      <c r="M209">
        <v>4.6528762310459726</v>
      </c>
      <c r="N209">
        <v>4.8828125E-4</v>
      </c>
      <c r="O209">
        <f t="shared" si="3"/>
        <v>0.22705078125</v>
      </c>
      <c r="P209">
        <v>4.6528762310459726</v>
      </c>
    </row>
    <row r="210" spans="1:16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9.697224672649563</v>
      </c>
      <c r="H210">
        <v>9.765625E-4</v>
      </c>
      <c r="I210">
        <v>-0.72379952622299915</v>
      </c>
      <c r="J210">
        <v>-7.068354748271476E-4</v>
      </c>
      <c r="M210">
        <v>4.6528762310459726</v>
      </c>
      <c r="N210">
        <v>9.765625E-4</v>
      </c>
      <c r="O210">
        <f t="shared" si="3"/>
        <v>0.22802734375</v>
      </c>
      <c r="P210">
        <v>4.6528762310459726</v>
      </c>
    </row>
    <row r="211" spans="1:16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14.545837008974342</v>
      </c>
      <c r="H211">
        <v>4.8828125E-4</v>
      </c>
      <c r="I211">
        <v>-0.61578264075601263</v>
      </c>
      <c r="J211">
        <v>-3.0067511755664679E-4</v>
      </c>
      <c r="M211">
        <v>4.6528762310459726</v>
      </c>
      <c r="N211">
        <v>4.8828125E-4</v>
      </c>
      <c r="O211">
        <f t="shared" si="3"/>
        <v>0.228515625</v>
      </c>
      <c r="P211">
        <v>4.6528762310459726</v>
      </c>
    </row>
    <row r="212" spans="1:16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1.6162041121082618</v>
      </c>
      <c r="H212">
        <v>9.765625E-4</v>
      </c>
      <c r="I212">
        <v>-0.94755199228823228</v>
      </c>
      <c r="J212">
        <v>-9.2534374246897684E-4</v>
      </c>
      <c r="M212">
        <v>4.6528762310459726</v>
      </c>
      <c r="N212">
        <v>9.765625E-4</v>
      </c>
      <c r="O212">
        <f t="shared" si="3"/>
        <v>0.2294921875</v>
      </c>
      <c r="P212">
        <v>4.6528762310459726</v>
      </c>
    </row>
    <row r="213" spans="1:16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8.081020560541301</v>
      </c>
      <c r="H213">
        <v>1.953125E-3</v>
      </c>
      <c r="I213">
        <v>-0.7638625976344624</v>
      </c>
      <c r="J213">
        <v>-1.4919191360048094E-3</v>
      </c>
      <c r="M213">
        <v>4.6528762310459726</v>
      </c>
      <c r="N213">
        <v>1.953125E-3</v>
      </c>
      <c r="O213">
        <f t="shared" si="3"/>
        <v>0.2314453125</v>
      </c>
      <c r="P213">
        <v>4.6528762310459726</v>
      </c>
    </row>
    <row r="214" spans="1:16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12.929632896866085</v>
      </c>
      <c r="H214">
        <v>9.765625E-4</v>
      </c>
      <c r="I214">
        <v>-0.64986686299816243</v>
      </c>
      <c r="J214">
        <v>-6.34635608396643E-4</v>
      </c>
      <c r="M214">
        <v>4.6528762310459726</v>
      </c>
      <c r="N214">
        <v>9.765625E-4</v>
      </c>
      <c r="O214">
        <f t="shared" si="3"/>
        <v>0.232421875</v>
      </c>
      <c r="P214">
        <v>4.6528762310459726</v>
      </c>
    </row>
    <row r="215" spans="1:16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4.8828125E-4</v>
      </c>
      <c r="I215">
        <v>-1</v>
      </c>
      <c r="J215">
        <v>-4.8828125E-4</v>
      </c>
      <c r="M215">
        <v>4.6528762310459726</v>
      </c>
      <c r="N215">
        <v>4.8828125E-4</v>
      </c>
      <c r="O215">
        <f t="shared" si="3"/>
        <v>0.23291015625</v>
      </c>
      <c r="P215">
        <v>4.6528762310459726</v>
      </c>
    </row>
    <row r="216" spans="1:16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6.4648164484330399</v>
      </c>
      <c r="H216">
        <v>9.765625E-4</v>
      </c>
      <c r="I216">
        <v>-0.80614320253796257</v>
      </c>
      <c r="J216">
        <v>-7.8724922122847907E-4</v>
      </c>
      <c r="M216">
        <v>4.6528762310459726</v>
      </c>
      <c r="N216">
        <v>9.765625E-4</v>
      </c>
      <c r="O216">
        <f t="shared" si="3"/>
        <v>0.23388671875</v>
      </c>
      <c r="P216">
        <v>4.6528762310459726</v>
      </c>
    </row>
    <row r="217" spans="1:16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11.313428784757823</v>
      </c>
      <c r="H217">
        <v>4.8828125E-4</v>
      </c>
      <c r="I217">
        <v>-0.68583768308988147</v>
      </c>
      <c r="J217">
        <v>-3.3488168119623119E-4</v>
      </c>
      <c r="M217">
        <v>4.6528762310459726</v>
      </c>
      <c r="N217">
        <v>4.8828125E-4</v>
      </c>
      <c r="O217">
        <f t="shared" si="3"/>
        <v>0.234375</v>
      </c>
      <c r="P217">
        <v>4.6528762310459726</v>
      </c>
    </row>
    <row r="218" spans="1:16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3.2324082242165226</v>
      </c>
      <c r="H218">
        <v>2.44140625E-4</v>
      </c>
      <c r="I218">
        <v>-0.89785477808939818</v>
      </c>
      <c r="J218">
        <v>-2.1920282668198198E-4</v>
      </c>
      <c r="M218">
        <v>5.5834514772551609</v>
      </c>
      <c r="N218">
        <v>4.8828125E-4</v>
      </c>
      <c r="O218">
        <f t="shared" si="3"/>
        <v>0.23486328125</v>
      </c>
      <c r="P218">
        <v>5.5834514772551609</v>
      </c>
    </row>
    <row r="219" spans="1:16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9.697224672649563</v>
      </c>
      <c r="H219">
        <v>4.8828125E-4</v>
      </c>
      <c r="I219">
        <v>-0.72379952622299915</v>
      </c>
      <c r="J219">
        <v>-3.534177374135738E-4</v>
      </c>
      <c r="M219">
        <v>5.5834514772551609</v>
      </c>
      <c r="N219">
        <v>9.765625E-4</v>
      </c>
      <c r="O219">
        <f t="shared" si="3"/>
        <v>0.23583984375</v>
      </c>
      <c r="P219">
        <v>5.5834514772551609</v>
      </c>
    </row>
    <row r="220" spans="1:16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14.545837008974342</v>
      </c>
      <c r="H220">
        <v>2.44140625E-4</v>
      </c>
      <c r="I220">
        <v>-0.61578264075601263</v>
      </c>
      <c r="J220">
        <v>-1.503375587783234E-4</v>
      </c>
      <c r="M220">
        <v>5.5834514772551609</v>
      </c>
      <c r="N220">
        <v>4.8828125E-4</v>
      </c>
      <c r="O220">
        <f t="shared" si="3"/>
        <v>0.236328125</v>
      </c>
      <c r="P220">
        <v>5.5834514772551609</v>
      </c>
    </row>
    <row r="221" spans="1:16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1.6162041121082618</v>
      </c>
      <c r="H221">
        <v>4.8828125E-4</v>
      </c>
      <c r="I221">
        <v>-0.94755199228823228</v>
      </c>
      <c r="J221">
        <v>-4.6267187123448842E-4</v>
      </c>
      <c r="M221">
        <v>5.5834514772551609</v>
      </c>
      <c r="N221">
        <v>9.765625E-4</v>
      </c>
      <c r="O221">
        <f t="shared" si="3"/>
        <v>0.2373046875</v>
      </c>
      <c r="P221">
        <v>5.5834514772551609</v>
      </c>
    </row>
    <row r="222" spans="1:16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8.081020560541301</v>
      </c>
      <c r="H222">
        <v>9.765625E-4</v>
      </c>
      <c r="I222">
        <v>-0.7638625976344624</v>
      </c>
      <c r="J222">
        <v>-7.4595956800240469E-4</v>
      </c>
      <c r="M222">
        <v>5.5834514772551609</v>
      </c>
      <c r="N222">
        <v>1.953125E-3</v>
      </c>
      <c r="O222">
        <f t="shared" si="3"/>
        <v>0.2392578125</v>
      </c>
      <c r="P222">
        <v>5.5834514772551609</v>
      </c>
    </row>
    <row r="223" spans="1:16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12.929632896866085</v>
      </c>
      <c r="H223">
        <v>4.8828125E-4</v>
      </c>
      <c r="I223">
        <v>-0.64986686299816243</v>
      </c>
      <c r="J223">
        <v>-3.173178041983215E-4</v>
      </c>
      <c r="M223">
        <v>5.5834514772551609</v>
      </c>
      <c r="N223">
        <v>9.765625E-4</v>
      </c>
      <c r="O223">
        <f t="shared" si="3"/>
        <v>0.240234375</v>
      </c>
      <c r="P223">
        <v>5.5834514772551609</v>
      </c>
    </row>
    <row r="224" spans="1:16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2.44140625E-4</v>
      </c>
      <c r="I224">
        <v>-1</v>
      </c>
      <c r="J224">
        <v>-2.44140625E-4</v>
      </c>
      <c r="M224">
        <v>5.5834514772551609</v>
      </c>
      <c r="N224">
        <v>4.8828125E-4</v>
      </c>
      <c r="O224">
        <f t="shared" si="3"/>
        <v>0.24072265625</v>
      </c>
      <c r="P224">
        <v>5.5834514772551609</v>
      </c>
    </row>
    <row r="225" spans="1:16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0</v>
      </c>
      <c r="H225">
        <v>2.44140625E-4</v>
      </c>
      <c r="I225">
        <v>-1</v>
      </c>
      <c r="J225">
        <v>-2.44140625E-4</v>
      </c>
      <c r="M225">
        <v>5.5834514772551609</v>
      </c>
      <c r="N225">
        <v>9.765625E-4</v>
      </c>
      <c r="O225">
        <f t="shared" si="3"/>
        <v>0.24169921875</v>
      </c>
      <c r="P225">
        <v>5.5834514772551609</v>
      </c>
    </row>
    <row r="226" spans="1:16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11.313428784757823</v>
      </c>
      <c r="H226">
        <v>2.44140625E-4</v>
      </c>
      <c r="I226">
        <v>-0.68583768308988147</v>
      </c>
      <c r="J226">
        <v>-1.6744084059811559E-4</v>
      </c>
      <c r="M226">
        <v>5.5834514772551609</v>
      </c>
      <c r="N226">
        <v>4.8828125E-4</v>
      </c>
      <c r="O226">
        <f t="shared" si="3"/>
        <v>0.2421875</v>
      </c>
      <c r="P226">
        <v>5.5834514772551609</v>
      </c>
    </row>
    <row r="227" spans="1:16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3.2324082242165226</v>
      </c>
      <c r="H227">
        <v>4.8828125E-4</v>
      </c>
      <c r="I227">
        <v>-0.89785477808939818</v>
      </c>
      <c r="J227">
        <v>-4.3840565336396395E-4</v>
      </c>
      <c r="M227">
        <v>5.616338130913987</v>
      </c>
      <c r="N227">
        <v>9.765625E-4</v>
      </c>
      <c r="O227">
        <f t="shared" si="3"/>
        <v>0.2431640625</v>
      </c>
      <c r="P227">
        <v>5.616338130913987</v>
      </c>
    </row>
    <row r="228" spans="1:16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9.697224672649563</v>
      </c>
      <c r="H228">
        <v>9.765625E-4</v>
      </c>
      <c r="I228">
        <v>-0.72379952622299915</v>
      </c>
      <c r="J228">
        <v>-7.068354748271476E-4</v>
      </c>
      <c r="M228">
        <v>5.616338130913987</v>
      </c>
      <c r="N228">
        <v>1.953125E-3</v>
      </c>
      <c r="O228">
        <f t="shared" si="3"/>
        <v>0.2451171875</v>
      </c>
      <c r="P228">
        <v>5.616338130913987</v>
      </c>
    </row>
    <row r="229" spans="1:16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14.545837008974342</v>
      </c>
      <c r="H229">
        <v>4.8828125E-4</v>
      </c>
      <c r="I229">
        <v>-0.61578264075601263</v>
      </c>
      <c r="J229">
        <v>-3.0067511755664679E-4</v>
      </c>
      <c r="M229">
        <v>5.616338130913987</v>
      </c>
      <c r="N229">
        <v>9.765625E-4</v>
      </c>
      <c r="O229">
        <f t="shared" si="3"/>
        <v>0.24609375</v>
      </c>
      <c r="P229">
        <v>5.616338130913987</v>
      </c>
    </row>
    <row r="230" spans="1:16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1.6162041121082618</v>
      </c>
      <c r="H230">
        <v>9.765625E-4</v>
      </c>
      <c r="I230">
        <v>-0.94755199228823228</v>
      </c>
      <c r="J230">
        <v>-9.2534374246897684E-4</v>
      </c>
      <c r="M230">
        <v>5.616338130913987</v>
      </c>
      <c r="N230">
        <v>1.953125E-3</v>
      </c>
      <c r="O230">
        <f t="shared" si="3"/>
        <v>0.248046875</v>
      </c>
      <c r="P230">
        <v>5.616338130913987</v>
      </c>
    </row>
    <row r="231" spans="1:16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8.081020560541301</v>
      </c>
      <c r="H231">
        <v>1.953125E-3</v>
      </c>
      <c r="I231">
        <v>-0.7638625976344624</v>
      </c>
      <c r="J231">
        <v>-1.4919191360048094E-3</v>
      </c>
      <c r="M231">
        <v>5.616338130913987</v>
      </c>
      <c r="N231">
        <v>3.90625E-3</v>
      </c>
      <c r="O231">
        <f t="shared" si="3"/>
        <v>0.251953125</v>
      </c>
      <c r="P231">
        <v>5.616338130913987</v>
      </c>
    </row>
    <row r="232" spans="1:16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12.929632896866085</v>
      </c>
      <c r="H232">
        <v>9.765625E-4</v>
      </c>
      <c r="I232">
        <v>-0.64986686299816243</v>
      </c>
      <c r="J232">
        <v>-6.34635608396643E-4</v>
      </c>
      <c r="M232">
        <v>5.616338130913987</v>
      </c>
      <c r="N232">
        <v>1.953125E-3</v>
      </c>
      <c r="O232">
        <f t="shared" si="3"/>
        <v>0.25390625</v>
      </c>
      <c r="P232">
        <v>5.616338130913987</v>
      </c>
    </row>
    <row r="233" spans="1:16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4.8828125E-4</v>
      </c>
      <c r="I233">
        <v>-1</v>
      </c>
      <c r="J233">
        <v>-4.8828125E-4</v>
      </c>
      <c r="M233">
        <v>5.616338130913987</v>
      </c>
      <c r="N233">
        <v>9.765625E-4</v>
      </c>
      <c r="O233">
        <f t="shared" si="3"/>
        <v>0.2548828125</v>
      </c>
      <c r="P233">
        <v>5.616338130913987</v>
      </c>
    </row>
    <row r="234" spans="1:16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6.4648164484330399</v>
      </c>
      <c r="H234">
        <v>9.765625E-4</v>
      </c>
      <c r="I234">
        <v>-0.80614320253796257</v>
      </c>
      <c r="J234">
        <v>-7.8724922122847907E-4</v>
      </c>
      <c r="M234">
        <v>5.616338130913987</v>
      </c>
      <c r="N234">
        <v>1.953125E-3</v>
      </c>
      <c r="O234">
        <f t="shared" si="3"/>
        <v>0.2568359375</v>
      </c>
      <c r="P234">
        <v>5.616338130913987</v>
      </c>
    </row>
    <row r="235" spans="1:16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11.313428784757823</v>
      </c>
      <c r="H235">
        <v>4.8828125E-4</v>
      </c>
      <c r="I235">
        <v>-0.68583768308988147</v>
      </c>
      <c r="J235">
        <v>-3.3488168119623119E-4</v>
      </c>
      <c r="M235">
        <v>5.616338130913987</v>
      </c>
      <c r="N235">
        <v>9.765625E-4</v>
      </c>
      <c r="O235">
        <f t="shared" si="3"/>
        <v>0.2578125</v>
      </c>
      <c r="P235">
        <v>5.616338130913987</v>
      </c>
    </row>
    <row r="236" spans="1:16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3.2324082242165226</v>
      </c>
      <c r="H236">
        <v>2.44140625E-4</v>
      </c>
      <c r="I236">
        <v>-0.89785477808939818</v>
      </c>
      <c r="J236">
        <v>-2.1920282668198198E-4</v>
      </c>
      <c r="M236">
        <v>5.616338130913987</v>
      </c>
      <c r="N236">
        <v>4.8828125E-4</v>
      </c>
      <c r="O236">
        <f t="shared" si="3"/>
        <v>0.25830078125</v>
      </c>
      <c r="P236">
        <v>5.616338130913987</v>
      </c>
    </row>
    <row r="237" spans="1:16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9.697224672649563</v>
      </c>
      <c r="H237">
        <v>4.8828125E-4</v>
      </c>
      <c r="I237">
        <v>-0.72379952622299915</v>
      </c>
      <c r="J237">
        <v>-3.534177374135738E-4</v>
      </c>
      <c r="M237">
        <v>5.616338130913987</v>
      </c>
      <c r="N237">
        <v>9.765625E-4</v>
      </c>
      <c r="O237">
        <f t="shared" si="3"/>
        <v>0.25927734375</v>
      </c>
      <c r="P237">
        <v>5.616338130913987</v>
      </c>
    </row>
    <row r="238" spans="1:16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14.545837008974342</v>
      </c>
      <c r="H238">
        <v>2.44140625E-4</v>
      </c>
      <c r="I238">
        <v>-0.61578264075601263</v>
      </c>
      <c r="J238">
        <v>-1.503375587783234E-4</v>
      </c>
      <c r="M238">
        <v>5.616338130913987</v>
      </c>
      <c r="N238">
        <v>4.8828125E-4</v>
      </c>
      <c r="O238">
        <f t="shared" si="3"/>
        <v>0.259765625</v>
      </c>
      <c r="P238">
        <v>5.616338130913987</v>
      </c>
    </row>
    <row r="239" spans="1:16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1.6162041121082618</v>
      </c>
      <c r="H239">
        <v>4.8828125E-4</v>
      </c>
      <c r="I239">
        <v>-0.94755199228823228</v>
      </c>
      <c r="J239">
        <v>-4.6267187123448842E-4</v>
      </c>
      <c r="M239">
        <v>5.616338130913987</v>
      </c>
      <c r="N239">
        <v>9.765625E-4</v>
      </c>
      <c r="O239">
        <f t="shared" si="3"/>
        <v>0.2607421875</v>
      </c>
      <c r="P239">
        <v>5.616338130913987</v>
      </c>
    </row>
    <row r="240" spans="1:16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8.081020560541301</v>
      </c>
      <c r="H240">
        <v>9.765625E-4</v>
      </c>
      <c r="I240">
        <v>-0.7638625976344624</v>
      </c>
      <c r="J240">
        <v>-7.4595956800240469E-4</v>
      </c>
      <c r="M240">
        <v>5.616338130913987</v>
      </c>
      <c r="N240">
        <v>1.953125E-3</v>
      </c>
      <c r="O240">
        <f t="shared" si="3"/>
        <v>0.2626953125</v>
      </c>
      <c r="P240">
        <v>5.616338130913987</v>
      </c>
    </row>
    <row r="241" spans="1:16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12.929632896866085</v>
      </c>
      <c r="H241">
        <v>4.8828125E-4</v>
      </c>
      <c r="I241">
        <v>-0.64986686299816243</v>
      </c>
      <c r="J241">
        <v>-3.173178041983215E-4</v>
      </c>
      <c r="M241">
        <v>5.616338130913987</v>
      </c>
      <c r="N241">
        <v>9.765625E-4</v>
      </c>
      <c r="O241">
        <f t="shared" si="3"/>
        <v>0.263671875</v>
      </c>
      <c r="P241">
        <v>5.616338130913987</v>
      </c>
    </row>
    <row r="242" spans="1:16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2.44140625E-4</v>
      </c>
      <c r="I242">
        <v>-1</v>
      </c>
      <c r="J242">
        <v>-2.44140625E-4</v>
      </c>
      <c r="M242">
        <v>5.616338130913987</v>
      </c>
      <c r="N242">
        <v>4.8828125E-4</v>
      </c>
      <c r="O242">
        <f t="shared" si="3"/>
        <v>0.26416015625</v>
      </c>
      <c r="P242">
        <v>5.616338130913987</v>
      </c>
    </row>
    <row r="243" spans="1:16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6.4648164484330399</v>
      </c>
      <c r="H243">
        <v>4.8828125E-4</v>
      </c>
      <c r="I243">
        <v>-0.80614320253796257</v>
      </c>
      <c r="J243">
        <v>-3.9362461061423953E-4</v>
      </c>
      <c r="M243">
        <v>5.616338130913987</v>
      </c>
      <c r="N243">
        <v>9.765625E-4</v>
      </c>
      <c r="O243">
        <f t="shared" si="3"/>
        <v>0.26513671875</v>
      </c>
      <c r="P243">
        <v>5.616338130913987</v>
      </c>
    </row>
    <row r="244" spans="1:16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11.313428784757823</v>
      </c>
      <c r="H244">
        <v>2.44140625E-4</v>
      </c>
      <c r="I244">
        <v>-0.68583768308988147</v>
      </c>
      <c r="J244">
        <v>-1.6744084059811559E-4</v>
      </c>
      <c r="M244">
        <v>5.616338130913987</v>
      </c>
      <c r="N244">
        <v>4.8828125E-4</v>
      </c>
      <c r="O244">
        <f t="shared" si="3"/>
        <v>0.265625</v>
      </c>
      <c r="P244">
        <v>5.616338130913987</v>
      </c>
    </row>
    <row r="245" spans="1:16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4.6528762310459726</v>
      </c>
      <c r="H245">
        <v>4.8828125E-4</v>
      </c>
      <c r="I245">
        <v>-0.85633307315546936</v>
      </c>
      <c r="J245">
        <v>-4.1813138337669402E-4</v>
      </c>
      <c r="M245">
        <v>5.616338130913987</v>
      </c>
      <c r="N245">
        <v>2.44140625E-4</v>
      </c>
      <c r="O245">
        <f t="shared" si="3"/>
        <v>0.265869140625</v>
      </c>
      <c r="P245">
        <v>5.616338130913987</v>
      </c>
    </row>
    <row r="246" spans="1:16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13.958628693137905</v>
      </c>
      <c r="H246">
        <v>9.765625E-4</v>
      </c>
      <c r="I246">
        <v>-0.62795446499997132</v>
      </c>
      <c r="J246">
        <v>-6.1323678222653449E-4</v>
      </c>
      <c r="M246">
        <v>5.616338130913987</v>
      </c>
      <c r="N246">
        <v>4.8828125E-4</v>
      </c>
      <c r="O246">
        <f t="shared" si="3"/>
        <v>0.266357421875</v>
      </c>
      <c r="P246">
        <v>5.616338130913987</v>
      </c>
    </row>
    <row r="247" spans="1:16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20.937943039706855</v>
      </c>
      <c r="H247">
        <v>4.8828125E-4</v>
      </c>
      <c r="I247">
        <v>-0.49761358610864465</v>
      </c>
      <c r="J247">
        <v>-2.4297538384211164E-4</v>
      </c>
      <c r="M247">
        <v>5.616338130913987</v>
      </c>
      <c r="N247">
        <v>2.44140625E-4</v>
      </c>
      <c r="O247">
        <f t="shared" si="3"/>
        <v>0.2666015625</v>
      </c>
      <c r="P247">
        <v>5.616338130913987</v>
      </c>
    </row>
    <row r="248" spans="1:16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2.3264381155229863</v>
      </c>
      <c r="H248">
        <v>9.765625E-4</v>
      </c>
      <c r="I248">
        <v>-0.92538266309428419</v>
      </c>
      <c r="J248">
        <v>-9.036940069280119E-4</v>
      </c>
      <c r="M248">
        <v>5.616338130913987</v>
      </c>
      <c r="N248">
        <v>4.8828125E-4</v>
      </c>
      <c r="O248">
        <f t="shared" si="3"/>
        <v>0.26708984375</v>
      </c>
      <c r="P248">
        <v>5.616338130913987</v>
      </c>
    </row>
    <row r="249" spans="1:16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11.632190577614921</v>
      </c>
      <c r="H249">
        <v>1.953125E-3</v>
      </c>
      <c r="I249">
        <v>-0.678588966536529</v>
      </c>
      <c r="J249">
        <v>-1.3253690752666582E-3</v>
      </c>
      <c r="M249">
        <v>5.616338130913987</v>
      </c>
      <c r="N249">
        <v>9.765625E-4</v>
      </c>
      <c r="O249">
        <f t="shared" si="3"/>
        <v>0.26806640625</v>
      </c>
      <c r="P249">
        <v>5.616338130913987</v>
      </c>
    </row>
    <row r="250" spans="1:16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18.611504924183873</v>
      </c>
      <c r="H250">
        <v>9.765625E-4</v>
      </c>
      <c r="I250">
        <v>-0.53773817681512415</v>
      </c>
      <c r="J250">
        <v>-5.2513493829601967E-4</v>
      </c>
      <c r="M250">
        <v>5.616338130913987</v>
      </c>
      <c r="N250">
        <v>4.8828125E-4</v>
      </c>
      <c r="O250">
        <f t="shared" si="3"/>
        <v>0.2685546875</v>
      </c>
      <c r="P250">
        <v>5.616338130913987</v>
      </c>
    </row>
    <row r="251" spans="1:16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4.8828125E-4</v>
      </c>
      <c r="I251">
        <v>-1</v>
      </c>
      <c r="J251">
        <v>-4.8828125E-4</v>
      </c>
      <c r="M251">
        <v>5.616338130913987</v>
      </c>
      <c r="N251">
        <v>2.44140625E-4</v>
      </c>
      <c r="O251">
        <f t="shared" si="3"/>
        <v>0.268798828125</v>
      </c>
      <c r="P251">
        <v>5.616338130913987</v>
      </c>
    </row>
    <row r="252" spans="1:16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9.3057524620919345</v>
      </c>
      <c r="H252">
        <v>9.765625E-4</v>
      </c>
      <c r="I252">
        <v>-0.73330633217989072</v>
      </c>
      <c r="J252">
        <v>-7.1611946501942453E-4</v>
      </c>
      <c r="M252">
        <v>5.616338130913987</v>
      </c>
      <c r="N252">
        <v>4.8828125E-4</v>
      </c>
      <c r="O252">
        <f t="shared" si="3"/>
        <v>0.269287109375</v>
      </c>
      <c r="P252">
        <v>5.616338130913987</v>
      </c>
    </row>
    <row r="253" spans="1:16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16.285066808660886</v>
      </c>
      <c r="H253">
        <v>4.8828125E-4</v>
      </c>
      <c r="I253">
        <v>-0.58109817512362005</v>
      </c>
      <c r="J253">
        <v>-2.837393433220801E-4</v>
      </c>
      <c r="M253">
        <v>5.616338130913987</v>
      </c>
      <c r="N253">
        <v>2.44140625E-4</v>
      </c>
      <c r="O253">
        <f t="shared" si="3"/>
        <v>0.26953125</v>
      </c>
      <c r="P253">
        <v>5.616338130913987</v>
      </c>
    </row>
    <row r="254" spans="1:16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4.6528762310459726</v>
      </c>
      <c r="H254">
        <v>9.765625E-4</v>
      </c>
      <c r="I254">
        <v>-0.85633307315546936</v>
      </c>
      <c r="J254">
        <v>-8.3626276675338805E-4</v>
      </c>
      <c r="M254">
        <v>5.616338130913987</v>
      </c>
      <c r="N254">
        <v>4.8828125E-4</v>
      </c>
      <c r="O254">
        <f t="shared" si="3"/>
        <v>0.27001953125</v>
      </c>
      <c r="P254">
        <v>5.616338130913987</v>
      </c>
    </row>
    <row r="255" spans="1:16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13.958628693137905</v>
      </c>
      <c r="H255">
        <v>1.953125E-3</v>
      </c>
      <c r="I255">
        <v>-0.62795446499997132</v>
      </c>
      <c r="J255">
        <v>-1.226473564453069E-3</v>
      </c>
      <c r="M255">
        <v>5.616338130913987</v>
      </c>
      <c r="N255">
        <v>9.765625E-4</v>
      </c>
      <c r="O255">
        <f t="shared" si="3"/>
        <v>0.27099609375</v>
      </c>
      <c r="P255">
        <v>5.616338130913987</v>
      </c>
    </row>
    <row r="256" spans="1:16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20.937943039706855</v>
      </c>
      <c r="H256">
        <v>9.765625E-4</v>
      </c>
      <c r="I256">
        <v>-0.49761358610864465</v>
      </c>
      <c r="J256">
        <v>-4.8595076768422329E-4</v>
      </c>
      <c r="M256">
        <v>5.616338130913987</v>
      </c>
      <c r="N256">
        <v>4.8828125E-4</v>
      </c>
      <c r="O256">
        <f t="shared" si="3"/>
        <v>0.271484375</v>
      </c>
      <c r="P256">
        <v>5.616338130913987</v>
      </c>
    </row>
    <row r="257" spans="1:16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2.3264381155229863</v>
      </c>
      <c r="H257">
        <v>1.953125E-3</v>
      </c>
      <c r="I257">
        <v>-0.92538266309428419</v>
      </c>
      <c r="J257">
        <v>-1.8073880138560238E-3</v>
      </c>
      <c r="M257">
        <v>5.616338130913987</v>
      </c>
      <c r="N257">
        <v>9.765625E-4</v>
      </c>
      <c r="O257">
        <f t="shared" si="3"/>
        <v>0.2724609375</v>
      </c>
      <c r="P257">
        <v>5.616338130913987</v>
      </c>
    </row>
    <row r="258" spans="1:16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11.632190577614921</v>
      </c>
      <c r="H258">
        <v>3.90625E-3</v>
      </c>
      <c r="I258">
        <v>-0.678588966536529</v>
      </c>
      <c r="J258">
        <v>-2.6507381505333164E-3</v>
      </c>
      <c r="M258">
        <v>5.616338130913987</v>
      </c>
      <c r="N258">
        <v>1.953125E-3</v>
      </c>
      <c r="O258">
        <f t="shared" si="3"/>
        <v>0.2744140625</v>
      </c>
      <c r="P258">
        <v>5.616338130913987</v>
      </c>
    </row>
    <row r="259" spans="1:16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18.611504924183873</v>
      </c>
      <c r="H259">
        <v>1.953125E-3</v>
      </c>
      <c r="I259">
        <v>-0.53773817681512415</v>
      </c>
      <c r="J259">
        <v>-1.0502698765920393E-3</v>
      </c>
      <c r="M259">
        <v>5.616338130913987</v>
      </c>
      <c r="N259">
        <v>9.765625E-4</v>
      </c>
      <c r="O259">
        <f t="shared" si="3"/>
        <v>0.275390625</v>
      </c>
      <c r="P259">
        <v>5.616338130913987</v>
      </c>
    </row>
    <row r="260" spans="1:16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9.765625E-4</v>
      </c>
      <c r="I260">
        <v>-1</v>
      </c>
      <c r="J260">
        <v>-9.765625E-4</v>
      </c>
      <c r="M260">
        <v>5.616338130913987</v>
      </c>
      <c r="N260">
        <v>4.8828125E-4</v>
      </c>
      <c r="O260">
        <f t="shared" ref="O260:O323" si="4">N260+O259</f>
        <v>0.27587890625</v>
      </c>
      <c r="P260">
        <v>5.616338130913987</v>
      </c>
    </row>
    <row r="261" spans="1:16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9.3057524620919345</v>
      </c>
      <c r="H261">
        <v>1.953125E-3</v>
      </c>
      <c r="I261">
        <v>-0.73330633217989072</v>
      </c>
      <c r="J261">
        <v>-1.4322389300388491E-3</v>
      </c>
      <c r="M261">
        <v>5.616338130913987</v>
      </c>
      <c r="N261">
        <v>9.765625E-4</v>
      </c>
      <c r="O261">
        <f t="shared" si="4"/>
        <v>0.27685546875</v>
      </c>
      <c r="P261">
        <v>5.616338130913987</v>
      </c>
    </row>
    <row r="262" spans="1:16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16.285066808660886</v>
      </c>
      <c r="H262">
        <v>9.765625E-4</v>
      </c>
      <c r="I262">
        <v>-0.58109817512362005</v>
      </c>
      <c r="J262">
        <v>-5.6747868664416021E-4</v>
      </c>
      <c r="M262">
        <v>5.616338130913987</v>
      </c>
      <c r="N262">
        <v>4.8828125E-4</v>
      </c>
      <c r="O262">
        <f t="shared" si="4"/>
        <v>0.27734375</v>
      </c>
      <c r="P262">
        <v>5.616338130913987</v>
      </c>
    </row>
    <row r="263" spans="1:16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4.6528762310459726</v>
      </c>
      <c r="H263">
        <v>4.8828125E-4</v>
      </c>
      <c r="I263">
        <v>-0.85633307315546936</v>
      </c>
      <c r="J263">
        <v>-4.1813138337669402E-4</v>
      </c>
      <c r="M263">
        <v>5.616338130913987</v>
      </c>
      <c r="N263">
        <v>2.44140625E-4</v>
      </c>
      <c r="O263">
        <f t="shared" si="4"/>
        <v>0.277587890625</v>
      </c>
      <c r="P263">
        <v>5.616338130913987</v>
      </c>
    </row>
    <row r="264" spans="1:16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13.958628693137905</v>
      </c>
      <c r="H264">
        <v>9.765625E-4</v>
      </c>
      <c r="I264">
        <v>-0.62795446499997132</v>
      </c>
      <c r="J264">
        <v>-6.1323678222653449E-4</v>
      </c>
      <c r="M264">
        <v>5.616338130913987</v>
      </c>
      <c r="N264">
        <v>4.8828125E-4</v>
      </c>
      <c r="O264">
        <f t="shared" si="4"/>
        <v>0.278076171875</v>
      </c>
      <c r="P264">
        <v>5.616338130913987</v>
      </c>
    </row>
    <row r="265" spans="1:16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20.937943039706855</v>
      </c>
      <c r="H265">
        <v>4.8828125E-4</v>
      </c>
      <c r="I265">
        <v>-0.49761358610864465</v>
      </c>
      <c r="J265">
        <v>-2.4297538384211164E-4</v>
      </c>
      <c r="M265">
        <v>5.616338130913987</v>
      </c>
      <c r="N265">
        <v>2.44140625E-4</v>
      </c>
      <c r="O265">
        <f t="shared" si="4"/>
        <v>0.2783203125</v>
      </c>
      <c r="P265">
        <v>5.616338130913987</v>
      </c>
    </row>
    <row r="266" spans="1:16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2.3264381155229863</v>
      </c>
      <c r="H266">
        <v>9.765625E-4</v>
      </c>
      <c r="I266">
        <v>-0.92538266309428419</v>
      </c>
      <c r="J266">
        <v>-9.036940069280119E-4</v>
      </c>
      <c r="M266">
        <v>5.616338130913987</v>
      </c>
      <c r="N266">
        <v>4.8828125E-4</v>
      </c>
      <c r="O266">
        <f t="shared" si="4"/>
        <v>0.27880859375</v>
      </c>
      <c r="P266">
        <v>5.616338130913987</v>
      </c>
    </row>
    <row r="267" spans="1:16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11.632190577614921</v>
      </c>
      <c r="H267">
        <v>1.953125E-3</v>
      </c>
      <c r="I267">
        <v>-0.678588966536529</v>
      </c>
      <c r="J267">
        <v>-1.3253690752666582E-3</v>
      </c>
      <c r="M267">
        <v>5.616338130913987</v>
      </c>
      <c r="N267">
        <v>9.765625E-4</v>
      </c>
      <c r="O267">
        <f t="shared" si="4"/>
        <v>0.27978515625</v>
      </c>
      <c r="P267">
        <v>5.616338130913987</v>
      </c>
    </row>
    <row r="268" spans="1:16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18.611504924183873</v>
      </c>
      <c r="H268">
        <v>9.765625E-4</v>
      </c>
      <c r="I268">
        <v>-0.53773817681512415</v>
      </c>
      <c r="J268">
        <v>-5.2513493829601967E-4</v>
      </c>
      <c r="M268">
        <v>5.616338130913987</v>
      </c>
      <c r="N268">
        <v>4.8828125E-4</v>
      </c>
      <c r="O268">
        <f t="shared" si="4"/>
        <v>0.2802734375</v>
      </c>
      <c r="P268">
        <v>5.616338130913987</v>
      </c>
    </row>
    <row r="269" spans="1:16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4.8828125E-4</v>
      </c>
      <c r="I269">
        <v>-1</v>
      </c>
      <c r="J269">
        <v>-4.8828125E-4</v>
      </c>
      <c r="M269">
        <v>5.616338130913987</v>
      </c>
      <c r="N269">
        <v>2.44140625E-4</v>
      </c>
      <c r="O269">
        <f t="shared" si="4"/>
        <v>0.280517578125</v>
      </c>
      <c r="P269">
        <v>5.616338130913987</v>
      </c>
    </row>
    <row r="270" spans="1:16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9.3057524620919345</v>
      </c>
      <c r="H270">
        <v>9.765625E-4</v>
      </c>
      <c r="I270">
        <v>-0.73330633217989072</v>
      </c>
      <c r="J270">
        <v>-7.1611946501942453E-4</v>
      </c>
      <c r="M270">
        <v>5.616338130913987</v>
      </c>
      <c r="N270">
        <v>4.8828125E-4</v>
      </c>
      <c r="O270">
        <f t="shared" si="4"/>
        <v>0.281005859375</v>
      </c>
      <c r="P270">
        <v>5.616338130913987</v>
      </c>
    </row>
    <row r="271" spans="1:16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16.285066808660886</v>
      </c>
      <c r="H271">
        <v>4.8828125E-4</v>
      </c>
      <c r="I271">
        <v>-0.58109817512362005</v>
      </c>
      <c r="J271">
        <v>-2.837393433220801E-4</v>
      </c>
      <c r="M271">
        <v>5.616338130913987</v>
      </c>
      <c r="N271">
        <v>2.44140625E-4</v>
      </c>
      <c r="O271">
        <f t="shared" si="4"/>
        <v>0.28125</v>
      </c>
      <c r="P271">
        <v>5.616338130913987</v>
      </c>
    </row>
    <row r="272" spans="1:16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4.6528762310459726</v>
      </c>
      <c r="H272">
        <v>9.765625E-4</v>
      </c>
      <c r="I272">
        <v>-0.85633307315546936</v>
      </c>
      <c r="J272">
        <v>-8.3626276675338805E-4</v>
      </c>
      <c r="M272">
        <v>5.9479430501281003</v>
      </c>
      <c r="N272">
        <v>9.765625E-4</v>
      </c>
      <c r="O272">
        <f t="shared" si="4"/>
        <v>0.2822265625</v>
      </c>
      <c r="P272">
        <v>5.9479430501281003</v>
      </c>
    </row>
    <row r="273" spans="1:16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13.958628693137905</v>
      </c>
      <c r="H273">
        <v>1.953125E-3</v>
      </c>
      <c r="I273">
        <v>-0.62795446499997132</v>
      </c>
      <c r="J273">
        <v>-1.226473564453069E-3</v>
      </c>
      <c r="M273">
        <v>5.9479430501281003</v>
      </c>
      <c r="N273">
        <v>1.953125E-3</v>
      </c>
      <c r="O273">
        <f t="shared" si="4"/>
        <v>0.2841796875</v>
      </c>
      <c r="P273">
        <v>5.9479430501281003</v>
      </c>
    </row>
    <row r="274" spans="1:16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20.937943039706855</v>
      </c>
      <c r="H274">
        <v>9.765625E-4</v>
      </c>
      <c r="I274">
        <v>-0.49761358610864465</v>
      </c>
      <c r="J274">
        <v>-4.8595076768422329E-4</v>
      </c>
      <c r="M274">
        <v>5.9479430501281003</v>
      </c>
      <c r="N274">
        <v>9.765625E-4</v>
      </c>
      <c r="O274">
        <f t="shared" si="4"/>
        <v>0.28515625</v>
      </c>
      <c r="P274">
        <v>5.9479430501281003</v>
      </c>
    </row>
    <row r="275" spans="1:16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2.3264381155229863</v>
      </c>
      <c r="H275">
        <v>1.953125E-3</v>
      </c>
      <c r="I275">
        <v>-0.92538266309428419</v>
      </c>
      <c r="J275">
        <v>-1.8073880138560238E-3</v>
      </c>
      <c r="M275">
        <v>5.9479430501281003</v>
      </c>
      <c r="N275">
        <v>1.953125E-3</v>
      </c>
      <c r="O275">
        <f t="shared" si="4"/>
        <v>0.287109375</v>
      </c>
      <c r="P275">
        <v>5.9479430501281003</v>
      </c>
    </row>
    <row r="276" spans="1:16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11.632190577614921</v>
      </c>
      <c r="H276">
        <v>3.90625E-3</v>
      </c>
      <c r="I276">
        <v>-0.678588966536529</v>
      </c>
      <c r="J276">
        <v>-2.6507381505333164E-3</v>
      </c>
      <c r="M276">
        <v>5.9479430501281003</v>
      </c>
      <c r="N276">
        <v>3.90625E-3</v>
      </c>
      <c r="O276">
        <f t="shared" si="4"/>
        <v>0.291015625</v>
      </c>
      <c r="P276">
        <v>5.9479430501281003</v>
      </c>
    </row>
    <row r="277" spans="1:16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18.611504924183873</v>
      </c>
      <c r="H277">
        <v>1.953125E-3</v>
      </c>
      <c r="I277">
        <v>-0.53773817681512415</v>
      </c>
      <c r="J277">
        <v>-1.0502698765920393E-3</v>
      </c>
      <c r="M277">
        <v>5.9479430501281003</v>
      </c>
      <c r="N277">
        <v>1.953125E-3</v>
      </c>
      <c r="O277">
        <f t="shared" si="4"/>
        <v>0.29296875</v>
      </c>
      <c r="P277">
        <v>5.9479430501281003</v>
      </c>
    </row>
    <row r="278" spans="1:16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9.765625E-4</v>
      </c>
      <c r="I278">
        <v>-1</v>
      </c>
      <c r="J278">
        <v>-9.765625E-4</v>
      </c>
      <c r="M278">
        <v>5.9479430501281003</v>
      </c>
      <c r="N278">
        <v>9.765625E-4</v>
      </c>
      <c r="O278">
        <f t="shared" si="4"/>
        <v>0.2939453125</v>
      </c>
      <c r="P278">
        <v>5.9479430501281003</v>
      </c>
    </row>
    <row r="279" spans="1:16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9.3057524620919345</v>
      </c>
      <c r="H279">
        <v>1.953125E-3</v>
      </c>
      <c r="I279">
        <v>-0.73330633217989072</v>
      </c>
      <c r="J279">
        <v>-1.4322389300388491E-3</v>
      </c>
      <c r="M279">
        <v>5.9479430501281003</v>
      </c>
      <c r="N279">
        <v>1.953125E-3</v>
      </c>
      <c r="O279">
        <f t="shared" si="4"/>
        <v>0.2958984375</v>
      </c>
      <c r="P279">
        <v>5.9479430501281003</v>
      </c>
    </row>
    <row r="280" spans="1:16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16.285066808660886</v>
      </c>
      <c r="H280">
        <v>9.765625E-4</v>
      </c>
      <c r="I280">
        <v>-0.58109817512362005</v>
      </c>
      <c r="J280">
        <v>-5.6747868664416021E-4</v>
      </c>
      <c r="M280">
        <v>5.9479430501281003</v>
      </c>
      <c r="N280">
        <v>9.765625E-4</v>
      </c>
      <c r="O280">
        <f t="shared" si="4"/>
        <v>0.296875</v>
      </c>
      <c r="P280">
        <v>5.9479430501281003</v>
      </c>
    </row>
    <row r="281" spans="1:16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4.6528762310459726</v>
      </c>
      <c r="H281">
        <v>1.953125E-3</v>
      </c>
      <c r="I281">
        <v>-0.85633307315546936</v>
      </c>
      <c r="J281">
        <v>-1.6725255335067761E-3</v>
      </c>
      <c r="M281">
        <v>6.4648164484330399</v>
      </c>
      <c r="N281">
        <v>4.8828125E-4</v>
      </c>
      <c r="O281">
        <f t="shared" si="4"/>
        <v>0.29736328125</v>
      </c>
      <c r="P281">
        <v>6.4648164484330399</v>
      </c>
    </row>
    <row r="282" spans="1:16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13.958628693137905</v>
      </c>
      <c r="H282">
        <v>3.90625E-3</v>
      </c>
      <c r="I282">
        <v>-0.62795446499997132</v>
      </c>
      <c r="J282">
        <v>-2.452947128906138E-3</v>
      </c>
      <c r="M282">
        <v>6.4648164484330399</v>
      </c>
      <c r="N282">
        <v>9.765625E-4</v>
      </c>
      <c r="O282">
        <f t="shared" si="4"/>
        <v>0.29833984375</v>
      </c>
      <c r="P282">
        <v>6.4648164484330399</v>
      </c>
    </row>
    <row r="283" spans="1:16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20.937943039706855</v>
      </c>
      <c r="H283">
        <v>1.953125E-3</v>
      </c>
      <c r="I283">
        <v>-0.49761358610864465</v>
      </c>
      <c r="J283">
        <v>-9.7190153536844657E-4</v>
      </c>
      <c r="M283">
        <v>6.4648164484330399</v>
      </c>
      <c r="N283">
        <v>4.8828125E-4</v>
      </c>
      <c r="O283">
        <f t="shared" si="4"/>
        <v>0.298828125</v>
      </c>
      <c r="P283">
        <v>6.4648164484330399</v>
      </c>
    </row>
    <row r="284" spans="1:16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2.3264381155229863</v>
      </c>
      <c r="H284">
        <v>3.90625E-3</v>
      </c>
      <c r="I284">
        <v>-0.92538266309428419</v>
      </c>
      <c r="J284">
        <v>-3.6147760277120476E-3</v>
      </c>
      <c r="M284">
        <v>6.4648164484330399</v>
      </c>
      <c r="N284">
        <v>9.765625E-4</v>
      </c>
      <c r="O284">
        <f t="shared" si="4"/>
        <v>0.2998046875</v>
      </c>
      <c r="P284">
        <v>6.4648164484330399</v>
      </c>
    </row>
    <row r="285" spans="1:16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11.632190577614921</v>
      </c>
      <c r="H285">
        <v>7.8125E-3</v>
      </c>
      <c r="I285">
        <v>-0.678588966536529</v>
      </c>
      <c r="J285">
        <v>-5.3014763010666328E-3</v>
      </c>
      <c r="M285">
        <v>6.4648164484330399</v>
      </c>
      <c r="N285">
        <v>1.953125E-3</v>
      </c>
      <c r="O285">
        <f t="shared" si="4"/>
        <v>0.3017578125</v>
      </c>
      <c r="P285">
        <v>6.4648164484330399</v>
      </c>
    </row>
    <row r="286" spans="1:16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18.611504924183873</v>
      </c>
      <c r="H286">
        <v>3.90625E-3</v>
      </c>
      <c r="I286">
        <v>-0.53773817681512415</v>
      </c>
      <c r="J286">
        <v>-2.1005397531840787E-3</v>
      </c>
      <c r="M286">
        <v>6.4648164484330399</v>
      </c>
      <c r="N286">
        <v>9.765625E-4</v>
      </c>
      <c r="O286">
        <f t="shared" si="4"/>
        <v>0.302734375</v>
      </c>
      <c r="P286">
        <v>6.4648164484330399</v>
      </c>
    </row>
    <row r="287" spans="1:16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1.953125E-3</v>
      </c>
      <c r="I287">
        <v>-1</v>
      </c>
      <c r="J287">
        <v>-1.953125E-3</v>
      </c>
      <c r="M287">
        <v>6.4648164484330399</v>
      </c>
      <c r="N287">
        <v>4.8828125E-4</v>
      </c>
      <c r="O287">
        <f t="shared" si="4"/>
        <v>0.30322265625</v>
      </c>
      <c r="P287">
        <v>6.4648164484330399</v>
      </c>
    </row>
    <row r="288" spans="1:16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9.3057524620919345</v>
      </c>
      <c r="H288">
        <v>3.90625E-3</v>
      </c>
      <c r="I288">
        <v>-0.73330633217989072</v>
      </c>
      <c r="J288">
        <v>-2.8644778600776981E-3</v>
      </c>
      <c r="M288">
        <v>6.4648164484330399</v>
      </c>
      <c r="N288">
        <v>9.765625E-4</v>
      </c>
      <c r="O288">
        <f t="shared" si="4"/>
        <v>0.30419921875</v>
      </c>
      <c r="P288">
        <v>6.4648164484330399</v>
      </c>
    </row>
    <row r="289" spans="1:16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16.285066808660886</v>
      </c>
      <c r="H289">
        <v>1.953125E-3</v>
      </c>
      <c r="I289">
        <v>-0.58109817512362005</v>
      </c>
      <c r="J289">
        <v>-1.1349573732883204E-3</v>
      </c>
      <c r="M289">
        <v>6.4648164484330399</v>
      </c>
      <c r="N289">
        <v>4.8828125E-4</v>
      </c>
      <c r="O289">
        <f t="shared" si="4"/>
        <v>0.3046875</v>
      </c>
      <c r="P289">
        <v>6.4648164484330399</v>
      </c>
    </row>
    <row r="290" spans="1:16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4.6528762310459726</v>
      </c>
      <c r="H290">
        <v>9.765625E-4</v>
      </c>
      <c r="I290">
        <v>-0.85633307315546936</v>
      </c>
      <c r="J290">
        <v>-8.3626276675338805E-4</v>
      </c>
      <c r="M290">
        <v>6.5140267234643545</v>
      </c>
      <c r="N290">
        <v>2.44140625E-4</v>
      </c>
      <c r="O290">
        <f t="shared" si="4"/>
        <v>0.304931640625</v>
      </c>
      <c r="P290">
        <v>6.5140267234643545</v>
      </c>
    </row>
    <row r="291" spans="1:16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13.958628693137905</v>
      </c>
      <c r="H291">
        <v>1.953125E-3</v>
      </c>
      <c r="I291">
        <v>-0.62795446499997132</v>
      </c>
      <c r="J291">
        <v>-1.226473564453069E-3</v>
      </c>
      <c r="M291">
        <v>6.5140267234643545</v>
      </c>
      <c r="N291">
        <v>4.8828125E-4</v>
      </c>
      <c r="O291">
        <f t="shared" si="4"/>
        <v>0.305419921875</v>
      </c>
      <c r="P291">
        <v>6.5140267234643545</v>
      </c>
    </row>
    <row r="292" spans="1:16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20.937943039706855</v>
      </c>
      <c r="H292">
        <v>9.765625E-4</v>
      </c>
      <c r="I292">
        <v>-0.49761358610864465</v>
      </c>
      <c r="J292">
        <v>-4.8595076768422329E-4</v>
      </c>
      <c r="M292">
        <v>6.5140267234643545</v>
      </c>
      <c r="N292">
        <v>2.44140625E-4</v>
      </c>
      <c r="O292">
        <f t="shared" si="4"/>
        <v>0.3056640625</v>
      </c>
      <c r="P292">
        <v>6.5140267234643545</v>
      </c>
    </row>
    <row r="293" spans="1:16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18.611504924183873</v>
      </c>
      <c r="H293">
        <v>1.953125E-3</v>
      </c>
      <c r="I293">
        <v>-0.53773817681512415</v>
      </c>
      <c r="J293">
        <v>-1.0502698765920393E-3</v>
      </c>
      <c r="M293">
        <v>6.5140267234643545</v>
      </c>
      <c r="N293">
        <v>4.8828125E-4</v>
      </c>
      <c r="O293">
        <f t="shared" si="4"/>
        <v>0.30615234375</v>
      </c>
      <c r="P293">
        <v>6.5140267234643545</v>
      </c>
    </row>
    <row r="294" spans="1:16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11.632190577614921</v>
      </c>
      <c r="H294">
        <v>3.90625E-3</v>
      </c>
      <c r="I294">
        <v>-0.678588966536529</v>
      </c>
      <c r="J294">
        <v>-2.6507381505333164E-3</v>
      </c>
      <c r="M294">
        <v>6.5140267234643545</v>
      </c>
      <c r="N294">
        <v>9.765625E-4</v>
      </c>
      <c r="O294">
        <f t="shared" si="4"/>
        <v>0.30712890625</v>
      </c>
      <c r="P294">
        <v>6.5140267234643545</v>
      </c>
    </row>
    <row r="295" spans="1:16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18.611504924183873</v>
      </c>
      <c r="H295">
        <v>1.953125E-3</v>
      </c>
      <c r="I295">
        <v>-0.53773817681512415</v>
      </c>
      <c r="J295">
        <v>-1.0502698765920393E-3</v>
      </c>
      <c r="M295">
        <v>6.5140267234643545</v>
      </c>
      <c r="N295">
        <v>4.8828125E-4</v>
      </c>
      <c r="O295">
        <f t="shared" si="4"/>
        <v>0.3076171875</v>
      </c>
      <c r="P295">
        <v>6.5140267234643545</v>
      </c>
    </row>
    <row r="296" spans="1:16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9.765625E-4</v>
      </c>
      <c r="I296">
        <v>-1</v>
      </c>
      <c r="J296">
        <v>-9.765625E-4</v>
      </c>
      <c r="M296">
        <v>6.5140267234643545</v>
      </c>
      <c r="N296">
        <v>2.44140625E-4</v>
      </c>
      <c r="O296">
        <f t="shared" si="4"/>
        <v>0.307861328125</v>
      </c>
      <c r="P296">
        <v>6.5140267234643545</v>
      </c>
    </row>
    <row r="297" spans="1:16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9.3057524620919345</v>
      </c>
      <c r="H297">
        <v>1.953125E-3</v>
      </c>
      <c r="I297">
        <v>-0.73330633217989072</v>
      </c>
      <c r="J297">
        <v>-1.4322389300388491E-3</v>
      </c>
      <c r="M297">
        <v>6.5140267234643545</v>
      </c>
      <c r="N297">
        <v>4.8828125E-4</v>
      </c>
      <c r="O297">
        <f t="shared" si="4"/>
        <v>0.308349609375</v>
      </c>
      <c r="P297">
        <v>6.5140267234643545</v>
      </c>
    </row>
    <row r="298" spans="1:16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16.285066808660886</v>
      </c>
      <c r="H298">
        <v>9.765625E-4</v>
      </c>
      <c r="I298">
        <v>-0.58109817512362005</v>
      </c>
      <c r="J298">
        <v>-5.6747868664416021E-4</v>
      </c>
      <c r="M298">
        <v>6.5140267234643545</v>
      </c>
      <c r="N298">
        <v>2.44140625E-4</v>
      </c>
      <c r="O298">
        <f t="shared" si="4"/>
        <v>0.30859375</v>
      </c>
      <c r="P298">
        <v>6.5140267234643545</v>
      </c>
    </row>
    <row r="299" spans="1:16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4.6528762310459726</v>
      </c>
      <c r="H299">
        <v>4.8828125E-4</v>
      </c>
      <c r="I299">
        <v>-0.85633307315546936</v>
      </c>
      <c r="J299">
        <v>-4.1813138337669402E-4</v>
      </c>
      <c r="M299">
        <v>7.4349288126601252</v>
      </c>
      <c r="N299">
        <v>1.953125E-3</v>
      </c>
      <c r="O299">
        <f t="shared" si="4"/>
        <v>0.310546875</v>
      </c>
      <c r="P299">
        <v>7.4349288126601252</v>
      </c>
    </row>
    <row r="300" spans="1:16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13.958628693137905</v>
      </c>
      <c r="H300">
        <v>9.765625E-4</v>
      </c>
      <c r="I300">
        <v>-0.62795446499997132</v>
      </c>
      <c r="J300">
        <v>-6.1323678222653449E-4</v>
      </c>
      <c r="M300">
        <v>7.4349288126601252</v>
      </c>
      <c r="N300">
        <v>3.90625E-3</v>
      </c>
      <c r="O300">
        <f t="shared" si="4"/>
        <v>0.314453125</v>
      </c>
      <c r="P300">
        <v>7.4349288126601252</v>
      </c>
    </row>
    <row r="301" spans="1:16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20.937943039706855</v>
      </c>
      <c r="H301">
        <v>4.8828125E-4</v>
      </c>
      <c r="I301">
        <v>-0.49761358610864465</v>
      </c>
      <c r="J301">
        <v>-2.4297538384211164E-4</v>
      </c>
      <c r="M301">
        <v>7.4349288126601252</v>
      </c>
      <c r="N301">
        <v>1.953125E-3</v>
      </c>
      <c r="O301">
        <f t="shared" si="4"/>
        <v>0.31640625</v>
      </c>
      <c r="P301">
        <v>7.4349288126601252</v>
      </c>
    </row>
    <row r="302" spans="1:16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2.3264381155229863</v>
      </c>
      <c r="H302">
        <v>9.765625E-4</v>
      </c>
      <c r="I302">
        <v>-0.92538266309428419</v>
      </c>
      <c r="J302">
        <v>-9.036940069280119E-4</v>
      </c>
      <c r="M302">
        <v>7.4349288126601252</v>
      </c>
      <c r="N302">
        <v>3.90625E-3</v>
      </c>
      <c r="O302">
        <f t="shared" si="4"/>
        <v>0.3203125</v>
      </c>
      <c r="P302">
        <v>7.4349288126601252</v>
      </c>
    </row>
    <row r="303" spans="1:16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11.632190577614921</v>
      </c>
      <c r="H303">
        <v>1.953125E-3</v>
      </c>
      <c r="I303">
        <v>-0.678588966536529</v>
      </c>
      <c r="J303">
        <v>-1.3253690752666582E-3</v>
      </c>
      <c r="M303">
        <v>7.4349288126601252</v>
      </c>
      <c r="N303">
        <v>7.8125E-3</v>
      </c>
      <c r="O303">
        <f t="shared" si="4"/>
        <v>0.328125</v>
      </c>
      <c r="P303">
        <v>7.4349288126601252</v>
      </c>
    </row>
    <row r="304" spans="1:16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18.611504924183873</v>
      </c>
      <c r="H304">
        <v>9.765625E-4</v>
      </c>
      <c r="I304">
        <v>-0.53773817681512415</v>
      </c>
      <c r="J304">
        <v>-5.2513493829601967E-4</v>
      </c>
      <c r="M304">
        <v>7.4349288126601252</v>
      </c>
      <c r="N304">
        <v>3.90625E-3</v>
      </c>
      <c r="O304">
        <f t="shared" si="4"/>
        <v>0.33203125</v>
      </c>
      <c r="P304">
        <v>7.4349288126601252</v>
      </c>
    </row>
    <row r="305" spans="1:16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4.8828125E-4</v>
      </c>
      <c r="I305">
        <v>-1</v>
      </c>
      <c r="J305">
        <v>-4.8828125E-4</v>
      </c>
      <c r="M305">
        <v>7.4349288126601252</v>
      </c>
      <c r="N305">
        <v>1.953125E-3</v>
      </c>
      <c r="O305">
        <f t="shared" si="4"/>
        <v>0.333984375</v>
      </c>
      <c r="P305">
        <v>7.4349288126601252</v>
      </c>
    </row>
    <row r="306" spans="1:16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9.3057524620919345</v>
      </c>
      <c r="H306">
        <v>9.765625E-4</v>
      </c>
      <c r="I306">
        <v>-0.73330633217989072</v>
      </c>
      <c r="J306">
        <v>-7.1611946501942453E-4</v>
      </c>
      <c r="M306">
        <v>7.4349288126601252</v>
      </c>
      <c r="N306">
        <v>3.90625E-3</v>
      </c>
      <c r="O306">
        <f t="shared" si="4"/>
        <v>0.337890625</v>
      </c>
      <c r="P306">
        <v>7.4349288126601252</v>
      </c>
    </row>
    <row r="307" spans="1:16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16.285066808660886</v>
      </c>
      <c r="H307">
        <v>4.8828125E-4</v>
      </c>
      <c r="I307">
        <v>-0.58109817512362005</v>
      </c>
      <c r="J307">
        <v>-2.837393433220801E-4</v>
      </c>
      <c r="M307">
        <v>7.4349288126601252</v>
      </c>
      <c r="N307">
        <v>1.953125E-3</v>
      </c>
      <c r="O307">
        <f t="shared" si="4"/>
        <v>0.33984375</v>
      </c>
      <c r="P307">
        <v>7.4349288126601252</v>
      </c>
    </row>
    <row r="308" spans="1:16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4.6528762310459726</v>
      </c>
      <c r="H308">
        <v>9.765625E-4</v>
      </c>
      <c r="I308">
        <v>-0.85633307315546936</v>
      </c>
      <c r="J308">
        <v>-8.3626276675338805E-4</v>
      </c>
      <c r="M308">
        <v>7.4446019696735473</v>
      </c>
      <c r="N308">
        <v>4.8828125E-4</v>
      </c>
      <c r="O308">
        <f t="shared" si="4"/>
        <v>0.34033203125</v>
      </c>
      <c r="P308">
        <v>7.4446019696735473</v>
      </c>
    </row>
    <row r="309" spans="1:16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13.958628693137905</v>
      </c>
      <c r="H309">
        <v>1.953125E-3</v>
      </c>
      <c r="I309">
        <v>-0.62795446499997132</v>
      </c>
      <c r="J309">
        <v>-1.226473564453069E-3</v>
      </c>
      <c r="M309">
        <v>7.4446019696735473</v>
      </c>
      <c r="N309">
        <v>9.765625E-4</v>
      </c>
      <c r="O309">
        <f t="shared" si="4"/>
        <v>0.34130859375</v>
      </c>
      <c r="P309">
        <v>7.4446019696735473</v>
      </c>
    </row>
    <row r="310" spans="1:16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20.937943039706855</v>
      </c>
      <c r="H310">
        <v>9.765625E-4</v>
      </c>
      <c r="I310">
        <v>-0.49761358610864465</v>
      </c>
      <c r="J310">
        <v>-4.8595076768422329E-4</v>
      </c>
      <c r="M310">
        <v>7.4446019696735473</v>
      </c>
      <c r="N310">
        <v>4.8828125E-4</v>
      </c>
      <c r="O310">
        <f t="shared" si="4"/>
        <v>0.341796875</v>
      </c>
      <c r="P310">
        <v>7.4446019696735473</v>
      </c>
    </row>
    <row r="311" spans="1:16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2.3264381155229863</v>
      </c>
      <c r="H311">
        <v>1.953125E-3</v>
      </c>
      <c r="I311">
        <v>-0.92538266309428419</v>
      </c>
      <c r="J311">
        <v>-1.8073880138560238E-3</v>
      </c>
      <c r="M311">
        <v>7.4446019696735473</v>
      </c>
      <c r="N311">
        <v>9.765625E-4</v>
      </c>
      <c r="O311">
        <f t="shared" si="4"/>
        <v>0.3427734375</v>
      </c>
      <c r="P311">
        <v>7.4446019696735473</v>
      </c>
    </row>
    <row r="312" spans="1:16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11.632190577614921</v>
      </c>
      <c r="H312">
        <v>3.90625E-3</v>
      </c>
      <c r="I312">
        <v>-0.678588966536529</v>
      </c>
      <c r="J312">
        <v>-2.6507381505333164E-3</v>
      </c>
      <c r="M312">
        <v>7.4446019696735473</v>
      </c>
      <c r="N312">
        <v>1.953125E-3</v>
      </c>
      <c r="O312">
        <f t="shared" si="4"/>
        <v>0.3447265625</v>
      </c>
      <c r="P312">
        <v>7.4446019696735473</v>
      </c>
    </row>
    <row r="313" spans="1:16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18.611504924183873</v>
      </c>
      <c r="H313">
        <v>1.953125E-3</v>
      </c>
      <c r="I313">
        <v>-0.53773817681512415</v>
      </c>
      <c r="J313">
        <v>-1.0502698765920393E-3</v>
      </c>
      <c r="M313">
        <v>7.4446019696735473</v>
      </c>
      <c r="N313">
        <v>9.765625E-4</v>
      </c>
      <c r="O313">
        <f t="shared" si="4"/>
        <v>0.345703125</v>
      </c>
      <c r="P313">
        <v>7.4446019696735473</v>
      </c>
    </row>
    <row r="314" spans="1:16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9.765625E-4</v>
      </c>
      <c r="I314">
        <v>-1</v>
      </c>
      <c r="J314">
        <v>-9.765625E-4</v>
      </c>
      <c r="M314">
        <v>7.4446019696735473</v>
      </c>
      <c r="N314">
        <v>4.8828125E-4</v>
      </c>
      <c r="O314">
        <f t="shared" si="4"/>
        <v>0.34619140625</v>
      </c>
      <c r="P314">
        <v>7.4446019696735473</v>
      </c>
    </row>
    <row r="315" spans="1:16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9.3057524620919345</v>
      </c>
      <c r="H315">
        <v>1.953125E-3</v>
      </c>
      <c r="I315">
        <v>-0.73330633217989072</v>
      </c>
      <c r="J315">
        <v>-1.4322389300388491E-3</v>
      </c>
      <c r="M315">
        <v>7.4446019696735473</v>
      </c>
      <c r="N315">
        <v>9.765625E-4</v>
      </c>
      <c r="O315">
        <f t="shared" si="4"/>
        <v>0.34716796875</v>
      </c>
      <c r="P315">
        <v>7.4446019696735473</v>
      </c>
    </row>
    <row r="316" spans="1:16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16.285066808660886</v>
      </c>
      <c r="H316">
        <v>9.765625E-4</v>
      </c>
      <c r="I316">
        <v>-0.58109817512362005</v>
      </c>
      <c r="J316">
        <v>-5.6747868664416021E-4</v>
      </c>
      <c r="M316">
        <v>7.4446019696735473</v>
      </c>
      <c r="N316">
        <v>4.8828125E-4</v>
      </c>
      <c r="O316">
        <f t="shared" si="4"/>
        <v>0.34765625</v>
      </c>
      <c r="P316">
        <v>7.4446019696735473</v>
      </c>
    </row>
    <row r="317" spans="1:16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4.6528762310459726</v>
      </c>
      <c r="H317">
        <v>4.8828125E-4</v>
      </c>
      <c r="I317">
        <v>-0.85633307315546936</v>
      </c>
      <c r="J317">
        <v>-4.1813138337669402E-4</v>
      </c>
      <c r="M317">
        <v>8.081020560541301</v>
      </c>
      <c r="N317">
        <v>9.765625E-4</v>
      </c>
      <c r="O317">
        <f t="shared" si="4"/>
        <v>0.3486328125</v>
      </c>
      <c r="P317">
        <v>8.081020560541301</v>
      </c>
    </row>
    <row r="318" spans="1:16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13.958628693137905</v>
      </c>
      <c r="H318">
        <v>9.765625E-4</v>
      </c>
      <c r="I318">
        <v>-0.62795446499997132</v>
      </c>
      <c r="J318">
        <v>-6.1323678222653449E-4</v>
      </c>
      <c r="M318">
        <v>8.081020560541301</v>
      </c>
      <c r="N318">
        <v>1.953125E-3</v>
      </c>
      <c r="O318">
        <f t="shared" si="4"/>
        <v>0.3505859375</v>
      </c>
      <c r="P318">
        <v>8.081020560541301</v>
      </c>
    </row>
    <row r="319" spans="1:16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20.937943039706855</v>
      </c>
      <c r="H319">
        <v>4.8828125E-4</v>
      </c>
      <c r="I319">
        <v>-0.49761358610864465</v>
      </c>
      <c r="J319">
        <v>-2.4297538384211164E-4</v>
      </c>
      <c r="M319">
        <v>8.081020560541301</v>
      </c>
      <c r="N319">
        <v>9.765625E-4</v>
      </c>
      <c r="O319">
        <f t="shared" si="4"/>
        <v>0.3515625</v>
      </c>
      <c r="P319">
        <v>8.081020560541301</v>
      </c>
    </row>
    <row r="320" spans="1:16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2.3264381155229863</v>
      </c>
      <c r="H320">
        <v>9.765625E-4</v>
      </c>
      <c r="I320">
        <v>-0.92538266309428419</v>
      </c>
      <c r="J320">
        <v>-9.036940069280119E-4</v>
      </c>
      <c r="M320">
        <v>8.081020560541301</v>
      </c>
      <c r="N320">
        <v>1.953125E-3</v>
      </c>
      <c r="O320">
        <f t="shared" si="4"/>
        <v>0.353515625</v>
      </c>
      <c r="P320">
        <v>8.081020560541301</v>
      </c>
    </row>
    <row r="321" spans="1:16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11.632190577614921</v>
      </c>
      <c r="H321">
        <v>1.953125E-3</v>
      </c>
      <c r="I321">
        <v>-0.678588966536529</v>
      </c>
      <c r="J321">
        <v>-1.3253690752666582E-3</v>
      </c>
      <c r="M321">
        <v>8.081020560541301</v>
      </c>
      <c r="N321">
        <v>3.90625E-3</v>
      </c>
      <c r="O321">
        <f t="shared" si="4"/>
        <v>0.357421875</v>
      </c>
      <c r="P321">
        <v>8.081020560541301</v>
      </c>
    </row>
    <row r="322" spans="1:16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18.611504924183873</v>
      </c>
      <c r="H322">
        <v>9.765625E-4</v>
      </c>
      <c r="I322">
        <v>-0.53773817681512415</v>
      </c>
      <c r="J322">
        <v>-5.2513493829601967E-4</v>
      </c>
      <c r="M322">
        <v>8.081020560541301</v>
      </c>
      <c r="N322">
        <v>1.953125E-3</v>
      </c>
      <c r="O322">
        <f t="shared" si="4"/>
        <v>0.359375</v>
      </c>
      <c r="P322">
        <v>8.081020560541301</v>
      </c>
    </row>
    <row r="323" spans="1:16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4.8828125E-4</v>
      </c>
      <c r="I323">
        <v>-1</v>
      </c>
      <c r="J323">
        <v>-4.8828125E-4</v>
      </c>
      <c r="M323">
        <v>8.081020560541301</v>
      </c>
      <c r="N323">
        <v>9.765625E-4</v>
      </c>
      <c r="O323">
        <f t="shared" si="4"/>
        <v>0.3603515625</v>
      </c>
      <c r="P323">
        <v>8.081020560541301</v>
      </c>
    </row>
    <row r="324" spans="1:16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9.3057524620919345</v>
      </c>
      <c r="H324">
        <v>9.765625E-4</v>
      </c>
      <c r="I324">
        <v>-0.73330633217989072</v>
      </c>
      <c r="J324">
        <v>-7.1611946501942453E-4</v>
      </c>
      <c r="M324">
        <v>8.081020560541301</v>
      </c>
      <c r="N324">
        <v>1.953125E-3</v>
      </c>
      <c r="O324">
        <f t="shared" ref="O324:O387" si="5">N324+O323</f>
        <v>0.3623046875</v>
      </c>
      <c r="P324">
        <v>8.081020560541301</v>
      </c>
    </row>
    <row r="325" spans="1:16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16.285066808660886</v>
      </c>
      <c r="H325">
        <v>4.8828125E-4</v>
      </c>
      <c r="I325">
        <v>-0.58109817512362005</v>
      </c>
      <c r="J325">
        <v>-2.837393433220801E-4</v>
      </c>
      <c r="M325">
        <v>8.081020560541301</v>
      </c>
      <c r="N325">
        <v>9.765625E-4</v>
      </c>
      <c r="O325">
        <f t="shared" si="5"/>
        <v>0.36328125</v>
      </c>
      <c r="P325">
        <v>8.081020560541301</v>
      </c>
    </row>
    <row r="326" spans="1:16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5.616338130913987</v>
      </c>
      <c r="H326">
        <v>9.765625E-4</v>
      </c>
      <c r="I326">
        <v>-0.82926851746249697</v>
      </c>
      <c r="J326">
        <v>-8.098325365844697E-4</v>
      </c>
      <c r="M326">
        <v>8.3751772158827436</v>
      </c>
      <c r="N326">
        <v>2.44140625E-4</v>
      </c>
      <c r="O326">
        <f t="shared" si="5"/>
        <v>0.363525390625</v>
      </c>
      <c r="P326">
        <v>8.3751772158827436</v>
      </c>
    </row>
    <row r="327" spans="1:16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16.849014392741964</v>
      </c>
      <c r="H327">
        <v>1.953125E-3</v>
      </c>
      <c r="I327">
        <v>-0.57027657696444012</v>
      </c>
      <c r="J327">
        <v>-1.1138214393836721E-3</v>
      </c>
      <c r="M327">
        <v>8.3751772158827436</v>
      </c>
      <c r="N327">
        <v>4.8828125E-4</v>
      </c>
      <c r="O327">
        <f t="shared" si="5"/>
        <v>0.364013671875</v>
      </c>
      <c r="P327">
        <v>8.3751772158827436</v>
      </c>
    </row>
    <row r="328" spans="1:16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25.273521589112942</v>
      </c>
      <c r="H328">
        <v>9.765625E-4</v>
      </c>
      <c r="I328">
        <v>-0.4306538173458283</v>
      </c>
      <c r="J328">
        <v>-4.2056036850178545E-4</v>
      </c>
      <c r="M328">
        <v>8.3751772158827436</v>
      </c>
      <c r="N328">
        <v>2.44140625E-4</v>
      </c>
      <c r="O328">
        <f t="shared" si="5"/>
        <v>0.3642578125</v>
      </c>
      <c r="P328">
        <v>8.3751772158827436</v>
      </c>
    </row>
    <row r="329" spans="1:16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2.8081690654569935</v>
      </c>
      <c r="H329">
        <v>1.953125E-3</v>
      </c>
      <c r="I329">
        <v>-0.91064181622770701</v>
      </c>
      <c r="J329">
        <v>-1.7785972973197403E-3</v>
      </c>
      <c r="M329">
        <v>8.3751772158827436</v>
      </c>
      <c r="N329">
        <v>4.8828125E-4</v>
      </c>
      <c r="O329">
        <f t="shared" si="5"/>
        <v>0.36474609375</v>
      </c>
      <c r="P329">
        <v>8.3751772158827436</v>
      </c>
    </row>
    <row r="330" spans="1:16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14.040845327284968</v>
      </c>
      <c r="H330">
        <v>3.90625E-3</v>
      </c>
      <c r="I330">
        <v>-0.62623587759980681</v>
      </c>
      <c r="J330">
        <v>-2.4462338968742454E-3</v>
      </c>
      <c r="M330">
        <v>8.3751772158827436</v>
      </c>
      <c r="N330">
        <v>9.765625E-4</v>
      </c>
      <c r="O330">
        <f t="shared" si="5"/>
        <v>0.36572265625</v>
      </c>
      <c r="P330">
        <v>8.3751772158827436</v>
      </c>
    </row>
    <row r="331" spans="1:16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22.465352523655948</v>
      </c>
      <c r="H331">
        <v>1.953125E-3</v>
      </c>
      <c r="I331">
        <v>-0.47291241152288888</v>
      </c>
      <c r="J331">
        <v>-9.2365705375564234E-4</v>
      </c>
      <c r="M331">
        <v>8.3751772158827436</v>
      </c>
      <c r="N331">
        <v>4.8828125E-4</v>
      </c>
      <c r="O331">
        <f t="shared" si="5"/>
        <v>0.3662109375</v>
      </c>
      <c r="P331">
        <v>8.3751772158827436</v>
      </c>
    </row>
    <row r="332" spans="1:16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9.765625E-4</v>
      </c>
      <c r="I332">
        <v>-1</v>
      </c>
      <c r="J332">
        <v>-9.765625E-4</v>
      </c>
      <c r="M332">
        <v>8.3751772158827436</v>
      </c>
      <c r="N332">
        <v>2.44140625E-4</v>
      </c>
      <c r="O332">
        <f t="shared" si="5"/>
        <v>0.366455078125</v>
      </c>
      <c r="P332">
        <v>8.3751772158827436</v>
      </c>
    </row>
    <row r="333" spans="1:16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11.232676261827974</v>
      </c>
      <c r="H333">
        <v>1.953125E-3</v>
      </c>
      <c r="I333">
        <v>-0.6876862740544476</v>
      </c>
      <c r="J333">
        <v>-1.343137254012593E-3</v>
      </c>
      <c r="M333">
        <v>8.3751772158827436</v>
      </c>
      <c r="N333">
        <v>4.8828125E-4</v>
      </c>
      <c r="O333">
        <f t="shared" si="5"/>
        <v>0.366943359375</v>
      </c>
      <c r="P333">
        <v>8.3751772158827436</v>
      </c>
    </row>
    <row r="334" spans="1:16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19.657183458198954</v>
      </c>
      <c r="H334">
        <v>9.765625E-4</v>
      </c>
      <c r="I334">
        <v>-0.51931769779901749</v>
      </c>
      <c r="J334">
        <v>-5.0714618925685301E-4</v>
      </c>
      <c r="M334">
        <v>8.3751772158827436</v>
      </c>
      <c r="N334">
        <v>2.44140625E-4</v>
      </c>
      <c r="O334">
        <f t="shared" si="5"/>
        <v>0.3671875</v>
      </c>
      <c r="P334">
        <v>8.3751772158827436</v>
      </c>
    </row>
    <row r="335" spans="1:16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5.616338130913987</v>
      </c>
      <c r="H335">
        <v>1.953125E-3</v>
      </c>
      <c r="I335">
        <v>-0.82926851746249697</v>
      </c>
      <c r="J335">
        <v>-1.6196650731689394E-3</v>
      </c>
      <c r="M335">
        <v>8.9219145751921509</v>
      </c>
      <c r="N335">
        <v>9.765625E-4</v>
      </c>
      <c r="O335">
        <f t="shared" si="5"/>
        <v>0.3681640625</v>
      </c>
      <c r="P335">
        <v>8.9219145751921509</v>
      </c>
    </row>
    <row r="336" spans="1:16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16.849014392741964</v>
      </c>
      <c r="H336">
        <v>3.90625E-3</v>
      </c>
      <c r="I336">
        <v>-0.57027657696444012</v>
      </c>
      <c r="J336">
        <v>-2.2276428787673442E-3</v>
      </c>
      <c r="M336">
        <v>8.9219145751921509</v>
      </c>
      <c r="N336">
        <v>1.953125E-3</v>
      </c>
      <c r="O336">
        <f t="shared" si="5"/>
        <v>0.3701171875</v>
      </c>
      <c r="P336">
        <v>8.9219145751921509</v>
      </c>
    </row>
    <row r="337" spans="1:16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25.273521589112942</v>
      </c>
      <c r="H337">
        <v>1.953125E-3</v>
      </c>
      <c r="I337">
        <v>-0.4306538173458283</v>
      </c>
      <c r="J337">
        <v>-8.4112073700357091E-4</v>
      </c>
      <c r="M337">
        <v>8.9219145751921509</v>
      </c>
      <c r="N337">
        <v>9.765625E-4</v>
      </c>
      <c r="O337">
        <f t="shared" si="5"/>
        <v>0.37109375</v>
      </c>
      <c r="P337">
        <v>8.9219145751921509</v>
      </c>
    </row>
    <row r="338" spans="1:16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2.8081690654569935</v>
      </c>
      <c r="H338">
        <v>3.90625E-3</v>
      </c>
      <c r="I338">
        <v>-0.91064181622770701</v>
      </c>
      <c r="J338">
        <v>-3.5571945946394805E-3</v>
      </c>
      <c r="M338">
        <v>8.9219145751921509</v>
      </c>
      <c r="N338">
        <v>1.953125E-3</v>
      </c>
      <c r="O338">
        <f t="shared" si="5"/>
        <v>0.373046875</v>
      </c>
      <c r="P338">
        <v>8.9219145751921509</v>
      </c>
    </row>
    <row r="339" spans="1:16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14.040845327284968</v>
      </c>
      <c r="H339">
        <v>7.8125E-3</v>
      </c>
      <c r="I339">
        <v>-0.62623587759980681</v>
      </c>
      <c r="J339">
        <v>-4.8924677937484907E-3</v>
      </c>
      <c r="M339">
        <v>8.9219145751921509</v>
      </c>
      <c r="N339">
        <v>3.90625E-3</v>
      </c>
      <c r="O339">
        <f t="shared" si="5"/>
        <v>0.376953125</v>
      </c>
      <c r="P339">
        <v>8.9219145751921509</v>
      </c>
    </row>
    <row r="340" spans="1:16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22.465352523655948</v>
      </c>
      <c r="H340">
        <v>3.90625E-3</v>
      </c>
      <c r="I340">
        <v>-0.47291241152288888</v>
      </c>
      <c r="J340">
        <v>-1.8473141075112847E-3</v>
      </c>
      <c r="M340">
        <v>8.9219145751921509</v>
      </c>
      <c r="N340">
        <v>1.953125E-3</v>
      </c>
      <c r="O340">
        <f t="shared" si="5"/>
        <v>0.37890625</v>
      </c>
      <c r="P340">
        <v>8.9219145751921509</v>
      </c>
    </row>
    <row r="341" spans="1:16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1.953125E-3</v>
      </c>
      <c r="I341">
        <v>-1</v>
      </c>
      <c r="J341">
        <v>-1.953125E-3</v>
      </c>
      <c r="M341">
        <v>8.9219145751921509</v>
      </c>
      <c r="N341">
        <v>9.765625E-4</v>
      </c>
      <c r="O341">
        <f t="shared" si="5"/>
        <v>0.3798828125</v>
      </c>
      <c r="P341">
        <v>8.9219145751921509</v>
      </c>
    </row>
    <row r="342" spans="1:16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11.232676261827974</v>
      </c>
      <c r="H342">
        <v>3.90625E-3</v>
      </c>
      <c r="I342">
        <v>-0.6876862740544476</v>
      </c>
      <c r="J342">
        <v>-2.6862745080251859E-3</v>
      </c>
      <c r="M342">
        <v>8.9219145751921509</v>
      </c>
      <c r="N342">
        <v>1.953125E-3</v>
      </c>
      <c r="O342">
        <f t="shared" si="5"/>
        <v>0.3818359375</v>
      </c>
      <c r="P342">
        <v>8.9219145751921509</v>
      </c>
    </row>
    <row r="343" spans="1:16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19.657183458198954</v>
      </c>
      <c r="H343">
        <v>1.953125E-3</v>
      </c>
      <c r="I343">
        <v>-0.51931769779901749</v>
      </c>
      <c r="J343">
        <v>-1.014292378513706E-3</v>
      </c>
      <c r="M343">
        <v>8.9219145751921509</v>
      </c>
      <c r="N343">
        <v>9.765625E-4</v>
      </c>
      <c r="O343">
        <f t="shared" si="5"/>
        <v>0.3828125</v>
      </c>
      <c r="P343">
        <v>8.9219145751921509</v>
      </c>
    </row>
    <row r="344" spans="1:16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5.616338130913987</v>
      </c>
      <c r="H344">
        <v>9.765625E-4</v>
      </c>
      <c r="I344">
        <v>-0.82926851746249697</v>
      </c>
      <c r="J344">
        <v>-8.098325365844697E-4</v>
      </c>
      <c r="M344">
        <v>9.3057524620919345</v>
      </c>
      <c r="N344">
        <v>9.765625E-4</v>
      </c>
      <c r="O344">
        <f t="shared" si="5"/>
        <v>0.3837890625</v>
      </c>
      <c r="P344">
        <v>9.3057524620919345</v>
      </c>
    </row>
    <row r="345" spans="1:16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16.849014392741964</v>
      </c>
      <c r="H345">
        <v>1.953125E-3</v>
      </c>
      <c r="I345">
        <v>-0.57027657696444012</v>
      </c>
      <c r="J345">
        <v>-1.1138214393836721E-3</v>
      </c>
      <c r="M345">
        <v>9.3057524620919345</v>
      </c>
      <c r="N345">
        <v>1.953125E-3</v>
      </c>
      <c r="O345">
        <f t="shared" si="5"/>
        <v>0.3857421875</v>
      </c>
      <c r="P345">
        <v>9.3057524620919345</v>
      </c>
    </row>
    <row r="346" spans="1:16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25.273521589112942</v>
      </c>
      <c r="H346">
        <v>9.765625E-4</v>
      </c>
      <c r="I346">
        <v>-0.4306538173458283</v>
      </c>
      <c r="J346">
        <v>-4.2056036850178545E-4</v>
      </c>
      <c r="M346">
        <v>9.3057524620919345</v>
      </c>
      <c r="N346">
        <v>9.765625E-4</v>
      </c>
      <c r="O346">
        <f t="shared" si="5"/>
        <v>0.38671875</v>
      </c>
      <c r="P346">
        <v>9.3057524620919345</v>
      </c>
    </row>
    <row r="347" spans="1:16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22.465352523655948</v>
      </c>
      <c r="H347">
        <v>1.953125E-3</v>
      </c>
      <c r="I347">
        <v>-0.47291241152288888</v>
      </c>
      <c r="J347">
        <v>-9.2365705375564234E-4</v>
      </c>
      <c r="M347">
        <v>9.3057524620919345</v>
      </c>
      <c r="N347">
        <v>1.953125E-3</v>
      </c>
      <c r="O347">
        <f t="shared" si="5"/>
        <v>0.388671875</v>
      </c>
      <c r="P347">
        <v>9.3057524620919345</v>
      </c>
    </row>
    <row r="348" spans="1:16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14.040845327284968</v>
      </c>
      <c r="H348">
        <v>3.90625E-3</v>
      </c>
      <c r="I348">
        <v>-0.62623587759980681</v>
      </c>
      <c r="J348">
        <v>-2.4462338968742454E-3</v>
      </c>
      <c r="M348">
        <v>9.3057524620919345</v>
      </c>
      <c r="N348">
        <v>3.90625E-3</v>
      </c>
      <c r="O348">
        <f t="shared" si="5"/>
        <v>0.392578125</v>
      </c>
      <c r="P348">
        <v>9.3057524620919345</v>
      </c>
    </row>
    <row r="349" spans="1:16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22.465352523655948</v>
      </c>
      <c r="H349">
        <v>1.953125E-3</v>
      </c>
      <c r="I349">
        <v>-0.47291241152288888</v>
      </c>
      <c r="J349">
        <v>-9.2365705375564234E-4</v>
      </c>
      <c r="M349">
        <v>9.3057524620919345</v>
      </c>
      <c r="N349">
        <v>1.953125E-3</v>
      </c>
      <c r="O349">
        <f t="shared" si="5"/>
        <v>0.39453125</v>
      </c>
      <c r="P349">
        <v>9.3057524620919345</v>
      </c>
    </row>
    <row r="350" spans="1:16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9.765625E-4</v>
      </c>
      <c r="I350">
        <v>-1</v>
      </c>
      <c r="J350">
        <v>-9.765625E-4</v>
      </c>
      <c r="M350">
        <v>9.3057524620919345</v>
      </c>
      <c r="N350">
        <v>9.765625E-4</v>
      </c>
      <c r="O350">
        <f t="shared" si="5"/>
        <v>0.3955078125</v>
      </c>
      <c r="P350">
        <v>9.3057524620919345</v>
      </c>
    </row>
    <row r="351" spans="1:16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11.232676261827974</v>
      </c>
      <c r="H351">
        <v>1.953125E-3</v>
      </c>
      <c r="I351">
        <v>-0.6876862740544476</v>
      </c>
      <c r="J351">
        <v>-1.343137254012593E-3</v>
      </c>
      <c r="M351">
        <v>9.3057524620919345</v>
      </c>
      <c r="N351">
        <v>1.953125E-3</v>
      </c>
      <c r="O351">
        <f t="shared" si="5"/>
        <v>0.3974609375</v>
      </c>
      <c r="P351">
        <v>9.3057524620919345</v>
      </c>
    </row>
    <row r="352" spans="1:16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19.657183458198954</v>
      </c>
      <c r="H352">
        <v>9.765625E-4</v>
      </c>
      <c r="I352">
        <v>-0.51931769779901749</v>
      </c>
      <c r="J352">
        <v>-5.0714618925685301E-4</v>
      </c>
      <c r="M352">
        <v>9.3057524620919345</v>
      </c>
      <c r="N352">
        <v>9.765625E-4</v>
      </c>
      <c r="O352">
        <f t="shared" si="5"/>
        <v>0.3984375</v>
      </c>
      <c r="P352">
        <v>9.3057524620919345</v>
      </c>
    </row>
    <row r="353" spans="1:16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5.616338130913987</v>
      </c>
      <c r="H353">
        <v>1.953125E-3</v>
      </c>
      <c r="I353">
        <v>-0.82926851746249697</v>
      </c>
      <c r="J353">
        <v>-1.6196650731689394E-3</v>
      </c>
      <c r="M353">
        <v>9.697224672649563</v>
      </c>
      <c r="N353">
        <v>4.8828125E-4</v>
      </c>
      <c r="O353">
        <f t="shared" si="5"/>
        <v>0.39892578125</v>
      </c>
      <c r="P353">
        <v>9.697224672649563</v>
      </c>
    </row>
    <row r="354" spans="1:16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16.849014392741964</v>
      </c>
      <c r="H354">
        <v>3.90625E-3</v>
      </c>
      <c r="I354">
        <v>-0.57027657696444012</v>
      </c>
      <c r="J354">
        <v>-2.2276428787673442E-3</v>
      </c>
      <c r="M354">
        <v>9.697224672649563</v>
      </c>
      <c r="N354">
        <v>9.765625E-4</v>
      </c>
      <c r="O354">
        <f t="shared" si="5"/>
        <v>0.39990234375</v>
      </c>
      <c r="P354">
        <v>9.697224672649563</v>
      </c>
    </row>
    <row r="355" spans="1:16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25.273521589112942</v>
      </c>
      <c r="H355">
        <v>1.953125E-3</v>
      </c>
      <c r="I355">
        <v>-0.4306538173458283</v>
      </c>
      <c r="J355">
        <v>-8.4112073700357091E-4</v>
      </c>
      <c r="M355">
        <v>9.697224672649563</v>
      </c>
      <c r="N355">
        <v>4.8828125E-4</v>
      </c>
      <c r="O355">
        <f t="shared" si="5"/>
        <v>0.400390625</v>
      </c>
      <c r="P355">
        <v>9.697224672649563</v>
      </c>
    </row>
    <row r="356" spans="1:16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2.8081690654569935</v>
      </c>
      <c r="H356">
        <v>3.90625E-3</v>
      </c>
      <c r="I356">
        <v>-0.91064181622770701</v>
      </c>
      <c r="J356">
        <v>-3.5571945946394805E-3</v>
      </c>
      <c r="M356">
        <v>9.697224672649563</v>
      </c>
      <c r="N356">
        <v>9.765625E-4</v>
      </c>
      <c r="O356">
        <f t="shared" si="5"/>
        <v>0.4013671875</v>
      </c>
      <c r="P356">
        <v>9.697224672649563</v>
      </c>
    </row>
    <row r="357" spans="1:16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14.040845327284968</v>
      </c>
      <c r="H357">
        <v>7.8125E-3</v>
      </c>
      <c r="I357">
        <v>-0.62623587759980681</v>
      </c>
      <c r="J357">
        <v>-4.8924677937484907E-3</v>
      </c>
      <c r="M357">
        <v>9.697224672649563</v>
      </c>
      <c r="N357">
        <v>1.953125E-3</v>
      </c>
      <c r="O357">
        <f t="shared" si="5"/>
        <v>0.4033203125</v>
      </c>
      <c r="P357">
        <v>9.697224672649563</v>
      </c>
    </row>
    <row r="358" spans="1:16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22.465352523655948</v>
      </c>
      <c r="H358">
        <v>3.90625E-3</v>
      </c>
      <c r="I358">
        <v>-0.47291241152288888</v>
      </c>
      <c r="J358">
        <v>-1.8473141075112847E-3</v>
      </c>
      <c r="M358">
        <v>9.697224672649563</v>
      </c>
      <c r="N358">
        <v>9.765625E-4</v>
      </c>
      <c r="O358">
        <f t="shared" si="5"/>
        <v>0.404296875</v>
      </c>
      <c r="P358">
        <v>9.697224672649563</v>
      </c>
    </row>
    <row r="359" spans="1:16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1.953125E-3</v>
      </c>
      <c r="I359">
        <v>-1</v>
      </c>
      <c r="J359">
        <v>-1.953125E-3</v>
      </c>
      <c r="M359">
        <v>9.697224672649563</v>
      </c>
      <c r="N359">
        <v>4.8828125E-4</v>
      </c>
      <c r="O359">
        <f t="shared" si="5"/>
        <v>0.40478515625</v>
      </c>
      <c r="P359">
        <v>9.697224672649563</v>
      </c>
    </row>
    <row r="360" spans="1:16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11.232676261827974</v>
      </c>
      <c r="H360">
        <v>3.90625E-3</v>
      </c>
      <c r="I360">
        <v>-0.6876862740544476</v>
      </c>
      <c r="J360">
        <v>-2.6862745080251859E-3</v>
      </c>
      <c r="M360">
        <v>9.697224672649563</v>
      </c>
      <c r="N360">
        <v>9.765625E-4</v>
      </c>
      <c r="O360">
        <f t="shared" si="5"/>
        <v>0.40576171875</v>
      </c>
      <c r="P360">
        <v>9.697224672649563</v>
      </c>
    </row>
    <row r="361" spans="1:16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19.657183458198954</v>
      </c>
      <c r="H361">
        <v>1.953125E-3</v>
      </c>
      <c r="I361">
        <v>-0.51931769779901749</v>
      </c>
      <c r="J361">
        <v>-1.014292378513706E-3</v>
      </c>
      <c r="M361">
        <v>9.697224672649563</v>
      </c>
      <c r="N361">
        <v>4.8828125E-4</v>
      </c>
      <c r="O361">
        <f t="shared" si="5"/>
        <v>0.40625</v>
      </c>
      <c r="P361">
        <v>9.697224672649563</v>
      </c>
    </row>
    <row r="362" spans="1:16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5.616338130913987</v>
      </c>
      <c r="H362">
        <v>3.90625E-3</v>
      </c>
      <c r="I362">
        <v>-0.82926851746249697</v>
      </c>
      <c r="J362">
        <v>-3.2393301463378788E-3</v>
      </c>
      <c r="M362">
        <v>10.408900337724178</v>
      </c>
      <c r="N362">
        <v>4.8828125E-4</v>
      </c>
      <c r="O362">
        <f t="shared" si="5"/>
        <v>0.40673828125</v>
      </c>
      <c r="P362">
        <v>10.408900337724178</v>
      </c>
    </row>
    <row r="363" spans="1:16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16.849014392741964</v>
      </c>
      <c r="H363">
        <v>7.8125E-3</v>
      </c>
      <c r="I363">
        <v>-0.57027657696444012</v>
      </c>
      <c r="J363">
        <v>-4.4552857575346884E-3</v>
      </c>
      <c r="M363">
        <v>10.408900337724178</v>
      </c>
      <c r="N363">
        <v>9.765625E-4</v>
      </c>
      <c r="O363">
        <f t="shared" si="5"/>
        <v>0.40771484375</v>
      </c>
      <c r="P363">
        <v>10.408900337724178</v>
      </c>
    </row>
    <row r="364" spans="1:16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25.273521589112942</v>
      </c>
      <c r="H364">
        <v>3.90625E-3</v>
      </c>
      <c r="I364">
        <v>-0.4306538173458283</v>
      </c>
      <c r="J364">
        <v>-1.6822414740071418E-3</v>
      </c>
      <c r="M364">
        <v>10.408900337724178</v>
      </c>
      <c r="N364">
        <v>4.8828125E-4</v>
      </c>
      <c r="O364">
        <f t="shared" si="5"/>
        <v>0.408203125</v>
      </c>
      <c r="P364">
        <v>10.408900337724178</v>
      </c>
    </row>
    <row r="365" spans="1:16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2.8081690654569935</v>
      </c>
      <c r="H365">
        <v>7.8125E-3</v>
      </c>
      <c r="I365">
        <v>-0.91064181622770701</v>
      </c>
      <c r="J365">
        <v>-7.114389189278961E-3</v>
      </c>
      <c r="M365">
        <v>10.408900337724178</v>
      </c>
      <c r="N365">
        <v>9.765625E-4</v>
      </c>
      <c r="O365">
        <f t="shared" si="5"/>
        <v>0.4091796875</v>
      </c>
      <c r="P365">
        <v>10.408900337724178</v>
      </c>
    </row>
    <row r="366" spans="1:16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14.040845327284968</v>
      </c>
      <c r="H366">
        <v>1.5625E-2</v>
      </c>
      <c r="I366">
        <v>-0.62623587759980681</v>
      </c>
      <c r="J366">
        <v>-9.7849355874969814E-3</v>
      </c>
      <c r="M366">
        <v>10.408900337724178</v>
      </c>
      <c r="N366">
        <v>1.953125E-3</v>
      </c>
      <c r="O366">
        <f t="shared" si="5"/>
        <v>0.4111328125</v>
      </c>
      <c r="P366">
        <v>10.408900337724178</v>
      </c>
    </row>
    <row r="367" spans="1:16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22.465352523655948</v>
      </c>
      <c r="H367">
        <v>7.8125E-3</v>
      </c>
      <c r="I367">
        <v>-0.47291241152288888</v>
      </c>
      <c r="J367">
        <v>-3.6946282150225693E-3</v>
      </c>
      <c r="M367">
        <v>10.408900337724178</v>
      </c>
      <c r="N367">
        <v>9.765625E-4</v>
      </c>
      <c r="O367">
        <f t="shared" si="5"/>
        <v>0.412109375</v>
      </c>
      <c r="P367">
        <v>10.408900337724178</v>
      </c>
    </row>
    <row r="368" spans="1:16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3.90625E-3</v>
      </c>
      <c r="I368">
        <v>-1</v>
      </c>
      <c r="J368">
        <v>-3.90625E-3</v>
      </c>
      <c r="M368">
        <v>10.408900337724178</v>
      </c>
      <c r="N368">
        <v>4.8828125E-4</v>
      </c>
      <c r="O368">
        <f t="shared" si="5"/>
        <v>0.41259765625</v>
      </c>
      <c r="P368">
        <v>10.408900337724178</v>
      </c>
    </row>
    <row r="369" spans="1:16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11.232676261827974</v>
      </c>
      <c r="H369">
        <v>7.8125E-3</v>
      </c>
      <c r="I369">
        <v>-0.6876862740544476</v>
      </c>
      <c r="J369">
        <v>-5.3725490160503719E-3</v>
      </c>
      <c r="M369">
        <v>10.408900337724178</v>
      </c>
      <c r="N369">
        <v>9.765625E-4</v>
      </c>
      <c r="O369">
        <f t="shared" si="5"/>
        <v>0.41357421875</v>
      </c>
      <c r="P369">
        <v>10.408900337724178</v>
      </c>
    </row>
    <row r="370" spans="1:16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19.657183458198954</v>
      </c>
      <c r="H370">
        <v>3.90625E-3</v>
      </c>
      <c r="I370">
        <v>-0.51931769779901749</v>
      </c>
      <c r="J370">
        <v>-2.0285847570274121E-3</v>
      </c>
      <c r="M370">
        <v>10.408900337724178</v>
      </c>
      <c r="N370">
        <v>4.8828125E-4</v>
      </c>
      <c r="O370">
        <f t="shared" si="5"/>
        <v>0.4140625</v>
      </c>
      <c r="P370">
        <v>10.408900337724178</v>
      </c>
    </row>
    <row r="371" spans="1:16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5.616338130913987</v>
      </c>
      <c r="H371">
        <v>1.953125E-3</v>
      </c>
      <c r="I371">
        <v>-0.82926851746249697</v>
      </c>
      <c r="J371">
        <v>-1.6196650731689394E-3</v>
      </c>
      <c r="M371">
        <v>11.232676261827974</v>
      </c>
      <c r="N371">
        <v>1.953125E-3</v>
      </c>
      <c r="O371">
        <f t="shared" si="5"/>
        <v>0.416015625</v>
      </c>
      <c r="P371">
        <v>11.232676261827974</v>
      </c>
    </row>
    <row r="372" spans="1:16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16.849014392741964</v>
      </c>
      <c r="H372">
        <v>3.90625E-3</v>
      </c>
      <c r="I372">
        <v>-0.57027657696444012</v>
      </c>
      <c r="J372">
        <v>-2.2276428787673442E-3</v>
      </c>
      <c r="M372">
        <v>11.232676261827974</v>
      </c>
      <c r="N372">
        <v>3.90625E-3</v>
      </c>
      <c r="O372">
        <f t="shared" si="5"/>
        <v>0.419921875</v>
      </c>
      <c r="P372">
        <v>11.232676261827974</v>
      </c>
    </row>
    <row r="373" spans="1:16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25.273521589112942</v>
      </c>
      <c r="H373">
        <v>1.953125E-3</v>
      </c>
      <c r="I373">
        <v>-0.4306538173458283</v>
      </c>
      <c r="J373">
        <v>-8.4112073700357091E-4</v>
      </c>
      <c r="M373">
        <v>11.232676261827974</v>
      </c>
      <c r="N373">
        <v>1.953125E-3</v>
      </c>
      <c r="O373">
        <f t="shared" si="5"/>
        <v>0.421875</v>
      </c>
      <c r="P373">
        <v>11.232676261827974</v>
      </c>
    </row>
    <row r="374" spans="1:16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2.8081690654569935</v>
      </c>
      <c r="H374">
        <v>3.90625E-3</v>
      </c>
      <c r="I374">
        <v>-0.91064181622770701</v>
      </c>
      <c r="J374">
        <v>-3.5571945946394805E-3</v>
      </c>
      <c r="M374">
        <v>11.232676261827974</v>
      </c>
      <c r="N374">
        <v>3.90625E-3</v>
      </c>
      <c r="O374">
        <f t="shared" si="5"/>
        <v>0.42578125</v>
      </c>
      <c r="P374">
        <v>11.232676261827974</v>
      </c>
    </row>
    <row r="375" spans="1:16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14.040845327284968</v>
      </c>
      <c r="H375">
        <v>7.8125E-3</v>
      </c>
      <c r="I375">
        <v>-0.62623587759980681</v>
      </c>
      <c r="J375">
        <v>-4.8924677937484907E-3</v>
      </c>
      <c r="M375">
        <v>11.232676261827974</v>
      </c>
      <c r="N375">
        <v>7.8125E-3</v>
      </c>
      <c r="O375">
        <f t="shared" si="5"/>
        <v>0.43359375</v>
      </c>
      <c r="P375">
        <v>11.232676261827974</v>
      </c>
    </row>
    <row r="376" spans="1:16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22.465352523655948</v>
      </c>
      <c r="H376">
        <v>3.90625E-3</v>
      </c>
      <c r="I376">
        <v>-0.47291241152288888</v>
      </c>
      <c r="J376">
        <v>-1.8473141075112847E-3</v>
      </c>
      <c r="M376">
        <v>11.232676261827974</v>
      </c>
      <c r="N376">
        <v>3.90625E-3</v>
      </c>
      <c r="O376">
        <f t="shared" si="5"/>
        <v>0.4375</v>
      </c>
      <c r="P376">
        <v>11.232676261827974</v>
      </c>
    </row>
    <row r="377" spans="1:16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1.953125E-3</v>
      </c>
      <c r="I377">
        <v>-1</v>
      </c>
      <c r="J377">
        <v>-1.953125E-3</v>
      </c>
      <c r="M377">
        <v>11.232676261827974</v>
      </c>
      <c r="N377">
        <v>1.953125E-3</v>
      </c>
      <c r="O377">
        <f t="shared" si="5"/>
        <v>0.439453125</v>
      </c>
      <c r="P377">
        <v>11.232676261827974</v>
      </c>
    </row>
    <row r="378" spans="1:16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11.232676261827974</v>
      </c>
      <c r="H378">
        <v>3.90625E-3</v>
      </c>
      <c r="I378">
        <v>-0.6876862740544476</v>
      </c>
      <c r="J378">
        <v>-2.6862745080251859E-3</v>
      </c>
      <c r="M378">
        <v>11.232676261827974</v>
      </c>
      <c r="N378">
        <v>3.90625E-3</v>
      </c>
      <c r="O378">
        <f t="shared" si="5"/>
        <v>0.443359375</v>
      </c>
      <c r="P378">
        <v>11.232676261827974</v>
      </c>
    </row>
    <row r="379" spans="1:16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19.657183458198954</v>
      </c>
      <c r="H379">
        <v>1.953125E-3</v>
      </c>
      <c r="I379">
        <v>-0.51931769779901749</v>
      </c>
      <c r="J379">
        <v>-1.014292378513706E-3</v>
      </c>
      <c r="M379">
        <v>11.232676261827974</v>
      </c>
      <c r="N379">
        <v>1.953125E-3</v>
      </c>
      <c r="O379">
        <f t="shared" si="5"/>
        <v>0.4453125</v>
      </c>
      <c r="P379">
        <v>11.232676261827974</v>
      </c>
    </row>
    <row r="380" spans="1:16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5.616338130913987</v>
      </c>
      <c r="H380">
        <v>9.765625E-4</v>
      </c>
      <c r="I380">
        <v>-0.82926851746249697</v>
      </c>
      <c r="J380">
        <v>-8.098325365844697E-4</v>
      </c>
      <c r="M380">
        <v>11.232676261827974</v>
      </c>
      <c r="N380">
        <v>9.765625E-4</v>
      </c>
      <c r="O380">
        <f t="shared" si="5"/>
        <v>0.4462890625</v>
      </c>
      <c r="P380">
        <v>11.232676261827974</v>
      </c>
    </row>
    <row r="381" spans="1:16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16.849014392741964</v>
      </c>
      <c r="H381">
        <v>1.953125E-3</v>
      </c>
      <c r="I381">
        <v>-0.57027657696444012</v>
      </c>
      <c r="J381">
        <v>-1.1138214393836721E-3</v>
      </c>
      <c r="M381">
        <v>11.232676261827974</v>
      </c>
      <c r="N381">
        <v>1.953125E-3</v>
      </c>
      <c r="O381">
        <f t="shared" si="5"/>
        <v>0.4482421875</v>
      </c>
      <c r="P381">
        <v>11.232676261827974</v>
      </c>
    </row>
    <row r="382" spans="1:16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25.273521589112942</v>
      </c>
      <c r="H382">
        <v>9.765625E-4</v>
      </c>
      <c r="I382">
        <v>-0.4306538173458283</v>
      </c>
      <c r="J382">
        <v>-4.2056036850178545E-4</v>
      </c>
      <c r="M382">
        <v>11.232676261827974</v>
      </c>
      <c r="N382">
        <v>9.765625E-4</v>
      </c>
      <c r="O382">
        <f t="shared" si="5"/>
        <v>0.44921875</v>
      </c>
      <c r="P382">
        <v>11.232676261827974</v>
      </c>
    </row>
    <row r="383" spans="1:16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2.8081690654569935</v>
      </c>
      <c r="H383">
        <v>1.953125E-3</v>
      </c>
      <c r="I383">
        <v>-0.91064181622770701</v>
      </c>
      <c r="J383">
        <v>-1.7785972973197403E-3</v>
      </c>
      <c r="M383">
        <v>11.232676261827974</v>
      </c>
      <c r="N383">
        <v>1.953125E-3</v>
      </c>
      <c r="O383">
        <f t="shared" si="5"/>
        <v>0.451171875</v>
      </c>
      <c r="P383">
        <v>11.232676261827974</v>
      </c>
    </row>
    <row r="384" spans="1:16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14.040845327284968</v>
      </c>
      <c r="H384">
        <v>3.90625E-3</v>
      </c>
      <c r="I384">
        <v>-0.62623587759980681</v>
      </c>
      <c r="J384">
        <v>-2.4462338968742454E-3</v>
      </c>
      <c r="M384">
        <v>11.232676261827974</v>
      </c>
      <c r="N384">
        <v>3.90625E-3</v>
      </c>
      <c r="O384">
        <f t="shared" si="5"/>
        <v>0.455078125</v>
      </c>
      <c r="P384">
        <v>11.232676261827974</v>
      </c>
    </row>
    <row r="385" spans="1:16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22.465352523655948</v>
      </c>
      <c r="H385">
        <v>1.953125E-3</v>
      </c>
      <c r="I385">
        <v>-0.47291241152288888</v>
      </c>
      <c r="J385">
        <v>-9.2365705375564234E-4</v>
      </c>
      <c r="M385">
        <v>11.232676261827974</v>
      </c>
      <c r="N385">
        <v>1.953125E-3</v>
      </c>
      <c r="O385">
        <f t="shared" si="5"/>
        <v>0.45703125</v>
      </c>
      <c r="P385">
        <v>11.232676261827974</v>
      </c>
    </row>
    <row r="386" spans="1:16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9.765625E-4</v>
      </c>
      <c r="I386">
        <v>-1</v>
      </c>
      <c r="J386">
        <v>-9.765625E-4</v>
      </c>
      <c r="M386">
        <v>11.232676261827974</v>
      </c>
      <c r="N386">
        <v>9.765625E-4</v>
      </c>
      <c r="O386">
        <f t="shared" si="5"/>
        <v>0.4580078125</v>
      </c>
      <c r="P386">
        <v>11.232676261827974</v>
      </c>
    </row>
    <row r="387" spans="1:16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11.232676261827974</v>
      </c>
      <c r="H387">
        <v>1.953125E-3</v>
      </c>
      <c r="I387">
        <v>-0.6876862740544476</v>
      </c>
      <c r="J387">
        <v>-1.343137254012593E-3</v>
      </c>
      <c r="M387">
        <v>11.232676261827974</v>
      </c>
      <c r="N387">
        <v>1.953125E-3</v>
      </c>
      <c r="O387">
        <f t="shared" si="5"/>
        <v>0.4599609375</v>
      </c>
      <c r="P387">
        <v>11.232676261827974</v>
      </c>
    </row>
    <row r="388" spans="1:16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19.657183458198954</v>
      </c>
      <c r="H388">
        <v>9.765625E-4</v>
      </c>
      <c r="I388">
        <v>-0.51931769779901749</v>
      </c>
      <c r="J388">
        <v>-5.0714618925685301E-4</v>
      </c>
      <c r="M388">
        <v>11.232676261827974</v>
      </c>
      <c r="N388">
        <v>9.765625E-4</v>
      </c>
      <c r="O388">
        <f t="shared" ref="O388:O451" si="6">N388+O387</f>
        <v>0.4609375</v>
      </c>
      <c r="P388">
        <v>11.232676261827974</v>
      </c>
    </row>
    <row r="389" spans="1:16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5.616338130913987</v>
      </c>
      <c r="H389">
        <v>1.953125E-3</v>
      </c>
      <c r="I389">
        <v>-0.82926851746249697</v>
      </c>
      <c r="J389">
        <v>-1.6196650731689394E-3</v>
      </c>
      <c r="M389">
        <v>11.232676261827974</v>
      </c>
      <c r="N389">
        <v>4.8828125E-4</v>
      </c>
      <c r="O389">
        <f t="shared" si="6"/>
        <v>0.46142578125</v>
      </c>
      <c r="P389">
        <v>11.232676261827974</v>
      </c>
    </row>
    <row r="390" spans="1:16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16.849014392741964</v>
      </c>
      <c r="H390">
        <v>3.90625E-3</v>
      </c>
      <c r="I390">
        <v>-0.57027657696444012</v>
      </c>
      <c r="J390">
        <v>-2.2276428787673442E-3</v>
      </c>
      <c r="M390">
        <v>11.232676261827974</v>
      </c>
      <c r="N390">
        <v>9.765625E-4</v>
      </c>
      <c r="O390">
        <f t="shared" si="6"/>
        <v>0.46240234375</v>
      </c>
      <c r="P390">
        <v>11.232676261827974</v>
      </c>
    </row>
    <row r="391" spans="1:16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25.273521589112942</v>
      </c>
      <c r="H391">
        <v>1.953125E-3</v>
      </c>
      <c r="I391">
        <v>-0.4306538173458283</v>
      </c>
      <c r="J391">
        <v>-8.4112073700357091E-4</v>
      </c>
      <c r="M391">
        <v>11.232676261827974</v>
      </c>
      <c r="N391">
        <v>4.8828125E-4</v>
      </c>
      <c r="O391">
        <f t="shared" si="6"/>
        <v>0.462890625</v>
      </c>
      <c r="P391">
        <v>11.232676261827974</v>
      </c>
    </row>
    <row r="392" spans="1:16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2.8081690654569935</v>
      </c>
      <c r="H392">
        <v>3.90625E-3</v>
      </c>
      <c r="I392">
        <v>-0.91064181622770701</v>
      </c>
      <c r="J392">
        <v>-3.5571945946394805E-3</v>
      </c>
      <c r="M392">
        <v>11.232676261827974</v>
      </c>
      <c r="N392">
        <v>9.765625E-4</v>
      </c>
      <c r="O392">
        <f t="shared" si="6"/>
        <v>0.4638671875</v>
      </c>
      <c r="P392">
        <v>11.232676261827974</v>
      </c>
    </row>
    <row r="393" spans="1:16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14.040845327284968</v>
      </c>
      <c r="H393">
        <v>7.8125E-3</v>
      </c>
      <c r="I393">
        <v>-0.62623587759980681</v>
      </c>
      <c r="J393">
        <v>-4.8924677937484907E-3</v>
      </c>
      <c r="M393">
        <v>11.232676261827974</v>
      </c>
      <c r="N393">
        <v>1.953125E-3</v>
      </c>
      <c r="O393">
        <f t="shared" si="6"/>
        <v>0.4658203125</v>
      </c>
      <c r="P393">
        <v>11.232676261827974</v>
      </c>
    </row>
    <row r="394" spans="1:16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22.465352523655948</v>
      </c>
      <c r="H394">
        <v>3.90625E-3</v>
      </c>
      <c r="I394">
        <v>-0.47291241152288888</v>
      </c>
      <c r="J394">
        <v>-1.8473141075112847E-3</v>
      </c>
      <c r="M394">
        <v>11.232676261827974</v>
      </c>
      <c r="N394">
        <v>9.765625E-4</v>
      </c>
      <c r="O394">
        <f t="shared" si="6"/>
        <v>0.466796875</v>
      </c>
      <c r="P394">
        <v>11.232676261827974</v>
      </c>
    </row>
    <row r="395" spans="1:16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1.953125E-3</v>
      </c>
      <c r="I395">
        <v>-1</v>
      </c>
      <c r="J395">
        <v>-1.953125E-3</v>
      </c>
      <c r="M395">
        <v>11.232676261827974</v>
      </c>
      <c r="N395">
        <v>4.8828125E-4</v>
      </c>
      <c r="O395">
        <f t="shared" si="6"/>
        <v>0.46728515625</v>
      </c>
      <c r="P395">
        <v>11.232676261827974</v>
      </c>
    </row>
    <row r="396" spans="1:16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11.232676261827974</v>
      </c>
      <c r="H396">
        <v>3.90625E-3</v>
      </c>
      <c r="I396">
        <v>-0.6876862740544476</v>
      </c>
      <c r="J396">
        <v>-2.6862745080251859E-3</v>
      </c>
      <c r="M396">
        <v>11.232676261827974</v>
      </c>
      <c r="N396">
        <v>9.765625E-4</v>
      </c>
      <c r="O396">
        <f t="shared" si="6"/>
        <v>0.46826171875</v>
      </c>
      <c r="P396">
        <v>11.232676261827974</v>
      </c>
    </row>
    <row r="397" spans="1:16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19.657183458198954</v>
      </c>
      <c r="H397">
        <v>1.953125E-3</v>
      </c>
      <c r="I397">
        <v>-0.51931769779901749</v>
      </c>
      <c r="J397">
        <v>-1.014292378513706E-3</v>
      </c>
      <c r="M397">
        <v>11.232676261827974</v>
      </c>
      <c r="N397">
        <v>4.8828125E-4</v>
      </c>
      <c r="O397">
        <f t="shared" si="6"/>
        <v>0.46875</v>
      </c>
      <c r="P397">
        <v>11.232676261827974</v>
      </c>
    </row>
    <row r="398" spans="1:16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5.616338130913987</v>
      </c>
      <c r="H398">
        <v>9.765625E-4</v>
      </c>
      <c r="I398">
        <v>-0.82926851746249697</v>
      </c>
      <c r="J398">
        <v>-8.098325365844697E-4</v>
      </c>
      <c r="M398">
        <v>11.232676261827974</v>
      </c>
      <c r="N398">
        <v>9.765625E-4</v>
      </c>
      <c r="O398">
        <f t="shared" si="6"/>
        <v>0.4697265625</v>
      </c>
      <c r="P398">
        <v>11.232676261827974</v>
      </c>
    </row>
    <row r="399" spans="1:16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16.849014392741964</v>
      </c>
      <c r="H399">
        <v>1.953125E-3</v>
      </c>
      <c r="I399">
        <v>-0.57027657696444012</v>
      </c>
      <c r="J399">
        <v>-1.1138214393836721E-3</v>
      </c>
      <c r="M399">
        <v>11.232676261827974</v>
      </c>
      <c r="N399">
        <v>1.953125E-3</v>
      </c>
      <c r="O399">
        <f t="shared" si="6"/>
        <v>0.4716796875</v>
      </c>
      <c r="P399">
        <v>11.232676261827974</v>
      </c>
    </row>
    <row r="400" spans="1:16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25.273521589112942</v>
      </c>
      <c r="H400">
        <v>9.765625E-4</v>
      </c>
      <c r="I400">
        <v>-0.4306538173458283</v>
      </c>
      <c r="J400">
        <v>-4.2056036850178545E-4</v>
      </c>
      <c r="M400">
        <v>11.232676261827974</v>
      </c>
      <c r="N400">
        <v>9.765625E-4</v>
      </c>
      <c r="O400">
        <f t="shared" si="6"/>
        <v>0.47265625</v>
      </c>
      <c r="P400">
        <v>11.232676261827974</v>
      </c>
    </row>
    <row r="401" spans="1:16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2.8081690654569935</v>
      </c>
      <c r="H401">
        <v>1.953125E-3</v>
      </c>
      <c r="I401">
        <v>-0.91064181622770701</v>
      </c>
      <c r="J401">
        <v>-1.7785972973197403E-3</v>
      </c>
      <c r="M401">
        <v>11.232676261827974</v>
      </c>
      <c r="N401">
        <v>1.953125E-3</v>
      </c>
      <c r="O401">
        <f t="shared" si="6"/>
        <v>0.474609375</v>
      </c>
      <c r="P401">
        <v>11.232676261827974</v>
      </c>
    </row>
    <row r="402" spans="1:16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14.040845327284968</v>
      </c>
      <c r="H402">
        <v>3.90625E-3</v>
      </c>
      <c r="I402">
        <v>-0.62623587759980681</v>
      </c>
      <c r="J402">
        <v>-2.4462338968742454E-3</v>
      </c>
      <c r="M402">
        <v>11.232676261827974</v>
      </c>
      <c r="N402">
        <v>3.90625E-3</v>
      </c>
      <c r="O402">
        <f t="shared" si="6"/>
        <v>0.478515625</v>
      </c>
      <c r="P402">
        <v>11.232676261827974</v>
      </c>
    </row>
    <row r="403" spans="1:16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22.465352523655948</v>
      </c>
      <c r="H403">
        <v>1.953125E-3</v>
      </c>
      <c r="I403">
        <v>-0.47291241152288888</v>
      </c>
      <c r="J403">
        <v>-9.2365705375564234E-4</v>
      </c>
      <c r="M403">
        <v>11.232676261827974</v>
      </c>
      <c r="N403">
        <v>1.953125E-3</v>
      </c>
      <c r="O403">
        <f t="shared" si="6"/>
        <v>0.48046875</v>
      </c>
      <c r="P403">
        <v>11.232676261827974</v>
      </c>
    </row>
    <row r="404" spans="1:16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19.657183458198954</v>
      </c>
      <c r="H404">
        <v>9.765625E-4</v>
      </c>
      <c r="I404">
        <v>-0.51931769779901749</v>
      </c>
      <c r="J404">
        <v>-5.0714618925685301E-4</v>
      </c>
      <c r="M404">
        <v>11.232676261827974</v>
      </c>
      <c r="N404">
        <v>9.765625E-4</v>
      </c>
      <c r="O404">
        <f t="shared" si="6"/>
        <v>0.4814453125</v>
      </c>
      <c r="P404">
        <v>11.232676261827974</v>
      </c>
    </row>
    <row r="405" spans="1:16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11.232676261827974</v>
      </c>
      <c r="H405">
        <v>1.953125E-3</v>
      </c>
      <c r="I405">
        <v>-0.6876862740544476</v>
      </c>
      <c r="J405">
        <v>-1.343137254012593E-3</v>
      </c>
      <c r="M405">
        <v>11.232676261827974</v>
      </c>
      <c r="N405">
        <v>1.953125E-3</v>
      </c>
      <c r="O405">
        <f t="shared" si="6"/>
        <v>0.4833984375</v>
      </c>
      <c r="P405">
        <v>11.232676261827974</v>
      </c>
    </row>
    <row r="406" spans="1:16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19.657183458198954</v>
      </c>
      <c r="H406">
        <v>9.765625E-4</v>
      </c>
      <c r="I406">
        <v>-0.51931769779901749</v>
      </c>
      <c r="J406">
        <v>-5.0714618925685301E-4</v>
      </c>
      <c r="M406">
        <v>11.232676261827974</v>
      </c>
      <c r="N406">
        <v>9.765625E-4</v>
      </c>
      <c r="O406">
        <f t="shared" si="6"/>
        <v>0.484375</v>
      </c>
      <c r="P406">
        <v>11.232676261827974</v>
      </c>
    </row>
    <row r="407" spans="1:16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5.616338130913987</v>
      </c>
      <c r="H407">
        <v>4.8828125E-4</v>
      </c>
      <c r="I407">
        <v>-0.82926851746249697</v>
      </c>
      <c r="J407">
        <v>-4.0491626829223485E-4</v>
      </c>
      <c r="M407">
        <v>11.232676261827974</v>
      </c>
      <c r="N407">
        <v>4.8828125E-4</v>
      </c>
      <c r="O407">
        <f t="shared" si="6"/>
        <v>0.48486328125</v>
      </c>
      <c r="P407">
        <v>11.232676261827974</v>
      </c>
    </row>
    <row r="408" spans="1:16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16.849014392741964</v>
      </c>
      <c r="H408">
        <v>9.765625E-4</v>
      </c>
      <c r="I408">
        <v>-0.57027657696444012</v>
      </c>
      <c r="J408">
        <v>-5.5691071969183605E-4</v>
      </c>
      <c r="M408">
        <v>11.232676261827974</v>
      </c>
      <c r="N408">
        <v>9.765625E-4</v>
      </c>
      <c r="O408">
        <f t="shared" si="6"/>
        <v>0.48583984375</v>
      </c>
      <c r="P408">
        <v>11.232676261827974</v>
      </c>
    </row>
    <row r="409" spans="1:16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25.273521589112942</v>
      </c>
      <c r="H409">
        <v>4.8828125E-4</v>
      </c>
      <c r="I409">
        <v>-0.4306538173458283</v>
      </c>
      <c r="J409">
        <v>-2.1028018425089273E-4</v>
      </c>
      <c r="M409">
        <v>11.232676261827974</v>
      </c>
      <c r="N409">
        <v>4.8828125E-4</v>
      </c>
      <c r="O409">
        <f t="shared" si="6"/>
        <v>0.486328125</v>
      </c>
      <c r="P409">
        <v>11.232676261827974</v>
      </c>
    </row>
    <row r="410" spans="1:16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2.8081690654569935</v>
      </c>
      <c r="H410">
        <v>9.765625E-4</v>
      </c>
      <c r="I410">
        <v>-0.91064181622770701</v>
      </c>
      <c r="J410">
        <v>-8.8929864865987013E-4</v>
      </c>
      <c r="M410">
        <v>11.232676261827974</v>
      </c>
      <c r="N410">
        <v>9.765625E-4</v>
      </c>
      <c r="O410">
        <f t="shared" si="6"/>
        <v>0.4873046875</v>
      </c>
      <c r="P410">
        <v>11.232676261827974</v>
      </c>
    </row>
    <row r="411" spans="1:16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14.040845327284968</v>
      </c>
      <c r="H411">
        <v>1.953125E-3</v>
      </c>
      <c r="I411">
        <v>-0.62623587759980681</v>
      </c>
      <c r="J411">
        <v>-1.2231169484371227E-3</v>
      </c>
      <c r="M411">
        <v>11.232676261827974</v>
      </c>
      <c r="N411">
        <v>1.953125E-3</v>
      </c>
      <c r="O411">
        <f t="shared" si="6"/>
        <v>0.4892578125</v>
      </c>
      <c r="P411">
        <v>11.232676261827974</v>
      </c>
    </row>
    <row r="412" spans="1:16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22.465352523655948</v>
      </c>
      <c r="H412">
        <v>9.765625E-4</v>
      </c>
      <c r="I412">
        <v>-0.47291241152288888</v>
      </c>
      <c r="J412">
        <v>-4.6182852687782117E-4</v>
      </c>
      <c r="M412">
        <v>11.232676261827974</v>
      </c>
      <c r="N412">
        <v>9.765625E-4</v>
      </c>
      <c r="O412">
        <f t="shared" si="6"/>
        <v>0.490234375</v>
      </c>
      <c r="P412">
        <v>11.232676261827974</v>
      </c>
    </row>
    <row r="413" spans="1:16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4.8828125E-4</v>
      </c>
      <c r="I413">
        <v>-1</v>
      </c>
      <c r="J413">
        <v>-4.8828125E-4</v>
      </c>
      <c r="M413">
        <v>11.232676261827974</v>
      </c>
      <c r="N413">
        <v>4.8828125E-4</v>
      </c>
      <c r="O413">
        <f t="shared" si="6"/>
        <v>0.49072265625</v>
      </c>
      <c r="P413">
        <v>11.232676261827974</v>
      </c>
    </row>
    <row r="414" spans="1:16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11.232676261827974</v>
      </c>
      <c r="H414">
        <v>9.765625E-4</v>
      </c>
      <c r="I414">
        <v>-0.6876862740544476</v>
      </c>
      <c r="J414">
        <v>-6.7156862700629648E-4</v>
      </c>
      <c r="M414">
        <v>11.232676261827974</v>
      </c>
      <c r="N414">
        <v>9.765625E-4</v>
      </c>
      <c r="O414">
        <f t="shared" si="6"/>
        <v>0.49169921875</v>
      </c>
      <c r="P414">
        <v>11.232676261827974</v>
      </c>
    </row>
    <row r="415" spans="1:16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19.657183458198954</v>
      </c>
      <c r="H415">
        <v>4.8828125E-4</v>
      </c>
      <c r="I415">
        <v>-0.51931769779901749</v>
      </c>
      <c r="J415">
        <v>-2.5357309462842651E-4</v>
      </c>
      <c r="M415">
        <v>11.232676261827974</v>
      </c>
      <c r="N415">
        <v>4.8828125E-4</v>
      </c>
      <c r="O415">
        <f t="shared" si="6"/>
        <v>0.4921875</v>
      </c>
      <c r="P415">
        <v>11.232676261827974</v>
      </c>
    </row>
    <row r="416" spans="1:16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5.616338130913987</v>
      </c>
      <c r="H416">
        <v>9.765625E-4</v>
      </c>
      <c r="I416">
        <v>-0.82926851746249697</v>
      </c>
      <c r="J416">
        <v>-8.098325365844697E-4</v>
      </c>
      <c r="M416">
        <v>11.313428784757823</v>
      </c>
      <c r="N416">
        <v>2.44140625E-4</v>
      </c>
      <c r="O416">
        <f t="shared" si="6"/>
        <v>0.492431640625</v>
      </c>
      <c r="P416">
        <v>11.313428784757823</v>
      </c>
    </row>
    <row r="417" spans="1:16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16.849014392741964</v>
      </c>
      <c r="H417">
        <v>1.953125E-3</v>
      </c>
      <c r="I417">
        <v>-0.57027657696444012</v>
      </c>
      <c r="J417">
        <v>-1.1138214393836721E-3</v>
      </c>
      <c r="M417">
        <v>11.313428784757823</v>
      </c>
      <c r="N417">
        <v>4.8828125E-4</v>
      </c>
      <c r="O417">
        <f t="shared" si="6"/>
        <v>0.492919921875</v>
      </c>
      <c r="P417">
        <v>11.313428784757823</v>
      </c>
    </row>
    <row r="418" spans="1:16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25.273521589112942</v>
      </c>
      <c r="H418">
        <v>9.765625E-4</v>
      </c>
      <c r="I418">
        <v>-0.4306538173458283</v>
      </c>
      <c r="J418">
        <v>-4.2056036850178545E-4</v>
      </c>
      <c r="M418">
        <v>11.313428784757823</v>
      </c>
      <c r="N418">
        <v>2.44140625E-4</v>
      </c>
      <c r="O418">
        <f t="shared" si="6"/>
        <v>0.4931640625</v>
      </c>
      <c r="P418">
        <v>11.313428784757823</v>
      </c>
    </row>
    <row r="419" spans="1:16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2.8081690654569935</v>
      </c>
      <c r="H419">
        <v>1.953125E-3</v>
      </c>
      <c r="I419">
        <v>-0.91064181622770701</v>
      </c>
      <c r="J419">
        <v>-1.7785972973197403E-3</v>
      </c>
      <c r="M419">
        <v>11.313428784757823</v>
      </c>
      <c r="N419">
        <v>4.8828125E-4</v>
      </c>
      <c r="O419">
        <f t="shared" si="6"/>
        <v>0.49365234375</v>
      </c>
      <c r="P419">
        <v>11.313428784757823</v>
      </c>
    </row>
    <row r="420" spans="1:16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14.040845327284968</v>
      </c>
      <c r="H420">
        <v>3.90625E-3</v>
      </c>
      <c r="I420">
        <v>-0.62623587759980681</v>
      </c>
      <c r="J420">
        <v>-2.4462338968742454E-3</v>
      </c>
      <c r="M420">
        <v>11.313428784757823</v>
      </c>
      <c r="N420">
        <v>9.765625E-4</v>
      </c>
      <c r="O420">
        <f t="shared" si="6"/>
        <v>0.49462890625</v>
      </c>
      <c r="P420">
        <v>11.313428784757823</v>
      </c>
    </row>
    <row r="421" spans="1:16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22.465352523655948</v>
      </c>
      <c r="H421">
        <v>1.953125E-3</v>
      </c>
      <c r="I421">
        <v>-0.47291241152288888</v>
      </c>
      <c r="J421">
        <v>-9.2365705375564234E-4</v>
      </c>
      <c r="M421">
        <v>11.313428784757823</v>
      </c>
      <c r="N421">
        <v>4.8828125E-4</v>
      </c>
      <c r="O421">
        <f t="shared" si="6"/>
        <v>0.4951171875</v>
      </c>
      <c r="P421">
        <v>11.313428784757823</v>
      </c>
    </row>
    <row r="422" spans="1:16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9.765625E-4</v>
      </c>
      <c r="I422">
        <v>-1</v>
      </c>
      <c r="J422">
        <v>-9.765625E-4</v>
      </c>
      <c r="M422">
        <v>11.313428784757823</v>
      </c>
      <c r="N422">
        <v>2.44140625E-4</v>
      </c>
      <c r="O422">
        <f t="shared" si="6"/>
        <v>0.495361328125</v>
      </c>
      <c r="P422">
        <v>11.313428784757823</v>
      </c>
    </row>
    <row r="423" spans="1:16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11.232676261827974</v>
      </c>
      <c r="H423">
        <v>1.953125E-3</v>
      </c>
      <c r="I423">
        <v>-0.6876862740544476</v>
      </c>
      <c r="J423">
        <v>-1.343137254012593E-3</v>
      </c>
      <c r="M423">
        <v>11.313428784757823</v>
      </c>
      <c r="N423">
        <v>4.8828125E-4</v>
      </c>
      <c r="O423">
        <f t="shared" si="6"/>
        <v>0.495849609375</v>
      </c>
      <c r="P423">
        <v>11.313428784757823</v>
      </c>
    </row>
    <row r="424" spans="1:16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19.657183458198954</v>
      </c>
      <c r="H424">
        <v>9.765625E-4</v>
      </c>
      <c r="I424">
        <v>-0.51931769779901749</v>
      </c>
      <c r="J424">
        <v>-5.0714618925685301E-4</v>
      </c>
      <c r="M424">
        <v>11.313428784757823</v>
      </c>
      <c r="N424">
        <v>2.44140625E-4</v>
      </c>
      <c r="O424">
        <f t="shared" si="6"/>
        <v>0.49609375</v>
      </c>
      <c r="P424">
        <v>11.313428784757823</v>
      </c>
    </row>
    <row r="425" spans="1:16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5.616338130913987</v>
      </c>
      <c r="H425">
        <v>4.8828125E-4</v>
      </c>
      <c r="I425">
        <v>-0.82926851746249697</v>
      </c>
      <c r="J425">
        <v>-4.0491626829223485E-4</v>
      </c>
      <c r="M425">
        <v>11.632190577614921</v>
      </c>
      <c r="N425">
        <v>1.953125E-3</v>
      </c>
      <c r="O425">
        <f t="shared" si="6"/>
        <v>0.498046875</v>
      </c>
      <c r="P425">
        <v>11.632190577614921</v>
      </c>
    </row>
    <row r="426" spans="1:16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16.849014392741964</v>
      </c>
      <c r="H426">
        <v>9.765625E-4</v>
      </c>
      <c r="I426">
        <v>-0.57027657696444012</v>
      </c>
      <c r="J426">
        <v>-5.5691071969183605E-4</v>
      </c>
      <c r="M426">
        <v>11.632190577614921</v>
      </c>
      <c r="N426">
        <v>3.90625E-3</v>
      </c>
      <c r="O426">
        <f t="shared" si="6"/>
        <v>0.501953125</v>
      </c>
      <c r="P426">
        <v>11.632190577614921</v>
      </c>
    </row>
    <row r="427" spans="1:16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25.273521589112942</v>
      </c>
      <c r="H427">
        <v>4.8828125E-4</v>
      </c>
      <c r="I427">
        <v>-0.4306538173458283</v>
      </c>
      <c r="J427">
        <v>-2.1028018425089273E-4</v>
      </c>
      <c r="M427">
        <v>11.632190577614921</v>
      </c>
      <c r="N427">
        <v>1.953125E-3</v>
      </c>
      <c r="O427">
        <f t="shared" si="6"/>
        <v>0.50390625</v>
      </c>
      <c r="P427">
        <v>11.632190577614921</v>
      </c>
    </row>
    <row r="428" spans="1:16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2.8081690654569935</v>
      </c>
      <c r="H428">
        <v>9.765625E-4</v>
      </c>
      <c r="I428">
        <v>-0.91064181622770701</v>
      </c>
      <c r="J428">
        <v>-8.8929864865987013E-4</v>
      </c>
      <c r="M428">
        <v>11.632190577614921</v>
      </c>
      <c r="N428">
        <v>3.90625E-3</v>
      </c>
      <c r="O428">
        <f t="shared" si="6"/>
        <v>0.5078125</v>
      </c>
      <c r="P428">
        <v>11.632190577614921</v>
      </c>
    </row>
    <row r="429" spans="1:16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14.040845327284968</v>
      </c>
      <c r="H429">
        <v>1.953125E-3</v>
      </c>
      <c r="I429">
        <v>-0.62623587759980681</v>
      </c>
      <c r="J429">
        <v>-1.2231169484371227E-3</v>
      </c>
      <c r="M429">
        <v>11.632190577614921</v>
      </c>
      <c r="N429">
        <v>7.8125E-3</v>
      </c>
      <c r="O429">
        <f t="shared" si="6"/>
        <v>0.515625</v>
      </c>
      <c r="P429">
        <v>11.632190577614921</v>
      </c>
    </row>
    <row r="430" spans="1:16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22.465352523655948</v>
      </c>
      <c r="H430">
        <v>9.765625E-4</v>
      </c>
      <c r="I430">
        <v>-0.47291241152288888</v>
      </c>
      <c r="J430">
        <v>-4.6182852687782117E-4</v>
      </c>
      <c r="M430">
        <v>11.632190577614921</v>
      </c>
      <c r="N430">
        <v>3.90625E-3</v>
      </c>
      <c r="O430">
        <f t="shared" si="6"/>
        <v>0.51953125</v>
      </c>
      <c r="P430">
        <v>11.632190577614921</v>
      </c>
    </row>
    <row r="431" spans="1:16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4.8828125E-4</v>
      </c>
      <c r="I431">
        <v>-1</v>
      </c>
      <c r="J431">
        <v>-4.8828125E-4</v>
      </c>
      <c r="M431">
        <v>11.632190577614921</v>
      </c>
      <c r="N431">
        <v>1.953125E-3</v>
      </c>
      <c r="O431">
        <f t="shared" si="6"/>
        <v>0.521484375</v>
      </c>
      <c r="P431">
        <v>11.632190577614921</v>
      </c>
    </row>
    <row r="432" spans="1:16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11.232676261827974</v>
      </c>
      <c r="H432">
        <v>9.765625E-4</v>
      </c>
      <c r="I432">
        <v>-0.6876862740544476</v>
      </c>
      <c r="J432">
        <v>-6.7156862700629648E-4</v>
      </c>
      <c r="M432">
        <v>11.632190577614921</v>
      </c>
      <c r="N432">
        <v>3.90625E-3</v>
      </c>
      <c r="O432">
        <f t="shared" si="6"/>
        <v>0.525390625</v>
      </c>
      <c r="P432">
        <v>11.632190577614921</v>
      </c>
    </row>
    <row r="433" spans="1:16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19.657183458198954</v>
      </c>
      <c r="H433">
        <v>4.8828125E-4</v>
      </c>
      <c r="I433">
        <v>-0.51931769779901749</v>
      </c>
      <c r="J433">
        <v>-2.5357309462842651E-4</v>
      </c>
      <c r="M433">
        <v>11.632190577614921</v>
      </c>
      <c r="N433">
        <v>1.953125E-3</v>
      </c>
      <c r="O433">
        <f t="shared" si="6"/>
        <v>0.52734375</v>
      </c>
      <c r="P433">
        <v>11.632190577614921</v>
      </c>
    </row>
    <row r="434" spans="1:16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5.616338130913987</v>
      </c>
      <c r="H434">
        <v>9.765625E-4</v>
      </c>
      <c r="I434">
        <v>-0.82926851746249697</v>
      </c>
      <c r="J434">
        <v>-8.098325365844697E-4</v>
      </c>
      <c r="M434">
        <v>11.895886100256201</v>
      </c>
      <c r="N434">
        <v>9.765625E-4</v>
      </c>
      <c r="O434">
        <f t="shared" si="6"/>
        <v>0.5283203125</v>
      </c>
      <c r="P434">
        <v>11.895886100256201</v>
      </c>
    </row>
    <row r="435" spans="1:16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16.849014392741964</v>
      </c>
      <c r="H435">
        <v>1.953125E-3</v>
      </c>
      <c r="I435">
        <v>-0.57027657696444012</v>
      </c>
      <c r="J435">
        <v>-1.1138214393836721E-3</v>
      </c>
      <c r="M435">
        <v>11.895886100256201</v>
      </c>
      <c r="N435">
        <v>1.953125E-3</v>
      </c>
      <c r="O435">
        <f t="shared" si="6"/>
        <v>0.5302734375</v>
      </c>
      <c r="P435">
        <v>11.895886100256201</v>
      </c>
    </row>
    <row r="436" spans="1:16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25.273521589112942</v>
      </c>
      <c r="H436">
        <v>9.765625E-4</v>
      </c>
      <c r="I436">
        <v>-0.4306538173458283</v>
      </c>
      <c r="J436">
        <v>-4.2056036850178545E-4</v>
      </c>
      <c r="M436">
        <v>11.895886100256201</v>
      </c>
      <c r="N436">
        <v>9.765625E-4</v>
      </c>
      <c r="O436">
        <f t="shared" si="6"/>
        <v>0.53125</v>
      </c>
      <c r="P436">
        <v>11.895886100256201</v>
      </c>
    </row>
    <row r="437" spans="1:16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2.8081690654569935</v>
      </c>
      <c r="H437">
        <v>1.953125E-3</v>
      </c>
      <c r="I437">
        <v>-0.91064181622770701</v>
      </c>
      <c r="J437">
        <v>-1.7785972973197403E-3</v>
      </c>
      <c r="M437">
        <v>11.895886100256201</v>
      </c>
      <c r="N437">
        <v>1.953125E-3</v>
      </c>
      <c r="O437">
        <f t="shared" si="6"/>
        <v>0.533203125</v>
      </c>
      <c r="P437">
        <v>11.895886100256201</v>
      </c>
    </row>
    <row r="438" spans="1:16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14.040845327284968</v>
      </c>
      <c r="H438">
        <v>3.90625E-3</v>
      </c>
      <c r="I438">
        <v>-0.62623587759980681</v>
      </c>
      <c r="J438">
        <v>-2.4462338968742454E-3</v>
      </c>
      <c r="M438">
        <v>11.895886100256201</v>
      </c>
      <c r="N438">
        <v>3.90625E-3</v>
      </c>
      <c r="O438">
        <f t="shared" si="6"/>
        <v>0.537109375</v>
      </c>
      <c r="P438">
        <v>11.895886100256201</v>
      </c>
    </row>
    <row r="439" spans="1:16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22.465352523655948</v>
      </c>
      <c r="H439">
        <v>1.953125E-3</v>
      </c>
      <c r="I439">
        <v>-0.47291241152288888</v>
      </c>
      <c r="J439">
        <v>-9.2365705375564234E-4</v>
      </c>
      <c r="M439">
        <v>11.895886100256201</v>
      </c>
      <c r="N439">
        <v>1.953125E-3</v>
      </c>
      <c r="O439">
        <f t="shared" si="6"/>
        <v>0.5390625</v>
      </c>
      <c r="P439">
        <v>11.895886100256201</v>
      </c>
    </row>
    <row r="440" spans="1:16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9.765625E-4</v>
      </c>
      <c r="I440">
        <v>-1</v>
      </c>
      <c r="J440">
        <v>-9.765625E-4</v>
      </c>
      <c r="M440">
        <v>11.895886100256201</v>
      </c>
      <c r="N440">
        <v>9.765625E-4</v>
      </c>
      <c r="O440">
        <f t="shared" si="6"/>
        <v>0.5400390625</v>
      </c>
      <c r="P440">
        <v>11.895886100256201</v>
      </c>
    </row>
    <row r="441" spans="1:16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11.232676261827974</v>
      </c>
      <c r="H441">
        <v>1.953125E-3</v>
      </c>
      <c r="I441">
        <v>-0.6876862740544476</v>
      </c>
      <c r="J441">
        <v>-1.343137254012593E-3</v>
      </c>
      <c r="M441">
        <v>11.895886100256201</v>
      </c>
      <c r="N441">
        <v>1.953125E-3</v>
      </c>
      <c r="O441">
        <f t="shared" si="6"/>
        <v>0.5419921875</v>
      </c>
      <c r="P441">
        <v>11.895886100256201</v>
      </c>
    </row>
    <row r="442" spans="1:16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19.657183458198954</v>
      </c>
      <c r="H442">
        <v>9.765625E-4</v>
      </c>
      <c r="I442">
        <v>-0.51931769779901749</v>
      </c>
      <c r="J442">
        <v>-5.0714618925685301E-4</v>
      </c>
      <c r="M442">
        <v>11.895886100256201</v>
      </c>
      <c r="N442">
        <v>9.765625E-4</v>
      </c>
      <c r="O442">
        <f t="shared" si="6"/>
        <v>0.54296875</v>
      </c>
      <c r="P442">
        <v>11.895886100256201</v>
      </c>
    </row>
    <row r="443" spans="1:16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5.616338130913987</v>
      </c>
      <c r="H443">
        <v>1.953125E-3</v>
      </c>
      <c r="I443">
        <v>-0.82926851746249697</v>
      </c>
      <c r="J443">
        <v>-1.6196650731689394E-3</v>
      </c>
      <c r="M443">
        <v>12.929632896866085</v>
      </c>
      <c r="N443">
        <v>4.8828125E-4</v>
      </c>
      <c r="O443">
        <f t="shared" si="6"/>
        <v>0.54345703125</v>
      </c>
      <c r="P443">
        <v>12.929632896866085</v>
      </c>
    </row>
    <row r="444" spans="1:16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16.849014392741964</v>
      </c>
      <c r="H444">
        <v>3.90625E-3</v>
      </c>
      <c r="I444">
        <v>-0.57027657696444012</v>
      </c>
      <c r="J444">
        <v>-2.2276428787673442E-3</v>
      </c>
      <c r="M444">
        <v>12.929632896866085</v>
      </c>
      <c r="N444">
        <v>9.765625E-4</v>
      </c>
      <c r="O444">
        <f t="shared" si="6"/>
        <v>0.54443359375</v>
      </c>
      <c r="P444">
        <v>12.929632896866085</v>
      </c>
    </row>
    <row r="445" spans="1:16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25.273521589112942</v>
      </c>
      <c r="H445">
        <v>1.953125E-3</v>
      </c>
      <c r="I445">
        <v>-0.4306538173458283</v>
      </c>
      <c r="J445">
        <v>-8.4112073700357091E-4</v>
      </c>
      <c r="M445">
        <v>12.929632896866085</v>
      </c>
      <c r="N445">
        <v>4.8828125E-4</v>
      </c>
      <c r="O445">
        <f t="shared" si="6"/>
        <v>0.544921875</v>
      </c>
      <c r="P445">
        <v>12.929632896866085</v>
      </c>
    </row>
    <row r="446" spans="1:16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2.8081690654569935</v>
      </c>
      <c r="H446">
        <v>3.90625E-3</v>
      </c>
      <c r="I446">
        <v>-0.91064181622770701</v>
      </c>
      <c r="J446">
        <v>-3.5571945946394805E-3</v>
      </c>
      <c r="M446">
        <v>12.929632896866085</v>
      </c>
      <c r="N446">
        <v>9.765625E-4</v>
      </c>
      <c r="O446">
        <f t="shared" si="6"/>
        <v>0.5458984375</v>
      </c>
      <c r="P446">
        <v>12.929632896866085</v>
      </c>
    </row>
    <row r="447" spans="1:16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14.040845327284968</v>
      </c>
      <c r="H447">
        <v>7.8125E-3</v>
      </c>
      <c r="I447">
        <v>-0.62623587759980681</v>
      </c>
      <c r="J447">
        <v>-4.8924677937484907E-3</v>
      </c>
      <c r="M447">
        <v>12.929632896866085</v>
      </c>
      <c r="N447">
        <v>1.953125E-3</v>
      </c>
      <c r="O447">
        <f t="shared" si="6"/>
        <v>0.5478515625</v>
      </c>
      <c r="P447">
        <v>12.929632896866085</v>
      </c>
    </row>
    <row r="448" spans="1:16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22.465352523655948</v>
      </c>
      <c r="H448">
        <v>3.90625E-3</v>
      </c>
      <c r="I448">
        <v>-0.47291241152288888</v>
      </c>
      <c r="J448">
        <v>-1.8473141075112847E-3</v>
      </c>
      <c r="M448">
        <v>12.929632896866085</v>
      </c>
      <c r="N448">
        <v>9.765625E-4</v>
      </c>
      <c r="O448">
        <f t="shared" si="6"/>
        <v>0.548828125</v>
      </c>
      <c r="P448">
        <v>12.929632896866085</v>
      </c>
    </row>
    <row r="449" spans="1:16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1.953125E-3</v>
      </c>
      <c r="I449">
        <v>-1</v>
      </c>
      <c r="J449">
        <v>-1.953125E-3</v>
      </c>
      <c r="M449">
        <v>12.929632896866085</v>
      </c>
      <c r="N449">
        <v>4.8828125E-4</v>
      </c>
      <c r="O449">
        <f t="shared" si="6"/>
        <v>0.54931640625</v>
      </c>
      <c r="P449">
        <v>12.929632896866085</v>
      </c>
    </row>
    <row r="450" spans="1:16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11.232676261827974</v>
      </c>
      <c r="H450">
        <v>3.90625E-3</v>
      </c>
      <c r="I450">
        <v>-0.6876862740544476</v>
      </c>
      <c r="J450">
        <v>-2.6862745080251859E-3</v>
      </c>
      <c r="M450">
        <v>12.929632896866085</v>
      </c>
      <c r="N450">
        <v>9.765625E-4</v>
      </c>
      <c r="O450">
        <f t="shared" si="6"/>
        <v>0.55029296875</v>
      </c>
      <c r="P450">
        <v>12.929632896866085</v>
      </c>
    </row>
    <row r="451" spans="1:16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19.657183458198954</v>
      </c>
      <c r="H451">
        <v>1.953125E-3</v>
      </c>
      <c r="I451">
        <v>-0.51931769779901749</v>
      </c>
      <c r="J451">
        <v>-1.014292378513706E-3</v>
      </c>
      <c r="M451">
        <v>12.929632896866085</v>
      </c>
      <c r="N451">
        <v>4.8828125E-4</v>
      </c>
      <c r="O451">
        <f t="shared" si="6"/>
        <v>0.55078125</v>
      </c>
      <c r="P451">
        <v>12.929632896866085</v>
      </c>
    </row>
    <row r="452" spans="1:16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5.616338130913987</v>
      </c>
      <c r="H452">
        <v>9.765625E-4</v>
      </c>
      <c r="I452">
        <v>-0.82926851746249697</v>
      </c>
      <c r="J452">
        <v>-8.098325365844697E-4</v>
      </c>
      <c r="M452">
        <v>13.38287186278823</v>
      </c>
      <c r="N452">
        <v>4.8828125E-4</v>
      </c>
      <c r="O452">
        <f t="shared" ref="O452:O515" si="7">N452+O451</f>
        <v>0.55126953125</v>
      </c>
      <c r="P452">
        <v>13.38287186278823</v>
      </c>
    </row>
    <row r="453" spans="1:16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16.849014392741964</v>
      </c>
      <c r="H453">
        <v>1.953125E-3</v>
      </c>
      <c r="I453">
        <v>-0.57027657696444012</v>
      </c>
      <c r="J453">
        <v>-1.1138214393836721E-3</v>
      </c>
      <c r="M453">
        <v>13.38287186278823</v>
      </c>
      <c r="N453">
        <v>9.765625E-4</v>
      </c>
      <c r="O453">
        <f t="shared" si="7"/>
        <v>0.55224609375</v>
      </c>
      <c r="P453">
        <v>13.38287186278823</v>
      </c>
    </row>
    <row r="454" spans="1:16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25.273521589112942</v>
      </c>
      <c r="H454">
        <v>9.765625E-4</v>
      </c>
      <c r="I454">
        <v>-0.4306538173458283</v>
      </c>
      <c r="J454">
        <v>-4.2056036850178545E-4</v>
      </c>
      <c r="M454">
        <v>13.38287186278823</v>
      </c>
      <c r="N454">
        <v>4.8828125E-4</v>
      </c>
      <c r="O454">
        <f t="shared" si="7"/>
        <v>0.552734375</v>
      </c>
      <c r="P454">
        <v>13.38287186278823</v>
      </c>
    </row>
    <row r="455" spans="1:16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2.8081690654569935</v>
      </c>
      <c r="H455">
        <v>1.953125E-3</v>
      </c>
      <c r="I455">
        <v>-0.91064181622770701</v>
      </c>
      <c r="J455">
        <v>-1.7785972973197403E-3</v>
      </c>
      <c r="M455">
        <v>13.38287186278823</v>
      </c>
      <c r="N455">
        <v>9.765625E-4</v>
      </c>
      <c r="O455">
        <f t="shared" si="7"/>
        <v>0.5537109375</v>
      </c>
      <c r="P455">
        <v>13.38287186278823</v>
      </c>
    </row>
    <row r="456" spans="1:16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14.040845327284968</v>
      </c>
      <c r="H456">
        <v>3.90625E-3</v>
      </c>
      <c r="I456">
        <v>-0.62623587759980681</v>
      </c>
      <c r="J456">
        <v>-2.4462338968742454E-3</v>
      </c>
      <c r="M456">
        <v>13.38287186278823</v>
      </c>
      <c r="N456">
        <v>1.953125E-3</v>
      </c>
      <c r="O456">
        <f t="shared" si="7"/>
        <v>0.5556640625</v>
      </c>
      <c r="P456">
        <v>13.38287186278823</v>
      </c>
    </row>
    <row r="457" spans="1:16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22.465352523655948</v>
      </c>
      <c r="H457">
        <v>1.953125E-3</v>
      </c>
      <c r="I457">
        <v>-0.47291241152288888</v>
      </c>
      <c r="J457">
        <v>-9.2365705375564234E-4</v>
      </c>
      <c r="M457">
        <v>13.38287186278823</v>
      </c>
      <c r="N457">
        <v>9.765625E-4</v>
      </c>
      <c r="O457">
        <f t="shared" si="7"/>
        <v>0.556640625</v>
      </c>
      <c r="P457">
        <v>13.38287186278823</v>
      </c>
    </row>
    <row r="458" spans="1:16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9.765625E-4</v>
      </c>
      <c r="I458">
        <v>-1</v>
      </c>
      <c r="J458">
        <v>-9.765625E-4</v>
      </c>
      <c r="M458">
        <v>13.38287186278823</v>
      </c>
      <c r="N458">
        <v>4.8828125E-4</v>
      </c>
      <c r="O458">
        <f t="shared" si="7"/>
        <v>0.55712890625</v>
      </c>
      <c r="P458">
        <v>13.38287186278823</v>
      </c>
    </row>
    <row r="459" spans="1:16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11.232676261827974</v>
      </c>
      <c r="H459">
        <v>1.953125E-3</v>
      </c>
      <c r="I459">
        <v>-0.6876862740544476</v>
      </c>
      <c r="J459">
        <v>-1.343137254012593E-3</v>
      </c>
      <c r="M459">
        <v>13.38287186278823</v>
      </c>
      <c r="N459">
        <v>9.765625E-4</v>
      </c>
      <c r="O459">
        <f t="shared" si="7"/>
        <v>0.55810546875</v>
      </c>
      <c r="P459">
        <v>13.38287186278823</v>
      </c>
    </row>
    <row r="460" spans="1:16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19.657183458198954</v>
      </c>
      <c r="H460">
        <v>9.765625E-4</v>
      </c>
      <c r="I460">
        <v>-0.51931769779901749</v>
      </c>
      <c r="J460">
        <v>-5.0714618925685301E-4</v>
      </c>
      <c r="M460">
        <v>13.38287186278823</v>
      </c>
      <c r="N460">
        <v>4.8828125E-4</v>
      </c>
      <c r="O460">
        <f t="shared" si="7"/>
        <v>0.55859375</v>
      </c>
      <c r="P460">
        <v>13.38287186278823</v>
      </c>
    </row>
    <row r="461" spans="1:16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5.616338130913987</v>
      </c>
      <c r="H461">
        <v>4.8828125E-4</v>
      </c>
      <c r="I461">
        <v>-0.82926851746249697</v>
      </c>
      <c r="J461">
        <v>-4.0491626829223485E-4</v>
      </c>
      <c r="M461">
        <v>13.958628693137905</v>
      </c>
      <c r="N461">
        <v>9.765625E-4</v>
      </c>
      <c r="O461">
        <f t="shared" si="7"/>
        <v>0.5595703125</v>
      </c>
      <c r="P461">
        <v>13.958628693137905</v>
      </c>
    </row>
    <row r="462" spans="1:16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16.849014392741964</v>
      </c>
      <c r="H462">
        <v>9.765625E-4</v>
      </c>
      <c r="I462">
        <v>-0.57027657696444012</v>
      </c>
      <c r="J462">
        <v>-5.5691071969183605E-4</v>
      </c>
      <c r="M462">
        <v>13.958628693137905</v>
      </c>
      <c r="N462">
        <v>1.953125E-3</v>
      </c>
      <c r="O462">
        <f t="shared" si="7"/>
        <v>0.5615234375</v>
      </c>
      <c r="P462">
        <v>13.958628693137905</v>
      </c>
    </row>
    <row r="463" spans="1:16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25.273521589112942</v>
      </c>
      <c r="H463">
        <v>4.8828125E-4</v>
      </c>
      <c r="I463">
        <v>-0.4306538173458283</v>
      </c>
      <c r="J463">
        <v>-2.1028018425089273E-4</v>
      </c>
      <c r="M463">
        <v>13.958628693137905</v>
      </c>
      <c r="N463">
        <v>9.765625E-4</v>
      </c>
      <c r="O463">
        <f t="shared" si="7"/>
        <v>0.5625</v>
      </c>
      <c r="P463">
        <v>13.958628693137905</v>
      </c>
    </row>
    <row r="464" spans="1:16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2.8081690654569935</v>
      </c>
      <c r="H464">
        <v>9.765625E-4</v>
      </c>
      <c r="I464">
        <v>-0.91064181622770701</v>
      </c>
      <c r="J464">
        <v>-8.8929864865987013E-4</v>
      </c>
      <c r="M464">
        <v>13.958628693137905</v>
      </c>
      <c r="N464">
        <v>1.953125E-3</v>
      </c>
      <c r="O464">
        <f t="shared" si="7"/>
        <v>0.564453125</v>
      </c>
      <c r="P464">
        <v>13.958628693137905</v>
      </c>
    </row>
    <row r="465" spans="1:16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14.040845327284968</v>
      </c>
      <c r="H465">
        <v>1.953125E-3</v>
      </c>
      <c r="I465">
        <v>-0.62623587759980681</v>
      </c>
      <c r="J465">
        <v>-1.2231169484371227E-3</v>
      </c>
      <c r="M465">
        <v>13.958628693137905</v>
      </c>
      <c r="N465">
        <v>3.90625E-3</v>
      </c>
      <c r="O465">
        <f t="shared" si="7"/>
        <v>0.568359375</v>
      </c>
      <c r="P465">
        <v>13.958628693137905</v>
      </c>
    </row>
    <row r="466" spans="1:16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22.465352523655948</v>
      </c>
      <c r="H466">
        <v>9.765625E-4</v>
      </c>
      <c r="I466">
        <v>-0.47291241152288888</v>
      </c>
      <c r="J466">
        <v>-4.6182852687782117E-4</v>
      </c>
      <c r="M466">
        <v>13.958628693137905</v>
      </c>
      <c r="N466">
        <v>1.953125E-3</v>
      </c>
      <c r="O466">
        <f t="shared" si="7"/>
        <v>0.5703125</v>
      </c>
      <c r="P466">
        <v>13.958628693137905</v>
      </c>
    </row>
    <row r="467" spans="1:16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4.8828125E-4</v>
      </c>
      <c r="I467">
        <v>-1</v>
      </c>
      <c r="J467">
        <v>-4.8828125E-4</v>
      </c>
      <c r="M467">
        <v>13.958628693137905</v>
      </c>
      <c r="N467">
        <v>9.765625E-4</v>
      </c>
      <c r="O467">
        <f t="shared" si="7"/>
        <v>0.5712890625</v>
      </c>
      <c r="P467">
        <v>13.958628693137905</v>
      </c>
    </row>
    <row r="468" spans="1:16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11.232676261827974</v>
      </c>
      <c r="H468">
        <v>9.765625E-4</v>
      </c>
      <c r="I468">
        <v>-0.6876862740544476</v>
      </c>
      <c r="J468">
        <v>-6.7156862700629648E-4</v>
      </c>
      <c r="M468">
        <v>13.958628693137905</v>
      </c>
      <c r="N468">
        <v>1.953125E-3</v>
      </c>
      <c r="O468">
        <f t="shared" si="7"/>
        <v>0.5732421875</v>
      </c>
      <c r="P468">
        <v>13.958628693137905</v>
      </c>
    </row>
    <row r="469" spans="1:16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19.657183458198954</v>
      </c>
      <c r="H469">
        <v>4.8828125E-4</v>
      </c>
      <c r="I469">
        <v>-0.51931769779901749</v>
      </c>
      <c r="J469">
        <v>-2.5357309462842651E-4</v>
      </c>
      <c r="M469">
        <v>13.958628693137905</v>
      </c>
      <c r="N469">
        <v>9.765625E-4</v>
      </c>
      <c r="O469">
        <f t="shared" si="7"/>
        <v>0.57421875</v>
      </c>
      <c r="P469">
        <v>13.958628693137905</v>
      </c>
    </row>
    <row r="470" spans="1:16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5.616338130913987</v>
      </c>
      <c r="H470">
        <v>9.765625E-4</v>
      </c>
      <c r="I470">
        <v>-0.82926851746249697</v>
      </c>
      <c r="J470">
        <v>-8.098325365844697E-4</v>
      </c>
      <c r="M470">
        <v>14.040845327284968</v>
      </c>
      <c r="N470">
        <v>3.90625E-3</v>
      </c>
      <c r="O470">
        <f t="shared" si="7"/>
        <v>0.578125</v>
      </c>
      <c r="P470">
        <v>14.040845327284968</v>
      </c>
    </row>
    <row r="471" spans="1:16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16.849014392741964</v>
      </c>
      <c r="H471">
        <v>1.953125E-3</v>
      </c>
      <c r="I471">
        <v>-0.57027657696444012</v>
      </c>
      <c r="J471">
        <v>-1.1138214393836721E-3</v>
      </c>
      <c r="M471">
        <v>14.040845327284968</v>
      </c>
      <c r="N471">
        <v>7.8125E-3</v>
      </c>
      <c r="O471">
        <f t="shared" si="7"/>
        <v>0.5859375</v>
      </c>
      <c r="P471">
        <v>14.040845327284968</v>
      </c>
    </row>
    <row r="472" spans="1:16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25.273521589112942</v>
      </c>
      <c r="H472">
        <v>9.765625E-4</v>
      </c>
      <c r="I472">
        <v>-0.4306538173458283</v>
      </c>
      <c r="J472">
        <v>-4.2056036850178545E-4</v>
      </c>
      <c r="M472">
        <v>14.040845327284968</v>
      </c>
      <c r="N472">
        <v>3.90625E-3</v>
      </c>
      <c r="O472">
        <f t="shared" si="7"/>
        <v>0.58984375</v>
      </c>
      <c r="P472">
        <v>14.040845327284968</v>
      </c>
    </row>
    <row r="473" spans="1:16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2.8081690654569935</v>
      </c>
      <c r="H473">
        <v>1.953125E-3</v>
      </c>
      <c r="I473">
        <v>-0.91064181622770701</v>
      </c>
      <c r="J473">
        <v>-1.7785972973197403E-3</v>
      </c>
      <c r="M473">
        <v>14.040845327284968</v>
      </c>
      <c r="N473">
        <v>7.8125E-3</v>
      </c>
      <c r="O473">
        <f t="shared" si="7"/>
        <v>0.59765625</v>
      </c>
      <c r="P473">
        <v>14.040845327284968</v>
      </c>
    </row>
    <row r="474" spans="1:16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14.040845327284968</v>
      </c>
      <c r="H474">
        <v>3.90625E-3</v>
      </c>
      <c r="I474">
        <v>-0.62623587759980681</v>
      </c>
      <c r="J474">
        <v>-2.4462338968742454E-3</v>
      </c>
      <c r="M474">
        <v>14.040845327284968</v>
      </c>
      <c r="N474">
        <v>1.5625E-2</v>
      </c>
      <c r="O474">
        <f t="shared" si="7"/>
        <v>0.61328125</v>
      </c>
      <c r="P474">
        <v>14.040845327284968</v>
      </c>
    </row>
    <row r="475" spans="1:16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22.465352523655948</v>
      </c>
      <c r="H475">
        <v>1.953125E-3</v>
      </c>
      <c r="I475">
        <v>-0.47291241152288888</v>
      </c>
      <c r="J475">
        <v>-9.2365705375564234E-4</v>
      </c>
      <c r="M475">
        <v>14.040845327284968</v>
      </c>
      <c r="N475">
        <v>7.8125E-3</v>
      </c>
      <c r="O475">
        <f t="shared" si="7"/>
        <v>0.62109375</v>
      </c>
      <c r="P475">
        <v>14.040845327284968</v>
      </c>
    </row>
    <row r="476" spans="1:16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9.765625E-4</v>
      </c>
      <c r="I476">
        <v>-1</v>
      </c>
      <c r="J476">
        <v>-9.765625E-4</v>
      </c>
      <c r="M476">
        <v>14.040845327284968</v>
      </c>
      <c r="N476">
        <v>3.90625E-3</v>
      </c>
      <c r="O476">
        <f t="shared" si="7"/>
        <v>0.625</v>
      </c>
      <c r="P476">
        <v>14.040845327284968</v>
      </c>
    </row>
    <row r="477" spans="1:16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11.232676261827974</v>
      </c>
      <c r="H477">
        <v>1.953125E-3</v>
      </c>
      <c r="I477">
        <v>-0.6876862740544476</v>
      </c>
      <c r="J477">
        <v>-1.343137254012593E-3</v>
      </c>
      <c r="M477">
        <v>14.040845327284968</v>
      </c>
      <c r="N477">
        <v>7.8125E-3</v>
      </c>
      <c r="O477">
        <f t="shared" si="7"/>
        <v>0.6328125</v>
      </c>
      <c r="P477">
        <v>14.040845327284968</v>
      </c>
    </row>
    <row r="478" spans="1:16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19.657183458198954</v>
      </c>
      <c r="H478">
        <v>9.765625E-4</v>
      </c>
      <c r="I478">
        <v>-0.51931769779901749</v>
      </c>
      <c r="J478">
        <v>-5.0714618925685301E-4</v>
      </c>
      <c r="M478">
        <v>14.040845327284968</v>
      </c>
      <c r="N478">
        <v>3.90625E-3</v>
      </c>
      <c r="O478">
        <f t="shared" si="7"/>
        <v>0.63671875</v>
      </c>
      <c r="P478">
        <v>14.040845327284968</v>
      </c>
    </row>
    <row r="479" spans="1:16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5.616338130913987</v>
      </c>
      <c r="H479">
        <v>4.8828125E-4</v>
      </c>
      <c r="I479">
        <v>-0.82926851746249697</v>
      </c>
      <c r="J479">
        <v>-4.0491626829223485E-4</v>
      </c>
      <c r="M479">
        <v>14.040845327284968</v>
      </c>
      <c r="N479">
        <v>1.953125E-3</v>
      </c>
      <c r="O479">
        <f t="shared" si="7"/>
        <v>0.638671875</v>
      </c>
      <c r="P479">
        <v>14.040845327284968</v>
      </c>
    </row>
    <row r="480" spans="1:16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16.849014392741964</v>
      </c>
      <c r="H480">
        <v>9.765625E-4</v>
      </c>
      <c r="I480">
        <v>-0.57027657696444012</v>
      </c>
      <c r="J480">
        <v>-5.5691071969183605E-4</v>
      </c>
      <c r="M480">
        <v>14.040845327284968</v>
      </c>
      <c r="N480">
        <v>3.90625E-3</v>
      </c>
      <c r="O480">
        <f t="shared" si="7"/>
        <v>0.642578125</v>
      </c>
      <c r="P480">
        <v>14.040845327284968</v>
      </c>
    </row>
    <row r="481" spans="1:16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25.273521589112942</v>
      </c>
      <c r="H481">
        <v>4.8828125E-4</v>
      </c>
      <c r="I481">
        <v>-0.4306538173458283</v>
      </c>
      <c r="J481">
        <v>-2.1028018425089273E-4</v>
      </c>
      <c r="M481">
        <v>14.040845327284968</v>
      </c>
      <c r="N481">
        <v>1.953125E-3</v>
      </c>
      <c r="O481">
        <f t="shared" si="7"/>
        <v>0.64453125</v>
      </c>
      <c r="P481">
        <v>14.040845327284968</v>
      </c>
    </row>
    <row r="482" spans="1:16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2.8081690654569935</v>
      </c>
      <c r="H482">
        <v>9.765625E-4</v>
      </c>
      <c r="I482">
        <v>-0.91064181622770701</v>
      </c>
      <c r="J482">
        <v>-8.8929864865987013E-4</v>
      </c>
      <c r="M482">
        <v>14.040845327284968</v>
      </c>
      <c r="N482">
        <v>3.90625E-3</v>
      </c>
      <c r="O482">
        <f t="shared" si="7"/>
        <v>0.6484375</v>
      </c>
      <c r="P482">
        <v>14.040845327284968</v>
      </c>
    </row>
    <row r="483" spans="1:16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14.040845327284968</v>
      </c>
      <c r="H483">
        <v>1.953125E-3</v>
      </c>
      <c r="I483">
        <v>-0.62623587759980681</v>
      </c>
      <c r="J483">
        <v>-1.2231169484371227E-3</v>
      </c>
      <c r="M483">
        <v>14.040845327284968</v>
      </c>
      <c r="N483">
        <v>7.8125E-3</v>
      </c>
      <c r="O483">
        <f t="shared" si="7"/>
        <v>0.65625</v>
      </c>
      <c r="P483">
        <v>14.040845327284968</v>
      </c>
    </row>
    <row r="484" spans="1:16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22.465352523655948</v>
      </c>
      <c r="H484">
        <v>9.765625E-4</v>
      </c>
      <c r="I484">
        <v>-0.47291241152288888</v>
      </c>
      <c r="J484">
        <v>-4.6182852687782117E-4</v>
      </c>
      <c r="M484">
        <v>14.040845327284968</v>
      </c>
      <c r="N484">
        <v>3.90625E-3</v>
      </c>
      <c r="O484">
        <f t="shared" si="7"/>
        <v>0.66015625</v>
      </c>
      <c r="P484">
        <v>14.040845327284968</v>
      </c>
    </row>
    <row r="485" spans="1:16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4.8828125E-4</v>
      </c>
      <c r="I485">
        <v>-1</v>
      </c>
      <c r="J485">
        <v>-4.8828125E-4</v>
      </c>
      <c r="M485">
        <v>14.040845327284968</v>
      </c>
      <c r="N485">
        <v>1.953125E-3</v>
      </c>
      <c r="O485">
        <f t="shared" si="7"/>
        <v>0.662109375</v>
      </c>
      <c r="P485">
        <v>14.040845327284968</v>
      </c>
    </row>
    <row r="486" spans="1:16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11.232676261827974</v>
      </c>
      <c r="H486">
        <v>9.765625E-4</v>
      </c>
      <c r="I486">
        <v>-0.6876862740544476</v>
      </c>
      <c r="J486">
        <v>-6.7156862700629648E-4</v>
      </c>
      <c r="M486">
        <v>14.040845327284968</v>
      </c>
      <c r="N486">
        <v>3.90625E-3</v>
      </c>
      <c r="O486">
        <f t="shared" si="7"/>
        <v>0.666015625</v>
      </c>
      <c r="P486">
        <v>14.040845327284968</v>
      </c>
    </row>
    <row r="487" spans="1:16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19.657183458198954</v>
      </c>
      <c r="H487">
        <v>4.8828125E-4</v>
      </c>
      <c r="I487">
        <v>-0.51931769779901749</v>
      </c>
      <c r="J487">
        <v>-2.5357309462842651E-4</v>
      </c>
      <c r="M487">
        <v>14.040845327284968</v>
      </c>
      <c r="N487">
        <v>1.953125E-3</v>
      </c>
      <c r="O487">
        <f t="shared" si="7"/>
        <v>0.66796875</v>
      </c>
      <c r="P487">
        <v>14.040845327284968</v>
      </c>
    </row>
    <row r="488" spans="1:16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5.616338130913987</v>
      </c>
      <c r="H488">
        <v>2.44140625E-4</v>
      </c>
      <c r="I488">
        <v>-0.82926851746249697</v>
      </c>
      <c r="J488">
        <v>-2.0245813414611742E-4</v>
      </c>
      <c r="M488">
        <v>14.040845327284968</v>
      </c>
      <c r="N488">
        <v>9.765625E-4</v>
      </c>
      <c r="O488">
        <f t="shared" si="7"/>
        <v>0.6689453125</v>
      </c>
      <c r="P488">
        <v>14.040845327284968</v>
      </c>
    </row>
    <row r="489" spans="1:16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16.849014392741964</v>
      </c>
      <c r="H489">
        <v>4.8828125E-4</v>
      </c>
      <c r="I489">
        <v>-0.57027657696444012</v>
      </c>
      <c r="J489">
        <v>-2.7845535984591803E-4</v>
      </c>
      <c r="M489">
        <v>14.040845327284968</v>
      </c>
      <c r="N489">
        <v>1.953125E-3</v>
      </c>
      <c r="O489">
        <f t="shared" si="7"/>
        <v>0.6708984375</v>
      </c>
      <c r="P489">
        <v>14.040845327284968</v>
      </c>
    </row>
    <row r="490" spans="1:16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25.273521589112942</v>
      </c>
      <c r="H490">
        <v>2.44140625E-4</v>
      </c>
      <c r="I490">
        <v>-0.4306538173458283</v>
      </c>
      <c r="J490">
        <v>-1.0514009212544636E-4</v>
      </c>
      <c r="M490">
        <v>14.040845327284968</v>
      </c>
      <c r="N490">
        <v>9.765625E-4</v>
      </c>
      <c r="O490">
        <f t="shared" si="7"/>
        <v>0.671875</v>
      </c>
      <c r="P490">
        <v>14.040845327284968</v>
      </c>
    </row>
    <row r="491" spans="1:16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2.8081690654569935</v>
      </c>
      <c r="H491">
        <v>4.8828125E-4</v>
      </c>
      <c r="I491">
        <v>-0.91064181622770701</v>
      </c>
      <c r="J491">
        <v>-4.4464932432993506E-4</v>
      </c>
      <c r="M491">
        <v>14.040845327284968</v>
      </c>
      <c r="N491">
        <v>1.953125E-3</v>
      </c>
      <c r="O491">
        <f t="shared" si="7"/>
        <v>0.673828125</v>
      </c>
      <c r="P491">
        <v>14.040845327284968</v>
      </c>
    </row>
    <row r="492" spans="1:16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14.040845327284968</v>
      </c>
      <c r="H492">
        <v>9.765625E-4</v>
      </c>
      <c r="I492">
        <v>-0.62623587759980681</v>
      </c>
      <c r="J492">
        <v>-6.1155847421856134E-4</v>
      </c>
      <c r="M492">
        <v>14.040845327284968</v>
      </c>
      <c r="N492">
        <v>3.90625E-3</v>
      </c>
      <c r="O492">
        <f t="shared" si="7"/>
        <v>0.677734375</v>
      </c>
      <c r="P492">
        <v>14.040845327284968</v>
      </c>
    </row>
    <row r="493" spans="1:16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22.465352523655948</v>
      </c>
      <c r="H493">
        <v>4.8828125E-4</v>
      </c>
      <c r="I493">
        <v>-0.47291241152288888</v>
      </c>
      <c r="J493">
        <v>-2.3091426343891058E-4</v>
      </c>
      <c r="M493">
        <v>14.040845327284968</v>
      </c>
      <c r="N493">
        <v>1.953125E-3</v>
      </c>
      <c r="O493">
        <f t="shared" si="7"/>
        <v>0.6796875</v>
      </c>
      <c r="P493">
        <v>14.040845327284968</v>
      </c>
    </row>
    <row r="494" spans="1:16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2.44140625E-4</v>
      </c>
      <c r="I494">
        <v>-1</v>
      </c>
      <c r="J494">
        <v>-2.44140625E-4</v>
      </c>
      <c r="M494">
        <v>14.040845327284968</v>
      </c>
      <c r="N494">
        <v>9.765625E-4</v>
      </c>
      <c r="O494">
        <f t="shared" si="7"/>
        <v>0.6806640625</v>
      </c>
      <c r="P494">
        <v>14.040845327284968</v>
      </c>
    </row>
    <row r="495" spans="1:16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11.232676261827974</v>
      </c>
      <c r="H495">
        <v>4.8828125E-4</v>
      </c>
      <c r="I495">
        <v>-0.6876862740544476</v>
      </c>
      <c r="J495">
        <v>-3.3578431350314824E-4</v>
      </c>
      <c r="M495">
        <v>14.040845327284968</v>
      </c>
      <c r="N495">
        <v>1.953125E-3</v>
      </c>
      <c r="O495">
        <f t="shared" si="7"/>
        <v>0.6826171875</v>
      </c>
      <c r="P495">
        <v>14.040845327284968</v>
      </c>
    </row>
    <row r="496" spans="1:16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19.657183458198954</v>
      </c>
      <c r="H496">
        <v>2.44140625E-4</v>
      </c>
      <c r="I496">
        <v>-0.51931769779901749</v>
      </c>
      <c r="J496">
        <v>-1.2678654731421325E-4</v>
      </c>
      <c r="M496">
        <v>14.040845327284968</v>
      </c>
      <c r="N496">
        <v>9.765625E-4</v>
      </c>
      <c r="O496">
        <f t="shared" si="7"/>
        <v>0.68359375</v>
      </c>
      <c r="P496">
        <v>14.040845327284968</v>
      </c>
    </row>
    <row r="497" spans="1:16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5.616338130913987</v>
      </c>
      <c r="H497">
        <v>4.8828125E-4</v>
      </c>
      <c r="I497">
        <v>-0.82926851746249697</v>
      </c>
      <c r="J497">
        <v>-4.0491626829223485E-4</v>
      </c>
      <c r="M497">
        <v>14.040845327284968</v>
      </c>
      <c r="N497">
        <v>1.953125E-3</v>
      </c>
      <c r="O497">
        <f t="shared" si="7"/>
        <v>0.685546875</v>
      </c>
      <c r="P497">
        <v>14.040845327284968</v>
      </c>
    </row>
    <row r="498" spans="1:16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16.849014392741964</v>
      </c>
      <c r="H498">
        <v>9.765625E-4</v>
      </c>
      <c r="I498">
        <v>-0.57027657696444012</v>
      </c>
      <c r="J498">
        <v>-5.5691071969183605E-4</v>
      </c>
      <c r="M498">
        <v>14.040845327284968</v>
      </c>
      <c r="N498">
        <v>3.90625E-3</v>
      </c>
      <c r="O498">
        <f t="shared" si="7"/>
        <v>0.689453125</v>
      </c>
      <c r="P498">
        <v>14.040845327284968</v>
      </c>
    </row>
    <row r="499" spans="1:16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25.273521589112942</v>
      </c>
      <c r="H499">
        <v>4.8828125E-4</v>
      </c>
      <c r="I499">
        <v>-0.4306538173458283</v>
      </c>
      <c r="J499">
        <v>-2.1028018425089273E-4</v>
      </c>
      <c r="M499">
        <v>14.040845327284968</v>
      </c>
      <c r="N499">
        <v>1.953125E-3</v>
      </c>
      <c r="O499">
        <f t="shared" si="7"/>
        <v>0.69140625</v>
      </c>
      <c r="P499">
        <v>14.040845327284968</v>
      </c>
    </row>
    <row r="500" spans="1:16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2.8081690654569935</v>
      </c>
      <c r="H500">
        <v>9.765625E-4</v>
      </c>
      <c r="I500">
        <v>-0.91064181622770701</v>
      </c>
      <c r="J500">
        <v>-8.8929864865987013E-4</v>
      </c>
      <c r="M500">
        <v>14.040845327284968</v>
      </c>
      <c r="N500">
        <v>3.90625E-3</v>
      </c>
      <c r="O500">
        <f t="shared" si="7"/>
        <v>0.6953125</v>
      </c>
      <c r="P500">
        <v>14.040845327284968</v>
      </c>
    </row>
    <row r="501" spans="1:16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14.040845327284968</v>
      </c>
      <c r="H501">
        <v>1.953125E-3</v>
      </c>
      <c r="I501">
        <v>-0.62623587759980681</v>
      </c>
      <c r="J501">
        <v>-1.2231169484371227E-3</v>
      </c>
      <c r="M501">
        <v>14.040845327284968</v>
      </c>
      <c r="N501">
        <v>7.8125E-3</v>
      </c>
      <c r="O501">
        <f t="shared" si="7"/>
        <v>0.703125</v>
      </c>
      <c r="P501">
        <v>14.040845327284968</v>
      </c>
    </row>
    <row r="502" spans="1:16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22.465352523655948</v>
      </c>
      <c r="H502">
        <v>9.765625E-4</v>
      </c>
      <c r="I502">
        <v>-0.47291241152288888</v>
      </c>
      <c r="J502">
        <v>-4.6182852687782117E-4</v>
      </c>
      <c r="M502">
        <v>14.040845327284968</v>
      </c>
      <c r="N502">
        <v>3.90625E-3</v>
      </c>
      <c r="O502">
        <f t="shared" si="7"/>
        <v>0.70703125</v>
      </c>
      <c r="P502">
        <v>14.040845327284968</v>
      </c>
    </row>
    <row r="503" spans="1:16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4.8828125E-4</v>
      </c>
      <c r="I503">
        <v>-1</v>
      </c>
      <c r="J503">
        <v>-4.8828125E-4</v>
      </c>
      <c r="M503">
        <v>14.040845327284968</v>
      </c>
      <c r="N503">
        <v>1.953125E-3</v>
      </c>
      <c r="O503">
        <f t="shared" si="7"/>
        <v>0.708984375</v>
      </c>
      <c r="P503">
        <v>14.040845327284968</v>
      </c>
    </row>
    <row r="504" spans="1:16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11.232676261827974</v>
      </c>
      <c r="H504">
        <v>9.765625E-4</v>
      </c>
      <c r="I504">
        <v>-0.6876862740544476</v>
      </c>
      <c r="J504">
        <v>-6.7156862700629648E-4</v>
      </c>
      <c r="M504">
        <v>14.040845327284968</v>
      </c>
      <c r="N504">
        <v>3.90625E-3</v>
      </c>
      <c r="O504">
        <f t="shared" si="7"/>
        <v>0.712890625</v>
      </c>
      <c r="P504">
        <v>14.040845327284968</v>
      </c>
    </row>
    <row r="505" spans="1:16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19.657183458198954</v>
      </c>
      <c r="H505">
        <v>4.8828125E-4</v>
      </c>
      <c r="I505">
        <v>-0.51931769779901749</v>
      </c>
      <c r="J505">
        <v>-2.5357309462842651E-4</v>
      </c>
      <c r="M505">
        <v>14.040845327284968</v>
      </c>
      <c r="N505">
        <v>1.953125E-3</v>
      </c>
      <c r="O505">
        <f t="shared" si="7"/>
        <v>0.71484375</v>
      </c>
      <c r="P505">
        <v>14.040845327284968</v>
      </c>
    </row>
    <row r="506" spans="1:16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5.616338130913987</v>
      </c>
      <c r="H506">
        <v>2.44140625E-4</v>
      </c>
      <c r="I506">
        <v>-0.82926851746249697</v>
      </c>
      <c r="J506">
        <v>-2.0245813414611742E-4</v>
      </c>
      <c r="M506">
        <v>14.040845327284968</v>
      </c>
      <c r="N506">
        <v>9.765625E-4</v>
      </c>
      <c r="O506">
        <f t="shared" si="7"/>
        <v>0.7158203125</v>
      </c>
      <c r="P506">
        <v>14.040845327284968</v>
      </c>
    </row>
    <row r="507" spans="1:16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16.849014392741964</v>
      </c>
      <c r="H507">
        <v>4.8828125E-4</v>
      </c>
      <c r="I507">
        <v>-0.57027657696444012</v>
      </c>
      <c r="J507">
        <v>-2.7845535984591803E-4</v>
      </c>
      <c r="M507">
        <v>14.040845327284968</v>
      </c>
      <c r="N507">
        <v>1.953125E-3</v>
      </c>
      <c r="O507">
        <f t="shared" si="7"/>
        <v>0.7177734375</v>
      </c>
      <c r="P507">
        <v>14.040845327284968</v>
      </c>
    </row>
    <row r="508" spans="1:16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25.273521589112942</v>
      </c>
      <c r="H508">
        <v>2.44140625E-4</v>
      </c>
      <c r="I508">
        <v>-0.4306538173458283</v>
      </c>
      <c r="J508">
        <v>-1.0514009212544636E-4</v>
      </c>
      <c r="M508">
        <v>14.040845327284968</v>
      </c>
      <c r="N508">
        <v>9.765625E-4</v>
      </c>
      <c r="O508">
        <f t="shared" si="7"/>
        <v>0.71875</v>
      </c>
      <c r="P508">
        <v>14.040845327284968</v>
      </c>
    </row>
    <row r="509" spans="1:16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2.8081690654569935</v>
      </c>
      <c r="H509">
        <v>4.8828125E-4</v>
      </c>
      <c r="I509">
        <v>-0.91064181622770701</v>
      </c>
      <c r="J509">
        <v>-4.4464932432993506E-4</v>
      </c>
      <c r="M509">
        <v>14.040845327284968</v>
      </c>
      <c r="N509">
        <v>1.953125E-3</v>
      </c>
      <c r="O509">
        <f t="shared" si="7"/>
        <v>0.720703125</v>
      </c>
      <c r="P509">
        <v>14.040845327284968</v>
      </c>
    </row>
    <row r="510" spans="1:16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14.040845327284968</v>
      </c>
      <c r="H510">
        <v>9.765625E-4</v>
      </c>
      <c r="I510">
        <v>-0.62623587759980681</v>
      </c>
      <c r="J510">
        <v>-6.1155847421856134E-4</v>
      </c>
      <c r="M510">
        <v>14.040845327284968</v>
      </c>
      <c r="N510">
        <v>3.90625E-3</v>
      </c>
      <c r="O510">
        <f t="shared" si="7"/>
        <v>0.724609375</v>
      </c>
      <c r="P510">
        <v>14.040845327284968</v>
      </c>
    </row>
    <row r="511" spans="1:16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22.465352523655948</v>
      </c>
      <c r="H511">
        <v>4.8828125E-4</v>
      </c>
      <c r="I511">
        <v>-0.47291241152288888</v>
      </c>
      <c r="J511">
        <v>-2.3091426343891058E-4</v>
      </c>
      <c r="M511">
        <v>14.040845327284968</v>
      </c>
      <c r="N511">
        <v>1.953125E-3</v>
      </c>
      <c r="O511">
        <f t="shared" si="7"/>
        <v>0.7265625</v>
      </c>
      <c r="P511">
        <v>14.040845327284968</v>
      </c>
    </row>
    <row r="512" spans="1:16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2.44140625E-4</v>
      </c>
      <c r="I512">
        <v>-1</v>
      </c>
      <c r="J512">
        <v>-2.44140625E-4</v>
      </c>
      <c r="M512">
        <v>14.040845327284968</v>
      </c>
      <c r="N512">
        <v>9.765625E-4</v>
      </c>
      <c r="O512">
        <f t="shared" si="7"/>
        <v>0.7275390625</v>
      </c>
      <c r="P512">
        <v>14.040845327284968</v>
      </c>
    </row>
    <row r="513" spans="1:16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11.232676261827974</v>
      </c>
      <c r="H513">
        <v>4.8828125E-4</v>
      </c>
      <c r="I513">
        <v>-0.6876862740544476</v>
      </c>
      <c r="J513">
        <v>-3.3578431350314824E-4</v>
      </c>
      <c r="M513">
        <v>14.040845327284968</v>
      </c>
      <c r="N513">
        <v>1.953125E-3</v>
      </c>
      <c r="O513">
        <f t="shared" si="7"/>
        <v>0.7294921875</v>
      </c>
      <c r="P513">
        <v>14.040845327284968</v>
      </c>
    </row>
    <row r="514" spans="1:16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19.657183458198954</v>
      </c>
      <c r="H514">
        <v>2.44140625E-4</v>
      </c>
      <c r="I514">
        <v>-0.51931769779901749</v>
      </c>
      <c r="J514">
        <v>-1.2678654731421325E-4</v>
      </c>
      <c r="M514">
        <v>14.040845327284968</v>
      </c>
      <c r="N514">
        <v>9.765625E-4</v>
      </c>
      <c r="O514">
        <f t="shared" si="7"/>
        <v>0.73046875</v>
      </c>
      <c r="P514">
        <v>14.040845327284968</v>
      </c>
    </row>
    <row r="515" spans="1:16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5.616338130913987</v>
      </c>
      <c r="H515">
        <v>4.8828125E-4</v>
      </c>
      <c r="I515">
        <v>-0.82926851746249697</v>
      </c>
      <c r="J515">
        <v>-4.0491626829223485E-4</v>
      </c>
      <c r="M515">
        <v>14.545837008974342</v>
      </c>
      <c r="N515">
        <v>2.44140625E-4</v>
      </c>
      <c r="O515">
        <f t="shared" si="7"/>
        <v>0.730712890625</v>
      </c>
      <c r="P515">
        <v>14.545837008974342</v>
      </c>
    </row>
    <row r="516" spans="1:16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16.849014392741964</v>
      </c>
      <c r="H516">
        <v>9.765625E-4</v>
      </c>
      <c r="I516">
        <v>-0.57027657696444012</v>
      </c>
      <c r="J516">
        <v>-5.5691071969183605E-4</v>
      </c>
      <c r="M516">
        <v>14.545837008974342</v>
      </c>
      <c r="N516">
        <v>4.8828125E-4</v>
      </c>
      <c r="O516">
        <f t="shared" ref="O516:O579" si="8">N516+O515</f>
        <v>0.731201171875</v>
      </c>
      <c r="P516">
        <v>14.545837008974342</v>
      </c>
    </row>
    <row r="517" spans="1:16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25.273521589112942</v>
      </c>
      <c r="H517">
        <v>4.8828125E-4</v>
      </c>
      <c r="I517">
        <v>-0.4306538173458283</v>
      </c>
      <c r="J517">
        <v>-2.1028018425089273E-4</v>
      </c>
      <c r="M517">
        <v>14.545837008974342</v>
      </c>
      <c r="N517">
        <v>2.44140625E-4</v>
      </c>
      <c r="O517">
        <f t="shared" si="8"/>
        <v>0.7314453125</v>
      </c>
      <c r="P517">
        <v>14.545837008974342</v>
      </c>
    </row>
    <row r="518" spans="1:16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2.8081690654569935</v>
      </c>
      <c r="H518">
        <v>9.765625E-4</v>
      </c>
      <c r="I518">
        <v>-0.91064181622770701</v>
      </c>
      <c r="J518">
        <v>-8.8929864865987013E-4</v>
      </c>
      <c r="M518">
        <v>14.545837008974342</v>
      </c>
      <c r="N518">
        <v>4.8828125E-4</v>
      </c>
      <c r="O518">
        <f t="shared" si="8"/>
        <v>0.73193359375</v>
      </c>
      <c r="P518">
        <v>14.545837008974342</v>
      </c>
    </row>
    <row r="519" spans="1:16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14.040845327284968</v>
      </c>
      <c r="H519">
        <v>1.953125E-3</v>
      </c>
      <c r="I519">
        <v>-0.62623587759980681</v>
      </c>
      <c r="J519">
        <v>-1.2231169484371227E-3</v>
      </c>
      <c r="M519">
        <v>14.545837008974342</v>
      </c>
      <c r="N519">
        <v>9.765625E-4</v>
      </c>
      <c r="O519">
        <f t="shared" si="8"/>
        <v>0.73291015625</v>
      </c>
      <c r="P519">
        <v>14.545837008974342</v>
      </c>
    </row>
    <row r="520" spans="1:16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22.465352523655948</v>
      </c>
      <c r="H520">
        <v>9.765625E-4</v>
      </c>
      <c r="I520">
        <v>-0.47291241152288888</v>
      </c>
      <c r="J520">
        <v>-4.6182852687782117E-4</v>
      </c>
      <c r="M520">
        <v>14.545837008974342</v>
      </c>
      <c r="N520">
        <v>4.8828125E-4</v>
      </c>
      <c r="O520">
        <f t="shared" si="8"/>
        <v>0.7333984375</v>
      </c>
      <c r="P520">
        <v>14.545837008974342</v>
      </c>
    </row>
    <row r="521" spans="1:16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4.8828125E-4</v>
      </c>
      <c r="I521">
        <v>-1</v>
      </c>
      <c r="J521">
        <v>-4.8828125E-4</v>
      </c>
      <c r="M521">
        <v>14.545837008974342</v>
      </c>
      <c r="N521">
        <v>2.44140625E-4</v>
      </c>
      <c r="O521">
        <f t="shared" si="8"/>
        <v>0.733642578125</v>
      </c>
      <c r="P521">
        <v>14.545837008974342</v>
      </c>
    </row>
    <row r="522" spans="1:16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11.232676261827974</v>
      </c>
      <c r="H522">
        <v>9.765625E-4</v>
      </c>
      <c r="I522">
        <v>-0.6876862740544476</v>
      </c>
      <c r="J522">
        <v>-6.7156862700629648E-4</v>
      </c>
      <c r="M522">
        <v>14.545837008974342</v>
      </c>
      <c r="N522">
        <v>4.8828125E-4</v>
      </c>
      <c r="O522">
        <f t="shared" si="8"/>
        <v>0.734130859375</v>
      </c>
      <c r="P522">
        <v>14.545837008974342</v>
      </c>
    </row>
    <row r="523" spans="1:16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11.232676261827974</v>
      </c>
      <c r="H523">
        <v>9.765625E-4</v>
      </c>
      <c r="I523">
        <v>-0.6876862740544476</v>
      </c>
      <c r="J523">
        <v>-6.7156862700629648E-4</v>
      </c>
      <c r="M523">
        <v>14.545837008974342</v>
      </c>
      <c r="N523">
        <v>2.44140625E-4</v>
      </c>
      <c r="O523">
        <f t="shared" si="8"/>
        <v>0.734375</v>
      </c>
      <c r="P523">
        <v>14.545837008974342</v>
      </c>
    </row>
    <row r="524" spans="1:16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5.616338130913987</v>
      </c>
      <c r="H524">
        <v>9.765625E-4</v>
      </c>
      <c r="I524">
        <v>-0.82926851746249697</v>
      </c>
      <c r="J524">
        <v>-8.098325365844697E-4</v>
      </c>
      <c r="M524">
        <v>16.285066808660886</v>
      </c>
      <c r="N524">
        <v>4.8828125E-4</v>
      </c>
      <c r="O524">
        <f t="shared" si="8"/>
        <v>0.73486328125</v>
      </c>
      <c r="P524">
        <v>16.285066808660886</v>
      </c>
    </row>
    <row r="525" spans="1:16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16.849014392741964</v>
      </c>
      <c r="H525">
        <v>1.953125E-3</v>
      </c>
      <c r="I525">
        <v>-0.57027657696444012</v>
      </c>
      <c r="J525">
        <v>-1.1138214393836721E-3</v>
      </c>
      <c r="M525">
        <v>16.285066808660886</v>
      </c>
      <c r="N525">
        <v>9.765625E-4</v>
      </c>
      <c r="O525">
        <f t="shared" si="8"/>
        <v>0.73583984375</v>
      </c>
      <c r="P525">
        <v>16.285066808660886</v>
      </c>
    </row>
    <row r="526" spans="1:16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25.273521589112942</v>
      </c>
      <c r="H526">
        <v>9.765625E-4</v>
      </c>
      <c r="I526">
        <v>-0.4306538173458283</v>
      </c>
      <c r="J526">
        <v>-4.2056036850178545E-4</v>
      </c>
      <c r="M526">
        <v>16.285066808660886</v>
      </c>
      <c r="N526">
        <v>4.8828125E-4</v>
      </c>
      <c r="O526">
        <f t="shared" si="8"/>
        <v>0.736328125</v>
      </c>
      <c r="P526">
        <v>16.285066808660886</v>
      </c>
    </row>
    <row r="527" spans="1:16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2.8081690654569935</v>
      </c>
      <c r="H527">
        <v>1.953125E-3</v>
      </c>
      <c r="I527">
        <v>-0.91064181622770701</v>
      </c>
      <c r="J527">
        <v>-1.7785972973197403E-3</v>
      </c>
      <c r="M527">
        <v>16.285066808660886</v>
      </c>
      <c r="N527">
        <v>9.765625E-4</v>
      </c>
      <c r="O527">
        <f t="shared" si="8"/>
        <v>0.7373046875</v>
      </c>
      <c r="P527">
        <v>16.285066808660886</v>
      </c>
    </row>
    <row r="528" spans="1:16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14.040845327284968</v>
      </c>
      <c r="H528">
        <v>3.90625E-3</v>
      </c>
      <c r="I528">
        <v>-0.62623587759980681</v>
      </c>
      <c r="J528">
        <v>-2.4462338968742454E-3</v>
      </c>
      <c r="M528">
        <v>16.285066808660886</v>
      </c>
      <c r="N528">
        <v>1.953125E-3</v>
      </c>
      <c r="O528">
        <f t="shared" si="8"/>
        <v>0.7392578125</v>
      </c>
      <c r="P528">
        <v>16.285066808660886</v>
      </c>
    </row>
    <row r="529" spans="1:16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22.465352523655948</v>
      </c>
      <c r="H529">
        <v>1.953125E-3</v>
      </c>
      <c r="I529">
        <v>-0.47291241152288888</v>
      </c>
      <c r="J529">
        <v>-9.2365705375564234E-4</v>
      </c>
      <c r="M529">
        <v>16.285066808660886</v>
      </c>
      <c r="N529">
        <v>9.765625E-4</v>
      </c>
      <c r="O529">
        <f t="shared" si="8"/>
        <v>0.740234375</v>
      </c>
      <c r="P529">
        <v>16.285066808660886</v>
      </c>
    </row>
    <row r="530" spans="1:16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9.765625E-4</v>
      </c>
      <c r="I530">
        <v>-1</v>
      </c>
      <c r="J530">
        <v>-9.765625E-4</v>
      </c>
      <c r="M530">
        <v>16.285066808660886</v>
      </c>
      <c r="N530">
        <v>4.8828125E-4</v>
      </c>
      <c r="O530">
        <f t="shared" si="8"/>
        <v>0.74072265625</v>
      </c>
      <c r="P530">
        <v>16.285066808660886</v>
      </c>
    </row>
    <row r="531" spans="1:16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11.232676261827974</v>
      </c>
      <c r="H531">
        <v>1.953125E-3</v>
      </c>
      <c r="I531">
        <v>-0.6876862740544476</v>
      </c>
      <c r="J531">
        <v>-1.343137254012593E-3</v>
      </c>
      <c r="M531">
        <v>16.285066808660886</v>
      </c>
      <c r="N531">
        <v>9.765625E-4</v>
      </c>
      <c r="O531">
        <f t="shared" si="8"/>
        <v>0.74169921875</v>
      </c>
      <c r="P531">
        <v>16.285066808660886</v>
      </c>
    </row>
    <row r="532" spans="1:16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19.657183458198954</v>
      </c>
      <c r="H532">
        <v>9.765625E-4</v>
      </c>
      <c r="I532">
        <v>-0.51931769779901749</v>
      </c>
      <c r="J532">
        <v>-5.0714618925685301E-4</v>
      </c>
      <c r="M532">
        <v>16.285066808660886</v>
      </c>
      <c r="N532">
        <v>4.8828125E-4</v>
      </c>
      <c r="O532">
        <f t="shared" si="8"/>
        <v>0.7421875</v>
      </c>
      <c r="P532">
        <v>16.285066808660886</v>
      </c>
    </row>
    <row r="533" spans="1:16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5.616338130913987</v>
      </c>
      <c r="H533">
        <v>4.8828125E-4</v>
      </c>
      <c r="I533">
        <v>-0.82926851746249697</v>
      </c>
      <c r="J533">
        <v>-4.0491626829223485E-4</v>
      </c>
      <c r="M533">
        <v>16.849014392741964</v>
      </c>
      <c r="N533">
        <v>1.953125E-3</v>
      </c>
      <c r="O533">
        <f t="shared" si="8"/>
        <v>0.744140625</v>
      </c>
      <c r="P533">
        <v>16.849014392741964</v>
      </c>
    </row>
    <row r="534" spans="1:16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16.849014392741964</v>
      </c>
      <c r="H534">
        <v>9.765625E-4</v>
      </c>
      <c r="I534">
        <v>-0.57027657696444012</v>
      </c>
      <c r="J534">
        <v>-5.5691071969183605E-4</v>
      </c>
      <c r="M534">
        <v>16.849014392741964</v>
      </c>
      <c r="N534">
        <v>3.90625E-3</v>
      </c>
      <c r="O534">
        <f t="shared" si="8"/>
        <v>0.748046875</v>
      </c>
      <c r="P534">
        <v>16.849014392741964</v>
      </c>
    </row>
    <row r="535" spans="1:16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25.273521589112942</v>
      </c>
      <c r="H535">
        <v>4.8828125E-4</v>
      </c>
      <c r="I535">
        <v>-0.4306538173458283</v>
      </c>
      <c r="J535">
        <v>-2.1028018425089273E-4</v>
      </c>
      <c r="M535">
        <v>16.849014392741964</v>
      </c>
      <c r="N535">
        <v>1.953125E-3</v>
      </c>
      <c r="O535">
        <f t="shared" si="8"/>
        <v>0.75</v>
      </c>
      <c r="P535">
        <v>16.849014392741964</v>
      </c>
    </row>
    <row r="536" spans="1:16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2.8081690654569935</v>
      </c>
      <c r="H536">
        <v>9.765625E-4</v>
      </c>
      <c r="I536">
        <v>-0.91064181622770701</v>
      </c>
      <c r="J536">
        <v>-8.8929864865987013E-4</v>
      </c>
      <c r="M536">
        <v>16.849014392741964</v>
      </c>
      <c r="N536">
        <v>3.90625E-3</v>
      </c>
      <c r="O536">
        <f t="shared" si="8"/>
        <v>0.75390625</v>
      </c>
      <c r="P536">
        <v>16.849014392741964</v>
      </c>
    </row>
    <row r="537" spans="1:16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14.040845327284968</v>
      </c>
      <c r="H537">
        <v>1.953125E-3</v>
      </c>
      <c r="I537">
        <v>-0.62623587759980681</v>
      </c>
      <c r="J537">
        <v>-1.2231169484371227E-3</v>
      </c>
      <c r="M537">
        <v>16.849014392741964</v>
      </c>
      <c r="N537">
        <v>7.8125E-3</v>
      </c>
      <c r="O537">
        <f t="shared" si="8"/>
        <v>0.76171875</v>
      </c>
      <c r="P537">
        <v>16.849014392741964</v>
      </c>
    </row>
    <row r="538" spans="1:16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22.465352523655948</v>
      </c>
      <c r="H538">
        <v>9.765625E-4</v>
      </c>
      <c r="I538">
        <v>-0.47291241152288888</v>
      </c>
      <c r="J538">
        <v>-4.6182852687782117E-4</v>
      </c>
      <c r="M538">
        <v>16.849014392741964</v>
      </c>
      <c r="N538">
        <v>3.90625E-3</v>
      </c>
      <c r="O538">
        <f t="shared" si="8"/>
        <v>0.765625</v>
      </c>
      <c r="P538">
        <v>16.849014392741964</v>
      </c>
    </row>
    <row r="539" spans="1:16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4.8828125E-4</v>
      </c>
      <c r="I539">
        <v>-1</v>
      </c>
      <c r="J539">
        <v>-4.8828125E-4</v>
      </c>
      <c r="M539">
        <v>16.849014392741964</v>
      </c>
      <c r="N539">
        <v>1.953125E-3</v>
      </c>
      <c r="O539">
        <f t="shared" si="8"/>
        <v>0.767578125</v>
      </c>
      <c r="P539">
        <v>16.849014392741964</v>
      </c>
    </row>
    <row r="540" spans="1:16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11.232676261827974</v>
      </c>
      <c r="H540">
        <v>9.765625E-4</v>
      </c>
      <c r="I540">
        <v>-0.6876862740544476</v>
      </c>
      <c r="J540">
        <v>-6.7156862700629648E-4</v>
      </c>
      <c r="M540">
        <v>16.849014392741964</v>
      </c>
      <c r="N540">
        <v>3.90625E-3</v>
      </c>
      <c r="O540">
        <f t="shared" si="8"/>
        <v>0.771484375</v>
      </c>
      <c r="P540">
        <v>16.849014392741964</v>
      </c>
    </row>
    <row r="541" spans="1:16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19.657183458198954</v>
      </c>
      <c r="H541">
        <v>4.8828125E-4</v>
      </c>
      <c r="I541">
        <v>-0.51931769779901749</v>
      </c>
      <c r="J541">
        <v>-2.5357309462842651E-4</v>
      </c>
      <c r="M541">
        <v>16.849014392741964</v>
      </c>
      <c r="N541">
        <v>1.953125E-3</v>
      </c>
      <c r="O541">
        <f t="shared" si="8"/>
        <v>0.7734375</v>
      </c>
      <c r="P541">
        <v>16.849014392741964</v>
      </c>
    </row>
    <row r="542" spans="1:16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5.616338130913987</v>
      </c>
      <c r="H542">
        <v>2.44140625E-4</v>
      </c>
      <c r="I542">
        <v>-0.82926851746249697</v>
      </c>
      <c r="J542">
        <v>-2.0245813414611742E-4</v>
      </c>
      <c r="M542">
        <v>16.849014392741964</v>
      </c>
      <c r="N542">
        <v>9.765625E-4</v>
      </c>
      <c r="O542">
        <f t="shared" si="8"/>
        <v>0.7744140625</v>
      </c>
      <c r="P542">
        <v>16.849014392741964</v>
      </c>
    </row>
    <row r="543" spans="1:16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16.849014392741964</v>
      </c>
      <c r="H543">
        <v>4.8828125E-4</v>
      </c>
      <c r="I543">
        <v>-0.57027657696444012</v>
      </c>
      <c r="J543">
        <v>-2.7845535984591803E-4</v>
      </c>
      <c r="M543">
        <v>16.849014392741964</v>
      </c>
      <c r="N543">
        <v>1.953125E-3</v>
      </c>
      <c r="O543">
        <f t="shared" si="8"/>
        <v>0.7763671875</v>
      </c>
      <c r="P543">
        <v>16.849014392741964</v>
      </c>
    </row>
    <row r="544" spans="1:16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25.273521589112942</v>
      </c>
      <c r="H544">
        <v>2.44140625E-4</v>
      </c>
      <c r="I544">
        <v>-0.4306538173458283</v>
      </c>
      <c r="J544">
        <v>-1.0514009212544636E-4</v>
      </c>
      <c r="M544">
        <v>16.849014392741964</v>
      </c>
      <c r="N544">
        <v>9.765625E-4</v>
      </c>
      <c r="O544">
        <f t="shared" si="8"/>
        <v>0.77734375</v>
      </c>
      <c r="P544">
        <v>16.849014392741964</v>
      </c>
    </row>
    <row r="545" spans="1:16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2.8081690654569935</v>
      </c>
      <c r="H545">
        <v>4.8828125E-4</v>
      </c>
      <c r="I545">
        <v>-0.91064181622770701</v>
      </c>
      <c r="J545">
        <v>-4.4464932432993506E-4</v>
      </c>
      <c r="M545">
        <v>16.849014392741964</v>
      </c>
      <c r="N545">
        <v>1.953125E-3</v>
      </c>
      <c r="O545">
        <f t="shared" si="8"/>
        <v>0.779296875</v>
      </c>
      <c r="P545">
        <v>16.849014392741964</v>
      </c>
    </row>
    <row r="546" spans="1:16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14.040845327284968</v>
      </c>
      <c r="H546">
        <v>9.765625E-4</v>
      </c>
      <c r="I546">
        <v>-0.62623587759980681</v>
      </c>
      <c r="J546">
        <v>-6.1155847421856134E-4</v>
      </c>
      <c r="M546">
        <v>16.849014392741964</v>
      </c>
      <c r="N546">
        <v>3.90625E-3</v>
      </c>
      <c r="O546">
        <f t="shared" si="8"/>
        <v>0.783203125</v>
      </c>
      <c r="P546">
        <v>16.849014392741964</v>
      </c>
    </row>
    <row r="547" spans="1:16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22.465352523655948</v>
      </c>
      <c r="H547">
        <v>4.8828125E-4</v>
      </c>
      <c r="I547">
        <v>-0.47291241152288888</v>
      </c>
      <c r="J547">
        <v>-2.3091426343891058E-4</v>
      </c>
      <c r="M547">
        <v>16.849014392741964</v>
      </c>
      <c r="N547">
        <v>1.953125E-3</v>
      </c>
      <c r="O547">
        <f t="shared" si="8"/>
        <v>0.78515625</v>
      </c>
      <c r="P547">
        <v>16.849014392741964</v>
      </c>
    </row>
    <row r="548" spans="1:16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2.44140625E-4</v>
      </c>
      <c r="I548">
        <v>-1</v>
      </c>
      <c r="J548">
        <v>-2.44140625E-4</v>
      </c>
      <c r="M548">
        <v>16.849014392741964</v>
      </c>
      <c r="N548">
        <v>9.765625E-4</v>
      </c>
      <c r="O548">
        <f t="shared" si="8"/>
        <v>0.7861328125</v>
      </c>
      <c r="P548">
        <v>16.849014392741964</v>
      </c>
    </row>
    <row r="549" spans="1:16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11.232676261827974</v>
      </c>
      <c r="H549">
        <v>4.8828125E-4</v>
      </c>
      <c r="I549">
        <v>-0.6876862740544476</v>
      </c>
      <c r="J549">
        <v>-3.3578431350314824E-4</v>
      </c>
      <c r="M549">
        <v>16.849014392741964</v>
      </c>
      <c r="N549">
        <v>1.953125E-3</v>
      </c>
      <c r="O549">
        <f t="shared" si="8"/>
        <v>0.7880859375</v>
      </c>
      <c r="P549">
        <v>16.849014392741964</v>
      </c>
    </row>
    <row r="550" spans="1:16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19.657183458198954</v>
      </c>
      <c r="H550">
        <v>2.44140625E-4</v>
      </c>
      <c r="I550">
        <v>-0.51931769779901749</v>
      </c>
      <c r="J550">
        <v>-1.2678654731421325E-4</v>
      </c>
      <c r="M550">
        <v>16.849014392741964</v>
      </c>
      <c r="N550">
        <v>9.765625E-4</v>
      </c>
      <c r="O550">
        <f t="shared" si="8"/>
        <v>0.7890625</v>
      </c>
      <c r="P550">
        <v>16.849014392741964</v>
      </c>
    </row>
    <row r="551" spans="1:16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5.616338130913987</v>
      </c>
      <c r="H551">
        <v>4.8828125E-4</v>
      </c>
      <c r="I551">
        <v>-0.82926851746249697</v>
      </c>
      <c r="J551">
        <v>-4.0491626829223485E-4</v>
      </c>
      <c r="M551">
        <v>16.849014392741964</v>
      </c>
      <c r="N551">
        <v>4.8828125E-4</v>
      </c>
      <c r="O551">
        <f t="shared" si="8"/>
        <v>0.78955078125</v>
      </c>
      <c r="P551">
        <v>16.849014392741964</v>
      </c>
    </row>
    <row r="552" spans="1:16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16.849014392741964</v>
      </c>
      <c r="H552">
        <v>9.765625E-4</v>
      </c>
      <c r="I552">
        <v>-0.57027657696444012</v>
      </c>
      <c r="J552">
        <v>-5.5691071969183605E-4</v>
      </c>
      <c r="M552">
        <v>16.849014392741964</v>
      </c>
      <c r="N552">
        <v>9.765625E-4</v>
      </c>
      <c r="O552">
        <f t="shared" si="8"/>
        <v>0.79052734375</v>
      </c>
      <c r="P552">
        <v>16.849014392741964</v>
      </c>
    </row>
    <row r="553" spans="1:16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25.273521589112942</v>
      </c>
      <c r="H553">
        <v>4.8828125E-4</v>
      </c>
      <c r="I553">
        <v>-0.4306538173458283</v>
      </c>
      <c r="J553">
        <v>-2.1028018425089273E-4</v>
      </c>
      <c r="M553">
        <v>16.849014392741964</v>
      </c>
      <c r="N553">
        <v>4.8828125E-4</v>
      </c>
      <c r="O553">
        <f t="shared" si="8"/>
        <v>0.791015625</v>
      </c>
      <c r="P553">
        <v>16.849014392741964</v>
      </c>
    </row>
    <row r="554" spans="1:16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2.8081690654569935</v>
      </c>
      <c r="H554">
        <v>9.765625E-4</v>
      </c>
      <c r="I554">
        <v>-0.91064181622770701</v>
      </c>
      <c r="J554">
        <v>-8.8929864865987013E-4</v>
      </c>
      <c r="M554">
        <v>16.849014392741964</v>
      </c>
      <c r="N554">
        <v>9.765625E-4</v>
      </c>
      <c r="O554">
        <f t="shared" si="8"/>
        <v>0.7919921875</v>
      </c>
      <c r="P554">
        <v>16.849014392741964</v>
      </c>
    </row>
    <row r="555" spans="1:16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14.040845327284968</v>
      </c>
      <c r="H555">
        <v>1.953125E-3</v>
      </c>
      <c r="I555">
        <v>-0.62623587759980681</v>
      </c>
      <c r="J555">
        <v>-1.2231169484371227E-3</v>
      </c>
      <c r="M555">
        <v>16.849014392741964</v>
      </c>
      <c r="N555">
        <v>1.953125E-3</v>
      </c>
      <c r="O555">
        <f t="shared" si="8"/>
        <v>0.7939453125</v>
      </c>
      <c r="P555">
        <v>16.849014392741964</v>
      </c>
    </row>
    <row r="556" spans="1:16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22.465352523655948</v>
      </c>
      <c r="H556">
        <v>9.765625E-4</v>
      </c>
      <c r="I556">
        <v>-0.47291241152288888</v>
      </c>
      <c r="J556">
        <v>-4.6182852687782117E-4</v>
      </c>
      <c r="M556">
        <v>16.849014392741964</v>
      </c>
      <c r="N556">
        <v>9.765625E-4</v>
      </c>
      <c r="O556">
        <f t="shared" si="8"/>
        <v>0.794921875</v>
      </c>
      <c r="P556">
        <v>16.849014392741964</v>
      </c>
    </row>
    <row r="557" spans="1:16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4.8828125E-4</v>
      </c>
      <c r="I557">
        <v>-1</v>
      </c>
      <c r="J557">
        <v>-4.8828125E-4</v>
      </c>
      <c r="M557">
        <v>16.849014392741964</v>
      </c>
      <c r="N557">
        <v>4.8828125E-4</v>
      </c>
      <c r="O557">
        <f t="shared" si="8"/>
        <v>0.79541015625</v>
      </c>
      <c r="P557">
        <v>16.849014392741964</v>
      </c>
    </row>
    <row r="558" spans="1:16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11.232676261827974</v>
      </c>
      <c r="H558">
        <v>9.765625E-4</v>
      </c>
      <c r="I558">
        <v>-0.6876862740544476</v>
      </c>
      <c r="J558">
        <v>-6.7156862700629648E-4</v>
      </c>
      <c r="M558">
        <v>16.849014392741964</v>
      </c>
      <c r="N558">
        <v>9.765625E-4</v>
      </c>
      <c r="O558">
        <f t="shared" si="8"/>
        <v>0.79638671875</v>
      </c>
      <c r="P558">
        <v>16.849014392741964</v>
      </c>
    </row>
    <row r="559" spans="1:16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19.657183458198954</v>
      </c>
      <c r="H559">
        <v>4.8828125E-4</v>
      </c>
      <c r="I559">
        <v>-0.51931769779901749</v>
      </c>
      <c r="J559">
        <v>-2.5357309462842651E-4</v>
      </c>
      <c r="M559">
        <v>16.849014392741964</v>
      </c>
      <c r="N559">
        <v>4.8828125E-4</v>
      </c>
      <c r="O559">
        <f t="shared" si="8"/>
        <v>0.796875</v>
      </c>
      <c r="P559">
        <v>16.849014392741964</v>
      </c>
    </row>
    <row r="560" spans="1:16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5.616338130913987</v>
      </c>
      <c r="H560">
        <v>2.44140625E-4</v>
      </c>
      <c r="I560">
        <v>-0.82926851746249697</v>
      </c>
      <c r="J560">
        <v>-2.0245813414611742E-4</v>
      </c>
      <c r="M560">
        <v>16.849014392741964</v>
      </c>
      <c r="N560">
        <v>9.765625E-4</v>
      </c>
      <c r="O560">
        <f t="shared" si="8"/>
        <v>0.7978515625</v>
      </c>
      <c r="P560">
        <v>16.849014392741964</v>
      </c>
    </row>
    <row r="561" spans="1:16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16.849014392741964</v>
      </c>
      <c r="H561">
        <v>4.8828125E-4</v>
      </c>
      <c r="I561">
        <v>-0.57027657696444012</v>
      </c>
      <c r="J561">
        <v>-2.7845535984591803E-4</v>
      </c>
      <c r="M561">
        <v>16.849014392741964</v>
      </c>
      <c r="N561">
        <v>1.953125E-3</v>
      </c>
      <c r="O561">
        <f t="shared" si="8"/>
        <v>0.7998046875</v>
      </c>
      <c r="P561">
        <v>16.849014392741964</v>
      </c>
    </row>
    <row r="562" spans="1:16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25.273521589112942</v>
      </c>
      <c r="H562">
        <v>2.44140625E-4</v>
      </c>
      <c r="I562">
        <v>-0.4306538173458283</v>
      </c>
      <c r="J562">
        <v>-1.0514009212544636E-4</v>
      </c>
      <c r="M562">
        <v>16.849014392741964</v>
      </c>
      <c r="N562">
        <v>9.765625E-4</v>
      </c>
      <c r="O562">
        <f t="shared" si="8"/>
        <v>0.80078125</v>
      </c>
      <c r="P562">
        <v>16.849014392741964</v>
      </c>
    </row>
    <row r="563" spans="1:16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2.8081690654569935</v>
      </c>
      <c r="H563">
        <v>4.8828125E-4</v>
      </c>
      <c r="I563">
        <v>-0.91064181622770701</v>
      </c>
      <c r="J563">
        <v>-4.4464932432993506E-4</v>
      </c>
      <c r="M563">
        <v>16.849014392741964</v>
      </c>
      <c r="N563">
        <v>1.953125E-3</v>
      </c>
      <c r="O563">
        <f t="shared" si="8"/>
        <v>0.802734375</v>
      </c>
      <c r="P563">
        <v>16.849014392741964</v>
      </c>
    </row>
    <row r="564" spans="1:16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14.040845327284968</v>
      </c>
      <c r="H564">
        <v>9.765625E-4</v>
      </c>
      <c r="I564">
        <v>-0.62623587759980681</v>
      </c>
      <c r="J564">
        <v>-6.1155847421856134E-4</v>
      </c>
      <c r="M564">
        <v>16.849014392741964</v>
      </c>
      <c r="N564">
        <v>3.90625E-3</v>
      </c>
      <c r="O564">
        <f t="shared" si="8"/>
        <v>0.806640625</v>
      </c>
      <c r="P564">
        <v>16.849014392741964</v>
      </c>
    </row>
    <row r="565" spans="1:16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22.465352523655948</v>
      </c>
      <c r="H565">
        <v>4.8828125E-4</v>
      </c>
      <c r="I565">
        <v>-0.47291241152288888</v>
      </c>
      <c r="J565">
        <v>-2.3091426343891058E-4</v>
      </c>
      <c r="M565">
        <v>16.849014392741964</v>
      </c>
      <c r="N565">
        <v>1.953125E-3</v>
      </c>
      <c r="O565">
        <f t="shared" si="8"/>
        <v>0.80859375</v>
      </c>
      <c r="P565">
        <v>16.849014392741964</v>
      </c>
    </row>
    <row r="566" spans="1:16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2.44140625E-4</v>
      </c>
      <c r="I566">
        <v>-1</v>
      </c>
      <c r="J566">
        <v>-2.44140625E-4</v>
      </c>
      <c r="M566">
        <v>16.849014392741964</v>
      </c>
      <c r="N566">
        <v>9.765625E-4</v>
      </c>
      <c r="O566">
        <f t="shared" si="8"/>
        <v>0.8095703125</v>
      </c>
      <c r="P566">
        <v>16.849014392741964</v>
      </c>
    </row>
    <row r="567" spans="1:16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11.232676261827974</v>
      </c>
      <c r="H567">
        <v>4.8828125E-4</v>
      </c>
      <c r="I567">
        <v>-0.6876862740544476</v>
      </c>
      <c r="J567">
        <v>-3.3578431350314824E-4</v>
      </c>
      <c r="M567">
        <v>16.849014392741964</v>
      </c>
      <c r="N567">
        <v>1.953125E-3</v>
      </c>
      <c r="O567">
        <f t="shared" si="8"/>
        <v>0.8115234375</v>
      </c>
      <c r="P567">
        <v>16.849014392741964</v>
      </c>
    </row>
    <row r="568" spans="1:16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19.657183458198954</v>
      </c>
      <c r="H568">
        <v>2.44140625E-4</v>
      </c>
      <c r="I568">
        <v>-0.51931769779901749</v>
      </c>
      <c r="J568">
        <v>-1.2678654731421325E-4</v>
      </c>
      <c r="M568">
        <v>16.849014392741964</v>
      </c>
      <c r="N568">
        <v>9.765625E-4</v>
      </c>
      <c r="O568">
        <f t="shared" si="8"/>
        <v>0.8125</v>
      </c>
      <c r="P568">
        <v>16.849014392741964</v>
      </c>
    </row>
    <row r="569" spans="1:16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5.616338130913987</v>
      </c>
      <c r="H569">
        <v>4.8828125E-4</v>
      </c>
      <c r="I569">
        <v>-0.82926851746249697</v>
      </c>
      <c r="J569">
        <v>-4.0491626829223485E-4</v>
      </c>
      <c r="M569">
        <v>16.849014392741964</v>
      </c>
      <c r="N569">
        <v>4.8828125E-4</v>
      </c>
      <c r="O569">
        <f t="shared" si="8"/>
        <v>0.81298828125</v>
      </c>
      <c r="P569">
        <v>16.849014392741964</v>
      </c>
    </row>
    <row r="570" spans="1:16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16.849014392741964</v>
      </c>
      <c r="H570">
        <v>9.765625E-4</v>
      </c>
      <c r="I570">
        <v>-0.57027657696444012</v>
      </c>
      <c r="J570">
        <v>-5.5691071969183605E-4</v>
      </c>
      <c r="M570">
        <v>16.849014392741964</v>
      </c>
      <c r="N570">
        <v>9.765625E-4</v>
      </c>
      <c r="O570">
        <f t="shared" si="8"/>
        <v>0.81396484375</v>
      </c>
      <c r="P570">
        <v>16.849014392741964</v>
      </c>
    </row>
    <row r="571" spans="1:16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25.273521589112942</v>
      </c>
      <c r="H571">
        <v>4.8828125E-4</v>
      </c>
      <c r="I571">
        <v>-0.4306538173458283</v>
      </c>
      <c r="J571">
        <v>-2.1028018425089273E-4</v>
      </c>
      <c r="M571">
        <v>16.849014392741964</v>
      </c>
      <c r="N571">
        <v>4.8828125E-4</v>
      </c>
      <c r="O571">
        <f t="shared" si="8"/>
        <v>0.814453125</v>
      </c>
      <c r="P571">
        <v>16.849014392741964</v>
      </c>
    </row>
    <row r="572" spans="1:16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2.8081690654569935</v>
      </c>
      <c r="H572">
        <v>9.765625E-4</v>
      </c>
      <c r="I572">
        <v>-0.91064181622770701</v>
      </c>
      <c r="J572">
        <v>-8.8929864865987013E-4</v>
      </c>
      <c r="M572">
        <v>16.849014392741964</v>
      </c>
      <c r="N572">
        <v>9.765625E-4</v>
      </c>
      <c r="O572">
        <f t="shared" si="8"/>
        <v>0.8154296875</v>
      </c>
      <c r="P572">
        <v>16.849014392741964</v>
      </c>
    </row>
    <row r="573" spans="1:16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14.040845327284968</v>
      </c>
      <c r="H573">
        <v>1.953125E-3</v>
      </c>
      <c r="I573">
        <v>-0.62623587759980681</v>
      </c>
      <c r="J573">
        <v>-1.2231169484371227E-3</v>
      </c>
      <c r="M573">
        <v>16.849014392741964</v>
      </c>
      <c r="N573">
        <v>1.953125E-3</v>
      </c>
      <c r="O573">
        <f t="shared" si="8"/>
        <v>0.8173828125</v>
      </c>
      <c r="P573">
        <v>16.849014392741964</v>
      </c>
    </row>
    <row r="574" spans="1:16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22.465352523655948</v>
      </c>
      <c r="H574">
        <v>9.765625E-4</v>
      </c>
      <c r="I574">
        <v>-0.47291241152288888</v>
      </c>
      <c r="J574">
        <v>-4.6182852687782117E-4</v>
      </c>
      <c r="M574">
        <v>16.849014392741964</v>
      </c>
      <c r="N574">
        <v>9.765625E-4</v>
      </c>
      <c r="O574">
        <f t="shared" si="8"/>
        <v>0.818359375</v>
      </c>
      <c r="P574">
        <v>16.849014392741964</v>
      </c>
    </row>
    <row r="575" spans="1:16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4.8828125E-4</v>
      </c>
      <c r="I575">
        <v>-1</v>
      </c>
      <c r="J575">
        <v>-4.8828125E-4</v>
      </c>
      <c r="M575">
        <v>16.849014392741964</v>
      </c>
      <c r="N575">
        <v>4.8828125E-4</v>
      </c>
      <c r="O575">
        <f t="shared" si="8"/>
        <v>0.81884765625</v>
      </c>
      <c r="P575">
        <v>16.849014392741964</v>
      </c>
    </row>
    <row r="576" spans="1:16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11.232676261827974</v>
      </c>
      <c r="H576">
        <v>9.765625E-4</v>
      </c>
      <c r="I576">
        <v>-0.6876862740544476</v>
      </c>
      <c r="J576">
        <v>-6.7156862700629648E-4</v>
      </c>
      <c r="M576">
        <v>16.849014392741964</v>
      </c>
      <c r="N576">
        <v>9.765625E-4</v>
      </c>
      <c r="O576">
        <f t="shared" si="8"/>
        <v>0.81982421875</v>
      </c>
      <c r="P576">
        <v>16.849014392741964</v>
      </c>
    </row>
    <row r="577" spans="1:16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19.657183458198954</v>
      </c>
      <c r="H577">
        <v>4.8828125E-4</v>
      </c>
      <c r="I577">
        <v>-0.51931769779901749</v>
      </c>
      <c r="J577">
        <v>-2.5357309462842651E-4</v>
      </c>
      <c r="M577">
        <v>16.849014392741964</v>
      </c>
      <c r="N577">
        <v>4.8828125E-4</v>
      </c>
      <c r="O577">
        <f t="shared" si="8"/>
        <v>0.8203125</v>
      </c>
      <c r="P577">
        <v>16.849014392741964</v>
      </c>
    </row>
    <row r="578" spans="1:16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5.616338130913987</v>
      </c>
      <c r="H578">
        <v>9.765625E-4</v>
      </c>
      <c r="I578">
        <v>-0.82926851746249697</v>
      </c>
      <c r="J578">
        <v>-8.098325365844697E-4</v>
      </c>
      <c r="M578">
        <v>18.611504924183873</v>
      </c>
      <c r="N578">
        <v>9.765625E-4</v>
      </c>
      <c r="O578">
        <f t="shared" si="8"/>
        <v>0.8212890625</v>
      </c>
      <c r="P578">
        <v>18.611504924183873</v>
      </c>
    </row>
    <row r="579" spans="1:16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16.849014392741964</v>
      </c>
      <c r="H579">
        <v>1.953125E-3</v>
      </c>
      <c r="I579">
        <v>-0.57027657696444012</v>
      </c>
      <c r="J579">
        <v>-1.1138214393836721E-3</v>
      </c>
      <c r="M579">
        <v>18.611504924183873</v>
      </c>
      <c r="N579">
        <v>1.953125E-3</v>
      </c>
      <c r="O579">
        <f t="shared" si="8"/>
        <v>0.8232421875</v>
      </c>
      <c r="P579">
        <v>18.611504924183873</v>
      </c>
    </row>
    <row r="580" spans="1:16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25.273521589112942</v>
      </c>
      <c r="H580">
        <v>9.765625E-4</v>
      </c>
      <c r="I580">
        <v>-0.4306538173458283</v>
      </c>
      <c r="J580">
        <v>-4.2056036850178545E-4</v>
      </c>
      <c r="M580">
        <v>18.611504924183873</v>
      </c>
      <c r="N580">
        <v>9.765625E-4</v>
      </c>
      <c r="O580">
        <f t="shared" ref="O580:O643" si="9">N580+O579</f>
        <v>0.82421875</v>
      </c>
      <c r="P580">
        <v>18.611504924183873</v>
      </c>
    </row>
    <row r="581" spans="1:16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2.8081690654569935</v>
      </c>
      <c r="H581">
        <v>1.953125E-3</v>
      </c>
      <c r="I581">
        <v>-0.91064181622770701</v>
      </c>
      <c r="J581">
        <v>-1.7785972973197403E-3</v>
      </c>
      <c r="M581">
        <v>18.611504924183873</v>
      </c>
      <c r="N581">
        <v>1.953125E-3</v>
      </c>
      <c r="O581">
        <f t="shared" si="9"/>
        <v>0.826171875</v>
      </c>
      <c r="P581">
        <v>18.611504924183873</v>
      </c>
    </row>
    <row r="582" spans="1:16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14.040845327284968</v>
      </c>
      <c r="H582">
        <v>3.90625E-3</v>
      </c>
      <c r="I582">
        <v>-0.62623587759980681</v>
      </c>
      <c r="J582">
        <v>-2.4462338968742454E-3</v>
      </c>
      <c r="M582">
        <v>18.611504924183873</v>
      </c>
      <c r="N582">
        <v>3.90625E-3</v>
      </c>
      <c r="O582">
        <f t="shared" si="9"/>
        <v>0.830078125</v>
      </c>
      <c r="P582">
        <v>18.611504924183873</v>
      </c>
    </row>
    <row r="583" spans="1:16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22.465352523655948</v>
      </c>
      <c r="H583">
        <v>1.953125E-3</v>
      </c>
      <c r="I583">
        <v>-0.47291241152288888</v>
      </c>
      <c r="J583">
        <v>-9.2365705375564234E-4</v>
      </c>
      <c r="M583">
        <v>18.611504924183873</v>
      </c>
      <c r="N583">
        <v>1.953125E-3</v>
      </c>
      <c r="O583">
        <f t="shared" si="9"/>
        <v>0.83203125</v>
      </c>
      <c r="P583">
        <v>18.611504924183873</v>
      </c>
    </row>
    <row r="584" spans="1:16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9.765625E-4</v>
      </c>
      <c r="I584">
        <v>-1</v>
      </c>
      <c r="J584">
        <v>-9.765625E-4</v>
      </c>
      <c r="M584">
        <v>18.611504924183873</v>
      </c>
      <c r="N584">
        <v>9.765625E-4</v>
      </c>
      <c r="O584">
        <f t="shared" si="9"/>
        <v>0.8330078125</v>
      </c>
      <c r="P584">
        <v>18.611504924183873</v>
      </c>
    </row>
    <row r="585" spans="1:16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11.232676261827974</v>
      </c>
      <c r="H585">
        <v>1.953125E-3</v>
      </c>
      <c r="I585">
        <v>-0.6876862740544476</v>
      </c>
      <c r="J585">
        <v>-1.343137254012593E-3</v>
      </c>
      <c r="M585">
        <v>18.611504924183873</v>
      </c>
      <c r="N585">
        <v>1.953125E-3</v>
      </c>
      <c r="O585">
        <f t="shared" si="9"/>
        <v>0.8349609375</v>
      </c>
      <c r="P585">
        <v>18.611504924183873</v>
      </c>
    </row>
    <row r="586" spans="1:16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19.657183458198954</v>
      </c>
      <c r="H586">
        <v>9.765625E-4</v>
      </c>
      <c r="I586">
        <v>-0.51931769779901749</v>
      </c>
      <c r="J586">
        <v>-5.0714618925685301E-4</v>
      </c>
      <c r="M586">
        <v>18.611504924183873</v>
      </c>
      <c r="N586">
        <v>9.765625E-4</v>
      </c>
      <c r="O586">
        <f t="shared" si="9"/>
        <v>0.8359375</v>
      </c>
      <c r="P586">
        <v>18.611504924183873</v>
      </c>
    </row>
    <row r="587" spans="1:16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5.616338130913987</v>
      </c>
      <c r="H587">
        <v>4.8828125E-4</v>
      </c>
      <c r="I587">
        <v>-0.82926851746249697</v>
      </c>
      <c r="J587">
        <v>-4.0491626829223485E-4</v>
      </c>
      <c r="M587">
        <v>19.657183458198954</v>
      </c>
      <c r="N587">
        <v>9.765625E-4</v>
      </c>
      <c r="O587">
        <f t="shared" si="9"/>
        <v>0.8369140625</v>
      </c>
      <c r="P587">
        <v>19.657183458198954</v>
      </c>
    </row>
    <row r="588" spans="1:16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16.849014392741964</v>
      </c>
      <c r="H588">
        <v>9.765625E-4</v>
      </c>
      <c r="I588">
        <v>-0.57027657696444012</v>
      </c>
      <c r="J588">
        <v>-5.5691071969183605E-4</v>
      </c>
      <c r="M588">
        <v>19.657183458198954</v>
      </c>
      <c r="N588">
        <v>1.953125E-3</v>
      </c>
      <c r="O588">
        <f t="shared" si="9"/>
        <v>0.8388671875</v>
      </c>
      <c r="P588">
        <v>19.657183458198954</v>
      </c>
    </row>
    <row r="589" spans="1:16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25.273521589112942</v>
      </c>
      <c r="H589">
        <v>4.8828125E-4</v>
      </c>
      <c r="I589">
        <v>-0.4306538173458283</v>
      </c>
      <c r="J589">
        <v>-2.1028018425089273E-4</v>
      </c>
      <c r="M589">
        <v>19.657183458198954</v>
      </c>
      <c r="N589">
        <v>9.765625E-4</v>
      </c>
      <c r="O589">
        <f t="shared" si="9"/>
        <v>0.83984375</v>
      </c>
      <c r="P589">
        <v>19.657183458198954</v>
      </c>
    </row>
    <row r="590" spans="1:16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2.8081690654569935</v>
      </c>
      <c r="H590">
        <v>9.765625E-4</v>
      </c>
      <c r="I590">
        <v>-0.91064181622770701</v>
      </c>
      <c r="J590">
        <v>-8.8929864865987013E-4</v>
      </c>
      <c r="M590">
        <v>19.657183458198954</v>
      </c>
      <c r="N590">
        <v>1.953125E-3</v>
      </c>
      <c r="O590">
        <f t="shared" si="9"/>
        <v>0.841796875</v>
      </c>
      <c r="P590">
        <v>19.657183458198954</v>
      </c>
    </row>
    <row r="591" spans="1:16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14.040845327284968</v>
      </c>
      <c r="H591">
        <v>1.953125E-3</v>
      </c>
      <c r="I591">
        <v>-0.62623587759980681</v>
      </c>
      <c r="J591">
        <v>-1.2231169484371227E-3</v>
      </c>
      <c r="M591">
        <v>19.657183458198954</v>
      </c>
      <c r="N591">
        <v>3.90625E-3</v>
      </c>
      <c r="O591">
        <f t="shared" si="9"/>
        <v>0.845703125</v>
      </c>
      <c r="P591">
        <v>19.657183458198954</v>
      </c>
    </row>
    <row r="592" spans="1:16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22.465352523655948</v>
      </c>
      <c r="H592">
        <v>9.765625E-4</v>
      </c>
      <c r="I592">
        <v>-0.47291241152288888</v>
      </c>
      <c r="J592">
        <v>-4.6182852687782117E-4</v>
      </c>
      <c r="M592">
        <v>19.657183458198954</v>
      </c>
      <c r="N592">
        <v>1.953125E-3</v>
      </c>
      <c r="O592">
        <f t="shared" si="9"/>
        <v>0.84765625</v>
      </c>
      <c r="P592">
        <v>19.657183458198954</v>
      </c>
    </row>
    <row r="593" spans="1:16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4.8828125E-4</v>
      </c>
      <c r="I593">
        <v>-1</v>
      </c>
      <c r="J593">
        <v>-4.8828125E-4</v>
      </c>
      <c r="M593">
        <v>19.657183458198954</v>
      </c>
      <c r="N593">
        <v>9.765625E-4</v>
      </c>
      <c r="O593">
        <f t="shared" si="9"/>
        <v>0.8486328125</v>
      </c>
      <c r="P593">
        <v>19.657183458198954</v>
      </c>
    </row>
    <row r="594" spans="1:16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11.232676261827974</v>
      </c>
      <c r="H594">
        <v>9.765625E-4</v>
      </c>
      <c r="I594">
        <v>-0.6876862740544476</v>
      </c>
      <c r="J594">
        <v>-6.7156862700629648E-4</v>
      </c>
      <c r="M594">
        <v>19.657183458198954</v>
      </c>
      <c r="N594">
        <v>1.953125E-3</v>
      </c>
      <c r="O594">
        <f t="shared" si="9"/>
        <v>0.8505859375</v>
      </c>
      <c r="P594">
        <v>19.657183458198954</v>
      </c>
    </row>
    <row r="595" spans="1:16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19.657183458198954</v>
      </c>
      <c r="H595">
        <v>4.8828125E-4</v>
      </c>
      <c r="I595">
        <v>-0.51931769779901749</v>
      </c>
      <c r="J595">
        <v>-2.5357309462842651E-4</v>
      </c>
      <c r="M595">
        <v>19.657183458198954</v>
      </c>
      <c r="N595">
        <v>9.765625E-4</v>
      </c>
      <c r="O595">
        <f t="shared" si="9"/>
        <v>0.8515625</v>
      </c>
      <c r="P595">
        <v>19.657183458198954</v>
      </c>
    </row>
    <row r="596" spans="1:16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5.616338130913987</v>
      </c>
      <c r="H596">
        <v>9.765625E-4</v>
      </c>
      <c r="I596">
        <v>-0.82926851746249697</v>
      </c>
      <c r="J596">
        <v>-8.098325365844697E-4</v>
      </c>
      <c r="M596">
        <v>19.657183458198954</v>
      </c>
      <c r="N596">
        <v>4.8828125E-4</v>
      </c>
      <c r="O596">
        <f t="shared" si="9"/>
        <v>0.85205078125</v>
      </c>
      <c r="P596">
        <v>19.657183458198954</v>
      </c>
    </row>
    <row r="597" spans="1:16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16.849014392741964</v>
      </c>
      <c r="H597">
        <v>1.953125E-3</v>
      </c>
      <c r="I597">
        <v>-0.57027657696444012</v>
      </c>
      <c r="J597">
        <v>-1.1138214393836721E-3</v>
      </c>
      <c r="M597">
        <v>19.657183458198954</v>
      </c>
      <c r="N597">
        <v>9.765625E-4</v>
      </c>
      <c r="O597">
        <f t="shared" si="9"/>
        <v>0.85302734375</v>
      </c>
      <c r="P597">
        <v>19.657183458198954</v>
      </c>
    </row>
    <row r="598" spans="1:16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25.273521589112942</v>
      </c>
      <c r="H598">
        <v>9.765625E-4</v>
      </c>
      <c r="I598">
        <v>-0.4306538173458283</v>
      </c>
      <c r="J598">
        <v>-4.2056036850178545E-4</v>
      </c>
      <c r="M598">
        <v>19.657183458198954</v>
      </c>
      <c r="N598">
        <v>4.8828125E-4</v>
      </c>
      <c r="O598">
        <f t="shared" si="9"/>
        <v>0.853515625</v>
      </c>
      <c r="P598">
        <v>19.657183458198954</v>
      </c>
    </row>
    <row r="599" spans="1:16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2.8081690654569935</v>
      </c>
      <c r="H599">
        <v>1.953125E-3</v>
      </c>
      <c r="I599">
        <v>-0.91064181622770701</v>
      </c>
      <c r="J599">
        <v>-1.7785972973197403E-3</v>
      </c>
      <c r="M599">
        <v>19.657183458198954</v>
      </c>
      <c r="N599">
        <v>9.765625E-4</v>
      </c>
      <c r="O599">
        <f t="shared" si="9"/>
        <v>0.8544921875</v>
      </c>
      <c r="P599">
        <v>19.657183458198954</v>
      </c>
    </row>
    <row r="600" spans="1:16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14.040845327284968</v>
      </c>
      <c r="H600">
        <v>3.90625E-3</v>
      </c>
      <c r="I600">
        <v>-0.62623587759980681</v>
      </c>
      <c r="J600">
        <v>-2.4462338968742454E-3</v>
      </c>
      <c r="M600">
        <v>19.657183458198954</v>
      </c>
      <c r="N600">
        <v>1.953125E-3</v>
      </c>
      <c r="O600">
        <f t="shared" si="9"/>
        <v>0.8564453125</v>
      </c>
      <c r="P600">
        <v>19.657183458198954</v>
      </c>
    </row>
    <row r="601" spans="1:16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22.465352523655948</v>
      </c>
      <c r="H601">
        <v>1.953125E-3</v>
      </c>
      <c r="I601">
        <v>-0.47291241152288888</v>
      </c>
      <c r="J601">
        <v>-9.2365705375564234E-4</v>
      </c>
      <c r="M601">
        <v>19.657183458198954</v>
      </c>
      <c r="N601">
        <v>9.765625E-4</v>
      </c>
      <c r="O601">
        <f t="shared" si="9"/>
        <v>0.857421875</v>
      </c>
      <c r="P601">
        <v>19.657183458198954</v>
      </c>
    </row>
    <row r="602" spans="1:16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9.765625E-4</v>
      </c>
      <c r="I602">
        <v>-1</v>
      </c>
      <c r="J602">
        <v>-9.765625E-4</v>
      </c>
      <c r="M602">
        <v>19.657183458198954</v>
      </c>
      <c r="N602">
        <v>4.8828125E-4</v>
      </c>
      <c r="O602">
        <f t="shared" si="9"/>
        <v>0.85791015625</v>
      </c>
      <c r="P602">
        <v>19.657183458198954</v>
      </c>
    </row>
    <row r="603" spans="1:16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11.232676261827974</v>
      </c>
      <c r="H603">
        <v>1.953125E-3</v>
      </c>
      <c r="I603">
        <v>-0.6876862740544476</v>
      </c>
      <c r="J603">
        <v>-1.343137254012593E-3</v>
      </c>
      <c r="M603">
        <v>19.657183458198954</v>
      </c>
      <c r="N603">
        <v>9.765625E-4</v>
      </c>
      <c r="O603">
        <f t="shared" si="9"/>
        <v>0.85888671875</v>
      </c>
      <c r="P603">
        <v>19.657183458198954</v>
      </c>
    </row>
    <row r="604" spans="1:16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19.657183458198954</v>
      </c>
      <c r="H604">
        <v>9.765625E-4</v>
      </c>
      <c r="I604">
        <v>-0.51931769779901749</v>
      </c>
      <c r="J604">
        <v>-5.0714618925685301E-4</v>
      </c>
      <c r="M604">
        <v>19.657183458198954</v>
      </c>
      <c r="N604">
        <v>4.8828125E-4</v>
      </c>
      <c r="O604">
        <f t="shared" si="9"/>
        <v>0.859375</v>
      </c>
      <c r="P604">
        <v>19.657183458198954</v>
      </c>
    </row>
    <row r="605" spans="1:16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5.616338130913987</v>
      </c>
      <c r="H605">
        <v>1.953125E-3</v>
      </c>
      <c r="I605">
        <v>-0.82926851746249697</v>
      </c>
      <c r="J605">
        <v>-1.6196650731689394E-3</v>
      </c>
      <c r="M605">
        <v>19.657183458198954</v>
      </c>
      <c r="N605">
        <v>2.44140625E-4</v>
      </c>
      <c r="O605">
        <f t="shared" si="9"/>
        <v>0.859619140625</v>
      </c>
      <c r="P605">
        <v>19.657183458198954</v>
      </c>
    </row>
    <row r="606" spans="1:16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16.849014392741964</v>
      </c>
      <c r="H606">
        <v>3.90625E-3</v>
      </c>
      <c r="I606">
        <v>-0.57027657696444012</v>
      </c>
      <c r="J606">
        <v>-2.2276428787673442E-3</v>
      </c>
      <c r="M606">
        <v>19.657183458198954</v>
      </c>
      <c r="N606">
        <v>4.8828125E-4</v>
      </c>
      <c r="O606">
        <f t="shared" si="9"/>
        <v>0.860107421875</v>
      </c>
      <c r="P606">
        <v>19.657183458198954</v>
      </c>
    </row>
    <row r="607" spans="1:16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16.849014392741964</v>
      </c>
      <c r="H607">
        <v>1.953125E-3</v>
      </c>
      <c r="I607">
        <v>-0.57027657696444012</v>
      </c>
      <c r="J607">
        <v>-1.1138214393836721E-3</v>
      </c>
      <c r="M607">
        <v>19.657183458198954</v>
      </c>
      <c r="N607">
        <v>2.44140625E-4</v>
      </c>
      <c r="O607">
        <f t="shared" si="9"/>
        <v>0.8603515625</v>
      </c>
      <c r="P607">
        <v>19.657183458198954</v>
      </c>
    </row>
    <row r="608" spans="1:16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2.8081690654569935</v>
      </c>
      <c r="H608">
        <v>3.90625E-3</v>
      </c>
      <c r="I608">
        <v>-0.91064181622770701</v>
      </c>
      <c r="J608">
        <v>-3.5571945946394805E-3</v>
      </c>
      <c r="M608">
        <v>19.657183458198954</v>
      </c>
      <c r="N608">
        <v>4.8828125E-4</v>
      </c>
      <c r="O608">
        <f t="shared" si="9"/>
        <v>0.86083984375</v>
      </c>
      <c r="P608">
        <v>19.657183458198954</v>
      </c>
    </row>
    <row r="609" spans="1:16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14.040845327284968</v>
      </c>
      <c r="H609">
        <v>7.8125E-3</v>
      </c>
      <c r="I609">
        <v>-0.62623587759980681</v>
      </c>
      <c r="J609">
        <v>-4.8924677937484907E-3</v>
      </c>
      <c r="M609">
        <v>19.657183458198954</v>
      </c>
      <c r="N609">
        <v>9.765625E-4</v>
      </c>
      <c r="O609">
        <f t="shared" si="9"/>
        <v>0.86181640625</v>
      </c>
      <c r="P609">
        <v>19.657183458198954</v>
      </c>
    </row>
    <row r="610" spans="1:16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22.465352523655948</v>
      </c>
      <c r="H610">
        <v>3.90625E-3</v>
      </c>
      <c r="I610">
        <v>-0.47291241152288888</v>
      </c>
      <c r="J610">
        <v>-1.8473141075112847E-3</v>
      </c>
      <c r="M610">
        <v>19.657183458198954</v>
      </c>
      <c r="N610">
        <v>4.8828125E-4</v>
      </c>
      <c r="O610">
        <f t="shared" si="9"/>
        <v>0.8623046875</v>
      </c>
      <c r="P610">
        <v>19.657183458198954</v>
      </c>
    </row>
    <row r="611" spans="1:16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1.953125E-3</v>
      </c>
      <c r="I611">
        <v>-1</v>
      </c>
      <c r="J611">
        <v>-1.953125E-3</v>
      </c>
      <c r="M611">
        <v>19.657183458198954</v>
      </c>
      <c r="N611">
        <v>2.44140625E-4</v>
      </c>
      <c r="O611">
        <f t="shared" si="9"/>
        <v>0.862548828125</v>
      </c>
      <c r="P611">
        <v>19.657183458198954</v>
      </c>
    </row>
    <row r="612" spans="1:16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11.232676261827974</v>
      </c>
      <c r="H612">
        <v>3.90625E-3</v>
      </c>
      <c r="I612">
        <v>-0.6876862740544476</v>
      </c>
      <c r="J612">
        <v>-2.6862745080251859E-3</v>
      </c>
      <c r="M612">
        <v>19.657183458198954</v>
      </c>
      <c r="N612">
        <v>4.8828125E-4</v>
      </c>
      <c r="O612">
        <f t="shared" si="9"/>
        <v>0.863037109375</v>
      </c>
      <c r="P612">
        <v>19.657183458198954</v>
      </c>
    </row>
    <row r="613" spans="1:16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19.657183458198954</v>
      </c>
      <c r="H613">
        <v>1.953125E-3</v>
      </c>
      <c r="I613">
        <v>-0.51931769779901749</v>
      </c>
      <c r="J613">
        <v>-1.014292378513706E-3</v>
      </c>
      <c r="M613">
        <v>19.657183458198954</v>
      </c>
      <c r="N613">
        <v>2.44140625E-4</v>
      </c>
      <c r="O613">
        <f t="shared" si="9"/>
        <v>0.86328125</v>
      </c>
      <c r="P613">
        <v>19.657183458198954</v>
      </c>
    </row>
    <row r="614" spans="1:16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5.616338130913987</v>
      </c>
      <c r="H614">
        <v>9.765625E-4</v>
      </c>
      <c r="I614">
        <v>-0.82926851746249697</v>
      </c>
      <c r="J614">
        <v>-8.098325365844697E-4</v>
      </c>
      <c r="M614">
        <v>19.657183458198954</v>
      </c>
      <c r="N614">
        <v>4.8828125E-4</v>
      </c>
      <c r="O614">
        <f t="shared" si="9"/>
        <v>0.86376953125</v>
      </c>
      <c r="P614">
        <v>19.657183458198954</v>
      </c>
    </row>
    <row r="615" spans="1:16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16.849014392741964</v>
      </c>
      <c r="H615">
        <v>1.953125E-3</v>
      </c>
      <c r="I615">
        <v>-0.57027657696444012</v>
      </c>
      <c r="J615">
        <v>-1.1138214393836721E-3</v>
      </c>
      <c r="M615">
        <v>19.657183458198954</v>
      </c>
      <c r="N615">
        <v>9.765625E-4</v>
      </c>
      <c r="O615">
        <f t="shared" si="9"/>
        <v>0.86474609375</v>
      </c>
      <c r="P615">
        <v>19.657183458198954</v>
      </c>
    </row>
    <row r="616" spans="1:16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25.273521589112942</v>
      </c>
      <c r="H616">
        <v>9.765625E-4</v>
      </c>
      <c r="I616">
        <v>-0.4306538173458283</v>
      </c>
      <c r="J616">
        <v>-4.2056036850178545E-4</v>
      </c>
      <c r="M616">
        <v>19.657183458198954</v>
      </c>
      <c r="N616">
        <v>4.8828125E-4</v>
      </c>
      <c r="O616">
        <f t="shared" si="9"/>
        <v>0.865234375</v>
      </c>
      <c r="P616">
        <v>19.657183458198954</v>
      </c>
    </row>
    <row r="617" spans="1:16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2.8081690654569935</v>
      </c>
      <c r="H617">
        <v>1.953125E-3</v>
      </c>
      <c r="I617">
        <v>-0.91064181622770701</v>
      </c>
      <c r="J617">
        <v>-1.7785972973197403E-3</v>
      </c>
      <c r="M617">
        <v>19.657183458198954</v>
      </c>
      <c r="N617">
        <v>9.765625E-4</v>
      </c>
      <c r="O617">
        <f t="shared" si="9"/>
        <v>0.8662109375</v>
      </c>
      <c r="P617">
        <v>19.657183458198954</v>
      </c>
    </row>
    <row r="618" spans="1:16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14.040845327284968</v>
      </c>
      <c r="H618">
        <v>3.90625E-3</v>
      </c>
      <c r="I618">
        <v>-0.62623587759980681</v>
      </c>
      <c r="J618">
        <v>-2.4462338968742454E-3</v>
      </c>
      <c r="M618">
        <v>19.657183458198954</v>
      </c>
      <c r="N618">
        <v>1.953125E-3</v>
      </c>
      <c r="O618">
        <f t="shared" si="9"/>
        <v>0.8681640625</v>
      </c>
      <c r="P618">
        <v>19.657183458198954</v>
      </c>
    </row>
    <row r="619" spans="1:16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22.465352523655948</v>
      </c>
      <c r="H619">
        <v>1.953125E-3</v>
      </c>
      <c r="I619">
        <v>-0.47291241152288888</v>
      </c>
      <c r="J619">
        <v>-9.2365705375564234E-4</v>
      </c>
      <c r="M619">
        <v>19.657183458198954</v>
      </c>
      <c r="N619">
        <v>9.765625E-4</v>
      </c>
      <c r="O619">
        <f t="shared" si="9"/>
        <v>0.869140625</v>
      </c>
      <c r="P619">
        <v>19.657183458198954</v>
      </c>
    </row>
    <row r="620" spans="1:16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9.765625E-4</v>
      </c>
      <c r="I620">
        <v>-1</v>
      </c>
      <c r="J620">
        <v>-9.765625E-4</v>
      </c>
      <c r="M620">
        <v>19.657183458198954</v>
      </c>
      <c r="N620">
        <v>4.8828125E-4</v>
      </c>
      <c r="O620">
        <f t="shared" si="9"/>
        <v>0.86962890625</v>
      </c>
      <c r="P620">
        <v>19.657183458198954</v>
      </c>
    </row>
    <row r="621" spans="1:16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11.232676261827974</v>
      </c>
      <c r="H621">
        <v>1.953125E-3</v>
      </c>
      <c r="I621">
        <v>-0.6876862740544476</v>
      </c>
      <c r="J621">
        <v>-1.343137254012593E-3</v>
      </c>
      <c r="M621">
        <v>19.657183458198954</v>
      </c>
      <c r="N621">
        <v>9.765625E-4</v>
      </c>
      <c r="O621">
        <f t="shared" si="9"/>
        <v>0.87060546875</v>
      </c>
      <c r="P621">
        <v>19.657183458198954</v>
      </c>
    </row>
    <row r="622" spans="1:16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19.657183458198954</v>
      </c>
      <c r="H622">
        <v>9.765625E-4</v>
      </c>
      <c r="I622">
        <v>-0.51931769779901749</v>
      </c>
      <c r="J622">
        <v>-5.0714618925685301E-4</v>
      </c>
      <c r="M622">
        <v>19.657183458198954</v>
      </c>
      <c r="N622">
        <v>4.8828125E-4</v>
      </c>
      <c r="O622">
        <f t="shared" si="9"/>
        <v>0.87109375</v>
      </c>
      <c r="P622">
        <v>19.657183458198954</v>
      </c>
    </row>
    <row r="623" spans="1:16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5.616338130913987</v>
      </c>
      <c r="H623">
        <v>4.8828125E-4</v>
      </c>
      <c r="I623">
        <v>-0.82926851746249697</v>
      </c>
      <c r="J623">
        <v>-4.0491626829223485E-4</v>
      </c>
      <c r="M623">
        <v>19.657183458198954</v>
      </c>
      <c r="N623">
        <v>2.44140625E-4</v>
      </c>
      <c r="O623">
        <f t="shared" si="9"/>
        <v>0.871337890625</v>
      </c>
      <c r="P623">
        <v>19.657183458198954</v>
      </c>
    </row>
    <row r="624" spans="1:16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16.849014392741964</v>
      </c>
      <c r="H624">
        <v>9.765625E-4</v>
      </c>
      <c r="I624">
        <v>-0.57027657696444012</v>
      </c>
      <c r="J624">
        <v>-5.5691071969183605E-4</v>
      </c>
      <c r="M624">
        <v>19.657183458198954</v>
      </c>
      <c r="N624">
        <v>4.8828125E-4</v>
      </c>
      <c r="O624">
        <f t="shared" si="9"/>
        <v>0.871826171875</v>
      </c>
      <c r="P624">
        <v>19.657183458198954</v>
      </c>
    </row>
    <row r="625" spans="1:16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25.273521589112942</v>
      </c>
      <c r="H625">
        <v>4.8828125E-4</v>
      </c>
      <c r="I625">
        <v>-0.4306538173458283</v>
      </c>
      <c r="J625">
        <v>-2.1028018425089273E-4</v>
      </c>
      <c r="M625">
        <v>19.657183458198954</v>
      </c>
      <c r="N625">
        <v>2.44140625E-4</v>
      </c>
      <c r="O625">
        <f t="shared" si="9"/>
        <v>0.8720703125</v>
      </c>
      <c r="P625">
        <v>19.657183458198954</v>
      </c>
    </row>
    <row r="626" spans="1:16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2.8081690654569935</v>
      </c>
      <c r="H626">
        <v>9.765625E-4</v>
      </c>
      <c r="I626">
        <v>-0.91064181622770701</v>
      </c>
      <c r="J626">
        <v>-8.8929864865987013E-4</v>
      </c>
      <c r="M626">
        <v>19.657183458198954</v>
      </c>
      <c r="N626">
        <v>4.8828125E-4</v>
      </c>
      <c r="O626">
        <f t="shared" si="9"/>
        <v>0.87255859375</v>
      </c>
      <c r="P626">
        <v>19.657183458198954</v>
      </c>
    </row>
    <row r="627" spans="1:16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14.040845327284968</v>
      </c>
      <c r="H627">
        <v>1.953125E-3</v>
      </c>
      <c r="I627">
        <v>-0.62623587759980681</v>
      </c>
      <c r="J627">
        <v>-1.2231169484371227E-3</v>
      </c>
      <c r="M627">
        <v>19.657183458198954</v>
      </c>
      <c r="N627">
        <v>9.765625E-4</v>
      </c>
      <c r="O627">
        <f t="shared" si="9"/>
        <v>0.87353515625</v>
      </c>
      <c r="P627">
        <v>19.657183458198954</v>
      </c>
    </row>
    <row r="628" spans="1:16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22.465352523655948</v>
      </c>
      <c r="H628">
        <v>9.765625E-4</v>
      </c>
      <c r="I628">
        <v>-0.47291241152288888</v>
      </c>
      <c r="J628">
        <v>-4.6182852687782117E-4</v>
      </c>
      <c r="M628">
        <v>19.657183458198954</v>
      </c>
      <c r="N628">
        <v>4.8828125E-4</v>
      </c>
      <c r="O628">
        <f t="shared" si="9"/>
        <v>0.8740234375</v>
      </c>
      <c r="P628">
        <v>19.657183458198954</v>
      </c>
    </row>
    <row r="629" spans="1:16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4.8828125E-4</v>
      </c>
      <c r="I629">
        <v>-1</v>
      </c>
      <c r="J629">
        <v>-4.8828125E-4</v>
      </c>
      <c r="M629">
        <v>19.657183458198954</v>
      </c>
      <c r="N629">
        <v>2.44140625E-4</v>
      </c>
      <c r="O629">
        <f t="shared" si="9"/>
        <v>0.874267578125</v>
      </c>
      <c r="P629">
        <v>19.657183458198954</v>
      </c>
    </row>
    <row r="630" spans="1:16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11.232676261827974</v>
      </c>
      <c r="H630">
        <v>9.765625E-4</v>
      </c>
      <c r="I630">
        <v>-0.6876862740544476</v>
      </c>
      <c r="J630">
        <v>-6.7156862700629648E-4</v>
      </c>
      <c r="M630">
        <v>19.657183458198954</v>
      </c>
      <c r="N630">
        <v>4.8828125E-4</v>
      </c>
      <c r="O630">
        <f t="shared" si="9"/>
        <v>0.874755859375</v>
      </c>
      <c r="P630">
        <v>19.657183458198954</v>
      </c>
    </row>
    <row r="631" spans="1:16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19.657183458198954</v>
      </c>
      <c r="H631">
        <v>4.8828125E-4</v>
      </c>
      <c r="I631">
        <v>-0.51931769779901749</v>
      </c>
      <c r="J631">
        <v>-2.5357309462842651E-4</v>
      </c>
      <c r="M631">
        <v>19.657183458198954</v>
      </c>
      <c r="N631">
        <v>2.44140625E-4</v>
      </c>
      <c r="O631">
        <f t="shared" si="9"/>
        <v>0.875</v>
      </c>
      <c r="P631">
        <v>19.657183458198954</v>
      </c>
    </row>
    <row r="632" spans="1:16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5.616338130913987</v>
      </c>
      <c r="H632">
        <v>9.765625E-4</v>
      </c>
      <c r="I632">
        <v>-0.82926851746249697</v>
      </c>
      <c r="J632">
        <v>-8.098325365844697E-4</v>
      </c>
      <c r="M632">
        <v>20.937943039706855</v>
      </c>
      <c r="N632">
        <v>4.8828125E-4</v>
      </c>
      <c r="O632">
        <f t="shared" si="9"/>
        <v>0.87548828125</v>
      </c>
      <c r="P632">
        <v>20.937943039706855</v>
      </c>
    </row>
    <row r="633" spans="1:16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16.849014392741964</v>
      </c>
      <c r="H633">
        <v>1.953125E-3</v>
      </c>
      <c r="I633">
        <v>-0.57027657696444012</v>
      </c>
      <c r="J633">
        <v>-1.1138214393836721E-3</v>
      </c>
      <c r="M633">
        <v>20.937943039706855</v>
      </c>
      <c r="N633">
        <v>9.765625E-4</v>
      </c>
      <c r="O633">
        <f t="shared" si="9"/>
        <v>0.87646484375</v>
      </c>
      <c r="P633">
        <v>20.937943039706855</v>
      </c>
    </row>
    <row r="634" spans="1:16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25.273521589112942</v>
      </c>
      <c r="H634">
        <v>9.765625E-4</v>
      </c>
      <c r="I634">
        <v>-0.4306538173458283</v>
      </c>
      <c r="J634">
        <v>-4.2056036850178545E-4</v>
      </c>
      <c r="M634">
        <v>20.937943039706855</v>
      </c>
      <c r="N634">
        <v>4.8828125E-4</v>
      </c>
      <c r="O634">
        <f t="shared" si="9"/>
        <v>0.876953125</v>
      </c>
      <c r="P634">
        <v>20.937943039706855</v>
      </c>
    </row>
    <row r="635" spans="1:16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2.8081690654569935</v>
      </c>
      <c r="H635">
        <v>1.953125E-3</v>
      </c>
      <c r="I635">
        <v>-0.91064181622770701</v>
      </c>
      <c r="J635">
        <v>-1.7785972973197403E-3</v>
      </c>
      <c r="M635">
        <v>20.937943039706855</v>
      </c>
      <c r="N635">
        <v>9.765625E-4</v>
      </c>
      <c r="O635">
        <f t="shared" si="9"/>
        <v>0.8779296875</v>
      </c>
      <c r="P635">
        <v>20.937943039706855</v>
      </c>
    </row>
    <row r="636" spans="1:16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14.040845327284968</v>
      </c>
      <c r="H636">
        <v>3.90625E-3</v>
      </c>
      <c r="I636">
        <v>-0.62623587759980681</v>
      </c>
      <c r="J636">
        <v>-2.4462338968742454E-3</v>
      </c>
      <c r="M636">
        <v>20.937943039706855</v>
      </c>
      <c r="N636">
        <v>1.953125E-3</v>
      </c>
      <c r="O636">
        <f t="shared" si="9"/>
        <v>0.8798828125</v>
      </c>
      <c r="P636">
        <v>20.937943039706855</v>
      </c>
    </row>
    <row r="637" spans="1:16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14.040845327284968</v>
      </c>
      <c r="H637">
        <v>1.953125E-3</v>
      </c>
      <c r="I637">
        <v>-0.62623587759980681</v>
      </c>
      <c r="J637">
        <v>-1.2231169484371227E-3</v>
      </c>
      <c r="M637">
        <v>20.937943039706855</v>
      </c>
      <c r="N637">
        <v>9.765625E-4</v>
      </c>
      <c r="O637">
        <f t="shared" si="9"/>
        <v>0.880859375</v>
      </c>
      <c r="P637">
        <v>20.937943039706855</v>
      </c>
    </row>
    <row r="638" spans="1:16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9.765625E-4</v>
      </c>
      <c r="I638">
        <v>-1</v>
      </c>
      <c r="J638">
        <v>-9.765625E-4</v>
      </c>
      <c r="M638">
        <v>20.937943039706855</v>
      </c>
      <c r="N638">
        <v>4.8828125E-4</v>
      </c>
      <c r="O638">
        <f t="shared" si="9"/>
        <v>0.88134765625</v>
      </c>
      <c r="P638">
        <v>20.937943039706855</v>
      </c>
    </row>
    <row r="639" spans="1:16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11.232676261827974</v>
      </c>
      <c r="H639">
        <v>1.953125E-3</v>
      </c>
      <c r="I639">
        <v>-0.6876862740544476</v>
      </c>
      <c r="J639">
        <v>-1.343137254012593E-3</v>
      </c>
      <c r="M639">
        <v>20.937943039706855</v>
      </c>
      <c r="N639">
        <v>9.765625E-4</v>
      </c>
      <c r="O639">
        <f t="shared" si="9"/>
        <v>0.88232421875</v>
      </c>
      <c r="P639">
        <v>20.937943039706855</v>
      </c>
    </row>
    <row r="640" spans="1:16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19.657183458198954</v>
      </c>
      <c r="H640">
        <v>9.765625E-4</v>
      </c>
      <c r="I640">
        <v>-0.51931769779901749</v>
      </c>
      <c r="J640">
        <v>-5.0714618925685301E-4</v>
      </c>
      <c r="M640">
        <v>20.937943039706855</v>
      </c>
      <c r="N640">
        <v>4.8828125E-4</v>
      </c>
      <c r="O640">
        <f t="shared" si="9"/>
        <v>0.8828125</v>
      </c>
      <c r="P640">
        <v>20.937943039706855</v>
      </c>
    </row>
    <row r="641" spans="1:16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5.616338130913987</v>
      </c>
      <c r="H641">
        <v>4.8828125E-4</v>
      </c>
      <c r="I641">
        <v>-0.82926851746249697</v>
      </c>
      <c r="J641">
        <v>-4.0491626829223485E-4</v>
      </c>
      <c r="M641">
        <v>22.465352523655948</v>
      </c>
      <c r="N641">
        <v>1.953125E-3</v>
      </c>
      <c r="O641">
        <f t="shared" si="9"/>
        <v>0.884765625</v>
      </c>
      <c r="P641">
        <v>22.465352523655948</v>
      </c>
    </row>
    <row r="642" spans="1:16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16.849014392741964</v>
      </c>
      <c r="H642">
        <v>9.765625E-4</v>
      </c>
      <c r="I642">
        <v>-0.57027657696444012</v>
      </c>
      <c r="J642">
        <v>-5.5691071969183605E-4</v>
      </c>
      <c r="M642">
        <v>22.465352523655948</v>
      </c>
      <c r="N642">
        <v>3.90625E-3</v>
      </c>
      <c r="O642">
        <f t="shared" si="9"/>
        <v>0.888671875</v>
      </c>
      <c r="P642">
        <v>22.465352523655948</v>
      </c>
    </row>
    <row r="643" spans="1:16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25.273521589112942</v>
      </c>
      <c r="H643">
        <v>4.8828125E-4</v>
      </c>
      <c r="I643">
        <v>-0.4306538173458283</v>
      </c>
      <c r="J643">
        <v>-2.1028018425089273E-4</v>
      </c>
      <c r="M643">
        <v>22.465352523655948</v>
      </c>
      <c r="N643">
        <v>1.953125E-3</v>
      </c>
      <c r="O643">
        <f t="shared" si="9"/>
        <v>0.890625</v>
      </c>
      <c r="P643">
        <v>22.465352523655948</v>
      </c>
    </row>
    <row r="644" spans="1:16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2.8081690654569935</v>
      </c>
      <c r="H644">
        <v>9.765625E-4</v>
      </c>
      <c r="I644">
        <v>-0.91064181622770701</v>
      </c>
      <c r="J644">
        <v>-8.8929864865987013E-4</v>
      </c>
      <c r="M644">
        <v>22.465352523655948</v>
      </c>
      <c r="N644">
        <v>3.90625E-3</v>
      </c>
      <c r="O644">
        <f t="shared" ref="O644:O707" si="10">N644+O643</f>
        <v>0.89453125</v>
      </c>
      <c r="P644">
        <v>22.465352523655948</v>
      </c>
    </row>
    <row r="645" spans="1:16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14.040845327284968</v>
      </c>
      <c r="H645">
        <v>1.953125E-3</v>
      </c>
      <c r="I645">
        <v>-0.62623587759980681</v>
      </c>
      <c r="J645">
        <v>-1.2231169484371227E-3</v>
      </c>
      <c r="M645">
        <v>22.465352523655948</v>
      </c>
      <c r="N645">
        <v>7.8125E-3</v>
      </c>
      <c r="O645">
        <f t="shared" si="10"/>
        <v>0.90234375</v>
      </c>
      <c r="P645">
        <v>22.465352523655948</v>
      </c>
    </row>
    <row r="646" spans="1:16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22.465352523655948</v>
      </c>
      <c r="H646">
        <v>9.765625E-4</v>
      </c>
      <c r="I646">
        <v>-0.47291241152288888</v>
      </c>
      <c r="J646">
        <v>-4.6182852687782117E-4</v>
      </c>
      <c r="M646">
        <v>22.465352523655948</v>
      </c>
      <c r="N646">
        <v>3.90625E-3</v>
      </c>
      <c r="O646">
        <f t="shared" si="10"/>
        <v>0.90625</v>
      </c>
      <c r="P646">
        <v>22.465352523655948</v>
      </c>
    </row>
    <row r="647" spans="1:16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4.8828125E-4</v>
      </c>
      <c r="I647">
        <v>-1</v>
      </c>
      <c r="J647">
        <v>-4.8828125E-4</v>
      </c>
      <c r="M647">
        <v>22.465352523655948</v>
      </c>
      <c r="N647">
        <v>1.953125E-3</v>
      </c>
      <c r="O647">
        <f t="shared" si="10"/>
        <v>0.908203125</v>
      </c>
      <c r="P647">
        <v>22.465352523655948</v>
      </c>
    </row>
    <row r="648" spans="1:16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11.232676261827974</v>
      </c>
      <c r="H648">
        <v>9.765625E-4</v>
      </c>
      <c r="I648">
        <v>-0.6876862740544476</v>
      </c>
      <c r="J648">
        <v>-6.7156862700629648E-4</v>
      </c>
      <c r="M648">
        <v>22.465352523655948</v>
      </c>
      <c r="N648">
        <v>3.90625E-3</v>
      </c>
      <c r="O648">
        <f t="shared" si="10"/>
        <v>0.912109375</v>
      </c>
      <c r="P648">
        <v>22.465352523655948</v>
      </c>
    </row>
    <row r="649" spans="1:16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19.657183458198954</v>
      </c>
      <c r="H649">
        <v>4.8828125E-4</v>
      </c>
      <c r="I649">
        <v>-0.51931769779901749</v>
      </c>
      <c r="J649">
        <v>-2.5357309462842651E-4</v>
      </c>
      <c r="M649">
        <v>22.465352523655948</v>
      </c>
      <c r="N649">
        <v>1.953125E-3</v>
      </c>
      <c r="O649">
        <f t="shared" si="10"/>
        <v>0.9140625</v>
      </c>
      <c r="P649">
        <v>22.465352523655948</v>
      </c>
    </row>
    <row r="650" spans="1:16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5.616338130913987</v>
      </c>
      <c r="H650">
        <v>2.44140625E-4</v>
      </c>
      <c r="I650">
        <v>-0.82926851746249697</v>
      </c>
      <c r="J650">
        <v>-2.0245813414611742E-4</v>
      </c>
      <c r="M650">
        <v>22.465352523655948</v>
      </c>
      <c r="N650">
        <v>9.765625E-4</v>
      </c>
      <c r="O650">
        <f t="shared" si="10"/>
        <v>0.9150390625</v>
      </c>
      <c r="P650">
        <v>22.465352523655948</v>
      </c>
    </row>
    <row r="651" spans="1:16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16.849014392741964</v>
      </c>
      <c r="H651">
        <v>4.8828125E-4</v>
      </c>
      <c r="I651">
        <v>-0.57027657696444012</v>
      </c>
      <c r="J651">
        <v>-2.7845535984591803E-4</v>
      </c>
      <c r="M651">
        <v>22.465352523655948</v>
      </c>
      <c r="N651">
        <v>1.953125E-3</v>
      </c>
      <c r="O651">
        <f t="shared" si="10"/>
        <v>0.9169921875</v>
      </c>
      <c r="P651">
        <v>22.465352523655948</v>
      </c>
    </row>
    <row r="652" spans="1:16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25.273521589112942</v>
      </c>
      <c r="H652">
        <v>2.44140625E-4</v>
      </c>
      <c r="I652">
        <v>-0.4306538173458283</v>
      </c>
      <c r="J652">
        <v>-1.0514009212544636E-4</v>
      </c>
      <c r="M652">
        <v>22.465352523655948</v>
      </c>
      <c r="N652">
        <v>9.765625E-4</v>
      </c>
      <c r="O652">
        <f t="shared" si="10"/>
        <v>0.91796875</v>
      </c>
      <c r="P652">
        <v>22.465352523655948</v>
      </c>
    </row>
    <row r="653" spans="1:16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2.8081690654569935</v>
      </c>
      <c r="H653">
        <v>4.8828125E-4</v>
      </c>
      <c r="I653">
        <v>-0.91064181622770701</v>
      </c>
      <c r="J653">
        <v>-4.4464932432993506E-4</v>
      </c>
      <c r="M653">
        <v>22.465352523655948</v>
      </c>
      <c r="N653">
        <v>1.953125E-3</v>
      </c>
      <c r="O653">
        <f t="shared" si="10"/>
        <v>0.919921875</v>
      </c>
      <c r="P653">
        <v>22.465352523655948</v>
      </c>
    </row>
    <row r="654" spans="1:16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14.040845327284968</v>
      </c>
      <c r="H654">
        <v>9.765625E-4</v>
      </c>
      <c r="I654">
        <v>-0.62623587759980681</v>
      </c>
      <c r="J654">
        <v>-6.1155847421856134E-4</v>
      </c>
      <c r="M654">
        <v>22.465352523655948</v>
      </c>
      <c r="N654">
        <v>3.90625E-3</v>
      </c>
      <c r="O654">
        <f t="shared" si="10"/>
        <v>0.923828125</v>
      </c>
      <c r="P654">
        <v>22.465352523655948</v>
      </c>
    </row>
    <row r="655" spans="1:16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22.465352523655948</v>
      </c>
      <c r="H655">
        <v>4.8828125E-4</v>
      </c>
      <c r="I655">
        <v>-0.47291241152288888</v>
      </c>
      <c r="J655">
        <v>-2.3091426343891058E-4</v>
      </c>
      <c r="M655">
        <v>22.465352523655948</v>
      </c>
      <c r="N655">
        <v>1.953125E-3</v>
      </c>
      <c r="O655">
        <f t="shared" si="10"/>
        <v>0.92578125</v>
      </c>
      <c r="P655">
        <v>22.465352523655948</v>
      </c>
    </row>
    <row r="656" spans="1:16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2.44140625E-4</v>
      </c>
      <c r="I656">
        <v>-1</v>
      </c>
      <c r="J656">
        <v>-2.44140625E-4</v>
      </c>
      <c r="M656">
        <v>22.465352523655948</v>
      </c>
      <c r="N656">
        <v>9.765625E-4</v>
      </c>
      <c r="O656">
        <f t="shared" si="10"/>
        <v>0.9267578125</v>
      </c>
      <c r="P656">
        <v>22.465352523655948</v>
      </c>
    </row>
    <row r="657" spans="1:16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11.232676261827974</v>
      </c>
      <c r="H657">
        <v>4.8828125E-4</v>
      </c>
      <c r="I657">
        <v>-0.6876862740544476</v>
      </c>
      <c r="J657">
        <v>-3.3578431350314824E-4</v>
      </c>
      <c r="M657">
        <v>22.465352523655948</v>
      </c>
      <c r="N657">
        <v>1.953125E-3</v>
      </c>
      <c r="O657">
        <f t="shared" si="10"/>
        <v>0.9287109375</v>
      </c>
      <c r="P657">
        <v>22.465352523655948</v>
      </c>
    </row>
    <row r="658" spans="1:16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19.657183458198954</v>
      </c>
      <c r="H658">
        <v>2.44140625E-4</v>
      </c>
      <c r="I658">
        <v>-0.51931769779901749</v>
      </c>
      <c r="J658">
        <v>-1.2678654731421325E-4</v>
      </c>
      <c r="M658">
        <v>22.465352523655948</v>
      </c>
      <c r="N658">
        <v>9.765625E-4</v>
      </c>
      <c r="O658">
        <f t="shared" si="10"/>
        <v>0.9296875</v>
      </c>
      <c r="P658">
        <v>22.465352523655948</v>
      </c>
    </row>
    <row r="659" spans="1:16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5.616338130913987</v>
      </c>
      <c r="H659">
        <v>4.8828125E-4</v>
      </c>
      <c r="I659">
        <v>-0.82926851746249697</v>
      </c>
      <c r="J659">
        <v>-4.0491626829223485E-4</v>
      </c>
      <c r="M659">
        <v>22.465352523655948</v>
      </c>
      <c r="N659">
        <v>4.8828125E-4</v>
      </c>
      <c r="O659">
        <f t="shared" si="10"/>
        <v>0.93017578125</v>
      </c>
      <c r="P659">
        <v>22.465352523655948</v>
      </c>
    </row>
    <row r="660" spans="1:16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16.849014392741964</v>
      </c>
      <c r="H660">
        <v>9.765625E-4</v>
      </c>
      <c r="I660">
        <v>-0.57027657696444012</v>
      </c>
      <c r="J660">
        <v>-5.5691071969183605E-4</v>
      </c>
      <c r="M660">
        <v>22.465352523655948</v>
      </c>
      <c r="N660">
        <v>9.765625E-4</v>
      </c>
      <c r="O660">
        <f t="shared" si="10"/>
        <v>0.93115234375</v>
      </c>
      <c r="P660">
        <v>22.465352523655948</v>
      </c>
    </row>
    <row r="661" spans="1:16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25.273521589112942</v>
      </c>
      <c r="H661">
        <v>4.8828125E-4</v>
      </c>
      <c r="I661">
        <v>-0.4306538173458283</v>
      </c>
      <c r="J661">
        <v>-2.1028018425089273E-4</v>
      </c>
      <c r="M661">
        <v>22.465352523655948</v>
      </c>
      <c r="N661">
        <v>4.8828125E-4</v>
      </c>
      <c r="O661">
        <f t="shared" si="10"/>
        <v>0.931640625</v>
      </c>
      <c r="P661">
        <v>22.465352523655948</v>
      </c>
    </row>
    <row r="662" spans="1:16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2.8081690654569935</v>
      </c>
      <c r="H662">
        <v>9.765625E-4</v>
      </c>
      <c r="I662">
        <v>-0.91064181622770701</v>
      </c>
      <c r="J662">
        <v>-8.8929864865987013E-4</v>
      </c>
      <c r="M662">
        <v>22.465352523655948</v>
      </c>
      <c r="N662">
        <v>9.765625E-4</v>
      </c>
      <c r="O662">
        <f t="shared" si="10"/>
        <v>0.9326171875</v>
      </c>
      <c r="P662">
        <v>22.465352523655948</v>
      </c>
    </row>
    <row r="663" spans="1:16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14.040845327284968</v>
      </c>
      <c r="H663">
        <v>1.953125E-3</v>
      </c>
      <c r="I663">
        <v>-0.62623587759980681</v>
      </c>
      <c r="J663">
        <v>-1.2231169484371227E-3</v>
      </c>
      <c r="M663">
        <v>22.465352523655948</v>
      </c>
      <c r="N663">
        <v>1.953125E-3</v>
      </c>
      <c r="O663">
        <f t="shared" si="10"/>
        <v>0.9345703125</v>
      </c>
      <c r="P663">
        <v>22.465352523655948</v>
      </c>
    </row>
    <row r="664" spans="1:16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22.465352523655948</v>
      </c>
      <c r="H664">
        <v>9.765625E-4</v>
      </c>
      <c r="I664">
        <v>-0.47291241152288888</v>
      </c>
      <c r="J664">
        <v>-4.6182852687782117E-4</v>
      </c>
      <c r="M664">
        <v>22.465352523655948</v>
      </c>
      <c r="N664">
        <v>9.765625E-4</v>
      </c>
      <c r="O664">
        <f t="shared" si="10"/>
        <v>0.935546875</v>
      </c>
      <c r="P664">
        <v>22.465352523655948</v>
      </c>
    </row>
    <row r="665" spans="1:16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4.8828125E-4</v>
      </c>
      <c r="I665">
        <v>-1</v>
      </c>
      <c r="J665">
        <v>-4.8828125E-4</v>
      </c>
      <c r="M665">
        <v>22.465352523655948</v>
      </c>
      <c r="N665">
        <v>4.8828125E-4</v>
      </c>
      <c r="O665">
        <f t="shared" si="10"/>
        <v>0.93603515625</v>
      </c>
      <c r="P665">
        <v>22.465352523655948</v>
      </c>
    </row>
    <row r="666" spans="1:16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11.232676261827974</v>
      </c>
      <c r="H666">
        <v>9.765625E-4</v>
      </c>
      <c r="I666">
        <v>-0.6876862740544476</v>
      </c>
      <c r="J666">
        <v>-6.7156862700629648E-4</v>
      </c>
      <c r="M666">
        <v>22.465352523655948</v>
      </c>
      <c r="N666">
        <v>9.765625E-4</v>
      </c>
      <c r="O666">
        <f t="shared" si="10"/>
        <v>0.93701171875</v>
      </c>
      <c r="P666">
        <v>22.465352523655948</v>
      </c>
    </row>
    <row r="667" spans="1:16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19.657183458198954</v>
      </c>
      <c r="H667">
        <v>4.8828125E-4</v>
      </c>
      <c r="I667">
        <v>-0.51931769779901749</v>
      </c>
      <c r="J667">
        <v>-2.5357309462842651E-4</v>
      </c>
      <c r="M667">
        <v>22.465352523655948</v>
      </c>
      <c r="N667">
        <v>4.8828125E-4</v>
      </c>
      <c r="O667">
        <f t="shared" si="10"/>
        <v>0.9375</v>
      </c>
      <c r="P667">
        <v>22.465352523655948</v>
      </c>
    </row>
    <row r="668" spans="1:16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5.616338130913987</v>
      </c>
      <c r="H668">
        <v>2.44140625E-4</v>
      </c>
      <c r="I668">
        <v>-0.82926851746249697</v>
      </c>
      <c r="J668">
        <v>-2.0245813414611742E-4</v>
      </c>
      <c r="M668">
        <v>22.465352523655948</v>
      </c>
      <c r="N668">
        <v>9.765625E-4</v>
      </c>
      <c r="O668">
        <f t="shared" si="10"/>
        <v>0.9384765625</v>
      </c>
      <c r="P668">
        <v>22.465352523655948</v>
      </c>
    </row>
    <row r="669" spans="1:16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16.849014392741964</v>
      </c>
      <c r="H669">
        <v>4.8828125E-4</v>
      </c>
      <c r="I669">
        <v>-0.57027657696444012</v>
      </c>
      <c r="J669">
        <v>-2.7845535984591803E-4</v>
      </c>
      <c r="M669">
        <v>22.465352523655948</v>
      </c>
      <c r="N669">
        <v>1.953125E-3</v>
      </c>
      <c r="O669">
        <f t="shared" si="10"/>
        <v>0.9404296875</v>
      </c>
      <c r="P669">
        <v>22.465352523655948</v>
      </c>
    </row>
    <row r="670" spans="1:16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25.273521589112942</v>
      </c>
      <c r="H670">
        <v>2.44140625E-4</v>
      </c>
      <c r="I670">
        <v>-0.4306538173458283</v>
      </c>
      <c r="J670">
        <v>-1.0514009212544636E-4</v>
      </c>
      <c r="M670">
        <v>22.465352523655948</v>
      </c>
      <c r="N670">
        <v>9.765625E-4</v>
      </c>
      <c r="O670">
        <f t="shared" si="10"/>
        <v>0.94140625</v>
      </c>
      <c r="P670">
        <v>22.465352523655948</v>
      </c>
    </row>
    <row r="671" spans="1:16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2.8081690654569935</v>
      </c>
      <c r="H671">
        <v>4.8828125E-4</v>
      </c>
      <c r="I671">
        <v>-0.91064181622770701</v>
      </c>
      <c r="J671">
        <v>-4.4464932432993506E-4</v>
      </c>
      <c r="M671">
        <v>22.465352523655948</v>
      </c>
      <c r="N671">
        <v>1.953125E-3</v>
      </c>
      <c r="O671">
        <f t="shared" si="10"/>
        <v>0.943359375</v>
      </c>
      <c r="P671">
        <v>22.465352523655948</v>
      </c>
    </row>
    <row r="672" spans="1:16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14.040845327284968</v>
      </c>
      <c r="H672">
        <v>9.765625E-4</v>
      </c>
      <c r="I672">
        <v>-0.62623587759980681</v>
      </c>
      <c r="J672">
        <v>-6.1155847421856134E-4</v>
      </c>
      <c r="M672">
        <v>22.465352523655948</v>
      </c>
      <c r="N672">
        <v>3.90625E-3</v>
      </c>
      <c r="O672">
        <f t="shared" si="10"/>
        <v>0.947265625</v>
      </c>
      <c r="P672">
        <v>22.465352523655948</v>
      </c>
    </row>
    <row r="673" spans="1:16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22.465352523655948</v>
      </c>
      <c r="H673">
        <v>4.8828125E-4</v>
      </c>
      <c r="I673">
        <v>-0.47291241152288888</v>
      </c>
      <c r="J673">
        <v>-2.3091426343891058E-4</v>
      </c>
      <c r="M673">
        <v>22.465352523655948</v>
      </c>
      <c r="N673">
        <v>1.953125E-3</v>
      </c>
      <c r="O673">
        <f t="shared" si="10"/>
        <v>0.94921875</v>
      </c>
      <c r="P673">
        <v>22.465352523655948</v>
      </c>
    </row>
    <row r="674" spans="1:16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2.44140625E-4</v>
      </c>
      <c r="I674">
        <v>-1</v>
      </c>
      <c r="J674">
        <v>-2.44140625E-4</v>
      </c>
      <c r="M674">
        <v>22.465352523655948</v>
      </c>
      <c r="N674">
        <v>9.765625E-4</v>
      </c>
      <c r="O674">
        <f t="shared" si="10"/>
        <v>0.9501953125</v>
      </c>
      <c r="P674">
        <v>22.465352523655948</v>
      </c>
    </row>
    <row r="675" spans="1:16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11.232676261827974</v>
      </c>
      <c r="H675">
        <v>4.8828125E-4</v>
      </c>
      <c r="I675">
        <v>-0.6876862740544476</v>
      </c>
      <c r="J675">
        <v>-3.3578431350314824E-4</v>
      </c>
      <c r="M675">
        <v>22.465352523655948</v>
      </c>
      <c r="N675">
        <v>1.953125E-3</v>
      </c>
      <c r="O675">
        <f t="shared" si="10"/>
        <v>0.9521484375</v>
      </c>
      <c r="P675">
        <v>22.465352523655948</v>
      </c>
    </row>
    <row r="676" spans="1:16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19.657183458198954</v>
      </c>
      <c r="H676">
        <v>2.44140625E-4</v>
      </c>
      <c r="I676">
        <v>-0.51931769779901749</v>
      </c>
      <c r="J676">
        <v>-1.2678654731421325E-4</v>
      </c>
      <c r="M676">
        <v>22.465352523655948</v>
      </c>
      <c r="N676">
        <v>9.765625E-4</v>
      </c>
      <c r="O676">
        <f t="shared" si="10"/>
        <v>0.953125</v>
      </c>
      <c r="P676">
        <v>22.465352523655948</v>
      </c>
    </row>
    <row r="677" spans="1:16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5.616338130913987</v>
      </c>
      <c r="H677">
        <v>4.8828125E-4</v>
      </c>
      <c r="I677">
        <v>-0.82926851746249697</v>
      </c>
      <c r="J677">
        <v>-4.0491626829223485E-4</v>
      </c>
      <c r="M677">
        <v>22.465352523655948</v>
      </c>
      <c r="N677">
        <v>4.8828125E-4</v>
      </c>
      <c r="O677">
        <f t="shared" si="10"/>
        <v>0.95361328125</v>
      </c>
      <c r="P677">
        <v>22.465352523655948</v>
      </c>
    </row>
    <row r="678" spans="1:16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16.849014392741964</v>
      </c>
      <c r="H678">
        <v>9.765625E-4</v>
      </c>
      <c r="I678">
        <v>-0.57027657696444012</v>
      </c>
      <c r="J678">
        <v>-5.5691071969183605E-4</v>
      </c>
      <c r="M678">
        <v>22.465352523655948</v>
      </c>
      <c r="N678">
        <v>9.765625E-4</v>
      </c>
      <c r="O678">
        <f t="shared" si="10"/>
        <v>0.95458984375</v>
      </c>
      <c r="P678">
        <v>22.465352523655948</v>
      </c>
    </row>
    <row r="679" spans="1:16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25.273521589112942</v>
      </c>
      <c r="H679">
        <v>4.8828125E-4</v>
      </c>
      <c r="I679">
        <v>-0.4306538173458283</v>
      </c>
      <c r="J679">
        <v>-2.1028018425089273E-4</v>
      </c>
      <c r="M679">
        <v>22.465352523655948</v>
      </c>
      <c r="N679">
        <v>4.8828125E-4</v>
      </c>
      <c r="O679">
        <f t="shared" si="10"/>
        <v>0.955078125</v>
      </c>
      <c r="P679">
        <v>22.465352523655948</v>
      </c>
    </row>
    <row r="680" spans="1:16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2.8081690654569935</v>
      </c>
      <c r="H680">
        <v>9.765625E-4</v>
      </c>
      <c r="I680">
        <v>-0.91064181622770701</v>
      </c>
      <c r="J680">
        <v>-8.8929864865987013E-4</v>
      </c>
      <c r="M680">
        <v>22.465352523655948</v>
      </c>
      <c r="N680">
        <v>9.765625E-4</v>
      </c>
      <c r="O680">
        <f t="shared" si="10"/>
        <v>0.9560546875</v>
      </c>
      <c r="P680">
        <v>22.465352523655948</v>
      </c>
    </row>
    <row r="681" spans="1:16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14.040845327284968</v>
      </c>
      <c r="H681">
        <v>1.953125E-3</v>
      </c>
      <c r="I681">
        <v>-0.62623587759980681</v>
      </c>
      <c r="J681">
        <v>-1.2231169484371227E-3</v>
      </c>
      <c r="M681">
        <v>22.465352523655948</v>
      </c>
      <c r="N681">
        <v>1.953125E-3</v>
      </c>
      <c r="O681">
        <f t="shared" si="10"/>
        <v>0.9580078125</v>
      </c>
      <c r="P681">
        <v>22.465352523655948</v>
      </c>
    </row>
    <row r="682" spans="1:16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22.465352523655948</v>
      </c>
      <c r="H682">
        <v>9.765625E-4</v>
      </c>
      <c r="I682">
        <v>-0.47291241152288888</v>
      </c>
      <c r="J682">
        <v>-4.6182852687782117E-4</v>
      </c>
      <c r="M682">
        <v>22.465352523655948</v>
      </c>
      <c r="N682">
        <v>9.765625E-4</v>
      </c>
      <c r="O682">
        <f t="shared" si="10"/>
        <v>0.958984375</v>
      </c>
      <c r="P682">
        <v>22.465352523655948</v>
      </c>
    </row>
    <row r="683" spans="1:16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4.8828125E-4</v>
      </c>
      <c r="I683">
        <v>-1</v>
      </c>
      <c r="J683">
        <v>-4.8828125E-4</v>
      </c>
      <c r="M683">
        <v>22.465352523655948</v>
      </c>
      <c r="N683">
        <v>4.8828125E-4</v>
      </c>
      <c r="O683">
        <f t="shared" si="10"/>
        <v>0.95947265625</v>
      </c>
      <c r="P683">
        <v>22.465352523655948</v>
      </c>
    </row>
    <row r="684" spans="1:16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11.232676261827974</v>
      </c>
      <c r="H684">
        <v>9.765625E-4</v>
      </c>
      <c r="I684">
        <v>-0.6876862740544476</v>
      </c>
      <c r="J684">
        <v>-6.7156862700629648E-4</v>
      </c>
      <c r="M684">
        <v>22.465352523655948</v>
      </c>
      <c r="N684">
        <v>9.765625E-4</v>
      </c>
      <c r="O684">
        <f t="shared" si="10"/>
        <v>0.96044921875</v>
      </c>
      <c r="P684">
        <v>22.465352523655948</v>
      </c>
    </row>
    <row r="685" spans="1:16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19.657183458198954</v>
      </c>
      <c r="H685">
        <v>4.8828125E-4</v>
      </c>
      <c r="I685">
        <v>-0.51931769779901749</v>
      </c>
      <c r="J685">
        <v>-2.5357309462842651E-4</v>
      </c>
      <c r="M685">
        <v>22.465352523655948</v>
      </c>
      <c r="N685">
        <v>4.8828125E-4</v>
      </c>
      <c r="O685">
        <f t="shared" si="10"/>
        <v>0.9609375</v>
      </c>
      <c r="P685">
        <v>22.465352523655948</v>
      </c>
    </row>
    <row r="686" spans="1:16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5.616338130913987</v>
      </c>
      <c r="H686">
        <v>9.765625E-4</v>
      </c>
      <c r="I686">
        <v>-0.82926851746249697</v>
      </c>
      <c r="J686">
        <v>-8.098325365844697E-4</v>
      </c>
      <c r="M686">
        <v>25.273521589112942</v>
      </c>
      <c r="N686">
        <v>9.765625E-4</v>
      </c>
      <c r="O686">
        <f t="shared" si="10"/>
        <v>0.9619140625</v>
      </c>
      <c r="P686">
        <v>25.273521589112942</v>
      </c>
    </row>
    <row r="687" spans="1:16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16.849014392741964</v>
      </c>
      <c r="H687">
        <v>1.953125E-3</v>
      </c>
      <c r="I687">
        <v>-0.57027657696444012</v>
      </c>
      <c r="J687">
        <v>-1.1138214393836721E-3</v>
      </c>
      <c r="M687">
        <v>25.273521589112942</v>
      </c>
      <c r="N687">
        <v>1.953125E-3</v>
      </c>
      <c r="O687">
        <f t="shared" si="10"/>
        <v>0.9638671875</v>
      </c>
      <c r="P687">
        <v>25.273521589112942</v>
      </c>
    </row>
    <row r="688" spans="1:16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25.273521589112942</v>
      </c>
      <c r="H688">
        <v>9.765625E-4</v>
      </c>
      <c r="I688">
        <v>-0.4306538173458283</v>
      </c>
      <c r="J688">
        <v>-4.2056036850178545E-4</v>
      </c>
      <c r="M688">
        <v>25.273521589112942</v>
      </c>
      <c r="N688">
        <v>9.765625E-4</v>
      </c>
      <c r="O688">
        <f t="shared" si="10"/>
        <v>0.96484375</v>
      </c>
      <c r="P688">
        <v>25.273521589112942</v>
      </c>
    </row>
    <row r="689" spans="1:16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2.8081690654569935</v>
      </c>
      <c r="H689">
        <v>1.953125E-3</v>
      </c>
      <c r="I689">
        <v>-0.91064181622770701</v>
      </c>
      <c r="J689">
        <v>-1.7785972973197403E-3</v>
      </c>
      <c r="M689">
        <v>25.273521589112942</v>
      </c>
      <c r="N689">
        <v>1.953125E-3</v>
      </c>
      <c r="O689">
        <f t="shared" si="10"/>
        <v>0.966796875</v>
      </c>
      <c r="P689">
        <v>25.273521589112942</v>
      </c>
    </row>
    <row r="690" spans="1:16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14.040845327284968</v>
      </c>
      <c r="H690">
        <v>3.90625E-3</v>
      </c>
      <c r="I690">
        <v>-0.62623587759980681</v>
      </c>
      <c r="J690">
        <v>-2.4462338968742454E-3</v>
      </c>
      <c r="M690">
        <v>25.273521589112942</v>
      </c>
      <c r="N690">
        <v>3.90625E-3</v>
      </c>
      <c r="O690">
        <f t="shared" si="10"/>
        <v>0.970703125</v>
      </c>
      <c r="P690">
        <v>25.273521589112942</v>
      </c>
    </row>
    <row r="691" spans="1:16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22.465352523655948</v>
      </c>
      <c r="H691">
        <v>1.953125E-3</v>
      </c>
      <c r="I691">
        <v>-0.47291241152288888</v>
      </c>
      <c r="J691">
        <v>-9.2365705375564234E-4</v>
      </c>
      <c r="M691">
        <v>25.273521589112942</v>
      </c>
      <c r="N691">
        <v>1.953125E-3</v>
      </c>
      <c r="O691">
        <f t="shared" si="10"/>
        <v>0.97265625</v>
      </c>
      <c r="P691">
        <v>25.273521589112942</v>
      </c>
    </row>
    <row r="692" spans="1:16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9.765625E-4</v>
      </c>
      <c r="I692">
        <v>-1</v>
      </c>
      <c r="J692">
        <v>-9.765625E-4</v>
      </c>
      <c r="M692">
        <v>25.273521589112942</v>
      </c>
      <c r="N692">
        <v>9.765625E-4</v>
      </c>
      <c r="O692">
        <f t="shared" si="10"/>
        <v>0.9736328125</v>
      </c>
      <c r="P692">
        <v>25.273521589112942</v>
      </c>
    </row>
    <row r="693" spans="1:16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11.232676261827974</v>
      </c>
      <c r="H693">
        <v>1.953125E-3</v>
      </c>
      <c r="I693">
        <v>-0.6876862740544476</v>
      </c>
      <c r="J693">
        <v>-1.343137254012593E-3</v>
      </c>
      <c r="M693">
        <v>25.273521589112942</v>
      </c>
      <c r="N693">
        <v>1.953125E-3</v>
      </c>
      <c r="O693">
        <f t="shared" si="10"/>
        <v>0.9755859375</v>
      </c>
      <c r="P693">
        <v>25.273521589112942</v>
      </c>
    </row>
    <row r="694" spans="1:16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19.657183458198954</v>
      </c>
      <c r="H694">
        <v>9.765625E-4</v>
      </c>
      <c r="I694">
        <v>-0.51931769779901749</v>
      </c>
      <c r="J694">
        <v>-5.0714618925685301E-4</v>
      </c>
      <c r="M694">
        <v>25.273521589112942</v>
      </c>
      <c r="N694">
        <v>9.765625E-4</v>
      </c>
      <c r="O694">
        <f t="shared" si="10"/>
        <v>0.9765625</v>
      </c>
      <c r="P694">
        <v>25.273521589112942</v>
      </c>
    </row>
    <row r="695" spans="1:16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5.616338130913987</v>
      </c>
      <c r="H695">
        <v>4.8828125E-4</v>
      </c>
      <c r="I695">
        <v>-0.82926851746249697</v>
      </c>
      <c r="J695">
        <v>-4.0491626829223485E-4</v>
      </c>
      <c r="M695">
        <v>25.273521589112942</v>
      </c>
      <c r="N695">
        <v>4.8828125E-4</v>
      </c>
      <c r="O695">
        <f t="shared" si="10"/>
        <v>0.97705078125</v>
      </c>
      <c r="P695">
        <v>25.273521589112942</v>
      </c>
    </row>
    <row r="696" spans="1:16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16.849014392741964</v>
      </c>
      <c r="H696">
        <v>9.765625E-4</v>
      </c>
      <c r="I696">
        <v>-0.57027657696444012</v>
      </c>
      <c r="J696">
        <v>-5.5691071969183605E-4</v>
      </c>
      <c r="M696">
        <v>25.273521589112942</v>
      </c>
      <c r="N696">
        <v>9.765625E-4</v>
      </c>
      <c r="O696">
        <f t="shared" si="10"/>
        <v>0.97802734375</v>
      </c>
      <c r="P696">
        <v>25.273521589112942</v>
      </c>
    </row>
    <row r="697" spans="1:16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25.273521589112942</v>
      </c>
      <c r="H697">
        <v>4.8828125E-4</v>
      </c>
      <c r="I697">
        <v>-0.4306538173458283</v>
      </c>
      <c r="J697">
        <v>-2.1028018425089273E-4</v>
      </c>
      <c r="M697">
        <v>25.273521589112942</v>
      </c>
      <c r="N697">
        <v>4.8828125E-4</v>
      </c>
      <c r="O697">
        <f t="shared" si="10"/>
        <v>0.978515625</v>
      </c>
      <c r="P697">
        <v>25.273521589112942</v>
      </c>
    </row>
    <row r="698" spans="1:16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2.8081690654569935</v>
      </c>
      <c r="H698">
        <v>9.765625E-4</v>
      </c>
      <c r="I698">
        <v>-0.91064181622770701</v>
      </c>
      <c r="J698">
        <v>-8.8929864865987013E-4</v>
      </c>
      <c r="M698">
        <v>25.273521589112942</v>
      </c>
      <c r="N698">
        <v>9.765625E-4</v>
      </c>
      <c r="O698">
        <f t="shared" si="10"/>
        <v>0.9794921875</v>
      </c>
      <c r="P698">
        <v>25.273521589112942</v>
      </c>
    </row>
    <row r="699" spans="1:16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14.040845327284968</v>
      </c>
      <c r="H699">
        <v>1.953125E-3</v>
      </c>
      <c r="I699">
        <v>-0.62623587759980681</v>
      </c>
      <c r="J699">
        <v>-1.2231169484371227E-3</v>
      </c>
      <c r="M699">
        <v>25.273521589112942</v>
      </c>
      <c r="N699">
        <v>1.953125E-3</v>
      </c>
      <c r="O699">
        <f t="shared" si="10"/>
        <v>0.9814453125</v>
      </c>
      <c r="P699">
        <v>25.273521589112942</v>
      </c>
    </row>
    <row r="700" spans="1:16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22.465352523655948</v>
      </c>
      <c r="H700">
        <v>9.765625E-4</v>
      </c>
      <c r="I700">
        <v>-0.47291241152288888</v>
      </c>
      <c r="J700">
        <v>-4.6182852687782117E-4</v>
      </c>
      <c r="M700">
        <v>25.273521589112942</v>
      </c>
      <c r="N700">
        <v>9.765625E-4</v>
      </c>
      <c r="O700">
        <f t="shared" si="10"/>
        <v>0.982421875</v>
      </c>
      <c r="P700">
        <v>25.273521589112942</v>
      </c>
    </row>
    <row r="701" spans="1:16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4.8828125E-4</v>
      </c>
      <c r="I701">
        <v>-1</v>
      </c>
      <c r="J701">
        <v>-4.8828125E-4</v>
      </c>
      <c r="M701">
        <v>25.273521589112942</v>
      </c>
      <c r="N701">
        <v>4.8828125E-4</v>
      </c>
      <c r="O701">
        <f t="shared" si="10"/>
        <v>0.98291015625</v>
      </c>
      <c r="P701">
        <v>25.273521589112942</v>
      </c>
    </row>
    <row r="702" spans="1:16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11.232676261827974</v>
      </c>
      <c r="H702">
        <v>9.765625E-4</v>
      </c>
      <c r="I702">
        <v>-0.6876862740544476</v>
      </c>
      <c r="J702">
        <v>-6.7156862700629648E-4</v>
      </c>
      <c r="M702">
        <v>25.273521589112942</v>
      </c>
      <c r="N702">
        <v>9.765625E-4</v>
      </c>
      <c r="O702">
        <f t="shared" si="10"/>
        <v>0.98388671875</v>
      </c>
      <c r="P702">
        <v>25.273521589112942</v>
      </c>
    </row>
    <row r="703" spans="1:16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19.657183458198954</v>
      </c>
      <c r="H703">
        <v>4.8828125E-4</v>
      </c>
      <c r="I703">
        <v>-0.51931769779901749</v>
      </c>
      <c r="J703">
        <v>-2.5357309462842651E-4</v>
      </c>
      <c r="M703">
        <v>25.273521589112942</v>
      </c>
      <c r="N703">
        <v>4.8828125E-4</v>
      </c>
      <c r="O703">
        <f t="shared" si="10"/>
        <v>0.984375</v>
      </c>
      <c r="P703">
        <v>25.273521589112942</v>
      </c>
    </row>
    <row r="704" spans="1:16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5.616338130913987</v>
      </c>
      <c r="H704">
        <v>2.44140625E-4</v>
      </c>
      <c r="I704">
        <v>-0.82926851746249697</v>
      </c>
      <c r="J704">
        <v>-2.0245813414611742E-4</v>
      </c>
      <c r="M704">
        <v>25.273521589112942</v>
      </c>
      <c r="N704">
        <v>2.44140625E-4</v>
      </c>
      <c r="O704">
        <f t="shared" si="10"/>
        <v>0.984619140625</v>
      </c>
      <c r="P704">
        <v>25.273521589112942</v>
      </c>
    </row>
    <row r="705" spans="1:16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16.849014392741964</v>
      </c>
      <c r="H705">
        <v>4.8828125E-4</v>
      </c>
      <c r="I705">
        <v>-0.57027657696444012</v>
      </c>
      <c r="J705">
        <v>-2.7845535984591803E-4</v>
      </c>
      <c r="M705">
        <v>25.273521589112942</v>
      </c>
      <c r="N705">
        <v>4.8828125E-4</v>
      </c>
      <c r="O705">
        <f t="shared" si="10"/>
        <v>0.985107421875</v>
      </c>
      <c r="P705">
        <v>25.273521589112942</v>
      </c>
    </row>
    <row r="706" spans="1:16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25.273521589112942</v>
      </c>
      <c r="H706">
        <v>2.44140625E-4</v>
      </c>
      <c r="I706">
        <v>-0.4306538173458283</v>
      </c>
      <c r="J706">
        <v>-1.0514009212544636E-4</v>
      </c>
      <c r="M706">
        <v>25.273521589112942</v>
      </c>
      <c r="N706">
        <v>2.44140625E-4</v>
      </c>
      <c r="O706">
        <f t="shared" si="10"/>
        <v>0.9853515625</v>
      </c>
      <c r="P706">
        <v>25.273521589112942</v>
      </c>
    </row>
    <row r="707" spans="1:16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2.8081690654569935</v>
      </c>
      <c r="H707">
        <v>4.8828125E-4</v>
      </c>
      <c r="I707">
        <v>-0.91064181622770701</v>
      </c>
      <c r="J707">
        <v>-4.4464932432993506E-4</v>
      </c>
      <c r="M707">
        <v>25.273521589112942</v>
      </c>
      <c r="N707">
        <v>4.8828125E-4</v>
      </c>
      <c r="O707">
        <f t="shared" si="10"/>
        <v>0.98583984375</v>
      </c>
      <c r="P707">
        <v>25.273521589112942</v>
      </c>
    </row>
    <row r="708" spans="1:16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14.040845327284968</v>
      </c>
      <c r="H708">
        <v>9.765625E-4</v>
      </c>
      <c r="I708">
        <v>-0.62623587759980681</v>
      </c>
      <c r="J708">
        <v>-6.1155847421856134E-4</v>
      </c>
      <c r="M708">
        <v>25.273521589112942</v>
      </c>
      <c r="N708">
        <v>9.765625E-4</v>
      </c>
      <c r="O708">
        <f t="shared" ref="O708:O730" si="11">N708+O707</f>
        <v>0.98681640625</v>
      </c>
      <c r="P708">
        <v>25.273521589112942</v>
      </c>
    </row>
    <row r="709" spans="1:16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22.465352523655948</v>
      </c>
      <c r="H709">
        <v>4.8828125E-4</v>
      </c>
      <c r="I709">
        <v>-0.47291241152288888</v>
      </c>
      <c r="J709">
        <v>-2.3091426343891058E-4</v>
      </c>
      <c r="M709">
        <v>25.273521589112942</v>
      </c>
      <c r="N709">
        <v>4.8828125E-4</v>
      </c>
      <c r="O709">
        <f t="shared" si="11"/>
        <v>0.9873046875</v>
      </c>
      <c r="P709">
        <v>25.273521589112942</v>
      </c>
    </row>
    <row r="710" spans="1:16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2.44140625E-4</v>
      </c>
      <c r="I710">
        <v>-1</v>
      </c>
      <c r="J710">
        <v>-2.44140625E-4</v>
      </c>
      <c r="M710">
        <v>25.273521589112942</v>
      </c>
      <c r="N710">
        <v>2.44140625E-4</v>
      </c>
      <c r="O710">
        <f t="shared" si="11"/>
        <v>0.987548828125</v>
      </c>
      <c r="P710">
        <v>25.273521589112942</v>
      </c>
    </row>
    <row r="711" spans="1:16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11.232676261827974</v>
      </c>
      <c r="H711">
        <v>4.8828125E-4</v>
      </c>
      <c r="I711">
        <v>-0.6876862740544476</v>
      </c>
      <c r="J711">
        <v>-3.3578431350314824E-4</v>
      </c>
      <c r="M711">
        <v>25.273521589112942</v>
      </c>
      <c r="N711">
        <v>4.8828125E-4</v>
      </c>
      <c r="O711">
        <f t="shared" si="11"/>
        <v>0.988037109375</v>
      </c>
      <c r="P711">
        <v>25.273521589112942</v>
      </c>
    </row>
    <row r="712" spans="1:16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19.657183458198954</v>
      </c>
      <c r="H712">
        <v>2.44140625E-4</v>
      </c>
      <c r="I712">
        <v>-0.51931769779901749</v>
      </c>
      <c r="J712">
        <v>-1.2678654731421325E-4</v>
      </c>
      <c r="M712">
        <v>25.273521589112942</v>
      </c>
      <c r="N712">
        <v>2.44140625E-4</v>
      </c>
      <c r="O712">
        <f t="shared" si="11"/>
        <v>0.98828125</v>
      </c>
      <c r="P712">
        <v>25.273521589112942</v>
      </c>
    </row>
    <row r="713" spans="1:16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5.616338130913987</v>
      </c>
      <c r="H713">
        <v>4.8828125E-4</v>
      </c>
      <c r="I713">
        <v>-0.82926851746249697</v>
      </c>
      <c r="J713">
        <v>-4.0491626829223485E-4</v>
      </c>
      <c r="M713">
        <v>25.273521589112942</v>
      </c>
      <c r="N713">
        <v>4.8828125E-4</v>
      </c>
      <c r="O713">
        <f t="shared" si="11"/>
        <v>0.98876953125</v>
      </c>
      <c r="P713">
        <v>25.273521589112942</v>
      </c>
    </row>
    <row r="714" spans="1:16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16.849014392741964</v>
      </c>
      <c r="H714">
        <v>9.765625E-4</v>
      </c>
      <c r="I714">
        <v>-0.57027657696444012</v>
      </c>
      <c r="J714">
        <v>-5.5691071969183605E-4</v>
      </c>
      <c r="M714">
        <v>25.273521589112942</v>
      </c>
      <c r="N714">
        <v>9.765625E-4</v>
      </c>
      <c r="O714">
        <f t="shared" si="11"/>
        <v>0.98974609375</v>
      </c>
      <c r="P714">
        <v>25.273521589112942</v>
      </c>
    </row>
    <row r="715" spans="1:16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25.273521589112942</v>
      </c>
      <c r="H715">
        <v>4.8828125E-4</v>
      </c>
      <c r="I715">
        <v>-0.4306538173458283</v>
      </c>
      <c r="J715">
        <v>-2.1028018425089273E-4</v>
      </c>
      <c r="M715">
        <v>25.273521589112942</v>
      </c>
      <c r="N715">
        <v>4.8828125E-4</v>
      </c>
      <c r="O715">
        <f t="shared" si="11"/>
        <v>0.990234375</v>
      </c>
      <c r="P715">
        <v>25.273521589112942</v>
      </c>
    </row>
    <row r="716" spans="1:16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2.8081690654569935</v>
      </c>
      <c r="H716">
        <v>9.765625E-4</v>
      </c>
      <c r="I716">
        <v>-0.91064181622770701</v>
      </c>
      <c r="J716">
        <v>-8.8929864865987013E-4</v>
      </c>
      <c r="M716">
        <v>25.273521589112942</v>
      </c>
      <c r="N716">
        <v>9.765625E-4</v>
      </c>
      <c r="O716">
        <f t="shared" si="11"/>
        <v>0.9912109375</v>
      </c>
      <c r="P716">
        <v>25.273521589112942</v>
      </c>
    </row>
    <row r="717" spans="1:16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14.040845327284968</v>
      </c>
      <c r="H717">
        <v>1.953125E-3</v>
      </c>
      <c r="I717">
        <v>-0.62623587759980681</v>
      </c>
      <c r="J717">
        <v>-1.2231169484371227E-3</v>
      </c>
      <c r="M717">
        <v>25.273521589112942</v>
      </c>
      <c r="N717">
        <v>1.953125E-3</v>
      </c>
      <c r="O717">
        <f t="shared" si="11"/>
        <v>0.9931640625</v>
      </c>
      <c r="P717">
        <v>25.273521589112942</v>
      </c>
    </row>
    <row r="718" spans="1:16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22.465352523655948</v>
      </c>
      <c r="H718">
        <v>9.765625E-4</v>
      </c>
      <c r="I718">
        <v>-0.47291241152288888</v>
      </c>
      <c r="J718">
        <v>-4.6182852687782117E-4</v>
      </c>
      <c r="M718">
        <v>25.273521589112942</v>
      </c>
      <c r="N718">
        <v>9.765625E-4</v>
      </c>
      <c r="O718">
        <f t="shared" si="11"/>
        <v>0.994140625</v>
      </c>
      <c r="P718">
        <v>25.273521589112942</v>
      </c>
    </row>
    <row r="719" spans="1:16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4.8828125E-4</v>
      </c>
      <c r="I719">
        <v>-1</v>
      </c>
      <c r="J719">
        <v>-4.8828125E-4</v>
      </c>
      <c r="M719">
        <v>25.273521589112942</v>
      </c>
      <c r="N719">
        <v>4.8828125E-4</v>
      </c>
      <c r="O719">
        <f t="shared" si="11"/>
        <v>0.99462890625</v>
      </c>
      <c r="P719">
        <v>25.273521589112942</v>
      </c>
    </row>
    <row r="720" spans="1:16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11.232676261827974</v>
      </c>
      <c r="H720">
        <v>9.765625E-4</v>
      </c>
      <c r="I720">
        <v>-0.6876862740544476</v>
      </c>
      <c r="J720">
        <v>-6.7156862700629648E-4</v>
      </c>
      <c r="M720">
        <v>25.273521589112942</v>
      </c>
      <c r="N720">
        <v>9.765625E-4</v>
      </c>
      <c r="O720">
        <f t="shared" si="11"/>
        <v>0.99560546875</v>
      </c>
      <c r="P720">
        <v>25.273521589112942</v>
      </c>
    </row>
    <row r="721" spans="1:16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19.657183458198954</v>
      </c>
      <c r="H721">
        <v>4.8828125E-4</v>
      </c>
      <c r="I721">
        <v>-0.51931769779901749</v>
      </c>
      <c r="J721">
        <v>-2.5357309462842651E-4</v>
      </c>
      <c r="M721">
        <v>25.273521589112942</v>
      </c>
      <c r="N721">
        <v>4.8828125E-4</v>
      </c>
      <c r="O721">
        <f t="shared" si="11"/>
        <v>0.99609375</v>
      </c>
      <c r="P721">
        <v>25.273521589112942</v>
      </c>
    </row>
    <row r="722" spans="1:16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5.616338130913987</v>
      </c>
      <c r="H722">
        <v>2.44140625E-4</v>
      </c>
      <c r="I722">
        <v>-0.82926851746249697</v>
      </c>
      <c r="J722">
        <v>-2.0245813414611742E-4</v>
      </c>
      <c r="M722">
        <v>25.273521589112942</v>
      </c>
      <c r="N722">
        <v>2.44140625E-4</v>
      </c>
      <c r="O722">
        <f t="shared" si="11"/>
        <v>0.996337890625</v>
      </c>
      <c r="P722">
        <v>25.273521589112942</v>
      </c>
    </row>
    <row r="723" spans="1:16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16.849014392741964</v>
      </c>
      <c r="H723">
        <v>4.8828125E-4</v>
      </c>
      <c r="I723">
        <v>-0.57027657696444012</v>
      </c>
      <c r="J723">
        <v>-2.7845535984591803E-4</v>
      </c>
      <c r="M723">
        <v>25.273521589112942</v>
      </c>
      <c r="N723">
        <v>4.8828125E-4</v>
      </c>
      <c r="O723">
        <f t="shared" si="11"/>
        <v>0.996826171875</v>
      </c>
      <c r="P723">
        <v>25.273521589112942</v>
      </c>
    </row>
    <row r="724" spans="1:16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25.273521589112942</v>
      </c>
      <c r="H724">
        <v>2.44140625E-4</v>
      </c>
      <c r="I724">
        <v>-0.4306538173458283</v>
      </c>
      <c r="J724">
        <v>-1.0514009212544636E-4</v>
      </c>
      <c r="M724">
        <v>25.273521589112942</v>
      </c>
      <c r="N724">
        <v>2.44140625E-4</v>
      </c>
      <c r="O724">
        <f t="shared" si="11"/>
        <v>0.9970703125</v>
      </c>
      <c r="P724">
        <v>25.273521589112942</v>
      </c>
    </row>
    <row r="725" spans="1:16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2.8081690654569935</v>
      </c>
      <c r="H725">
        <v>4.8828125E-4</v>
      </c>
      <c r="I725">
        <v>-0.91064181622770701</v>
      </c>
      <c r="J725">
        <v>-4.4464932432993506E-4</v>
      </c>
      <c r="M725">
        <v>25.273521589112942</v>
      </c>
      <c r="N725">
        <v>4.8828125E-4</v>
      </c>
      <c r="O725">
        <f t="shared" si="11"/>
        <v>0.99755859375</v>
      </c>
      <c r="P725">
        <v>25.273521589112942</v>
      </c>
    </row>
    <row r="726" spans="1:16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14.040845327284968</v>
      </c>
      <c r="H726">
        <v>9.765625E-4</v>
      </c>
      <c r="I726">
        <v>-0.62623587759980681</v>
      </c>
      <c r="J726">
        <v>-6.1155847421856134E-4</v>
      </c>
      <c r="M726">
        <v>25.273521589112942</v>
      </c>
      <c r="N726">
        <v>9.765625E-4</v>
      </c>
      <c r="O726">
        <f t="shared" si="11"/>
        <v>0.99853515625</v>
      </c>
      <c r="P726">
        <v>25.273521589112942</v>
      </c>
    </row>
    <row r="727" spans="1:16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22.465352523655948</v>
      </c>
      <c r="H727">
        <v>4.8828125E-4</v>
      </c>
      <c r="I727">
        <v>-0.47291241152288888</v>
      </c>
      <c r="J727">
        <v>-2.3091426343891058E-4</v>
      </c>
      <c r="M727">
        <v>25.273521589112942</v>
      </c>
      <c r="N727">
        <v>4.8828125E-4</v>
      </c>
      <c r="O727">
        <f t="shared" si="11"/>
        <v>0.9990234375</v>
      </c>
      <c r="P727">
        <v>25.273521589112942</v>
      </c>
    </row>
    <row r="728" spans="1:16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2.44140625E-4</v>
      </c>
      <c r="I728">
        <v>-1</v>
      </c>
      <c r="J728">
        <v>-2.44140625E-4</v>
      </c>
      <c r="M728">
        <v>25.273521589112942</v>
      </c>
      <c r="N728">
        <v>2.44140625E-4</v>
      </c>
      <c r="O728">
        <f t="shared" si="11"/>
        <v>0.999267578125</v>
      </c>
      <c r="P728">
        <v>25.273521589112942</v>
      </c>
    </row>
    <row r="729" spans="1:16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11.232676261827974</v>
      </c>
      <c r="H729">
        <v>4.8828125E-4</v>
      </c>
      <c r="I729">
        <v>-0.6876862740544476</v>
      </c>
      <c r="J729">
        <v>-3.3578431350314824E-4</v>
      </c>
      <c r="M729">
        <v>25.273521589112942</v>
      </c>
      <c r="N729">
        <v>4.8828125E-4</v>
      </c>
      <c r="O729">
        <f t="shared" si="11"/>
        <v>0.999755859375</v>
      </c>
      <c r="P729">
        <v>25.273521589112942</v>
      </c>
    </row>
    <row r="730" spans="1:16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19.657183458198954</v>
      </c>
      <c r="H730">
        <v>2.44140625E-4</v>
      </c>
      <c r="I730">
        <v>-0.51931769779901749</v>
      </c>
      <c r="J730">
        <v>-1.2678654731421325E-4</v>
      </c>
      <c r="M730">
        <v>25.273521589112942</v>
      </c>
      <c r="N730">
        <v>2.44140625E-4</v>
      </c>
      <c r="O730">
        <f t="shared" si="11"/>
        <v>1</v>
      </c>
      <c r="P730">
        <v>25.273521589112942</v>
      </c>
    </row>
  </sheetData>
  <sortState ref="M2:N731">
    <sortCondition ref="M2:M7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30"/>
  <sheetViews>
    <sheetView topLeftCell="B1" workbookViewId="0">
      <selection activeCell="M1" sqref="M1:O1048576"/>
    </sheetView>
  </sheetViews>
  <sheetFormatPr defaultRowHeight="14.25" x14ac:dyDescent="0.45"/>
  <cols>
    <col min="10" max="16" width="9.06640625" style="96"/>
  </cols>
  <sheetData>
    <row r="1" spans="1:22" x14ac:dyDescent="0.45">
      <c r="G1" t="s">
        <v>84</v>
      </c>
      <c r="H1" t="s">
        <v>75</v>
      </c>
      <c r="M1" s="96" t="s">
        <v>84</v>
      </c>
      <c r="N1" s="96" t="s">
        <v>75</v>
      </c>
      <c r="O1" s="96" t="s">
        <v>76</v>
      </c>
      <c r="Q1" t="s">
        <v>89</v>
      </c>
      <c r="R1" t="s">
        <v>91</v>
      </c>
      <c r="S1" t="s">
        <v>90</v>
      </c>
      <c r="T1" t="s">
        <v>89</v>
      </c>
      <c r="U1" t="s">
        <v>91</v>
      </c>
      <c r="V1" t="s">
        <v>90</v>
      </c>
    </row>
    <row r="2" spans="1:22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-9.9981443670671162</v>
      </c>
      <c r="H2">
        <v>7.6612180056514559E-3</v>
      </c>
      <c r="I2">
        <v>-1.3955261029432362</v>
      </c>
      <c r="J2" s="96">
        <v>-1.0691429707225329E-2</v>
      </c>
      <c r="K2" s="97" t="s">
        <v>86</v>
      </c>
      <c r="L2" s="98">
        <f>SUM(J2:J730)</f>
        <v>-1.1026050640127771</v>
      </c>
      <c r="M2" s="100">
        <v>-17</v>
      </c>
      <c r="N2" s="96">
        <v>2.44140625E-4</v>
      </c>
      <c r="O2" s="96">
        <f>N2</f>
        <v>2.44140625E-4</v>
      </c>
      <c r="Q2" s="96">
        <f>IF(A2=3,1,0)</f>
        <v>0</v>
      </c>
      <c r="R2" s="96">
        <f>IF(A2=2,1,0)</f>
        <v>0</v>
      </c>
      <c r="S2" s="96">
        <f>IF(A2=1,1,0)</f>
        <v>1</v>
      </c>
      <c r="T2">
        <f>SUMPRODUCT($G$2:$G$730,$H$2:$H$730,Q2:Q730)</f>
        <v>3.0861868355338578</v>
      </c>
      <c r="U2">
        <f>SUMPRODUCT($G$2:$G$730,$H$2:$H$730,R2:R730)</f>
        <v>0.74105017392588513</v>
      </c>
      <c r="V2">
        <f>SUMPRODUCT($G$2:$G$730,$H$2:$H$730,S2:S730)</f>
        <v>-2.9777585170423411</v>
      </c>
    </row>
    <row r="3" spans="1:22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-3.9944331012013521</v>
      </c>
      <c r="H3">
        <v>7.6612180056514559E-3</v>
      </c>
      <c r="I3">
        <v>-1.1424188011305803</v>
      </c>
      <c r="J3" s="96">
        <v>-8.7523194892163512E-3</v>
      </c>
      <c r="K3" s="97"/>
      <c r="L3" s="98"/>
      <c r="M3" s="100">
        <v>-17</v>
      </c>
      <c r="N3" s="96">
        <v>4.8828125E-4</v>
      </c>
      <c r="O3" s="96">
        <f>N3+O2</f>
        <v>7.32421875E-4</v>
      </c>
      <c r="Q3" s="96">
        <f t="shared" ref="Q3:Q66" si="0">IF(A3=3,1,0)</f>
        <v>0</v>
      </c>
      <c r="R3" s="96">
        <f t="shared" ref="R3:R66" si="1">IF(A3=2,1,0)</f>
        <v>0</v>
      </c>
      <c r="S3" s="96">
        <f t="shared" ref="S3:S66" si="2">IF(A3=1,1,0)</f>
        <v>1</v>
      </c>
    </row>
    <row r="4" spans="1:22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-0.5537080305622587</v>
      </c>
      <c r="H4">
        <v>1.932559496921088E-3</v>
      </c>
      <c r="I4">
        <v>-1.0186283163365246</v>
      </c>
      <c r="J4" s="96">
        <v>-1.9685598265688888E-3</v>
      </c>
      <c r="K4" s="97" t="s">
        <v>92</v>
      </c>
      <c r="L4" s="98">
        <f>-LN(-1*L2)/(1/risk_tol)</f>
        <v>-2.9302685986556303</v>
      </c>
      <c r="M4" s="100">
        <v>-17</v>
      </c>
      <c r="N4" s="96">
        <v>2.44140625E-4</v>
      </c>
      <c r="O4" s="96">
        <f t="shared" ref="O4:O67" si="3">N4+O3</f>
        <v>9.765625E-4</v>
      </c>
      <c r="Q4" s="96">
        <f t="shared" si="0"/>
        <v>0</v>
      </c>
      <c r="R4" s="96">
        <f t="shared" si="1"/>
        <v>0</v>
      </c>
      <c r="S4" s="96">
        <f t="shared" si="2"/>
        <v>1</v>
      </c>
    </row>
    <row r="5" spans="1:22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-11.499072183533562</v>
      </c>
      <c r="H5">
        <v>7.6612180056514559E-3</v>
      </c>
      <c r="I5">
        <v>-1.4671216295477303</v>
      </c>
      <c r="J5" s="96">
        <v>-1.1239938644771776E-2</v>
      </c>
      <c r="K5" s="97"/>
      <c r="L5" s="98"/>
      <c r="M5" s="100">
        <v>-17</v>
      </c>
      <c r="N5" s="96">
        <v>4.8828125E-4</v>
      </c>
      <c r="O5" s="96">
        <f t="shared" si="3"/>
        <v>1.46484375E-3</v>
      </c>
      <c r="Q5" s="96">
        <f t="shared" si="0"/>
        <v>0</v>
      </c>
      <c r="R5" s="96">
        <f t="shared" si="1"/>
        <v>0</v>
      </c>
      <c r="S5" s="96">
        <f t="shared" si="2"/>
        <v>1</v>
      </c>
    </row>
    <row r="6" spans="1:22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-5.495360917667794</v>
      </c>
      <c r="H6">
        <v>7.6612180056514559E-3</v>
      </c>
      <c r="I6">
        <v>-1.2010290094938023</v>
      </c>
      <c r="J6" s="96">
        <v>-9.2013450728436509E-3</v>
      </c>
      <c r="K6" s="97" t="s">
        <v>83</v>
      </c>
      <c r="L6" s="98">
        <f>SUMPRODUCT(G2:G730,H2:H730)</f>
        <v>0.84947849241740181</v>
      </c>
      <c r="M6" s="100">
        <v>-17</v>
      </c>
      <c r="N6" s="96">
        <v>9.765625E-4</v>
      </c>
      <c r="O6" s="96">
        <f t="shared" si="3"/>
        <v>2.44140625E-3</v>
      </c>
      <c r="Q6" s="96">
        <f t="shared" si="0"/>
        <v>0</v>
      </c>
      <c r="R6" s="96">
        <f t="shared" si="1"/>
        <v>0</v>
      </c>
      <c r="S6" s="96">
        <f t="shared" si="2"/>
        <v>1</v>
      </c>
    </row>
    <row r="7" spans="1:22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-1.607294633344857</v>
      </c>
      <c r="H7">
        <v>1.932559496921088E-3</v>
      </c>
      <c r="I7">
        <v>-1.0550376861699764</v>
      </c>
      <c r="J7" s="96">
        <v>-2.0389231000174381E-3</v>
      </c>
      <c r="L7" s="100"/>
      <c r="M7" s="100">
        <v>-17</v>
      </c>
      <c r="N7" s="96">
        <v>4.8828125E-4</v>
      </c>
      <c r="O7" s="96">
        <f t="shared" si="3"/>
        <v>2.9296875E-3</v>
      </c>
      <c r="Q7" s="96">
        <f t="shared" si="0"/>
        <v>0</v>
      </c>
      <c r="R7" s="96">
        <f t="shared" si="1"/>
        <v>0</v>
      </c>
      <c r="S7" s="96">
        <f t="shared" si="2"/>
        <v>1</v>
      </c>
    </row>
    <row r="8" spans="1:22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-13</v>
      </c>
      <c r="H8">
        <v>1.932559496921088E-3</v>
      </c>
      <c r="I8">
        <v>-1.5423902651101746</v>
      </c>
      <c r="J8" s="96">
        <v>-2.9807609547973027E-3</v>
      </c>
      <c r="L8" s="100"/>
      <c r="M8" s="100">
        <v>-17</v>
      </c>
      <c r="N8" s="96">
        <v>2.44140625E-4</v>
      </c>
      <c r="O8" s="96">
        <f t="shared" si="3"/>
        <v>3.173828125E-3</v>
      </c>
      <c r="Q8" s="96">
        <f t="shared" si="0"/>
        <v>0</v>
      </c>
      <c r="R8" s="96">
        <f t="shared" si="1"/>
        <v>0</v>
      </c>
      <c r="S8" s="96">
        <f t="shared" si="2"/>
        <v>1</v>
      </c>
    </row>
    <row r="9" spans="1:22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-6.9962887341342359</v>
      </c>
      <c r="H9">
        <v>1.932559496921088E-3</v>
      </c>
      <c r="I9">
        <v>-1.2626461331152299</v>
      </c>
      <c r="J9" s="96">
        <v>-2.4401387758025256E-3</v>
      </c>
      <c r="L9" s="100"/>
      <c r="M9" s="100">
        <v>-17</v>
      </c>
      <c r="N9" s="96">
        <v>4.8828125E-4</v>
      </c>
      <c r="O9" s="96">
        <f t="shared" si="3"/>
        <v>3.662109375E-3</v>
      </c>
      <c r="Q9" s="96">
        <f t="shared" si="0"/>
        <v>0</v>
      </c>
      <c r="R9" s="96">
        <f t="shared" si="1"/>
        <v>0</v>
      </c>
      <c r="S9" s="96">
        <f t="shared" si="2"/>
        <v>1</v>
      </c>
    </row>
    <row r="10" spans="1:22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-2.6920034286358208</v>
      </c>
      <c r="H10">
        <v>4.8749248570982399E-4</v>
      </c>
      <c r="I10">
        <v>-1.0938826678142417</v>
      </c>
      <c r="J10" s="96">
        <v>-5.3325958080765838E-4</v>
      </c>
      <c r="L10" s="100"/>
      <c r="M10" s="100">
        <v>-17</v>
      </c>
      <c r="N10" s="96">
        <v>2.44140625E-4</v>
      </c>
      <c r="O10" s="96">
        <f t="shared" si="3"/>
        <v>3.90625E-3</v>
      </c>
      <c r="Q10" s="96">
        <f t="shared" si="0"/>
        <v>0</v>
      </c>
      <c r="R10" s="96">
        <f t="shared" si="1"/>
        <v>0</v>
      </c>
      <c r="S10" s="96">
        <f t="shared" si="2"/>
        <v>1</v>
      </c>
    </row>
    <row r="11" spans="1:22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-11.498144367067116</v>
      </c>
      <c r="H11">
        <v>7.6612180056514559E-3</v>
      </c>
      <c r="I11">
        <v>-1.4670762562624962</v>
      </c>
      <c r="J11" s="96">
        <v>-1.1239591030141965E-2</v>
      </c>
      <c r="L11" s="100"/>
      <c r="M11" s="100">
        <v>-17</v>
      </c>
      <c r="N11" s="96">
        <v>4.8828125E-4</v>
      </c>
      <c r="O11" s="96">
        <f t="shared" si="3"/>
        <v>4.39453125E-3</v>
      </c>
      <c r="Q11" s="96">
        <f t="shared" si="0"/>
        <v>0</v>
      </c>
      <c r="R11" s="96">
        <f t="shared" si="1"/>
        <v>0</v>
      </c>
      <c r="S11" s="96">
        <f t="shared" si="2"/>
        <v>1</v>
      </c>
    </row>
    <row r="12" spans="1:22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-5.4944331012013539</v>
      </c>
      <c r="H12">
        <v>7.6612180056514559E-3</v>
      </c>
      <c r="I12">
        <v>-1.2009918655851279</v>
      </c>
      <c r="J12" s="96">
        <v>-9.2010605052617149E-3</v>
      </c>
      <c r="L12" s="100"/>
      <c r="M12" s="100">
        <v>-17</v>
      </c>
      <c r="N12" s="96">
        <v>9.765625E-4</v>
      </c>
      <c r="O12" s="96">
        <f t="shared" si="3"/>
        <v>5.37109375E-3</v>
      </c>
      <c r="Q12" s="96">
        <f t="shared" si="0"/>
        <v>0</v>
      </c>
      <c r="R12" s="96">
        <f t="shared" si="1"/>
        <v>0</v>
      </c>
      <c r="S12" s="96">
        <f t="shared" si="2"/>
        <v>1</v>
      </c>
    </row>
    <row r="13" spans="1:22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-1.7109222562879141</v>
      </c>
      <c r="H13">
        <v>1.932559496921088E-3</v>
      </c>
      <c r="I13">
        <v>-1.0586883559616826</v>
      </c>
      <c r="J13" s="96">
        <v>-2.0459782365935229E-3</v>
      </c>
      <c r="L13" s="100"/>
      <c r="M13" s="100">
        <v>-17</v>
      </c>
      <c r="N13" s="96">
        <v>4.8828125E-4</v>
      </c>
      <c r="O13" s="96">
        <f t="shared" si="3"/>
        <v>5.859375E-3</v>
      </c>
      <c r="Q13" s="96">
        <f t="shared" si="0"/>
        <v>0</v>
      </c>
      <c r="R13" s="96">
        <f t="shared" si="1"/>
        <v>0</v>
      </c>
      <c r="S13" s="96">
        <f t="shared" si="2"/>
        <v>1</v>
      </c>
    </row>
    <row r="14" spans="1:22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-12.999072183533562</v>
      </c>
      <c r="H14">
        <v>7.6612180056514559E-3</v>
      </c>
      <c r="I14">
        <v>-1.5423425640116213</v>
      </c>
      <c r="J14" s="96">
        <v>-1.1816222622288467E-2</v>
      </c>
      <c r="L14" s="100"/>
      <c r="M14" s="100">
        <v>-17</v>
      </c>
      <c r="N14" s="96">
        <v>9.765625E-4</v>
      </c>
      <c r="O14" s="96">
        <f t="shared" si="3"/>
        <v>6.8359375E-3</v>
      </c>
      <c r="Q14" s="96">
        <f t="shared" si="0"/>
        <v>0</v>
      </c>
      <c r="R14" s="96">
        <f t="shared" si="1"/>
        <v>0</v>
      </c>
      <c r="S14" s="96">
        <f t="shared" si="2"/>
        <v>1</v>
      </c>
    </row>
    <row r="15" spans="1:22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-6.995360917667794</v>
      </c>
      <c r="H15">
        <v>7.6612180056514559E-3</v>
      </c>
      <c r="I15">
        <v>-1.2626070835899597</v>
      </c>
      <c r="J15" s="96">
        <v>-9.6731081228624716E-3</v>
      </c>
      <c r="L15" s="100"/>
      <c r="M15" s="100">
        <v>-17</v>
      </c>
      <c r="N15" s="96">
        <v>1.953125E-3</v>
      </c>
      <c r="O15" s="96">
        <f t="shared" si="3"/>
        <v>8.7890625E-3</v>
      </c>
      <c r="Q15" s="96">
        <f t="shared" si="0"/>
        <v>0</v>
      </c>
      <c r="R15" s="96">
        <f t="shared" si="1"/>
        <v>0</v>
      </c>
      <c r="S15" s="96">
        <f t="shared" si="2"/>
        <v>1</v>
      </c>
    </row>
    <row r="16" spans="1:22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-2.7917339750834369</v>
      </c>
      <c r="H16">
        <v>1.932559496921088E-3</v>
      </c>
      <c r="I16">
        <v>-1.0975251694780861</v>
      </c>
      <c r="J16" s="96">
        <v>-2.121032689384802E-3</v>
      </c>
      <c r="L16" s="100"/>
      <c r="M16" s="100">
        <v>-17</v>
      </c>
      <c r="N16" s="96">
        <v>9.765625E-4</v>
      </c>
      <c r="O16" s="96">
        <f t="shared" si="3"/>
        <v>9.765625E-3</v>
      </c>
      <c r="Q16" s="96">
        <f t="shared" si="0"/>
        <v>0</v>
      </c>
      <c r="R16" s="96">
        <f t="shared" si="1"/>
        <v>0</v>
      </c>
      <c r="S16" s="96">
        <f t="shared" si="2"/>
        <v>1</v>
      </c>
    </row>
    <row r="17" spans="1:19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-14.5</v>
      </c>
      <c r="H17">
        <v>1.932559496921088E-3</v>
      </c>
      <c r="I17">
        <v>-1.6214703050420796</v>
      </c>
      <c r="J17" s="96">
        <v>-3.1335878369846042E-3</v>
      </c>
      <c r="L17" s="100"/>
      <c r="M17" s="100">
        <v>-17</v>
      </c>
      <c r="N17" s="96">
        <v>4.8828125E-4</v>
      </c>
      <c r="O17" s="96">
        <f t="shared" si="3"/>
        <v>1.025390625E-2</v>
      </c>
      <c r="Q17" s="96">
        <f t="shared" si="0"/>
        <v>0</v>
      </c>
      <c r="R17" s="96">
        <f t="shared" si="1"/>
        <v>0</v>
      </c>
      <c r="S17" s="96">
        <f t="shared" si="2"/>
        <v>1</v>
      </c>
    </row>
    <row r="18" spans="1:19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-8.4962887341342359</v>
      </c>
      <c r="H18">
        <v>1.932559496921088E-3</v>
      </c>
      <c r="I18">
        <v>-1.3273833846949947</v>
      </c>
      <c r="J18" s="96">
        <v>-2.5652473661475698E-3</v>
      </c>
      <c r="L18" s="100"/>
      <c r="M18" s="100">
        <v>-17</v>
      </c>
      <c r="N18" s="96">
        <v>9.765625E-4</v>
      </c>
      <c r="O18" s="96">
        <f t="shared" si="3"/>
        <v>1.123046875E-2</v>
      </c>
      <c r="Q18" s="96">
        <f t="shared" si="0"/>
        <v>0</v>
      </c>
      <c r="R18" s="96">
        <f t="shared" si="1"/>
        <v>0</v>
      </c>
      <c r="S18" s="96">
        <f t="shared" si="2"/>
        <v>1</v>
      </c>
    </row>
    <row r="19" spans="1:19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-3.9935052847349115</v>
      </c>
      <c r="H19">
        <v>4.8749248570982399E-4</v>
      </c>
      <c r="I19">
        <v>-1.1423834698444235</v>
      </c>
      <c r="J19" s="96">
        <v>-5.5690335734827183E-4</v>
      </c>
      <c r="L19" s="100"/>
      <c r="M19" s="100">
        <v>-17</v>
      </c>
      <c r="N19" s="96">
        <v>4.8828125E-4</v>
      </c>
      <c r="O19" s="96">
        <f t="shared" si="3"/>
        <v>1.171875E-2</v>
      </c>
      <c r="Q19" s="96">
        <f t="shared" si="0"/>
        <v>0</v>
      </c>
      <c r="R19" s="96">
        <f t="shared" si="1"/>
        <v>0</v>
      </c>
      <c r="S19" s="96">
        <f t="shared" si="2"/>
        <v>1</v>
      </c>
    </row>
    <row r="20" spans="1:19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-13.998144367067118</v>
      </c>
      <c r="H20">
        <v>1.932559496921088E-3</v>
      </c>
      <c r="I20">
        <v>-1.5945711238881513</v>
      </c>
      <c r="J20" s="96">
        <v>-3.0816035689861794E-3</v>
      </c>
      <c r="L20" s="100"/>
      <c r="M20" s="100">
        <v>-17</v>
      </c>
      <c r="N20" s="96">
        <v>2.44140625E-4</v>
      </c>
      <c r="O20" s="96">
        <f t="shared" si="3"/>
        <v>1.1962890625E-2</v>
      </c>
      <c r="Q20" s="96">
        <f t="shared" si="0"/>
        <v>0</v>
      </c>
      <c r="R20" s="96">
        <f t="shared" si="1"/>
        <v>0</v>
      </c>
      <c r="S20" s="96">
        <f t="shared" si="2"/>
        <v>1</v>
      </c>
    </row>
    <row r="21" spans="1:19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-7.9944331012013539</v>
      </c>
      <c r="H21">
        <v>1.932559496921088E-3</v>
      </c>
      <c r="I21">
        <v>-1.305362922146531</v>
      </c>
      <c r="J21" s="96">
        <v>-2.5226915121229414E-3</v>
      </c>
      <c r="L21" s="100"/>
      <c r="M21" s="100">
        <v>-17</v>
      </c>
      <c r="N21" s="96">
        <v>4.8828125E-4</v>
      </c>
      <c r="O21" s="96">
        <f t="shared" si="3"/>
        <v>1.2451171875E-2</v>
      </c>
      <c r="Q21" s="96">
        <f t="shared" si="0"/>
        <v>0</v>
      </c>
      <c r="R21" s="96">
        <f t="shared" si="1"/>
        <v>0</v>
      </c>
      <c r="S21" s="96">
        <f t="shared" si="2"/>
        <v>1</v>
      </c>
    </row>
    <row r="22" spans="1:19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-3.6925488061003531</v>
      </c>
      <c r="H22">
        <v>4.8749248570982399E-4</v>
      </c>
      <c r="I22">
        <v>-1.1309805051994639</v>
      </c>
      <c r="J22" s="96">
        <v>-5.5134449776903915E-4</v>
      </c>
      <c r="L22" s="100"/>
      <c r="M22" s="100">
        <v>-17</v>
      </c>
      <c r="N22" s="96">
        <v>2.44140625E-4</v>
      </c>
      <c r="O22" s="96">
        <f t="shared" si="3"/>
        <v>1.26953125E-2</v>
      </c>
      <c r="Q22" s="96">
        <f t="shared" si="0"/>
        <v>0</v>
      </c>
      <c r="R22" s="96">
        <f t="shared" si="1"/>
        <v>0</v>
      </c>
      <c r="S22" s="96">
        <f t="shared" si="2"/>
        <v>1</v>
      </c>
    </row>
    <row r="23" spans="1:19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-15.499072183533563</v>
      </c>
      <c r="H23">
        <v>1.932559496921088E-3</v>
      </c>
      <c r="I23">
        <v>-1.6763783785731865</v>
      </c>
      <c r="J23" s="96">
        <v>-3.2397009559447863E-3</v>
      </c>
      <c r="L23" s="100"/>
      <c r="M23" s="100">
        <v>-17</v>
      </c>
      <c r="N23" s="96">
        <v>4.8828125E-4</v>
      </c>
      <c r="O23" s="96">
        <f t="shared" si="3"/>
        <v>1.318359375E-2</v>
      </c>
      <c r="Q23" s="96">
        <f t="shared" si="0"/>
        <v>0</v>
      </c>
      <c r="R23" s="96">
        <f t="shared" si="1"/>
        <v>0</v>
      </c>
      <c r="S23" s="96">
        <f t="shared" si="2"/>
        <v>1</v>
      </c>
    </row>
    <row r="24" spans="1:19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-9.495360917667794</v>
      </c>
      <c r="H24">
        <v>1.932559496921088E-3</v>
      </c>
      <c r="I24">
        <v>-1.3723327521081159</v>
      </c>
      <c r="J24" s="96">
        <v>-2.6521146930223926E-3</v>
      </c>
      <c r="L24" s="100"/>
      <c r="M24" s="100">
        <v>-17</v>
      </c>
      <c r="N24" s="96">
        <v>9.765625E-4</v>
      </c>
      <c r="O24" s="96">
        <f t="shared" si="3"/>
        <v>1.416015625E-2</v>
      </c>
      <c r="Q24" s="96">
        <f t="shared" si="0"/>
        <v>0</v>
      </c>
      <c r="R24" s="96">
        <f t="shared" si="1"/>
        <v>0</v>
      </c>
      <c r="S24" s="96">
        <f t="shared" si="2"/>
        <v>1</v>
      </c>
    </row>
    <row r="25" spans="1:19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-4.9925774682684709</v>
      </c>
      <c r="H25">
        <v>4.8749248570982399E-4</v>
      </c>
      <c r="I25">
        <v>-1.1810681595164372</v>
      </c>
      <c r="J25" s="96">
        <v>-5.7576185287539492E-4</v>
      </c>
      <c r="L25" s="100"/>
      <c r="M25" s="100">
        <v>-17</v>
      </c>
      <c r="N25" s="96">
        <v>4.8828125E-4</v>
      </c>
      <c r="O25" s="96">
        <f t="shared" si="3"/>
        <v>1.46484375E-2</v>
      </c>
      <c r="Q25" s="96">
        <f t="shared" si="0"/>
        <v>0</v>
      </c>
      <c r="R25" s="96">
        <f t="shared" si="1"/>
        <v>0</v>
      </c>
      <c r="S25" s="96">
        <f t="shared" si="2"/>
        <v>1</v>
      </c>
    </row>
    <row r="26" spans="1:19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-17</v>
      </c>
      <c r="H26">
        <v>4.8749248570982405E-4</v>
      </c>
      <c r="I26">
        <v>-1.7623826407286585</v>
      </c>
      <c r="J26" s="96">
        <v>-8.5914829430065753E-4</v>
      </c>
      <c r="L26" s="100"/>
      <c r="M26" s="100">
        <v>-17</v>
      </c>
      <c r="N26" s="96">
        <v>2.44140625E-4</v>
      </c>
      <c r="O26" s="96">
        <f t="shared" si="3"/>
        <v>1.4892578125E-2</v>
      </c>
      <c r="Q26" s="96">
        <f t="shared" si="0"/>
        <v>0</v>
      </c>
      <c r="R26" s="96">
        <f t="shared" si="1"/>
        <v>0</v>
      </c>
      <c r="S26" s="96">
        <f t="shared" si="2"/>
        <v>1</v>
      </c>
    </row>
    <row r="27" spans="1:19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-10.996288734134236</v>
      </c>
      <c r="H27">
        <v>4.8749248570982405E-4</v>
      </c>
      <c r="I27">
        <v>-1.442738376092185</v>
      </c>
      <c r="J27" s="96">
        <v>-7.033241171901343E-4</v>
      </c>
      <c r="L27" s="100"/>
      <c r="M27" s="100">
        <v>-17</v>
      </c>
      <c r="N27" s="96">
        <v>4.8828125E-4</v>
      </c>
      <c r="O27" s="96">
        <f t="shared" si="3"/>
        <v>1.5380859375E-2</v>
      </c>
      <c r="Q27" s="96">
        <f t="shared" si="0"/>
        <v>0</v>
      </c>
      <c r="R27" s="96">
        <f t="shared" si="1"/>
        <v>0</v>
      </c>
      <c r="S27" s="96">
        <f t="shared" si="2"/>
        <v>1</v>
      </c>
    </row>
    <row r="28" spans="1:19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-6.4935052847349111</v>
      </c>
      <c r="H28">
        <v>1.2297107747635201E-4</v>
      </c>
      <c r="I28">
        <v>-1.2416612194800165</v>
      </c>
      <c r="J28" s="96">
        <v>-1.5268841802005883E-4</v>
      </c>
      <c r="L28" s="100"/>
      <c r="M28" s="100">
        <v>-17</v>
      </c>
      <c r="N28" s="96">
        <v>2.44140625E-4</v>
      </c>
      <c r="O28" s="96">
        <f t="shared" si="3"/>
        <v>1.5625E-2</v>
      </c>
      <c r="Q28" s="96">
        <f t="shared" si="0"/>
        <v>0</v>
      </c>
      <c r="R28" s="96">
        <f t="shared" si="1"/>
        <v>0</v>
      </c>
      <c r="S28" s="96">
        <f t="shared" si="2"/>
        <v>1</v>
      </c>
    </row>
    <row r="29" spans="1:19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-9.9981443670671162</v>
      </c>
      <c r="H29">
        <v>7.6612180056514559E-3</v>
      </c>
      <c r="I29">
        <v>-1.3955261029432362</v>
      </c>
      <c r="J29" s="96">
        <v>-1.0691429707225329E-2</v>
      </c>
      <c r="L29" s="100"/>
      <c r="M29" s="100">
        <v>-15.499072183533563</v>
      </c>
      <c r="N29" s="96">
        <v>4.8828125E-4</v>
      </c>
      <c r="O29" s="96">
        <f t="shared" si="3"/>
        <v>1.611328125E-2</v>
      </c>
      <c r="Q29" s="96">
        <f t="shared" si="0"/>
        <v>0</v>
      </c>
      <c r="R29" s="96">
        <f t="shared" si="1"/>
        <v>0</v>
      </c>
      <c r="S29" s="96">
        <f t="shared" si="2"/>
        <v>1</v>
      </c>
    </row>
    <row r="30" spans="1:19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-3.9944331012013521</v>
      </c>
      <c r="H30">
        <v>7.6612180056514559E-3</v>
      </c>
      <c r="I30">
        <v>-1.1424188011305803</v>
      </c>
      <c r="J30" s="96">
        <v>-8.7523194892163512E-3</v>
      </c>
      <c r="L30" s="100"/>
      <c r="M30" s="100">
        <v>-15.499072183533563</v>
      </c>
      <c r="N30" s="96">
        <v>9.765625E-4</v>
      </c>
      <c r="O30" s="96">
        <f t="shared" si="3"/>
        <v>1.708984375E-2</v>
      </c>
      <c r="Q30" s="96">
        <f t="shared" si="0"/>
        <v>0</v>
      </c>
      <c r="R30" s="96">
        <f t="shared" si="1"/>
        <v>0</v>
      </c>
      <c r="S30" s="96">
        <f t="shared" si="2"/>
        <v>1</v>
      </c>
    </row>
    <row r="31" spans="1:19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-0.5537080305622587</v>
      </c>
      <c r="H31">
        <v>1.932559496921088E-3</v>
      </c>
      <c r="I31">
        <v>-1.0186283163365246</v>
      </c>
      <c r="J31" s="96">
        <v>-1.9685598265688888E-3</v>
      </c>
      <c r="L31" s="100"/>
      <c r="M31" s="100">
        <v>-15.499072183533563</v>
      </c>
      <c r="N31" s="96">
        <v>4.8828125E-4</v>
      </c>
      <c r="O31" s="96">
        <f t="shared" si="3"/>
        <v>1.7578125E-2</v>
      </c>
      <c r="Q31" s="96">
        <f t="shared" si="0"/>
        <v>0</v>
      </c>
      <c r="R31" s="96">
        <f t="shared" si="1"/>
        <v>0</v>
      </c>
      <c r="S31" s="96">
        <f t="shared" si="2"/>
        <v>1</v>
      </c>
    </row>
    <row r="32" spans="1:19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-11.499072183533562</v>
      </c>
      <c r="H32">
        <v>7.6612180056514559E-3</v>
      </c>
      <c r="I32">
        <v>-1.4671216295477303</v>
      </c>
      <c r="J32" s="96">
        <v>-1.1239938644771776E-2</v>
      </c>
      <c r="L32" s="100"/>
      <c r="M32" s="100">
        <v>-14.60163586688383</v>
      </c>
      <c r="N32" s="96">
        <v>9.765625E-4</v>
      </c>
      <c r="O32" s="96">
        <f t="shared" si="3"/>
        <v>1.85546875E-2</v>
      </c>
      <c r="Q32" s="96">
        <f t="shared" si="0"/>
        <v>0</v>
      </c>
      <c r="R32" s="96">
        <f t="shared" si="1"/>
        <v>0</v>
      </c>
      <c r="S32" s="96">
        <f t="shared" si="2"/>
        <v>1</v>
      </c>
    </row>
    <row r="33" spans="1:19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-5.495360917667794</v>
      </c>
      <c r="H33">
        <v>7.6612180056514559E-3</v>
      </c>
      <c r="I33">
        <v>-1.2010290094938023</v>
      </c>
      <c r="J33" s="96">
        <v>-9.2013450728436509E-3</v>
      </c>
      <c r="L33" s="100"/>
      <c r="M33" s="100">
        <v>-14.60163586688383</v>
      </c>
      <c r="N33" s="96">
        <v>1.953125E-3</v>
      </c>
      <c r="O33" s="96">
        <f t="shared" si="3"/>
        <v>2.05078125E-2</v>
      </c>
      <c r="Q33" s="96">
        <f t="shared" si="0"/>
        <v>0</v>
      </c>
      <c r="R33" s="96">
        <f t="shared" si="1"/>
        <v>0</v>
      </c>
      <c r="S33" s="96">
        <f t="shared" si="2"/>
        <v>1</v>
      </c>
    </row>
    <row r="34" spans="1:19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-1.607294633344857</v>
      </c>
      <c r="H34">
        <v>1.932559496921088E-3</v>
      </c>
      <c r="I34">
        <v>-1.0550376861699764</v>
      </c>
      <c r="J34" s="96">
        <v>-2.0389231000174381E-3</v>
      </c>
      <c r="L34" s="100"/>
      <c r="M34" s="100">
        <v>-14.60163586688383</v>
      </c>
      <c r="N34" s="96">
        <v>9.765625E-4</v>
      </c>
      <c r="O34" s="96">
        <f t="shared" si="3"/>
        <v>2.1484375E-2</v>
      </c>
      <c r="Q34" s="96">
        <f t="shared" si="0"/>
        <v>0</v>
      </c>
      <c r="R34" s="96">
        <f t="shared" si="1"/>
        <v>0</v>
      </c>
      <c r="S34" s="96">
        <f t="shared" si="2"/>
        <v>1</v>
      </c>
    </row>
    <row r="35" spans="1:19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-13</v>
      </c>
      <c r="H35">
        <v>1.932559496921088E-3</v>
      </c>
      <c r="I35">
        <v>-1.5423902651101746</v>
      </c>
      <c r="J35" s="96">
        <v>-2.9807609547973027E-3</v>
      </c>
      <c r="L35" s="100"/>
      <c r="M35" s="100">
        <v>-14.5</v>
      </c>
      <c r="N35" s="96">
        <v>4.8828125E-4</v>
      </c>
      <c r="O35" s="96">
        <f t="shared" si="3"/>
        <v>2.197265625E-2</v>
      </c>
      <c r="Q35" s="96">
        <f t="shared" si="0"/>
        <v>0</v>
      </c>
      <c r="R35" s="96">
        <f t="shared" si="1"/>
        <v>0</v>
      </c>
      <c r="S35" s="96">
        <f t="shared" si="2"/>
        <v>1</v>
      </c>
    </row>
    <row r="36" spans="1:19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-6.9962887341342359</v>
      </c>
      <c r="H36">
        <v>1.932559496921088E-3</v>
      </c>
      <c r="I36">
        <v>-1.2626461331152299</v>
      </c>
      <c r="J36" s="96">
        <v>-2.4401387758025256E-3</v>
      </c>
      <c r="L36" s="100"/>
      <c r="M36" s="100">
        <v>-14.5</v>
      </c>
      <c r="N36" s="96">
        <v>9.765625E-4</v>
      </c>
      <c r="O36" s="96">
        <f t="shared" si="3"/>
        <v>2.294921875E-2</v>
      </c>
      <c r="Q36" s="96">
        <f t="shared" si="0"/>
        <v>0</v>
      </c>
      <c r="R36" s="96">
        <f t="shared" si="1"/>
        <v>0</v>
      </c>
      <c r="S36" s="96">
        <f t="shared" si="2"/>
        <v>1</v>
      </c>
    </row>
    <row r="37" spans="1:19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-2.6920034286358208</v>
      </c>
      <c r="H37">
        <v>4.8749248570982399E-4</v>
      </c>
      <c r="I37">
        <v>-1.0938826678142417</v>
      </c>
      <c r="J37" s="96">
        <v>-5.3325958080765838E-4</v>
      </c>
      <c r="L37" s="100"/>
      <c r="M37" s="100">
        <v>-14.5</v>
      </c>
      <c r="N37" s="96">
        <v>4.8828125E-4</v>
      </c>
      <c r="O37" s="96">
        <f t="shared" si="3"/>
        <v>2.34375E-2</v>
      </c>
      <c r="Q37" s="96">
        <f t="shared" si="0"/>
        <v>0</v>
      </c>
      <c r="R37" s="96">
        <f t="shared" si="1"/>
        <v>0</v>
      </c>
      <c r="S37" s="96">
        <f t="shared" si="2"/>
        <v>1</v>
      </c>
    </row>
    <row r="38" spans="1:19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-11.498144367067116</v>
      </c>
      <c r="H38">
        <v>7.6612180056514559E-3</v>
      </c>
      <c r="I38">
        <v>-1.4670762562624962</v>
      </c>
      <c r="J38" s="96">
        <v>-1.1239591030141965E-2</v>
      </c>
      <c r="L38" s="100"/>
      <c r="M38" s="100">
        <v>-14.5</v>
      </c>
      <c r="N38" s="96">
        <v>9.765625E-4</v>
      </c>
      <c r="O38" s="96">
        <f t="shared" si="3"/>
        <v>2.44140625E-2</v>
      </c>
      <c r="Q38" s="96">
        <f t="shared" si="0"/>
        <v>0</v>
      </c>
      <c r="R38" s="96">
        <f t="shared" si="1"/>
        <v>0</v>
      </c>
      <c r="S38" s="96">
        <f t="shared" si="2"/>
        <v>1</v>
      </c>
    </row>
    <row r="39" spans="1:19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-5.4944331012013539</v>
      </c>
      <c r="H39">
        <v>7.6612180056514559E-3</v>
      </c>
      <c r="I39">
        <v>-1.2009918655851279</v>
      </c>
      <c r="J39" s="96">
        <v>-9.2010605052617149E-3</v>
      </c>
      <c r="L39" s="100"/>
      <c r="M39" s="100">
        <v>-14.5</v>
      </c>
      <c r="N39" s="96">
        <v>1.953125E-3</v>
      </c>
      <c r="O39" s="96">
        <f t="shared" si="3"/>
        <v>2.63671875E-2</v>
      </c>
      <c r="Q39" s="96">
        <f t="shared" si="0"/>
        <v>0</v>
      </c>
      <c r="R39" s="96">
        <f t="shared" si="1"/>
        <v>0</v>
      </c>
      <c r="S39" s="96">
        <f t="shared" si="2"/>
        <v>1</v>
      </c>
    </row>
    <row r="40" spans="1:19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-1.7109222562879141</v>
      </c>
      <c r="H40">
        <v>1.932559496921088E-3</v>
      </c>
      <c r="I40">
        <v>-1.0586883559616826</v>
      </c>
      <c r="J40" s="96">
        <v>-2.0459782365935229E-3</v>
      </c>
      <c r="L40" s="100"/>
      <c r="M40" s="100">
        <v>-14.5</v>
      </c>
      <c r="N40" s="96">
        <v>9.765625E-4</v>
      </c>
      <c r="O40" s="96">
        <f t="shared" si="3"/>
        <v>2.734375E-2</v>
      </c>
      <c r="Q40" s="96">
        <f t="shared" si="0"/>
        <v>0</v>
      </c>
      <c r="R40" s="96">
        <f t="shared" si="1"/>
        <v>0</v>
      </c>
      <c r="S40" s="96">
        <f t="shared" si="2"/>
        <v>1</v>
      </c>
    </row>
    <row r="41" spans="1:19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-12.999072183533562</v>
      </c>
      <c r="H41">
        <v>7.6612180056514559E-3</v>
      </c>
      <c r="I41">
        <v>-1.5423425640116213</v>
      </c>
      <c r="J41" s="96">
        <v>-1.1816222622288467E-2</v>
      </c>
      <c r="L41" s="100"/>
      <c r="M41" s="100">
        <v>-14.5</v>
      </c>
      <c r="N41" s="96">
        <v>4.8828125E-4</v>
      </c>
      <c r="O41" s="96">
        <f t="shared" si="3"/>
        <v>2.783203125E-2</v>
      </c>
      <c r="Q41" s="96">
        <f t="shared" si="0"/>
        <v>0</v>
      </c>
      <c r="R41" s="96">
        <f t="shared" si="1"/>
        <v>0</v>
      </c>
      <c r="S41" s="96">
        <f t="shared" si="2"/>
        <v>1</v>
      </c>
    </row>
    <row r="42" spans="1:19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-6.995360917667794</v>
      </c>
      <c r="H42">
        <v>7.6612180056514559E-3</v>
      </c>
      <c r="I42">
        <v>-1.2626070835899597</v>
      </c>
      <c r="J42" s="96">
        <v>-9.6731081228624716E-3</v>
      </c>
      <c r="L42" s="100"/>
      <c r="M42" s="100">
        <v>-14.5</v>
      </c>
      <c r="N42" s="96">
        <v>9.765625E-4</v>
      </c>
      <c r="O42" s="96">
        <f t="shared" si="3"/>
        <v>2.880859375E-2</v>
      </c>
      <c r="Q42" s="96">
        <f t="shared" si="0"/>
        <v>0</v>
      </c>
      <c r="R42" s="96">
        <f t="shared" si="1"/>
        <v>0</v>
      </c>
      <c r="S42" s="96">
        <f t="shared" si="2"/>
        <v>1</v>
      </c>
    </row>
    <row r="43" spans="1:19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-2.7917339750834369</v>
      </c>
      <c r="H43">
        <v>1.932559496921088E-3</v>
      </c>
      <c r="I43">
        <v>-1.0975251694780861</v>
      </c>
      <c r="J43" s="96">
        <v>-2.121032689384802E-3</v>
      </c>
      <c r="L43" s="100"/>
      <c r="M43" s="100">
        <v>-14.5</v>
      </c>
      <c r="N43" s="96">
        <v>4.8828125E-4</v>
      </c>
      <c r="O43" s="96">
        <f t="shared" si="3"/>
        <v>2.9296875E-2</v>
      </c>
      <c r="Q43" s="96">
        <f t="shared" si="0"/>
        <v>0</v>
      </c>
      <c r="R43" s="96">
        <f t="shared" si="1"/>
        <v>0</v>
      </c>
      <c r="S43" s="96">
        <f t="shared" si="2"/>
        <v>1</v>
      </c>
    </row>
    <row r="44" spans="1:19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-14.5</v>
      </c>
      <c r="H44">
        <v>1.932559496921088E-3</v>
      </c>
      <c r="I44">
        <v>-1.6214703050420796</v>
      </c>
      <c r="J44" s="96">
        <v>-3.1335878369846042E-3</v>
      </c>
      <c r="L44" s="100"/>
      <c r="M44" s="100">
        <v>-14.5</v>
      </c>
      <c r="N44" s="96">
        <v>9.765625E-4</v>
      </c>
      <c r="O44" s="96">
        <f t="shared" si="3"/>
        <v>3.02734375E-2</v>
      </c>
      <c r="Q44" s="96">
        <f t="shared" si="0"/>
        <v>0</v>
      </c>
      <c r="R44" s="96">
        <f t="shared" si="1"/>
        <v>0</v>
      </c>
      <c r="S44" s="96">
        <f t="shared" si="2"/>
        <v>1</v>
      </c>
    </row>
    <row r="45" spans="1:19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-8.4962887341342359</v>
      </c>
      <c r="H45">
        <v>1.932559496921088E-3</v>
      </c>
      <c r="I45">
        <v>-1.3273833846949947</v>
      </c>
      <c r="J45" s="96">
        <v>-2.5652473661475698E-3</v>
      </c>
      <c r="L45" s="100"/>
      <c r="M45" s="100">
        <v>-14.5</v>
      </c>
      <c r="N45" s="96">
        <v>1.953125E-3</v>
      </c>
      <c r="O45" s="96">
        <f t="shared" si="3"/>
        <v>3.22265625E-2</v>
      </c>
      <c r="Q45" s="96">
        <f t="shared" si="0"/>
        <v>0</v>
      </c>
      <c r="R45" s="96">
        <f t="shared" si="1"/>
        <v>0</v>
      </c>
      <c r="S45" s="96">
        <f t="shared" si="2"/>
        <v>1</v>
      </c>
    </row>
    <row r="46" spans="1:19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-3.9935052847349115</v>
      </c>
      <c r="H46">
        <v>4.8749248570982399E-4</v>
      </c>
      <c r="I46">
        <v>-1.1423834698444235</v>
      </c>
      <c r="J46" s="96">
        <v>-5.5690335734827183E-4</v>
      </c>
      <c r="L46" s="100"/>
      <c r="M46" s="100">
        <v>-14.5</v>
      </c>
      <c r="N46" s="96">
        <v>9.765625E-4</v>
      </c>
      <c r="O46" s="96">
        <f t="shared" si="3"/>
        <v>3.3203125E-2</v>
      </c>
      <c r="Q46" s="96">
        <f t="shared" si="0"/>
        <v>0</v>
      </c>
      <c r="R46" s="96">
        <f t="shared" si="1"/>
        <v>0</v>
      </c>
      <c r="S46" s="96">
        <f t="shared" si="2"/>
        <v>1</v>
      </c>
    </row>
    <row r="47" spans="1:19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-13.998144367067118</v>
      </c>
      <c r="H47">
        <v>1.932559496921088E-3</v>
      </c>
      <c r="I47">
        <v>-1.5945711238881513</v>
      </c>
      <c r="J47" s="96">
        <v>-3.0816035689861794E-3</v>
      </c>
      <c r="L47" s="100"/>
      <c r="M47" s="100">
        <v>-14.5</v>
      </c>
      <c r="N47" s="96">
        <v>1.953125E-3</v>
      </c>
      <c r="O47" s="96">
        <f t="shared" si="3"/>
        <v>3.515625E-2</v>
      </c>
      <c r="Q47" s="96">
        <f t="shared" si="0"/>
        <v>0</v>
      </c>
      <c r="R47" s="96">
        <f t="shared" si="1"/>
        <v>0</v>
      </c>
      <c r="S47" s="96">
        <f t="shared" si="2"/>
        <v>1</v>
      </c>
    </row>
    <row r="48" spans="1:19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-7.9944331012013539</v>
      </c>
      <c r="H48">
        <v>1.932559496921088E-3</v>
      </c>
      <c r="I48">
        <v>-1.305362922146531</v>
      </c>
      <c r="J48" s="96">
        <v>-2.5226915121229414E-3</v>
      </c>
      <c r="L48" s="100"/>
      <c r="M48" s="100">
        <v>-14.5</v>
      </c>
      <c r="N48" s="96">
        <v>3.90625E-3</v>
      </c>
      <c r="O48" s="96">
        <f t="shared" si="3"/>
        <v>3.90625E-2</v>
      </c>
      <c r="Q48" s="96">
        <f t="shared" si="0"/>
        <v>0</v>
      </c>
      <c r="R48" s="96">
        <f t="shared" si="1"/>
        <v>0</v>
      </c>
      <c r="S48" s="96">
        <f t="shared" si="2"/>
        <v>1</v>
      </c>
    </row>
    <row r="49" spans="1:19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-3.6925488061003531</v>
      </c>
      <c r="H49">
        <v>4.8749248570982399E-4</v>
      </c>
      <c r="I49">
        <v>-1.1309805051994639</v>
      </c>
      <c r="J49" s="96">
        <v>-5.5134449776903915E-4</v>
      </c>
      <c r="L49" s="100"/>
      <c r="M49" s="100">
        <v>-14.5</v>
      </c>
      <c r="N49" s="96">
        <v>1.953125E-3</v>
      </c>
      <c r="O49" s="96">
        <f t="shared" si="3"/>
        <v>4.1015625E-2</v>
      </c>
      <c r="Q49" s="96">
        <f t="shared" si="0"/>
        <v>0</v>
      </c>
      <c r="R49" s="96">
        <f t="shared" si="1"/>
        <v>0</v>
      </c>
      <c r="S49" s="96">
        <f t="shared" si="2"/>
        <v>1</v>
      </c>
    </row>
    <row r="50" spans="1:19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-15.499072183533563</v>
      </c>
      <c r="H50">
        <v>1.932559496921088E-3</v>
      </c>
      <c r="I50">
        <v>-1.6763783785731865</v>
      </c>
      <c r="J50" s="96">
        <v>-3.2397009559447863E-3</v>
      </c>
      <c r="L50" s="100"/>
      <c r="M50" s="100">
        <v>-14.5</v>
      </c>
      <c r="N50" s="96">
        <v>9.765625E-4</v>
      </c>
      <c r="O50" s="96">
        <f t="shared" si="3"/>
        <v>4.19921875E-2</v>
      </c>
      <c r="Q50" s="96">
        <f t="shared" si="0"/>
        <v>0</v>
      </c>
      <c r="R50" s="96">
        <f t="shared" si="1"/>
        <v>0</v>
      </c>
      <c r="S50" s="96">
        <f t="shared" si="2"/>
        <v>1</v>
      </c>
    </row>
    <row r="51" spans="1:19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-9.495360917667794</v>
      </c>
      <c r="H51">
        <v>1.932559496921088E-3</v>
      </c>
      <c r="I51">
        <v>-1.3723327521081159</v>
      </c>
      <c r="J51" s="96">
        <v>-2.6521146930223926E-3</v>
      </c>
      <c r="L51" s="100"/>
      <c r="M51" s="100">
        <v>-14.5</v>
      </c>
      <c r="N51" s="96">
        <v>1.953125E-3</v>
      </c>
      <c r="O51" s="96">
        <f t="shared" si="3"/>
        <v>4.39453125E-2</v>
      </c>
      <c r="Q51" s="96">
        <f t="shared" si="0"/>
        <v>0</v>
      </c>
      <c r="R51" s="96">
        <f t="shared" si="1"/>
        <v>0</v>
      </c>
      <c r="S51" s="96">
        <f t="shared" si="2"/>
        <v>1</v>
      </c>
    </row>
    <row r="52" spans="1:19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-4.9925774682684709</v>
      </c>
      <c r="H52">
        <v>4.8749248570982399E-4</v>
      </c>
      <c r="I52">
        <v>-1.1810681595164372</v>
      </c>
      <c r="J52" s="96">
        <v>-5.7576185287539492E-4</v>
      </c>
      <c r="L52" s="100"/>
      <c r="M52" s="100">
        <v>-14.5</v>
      </c>
      <c r="N52" s="96">
        <v>9.765625E-4</v>
      </c>
      <c r="O52" s="96">
        <f t="shared" si="3"/>
        <v>4.4921875E-2</v>
      </c>
      <c r="Q52" s="96">
        <f t="shared" si="0"/>
        <v>0</v>
      </c>
      <c r="R52" s="96">
        <f t="shared" si="1"/>
        <v>0</v>
      </c>
      <c r="S52" s="96">
        <f t="shared" si="2"/>
        <v>1</v>
      </c>
    </row>
    <row r="53" spans="1:19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-17</v>
      </c>
      <c r="H53">
        <v>4.8749248570982405E-4</v>
      </c>
      <c r="I53">
        <v>-1.7623826407286585</v>
      </c>
      <c r="J53" s="96">
        <v>-8.5914829430065753E-4</v>
      </c>
      <c r="L53" s="100"/>
      <c r="M53" s="100">
        <v>-14.5</v>
      </c>
      <c r="N53" s="96">
        <v>4.8828125E-4</v>
      </c>
      <c r="O53" s="96">
        <f t="shared" si="3"/>
        <v>4.541015625E-2</v>
      </c>
      <c r="Q53" s="96">
        <f t="shared" si="0"/>
        <v>0</v>
      </c>
      <c r="R53" s="96">
        <f t="shared" si="1"/>
        <v>0</v>
      </c>
      <c r="S53" s="96">
        <f t="shared" si="2"/>
        <v>1</v>
      </c>
    </row>
    <row r="54" spans="1:19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-10.996288734134236</v>
      </c>
      <c r="H54">
        <v>4.8749248570982405E-4</v>
      </c>
      <c r="I54">
        <v>-1.442738376092185</v>
      </c>
      <c r="J54" s="96">
        <v>-7.033241171901343E-4</v>
      </c>
      <c r="L54" s="100"/>
      <c r="M54" s="100">
        <v>-14.5</v>
      </c>
      <c r="N54" s="96">
        <v>9.765625E-4</v>
      </c>
      <c r="O54" s="96">
        <f t="shared" si="3"/>
        <v>4.638671875E-2</v>
      </c>
      <c r="Q54" s="96">
        <f t="shared" si="0"/>
        <v>0</v>
      </c>
      <c r="R54" s="96">
        <f t="shared" si="1"/>
        <v>0</v>
      </c>
      <c r="S54" s="96">
        <f t="shared" si="2"/>
        <v>1</v>
      </c>
    </row>
    <row r="55" spans="1:19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-6.4935052847349111</v>
      </c>
      <c r="H55">
        <v>1.2297107747635201E-4</v>
      </c>
      <c r="I55">
        <v>-1.2416612194800165</v>
      </c>
      <c r="J55" s="96">
        <v>-1.5268841802005883E-4</v>
      </c>
      <c r="L55" s="100"/>
      <c r="M55" s="100">
        <v>-14.5</v>
      </c>
      <c r="N55" s="96">
        <v>4.8828125E-4</v>
      </c>
      <c r="O55" s="96">
        <f t="shared" si="3"/>
        <v>4.6875E-2</v>
      </c>
      <c r="Q55" s="96">
        <f t="shared" si="0"/>
        <v>0</v>
      </c>
      <c r="R55" s="96">
        <f t="shared" si="1"/>
        <v>0</v>
      </c>
      <c r="S55" s="96">
        <f t="shared" si="2"/>
        <v>1</v>
      </c>
    </row>
    <row r="56" spans="1:19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-9.9981443670671162</v>
      </c>
      <c r="H56">
        <v>1.932559496921088E-3</v>
      </c>
      <c r="I56">
        <v>-1.3955261029432362</v>
      </c>
      <c r="J56" s="96">
        <v>-2.696937223444227E-3</v>
      </c>
      <c r="L56" s="100"/>
      <c r="M56" s="100">
        <v>-14.5</v>
      </c>
      <c r="N56" s="96">
        <v>9.765625E-4</v>
      </c>
      <c r="O56" s="96">
        <f t="shared" si="3"/>
        <v>4.78515625E-2</v>
      </c>
      <c r="Q56" s="96">
        <f t="shared" si="0"/>
        <v>0</v>
      </c>
      <c r="R56" s="96">
        <f t="shared" si="1"/>
        <v>0</v>
      </c>
      <c r="S56" s="96">
        <f t="shared" si="2"/>
        <v>1</v>
      </c>
    </row>
    <row r="57" spans="1:19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-3.9944331012013521</v>
      </c>
      <c r="H57">
        <v>1.932559496921088E-3</v>
      </c>
      <c r="I57">
        <v>-1.1424188011305803</v>
      </c>
      <c r="J57" s="96">
        <v>-2.2077923035861064E-3</v>
      </c>
      <c r="L57" s="100"/>
      <c r="M57" s="100">
        <v>-14.5</v>
      </c>
      <c r="N57" s="96">
        <v>1.953125E-3</v>
      </c>
      <c r="O57" s="96">
        <f t="shared" si="3"/>
        <v>4.98046875E-2</v>
      </c>
      <c r="Q57" s="96">
        <f t="shared" si="0"/>
        <v>0</v>
      </c>
      <c r="R57" s="96">
        <f t="shared" si="1"/>
        <v>0</v>
      </c>
      <c r="S57" s="96">
        <f t="shared" si="2"/>
        <v>1</v>
      </c>
    </row>
    <row r="58" spans="1:19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-0.5537080305622587</v>
      </c>
      <c r="H58">
        <v>4.8749248570982399E-4</v>
      </c>
      <c r="I58">
        <v>-1.0186283163365246</v>
      </c>
      <c r="J58" s="96">
        <v>-4.965736499453053E-4</v>
      </c>
      <c r="L58" s="100"/>
      <c r="M58" s="100">
        <v>-14.5</v>
      </c>
      <c r="N58" s="96">
        <v>9.765625E-4</v>
      </c>
      <c r="O58" s="96">
        <f t="shared" si="3"/>
        <v>5.078125E-2</v>
      </c>
      <c r="Q58" s="96">
        <f t="shared" si="0"/>
        <v>0</v>
      </c>
      <c r="R58" s="96">
        <f t="shared" si="1"/>
        <v>0</v>
      </c>
      <c r="S58" s="96">
        <f t="shared" si="2"/>
        <v>1</v>
      </c>
    </row>
    <row r="59" spans="1:19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-11.499072183533562</v>
      </c>
      <c r="H59">
        <v>1.932559496921088E-3</v>
      </c>
      <c r="I59">
        <v>-1.4671216295477303</v>
      </c>
      <c r="J59" s="96">
        <v>-2.8352998383208085E-3</v>
      </c>
      <c r="L59" s="100"/>
      <c r="M59" s="100">
        <v>-14.5</v>
      </c>
      <c r="N59" s="96">
        <v>4.8828125E-4</v>
      </c>
      <c r="O59" s="96">
        <f t="shared" si="3"/>
        <v>5.126953125E-2</v>
      </c>
      <c r="Q59" s="96">
        <f t="shared" si="0"/>
        <v>0</v>
      </c>
      <c r="R59" s="96">
        <f t="shared" si="1"/>
        <v>0</v>
      </c>
      <c r="S59" s="96">
        <f t="shared" si="2"/>
        <v>1</v>
      </c>
    </row>
    <row r="60" spans="1:19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-5.495360917667794</v>
      </c>
      <c r="H60">
        <v>1.932559496921088E-3</v>
      </c>
      <c r="I60">
        <v>-1.2010290094938023</v>
      </c>
      <c r="J60" s="96">
        <v>-2.3210600183749754E-3</v>
      </c>
      <c r="L60" s="100"/>
      <c r="M60" s="100">
        <v>-14.5</v>
      </c>
      <c r="N60" s="96">
        <v>9.765625E-4</v>
      </c>
      <c r="O60" s="96">
        <f t="shared" si="3"/>
        <v>5.224609375E-2</v>
      </c>
      <c r="Q60" s="96">
        <f t="shared" si="0"/>
        <v>0</v>
      </c>
      <c r="R60" s="96">
        <f t="shared" si="1"/>
        <v>0</v>
      </c>
      <c r="S60" s="96">
        <f t="shared" si="2"/>
        <v>1</v>
      </c>
    </row>
    <row r="61" spans="1:19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-1.607294633344857</v>
      </c>
      <c r="H61">
        <v>4.8749248570982399E-4</v>
      </c>
      <c r="I61">
        <v>-1.0550376861699764</v>
      </c>
      <c r="J61" s="96">
        <v>-5.1432294414854298E-4</v>
      </c>
      <c r="L61" s="100"/>
      <c r="M61" s="100">
        <v>-14.5</v>
      </c>
      <c r="N61" s="96">
        <v>4.8828125E-4</v>
      </c>
      <c r="O61" s="96">
        <f t="shared" si="3"/>
        <v>5.2734375E-2</v>
      </c>
      <c r="Q61" s="96">
        <f t="shared" si="0"/>
        <v>0</v>
      </c>
      <c r="R61" s="96">
        <f t="shared" si="1"/>
        <v>0</v>
      </c>
      <c r="S61" s="96">
        <f t="shared" si="2"/>
        <v>1</v>
      </c>
    </row>
    <row r="62" spans="1:19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-13</v>
      </c>
      <c r="H62">
        <v>4.8749248570982405E-4</v>
      </c>
      <c r="I62">
        <v>-1.5423902651101746</v>
      </c>
      <c r="J62" s="96">
        <v>-7.5190366427319358E-4</v>
      </c>
      <c r="L62" s="100"/>
      <c r="M62" s="100">
        <v>-14.393219174018933</v>
      </c>
      <c r="N62" s="96">
        <v>4.8828125E-4</v>
      </c>
      <c r="O62" s="96">
        <f t="shared" si="3"/>
        <v>5.322265625E-2</v>
      </c>
      <c r="Q62" s="96">
        <f t="shared" si="0"/>
        <v>0</v>
      </c>
      <c r="R62" s="96">
        <f t="shared" si="1"/>
        <v>0</v>
      </c>
      <c r="S62" s="96">
        <f t="shared" si="2"/>
        <v>1</v>
      </c>
    </row>
    <row r="63" spans="1:19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-6.9962887341342359</v>
      </c>
      <c r="H63">
        <v>4.8749248570982405E-4</v>
      </c>
      <c r="I63">
        <v>-1.2626461331152299</v>
      </c>
      <c r="J63" s="96">
        <v>-6.1553050200424079E-4</v>
      </c>
      <c r="L63" s="100"/>
      <c r="M63" s="100">
        <v>-14.393219174018933</v>
      </c>
      <c r="N63" s="96">
        <v>9.765625E-4</v>
      </c>
      <c r="O63" s="96">
        <f t="shared" si="3"/>
        <v>5.419921875E-2</v>
      </c>
      <c r="Q63" s="96">
        <f t="shared" si="0"/>
        <v>0</v>
      </c>
      <c r="R63" s="96">
        <f t="shared" si="1"/>
        <v>0</v>
      </c>
      <c r="S63" s="96">
        <f t="shared" si="2"/>
        <v>1</v>
      </c>
    </row>
    <row r="64" spans="1:19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-2.6920034286358208</v>
      </c>
      <c r="H64">
        <v>1.2297107747635201E-4</v>
      </c>
      <c r="I64">
        <v>-1.0938826678142417</v>
      </c>
      <c r="J64" s="96">
        <v>-1.3451593029382376E-4</v>
      </c>
      <c r="L64" s="100"/>
      <c r="M64" s="100">
        <v>-14.393219174018933</v>
      </c>
      <c r="N64" s="96">
        <v>4.8828125E-4</v>
      </c>
      <c r="O64" s="96">
        <f t="shared" si="3"/>
        <v>5.46875E-2</v>
      </c>
      <c r="Q64" s="96">
        <f t="shared" si="0"/>
        <v>0</v>
      </c>
      <c r="R64" s="96">
        <f t="shared" si="1"/>
        <v>0</v>
      </c>
      <c r="S64" s="96">
        <f t="shared" si="2"/>
        <v>1</v>
      </c>
    </row>
    <row r="65" spans="1:19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-11.498144367067116</v>
      </c>
      <c r="H65">
        <v>1.932559496921088E-3</v>
      </c>
      <c r="I65">
        <v>-1.4670762562624962</v>
      </c>
      <c r="J65" s="96">
        <v>-2.8352121517475227E-3</v>
      </c>
      <c r="L65" s="100"/>
      <c r="M65" s="100">
        <v>-13.998144367067118</v>
      </c>
      <c r="N65" s="96">
        <v>2.44140625E-4</v>
      </c>
      <c r="O65" s="96">
        <f t="shared" si="3"/>
        <v>5.4931640625E-2</v>
      </c>
      <c r="Q65" s="96">
        <f t="shared" si="0"/>
        <v>0</v>
      </c>
      <c r="R65" s="96">
        <f t="shared" si="1"/>
        <v>0</v>
      </c>
      <c r="S65" s="96">
        <f t="shared" si="2"/>
        <v>1</v>
      </c>
    </row>
    <row r="66" spans="1:19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-5.4944331012013539</v>
      </c>
      <c r="H66">
        <v>1.932559496921088E-3</v>
      </c>
      <c r="I66">
        <v>-1.2009918655851279</v>
      </c>
      <c r="J66" s="96">
        <v>-2.3209882355615138E-3</v>
      </c>
      <c r="L66" s="100"/>
      <c r="M66" s="100">
        <v>-13.998144367067118</v>
      </c>
      <c r="N66" s="96">
        <v>4.8828125E-4</v>
      </c>
      <c r="O66" s="96">
        <f t="shared" si="3"/>
        <v>5.5419921875E-2</v>
      </c>
      <c r="Q66" s="96">
        <f t="shared" si="0"/>
        <v>0</v>
      </c>
      <c r="R66" s="96">
        <f t="shared" si="1"/>
        <v>0</v>
      </c>
      <c r="S66" s="96">
        <f t="shared" si="2"/>
        <v>1</v>
      </c>
    </row>
    <row r="67" spans="1:19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-1.7109222562879141</v>
      </c>
      <c r="H67">
        <v>4.8749248570982399E-4</v>
      </c>
      <c r="I67">
        <v>-1.0586883559616826</v>
      </c>
      <c r="J67" s="96">
        <v>-5.161026182398076E-4</v>
      </c>
      <c r="L67" s="100"/>
      <c r="M67" s="100">
        <v>-13.998144367067118</v>
      </c>
      <c r="N67" s="96">
        <v>2.44140625E-4</v>
      </c>
      <c r="O67" s="96">
        <f t="shared" si="3"/>
        <v>5.56640625E-2</v>
      </c>
      <c r="Q67" s="96">
        <f t="shared" ref="Q67:Q130" si="4">IF(A67=3,1,0)</f>
        <v>0</v>
      </c>
      <c r="R67" s="96">
        <f t="shared" ref="R67:R130" si="5">IF(A67=2,1,0)</f>
        <v>0</v>
      </c>
      <c r="S67" s="96">
        <f t="shared" ref="S67:S130" si="6">IF(A67=1,1,0)</f>
        <v>1</v>
      </c>
    </row>
    <row r="68" spans="1:19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-12.999072183533562</v>
      </c>
      <c r="H68">
        <v>1.932559496921088E-3</v>
      </c>
      <c r="I68">
        <v>-1.5423425640116213</v>
      </c>
      <c r="J68" s="96">
        <v>-2.9806687695862798E-3</v>
      </c>
      <c r="L68" s="100"/>
      <c r="M68" s="100">
        <v>-13.247680458833893</v>
      </c>
      <c r="N68" s="96">
        <v>9.765625E-4</v>
      </c>
      <c r="O68" s="96">
        <f t="shared" ref="O68:O131" si="7">N68+O67</f>
        <v>5.6640625E-2</v>
      </c>
      <c r="Q68" s="96">
        <f t="shared" si="4"/>
        <v>0</v>
      </c>
      <c r="R68" s="96">
        <f t="shared" si="5"/>
        <v>0</v>
      </c>
      <c r="S68" s="96">
        <f t="shared" si="6"/>
        <v>1</v>
      </c>
    </row>
    <row r="69" spans="1:19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-6.995360917667794</v>
      </c>
      <c r="H69">
        <v>1.932559496921088E-3</v>
      </c>
      <c r="I69">
        <v>-1.2626070835899597</v>
      </c>
      <c r="J69" s="96">
        <v>-2.4400633102716145E-3</v>
      </c>
      <c r="L69" s="100"/>
      <c r="M69" s="100">
        <v>-13.247680458833893</v>
      </c>
      <c r="N69" s="96">
        <v>1.953125E-3</v>
      </c>
      <c r="O69" s="96">
        <f t="shared" si="7"/>
        <v>5.859375E-2</v>
      </c>
      <c r="Q69" s="96">
        <f t="shared" si="4"/>
        <v>0</v>
      </c>
      <c r="R69" s="96">
        <f t="shared" si="5"/>
        <v>0</v>
      </c>
      <c r="S69" s="96">
        <f t="shared" si="6"/>
        <v>1</v>
      </c>
    </row>
    <row r="70" spans="1:19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-2.7917339750834369</v>
      </c>
      <c r="H70">
        <v>4.8749248570982399E-4</v>
      </c>
      <c r="I70">
        <v>-1.0975251694780861</v>
      </c>
      <c r="J70" s="96">
        <v>-5.3503527299796809E-4</v>
      </c>
      <c r="L70" s="100"/>
      <c r="M70" s="100">
        <v>-13.247680458833893</v>
      </c>
      <c r="N70" s="96">
        <v>9.765625E-4</v>
      </c>
      <c r="O70" s="96">
        <f t="shared" si="7"/>
        <v>5.95703125E-2</v>
      </c>
      <c r="Q70" s="96">
        <f t="shared" si="4"/>
        <v>0</v>
      </c>
      <c r="R70" s="96">
        <f t="shared" si="5"/>
        <v>0</v>
      </c>
      <c r="S70" s="96">
        <f t="shared" si="6"/>
        <v>1</v>
      </c>
    </row>
    <row r="71" spans="1:19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-14.5</v>
      </c>
      <c r="H71">
        <v>4.8749248570982405E-4</v>
      </c>
      <c r="I71">
        <v>-1.6214703050420796</v>
      </c>
      <c r="J71" s="96">
        <v>-7.9045458950963003E-4</v>
      </c>
      <c r="L71" s="100"/>
      <c r="M71" s="100">
        <v>-13</v>
      </c>
      <c r="N71" s="96">
        <v>2.44140625E-4</v>
      </c>
      <c r="O71" s="96">
        <f t="shared" si="7"/>
        <v>5.9814453125E-2</v>
      </c>
      <c r="Q71" s="96">
        <f t="shared" si="4"/>
        <v>0</v>
      </c>
      <c r="R71" s="96">
        <f t="shared" si="5"/>
        <v>0</v>
      </c>
      <c r="S71" s="96">
        <f t="shared" si="6"/>
        <v>1</v>
      </c>
    </row>
    <row r="72" spans="1:19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-8.4962887341342359</v>
      </c>
      <c r="H72">
        <v>4.8749248570982405E-4</v>
      </c>
      <c r="I72">
        <v>-1.3273833846949947</v>
      </c>
      <c r="J72" s="96">
        <v>-6.4708942569488255E-4</v>
      </c>
      <c r="L72" s="100"/>
      <c r="M72" s="100">
        <v>-13</v>
      </c>
      <c r="N72" s="96">
        <v>4.8828125E-4</v>
      </c>
      <c r="O72" s="96">
        <f t="shared" si="7"/>
        <v>6.0302734375E-2</v>
      </c>
      <c r="Q72" s="96">
        <f t="shared" si="4"/>
        <v>0</v>
      </c>
      <c r="R72" s="96">
        <f t="shared" si="5"/>
        <v>0</v>
      </c>
      <c r="S72" s="96">
        <f t="shared" si="6"/>
        <v>1</v>
      </c>
    </row>
    <row r="73" spans="1:19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-3.9935052847349115</v>
      </c>
      <c r="H73">
        <v>1.2297107747635201E-4</v>
      </c>
      <c r="I73">
        <v>-1.1423834698444235</v>
      </c>
      <c r="J73" s="96">
        <v>-1.4048012617794245E-4</v>
      </c>
      <c r="L73" s="100"/>
      <c r="M73" s="100">
        <v>-13</v>
      </c>
      <c r="N73" s="96">
        <v>2.44140625E-4</v>
      </c>
      <c r="O73" s="96">
        <f t="shared" si="7"/>
        <v>6.0546875E-2</v>
      </c>
      <c r="Q73" s="96">
        <f t="shared" si="4"/>
        <v>0</v>
      </c>
      <c r="R73" s="96">
        <f t="shared" si="5"/>
        <v>0</v>
      </c>
      <c r="S73" s="96">
        <f t="shared" si="6"/>
        <v>1</v>
      </c>
    </row>
    <row r="74" spans="1:19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-13.998144367067118</v>
      </c>
      <c r="H74">
        <v>4.8749248570982405E-4</v>
      </c>
      <c r="I74">
        <v>-1.5945711238881513</v>
      </c>
      <c r="J74" s="96">
        <v>-7.7734144082534267E-4</v>
      </c>
      <c r="L74" s="100"/>
      <c r="M74" s="100">
        <v>-13</v>
      </c>
      <c r="N74" s="96">
        <v>4.8828125E-4</v>
      </c>
      <c r="O74" s="96">
        <f t="shared" si="7"/>
        <v>6.103515625E-2</v>
      </c>
      <c r="Q74" s="96">
        <f t="shared" si="4"/>
        <v>0</v>
      </c>
      <c r="R74" s="96">
        <f t="shared" si="5"/>
        <v>0</v>
      </c>
      <c r="S74" s="96">
        <f t="shared" si="6"/>
        <v>1</v>
      </c>
    </row>
    <row r="75" spans="1:19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-7.9944331012013539</v>
      </c>
      <c r="H75">
        <v>4.8749248570982405E-4</v>
      </c>
      <c r="I75">
        <v>-1.305362922146531</v>
      </c>
      <c r="J75" s="96">
        <v>-6.3635461567065194E-4</v>
      </c>
      <c r="L75" s="100"/>
      <c r="M75" s="100">
        <v>-13</v>
      </c>
      <c r="N75" s="96">
        <v>9.765625E-4</v>
      </c>
      <c r="O75" s="96">
        <f t="shared" si="7"/>
        <v>6.201171875E-2</v>
      </c>
      <c r="Q75" s="96">
        <f t="shared" si="4"/>
        <v>0</v>
      </c>
      <c r="R75" s="96">
        <f t="shared" si="5"/>
        <v>0</v>
      </c>
      <c r="S75" s="96">
        <f t="shared" si="6"/>
        <v>1</v>
      </c>
    </row>
    <row r="76" spans="1:19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-3.6925488061003531</v>
      </c>
      <c r="H76">
        <v>1.2297107747635201E-4</v>
      </c>
      <c r="I76">
        <v>-1.1309805051994639</v>
      </c>
      <c r="J76" s="96">
        <v>-1.39077891329127E-4</v>
      </c>
      <c r="L76" s="100"/>
      <c r="M76" s="100">
        <v>-13</v>
      </c>
      <c r="N76" s="96">
        <v>4.8828125E-4</v>
      </c>
      <c r="O76" s="96">
        <f t="shared" si="7"/>
        <v>6.25E-2</v>
      </c>
      <c r="Q76" s="96">
        <f t="shared" si="4"/>
        <v>0</v>
      </c>
      <c r="R76" s="96">
        <f t="shared" si="5"/>
        <v>0</v>
      </c>
      <c r="S76" s="96">
        <f t="shared" si="6"/>
        <v>1</v>
      </c>
    </row>
    <row r="77" spans="1:19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-15.499072183533563</v>
      </c>
      <c r="H77">
        <v>4.8749248570982405E-4</v>
      </c>
      <c r="I77">
        <v>-1.6763783785731865</v>
      </c>
      <c r="J77" s="96">
        <v>-8.1722186276084717E-4</v>
      </c>
      <c r="L77" s="100"/>
      <c r="M77" s="100">
        <v>-13</v>
      </c>
      <c r="N77" s="96">
        <v>2.44140625E-4</v>
      </c>
      <c r="O77" s="96">
        <f t="shared" si="7"/>
        <v>6.2744140625E-2</v>
      </c>
      <c r="Q77" s="96">
        <f t="shared" si="4"/>
        <v>0</v>
      </c>
      <c r="R77" s="96">
        <f t="shared" si="5"/>
        <v>0</v>
      </c>
      <c r="S77" s="96">
        <f t="shared" si="6"/>
        <v>1</v>
      </c>
    </row>
    <row r="78" spans="1:19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-9.495360917667794</v>
      </c>
      <c r="H78">
        <v>4.8749248570982405E-4</v>
      </c>
      <c r="I78">
        <v>-1.3723327521081159</v>
      </c>
      <c r="J78" s="96">
        <v>-6.6900190454618916E-4</v>
      </c>
      <c r="L78" s="100"/>
      <c r="M78" s="100">
        <v>-13</v>
      </c>
      <c r="N78" s="96">
        <v>4.8828125E-4</v>
      </c>
      <c r="O78" s="96">
        <f t="shared" si="7"/>
        <v>6.3232421875E-2</v>
      </c>
      <c r="Q78" s="96">
        <f t="shared" si="4"/>
        <v>0</v>
      </c>
      <c r="R78" s="96">
        <f t="shared" si="5"/>
        <v>0</v>
      </c>
      <c r="S78" s="96">
        <f t="shared" si="6"/>
        <v>1</v>
      </c>
    </row>
    <row r="79" spans="1:19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-4.9925774682684709</v>
      </c>
      <c r="H79">
        <v>1.2297107747635201E-4</v>
      </c>
      <c r="I79">
        <v>-1.1810681595164372</v>
      </c>
      <c r="J79" s="96">
        <v>-1.4523722414874827E-4</v>
      </c>
      <c r="L79" s="100"/>
      <c r="M79" s="100">
        <v>-13</v>
      </c>
      <c r="N79" s="96">
        <v>2.44140625E-4</v>
      </c>
      <c r="O79" s="96">
        <f t="shared" si="7"/>
        <v>6.34765625E-2</v>
      </c>
      <c r="Q79" s="96">
        <f t="shared" si="4"/>
        <v>0</v>
      </c>
      <c r="R79" s="96">
        <f t="shared" si="5"/>
        <v>0</v>
      </c>
      <c r="S79" s="96">
        <f t="shared" si="6"/>
        <v>1</v>
      </c>
    </row>
    <row r="80" spans="1:19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-17</v>
      </c>
      <c r="H80">
        <v>1.2297107747635201E-4</v>
      </c>
      <c r="I80">
        <v>-1.7623826407286585</v>
      </c>
      <c r="J80" s="96">
        <v>-2.167220922560217E-4</v>
      </c>
      <c r="L80" s="100"/>
      <c r="M80" s="100">
        <v>-13</v>
      </c>
      <c r="N80" s="96">
        <v>4.8828125E-4</v>
      </c>
      <c r="O80" s="96">
        <f t="shared" si="7"/>
        <v>6.396484375E-2</v>
      </c>
      <c r="Q80" s="96">
        <f t="shared" si="4"/>
        <v>0</v>
      </c>
      <c r="R80" s="96">
        <f t="shared" si="5"/>
        <v>0</v>
      </c>
      <c r="S80" s="96">
        <f t="shared" si="6"/>
        <v>1</v>
      </c>
    </row>
    <row r="81" spans="1:19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-10.996288734134236</v>
      </c>
      <c r="H81">
        <v>1.2297107747635201E-4</v>
      </c>
      <c r="I81">
        <v>-1.442738376092185</v>
      </c>
      <c r="J81" s="96">
        <v>-1.7741509262453838E-4</v>
      </c>
      <c r="L81" s="100"/>
      <c r="M81" s="100">
        <v>-13</v>
      </c>
      <c r="N81" s="96">
        <v>9.765625E-4</v>
      </c>
      <c r="O81" s="96">
        <f t="shared" si="7"/>
        <v>6.494140625E-2</v>
      </c>
      <c r="Q81" s="96">
        <f t="shared" si="4"/>
        <v>0</v>
      </c>
      <c r="R81" s="96">
        <f t="shared" si="5"/>
        <v>0</v>
      </c>
      <c r="S81" s="96">
        <f t="shared" si="6"/>
        <v>1</v>
      </c>
    </row>
    <row r="82" spans="1:19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-6.4935052847349111</v>
      </c>
      <c r="H82">
        <v>3.1019731255295997E-5</v>
      </c>
      <c r="I82">
        <v>-1.2416612194800165</v>
      </c>
      <c r="J82" s="96">
        <v>-3.8515997338393214E-5</v>
      </c>
      <c r="L82" s="100"/>
      <c r="M82" s="100">
        <v>-13</v>
      </c>
      <c r="N82" s="96">
        <v>4.8828125E-4</v>
      </c>
      <c r="O82" s="96">
        <f t="shared" si="7"/>
        <v>6.54296875E-2</v>
      </c>
      <c r="Q82" s="96">
        <f t="shared" si="4"/>
        <v>0</v>
      </c>
      <c r="R82" s="96">
        <f t="shared" si="5"/>
        <v>0</v>
      </c>
      <c r="S82" s="96">
        <f t="shared" si="6"/>
        <v>1</v>
      </c>
    </row>
    <row r="83" spans="1:19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-8.2032717337676591</v>
      </c>
      <c r="H83">
        <v>7.6612180056514559E-3</v>
      </c>
      <c r="I83">
        <v>-1.3144816312235683</v>
      </c>
      <c r="J83" s="96">
        <v>-1.0070530341228099E-2</v>
      </c>
      <c r="L83" s="100"/>
      <c r="M83" s="100">
        <v>-13</v>
      </c>
      <c r="N83" s="96">
        <v>9.765625E-4</v>
      </c>
      <c r="O83" s="96">
        <f t="shared" si="7"/>
        <v>6.640625E-2</v>
      </c>
      <c r="Q83" s="96">
        <f t="shared" si="4"/>
        <v>0</v>
      </c>
      <c r="R83" s="96">
        <f t="shared" si="5"/>
        <v>0</v>
      </c>
      <c r="S83" s="96">
        <f t="shared" si="6"/>
        <v>1</v>
      </c>
    </row>
    <row r="84" spans="1:19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-0.19301833094307452</v>
      </c>
      <c r="H84">
        <v>7.6612180056514559E-3</v>
      </c>
      <c r="I84">
        <v>-1.0064546866458464</v>
      </c>
      <c r="J84" s="96">
        <v>-7.7106687672034522E-3</v>
      </c>
      <c r="L84" s="100"/>
      <c r="M84" s="100">
        <v>-13</v>
      </c>
      <c r="N84" s="96">
        <v>1.953125E-3</v>
      </c>
      <c r="O84" s="96">
        <f t="shared" si="7"/>
        <v>6.8359375E-2</v>
      </c>
      <c r="Q84" s="96">
        <f t="shared" si="4"/>
        <v>0</v>
      </c>
      <c r="R84" s="96">
        <f t="shared" si="5"/>
        <v>0</v>
      </c>
      <c r="S84" s="96">
        <f t="shared" si="6"/>
        <v>1</v>
      </c>
    </row>
    <row r="85" spans="1:19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4.5951686554850308</v>
      </c>
      <c r="H85">
        <v>1.932559496921088E-3</v>
      </c>
      <c r="I85">
        <v>-0.85798188865028724</v>
      </c>
      <c r="J85" s="96">
        <v>-1.658101047097404E-3</v>
      </c>
      <c r="L85" s="100"/>
      <c r="M85" s="100">
        <v>-13</v>
      </c>
      <c r="N85" s="96">
        <v>9.765625E-4</v>
      </c>
      <c r="O85" s="96">
        <f t="shared" si="7"/>
        <v>6.93359375E-2</v>
      </c>
      <c r="Q85" s="96">
        <f t="shared" si="4"/>
        <v>0</v>
      </c>
      <c r="R85" s="96">
        <f t="shared" si="5"/>
        <v>0</v>
      </c>
      <c r="S85" s="96">
        <f t="shared" si="6"/>
        <v>1</v>
      </c>
    </row>
    <row r="86" spans="1:19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-10.60163586688383</v>
      </c>
      <c r="H86">
        <v>7.6612180056514559E-3</v>
      </c>
      <c r="I86">
        <v>-1.4238833068989094</v>
      </c>
      <c r="J86" s="96">
        <v>-1.0908680428760463E-2</v>
      </c>
      <c r="L86" s="100"/>
      <c r="M86" s="100">
        <v>-13</v>
      </c>
      <c r="N86" s="96">
        <v>4.8828125E-4</v>
      </c>
      <c r="O86" s="96">
        <f t="shared" si="7"/>
        <v>6.982421875E-2</v>
      </c>
      <c r="Q86" s="96">
        <f t="shared" si="4"/>
        <v>0</v>
      </c>
      <c r="R86" s="96">
        <f t="shared" si="5"/>
        <v>0</v>
      </c>
      <c r="S86" s="96">
        <f t="shared" si="6"/>
        <v>1</v>
      </c>
    </row>
    <row r="87" spans="1:19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-1.8499864674531208</v>
      </c>
      <c r="H87">
        <v>7.6612180056514559E-3</v>
      </c>
      <c r="I87">
        <v>-1.0636072699382935</v>
      </c>
      <c r="J87" s="96">
        <v>-8.148527167393043E-3</v>
      </c>
      <c r="L87" s="100"/>
      <c r="M87" s="100">
        <v>-13</v>
      </c>
      <c r="N87" s="96">
        <v>9.765625E-4</v>
      </c>
      <c r="O87" s="96">
        <f t="shared" si="7"/>
        <v>7.080078125E-2</v>
      </c>
      <c r="Q87" s="96">
        <f t="shared" si="4"/>
        <v>0</v>
      </c>
      <c r="R87" s="96">
        <f t="shared" si="5"/>
        <v>0</v>
      </c>
      <c r="S87" s="96">
        <f t="shared" si="6"/>
        <v>1</v>
      </c>
    </row>
    <row r="88" spans="1:19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3.0137144708029968</v>
      </c>
      <c r="H88">
        <v>1.932559496921088E-3</v>
      </c>
      <c r="I88">
        <v>-0.90442386702534561</v>
      </c>
      <c r="J88" s="96">
        <v>-1.7478529334619269E-3</v>
      </c>
      <c r="L88" s="100"/>
      <c r="M88" s="100">
        <v>-13</v>
      </c>
      <c r="N88" s="96">
        <v>4.8828125E-4</v>
      </c>
      <c r="O88" s="96">
        <f t="shared" si="7"/>
        <v>7.12890625E-2</v>
      </c>
      <c r="Q88" s="96">
        <f t="shared" si="4"/>
        <v>0</v>
      </c>
      <c r="R88" s="96">
        <f t="shared" si="5"/>
        <v>0</v>
      </c>
      <c r="S88" s="96">
        <f t="shared" si="6"/>
        <v>1</v>
      </c>
    </row>
    <row r="89" spans="1:19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-13</v>
      </c>
      <c r="H89">
        <v>1.932559496921088E-3</v>
      </c>
      <c r="I89">
        <v>-1.5423902651101746</v>
      </c>
      <c r="J89" s="96">
        <v>-2.9807609547973027E-3</v>
      </c>
      <c r="L89" s="100"/>
      <c r="M89" s="100">
        <v>-13</v>
      </c>
      <c r="N89" s="96">
        <v>2.44140625E-4</v>
      </c>
      <c r="O89" s="96">
        <f t="shared" si="7"/>
        <v>7.1533203125E-2</v>
      </c>
      <c r="Q89" s="96">
        <f t="shared" si="4"/>
        <v>0</v>
      </c>
      <c r="R89" s="96">
        <f t="shared" si="5"/>
        <v>0</v>
      </c>
      <c r="S89" s="96">
        <f t="shared" si="6"/>
        <v>1</v>
      </c>
    </row>
    <row r="90" spans="1:19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-3.5617458222870511</v>
      </c>
      <c r="H90">
        <v>1.932559496921088E-3</v>
      </c>
      <c r="I90">
        <v>-1.1260600523359159</v>
      </c>
      <c r="J90" s="96">
        <v>-2.1761780482452316E-3</v>
      </c>
      <c r="L90" s="100"/>
      <c r="M90" s="100">
        <v>-13</v>
      </c>
      <c r="N90" s="96">
        <v>4.8828125E-4</v>
      </c>
      <c r="O90" s="96">
        <f t="shared" si="7"/>
        <v>7.2021484375E-2</v>
      </c>
      <c r="Q90" s="96">
        <f t="shared" si="4"/>
        <v>0</v>
      </c>
      <c r="R90" s="96">
        <f t="shared" si="5"/>
        <v>0</v>
      </c>
      <c r="S90" s="96">
        <f t="shared" si="6"/>
        <v>1</v>
      </c>
    </row>
    <row r="91" spans="1:19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1.4230314944119988</v>
      </c>
      <c r="H91">
        <v>4.8749248570982399E-4</v>
      </c>
      <c r="I91">
        <v>-0.95367304810376152</v>
      </c>
      <c r="J91" s="96">
        <v>-4.6490844477456726E-4</v>
      </c>
      <c r="L91" s="100"/>
      <c r="M91" s="100">
        <v>-13</v>
      </c>
      <c r="N91" s="96">
        <v>2.44140625E-4</v>
      </c>
      <c r="O91" s="96">
        <f t="shared" si="7"/>
        <v>7.2265625E-2</v>
      </c>
      <c r="Q91" s="96">
        <f t="shared" si="4"/>
        <v>0</v>
      </c>
      <c r="R91" s="96">
        <f t="shared" si="5"/>
        <v>0</v>
      </c>
      <c r="S91" s="96">
        <f t="shared" si="6"/>
        <v>1</v>
      </c>
    </row>
    <row r="92" spans="1:19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-9.7032717337676591</v>
      </c>
      <c r="H92">
        <v>7.6612180056514559E-3</v>
      </c>
      <c r="I92">
        <v>-1.381876545622545</v>
      </c>
      <c r="J92" s="96">
        <v>-1.0586857472910877E-2</v>
      </c>
      <c r="L92" s="100"/>
      <c r="M92" s="100">
        <v>-13</v>
      </c>
      <c r="N92" s="96">
        <v>4.8828125E-4</v>
      </c>
      <c r="O92" s="96">
        <f t="shared" si="7"/>
        <v>7.275390625E-2</v>
      </c>
      <c r="Q92" s="96">
        <f t="shared" si="4"/>
        <v>0</v>
      </c>
      <c r="R92" s="96">
        <f t="shared" si="5"/>
        <v>0</v>
      </c>
      <c r="S92" s="96">
        <f t="shared" si="6"/>
        <v>1</v>
      </c>
    </row>
    <row r="93" spans="1:19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-1.3604288056436586</v>
      </c>
      <c r="H93">
        <v>7.6612180056514559E-3</v>
      </c>
      <c r="I93">
        <v>-1.0463915504943231</v>
      </c>
      <c r="J93" s="96">
        <v>-8.0166337876086523E-3</v>
      </c>
      <c r="L93" s="100"/>
      <c r="M93" s="100">
        <v>-13</v>
      </c>
      <c r="N93" s="96">
        <v>9.765625E-4</v>
      </c>
      <c r="O93" s="96">
        <f t="shared" si="7"/>
        <v>7.373046875E-2</v>
      </c>
      <c r="Q93" s="96">
        <f t="shared" si="4"/>
        <v>0</v>
      </c>
      <c r="R93" s="96">
        <f t="shared" si="5"/>
        <v>0</v>
      </c>
      <c r="S93" s="96">
        <f t="shared" si="6"/>
        <v>1</v>
      </c>
    </row>
    <row r="94" spans="1:19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3.483101077794271</v>
      </c>
      <c r="H94">
        <v>1.932559496921088E-3</v>
      </c>
      <c r="I94">
        <v>-0.89038318029005281</v>
      </c>
      <c r="J94" s="96">
        <v>-1.7207184709683429E-3</v>
      </c>
      <c r="L94" s="100"/>
      <c r="M94" s="100">
        <v>-13</v>
      </c>
      <c r="N94" s="96">
        <v>4.8828125E-4</v>
      </c>
      <c r="O94" s="96">
        <f t="shared" si="7"/>
        <v>7.421875E-2</v>
      </c>
      <c r="Q94" s="96">
        <f t="shared" si="4"/>
        <v>0</v>
      </c>
      <c r="R94" s="96">
        <f t="shared" si="5"/>
        <v>0</v>
      </c>
      <c r="S94" s="96">
        <f t="shared" si="6"/>
        <v>1</v>
      </c>
    </row>
    <row r="95" spans="1:19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-12.10163586688383</v>
      </c>
      <c r="H95">
        <v>7.6612180056514559E-3</v>
      </c>
      <c r="I95">
        <v>-1.4968873651551353</v>
      </c>
      <c r="J95" s="96">
        <v>-1.1467980434358689E-2</v>
      </c>
      <c r="L95" s="100"/>
      <c r="M95" s="100">
        <v>-13</v>
      </c>
      <c r="N95" s="96">
        <v>2.44140625E-4</v>
      </c>
      <c r="O95" s="96">
        <f t="shared" si="7"/>
        <v>7.4462890625E-2</v>
      </c>
      <c r="Q95" s="96">
        <f t="shared" si="4"/>
        <v>0</v>
      </c>
      <c r="R95" s="96">
        <f t="shared" si="5"/>
        <v>0</v>
      </c>
      <c r="S95" s="96">
        <f t="shared" si="6"/>
        <v>1</v>
      </c>
    </row>
    <row r="96" spans="1:19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-3.0420332032869952</v>
      </c>
      <c r="H96">
        <v>7.6612180056514559E-3</v>
      </c>
      <c r="I96">
        <v>-1.1067204658252923</v>
      </c>
      <c r="J96" s="96">
        <v>-8.4788267600036955E-3</v>
      </c>
      <c r="L96" s="100"/>
      <c r="M96" s="100">
        <v>-13</v>
      </c>
      <c r="N96" s="96">
        <v>4.8828125E-4</v>
      </c>
      <c r="O96" s="96">
        <f t="shared" si="7"/>
        <v>7.4951171875E-2</v>
      </c>
      <c r="Q96" s="96">
        <f t="shared" si="4"/>
        <v>0</v>
      </c>
      <c r="R96" s="96">
        <f t="shared" si="5"/>
        <v>0</v>
      </c>
      <c r="S96" s="96">
        <f t="shared" si="6"/>
        <v>1</v>
      </c>
    </row>
    <row r="97" spans="1:19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1.8979415442510021</v>
      </c>
      <c r="H97">
        <v>1.932559496921088E-3</v>
      </c>
      <c r="I97">
        <v>-0.93869495121327207</v>
      </c>
      <c r="J97" s="96">
        <v>-1.8140838426790862E-3</v>
      </c>
      <c r="L97" s="100"/>
      <c r="M97" s="100">
        <v>-13</v>
      </c>
      <c r="N97" s="96">
        <v>2.44140625E-4</v>
      </c>
      <c r="O97" s="96">
        <f t="shared" si="7"/>
        <v>7.51953125E-2</v>
      </c>
      <c r="Q97" s="96">
        <f t="shared" si="4"/>
        <v>0</v>
      </c>
      <c r="R97" s="96">
        <f t="shared" si="5"/>
        <v>0</v>
      </c>
      <c r="S97" s="96">
        <f t="shared" si="6"/>
        <v>1</v>
      </c>
    </row>
    <row r="98" spans="1:19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-14.5</v>
      </c>
      <c r="H98">
        <v>1.932559496921088E-3</v>
      </c>
      <c r="I98">
        <v>-1.6214703050420796</v>
      </c>
      <c r="J98" s="96">
        <v>-3.1335878369846042E-3</v>
      </c>
      <c r="L98" s="100"/>
      <c r="M98" s="100">
        <v>-12.999072183533562</v>
      </c>
      <c r="N98" s="96">
        <v>9.765625E-4</v>
      </c>
      <c r="O98" s="96">
        <f t="shared" si="7"/>
        <v>7.6171875E-2</v>
      </c>
      <c r="Q98" s="96">
        <f t="shared" si="4"/>
        <v>0</v>
      </c>
      <c r="R98" s="96">
        <f t="shared" si="5"/>
        <v>0</v>
      </c>
      <c r="S98" s="96">
        <f t="shared" si="6"/>
        <v>1</v>
      </c>
    </row>
    <row r="99" spans="1:19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-4.9065434675353217</v>
      </c>
      <c r="H99">
        <v>1.932559496921088E-3</v>
      </c>
      <c r="I99">
        <v>-1.1776859442961809</v>
      </c>
      <c r="J99" s="96">
        <v>-2.275948156040064E-3</v>
      </c>
      <c r="L99" s="100"/>
      <c r="M99" s="100">
        <v>-12.999072183533562</v>
      </c>
      <c r="N99" s="96">
        <v>1.953125E-3</v>
      </c>
      <c r="O99" s="96">
        <f t="shared" si="7"/>
        <v>7.8125E-2</v>
      </c>
      <c r="Q99" s="96">
        <f t="shared" si="4"/>
        <v>0</v>
      </c>
      <c r="R99" s="96">
        <f t="shared" si="5"/>
        <v>0</v>
      </c>
      <c r="S99" s="96">
        <f t="shared" si="6"/>
        <v>1</v>
      </c>
    </row>
    <row r="100" spans="1:19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0.28222818173536612</v>
      </c>
      <c r="H100">
        <v>4.8749248570982399E-4</v>
      </c>
      <c r="I100">
        <v>-0.99063650702680317</v>
      </c>
      <c r="J100" s="96">
        <v>-4.8292785324539379E-4</v>
      </c>
      <c r="L100" s="100"/>
      <c r="M100" s="100">
        <v>-12.999072183533562</v>
      </c>
      <c r="N100" s="96">
        <v>9.765625E-4</v>
      </c>
      <c r="O100" s="96">
        <f t="shared" si="7"/>
        <v>7.91015625E-2</v>
      </c>
      <c r="Q100" s="96">
        <f t="shared" si="4"/>
        <v>0</v>
      </c>
      <c r="R100" s="96">
        <f t="shared" si="5"/>
        <v>0</v>
      </c>
      <c r="S100" s="96">
        <f t="shared" si="6"/>
        <v>1</v>
      </c>
    </row>
    <row r="101" spans="1:19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-12.203271733767659</v>
      </c>
      <c r="H101">
        <v>1.932559496921088E-3</v>
      </c>
      <c r="I101">
        <v>-1.5019672133755515</v>
      </c>
      <c r="J101" s="96">
        <v>-2.9026410022730243E-3</v>
      </c>
      <c r="L101" s="100"/>
      <c r="M101" s="100">
        <v>-12.203271733767659</v>
      </c>
      <c r="N101" s="96">
        <v>4.8828125E-4</v>
      </c>
      <c r="O101" s="96">
        <f t="shared" si="7"/>
        <v>7.958984375E-2</v>
      </c>
      <c r="Q101" s="96">
        <f t="shared" si="4"/>
        <v>0</v>
      </c>
      <c r="R101" s="96">
        <f t="shared" si="5"/>
        <v>0</v>
      </c>
      <c r="S101" s="96">
        <f t="shared" si="6"/>
        <v>1</v>
      </c>
    </row>
    <row r="102" spans="1:19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-3.3325607143886926</v>
      </c>
      <c r="H102">
        <v>1.932559496921088E-3</v>
      </c>
      <c r="I102">
        <v>-1.1174902885656834</v>
      </c>
      <c r="J102" s="96">
        <v>-2.1596164698846985E-3</v>
      </c>
      <c r="L102" s="100"/>
      <c r="M102" s="100">
        <v>-12.203271733767659</v>
      </c>
      <c r="N102" s="96">
        <v>9.765625E-4</v>
      </c>
      <c r="O102" s="96">
        <f t="shared" si="7"/>
        <v>8.056640625E-2</v>
      </c>
      <c r="Q102" s="96">
        <f t="shared" si="4"/>
        <v>0</v>
      </c>
      <c r="R102" s="96">
        <f t="shared" si="5"/>
        <v>0</v>
      </c>
      <c r="S102" s="96">
        <f t="shared" si="6"/>
        <v>1</v>
      </c>
    </row>
    <row r="103" spans="1:19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1.6123160523055924</v>
      </c>
      <c r="H103">
        <v>4.8749248570982399E-4</v>
      </c>
      <c r="I103">
        <v>-0.94767480487351008</v>
      </c>
      <c r="J103" s="96">
        <v>-4.6198434627235983E-4</v>
      </c>
      <c r="L103" s="100"/>
      <c r="M103" s="100">
        <v>-12.203271733767659</v>
      </c>
      <c r="N103" s="96">
        <v>4.8828125E-4</v>
      </c>
      <c r="O103" s="96">
        <f t="shared" si="7"/>
        <v>8.10546875E-2</v>
      </c>
      <c r="Q103" s="96">
        <f t="shared" si="4"/>
        <v>0</v>
      </c>
      <c r="R103" s="96">
        <f t="shared" si="5"/>
        <v>0</v>
      </c>
      <c r="S103" s="96">
        <f t="shared" si="6"/>
        <v>1</v>
      </c>
    </row>
    <row r="104" spans="1:19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-14.60163586688383</v>
      </c>
      <c r="H104">
        <v>1.932559496921088E-3</v>
      </c>
      <c r="I104">
        <v>-1.6269729388642791</v>
      </c>
      <c r="J104" s="96">
        <v>-3.1442220042357753E-3</v>
      </c>
      <c r="L104" s="100"/>
      <c r="M104" s="100">
        <v>-12.10163586688383</v>
      </c>
      <c r="N104" s="96">
        <v>1.953125E-3</v>
      </c>
      <c r="O104" s="96">
        <f t="shared" si="7"/>
        <v>8.30078125E-2</v>
      </c>
      <c r="Q104" s="96">
        <f t="shared" si="4"/>
        <v>0</v>
      </c>
      <c r="R104" s="96">
        <f t="shared" si="5"/>
        <v>0</v>
      </c>
      <c r="S104" s="96">
        <f t="shared" si="6"/>
        <v>1</v>
      </c>
    </row>
    <row r="105" spans="1:19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-5.0596113222263472</v>
      </c>
      <c r="H105">
        <v>1.932559496921088E-3</v>
      </c>
      <c r="I105">
        <v>-1.1837101618277797</v>
      </c>
      <c r="J105" s="96">
        <v>-2.2875903148422733E-3</v>
      </c>
      <c r="L105" s="100"/>
      <c r="M105" s="100">
        <v>-12.10163586688383</v>
      </c>
      <c r="N105" s="96">
        <v>3.90625E-3</v>
      </c>
      <c r="O105" s="96">
        <f t="shared" si="7"/>
        <v>8.69140625E-2</v>
      </c>
      <c r="Q105" s="96">
        <f t="shared" si="4"/>
        <v>0</v>
      </c>
      <c r="R105" s="96">
        <f t="shared" si="5"/>
        <v>0</v>
      </c>
      <c r="S105" s="96">
        <f t="shared" si="6"/>
        <v>1</v>
      </c>
    </row>
    <row r="106" spans="1:19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-3.3973102100479657E-3</v>
      </c>
      <c r="H106">
        <v>4.8749248570982399E-4</v>
      </c>
      <c r="I106">
        <v>-1.0001132500859751</v>
      </c>
      <c r="J106" s="96">
        <v>-4.8754769427574281E-4</v>
      </c>
      <c r="L106" s="100"/>
      <c r="M106" s="100">
        <v>-12.10163586688383</v>
      </c>
      <c r="N106" s="96">
        <v>1.953125E-3</v>
      </c>
      <c r="O106" s="96">
        <f t="shared" si="7"/>
        <v>8.88671875E-2</v>
      </c>
      <c r="Q106" s="96">
        <f t="shared" si="4"/>
        <v>0</v>
      </c>
      <c r="R106" s="96">
        <f t="shared" si="5"/>
        <v>0</v>
      </c>
      <c r="S106" s="96">
        <f t="shared" si="6"/>
        <v>1</v>
      </c>
    </row>
    <row r="107" spans="1:19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-17</v>
      </c>
      <c r="H107">
        <v>4.8749248570982405E-4</v>
      </c>
      <c r="I107">
        <v>-1.7623826407286585</v>
      </c>
      <c r="J107" s="96">
        <v>-8.5914829430065753E-4</v>
      </c>
      <c r="L107" s="100"/>
      <c r="M107" s="100">
        <v>-11.893219174018935</v>
      </c>
      <c r="N107" s="96">
        <v>9.765625E-4</v>
      </c>
      <c r="O107" s="96">
        <f t="shared" si="7"/>
        <v>8.984375E-2</v>
      </c>
      <c r="Q107" s="96">
        <f t="shared" si="4"/>
        <v>0</v>
      </c>
      <c r="R107" s="96">
        <f t="shared" si="5"/>
        <v>0</v>
      </c>
      <c r="S107" s="96">
        <f t="shared" si="6"/>
        <v>1</v>
      </c>
    </row>
    <row r="108" spans="1:19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-7.4065434675353199</v>
      </c>
      <c r="H108">
        <v>4.8749248570982405E-4</v>
      </c>
      <c r="I108">
        <v>-1.2800316219197514</v>
      </c>
      <c r="J108" s="96">
        <v>-6.2400579715683735E-4</v>
      </c>
      <c r="L108" s="100"/>
      <c r="M108" s="100">
        <v>-11.893219174018935</v>
      </c>
      <c r="N108" s="96">
        <v>1.953125E-3</v>
      </c>
      <c r="O108" s="96">
        <f t="shared" si="7"/>
        <v>9.1796875E-2</v>
      </c>
      <c r="Q108" s="96">
        <f t="shared" si="4"/>
        <v>0</v>
      </c>
      <c r="R108" s="96">
        <f t="shared" si="5"/>
        <v>0</v>
      </c>
      <c r="S108" s="96">
        <f t="shared" si="6"/>
        <v>1</v>
      </c>
    </row>
    <row r="109" spans="1:19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-1.6520230774009681</v>
      </c>
      <c r="H109">
        <v>1.2297107747635201E-4</v>
      </c>
      <c r="I109">
        <v>-1.05661186585927</v>
      </c>
      <c r="J109" s="96">
        <v>-1.2993269961901314E-4</v>
      </c>
      <c r="L109" s="100"/>
      <c r="M109" s="100">
        <v>-11.893219174018935</v>
      </c>
      <c r="N109" s="96">
        <v>9.765625E-4</v>
      </c>
      <c r="O109" s="96">
        <f t="shared" si="7"/>
        <v>9.27734375E-2</v>
      </c>
      <c r="Q109" s="96">
        <f t="shared" si="4"/>
        <v>0</v>
      </c>
      <c r="R109" s="96">
        <f t="shared" si="5"/>
        <v>0</v>
      </c>
      <c r="S109" s="96">
        <f t="shared" si="6"/>
        <v>1</v>
      </c>
    </row>
    <row r="110" spans="1:19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-8.2032717337676591</v>
      </c>
      <c r="H110">
        <v>7.6612180056514559E-3</v>
      </c>
      <c r="I110">
        <v>-1.3144816312235683</v>
      </c>
      <c r="J110" s="96">
        <v>-1.0070530341228099E-2</v>
      </c>
      <c r="L110" s="100"/>
      <c r="M110" s="100">
        <v>-11.786438348037867</v>
      </c>
      <c r="N110" s="96">
        <v>2.44140625E-4</v>
      </c>
      <c r="O110" s="96">
        <f t="shared" si="7"/>
        <v>9.3017578125E-2</v>
      </c>
      <c r="Q110" s="96">
        <f t="shared" si="4"/>
        <v>0</v>
      </c>
      <c r="R110" s="96">
        <f t="shared" si="5"/>
        <v>0</v>
      </c>
      <c r="S110" s="96">
        <f t="shared" si="6"/>
        <v>1</v>
      </c>
    </row>
    <row r="111" spans="1:19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-0.19301833094307452</v>
      </c>
      <c r="H111">
        <v>7.6612180056514559E-3</v>
      </c>
      <c r="I111">
        <v>-1.0064546866458464</v>
      </c>
      <c r="J111" s="96">
        <v>-7.7106687672034522E-3</v>
      </c>
      <c r="L111" s="100"/>
      <c r="M111" s="100">
        <v>-11.786438348037867</v>
      </c>
      <c r="N111" s="96">
        <v>4.8828125E-4</v>
      </c>
      <c r="O111" s="96">
        <f t="shared" si="7"/>
        <v>9.3505859375E-2</v>
      </c>
      <c r="Q111" s="96">
        <f t="shared" si="4"/>
        <v>0</v>
      </c>
      <c r="R111" s="96">
        <f t="shared" si="5"/>
        <v>0</v>
      </c>
      <c r="S111" s="96">
        <f t="shared" si="6"/>
        <v>1</v>
      </c>
    </row>
    <row r="112" spans="1:19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4.5951686554850308</v>
      </c>
      <c r="H112">
        <v>1.932559496921088E-3</v>
      </c>
      <c r="I112">
        <v>-0.85798188865028724</v>
      </c>
      <c r="J112" s="96">
        <v>-1.658101047097404E-3</v>
      </c>
      <c r="L112" s="100"/>
      <c r="M112" s="100">
        <v>-11.786438348037867</v>
      </c>
      <c r="N112" s="96">
        <v>2.44140625E-4</v>
      </c>
      <c r="O112" s="96">
        <f t="shared" si="7"/>
        <v>9.375E-2</v>
      </c>
      <c r="Q112" s="96">
        <f t="shared" si="4"/>
        <v>0</v>
      </c>
      <c r="R112" s="96">
        <f t="shared" si="5"/>
        <v>0</v>
      </c>
      <c r="S112" s="96">
        <f t="shared" si="6"/>
        <v>1</v>
      </c>
    </row>
    <row r="113" spans="1:19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-10.60163586688383</v>
      </c>
      <c r="H113">
        <v>7.6612180056514559E-3</v>
      </c>
      <c r="I113">
        <v>-1.4238833068989094</v>
      </c>
      <c r="J113" s="96">
        <v>-1.0908680428760463E-2</v>
      </c>
      <c r="L113" s="100"/>
      <c r="M113" s="100">
        <v>-11.499072183533562</v>
      </c>
      <c r="N113" s="96">
        <v>4.8828125E-4</v>
      </c>
      <c r="O113" s="96">
        <f t="shared" si="7"/>
        <v>9.423828125E-2</v>
      </c>
      <c r="Q113" s="96">
        <f t="shared" si="4"/>
        <v>0</v>
      </c>
      <c r="R113" s="96">
        <f t="shared" si="5"/>
        <v>0</v>
      </c>
      <c r="S113" s="96">
        <f t="shared" si="6"/>
        <v>1</v>
      </c>
    </row>
    <row r="114" spans="1:19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-1.8499864674531208</v>
      </c>
      <c r="H114">
        <v>7.6612180056514559E-3</v>
      </c>
      <c r="I114">
        <v>-1.0636072699382935</v>
      </c>
      <c r="J114" s="96">
        <v>-8.148527167393043E-3</v>
      </c>
      <c r="L114" s="100"/>
      <c r="M114" s="100">
        <v>-11.499072183533562</v>
      </c>
      <c r="N114" s="96">
        <v>9.765625E-4</v>
      </c>
      <c r="O114" s="96">
        <f t="shared" si="7"/>
        <v>9.521484375E-2</v>
      </c>
      <c r="Q114" s="96">
        <f t="shared" si="4"/>
        <v>0</v>
      </c>
      <c r="R114" s="96">
        <f t="shared" si="5"/>
        <v>0</v>
      </c>
      <c r="S114" s="96">
        <f t="shared" si="6"/>
        <v>1</v>
      </c>
    </row>
    <row r="115" spans="1:19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3.0137144708029968</v>
      </c>
      <c r="H115">
        <v>1.932559496921088E-3</v>
      </c>
      <c r="I115">
        <v>-0.90442386702534561</v>
      </c>
      <c r="J115" s="96">
        <v>-1.7478529334619269E-3</v>
      </c>
      <c r="L115" s="100"/>
      <c r="M115" s="100">
        <v>-11.499072183533562</v>
      </c>
      <c r="N115" s="96">
        <v>4.8828125E-4</v>
      </c>
      <c r="O115" s="96">
        <f t="shared" si="7"/>
        <v>9.5703125E-2</v>
      </c>
      <c r="Q115" s="96">
        <f t="shared" si="4"/>
        <v>0</v>
      </c>
      <c r="R115" s="96">
        <f t="shared" si="5"/>
        <v>0</v>
      </c>
      <c r="S115" s="96">
        <f t="shared" si="6"/>
        <v>1</v>
      </c>
    </row>
    <row r="116" spans="1:19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-13</v>
      </c>
      <c r="H116">
        <v>1.932559496921088E-3</v>
      </c>
      <c r="I116">
        <v>-1.5423902651101746</v>
      </c>
      <c r="J116" s="96">
        <v>-2.9807609547973027E-3</v>
      </c>
      <c r="L116" s="100"/>
      <c r="M116" s="100">
        <v>-11.498144367067116</v>
      </c>
      <c r="N116" s="96">
        <v>4.8828125E-4</v>
      </c>
      <c r="O116" s="96">
        <f t="shared" si="7"/>
        <v>9.619140625E-2</v>
      </c>
      <c r="Q116" s="96">
        <f t="shared" si="4"/>
        <v>0</v>
      </c>
      <c r="R116" s="96">
        <f t="shared" si="5"/>
        <v>0</v>
      </c>
      <c r="S116" s="96">
        <f t="shared" si="6"/>
        <v>1</v>
      </c>
    </row>
    <row r="117" spans="1:19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-3.5617458222870511</v>
      </c>
      <c r="H117">
        <v>1.932559496921088E-3</v>
      </c>
      <c r="I117">
        <v>-1.1260600523359159</v>
      </c>
      <c r="J117" s="96">
        <v>-2.1761780482452316E-3</v>
      </c>
      <c r="L117" s="100"/>
      <c r="M117" s="100">
        <v>-11.498144367067116</v>
      </c>
      <c r="N117" s="96">
        <v>9.765625E-4</v>
      </c>
      <c r="O117" s="96">
        <f t="shared" si="7"/>
        <v>9.716796875E-2</v>
      </c>
      <c r="Q117" s="96">
        <f t="shared" si="4"/>
        <v>0</v>
      </c>
      <c r="R117" s="96">
        <f t="shared" si="5"/>
        <v>0</v>
      </c>
      <c r="S117" s="96">
        <f t="shared" si="6"/>
        <v>1</v>
      </c>
    </row>
    <row r="118" spans="1:19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1.4230314944119988</v>
      </c>
      <c r="H118">
        <v>4.8749248570982399E-4</v>
      </c>
      <c r="I118">
        <v>-0.95367304810376152</v>
      </c>
      <c r="J118" s="96">
        <v>-4.6490844477456726E-4</v>
      </c>
      <c r="L118" s="100"/>
      <c r="M118" s="100">
        <v>-11.498144367067116</v>
      </c>
      <c r="N118" s="96">
        <v>4.8828125E-4</v>
      </c>
      <c r="O118" s="96">
        <f t="shared" si="7"/>
        <v>9.765625E-2</v>
      </c>
      <c r="Q118" s="96">
        <f t="shared" si="4"/>
        <v>0</v>
      </c>
      <c r="R118" s="96">
        <f t="shared" si="5"/>
        <v>0</v>
      </c>
      <c r="S118" s="96">
        <f t="shared" si="6"/>
        <v>1</v>
      </c>
    </row>
    <row r="119" spans="1:19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-9.7032717337676591</v>
      </c>
      <c r="H119">
        <v>7.6612180056514559E-3</v>
      </c>
      <c r="I119">
        <v>-1.381876545622545</v>
      </c>
      <c r="J119" s="96">
        <v>-1.0586857472910877E-2</v>
      </c>
      <c r="L119" s="100"/>
      <c r="M119" s="100">
        <v>-11.004089667209579</v>
      </c>
      <c r="N119" s="96">
        <v>1.953125E-3</v>
      </c>
      <c r="O119" s="96">
        <f t="shared" si="7"/>
        <v>9.9609375E-2</v>
      </c>
      <c r="Q119" s="96">
        <f t="shared" si="4"/>
        <v>0</v>
      </c>
      <c r="R119" s="96">
        <f t="shared" si="5"/>
        <v>0</v>
      </c>
      <c r="S119" s="96">
        <f t="shared" si="6"/>
        <v>1</v>
      </c>
    </row>
    <row r="120" spans="1:19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-1.3604288056436586</v>
      </c>
      <c r="H120">
        <v>7.6612180056514559E-3</v>
      </c>
      <c r="I120">
        <v>-1.0463915504943231</v>
      </c>
      <c r="J120" s="96">
        <v>-8.0166337876086523E-3</v>
      </c>
      <c r="L120" s="100"/>
      <c r="M120" s="100">
        <v>-11.004089667209579</v>
      </c>
      <c r="N120" s="96">
        <v>3.90625E-3</v>
      </c>
      <c r="O120" s="96">
        <f t="shared" si="7"/>
        <v>0.103515625</v>
      </c>
      <c r="Q120" s="96">
        <f t="shared" si="4"/>
        <v>0</v>
      </c>
      <c r="R120" s="96">
        <f t="shared" si="5"/>
        <v>0</v>
      </c>
      <c r="S120" s="96">
        <f t="shared" si="6"/>
        <v>1</v>
      </c>
    </row>
    <row r="121" spans="1:19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3.483101077794271</v>
      </c>
      <c r="H121">
        <v>1.932559496921088E-3</v>
      </c>
      <c r="I121">
        <v>-0.89038318029005281</v>
      </c>
      <c r="J121" s="96">
        <v>-1.7207184709683429E-3</v>
      </c>
      <c r="L121" s="100"/>
      <c r="M121" s="100">
        <v>-11.004089667209579</v>
      </c>
      <c r="N121" s="96">
        <v>1.953125E-3</v>
      </c>
      <c r="O121" s="96">
        <f t="shared" si="7"/>
        <v>0.10546875</v>
      </c>
      <c r="Q121" s="96">
        <f t="shared" si="4"/>
        <v>0</v>
      </c>
      <c r="R121" s="96">
        <f t="shared" si="5"/>
        <v>0</v>
      </c>
      <c r="S121" s="96">
        <f t="shared" si="6"/>
        <v>1</v>
      </c>
    </row>
    <row r="122" spans="1:19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-12.10163586688383</v>
      </c>
      <c r="H122">
        <v>7.6612180056514559E-3</v>
      </c>
      <c r="I122">
        <v>-1.4968873651551353</v>
      </c>
      <c r="J122" s="96">
        <v>-1.1467980434358689E-2</v>
      </c>
      <c r="L122" s="100"/>
      <c r="M122" s="100">
        <v>-10.996288734134236</v>
      </c>
      <c r="N122" s="96">
        <v>4.8828125E-4</v>
      </c>
      <c r="O122" s="96">
        <f t="shared" si="7"/>
        <v>0.10595703125</v>
      </c>
      <c r="Q122" s="96">
        <f t="shared" si="4"/>
        <v>0</v>
      </c>
      <c r="R122" s="96">
        <f t="shared" si="5"/>
        <v>0</v>
      </c>
      <c r="S122" s="96">
        <f t="shared" si="6"/>
        <v>1</v>
      </c>
    </row>
    <row r="123" spans="1:19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-3.0420332032869952</v>
      </c>
      <c r="H123">
        <v>7.6612180056514559E-3</v>
      </c>
      <c r="I123">
        <v>-1.1067204658252923</v>
      </c>
      <c r="J123" s="96">
        <v>-8.4788267600036955E-3</v>
      </c>
      <c r="L123" s="100"/>
      <c r="M123" s="100">
        <v>-10.996288734134236</v>
      </c>
      <c r="N123" s="96">
        <v>9.765625E-4</v>
      </c>
      <c r="O123" s="96">
        <f t="shared" si="7"/>
        <v>0.10693359375</v>
      </c>
      <c r="Q123" s="96">
        <f t="shared" si="4"/>
        <v>0</v>
      </c>
      <c r="R123" s="96">
        <f t="shared" si="5"/>
        <v>0</v>
      </c>
      <c r="S123" s="96">
        <f t="shared" si="6"/>
        <v>1</v>
      </c>
    </row>
    <row r="124" spans="1:19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1.8979415442510021</v>
      </c>
      <c r="H124">
        <v>1.932559496921088E-3</v>
      </c>
      <c r="I124">
        <v>-0.93869495121327207</v>
      </c>
      <c r="J124" s="96">
        <v>-1.8140838426790862E-3</v>
      </c>
      <c r="L124" s="100"/>
      <c r="M124" s="100">
        <v>-10.996288734134236</v>
      </c>
      <c r="N124" s="96">
        <v>4.8828125E-4</v>
      </c>
      <c r="O124" s="96">
        <f t="shared" si="7"/>
        <v>0.107421875</v>
      </c>
      <c r="Q124" s="96">
        <f t="shared" si="4"/>
        <v>0</v>
      </c>
      <c r="R124" s="96">
        <f t="shared" si="5"/>
        <v>0</v>
      </c>
      <c r="S124" s="96">
        <f t="shared" si="6"/>
        <v>1</v>
      </c>
    </row>
    <row r="125" spans="1:19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-14.5</v>
      </c>
      <c r="H125">
        <v>1.932559496921088E-3</v>
      </c>
      <c r="I125">
        <v>-1.6214703050420796</v>
      </c>
      <c r="J125" s="96">
        <v>-3.1335878369846042E-3</v>
      </c>
      <c r="L125" s="100"/>
      <c r="M125" s="100">
        <v>-10.747680458833893</v>
      </c>
      <c r="N125" s="96">
        <v>1.953125E-3</v>
      </c>
      <c r="O125" s="96">
        <f t="shared" si="7"/>
        <v>0.109375</v>
      </c>
      <c r="Q125" s="96">
        <f t="shared" si="4"/>
        <v>0</v>
      </c>
      <c r="R125" s="96">
        <f t="shared" si="5"/>
        <v>0</v>
      </c>
      <c r="S125" s="96">
        <f t="shared" si="6"/>
        <v>1</v>
      </c>
    </row>
    <row r="126" spans="1:19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-4.9065434675353217</v>
      </c>
      <c r="H126">
        <v>1.932559496921088E-3</v>
      </c>
      <c r="I126">
        <v>-1.1776859442961809</v>
      </c>
      <c r="J126" s="96">
        <v>-2.275948156040064E-3</v>
      </c>
      <c r="L126" s="100"/>
      <c r="M126" s="100">
        <v>-10.747680458833893</v>
      </c>
      <c r="N126" s="96">
        <v>3.90625E-3</v>
      </c>
      <c r="O126" s="96">
        <f t="shared" si="7"/>
        <v>0.11328125</v>
      </c>
      <c r="Q126" s="96">
        <f t="shared" si="4"/>
        <v>0</v>
      </c>
      <c r="R126" s="96">
        <f t="shared" si="5"/>
        <v>0</v>
      </c>
      <c r="S126" s="96">
        <f t="shared" si="6"/>
        <v>1</v>
      </c>
    </row>
    <row r="127" spans="1:19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0.28222818173536612</v>
      </c>
      <c r="H127">
        <v>4.8749248570982399E-4</v>
      </c>
      <c r="I127">
        <v>-0.99063650702680317</v>
      </c>
      <c r="J127" s="96">
        <v>-4.8292785324539379E-4</v>
      </c>
      <c r="L127" s="100"/>
      <c r="M127" s="100">
        <v>-10.747680458833893</v>
      </c>
      <c r="N127" s="96">
        <v>1.953125E-3</v>
      </c>
      <c r="O127" s="96">
        <f t="shared" si="7"/>
        <v>0.115234375</v>
      </c>
      <c r="Q127" s="96">
        <f t="shared" si="4"/>
        <v>0</v>
      </c>
      <c r="R127" s="96">
        <f t="shared" si="5"/>
        <v>0</v>
      </c>
      <c r="S127" s="96">
        <f t="shared" si="6"/>
        <v>1</v>
      </c>
    </row>
    <row r="128" spans="1:19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-12.203271733767659</v>
      </c>
      <c r="H128">
        <v>1.932559496921088E-3</v>
      </c>
      <c r="I128">
        <v>-1.5019672133755515</v>
      </c>
      <c r="J128" s="96">
        <v>-2.9026410022730243E-3</v>
      </c>
      <c r="L128" s="100"/>
      <c r="M128" s="100">
        <v>-10.60163586688383</v>
      </c>
      <c r="N128" s="96">
        <v>9.765625E-4</v>
      </c>
      <c r="O128" s="96">
        <f t="shared" si="7"/>
        <v>0.1162109375</v>
      </c>
      <c r="Q128" s="96">
        <f t="shared" si="4"/>
        <v>0</v>
      </c>
      <c r="R128" s="96">
        <f t="shared" si="5"/>
        <v>0</v>
      </c>
      <c r="S128" s="96">
        <f t="shared" si="6"/>
        <v>1</v>
      </c>
    </row>
    <row r="129" spans="1:19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-3.3325607143886926</v>
      </c>
      <c r="H129">
        <v>1.932559496921088E-3</v>
      </c>
      <c r="I129">
        <v>-1.1174902885656834</v>
      </c>
      <c r="J129" s="96">
        <v>-2.1596164698846985E-3</v>
      </c>
      <c r="L129" s="100"/>
      <c r="M129" s="100">
        <v>-10.60163586688383</v>
      </c>
      <c r="N129" s="96">
        <v>1.953125E-3</v>
      </c>
      <c r="O129" s="96">
        <f t="shared" si="7"/>
        <v>0.1181640625</v>
      </c>
      <c r="Q129" s="96">
        <f t="shared" si="4"/>
        <v>0</v>
      </c>
      <c r="R129" s="96">
        <f t="shared" si="5"/>
        <v>0</v>
      </c>
      <c r="S129" s="96">
        <f t="shared" si="6"/>
        <v>1</v>
      </c>
    </row>
    <row r="130" spans="1:19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1.6123160523055924</v>
      </c>
      <c r="H130">
        <v>4.8749248570982399E-4</v>
      </c>
      <c r="I130">
        <v>-0.94767480487351008</v>
      </c>
      <c r="J130" s="96">
        <v>-4.6198434627235983E-4</v>
      </c>
      <c r="L130" s="100"/>
      <c r="M130" s="100">
        <v>-10.60163586688383</v>
      </c>
      <c r="N130" s="96">
        <v>9.765625E-4</v>
      </c>
      <c r="O130" s="96">
        <f t="shared" si="7"/>
        <v>0.119140625</v>
      </c>
      <c r="Q130" s="96">
        <f t="shared" si="4"/>
        <v>0</v>
      </c>
      <c r="R130" s="96">
        <f t="shared" si="5"/>
        <v>0</v>
      </c>
      <c r="S130" s="96">
        <f t="shared" si="6"/>
        <v>1</v>
      </c>
    </row>
    <row r="131" spans="1:19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-14.60163586688383</v>
      </c>
      <c r="H131">
        <v>1.932559496921088E-3</v>
      </c>
      <c r="I131">
        <v>-1.6269729388642791</v>
      </c>
      <c r="J131" s="96">
        <v>-3.1442220042357753E-3</v>
      </c>
      <c r="L131" s="100"/>
      <c r="M131" s="100">
        <v>-10.483047935047331</v>
      </c>
      <c r="N131" s="96">
        <v>9.765625E-4</v>
      </c>
      <c r="O131" s="96">
        <f t="shared" si="7"/>
        <v>0.1201171875</v>
      </c>
      <c r="Q131" s="96">
        <f t="shared" ref="Q131:Q194" si="8">IF(A131=3,1,0)</f>
        <v>0</v>
      </c>
      <c r="R131" s="96">
        <f t="shared" ref="R131:R194" si="9">IF(A131=2,1,0)</f>
        <v>0</v>
      </c>
      <c r="S131" s="96">
        <f t="shared" ref="S131:S194" si="10">IF(A131=1,1,0)</f>
        <v>1</v>
      </c>
    </row>
    <row r="132" spans="1:19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-5.0596113222263472</v>
      </c>
      <c r="H132">
        <v>1.932559496921088E-3</v>
      </c>
      <c r="I132">
        <v>-1.1837101618277797</v>
      </c>
      <c r="J132" s="96">
        <v>-2.2875903148422733E-3</v>
      </c>
      <c r="L132" s="100"/>
      <c r="M132" s="100">
        <v>-10.483047935047331</v>
      </c>
      <c r="N132" s="96">
        <v>1.953125E-3</v>
      </c>
      <c r="O132" s="96">
        <f t="shared" ref="O132:O195" si="11">N132+O131</f>
        <v>0.1220703125</v>
      </c>
      <c r="Q132" s="96">
        <f t="shared" si="8"/>
        <v>0</v>
      </c>
      <c r="R132" s="96">
        <f t="shared" si="9"/>
        <v>0</v>
      </c>
      <c r="S132" s="96">
        <f t="shared" si="10"/>
        <v>1</v>
      </c>
    </row>
    <row r="133" spans="1:19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-3.3973102100479657E-3</v>
      </c>
      <c r="H133">
        <v>4.8749248570982399E-4</v>
      </c>
      <c r="I133">
        <v>-1.0001132500859751</v>
      </c>
      <c r="J133" s="96">
        <v>-4.8754769427574281E-4</v>
      </c>
      <c r="L133" s="100"/>
      <c r="M133" s="100">
        <v>-10.483047935047331</v>
      </c>
      <c r="N133" s="96">
        <v>9.765625E-4</v>
      </c>
      <c r="O133" s="96">
        <f t="shared" si="11"/>
        <v>0.123046875</v>
      </c>
      <c r="Q133" s="96">
        <f t="shared" si="8"/>
        <v>0</v>
      </c>
      <c r="R133" s="96">
        <f t="shared" si="9"/>
        <v>0</v>
      </c>
      <c r="S133" s="96">
        <f t="shared" si="10"/>
        <v>1</v>
      </c>
    </row>
    <row r="134" spans="1:19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-17</v>
      </c>
      <c r="H134">
        <v>4.8749248570982405E-4</v>
      </c>
      <c r="I134">
        <v>-1.7623826407286585</v>
      </c>
      <c r="J134" s="96">
        <v>-8.5914829430065753E-4</v>
      </c>
      <c r="L134" s="100"/>
      <c r="M134" s="100">
        <v>-10.393219174018935</v>
      </c>
      <c r="N134" s="96">
        <v>4.8828125E-4</v>
      </c>
      <c r="O134" s="96">
        <f t="shared" si="11"/>
        <v>0.12353515625</v>
      </c>
      <c r="Q134" s="96">
        <f t="shared" si="8"/>
        <v>0</v>
      </c>
      <c r="R134" s="96">
        <f t="shared" si="9"/>
        <v>0</v>
      </c>
      <c r="S134" s="96">
        <f t="shared" si="10"/>
        <v>1</v>
      </c>
    </row>
    <row r="135" spans="1:19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-7.4065434675353199</v>
      </c>
      <c r="H135">
        <v>4.8749248570982405E-4</v>
      </c>
      <c r="I135">
        <v>-1.2800316219197514</v>
      </c>
      <c r="J135" s="96">
        <v>-6.2400579715683735E-4</v>
      </c>
      <c r="L135" s="100"/>
      <c r="M135" s="100">
        <v>-10.393219174018935</v>
      </c>
      <c r="N135" s="96">
        <v>9.765625E-4</v>
      </c>
      <c r="O135" s="96">
        <f t="shared" si="11"/>
        <v>0.12451171875</v>
      </c>
      <c r="Q135" s="96">
        <f t="shared" si="8"/>
        <v>0</v>
      </c>
      <c r="R135" s="96">
        <f t="shared" si="9"/>
        <v>0</v>
      </c>
      <c r="S135" s="96">
        <f t="shared" si="10"/>
        <v>1</v>
      </c>
    </row>
    <row r="136" spans="1:19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-1.6520230774009681</v>
      </c>
      <c r="H136">
        <v>1.2297107747635201E-4</v>
      </c>
      <c r="I136">
        <v>-1.05661186585927</v>
      </c>
      <c r="J136" s="96">
        <v>-1.2993269961901314E-4</v>
      </c>
      <c r="L136" s="100"/>
      <c r="M136" s="100">
        <v>-10.393219174018935</v>
      </c>
      <c r="N136" s="96">
        <v>4.8828125E-4</v>
      </c>
      <c r="O136" s="96">
        <f t="shared" si="11"/>
        <v>0.125</v>
      </c>
      <c r="Q136" s="96">
        <f t="shared" si="8"/>
        <v>0</v>
      </c>
      <c r="R136" s="96">
        <f t="shared" si="9"/>
        <v>0</v>
      </c>
      <c r="S136" s="96">
        <f t="shared" si="10"/>
        <v>1</v>
      </c>
    </row>
    <row r="137" spans="1:19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-8.2032717337676591</v>
      </c>
      <c r="H137">
        <v>1.932559496921088E-3</v>
      </c>
      <c r="I137">
        <v>-1.3144816312235683</v>
      </c>
      <c r="J137" s="96">
        <v>-2.54031395994943E-3</v>
      </c>
      <c r="L137" s="100"/>
      <c r="M137" s="100">
        <v>-9.9981443670671162</v>
      </c>
      <c r="N137" s="96">
        <v>2.44140625E-4</v>
      </c>
      <c r="O137" s="96">
        <f t="shared" si="11"/>
        <v>0.125244140625</v>
      </c>
      <c r="Q137" s="96">
        <f t="shared" si="8"/>
        <v>0</v>
      </c>
      <c r="R137" s="96">
        <f t="shared" si="9"/>
        <v>0</v>
      </c>
      <c r="S137" s="96">
        <f t="shared" si="10"/>
        <v>1</v>
      </c>
    </row>
    <row r="138" spans="1:19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-0.19301833094307452</v>
      </c>
      <c r="H138">
        <v>1.932559496921088E-3</v>
      </c>
      <c r="I138">
        <v>-1.0064546866458464</v>
      </c>
      <c r="J138" s="96">
        <v>-1.9450335628981681E-3</v>
      </c>
      <c r="L138" s="100"/>
      <c r="M138" s="100">
        <v>-9.9981443670671162</v>
      </c>
      <c r="N138" s="96">
        <v>4.8828125E-4</v>
      </c>
      <c r="O138" s="96">
        <f t="shared" si="11"/>
        <v>0.125732421875</v>
      </c>
      <c r="Q138" s="96">
        <f t="shared" si="8"/>
        <v>0</v>
      </c>
      <c r="R138" s="96">
        <f t="shared" si="9"/>
        <v>0</v>
      </c>
      <c r="S138" s="96">
        <f t="shared" si="10"/>
        <v>1</v>
      </c>
    </row>
    <row r="139" spans="1:19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4.5951686554850308</v>
      </c>
      <c r="H139">
        <v>4.8749248570982399E-4</v>
      </c>
      <c r="I139">
        <v>-0.85798188865028724</v>
      </c>
      <c r="J139" s="96">
        <v>-4.1825972359213796E-4</v>
      </c>
      <c r="L139" s="100"/>
      <c r="M139" s="100">
        <v>-9.9981443670671162</v>
      </c>
      <c r="N139" s="96">
        <v>2.44140625E-4</v>
      </c>
      <c r="O139" s="96">
        <f t="shared" si="11"/>
        <v>0.1259765625</v>
      </c>
      <c r="Q139" s="96">
        <f t="shared" si="8"/>
        <v>0</v>
      </c>
      <c r="R139" s="96">
        <f t="shared" si="9"/>
        <v>0</v>
      </c>
      <c r="S139" s="96">
        <f t="shared" si="10"/>
        <v>1</v>
      </c>
    </row>
    <row r="140" spans="1:19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-10.60163586688383</v>
      </c>
      <c r="H140">
        <v>1.932559496921088E-3</v>
      </c>
      <c r="I140">
        <v>-1.4238833068989094</v>
      </c>
      <c r="J140" s="96">
        <v>-2.7517392072548916E-3</v>
      </c>
      <c r="L140" s="100"/>
      <c r="M140" s="100">
        <v>-9.7032717337676591</v>
      </c>
      <c r="N140" s="96">
        <v>9.765625E-4</v>
      </c>
      <c r="O140" s="96">
        <f t="shared" si="11"/>
        <v>0.126953125</v>
      </c>
      <c r="Q140" s="96">
        <f t="shared" si="8"/>
        <v>0</v>
      </c>
      <c r="R140" s="96">
        <f t="shared" si="9"/>
        <v>0</v>
      </c>
      <c r="S140" s="96">
        <f t="shared" si="10"/>
        <v>1</v>
      </c>
    </row>
    <row r="141" spans="1:19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-1.8499864674531208</v>
      </c>
      <c r="H141">
        <v>1.932559496921088E-3</v>
      </c>
      <c r="I141">
        <v>-1.0636072699382935</v>
      </c>
      <c r="J141" s="96">
        <v>-2.0554843305135603E-3</v>
      </c>
      <c r="L141" s="100"/>
      <c r="M141" s="100">
        <v>-9.7032717337676591</v>
      </c>
      <c r="N141" s="96">
        <v>1.953125E-3</v>
      </c>
      <c r="O141" s="96">
        <f t="shared" si="11"/>
        <v>0.12890625</v>
      </c>
      <c r="Q141" s="96">
        <f t="shared" si="8"/>
        <v>0</v>
      </c>
      <c r="R141" s="96">
        <f t="shared" si="9"/>
        <v>0</v>
      </c>
      <c r="S141" s="96">
        <f t="shared" si="10"/>
        <v>1</v>
      </c>
    </row>
    <row r="142" spans="1:19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3.0137144708029968</v>
      </c>
      <c r="H142">
        <v>4.8749248570982399E-4</v>
      </c>
      <c r="I142">
        <v>-0.90442386702534561</v>
      </c>
      <c r="J142" s="96">
        <v>-4.4089983907147703E-4</v>
      </c>
      <c r="L142" s="100"/>
      <c r="M142" s="100">
        <v>-9.7032717337676591</v>
      </c>
      <c r="N142" s="96">
        <v>9.765625E-4</v>
      </c>
      <c r="O142" s="96">
        <f t="shared" si="11"/>
        <v>0.1298828125</v>
      </c>
      <c r="Q142" s="96">
        <f t="shared" si="8"/>
        <v>0</v>
      </c>
      <c r="R142" s="96">
        <f t="shared" si="9"/>
        <v>0</v>
      </c>
      <c r="S142" s="96">
        <f t="shared" si="10"/>
        <v>1</v>
      </c>
    </row>
    <row r="143" spans="1:19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-13</v>
      </c>
      <c r="H143">
        <v>4.8749248570982405E-4</v>
      </c>
      <c r="I143">
        <v>-1.5423902651101746</v>
      </c>
      <c r="J143" s="96">
        <v>-7.5190366427319358E-4</v>
      </c>
      <c r="L143" s="100"/>
      <c r="M143" s="100">
        <v>-9.495360917667794</v>
      </c>
      <c r="N143" s="96">
        <v>9.765625E-4</v>
      </c>
      <c r="O143" s="96">
        <f t="shared" si="11"/>
        <v>0.130859375</v>
      </c>
      <c r="Q143" s="96">
        <f t="shared" si="8"/>
        <v>0</v>
      </c>
      <c r="R143" s="96">
        <f t="shared" si="9"/>
        <v>0</v>
      </c>
      <c r="S143" s="96">
        <f t="shared" si="10"/>
        <v>1</v>
      </c>
    </row>
    <row r="144" spans="1:19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-3.5617458222870511</v>
      </c>
      <c r="H144">
        <v>4.8749248570982405E-4</v>
      </c>
      <c r="I144">
        <v>-1.1260600523359159</v>
      </c>
      <c r="J144" s="96">
        <v>-5.489458139717702E-4</v>
      </c>
      <c r="L144" s="100"/>
      <c r="M144" s="100">
        <v>-9.495360917667794</v>
      </c>
      <c r="N144" s="96">
        <v>1.953125E-3</v>
      </c>
      <c r="O144" s="96">
        <f t="shared" si="11"/>
        <v>0.1328125</v>
      </c>
      <c r="Q144" s="96">
        <f t="shared" si="8"/>
        <v>0</v>
      </c>
      <c r="R144" s="96">
        <f t="shared" si="9"/>
        <v>0</v>
      </c>
      <c r="S144" s="96">
        <f t="shared" si="10"/>
        <v>1</v>
      </c>
    </row>
    <row r="145" spans="1:19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1.4230314944119988</v>
      </c>
      <c r="H145">
        <v>1.2297107747635201E-4</v>
      </c>
      <c r="I145">
        <v>-0.95367304810376152</v>
      </c>
      <c r="J145" s="96">
        <v>-1.1727420228547643E-4</v>
      </c>
      <c r="L145" s="100"/>
      <c r="M145" s="100">
        <v>-9.495360917667794</v>
      </c>
      <c r="N145" s="96">
        <v>9.765625E-4</v>
      </c>
      <c r="O145" s="96">
        <f t="shared" si="11"/>
        <v>0.1337890625</v>
      </c>
      <c r="Q145" s="96">
        <f t="shared" si="8"/>
        <v>0</v>
      </c>
      <c r="R145" s="96">
        <f t="shared" si="9"/>
        <v>0</v>
      </c>
      <c r="S145" s="96">
        <f t="shared" si="10"/>
        <v>1</v>
      </c>
    </row>
    <row r="146" spans="1:19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-9.7032717337676591</v>
      </c>
      <c r="H146">
        <v>1.932559496921088E-3</v>
      </c>
      <c r="I146">
        <v>-1.381876545622545</v>
      </c>
      <c r="J146" s="96">
        <v>-2.6705586418153565E-3</v>
      </c>
      <c r="L146" s="100"/>
      <c r="M146" s="100">
        <v>-9.4953609176677851</v>
      </c>
      <c r="N146" s="96">
        <v>4.8828125E-4</v>
      </c>
      <c r="O146" s="96">
        <f t="shared" si="11"/>
        <v>0.13427734375</v>
      </c>
      <c r="Q146" s="96">
        <f t="shared" si="8"/>
        <v>0</v>
      </c>
      <c r="R146" s="96">
        <f t="shared" si="9"/>
        <v>0</v>
      </c>
      <c r="S146" s="96">
        <f t="shared" si="10"/>
        <v>1</v>
      </c>
    </row>
    <row r="147" spans="1:19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-1.3604288056436586</v>
      </c>
      <c r="H147">
        <v>1.932559496921088E-3</v>
      </c>
      <c r="I147">
        <v>-1.0463915504943231</v>
      </c>
      <c r="J147" s="96">
        <v>-2.0222139284057864E-3</v>
      </c>
      <c r="L147" s="100"/>
      <c r="M147" s="100">
        <v>-9.4953609176677851</v>
      </c>
      <c r="N147" s="96">
        <v>9.765625E-4</v>
      </c>
      <c r="O147" s="96">
        <f t="shared" si="11"/>
        <v>0.13525390625</v>
      </c>
      <c r="Q147" s="96">
        <f t="shared" si="8"/>
        <v>0</v>
      </c>
      <c r="R147" s="96">
        <f t="shared" si="9"/>
        <v>0</v>
      </c>
      <c r="S147" s="96">
        <f t="shared" si="10"/>
        <v>1</v>
      </c>
    </row>
    <row r="148" spans="1:19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3.483101077794271</v>
      </c>
      <c r="H148">
        <v>4.8749248570982399E-4</v>
      </c>
      <c r="I148">
        <v>-0.89038318029005281</v>
      </c>
      <c r="J148" s="96">
        <v>-4.3405510979381621E-4</v>
      </c>
      <c r="L148" s="100"/>
      <c r="M148" s="100">
        <v>-9.4953609176677851</v>
      </c>
      <c r="N148" s="96">
        <v>4.8828125E-4</v>
      </c>
      <c r="O148" s="96">
        <f t="shared" si="11"/>
        <v>0.1357421875</v>
      </c>
      <c r="Q148" s="96">
        <f t="shared" si="8"/>
        <v>0</v>
      </c>
      <c r="R148" s="96">
        <f t="shared" si="9"/>
        <v>0</v>
      </c>
      <c r="S148" s="96">
        <f t="shared" si="10"/>
        <v>1</v>
      </c>
    </row>
    <row r="149" spans="1:19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-12.10163586688383</v>
      </c>
      <c r="H149">
        <v>1.932559496921088E-3</v>
      </c>
      <c r="I149">
        <v>-1.4968873651551353</v>
      </c>
      <c r="J149" s="96">
        <v>-2.8928238933517412E-3</v>
      </c>
      <c r="L149" s="100"/>
      <c r="M149" s="100">
        <v>-9.2864383480378674</v>
      </c>
      <c r="N149" s="96">
        <v>4.8828125E-4</v>
      </c>
      <c r="O149" s="96">
        <f t="shared" si="11"/>
        <v>0.13623046875</v>
      </c>
      <c r="Q149" s="96">
        <f t="shared" si="8"/>
        <v>0</v>
      </c>
      <c r="R149" s="96">
        <f t="shared" si="9"/>
        <v>0</v>
      </c>
      <c r="S149" s="96">
        <f t="shared" si="10"/>
        <v>1</v>
      </c>
    </row>
    <row r="150" spans="1:19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-3.0420332032869952</v>
      </c>
      <c r="H150">
        <v>1.932559496921088E-3</v>
      </c>
      <c r="I150">
        <v>-1.1067204658252923</v>
      </c>
      <c r="J150" s="96">
        <v>-2.138803146667599E-3</v>
      </c>
      <c r="L150" s="100"/>
      <c r="M150" s="100">
        <v>-9.2864383480378674</v>
      </c>
      <c r="N150" s="96">
        <v>9.765625E-4</v>
      </c>
      <c r="O150" s="96">
        <f t="shared" si="11"/>
        <v>0.13720703125</v>
      </c>
      <c r="Q150" s="96">
        <f t="shared" si="8"/>
        <v>0</v>
      </c>
      <c r="R150" s="96">
        <f t="shared" si="9"/>
        <v>0</v>
      </c>
      <c r="S150" s="96">
        <f t="shared" si="10"/>
        <v>1</v>
      </c>
    </row>
    <row r="151" spans="1:19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1.8979415442510021</v>
      </c>
      <c r="H151">
        <v>4.8749248570982399E-4</v>
      </c>
      <c r="I151">
        <v>-0.93869495121327207</v>
      </c>
      <c r="J151" s="96">
        <v>-4.5760673509021997E-4</v>
      </c>
      <c r="L151" s="100"/>
      <c r="M151" s="100">
        <v>-9.2864383480378674</v>
      </c>
      <c r="N151" s="96">
        <v>4.8828125E-4</v>
      </c>
      <c r="O151" s="96">
        <f t="shared" si="11"/>
        <v>0.1376953125</v>
      </c>
      <c r="Q151" s="96">
        <f t="shared" si="8"/>
        <v>0</v>
      </c>
      <c r="R151" s="96">
        <f t="shared" si="9"/>
        <v>0</v>
      </c>
      <c r="S151" s="96">
        <f t="shared" si="10"/>
        <v>1</v>
      </c>
    </row>
    <row r="152" spans="1:19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-14.5</v>
      </c>
      <c r="H152">
        <v>4.8749248570982405E-4</v>
      </c>
      <c r="I152">
        <v>-1.6214703050420796</v>
      </c>
      <c r="J152" s="96">
        <v>-7.9045458950963003E-4</v>
      </c>
      <c r="L152" s="100"/>
      <c r="M152" s="100">
        <v>-9.2476804588338926</v>
      </c>
      <c r="N152" s="96">
        <v>9.765625E-4</v>
      </c>
      <c r="O152" s="96">
        <f t="shared" si="11"/>
        <v>0.138671875</v>
      </c>
      <c r="Q152" s="96">
        <f t="shared" si="8"/>
        <v>0</v>
      </c>
      <c r="R152" s="96">
        <f t="shared" si="9"/>
        <v>0</v>
      </c>
      <c r="S152" s="96">
        <f t="shared" si="10"/>
        <v>1</v>
      </c>
    </row>
    <row r="153" spans="1:19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-4.9065434675353217</v>
      </c>
      <c r="H153">
        <v>4.8749248570982405E-4</v>
      </c>
      <c r="I153">
        <v>-1.1776859442961809</v>
      </c>
      <c r="J153" s="96">
        <v>-5.7411304837046661E-4</v>
      </c>
      <c r="L153" s="100"/>
      <c r="M153" s="100">
        <v>-9.2476804588338926</v>
      </c>
      <c r="N153" s="96">
        <v>1.953125E-3</v>
      </c>
      <c r="O153" s="96">
        <f t="shared" si="11"/>
        <v>0.140625</v>
      </c>
      <c r="Q153" s="96">
        <f t="shared" si="8"/>
        <v>0</v>
      </c>
      <c r="R153" s="96">
        <f t="shared" si="9"/>
        <v>0</v>
      </c>
      <c r="S153" s="96">
        <f t="shared" si="10"/>
        <v>1</v>
      </c>
    </row>
    <row r="154" spans="1:19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0.28222818173536612</v>
      </c>
      <c r="H154">
        <v>1.2297107747635201E-4</v>
      </c>
      <c r="I154">
        <v>-0.99063650702680317</v>
      </c>
      <c r="J154" s="96">
        <v>-1.2181963865649574E-4</v>
      </c>
      <c r="L154" s="100"/>
      <c r="M154" s="100">
        <v>-9.2476804588338926</v>
      </c>
      <c r="N154" s="96">
        <v>9.765625E-4</v>
      </c>
      <c r="O154" s="96">
        <f t="shared" si="11"/>
        <v>0.1416015625</v>
      </c>
      <c r="Q154" s="96">
        <f t="shared" si="8"/>
        <v>0</v>
      </c>
      <c r="R154" s="96">
        <f t="shared" si="9"/>
        <v>0</v>
      </c>
      <c r="S154" s="96">
        <f t="shared" si="10"/>
        <v>1</v>
      </c>
    </row>
    <row r="155" spans="1:19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-12.203271733767659</v>
      </c>
      <c r="H155">
        <v>4.8749248570982405E-4</v>
      </c>
      <c r="I155">
        <v>-1.5019672133755515</v>
      </c>
      <c r="J155" s="96">
        <v>-7.3219773030310529E-4</v>
      </c>
      <c r="L155" s="100"/>
      <c r="M155" s="100">
        <v>-8.7448970094345775</v>
      </c>
      <c r="N155" s="96">
        <v>4.8828125E-4</v>
      </c>
      <c r="O155" s="96">
        <f t="shared" si="11"/>
        <v>0.14208984375</v>
      </c>
      <c r="Q155" s="96">
        <f t="shared" si="8"/>
        <v>0</v>
      </c>
      <c r="R155" s="96">
        <f t="shared" si="9"/>
        <v>0</v>
      </c>
      <c r="S155" s="96">
        <f t="shared" si="10"/>
        <v>1</v>
      </c>
    </row>
    <row r="156" spans="1:19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-3.3325607143886926</v>
      </c>
      <c r="H156">
        <v>4.8749248570982405E-4</v>
      </c>
      <c r="I156">
        <v>-1.1174902885656834</v>
      </c>
      <c r="J156" s="96">
        <v>-5.4476811852947362E-4</v>
      </c>
      <c r="L156" s="100"/>
      <c r="M156" s="100">
        <v>-8.7448970094345775</v>
      </c>
      <c r="N156" s="96">
        <v>9.765625E-4</v>
      </c>
      <c r="O156" s="96">
        <f t="shared" si="11"/>
        <v>0.14306640625</v>
      </c>
      <c r="Q156" s="96">
        <f t="shared" si="8"/>
        <v>0</v>
      </c>
      <c r="R156" s="96">
        <f t="shared" si="9"/>
        <v>0</v>
      </c>
      <c r="S156" s="96">
        <f t="shared" si="10"/>
        <v>1</v>
      </c>
    </row>
    <row r="157" spans="1:19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1.6123160523055924</v>
      </c>
      <c r="H157">
        <v>1.2297107747635201E-4</v>
      </c>
      <c r="I157">
        <v>-0.94767480487351008</v>
      </c>
      <c r="J157" s="96">
        <v>-1.1653659185248718E-4</v>
      </c>
      <c r="L157" s="100"/>
      <c r="M157" s="100">
        <v>-8.7448970094345775</v>
      </c>
      <c r="N157" s="96">
        <v>4.8828125E-4</v>
      </c>
      <c r="O157" s="96">
        <f t="shared" si="11"/>
        <v>0.1435546875</v>
      </c>
      <c r="Q157" s="96">
        <f t="shared" si="8"/>
        <v>0</v>
      </c>
      <c r="R157" s="96">
        <f t="shared" si="9"/>
        <v>0</v>
      </c>
      <c r="S157" s="96">
        <f t="shared" si="10"/>
        <v>1</v>
      </c>
    </row>
    <row r="158" spans="1:19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-14.60163586688383</v>
      </c>
      <c r="H158">
        <v>4.8749248570982405E-4</v>
      </c>
      <c r="I158">
        <v>-1.6269729388642791</v>
      </c>
      <c r="J158" s="96">
        <v>-7.93137082149565E-4</v>
      </c>
      <c r="L158" s="100"/>
      <c r="M158" s="100">
        <v>-8.5040896672095787</v>
      </c>
      <c r="N158" s="96">
        <v>3.90625E-3</v>
      </c>
      <c r="O158" s="96">
        <f t="shared" si="11"/>
        <v>0.1474609375</v>
      </c>
      <c r="Q158" s="96">
        <f t="shared" si="8"/>
        <v>0</v>
      </c>
      <c r="R158" s="96">
        <f t="shared" si="9"/>
        <v>0</v>
      </c>
      <c r="S158" s="96">
        <f t="shared" si="10"/>
        <v>1</v>
      </c>
    </row>
    <row r="159" spans="1:19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-5.0596113222263472</v>
      </c>
      <c r="H159">
        <v>4.8749248570982405E-4</v>
      </c>
      <c r="I159">
        <v>-1.1837101618277797</v>
      </c>
      <c r="J159" s="96">
        <v>-5.7704980914940237E-4</v>
      </c>
      <c r="L159" s="100"/>
      <c r="M159" s="100">
        <v>-8.5040896672095787</v>
      </c>
      <c r="N159" s="96">
        <v>7.8125E-3</v>
      </c>
      <c r="O159" s="96">
        <f t="shared" si="11"/>
        <v>0.1552734375</v>
      </c>
      <c r="Q159" s="96">
        <f t="shared" si="8"/>
        <v>0</v>
      </c>
      <c r="R159" s="96">
        <f t="shared" si="9"/>
        <v>0</v>
      </c>
      <c r="S159" s="96">
        <f t="shared" si="10"/>
        <v>1</v>
      </c>
    </row>
    <row r="160" spans="1:19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-3.3973102100479657E-3</v>
      </c>
      <c r="H160">
        <v>1.2297107747635201E-4</v>
      </c>
      <c r="I160">
        <v>-1.0001132500859751</v>
      </c>
      <c r="J160" s="96">
        <v>-1.2298500396144864E-4</v>
      </c>
      <c r="L160" s="100"/>
      <c r="M160" s="100">
        <v>-8.5040896672095787</v>
      </c>
      <c r="N160" s="96">
        <v>3.90625E-3</v>
      </c>
      <c r="O160" s="96">
        <f t="shared" si="11"/>
        <v>0.1591796875</v>
      </c>
      <c r="Q160" s="96">
        <f t="shared" si="8"/>
        <v>0</v>
      </c>
      <c r="R160" s="96">
        <f t="shared" si="9"/>
        <v>0</v>
      </c>
      <c r="S160" s="96">
        <f t="shared" si="10"/>
        <v>1</v>
      </c>
    </row>
    <row r="161" spans="1:19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-17</v>
      </c>
      <c r="H161">
        <v>1.2297107747635201E-4</v>
      </c>
      <c r="I161">
        <v>-1.7623826407286585</v>
      </c>
      <c r="J161" s="96">
        <v>-2.167220922560217E-4</v>
      </c>
      <c r="L161" s="100"/>
      <c r="M161" s="100">
        <v>-8.4962887341342359</v>
      </c>
      <c r="N161" s="96">
        <v>9.765625E-4</v>
      </c>
      <c r="O161" s="96">
        <f t="shared" si="11"/>
        <v>0.16015625</v>
      </c>
      <c r="Q161" s="96">
        <f t="shared" si="8"/>
        <v>0</v>
      </c>
      <c r="R161" s="96">
        <f t="shared" si="9"/>
        <v>0</v>
      </c>
      <c r="S161" s="96">
        <f t="shared" si="10"/>
        <v>1</v>
      </c>
    </row>
    <row r="162" spans="1:19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-7.4065434675353199</v>
      </c>
      <c r="H162">
        <v>1.2297107747635201E-4</v>
      </c>
      <c r="I162">
        <v>-1.2800316219197514</v>
      </c>
      <c r="J162" s="96">
        <v>-1.5740686775127426E-4</v>
      </c>
      <c r="L162" s="100"/>
      <c r="M162" s="100">
        <v>-8.4962887341342359</v>
      </c>
      <c r="N162" s="96">
        <v>1.953125E-3</v>
      </c>
      <c r="O162" s="96">
        <f t="shared" si="11"/>
        <v>0.162109375</v>
      </c>
      <c r="Q162" s="96">
        <f t="shared" si="8"/>
        <v>0</v>
      </c>
      <c r="R162" s="96">
        <f t="shared" si="9"/>
        <v>0</v>
      </c>
      <c r="S162" s="96">
        <f t="shared" si="10"/>
        <v>1</v>
      </c>
    </row>
    <row r="163" spans="1:19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-1.6520230774009681</v>
      </c>
      <c r="H163">
        <v>3.1019731255295997E-5</v>
      </c>
      <c r="I163">
        <v>-1.05661186585927</v>
      </c>
      <c r="J163" s="96">
        <v>-3.2775816120111423E-5</v>
      </c>
      <c r="L163" s="100"/>
      <c r="M163" s="100">
        <v>-8.4962887341342359</v>
      </c>
      <c r="N163" s="96">
        <v>9.765625E-4</v>
      </c>
      <c r="O163" s="96">
        <f t="shared" si="11"/>
        <v>0.1630859375</v>
      </c>
      <c r="Q163" s="96">
        <f t="shared" si="8"/>
        <v>0</v>
      </c>
      <c r="R163" s="96">
        <f t="shared" si="9"/>
        <v>0</v>
      </c>
      <c r="S163" s="96">
        <f t="shared" si="10"/>
        <v>1</v>
      </c>
    </row>
    <row r="164" spans="1:19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-7.7864383480378674</v>
      </c>
      <c r="H164">
        <v>1.932559496921088E-3</v>
      </c>
      <c r="I164">
        <v>-1.2963439353469375</v>
      </c>
      <c r="J164" s="96">
        <v>-2.505261783530781E-3</v>
      </c>
      <c r="L164" s="100"/>
      <c r="M164" s="100">
        <v>-8.2032717337676591</v>
      </c>
      <c r="N164" s="96">
        <v>4.8828125E-4</v>
      </c>
      <c r="O164" s="96">
        <f t="shared" si="11"/>
        <v>0.16357421875</v>
      </c>
      <c r="Q164" s="96">
        <f t="shared" si="8"/>
        <v>0</v>
      </c>
      <c r="R164" s="96">
        <f t="shared" si="9"/>
        <v>0</v>
      </c>
      <c r="S164" s="96">
        <f t="shared" si="10"/>
        <v>1</v>
      </c>
    </row>
    <row r="165" spans="1:19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0.60805662147890094</v>
      </c>
      <c r="H165">
        <v>1.932559496921088E-3</v>
      </c>
      <c r="I165">
        <v>-0.97993547232734979</v>
      </c>
      <c r="J165" s="96">
        <v>-1.8937836034160719E-3</v>
      </c>
      <c r="L165" s="100"/>
      <c r="M165" s="100">
        <v>-8.2032717337676591</v>
      </c>
      <c r="N165" s="96">
        <v>9.765625E-4</v>
      </c>
      <c r="O165" s="96">
        <f t="shared" si="11"/>
        <v>0.16455078125</v>
      </c>
      <c r="Q165" s="96">
        <f t="shared" si="8"/>
        <v>0</v>
      </c>
      <c r="R165" s="96">
        <f t="shared" si="9"/>
        <v>0</v>
      </c>
      <c r="S165" s="96">
        <f t="shared" si="10"/>
        <v>1</v>
      </c>
    </row>
    <row r="166" spans="1:19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5.7706930533776735</v>
      </c>
      <c r="H166">
        <v>4.8749248570982399E-4</v>
      </c>
      <c r="I166">
        <v>-0.82501275256482653</v>
      </c>
      <c r="J166" s="96">
        <v>-4.0218751749013124E-4</v>
      </c>
      <c r="L166" s="100"/>
      <c r="M166" s="100">
        <v>-8.2032717337676591</v>
      </c>
      <c r="N166" s="96">
        <v>4.8828125E-4</v>
      </c>
      <c r="O166" s="96">
        <f t="shared" si="11"/>
        <v>0.1650390625</v>
      </c>
      <c r="Q166" s="96">
        <f t="shared" si="8"/>
        <v>0</v>
      </c>
      <c r="R166" s="96">
        <f t="shared" si="9"/>
        <v>0</v>
      </c>
      <c r="S166" s="96">
        <f t="shared" si="10"/>
        <v>1</v>
      </c>
    </row>
    <row r="167" spans="1:19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-10.393219174018935</v>
      </c>
      <c r="H167">
        <v>1.932559496921088E-3</v>
      </c>
      <c r="I167">
        <v>-1.4140255535575479</v>
      </c>
      <c r="J167" s="96">
        <v>-2.7326885124167376E-3</v>
      </c>
      <c r="L167" s="100"/>
      <c r="M167" s="100">
        <v>-7.9944331012013539</v>
      </c>
      <c r="N167" s="96">
        <v>4.8828125E-4</v>
      </c>
      <c r="O167" s="96">
        <f t="shared" si="11"/>
        <v>0.16552734375</v>
      </c>
      <c r="Q167" s="96">
        <f t="shared" si="8"/>
        <v>0</v>
      </c>
      <c r="R167" s="96">
        <f t="shared" si="9"/>
        <v>0</v>
      </c>
      <c r="S167" s="96">
        <f t="shared" si="10"/>
        <v>1</v>
      </c>
    </row>
    <row r="168" spans="1:19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-1.1677106800845569</v>
      </c>
      <c r="H168">
        <v>1.932559496921088E-3</v>
      </c>
      <c r="I168">
        <v>-1.0396911411016807</v>
      </c>
      <c r="J168" s="96">
        <v>-2.0092649886007761E-3</v>
      </c>
      <c r="L168" s="100"/>
      <c r="M168" s="100">
        <v>-7.9944331012013539</v>
      </c>
      <c r="N168" s="96">
        <v>9.765625E-4</v>
      </c>
      <c r="O168" s="96">
        <f t="shared" si="11"/>
        <v>0.16650390625</v>
      </c>
      <c r="Q168" s="96">
        <f t="shared" si="8"/>
        <v>0</v>
      </c>
      <c r="R168" s="96">
        <f t="shared" si="9"/>
        <v>0</v>
      </c>
      <c r="S168" s="96">
        <f t="shared" si="10"/>
        <v>1</v>
      </c>
    </row>
    <row r="169" spans="1:19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4.0671878152258945</v>
      </c>
      <c r="H169">
        <v>4.8749248570982399E-4</v>
      </c>
      <c r="I169">
        <v>-0.8732154794689978</v>
      </c>
      <c r="J169" s="96">
        <v>-4.2568598464663753E-4</v>
      </c>
      <c r="L169" s="100"/>
      <c r="M169" s="100">
        <v>-7.9944331012013539</v>
      </c>
      <c r="N169" s="96">
        <v>4.8828125E-4</v>
      </c>
      <c r="O169" s="96">
        <f t="shared" si="11"/>
        <v>0.1669921875</v>
      </c>
      <c r="Q169" s="96">
        <f t="shared" si="8"/>
        <v>0</v>
      </c>
      <c r="R169" s="96">
        <f t="shared" si="9"/>
        <v>0</v>
      </c>
      <c r="S169" s="96">
        <f t="shared" si="10"/>
        <v>1</v>
      </c>
    </row>
    <row r="170" spans="1:19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-13</v>
      </c>
      <c r="H170">
        <v>4.8749248570982405E-4</v>
      </c>
      <c r="I170">
        <v>-1.5423902651101746</v>
      </c>
      <c r="J170" s="96">
        <v>-7.5190366427319358E-4</v>
      </c>
      <c r="L170" s="100"/>
      <c r="M170" s="100">
        <v>-7.9830479350473311</v>
      </c>
      <c r="N170" s="96">
        <v>1.953125E-3</v>
      </c>
      <c r="O170" s="96">
        <f t="shared" si="11"/>
        <v>0.1689453125</v>
      </c>
      <c r="Q170" s="96">
        <f t="shared" si="8"/>
        <v>0</v>
      </c>
      <c r="R170" s="96">
        <f t="shared" si="9"/>
        <v>0</v>
      </c>
      <c r="S170" s="96">
        <f t="shared" si="10"/>
        <v>1</v>
      </c>
    </row>
    <row r="171" spans="1:19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-2.9900607231347447</v>
      </c>
      <c r="H171">
        <v>4.8749248570982405E-4</v>
      </c>
      <c r="I171">
        <v>-1.1048048253993314</v>
      </c>
      <c r="J171" s="96">
        <v>-5.3858405055812826E-4</v>
      </c>
      <c r="L171" s="100"/>
      <c r="M171" s="100">
        <v>-7.9830479350473311</v>
      </c>
      <c r="N171" s="96">
        <v>3.90625E-3</v>
      </c>
      <c r="O171" s="96">
        <f t="shared" si="11"/>
        <v>0.1728515625</v>
      </c>
      <c r="Q171" s="96">
        <f t="shared" si="8"/>
        <v>0</v>
      </c>
      <c r="R171" s="96">
        <f t="shared" si="9"/>
        <v>0</v>
      </c>
      <c r="S171" s="96">
        <f t="shared" si="10"/>
        <v>1</v>
      </c>
    </row>
    <row r="172" spans="1:19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2.3540494624909964</v>
      </c>
      <c r="H172">
        <v>1.2297107747635201E-4</v>
      </c>
      <c r="I172">
        <v>-0.924531352858455</v>
      </c>
      <c r="J172" s="96">
        <v>-1.1369061662167361E-4</v>
      </c>
      <c r="L172" s="100"/>
      <c r="M172" s="100">
        <v>-7.9830479350473311</v>
      </c>
      <c r="N172" s="96">
        <v>1.953125E-3</v>
      </c>
      <c r="O172" s="96">
        <f t="shared" si="11"/>
        <v>0.1748046875</v>
      </c>
      <c r="Q172" s="96">
        <f t="shared" si="8"/>
        <v>0</v>
      </c>
      <c r="R172" s="96">
        <f t="shared" si="9"/>
        <v>0</v>
      </c>
      <c r="S172" s="96">
        <f t="shared" si="10"/>
        <v>1</v>
      </c>
    </row>
    <row r="173" spans="1:19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-9.2864383480378674</v>
      </c>
      <c r="H173">
        <v>1.932559496921088E-3</v>
      </c>
      <c r="I173">
        <v>-1.3628089101925844</v>
      </c>
      <c r="J173" s="96">
        <v>-2.6337093018813573E-3</v>
      </c>
      <c r="L173" s="100"/>
      <c r="M173" s="100">
        <v>-7.7864383480378674</v>
      </c>
      <c r="N173" s="96">
        <v>2.44140625E-4</v>
      </c>
      <c r="O173" s="96">
        <f t="shared" si="11"/>
        <v>0.175048828125</v>
      </c>
      <c r="Q173" s="96">
        <f t="shared" si="8"/>
        <v>0</v>
      </c>
      <c r="R173" s="96">
        <f t="shared" si="9"/>
        <v>0</v>
      </c>
      <c r="S173" s="96">
        <f t="shared" si="10"/>
        <v>1</v>
      </c>
    </row>
    <row r="174" spans="1:19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-0.54515180132103835</v>
      </c>
      <c r="H174">
        <v>1.932559496921088E-3</v>
      </c>
      <c r="I174">
        <v>-1.0183378371823917</v>
      </c>
      <c r="J174" s="96">
        <v>-1.9679984583209115E-3</v>
      </c>
      <c r="L174" s="100"/>
      <c r="M174" s="100">
        <v>-7.7864383480378674</v>
      </c>
      <c r="N174" s="96">
        <v>4.8828125E-4</v>
      </c>
      <c r="O174" s="96">
        <f t="shared" si="11"/>
        <v>0.175537109375</v>
      </c>
      <c r="Q174" s="96">
        <f t="shared" si="8"/>
        <v>0</v>
      </c>
      <c r="R174" s="96">
        <f t="shared" si="9"/>
        <v>0</v>
      </c>
      <c r="S174" s="96">
        <f t="shared" si="10"/>
        <v>1</v>
      </c>
    </row>
    <row r="175" spans="1:19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4.6682585902700255</v>
      </c>
      <c r="H175">
        <v>4.8749248570982399E-4</v>
      </c>
      <c r="I175">
        <v>-0.85589410493964257</v>
      </c>
      <c r="J175" s="96">
        <v>-4.1724194472141129E-4</v>
      </c>
      <c r="L175" s="100"/>
      <c r="M175" s="100">
        <v>-7.7864383480378674</v>
      </c>
      <c r="N175" s="96">
        <v>2.44140625E-4</v>
      </c>
      <c r="O175" s="96">
        <f t="shared" si="11"/>
        <v>0.17578125</v>
      </c>
      <c r="Q175" s="96">
        <f t="shared" si="8"/>
        <v>0</v>
      </c>
      <c r="R175" s="96">
        <f t="shared" si="9"/>
        <v>0</v>
      </c>
      <c r="S175" s="96">
        <f t="shared" si="10"/>
        <v>1</v>
      </c>
    </row>
    <row r="176" spans="1:19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-11.893219174018935</v>
      </c>
      <c r="H176">
        <v>1.932559496921088E-3</v>
      </c>
      <c r="I176">
        <v>-1.4865241939921576</v>
      </c>
      <c r="J176" s="96">
        <v>-2.8727964485025098E-3</v>
      </c>
      <c r="L176" s="100"/>
      <c r="M176" s="100">
        <v>-7.4065434675353199</v>
      </c>
      <c r="N176" s="96">
        <v>9.765625E-4</v>
      </c>
      <c r="O176" s="96">
        <f t="shared" si="11"/>
        <v>0.1767578125</v>
      </c>
      <c r="Q176" s="96">
        <f t="shared" si="8"/>
        <v>0</v>
      </c>
      <c r="R176" s="96">
        <f t="shared" si="9"/>
        <v>0</v>
      </c>
      <c r="S176" s="96">
        <f t="shared" si="10"/>
        <v>1</v>
      </c>
    </row>
    <row r="177" spans="1:19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-2.3468547121122434</v>
      </c>
      <c r="H177">
        <v>1.932559496921088E-3</v>
      </c>
      <c r="I177">
        <v>-1.0813697130465589</v>
      </c>
      <c r="J177" s="96">
        <v>-2.0898113086309593E-3</v>
      </c>
      <c r="L177" s="100"/>
      <c r="M177" s="100">
        <v>-7.4065434675353199</v>
      </c>
      <c r="N177" s="96">
        <v>1.953125E-3</v>
      </c>
      <c r="O177" s="96">
        <f t="shared" si="11"/>
        <v>0.1787109375</v>
      </c>
      <c r="Q177" s="96">
        <f t="shared" si="8"/>
        <v>0</v>
      </c>
      <c r="R177" s="96">
        <f t="shared" si="9"/>
        <v>0</v>
      </c>
      <c r="S177" s="96">
        <f t="shared" si="10"/>
        <v>1</v>
      </c>
    </row>
    <row r="178" spans="1:19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2.9551202375351329</v>
      </c>
      <c r="H178">
        <v>4.8749248570982399E-4</v>
      </c>
      <c r="I178">
        <v>-0.90619206066366809</v>
      </c>
      <c r="J178" s="96">
        <v>-4.4176182018343916E-4</v>
      </c>
      <c r="L178" s="100"/>
      <c r="M178" s="100">
        <v>-7.4065434675353199</v>
      </c>
      <c r="N178" s="96">
        <v>9.765625E-4</v>
      </c>
      <c r="O178" s="96">
        <f t="shared" si="11"/>
        <v>0.1796875</v>
      </c>
      <c r="Q178" s="96">
        <f t="shared" si="8"/>
        <v>0</v>
      </c>
      <c r="R178" s="96">
        <f t="shared" si="9"/>
        <v>0</v>
      </c>
      <c r="S178" s="96">
        <f t="shared" si="10"/>
        <v>1</v>
      </c>
    </row>
    <row r="179" spans="1:19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-14.5</v>
      </c>
      <c r="H179">
        <v>4.8749248570982405E-4</v>
      </c>
      <c r="I179">
        <v>-1.6214703050420796</v>
      </c>
      <c r="J179" s="96">
        <v>-7.9045458950963003E-4</v>
      </c>
      <c r="L179" s="100"/>
      <c r="M179" s="100">
        <v>-7.0040896672095787</v>
      </c>
      <c r="N179" s="96">
        <v>1.953125E-3</v>
      </c>
      <c r="O179" s="96">
        <f t="shared" si="11"/>
        <v>0.181640625</v>
      </c>
      <c r="Q179" s="96">
        <f t="shared" si="8"/>
        <v>0</v>
      </c>
      <c r="R179" s="96">
        <f t="shared" si="9"/>
        <v>0</v>
      </c>
      <c r="S179" s="96">
        <f t="shared" si="10"/>
        <v>1</v>
      </c>
    </row>
    <row r="180" spans="1:19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-4.2045988987920433</v>
      </c>
      <c r="H180">
        <v>4.8749248570982405E-4</v>
      </c>
      <c r="I180">
        <v>-1.1504501454663549</v>
      </c>
      <c r="J180" s="96">
        <v>-5.6083580109862199E-4</v>
      </c>
      <c r="L180" s="100"/>
      <c r="M180" s="100">
        <v>-7.0040896672095787</v>
      </c>
      <c r="N180" s="96">
        <v>3.90625E-3</v>
      </c>
      <c r="O180" s="96">
        <f t="shared" si="11"/>
        <v>0.185546875</v>
      </c>
      <c r="Q180" s="96">
        <f t="shared" si="8"/>
        <v>0</v>
      </c>
      <c r="R180" s="96">
        <f t="shared" si="9"/>
        <v>0</v>
      </c>
      <c r="S180" s="96">
        <f t="shared" si="10"/>
        <v>1</v>
      </c>
    </row>
    <row r="181" spans="1:19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1.2164230862483281</v>
      </c>
      <c r="H181">
        <v>1.2297107747635201E-4</v>
      </c>
      <c r="I181">
        <v>-0.96026361216629819</v>
      </c>
      <c r="J181" s="96">
        <v>-1.180846510494235E-4</v>
      </c>
      <c r="L181" s="100"/>
      <c r="M181" s="100">
        <v>-7.0040896672095787</v>
      </c>
      <c r="N181" s="96">
        <v>1.953125E-3</v>
      </c>
      <c r="O181" s="96">
        <f t="shared" si="11"/>
        <v>0.1875</v>
      </c>
      <c r="Q181" s="96">
        <f t="shared" si="8"/>
        <v>0</v>
      </c>
      <c r="R181" s="96">
        <f t="shared" si="9"/>
        <v>0</v>
      </c>
      <c r="S181" s="96">
        <f t="shared" si="10"/>
        <v>1</v>
      </c>
    </row>
    <row r="182" spans="1:19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-11.786438348037867</v>
      </c>
      <c r="H182">
        <v>4.8749248570982405E-4</v>
      </c>
      <c r="I182">
        <v>-1.4812425232119328</v>
      </c>
      <c r="J182" s="96">
        <v>-7.2209459957967687E-4</v>
      </c>
      <c r="L182" s="100"/>
      <c r="M182" s="100">
        <v>-6.9962887341342359</v>
      </c>
      <c r="N182" s="96">
        <v>4.8828125E-4</v>
      </c>
      <c r="O182" s="96">
        <f t="shared" si="11"/>
        <v>0.18798828125</v>
      </c>
      <c r="Q182" s="96">
        <f t="shared" si="8"/>
        <v>0</v>
      </c>
      <c r="R182" s="96">
        <f t="shared" si="9"/>
        <v>0</v>
      </c>
      <c r="S182" s="96">
        <f t="shared" si="10"/>
        <v>1</v>
      </c>
    </row>
    <row r="183" spans="1:19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-2.4983465249789889</v>
      </c>
      <c r="H183">
        <v>4.8749248570982405E-4</v>
      </c>
      <c r="I183">
        <v>-1.0868441455488689</v>
      </c>
      <c r="J183" s="96">
        <v>-5.2982835409278784E-4</v>
      </c>
      <c r="L183" s="100"/>
      <c r="M183" s="100">
        <v>-6.9962887341342359</v>
      </c>
      <c r="N183" s="96">
        <v>9.765625E-4</v>
      </c>
      <c r="O183" s="96">
        <f t="shared" si="11"/>
        <v>0.18896484375</v>
      </c>
      <c r="Q183" s="96">
        <f t="shared" si="8"/>
        <v>0</v>
      </c>
      <c r="R183" s="96">
        <f t="shared" si="9"/>
        <v>0</v>
      </c>
      <c r="S183" s="96">
        <f t="shared" si="10"/>
        <v>1</v>
      </c>
    </row>
    <row r="184" spans="1:19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2.813423786679401</v>
      </c>
      <c r="H184">
        <v>1.2297107747635201E-4</v>
      </c>
      <c r="I184">
        <v>-0.9104823245669269</v>
      </c>
      <c r="J184" s="96">
        <v>-1.1196299247516864E-4</v>
      </c>
      <c r="L184" s="100"/>
      <c r="M184" s="100">
        <v>-6.9962887341342359</v>
      </c>
      <c r="N184" s="96">
        <v>4.8828125E-4</v>
      </c>
      <c r="O184" s="96">
        <f t="shared" si="11"/>
        <v>0.189453125</v>
      </c>
      <c r="Q184" s="96">
        <f t="shared" si="8"/>
        <v>0</v>
      </c>
      <c r="R184" s="96">
        <f t="shared" si="9"/>
        <v>0</v>
      </c>
      <c r="S184" s="96">
        <f t="shared" si="10"/>
        <v>1</v>
      </c>
    </row>
    <row r="185" spans="1:19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-14.393219174018933</v>
      </c>
      <c r="H185">
        <v>4.8749248570982405E-4</v>
      </c>
      <c r="I185">
        <v>-1.615709166161357</v>
      </c>
      <c r="J185" s="96">
        <v>-7.8764607759614698E-4</v>
      </c>
      <c r="L185" s="100"/>
      <c r="M185" s="100">
        <v>-6.995360917667794</v>
      </c>
      <c r="N185" s="96">
        <v>1.953125E-3</v>
      </c>
      <c r="O185" s="96">
        <f t="shared" si="11"/>
        <v>0.19140625</v>
      </c>
      <c r="Q185" s="96">
        <f t="shared" si="8"/>
        <v>0</v>
      </c>
      <c r="R185" s="96">
        <f t="shared" si="9"/>
        <v>0</v>
      </c>
      <c r="S185" s="96">
        <f t="shared" si="10"/>
        <v>1</v>
      </c>
    </row>
    <row r="186" spans="1:19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-4.3446050569387502</v>
      </c>
      <c r="H186">
        <v>4.8749248570982405E-4</v>
      </c>
      <c r="I186">
        <v>-1.1558316967044109</v>
      </c>
      <c r="J186" s="96">
        <v>-5.6345926688863672E-4</v>
      </c>
      <c r="L186" s="100"/>
      <c r="M186" s="100">
        <v>-6.995360917667794</v>
      </c>
      <c r="N186" s="96">
        <v>3.90625E-3</v>
      </c>
      <c r="O186" s="96">
        <f t="shared" si="11"/>
        <v>0.1953125</v>
      </c>
      <c r="Q186" s="96">
        <f t="shared" si="8"/>
        <v>0</v>
      </c>
      <c r="R186" s="96">
        <f t="shared" si="9"/>
        <v>0</v>
      </c>
      <c r="S186" s="96">
        <f t="shared" si="10"/>
        <v>1</v>
      </c>
    </row>
    <row r="187" spans="1:19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1.0642540092333412</v>
      </c>
      <c r="H187">
        <v>1.2297107747635201E-4</v>
      </c>
      <c r="I187">
        <v>-0.96514673361666881</v>
      </c>
      <c r="J187" s="96">
        <v>-1.1868513375562345E-4</v>
      </c>
      <c r="L187" s="100"/>
      <c r="M187" s="100">
        <v>-6.995360917667794</v>
      </c>
      <c r="N187" s="96">
        <v>1.953125E-3</v>
      </c>
      <c r="O187" s="96">
        <f t="shared" si="11"/>
        <v>0.197265625</v>
      </c>
      <c r="Q187" s="96">
        <f t="shared" si="8"/>
        <v>0</v>
      </c>
      <c r="R187" s="96">
        <f t="shared" si="9"/>
        <v>0</v>
      </c>
      <c r="S187" s="96">
        <f t="shared" si="10"/>
        <v>1</v>
      </c>
    </row>
    <row r="188" spans="1:19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-17</v>
      </c>
      <c r="H188">
        <v>1.2297107747635201E-4</v>
      </c>
      <c r="I188">
        <v>-1.7623826407286585</v>
      </c>
      <c r="J188" s="96">
        <v>-2.167220922560217E-4</v>
      </c>
      <c r="L188" s="100"/>
      <c r="M188" s="100">
        <v>-6.995360917667786</v>
      </c>
      <c r="N188" s="96">
        <v>9.765625E-4</v>
      </c>
      <c r="O188" s="96">
        <f t="shared" si="11"/>
        <v>0.1982421875</v>
      </c>
      <c r="Q188" s="96">
        <f t="shared" si="8"/>
        <v>0</v>
      </c>
      <c r="R188" s="96">
        <f t="shared" si="9"/>
        <v>0</v>
      </c>
      <c r="S188" s="96">
        <f t="shared" si="10"/>
        <v>1</v>
      </c>
    </row>
    <row r="189" spans="1:19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-6.5728766960757419</v>
      </c>
      <c r="H189">
        <v>1.2297107747635201E-4</v>
      </c>
      <c r="I189">
        <v>-1.2449506491190301</v>
      </c>
      <c r="J189" s="96">
        <v>-1.5309292272705098E-4</v>
      </c>
      <c r="L189" s="100"/>
      <c r="M189" s="100">
        <v>-6.995360917667786</v>
      </c>
      <c r="N189" s="96">
        <v>1.953125E-3</v>
      </c>
      <c r="O189" s="96">
        <f t="shared" si="11"/>
        <v>0.2001953125</v>
      </c>
      <c r="Q189" s="96">
        <f t="shared" si="8"/>
        <v>0</v>
      </c>
      <c r="R189" s="96">
        <f t="shared" si="9"/>
        <v>0</v>
      </c>
      <c r="S189" s="96">
        <f t="shared" si="10"/>
        <v>1</v>
      </c>
    </row>
    <row r="190" spans="1:19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-0.7008665723579155</v>
      </c>
      <c r="H190">
        <v>3.1019731255295997E-5</v>
      </c>
      <c r="I190">
        <v>-1.0236372533460838</v>
      </c>
      <c r="J190" s="96">
        <v>-3.175295250170486E-5</v>
      </c>
      <c r="L190" s="100"/>
      <c r="M190" s="100">
        <v>-6.995360917667786</v>
      </c>
      <c r="N190" s="96">
        <v>9.765625E-4</v>
      </c>
      <c r="O190" s="96">
        <f t="shared" si="11"/>
        <v>0.201171875</v>
      </c>
      <c r="Q190" s="96">
        <f t="shared" si="8"/>
        <v>0</v>
      </c>
      <c r="R190" s="96">
        <f t="shared" si="9"/>
        <v>0</v>
      </c>
      <c r="S190" s="96">
        <f t="shared" si="10"/>
        <v>1</v>
      </c>
    </row>
    <row r="191" spans="1:19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-7.7864383480378674</v>
      </c>
      <c r="H191">
        <v>1.932559496921088E-3</v>
      </c>
      <c r="I191">
        <v>-1.2963439353469375</v>
      </c>
      <c r="J191" s="96">
        <v>-2.505261783530781E-3</v>
      </c>
      <c r="L191" s="100"/>
      <c r="M191" s="100">
        <v>-6.5728766960757419</v>
      </c>
      <c r="N191" s="96">
        <v>4.8828125E-4</v>
      </c>
      <c r="O191" s="96">
        <f t="shared" si="11"/>
        <v>0.20166015625</v>
      </c>
      <c r="Q191" s="96">
        <f t="shared" si="8"/>
        <v>0</v>
      </c>
      <c r="R191" s="96">
        <f t="shared" si="9"/>
        <v>0</v>
      </c>
      <c r="S191" s="96">
        <f t="shared" si="10"/>
        <v>1</v>
      </c>
    </row>
    <row r="192" spans="1:19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0.60805662147890094</v>
      </c>
      <c r="H192">
        <v>1.932559496921088E-3</v>
      </c>
      <c r="I192">
        <v>-0.97993547232734979</v>
      </c>
      <c r="J192" s="96">
        <v>-1.8937836034160719E-3</v>
      </c>
      <c r="L192" s="100"/>
      <c r="M192" s="100">
        <v>-6.5728766960757419</v>
      </c>
      <c r="N192" s="96">
        <v>9.765625E-4</v>
      </c>
      <c r="O192" s="96">
        <f t="shared" si="11"/>
        <v>0.20263671875</v>
      </c>
      <c r="Q192" s="96">
        <f t="shared" si="8"/>
        <v>0</v>
      </c>
      <c r="R192" s="96">
        <f t="shared" si="9"/>
        <v>0</v>
      </c>
      <c r="S192" s="96">
        <f t="shared" si="10"/>
        <v>1</v>
      </c>
    </row>
    <row r="193" spans="1:19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5.7706930533776735</v>
      </c>
      <c r="H193">
        <v>4.8749248570982399E-4</v>
      </c>
      <c r="I193">
        <v>-0.82501275256482653</v>
      </c>
      <c r="J193" s="96">
        <v>-4.0218751749013124E-4</v>
      </c>
      <c r="L193" s="100"/>
      <c r="M193" s="100">
        <v>-6.5728766960757419</v>
      </c>
      <c r="N193" s="96">
        <v>4.8828125E-4</v>
      </c>
      <c r="O193" s="96">
        <f t="shared" si="11"/>
        <v>0.203125</v>
      </c>
      <c r="Q193" s="96">
        <f t="shared" si="8"/>
        <v>0</v>
      </c>
      <c r="R193" s="96">
        <f t="shared" si="9"/>
        <v>0</v>
      </c>
      <c r="S193" s="96">
        <f t="shared" si="10"/>
        <v>1</v>
      </c>
    </row>
    <row r="194" spans="1:19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-10.393219174018935</v>
      </c>
      <c r="H194">
        <v>1.932559496921088E-3</v>
      </c>
      <c r="I194">
        <v>-1.4140255535575479</v>
      </c>
      <c r="J194" s="96">
        <v>-2.7326885124167376E-3</v>
      </c>
      <c r="L194" s="100"/>
      <c r="M194" s="100">
        <v>-6.4935052847349111</v>
      </c>
      <c r="N194" s="96">
        <v>2.44140625E-4</v>
      </c>
      <c r="O194" s="96">
        <f t="shared" si="11"/>
        <v>0.203369140625</v>
      </c>
      <c r="Q194" s="96">
        <f t="shared" si="8"/>
        <v>0</v>
      </c>
      <c r="R194" s="96">
        <f t="shared" si="9"/>
        <v>0</v>
      </c>
      <c r="S194" s="96">
        <f t="shared" si="10"/>
        <v>1</v>
      </c>
    </row>
    <row r="195" spans="1:19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-1.1677106800845569</v>
      </c>
      <c r="H195">
        <v>1.932559496921088E-3</v>
      </c>
      <c r="I195">
        <v>-1.0396911411016807</v>
      </c>
      <c r="J195" s="96">
        <v>-2.0092649886007761E-3</v>
      </c>
      <c r="L195" s="100"/>
      <c r="M195" s="100">
        <v>-6.4935052847349111</v>
      </c>
      <c r="N195" s="96">
        <v>4.8828125E-4</v>
      </c>
      <c r="O195" s="96">
        <f t="shared" si="11"/>
        <v>0.203857421875</v>
      </c>
      <c r="Q195" s="96">
        <f t="shared" ref="Q195:Q258" si="12">IF(A195=3,1,0)</f>
        <v>0</v>
      </c>
      <c r="R195" s="96">
        <f t="shared" ref="R195:R258" si="13">IF(A195=2,1,0)</f>
        <v>0</v>
      </c>
      <c r="S195" s="96">
        <f t="shared" ref="S195:S258" si="14">IF(A195=1,1,0)</f>
        <v>1</v>
      </c>
    </row>
    <row r="196" spans="1:19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4.0671878152258945</v>
      </c>
      <c r="H196">
        <v>4.8749248570982399E-4</v>
      </c>
      <c r="I196">
        <v>-0.8732154794689978</v>
      </c>
      <c r="J196" s="96">
        <v>-4.2568598464663753E-4</v>
      </c>
      <c r="L196" s="100"/>
      <c r="M196" s="100">
        <v>-6.4935052847349111</v>
      </c>
      <c r="N196" s="96">
        <v>2.44140625E-4</v>
      </c>
      <c r="O196" s="96">
        <f t="shared" ref="O196:O259" si="15">N196+O195</f>
        <v>0.2041015625</v>
      </c>
      <c r="Q196" s="96">
        <f t="shared" si="12"/>
        <v>0</v>
      </c>
      <c r="R196" s="96">
        <f t="shared" si="13"/>
        <v>0</v>
      </c>
      <c r="S196" s="96">
        <f t="shared" si="14"/>
        <v>1</v>
      </c>
    </row>
    <row r="197" spans="1:19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-13</v>
      </c>
      <c r="H197">
        <v>4.8749248570982405E-4</v>
      </c>
      <c r="I197">
        <v>-1.5423902651101746</v>
      </c>
      <c r="J197" s="96">
        <v>-7.5190366427319358E-4</v>
      </c>
      <c r="L197" s="100"/>
      <c r="M197" s="100">
        <v>-6.4830479350473311</v>
      </c>
      <c r="N197" s="96">
        <v>9.765625E-4</v>
      </c>
      <c r="O197" s="96">
        <f t="shared" si="15"/>
        <v>0.205078125</v>
      </c>
      <c r="Q197" s="96">
        <f t="shared" si="12"/>
        <v>0</v>
      </c>
      <c r="R197" s="96">
        <f t="shared" si="13"/>
        <v>0</v>
      </c>
      <c r="S197" s="96">
        <f t="shared" si="14"/>
        <v>1</v>
      </c>
    </row>
    <row r="198" spans="1:19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-2.9900607231347447</v>
      </c>
      <c r="H198">
        <v>4.8749248570982405E-4</v>
      </c>
      <c r="I198">
        <v>-1.1048048253993314</v>
      </c>
      <c r="J198" s="96">
        <v>-5.3858405055812826E-4</v>
      </c>
      <c r="L198" s="100"/>
      <c r="M198" s="100">
        <v>-6.4830479350473311</v>
      </c>
      <c r="N198" s="96">
        <v>1.953125E-3</v>
      </c>
      <c r="O198" s="96">
        <f t="shared" si="15"/>
        <v>0.20703125</v>
      </c>
      <c r="Q198" s="96">
        <f t="shared" si="12"/>
        <v>0</v>
      </c>
      <c r="R198" s="96">
        <f t="shared" si="13"/>
        <v>0</v>
      </c>
      <c r="S198" s="96">
        <f t="shared" si="14"/>
        <v>1</v>
      </c>
    </row>
    <row r="199" spans="1:19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2.3540494624909964</v>
      </c>
      <c r="H199">
        <v>1.2297107747635201E-4</v>
      </c>
      <c r="I199">
        <v>-0.924531352858455</v>
      </c>
      <c r="J199" s="96">
        <v>-1.1369061662167361E-4</v>
      </c>
      <c r="L199" s="100"/>
      <c r="M199" s="100">
        <v>-6.4830479350473311</v>
      </c>
      <c r="N199" s="96">
        <v>9.765625E-4</v>
      </c>
      <c r="O199" s="96">
        <f t="shared" si="15"/>
        <v>0.2080078125</v>
      </c>
      <c r="Q199" s="96">
        <f t="shared" si="12"/>
        <v>0</v>
      </c>
      <c r="R199" s="96">
        <f t="shared" si="13"/>
        <v>0</v>
      </c>
      <c r="S199" s="96">
        <f t="shared" si="14"/>
        <v>1</v>
      </c>
    </row>
    <row r="200" spans="1:19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-9.2864383480378674</v>
      </c>
      <c r="H200">
        <v>1.932559496921088E-3</v>
      </c>
      <c r="I200">
        <v>-1.3628089101925844</v>
      </c>
      <c r="J200" s="96">
        <v>-2.6337093018813573E-3</v>
      </c>
      <c r="L200" s="100"/>
      <c r="M200" s="100">
        <v>-6.2448970094345793</v>
      </c>
      <c r="N200" s="96">
        <v>9.765625E-4</v>
      </c>
      <c r="O200" s="96">
        <f t="shared" si="15"/>
        <v>0.208984375</v>
      </c>
      <c r="Q200" s="96">
        <f t="shared" si="12"/>
        <v>0</v>
      </c>
      <c r="R200" s="96">
        <f t="shared" si="13"/>
        <v>0</v>
      </c>
      <c r="S200" s="96">
        <f t="shared" si="14"/>
        <v>1</v>
      </c>
    </row>
    <row r="201" spans="1:19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-0.54515180132103835</v>
      </c>
      <c r="H201">
        <v>1.932559496921088E-3</v>
      </c>
      <c r="I201">
        <v>-1.0183378371823917</v>
      </c>
      <c r="J201" s="96">
        <v>-1.9679984583209115E-3</v>
      </c>
      <c r="L201" s="100"/>
      <c r="M201" s="100">
        <v>-6.2448970094345793</v>
      </c>
      <c r="N201" s="96">
        <v>1.953125E-3</v>
      </c>
      <c r="O201" s="96">
        <f t="shared" si="15"/>
        <v>0.2109375</v>
      </c>
      <c r="Q201" s="96">
        <f t="shared" si="12"/>
        <v>0</v>
      </c>
      <c r="R201" s="96">
        <f t="shared" si="13"/>
        <v>0</v>
      </c>
      <c r="S201" s="96">
        <f t="shared" si="14"/>
        <v>1</v>
      </c>
    </row>
    <row r="202" spans="1:19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4.6682585902700255</v>
      </c>
      <c r="H202">
        <v>4.8749248570982399E-4</v>
      </c>
      <c r="I202">
        <v>-0.85589410493964257</v>
      </c>
      <c r="J202" s="96">
        <v>-4.1724194472141129E-4</v>
      </c>
      <c r="L202" s="100"/>
      <c r="M202" s="100">
        <v>-6.2448970094345793</v>
      </c>
      <c r="N202" s="96">
        <v>9.765625E-4</v>
      </c>
      <c r="O202" s="96">
        <f t="shared" si="15"/>
        <v>0.2119140625</v>
      </c>
      <c r="Q202" s="96">
        <f t="shared" si="12"/>
        <v>0</v>
      </c>
      <c r="R202" s="96">
        <f t="shared" si="13"/>
        <v>0</v>
      </c>
      <c r="S202" s="96">
        <f t="shared" si="14"/>
        <v>1</v>
      </c>
    </row>
    <row r="203" spans="1:19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-11.893219174018935</v>
      </c>
      <c r="H203">
        <v>1.932559496921088E-3</v>
      </c>
      <c r="I203">
        <v>-1.4865241939921576</v>
      </c>
      <c r="J203" s="96">
        <v>-2.8727964485025098E-3</v>
      </c>
      <c r="L203" s="100"/>
      <c r="M203" s="100">
        <v>-5.495360917667794</v>
      </c>
      <c r="N203" s="96">
        <v>9.765625E-4</v>
      </c>
      <c r="O203" s="96">
        <f t="shared" si="15"/>
        <v>0.212890625</v>
      </c>
      <c r="Q203" s="96">
        <f t="shared" si="12"/>
        <v>0</v>
      </c>
      <c r="R203" s="96">
        <f t="shared" si="13"/>
        <v>0</v>
      </c>
      <c r="S203" s="96">
        <f t="shared" si="14"/>
        <v>1</v>
      </c>
    </row>
    <row r="204" spans="1:19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-2.3468547121122434</v>
      </c>
      <c r="H204">
        <v>1.932559496921088E-3</v>
      </c>
      <c r="I204">
        <v>-1.0813697130465589</v>
      </c>
      <c r="J204" s="96">
        <v>-2.0898113086309593E-3</v>
      </c>
      <c r="L204" s="100"/>
      <c r="M204" s="100">
        <v>-5.495360917667794</v>
      </c>
      <c r="N204" s="96">
        <v>1.953125E-3</v>
      </c>
      <c r="O204" s="96">
        <f t="shared" si="15"/>
        <v>0.21484375</v>
      </c>
      <c r="Q204" s="96">
        <f t="shared" si="12"/>
        <v>0</v>
      </c>
      <c r="R204" s="96">
        <f t="shared" si="13"/>
        <v>0</v>
      </c>
      <c r="S204" s="96">
        <f t="shared" si="14"/>
        <v>1</v>
      </c>
    </row>
    <row r="205" spans="1:19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2.9551202375351329</v>
      </c>
      <c r="H205">
        <v>4.8749248570982399E-4</v>
      </c>
      <c r="I205">
        <v>-0.90619206066366809</v>
      </c>
      <c r="J205" s="96">
        <v>-4.4176182018343916E-4</v>
      </c>
      <c r="L205" s="100"/>
      <c r="M205" s="100">
        <v>-5.495360917667794</v>
      </c>
      <c r="N205" s="96">
        <v>9.765625E-4</v>
      </c>
      <c r="O205" s="96">
        <f t="shared" si="15"/>
        <v>0.2158203125</v>
      </c>
      <c r="Q205" s="96">
        <f t="shared" si="12"/>
        <v>0</v>
      </c>
      <c r="R205" s="96">
        <f t="shared" si="13"/>
        <v>0</v>
      </c>
      <c r="S205" s="96">
        <f t="shared" si="14"/>
        <v>1</v>
      </c>
    </row>
    <row r="206" spans="1:19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-14.5</v>
      </c>
      <c r="H206">
        <v>4.8749248570982405E-4</v>
      </c>
      <c r="I206">
        <v>-1.6214703050420796</v>
      </c>
      <c r="J206" s="96">
        <v>-7.9045458950963003E-4</v>
      </c>
      <c r="L206" s="100"/>
      <c r="M206" s="100">
        <v>-5.4953609176677878</v>
      </c>
      <c r="N206" s="96">
        <v>4.8828125E-4</v>
      </c>
      <c r="O206" s="96">
        <f t="shared" si="15"/>
        <v>0.21630859375</v>
      </c>
      <c r="Q206" s="96">
        <f t="shared" si="12"/>
        <v>0</v>
      </c>
      <c r="R206" s="96">
        <f t="shared" si="13"/>
        <v>0</v>
      </c>
      <c r="S206" s="96">
        <f t="shared" si="14"/>
        <v>1</v>
      </c>
    </row>
    <row r="207" spans="1:19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-4.2045988987920433</v>
      </c>
      <c r="H207">
        <v>4.8749248570982405E-4</v>
      </c>
      <c r="I207">
        <v>-1.1504501454663549</v>
      </c>
      <c r="J207" s="96">
        <v>-5.6083580109862199E-4</v>
      </c>
      <c r="L207" s="100"/>
      <c r="M207" s="100">
        <v>-5.4953609176677878</v>
      </c>
      <c r="N207" s="96">
        <v>9.765625E-4</v>
      </c>
      <c r="O207" s="96">
        <f t="shared" si="15"/>
        <v>0.21728515625</v>
      </c>
      <c r="Q207" s="96">
        <f t="shared" si="12"/>
        <v>0</v>
      </c>
      <c r="R207" s="96">
        <f t="shared" si="13"/>
        <v>0</v>
      </c>
      <c r="S207" s="96">
        <f t="shared" si="14"/>
        <v>1</v>
      </c>
    </row>
    <row r="208" spans="1:19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1.2164230862483281</v>
      </c>
      <c r="H208">
        <v>1.2297107747635201E-4</v>
      </c>
      <c r="I208">
        <v>-0.96026361216629819</v>
      </c>
      <c r="J208" s="96">
        <v>-1.180846510494235E-4</v>
      </c>
      <c r="L208" s="100"/>
      <c r="M208" s="100">
        <v>-5.4953609176677878</v>
      </c>
      <c r="N208" s="96">
        <v>4.8828125E-4</v>
      </c>
      <c r="O208" s="96">
        <f t="shared" si="15"/>
        <v>0.2177734375</v>
      </c>
      <c r="Q208" s="96">
        <f t="shared" si="12"/>
        <v>0</v>
      </c>
      <c r="R208" s="96">
        <f t="shared" si="13"/>
        <v>0</v>
      </c>
      <c r="S208" s="96">
        <f t="shared" si="14"/>
        <v>1</v>
      </c>
    </row>
    <row r="209" spans="1:19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-11.786438348037867</v>
      </c>
      <c r="H209">
        <v>4.8749248570982405E-4</v>
      </c>
      <c r="I209">
        <v>-1.4812425232119328</v>
      </c>
      <c r="J209" s="96">
        <v>-7.2209459957967687E-4</v>
      </c>
      <c r="L209" s="100"/>
      <c r="M209" s="100">
        <v>-5.4944331012013539</v>
      </c>
      <c r="N209" s="96">
        <v>9.765625E-4</v>
      </c>
      <c r="O209" s="96">
        <f t="shared" si="15"/>
        <v>0.21875</v>
      </c>
      <c r="Q209" s="96">
        <f t="shared" si="12"/>
        <v>0</v>
      </c>
      <c r="R209" s="96">
        <f t="shared" si="13"/>
        <v>0</v>
      </c>
      <c r="S209" s="96">
        <f t="shared" si="14"/>
        <v>1</v>
      </c>
    </row>
    <row r="210" spans="1:19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-2.4983465249789889</v>
      </c>
      <c r="H210">
        <v>4.8749248570982405E-4</v>
      </c>
      <c r="I210">
        <v>-1.0868441455488689</v>
      </c>
      <c r="J210" s="96">
        <v>-5.2982835409278784E-4</v>
      </c>
      <c r="L210" s="100"/>
      <c r="M210" s="100">
        <v>-5.4944331012013539</v>
      </c>
      <c r="N210" s="96">
        <v>1.953125E-3</v>
      </c>
      <c r="O210" s="96">
        <f t="shared" si="15"/>
        <v>0.220703125</v>
      </c>
      <c r="Q210" s="96">
        <f t="shared" si="12"/>
        <v>0</v>
      </c>
      <c r="R210" s="96">
        <f t="shared" si="13"/>
        <v>0</v>
      </c>
      <c r="S210" s="96">
        <f t="shared" si="14"/>
        <v>1</v>
      </c>
    </row>
    <row r="211" spans="1:19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2.813423786679401</v>
      </c>
      <c r="H211">
        <v>1.2297107747635201E-4</v>
      </c>
      <c r="I211">
        <v>-0.9104823245669269</v>
      </c>
      <c r="J211" s="96">
        <v>-1.1196299247516864E-4</v>
      </c>
      <c r="L211" s="100"/>
      <c r="M211" s="100">
        <v>-5.4944331012013539</v>
      </c>
      <c r="N211" s="96">
        <v>9.765625E-4</v>
      </c>
      <c r="O211" s="96">
        <f t="shared" si="15"/>
        <v>0.2216796875</v>
      </c>
      <c r="Q211" s="96">
        <f t="shared" si="12"/>
        <v>0</v>
      </c>
      <c r="R211" s="96">
        <f t="shared" si="13"/>
        <v>0</v>
      </c>
      <c r="S211" s="96">
        <f t="shared" si="14"/>
        <v>1</v>
      </c>
    </row>
    <row r="212" spans="1:19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-14.393219174018933</v>
      </c>
      <c r="H212">
        <v>4.8749248570982405E-4</v>
      </c>
      <c r="I212">
        <v>-1.615709166161357</v>
      </c>
      <c r="J212" s="96">
        <v>-7.8764607759614698E-4</v>
      </c>
      <c r="L212" s="100"/>
      <c r="M212" s="100">
        <v>-5.0596113222263472</v>
      </c>
      <c r="N212" s="96">
        <v>1.953125E-3</v>
      </c>
      <c r="O212" s="96">
        <f t="shared" si="15"/>
        <v>0.2236328125</v>
      </c>
      <c r="Q212" s="96">
        <f t="shared" si="12"/>
        <v>0</v>
      </c>
      <c r="R212" s="96">
        <f t="shared" si="13"/>
        <v>0</v>
      </c>
      <c r="S212" s="96">
        <f t="shared" si="14"/>
        <v>1</v>
      </c>
    </row>
    <row r="213" spans="1:19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-4.3446050569387502</v>
      </c>
      <c r="H213">
        <v>4.8749248570982405E-4</v>
      </c>
      <c r="I213">
        <v>-1.1558316967044109</v>
      </c>
      <c r="J213" s="96">
        <v>-5.6345926688863672E-4</v>
      </c>
      <c r="L213" s="100"/>
      <c r="M213" s="100">
        <v>-5.0596113222263472</v>
      </c>
      <c r="N213" s="96">
        <v>3.90625E-3</v>
      </c>
      <c r="O213" s="96">
        <f t="shared" si="15"/>
        <v>0.2275390625</v>
      </c>
      <c r="Q213" s="96">
        <f t="shared" si="12"/>
        <v>0</v>
      </c>
      <c r="R213" s="96">
        <f t="shared" si="13"/>
        <v>0</v>
      </c>
      <c r="S213" s="96">
        <f t="shared" si="14"/>
        <v>1</v>
      </c>
    </row>
    <row r="214" spans="1:19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1.0642540092333412</v>
      </c>
      <c r="H214">
        <v>1.2297107747635201E-4</v>
      </c>
      <c r="I214">
        <v>-0.96514673361666881</v>
      </c>
      <c r="J214" s="96">
        <v>-1.1868513375562345E-4</v>
      </c>
      <c r="L214" s="100"/>
      <c r="M214" s="100">
        <v>-5.0596113222263472</v>
      </c>
      <c r="N214" s="96">
        <v>1.953125E-3</v>
      </c>
      <c r="O214" s="96">
        <f t="shared" si="15"/>
        <v>0.2294921875</v>
      </c>
      <c r="Q214" s="96">
        <f t="shared" si="12"/>
        <v>0</v>
      </c>
      <c r="R214" s="96">
        <f t="shared" si="13"/>
        <v>0</v>
      </c>
      <c r="S214" s="96">
        <f t="shared" si="14"/>
        <v>1</v>
      </c>
    </row>
    <row r="215" spans="1:19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-17</v>
      </c>
      <c r="H215">
        <v>1.2297107747635201E-4</v>
      </c>
      <c r="I215">
        <v>-1.7623826407286585</v>
      </c>
      <c r="J215" s="96">
        <v>-2.167220922560217E-4</v>
      </c>
      <c r="L215" s="100"/>
      <c r="M215" s="100">
        <v>-5.0596113222263472</v>
      </c>
      <c r="N215" s="96">
        <v>9.765625E-4</v>
      </c>
      <c r="O215" s="96">
        <f t="shared" si="15"/>
        <v>0.23046875</v>
      </c>
      <c r="Q215" s="96">
        <f t="shared" si="12"/>
        <v>0</v>
      </c>
      <c r="R215" s="96">
        <f t="shared" si="13"/>
        <v>0</v>
      </c>
      <c r="S215" s="96">
        <f t="shared" si="14"/>
        <v>1</v>
      </c>
    </row>
    <row r="216" spans="1:19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-6.5728766960757419</v>
      </c>
      <c r="H216">
        <v>1.2297107747635201E-4</v>
      </c>
      <c r="I216">
        <v>-1.2449506491190301</v>
      </c>
      <c r="J216" s="96">
        <v>-1.5309292272705098E-4</v>
      </c>
      <c r="L216" s="100"/>
      <c r="M216" s="100">
        <v>-5.0596113222263472</v>
      </c>
      <c r="N216" s="96">
        <v>1.953125E-3</v>
      </c>
      <c r="O216" s="96">
        <f t="shared" si="15"/>
        <v>0.232421875</v>
      </c>
      <c r="Q216" s="96">
        <f t="shared" si="12"/>
        <v>0</v>
      </c>
      <c r="R216" s="96">
        <f t="shared" si="13"/>
        <v>0</v>
      </c>
      <c r="S216" s="96">
        <f t="shared" si="14"/>
        <v>1</v>
      </c>
    </row>
    <row r="217" spans="1:19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-0.7008665723579155</v>
      </c>
      <c r="H217">
        <v>3.1019731255295997E-5</v>
      </c>
      <c r="I217">
        <v>-1.0236372533460838</v>
      </c>
      <c r="J217" s="96">
        <v>-3.175295250170486E-5</v>
      </c>
      <c r="L217" s="100"/>
      <c r="M217" s="100">
        <v>-5.0596113222263472</v>
      </c>
      <c r="N217" s="96">
        <v>9.765625E-4</v>
      </c>
      <c r="O217" s="96">
        <f t="shared" si="15"/>
        <v>0.2333984375</v>
      </c>
      <c r="Q217" s="96">
        <f t="shared" si="12"/>
        <v>0</v>
      </c>
      <c r="R217" s="96">
        <f t="shared" si="13"/>
        <v>0</v>
      </c>
      <c r="S217" s="96">
        <f t="shared" si="14"/>
        <v>1</v>
      </c>
    </row>
    <row r="218" spans="1:19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-7.7864383480378674</v>
      </c>
      <c r="H218">
        <v>4.8749248570982405E-4</v>
      </c>
      <c r="I218">
        <v>-1.2963439353469375</v>
      </c>
      <c r="J218" s="96">
        <v>-6.3195792737713401E-4</v>
      </c>
      <c r="L218" s="100"/>
      <c r="M218" s="100">
        <v>-4.9925774682684709</v>
      </c>
      <c r="N218" s="96">
        <v>4.8828125E-4</v>
      </c>
      <c r="O218" s="96">
        <f t="shared" si="15"/>
        <v>0.23388671875</v>
      </c>
      <c r="Q218" s="96">
        <f t="shared" si="12"/>
        <v>0</v>
      </c>
      <c r="R218" s="96">
        <f t="shared" si="13"/>
        <v>0</v>
      </c>
      <c r="S218" s="96">
        <f t="shared" si="14"/>
        <v>1</v>
      </c>
    </row>
    <row r="219" spans="1:19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0.60805662147890094</v>
      </c>
      <c r="H219">
        <v>4.8749248570982405E-4</v>
      </c>
      <c r="I219">
        <v>-0.97993547232734979</v>
      </c>
      <c r="J219" s="96">
        <v>-4.7771117924009024E-4</v>
      </c>
      <c r="L219" s="100"/>
      <c r="M219" s="100">
        <v>-4.9925774682684709</v>
      </c>
      <c r="N219" s="96">
        <v>9.765625E-4</v>
      </c>
      <c r="O219" s="96">
        <f t="shared" si="15"/>
        <v>0.23486328125</v>
      </c>
      <c r="Q219" s="96">
        <f t="shared" si="12"/>
        <v>0</v>
      </c>
      <c r="R219" s="96">
        <f t="shared" si="13"/>
        <v>0</v>
      </c>
      <c r="S219" s="96">
        <f t="shared" si="14"/>
        <v>1</v>
      </c>
    </row>
    <row r="220" spans="1:19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5.7706930533776735</v>
      </c>
      <c r="H220">
        <v>1.2297107747635201E-4</v>
      </c>
      <c r="I220">
        <v>-0.82501275256482653</v>
      </c>
      <c r="J220" s="96">
        <v>-1.0145270711462771E-4</v>
      </c>
      <c r="L220" s="100"/>
      <c r="M220" s="100">
        <v>-4.9925774682684709</v>
      </c>
      <c r="N220" s="96">
        <v>4.8828125E-4</v>
      </c>
      <c r="O220" s="96">
        <f t="shared" si="15"/>
        <v>0.2353515625</v>
      </c>
      <c r="Q220" s="96">
        <f t="shared" si="12"/>
        <v>0</v>
      </c>
      <c r="R220" s="96">
        <f t="shared" si="13"/>
        <v>0</v>
      </c>
      <c r="S220" s="96">
        <f t="shared" si="14"/>
        <v>1</v>
      </c>
    </row>
    <row r="221" spans="1:19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-10.393219174018935</v>
      </c>
      <c r="H221">
        <v>4.8749248570982405E-4</v>
      </c>
      <c r="I221">
        <v>-1.4140255535575479</v>
      </c>
      <c r="J221" s="96">
        <v>-6.8932683196097893E-4</v>
      </c>
      <c r="L221" s="100"/>
      <c r="M221" s="100">
        <v>-4.9065434675353217</v>
      </c>
      <c r="N221" s="96">
        <v>1.953125E-3</v>
      </c>
      <c r="O221" s="96">
        <f t="shared" si="15"/>
        <v>0.2373046875</v>
      </c>
      <c r="Q221" s="96">
        <f t="shared" si="12"/>
        <v>0</v>
      </c>
      <c r="R221" s="96">
        <f t="shared" si="13"/>
        <v>0</v>
      </c>
      <c r="S221" s="96">
        <f t="shared" si="14"/>
        <v>1</v>
      </c>
    </row>
    <row r="222" spans="1:19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-1.1677106800845569</v>
      </c>
      <c r="H222">
        <v>4.8749248570982405E-4</v>
      </c>
      <c r="I222">
        <v>-1.0396911411016807</v>
      </c>
      <c r="J222" s="96">
        <v>-5.0684161874614173E-4</v>
      </c>
      <c r="L222" s="100"/>
      <c r="M222" s="100">
        <v>-4.9065434675353217</v>
      </c>
      <c r="N222" s="96">
        <v>3.90625E-3</v>
      </c>
      <c r="O222" s="96">
        <f t="shared" si="15"/>
        <v>0.2412109375</v>
      </c>
      <c r="Q222" s="96">
        <f t="shared" si="12"/>
        <v>0</v>
      </c>
      <c r="R222" s="96">
        <f t="shared" si="13"/>
        <v>0</v>
      </c>
      <c r="S222" s="96">
        <f t="shared" si="14"/>
        <v>1</v>
      </c>
    </row>
    <row r="223" spans="1:19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4.0671878152258945</v>
      </c>
      <c r="H223">
        <v>1.2297107747635201E-4</v>
      </c>
      <c r="I223">
        <v>-0.8732154794689978</v>
      </c>
      <c r="J223" s="96">
        <v>-1.07380248379332E-4</v>
      </c>
      <c r="L223" s="100"/>
      <c r="M223" s="100">
        <v>-4.9065434675353217</v>
      </c>
      <c r="N223" s="96">
        <v>1.953125E-3</v>
      </c>
      <c r="O223" s="96">
        <f t="shared" si="15"/>
        <v>0.2431640625</v>
      </c>
      <c r="Q223" s="96">
        <f t="shared" si="12"/>
        <v>0</v>
      </c>
      <c r="R223" s="96">
        <f t="shared" si="13"/>
        <v>0</v>
      </c>
      <c r="S223" s="96">
        <f t="shared" si="14"/>
        <v>1</v>
      </c>
    </row>
    <row r="224" spans="1:19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-13</v>
      </c>
      <c r="H224">
        <v>1.2297107747635201E-4</v>
      </c>
      <c r="I224">
        <v>-1.5423902651101746</v>
      </c>
      <c r="J224" s="96">
        <v>-1.896693927896344E-4</v>
      </c>
      <c r="L224" s="100"/>
      <c r="M224" s="100">
        <v>-4.7448970094345793</v>
      </c>
      <c r="N224" s="96">
        <v>4.8828125E-4</v>
      </c>
      <c r="O224" s="96">
        <f t="shared" si="15"/>
        <v>0.24365234375</v>
      </c>
      <c r="Q224" s="96">
        <f t="shared" si="12"/>
        <v>0</v>
      </c>
      <c r="R224" s="96">
        <f t="shared" si="13"/>
        <v>0</v>
      </c>
      <c r="S224" s="96">
        <f t="shared" si="14"/>
        <v>1</v>
      </c>
    </row>
    <row r="225" spans="1:19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-2.9900607231347447</v>
      </c>
      <c r="H225">
        <v>1.2297107747635201E-4</v>
      </c>
      <c r="I225">
        <v>-1.1048048253993314</v>
      </c>
      <c r="J225" s="96">
        <v>-1.3585903978042874E-4</v>
      </c>
      <c r="L225" s="100"/>
      <c r="M225" s="100">
        <v>-4.7448970094345793</v>
      </c>
      <c r="N225" s="96">
        <v>9.765625E-4</v>
      </c>
      <c r="O225" s="96">
        <f t="shared" si="15"/>
        <v>0.24462890625</v>
      </c>
      <c r="Q225" s="96">
        <f t="shared" si="12"/>
        <v>0</v>
      </c>
      <c r="R225" s="96">
        <f t="shared" si="13"/>
        <v>0</v>
      </c>
      <c r="S225" s="96">
        <f t="shared" si="14"/>
        <v>1</v>
      </c>
    </row>
    <row r="226" spans="1:19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2.3540494624909964</v>
      </c>
      <c r="H226">
        <v>3.1019731255295997E-5</v>
      </c>
      <c r="I226">
        <v>-0.924531352858455</v>
      </c>
      <c r="J226" s="96">
        <v>-2.8678714102764509E-5</v>
      </c>
      <c r="L226" s="100"/>
      <c r="M226" s="100">
        <v>-4.7448970094345793</v>
      </c>
      <c r="N226" s="96">
        <v>4.8828125E-4</v>
      </c>
      <c r="O226" s="96">
        <f t="shared" si="15"/>
        <v>0.2451171875</v>
      </c>
      <c r="Q226" s="96">
        <f t="shared" si="12"/>
        <v>0</v>
      </c>
      <c r="R226" s="96">
        <f t="shared" si="13"/>
        <v>0</v>
      </c>
      <c r="S226" s="96">
        <f t="shared" si="14"/>
        <v>1</v>
      </c>
    </row>
    <row r="227" spans="1:19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-9.2864383480378674</v>
      </c>
      <c r="H227">
        <v>4.8749248570982405E-4</v>
      </c>
      <c r="I227">
        <v>-1.3628089101925844</v>
      </c>
      <c r="J227" s="96">
        <v>-6.6435910317727933E-4</v>
      </c>
      <c r="L227" s="100"/>
      <c r="M227" s="100">
        <v>-4.4294892017680674</v>
      </c>
      <c r="N227" s="96">
        <v>9.765625E-4</v>
      </c>
      <c r="O227" s="96">
        <f t="shared" si="15"/>
        <v>0.24609375</v>
      </c>
      <c r="Q227" s="96">
        <f t="shared" si="12"/>
        <v>0</v>
      </c>
      <c r="R227" s="96">
        <f t="shared" si="13"/>
        <v>0</v>
      </c>
      <c r="S227" s="96">
        <f t="shared" si="14"/>
        <v>1</v>
      </c>
    </row>
    <row r="228" spans="1:19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-0.54515180132103835</v>
      </c>
      <c r="H228">
        <v>4.8749248570982405E-4</v>
      </c>
      <c r="I228">
        <v>-1.0183378371823917</v>
      </c>
      <c r="J228" s="96">
        <v>-4.964320435404102E-4</v>
      </c>
      <c r="L228" s="100"/>
      <c r="M228" s="100">
        <v>-4.4294892017680674</v>
      </c>
      <c r="N228" s="96">
        <v>1.953125E-3</v>
      </c>
      <c r="O228" s="96">
        <f t="shared" si="15"/>
        <v>0.248046875</v>
      </c>
      <c r="Q228" s="96">
        <f t="shared" si="12"/>
        <v>0</v>
      </c>
      <c r="R228" s="96">
        <f t="shared" si="13"/>
        <v>0</v>
      </c>
      <c r="S228" s="96">
        <f t="shared" si="14"/>
        <v>1</v>
      </c>
    </row>
    <row r="229" spans="1:19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4.6682585902700255</v>
      </c>
      <c r="H229">
        <v>1.2297107747635201E-4</v>
      </c>
      <c r="I229">
        <v>-0.85589410493964257</v>
      </c>
      <c r="J229" s="96">
        <v>-1.0525022029008574E-4</v>
      </c>
      <c r="L229" s="100"/>
      <c r="M229" s="100">
        <v>-4.4294892017680674</v>
      </c>
      <c r="N229" s="96">
        <v>9.765625E-4</v>
      </c>
      <c r="O229" s="96">
        <f t="shared" si="15"/>
        <v>0.2490234375</v>
      </c>
      <c r="Q229" s="96">
        <f t="shared" si="12"/>
        <v>0</v>
      </c>
      <c r="R229" s="96">
        <f t="shared" si="13"/>
        <v>0</v>
      </c>
      <c r="S229" s="96">
        <f t="shared" si="14"/>
        <v>1</v>
      </c>
    </row>
    <row r="230" spans="1:19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-11.893219174018935</v>
      </c>
      <c r="H230">
        <v>4.8749248570982405E-4</v>
      </c>
      <c r="I230">
        <v>-1.4865241939921576</v>
      </c>
      <c r="J230" s="96">
        <v>-7.246693743970296E-4</v>
      </c>
      <c r="L230" s="100"/>
      <c r="M230" s="100">
        <v>-4.3446050569387502</v>
      </c>
      <c r="N230" s="96">
        <v>9.765625E-4</v>
      </c>
      <c r="O230" s="96">
        <f t="shared" si="15"/>
        <v>0.25</v>
      </c>
      <c r="Q230" s="96">
        <f t="shared" si="12"/>
        <v>0</v>
      </c>
      <c r="R230" s="96">
        <f t="shared" si="13"/>
        <v>0</v>
      </c>
      <c r="S230" s="96">
        <f t="shared" si="14"/>
        <v>1</v>
      </c>
    </row>
    <row r="231" spans="1:19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-2.3468547121122434</v>
      </c>
      <c r="H231">
        <v>4.8749248570982405E-4</v>
      </c>
      <c r="I231">
        <v>-1.0813697130465589</v>
      </c>
      <c r="J231" s="96">
        <v>-5.2715960938438619E-4</v>
      </c>
      <c r="L231" s="100"/>
      <c r="M231" s="100">
        <v>-4.3446050569387502</v>
      </c>
      <c r="N231" s="96">
        <v>1.953125E-3</v>
      </c>
      <c r="O231" s="96">
        <f t="shared" si="15"/>
        <v>0.251953125</v>
      </c>
      <c r="Q231" s="96">
        <f t="shared" si="12"/>
        <v>0</v>
      </c>
      <c r="R231" s="96">
        <f t="shared" si="13"/>
        <v>0</v>
      </c>
      <c r="S231" s="96">
        <f t="shared" si="14"/>
        <v>1</v>
      </c>
    </row>
    <row r="232" spans="1:19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2.9551202375351329</v>
      </c>
      <c r="H232">
        <v>1.2297107747635201E-4</v>
      </c>
      <c r="I232">
        <v>-0.90619206066366809</v>
      </c>
      <c r="J232" s="96">
        <v>-1.1143541410032701E-4</v>
      </c>
      <c r="L232" s="100"/>
      <c r="M232" s="100">
        <v>-4.3446050569387502</v>
      </c>
      <c r="N232" s="96">
        <v>9.765625E-4</v>
      </c>
      <c r="O232" s="96">
        <f t="shared" si="15"/>
        <v>0.2529296875</v>
      </c>
      <c r="Q232" s="96">
        <f t="shared" si="12"/>
        <v>0</v>
      </c>
      <c r="R232" s="96">
        <f t="shared" si="13"/>
        <v>0</v>
      </c>
      <c r="S232" s="96">
        <f t="shared" si="14"/>
        <v>1</v>
      </c>
    </row>
    <row r="233" spans="1:19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-14.5</v>
      </c>
      <c r="H233">
        <v>1.2297107747635201E-4</v>
      </c>
      <c r="I233">
        <v>-1.6214703050420796</v>
      </c>
      <c r="J233" s="96">
        <v>-1.9939395050693368E-4</v>
      </c>
      <c r="L233" s="100"/>
      <c r="M233" s="100">
        <v>-4.3446050569387475</v>
      </c>
      <c r="N233" s="96">
        <v>4.8828125E-4</v>
      </c>
      <c r="O233" s="96">
        <f t="shared" si="15"/>
        <v>0.25341796875</v>
      </c>
      <c r="Q233" s="96">
        <f t="shared" si="12"/>
        <v>0</v>
      </c>
      <c r="R233" s="96">
        <f t="shared" si="13"/>
        <v>0</v>
      </c>
      <c r="S233" s="96">
        <f t="shared" si="14"/>
        <v>1</v>
      </c>
    </row>
    <row r="234" spans="1:19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-4.2045988987920433</v>
      </c>
      <c r="H234">
        <v>1.2297107747635201E-4</v>
      </c>
      <c r="I234">
        <v>-1.1504501454663549</v>
      </c>
      <c r="J234" s="96">
        <v>-1.4147209397082357E-4</v>
      </c>
      <c r="L234" s="100"/>
      <c r="M234" s="100">
        <v>-4.3446050569387475</v>
      </c>
      <c r="N234" s="96">
        <v>9.765625E-4</v>
      </c>
      <c r="O234" s="96">
        <f t="shared" si="15"/>
        <v>0.25439453125</v>
      </c>
      <c r="Q234" s="96">
        <f t="shared" si="12"/>
        <v>0</v>
      </c>
      <c r="R234" s="96">
        <f t="shared" si="13"/>
        <v>0</v>
      </c>
      <c r="S234" s="96">
        <f t="shared" si="14"/>
        <v>1</v>
      </c>
    </row>
    <row r="235" spans="1:19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1.2164230862483281</v>
      </c>
      <c r="H235">
        <v>3.1019731255295997E-5</v>
      </c>
      <c r="I235">
        <v>-0.96026361216629819</v>
      </c>
      <c r="J235" s="96">
        <v>-2.9787119183638352E-5</v>
      </c>
      <c r="L235" s="100"/>
      <c r="M235" s="100">
        <v>-4.3446050569387475</v>
      </c>
      <c r="N235" s="96">
        <v>4.8828125E-4</v>
      </c>
      <c r="O235" s="96">
        <f t="shared" si="15"/>
        <v>0.2548828125</v>
      </c>
      <c r="Q235" s="96">
        <f t="shared" si="12"/>
        <v>0</v>
      </c>
      <c r="R235" s="96">
        <f t="shared" si="13"/>
        <v>0</v>
      </c>
      <c r="S235" s="96">
        <f t="shared" si="14"/>
        <v>1</v>
      </c>
    </row>
    <row r="236" spans="1:19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-11.786438348037867</v>
      </c>
      <c r="H236">
        <v>1.2297107747635201E-4</v>
      </c>
      <c r="I236">
        <v>-1.4812425232119328</v>
      </c>
      <c r="J236" s="96">
        <v>-1.8214998908316172E-4</v>
      </c>
      <c r="L236" s="100"/>
      <c r="M236" s="100">
        <v>-4.2045988987920433</v>
      </c>
      <c r="N236" s="96">
        <v>9.765625E-4</v>
      </c>
      <c r="O236" s="96">
        <f t="shared" si="15"/>
        <v>0.255859375</v>
      </c>
      <c r="Q236" s="96">
        <f t="shared" si="12"/>
        <v>0</v>
      </c>
      <c r="R236" s="96">
        <f t="shared" si="13"/>
        <v>0</v>
      </c>
      <c r="S236" s="96">
        <f t="shared" si="14"/>
        <v>1</v>
      </c>
    </row>
    <row r="237" spans="1:19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-2.4983465249789889</v>
      </c>
      <c r="H237">
        <v>1.2297107747635201E-4</v>
      </c>
      <c r="I237">
        <v>-1.0868441455488689</v>
      </c>
      <c r="J237" s="96">
        <v>-1.3365039562700956E-4</v>
      </c>
      <c r="L237" s="100"/>
      <c r="M237" s="100">
        <v>-4.2045988987920433</v>
      </c>
      <c r="N237" s="96">
        <v>1.953125E-3</v>
      </c>
      <c r="O237" s="96">
        <f t="shared" si="15"/>
        <v>0.2578125</v>
      </c>
      <c r="Q237" s="96">
        <f t="shared" si="12"/>
        <v>0</v>
      </c>
      <c r="R237" s="96">
        <f t="shared" si="13"/>
        <v>0</v>
      </c>
      <c r="S237" s="96">
        <f t="shared" si="14"/>
        <v>1</v>
      </c>
    </row>
    <row r="238" spans="1:19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2.813423786679401</v>
      </c>
      <c r="H238">
        <v>3.1019731255295997E-5</v>
      </c>
      <c r="I238">
        <v>-0.9104823245669269</v>
      </c>
      <c r="J238" s="96">
        <v>-2.8242917020763258E-5</v>
      </c>
      <c r="L238" s="100"/>
      <c r="M238" s="100">
        <v>-4.2045988987920433</v>
      </c>
      <c r="N238" s="96">
        <v>9.765625E-4</v>
      </c>
      <c r="O238" s="96">
        <f t="shared" si="15"/>
        <v>0.2587890625</v>
      </c>
      <c r="Q238" s="96">
        <f t="shared" si="12"/>
        <v>0</v>
      </c>
      <c r="R238" s="96">
        <f t="shared" si="13"/>
        <v>0</v>
      </c>
      <c r="S238" s="96">
        <f t="shared" si="14"/>
        <v>1</v>
      </c>
    </row>
    <row r="239" spans="1:19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-14.393219174018933</v>
      </c>
      <c r="H239">
        <v>1.2297107747635201E-4</v>
      </c>
      <c r="I239">
        <v>-1.615709166161357</v>
      </c>
      <c r="J239" s="96">
        <v>-1.9868549705128033E-4</v>
      </c>
      <c r="L239" s="100"/>
      <c r="M239" s="100">
        <v>-4.1171713473951597</v>
      </c>
      <c r="N239" s="96">
        <v>4.8828125E-4</v>
      </c>
      <c r="O239" s="96">
        <f t="shared" si="15"/>
        <v>0.25927734375</v>
      </c>
      <c r="Q239" s="96">
        <f t="shared" si="12"/>
        <v>0</v>
      </c>
      <c r="R239" s="96">
        <f t="shared" si="13"/>
        <v>0</v>
      </c>
      <c r="S239" s="96">
        <f t="shared" si="14"/>
        <v>1</v>
      </c>
    </row>
    <row r="240" spans="1:19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-4.3446050569387502</v>
      </c>
      <c r="H240">
        <v>1.2297107747635201E-4</v>
      </c>
      <c r="I240">
        <v>-1.1558316967044109</v>
      </c>
      <c r="J240" s="96">
        <v>-1.4213386912506151E-4</v>
      </c>
      <c r="L240" s="100"/>
      <c r="M240" s="100">
        <v>-4.1171713473951597</v>
      </c>
      <c r="N240" s="96">
        <v>9.765625E-4</v>
      </c>
      <c r="O240" s="96">
        <f t="shared" si="15"/>
        <v>0.26025390625</v>
      </c>
      <c r="Q240" s="96">
        <f t="shared" si="12"/>
        <v>0</v>
      </c>
      <c r="R240" s="96">
        <f t="shared" si="13"/>
        <v>0</v>
      </c>
      <c r="S240" s="96">
        <f t="shared" si="14"/>
        <v>1</v>
      </c>
    </row>
    <row r="241" spans="1:19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1.0642540092333412</v>
      </c>
      <c r="H241">
        <v>3.1019731255295997E-5</v>
      </c>
      <c r="I241">
        <v>-0.96514673361666881</v>
      </c>
      <c r="J241" s="96">
        <v>-2.9938592298715821E-5</v>
      </c>
      <c r="L241" s="100"/>
      <c r="M241" s="100">
        <v>-4.1171713473951597</v>
      </c>
      <c r="N241" s="96">
        <v>4.8828125E-4</v>
      </c>
      <c r="O241" s="96">
        <f t="shared" si="15"/>
        <v>0.2607421875</v>
      </c>
      <c r="Q241" s="96">
        <f t="shared" si="12"/>
        <v>0</v>
      </c>
      <c r="R241" s="96">
        <f t="shared" si="13"/>
        <v>0</v>
      </c>
      <c r="S241" s="96">
        <f t="shared" si="14"/>
        <v>1</v>
      </c>
    </row>
    <row r="242" spans="1:19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-17</v>
      </c>
      <c r="H242">
        <v>3.1019731255296003E-5</v>
      </c>
      <c r="I242">
        <v>-1.7623826407286585</v>
      </c>
      <c r="J242" s="96">
        <v>-5.4668635884401875E-5</v>
      </c>
      <c r="L242" s="100"/>
      <c r="M242" s="100">
        <v>-3.9944331012013521</v>
      </c>
      <c r="N242" s="96">
        <v>4.8828125E-4</v>
      </c>
      <c r="O242" s="96">
        <f t="shared" si="15"/>
        <v>0.26123046875</v>
      </c>
      <c r="Q242" s="96">
        <f t="shared" si="12"/>
        <v>0</v>
      </c>
      <c r="R242" s="96">
        <f t="shared" si="13"/>
        <v>0</v>
      </c>
      <c r="S242" s="96">
        <f t="shared" si="14"/>
        <v>1</v>
      </c>
    </row>
    <row r="243" spans="1:19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-6.5728766960757419</v>
      </c>
      <c r="H243">
        <v>3.1019731255296003E-5</v>
      </c>
      <c r="I243">
        <v>-1.2449506491190301</v>
      </c>
      <c r="J243" s="96">
        <v>-3.8618034561778625E-5</v>
      </c>
      <c r="L243" s="100"/>
      <c r="M243" s="100">
        <v>-3.9944331012013521</v>
      </c>
      <c r="N243" s="96">
        <v>9.765625E-4</v>
      </c>
      <c r="O243" s="96">
        <f t="shared" si="15"/>
        <v>0.26220703125</v>
      </c>
      <c r="Q243" s="96">
        <f t="shared" si="12"/>
        <v>0</v>
      </c>
      <c r="R243" s="96">
        <f t="shared" si="13"/>
        <v>0</v>
      </c>
      <c r="S243" s="96">
        <f t="shared" si="14"/>
        <v>1</v>
      </c>
    </row>
    <row r="244" spans="1:19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-0.7008665723579155</v>
      </c>
      <c r="H244">
        <v>7.8247970734080004E-6</v>
      </c>
      <c r="I244">
        <v>-1.0236372533460838</v>
      </c>
      <c r="J244" s="96">
        <v>-8.0097537842138403E-6</v>
      </c>
      <c r="L244" s="100"/>
      <c r="M244" s="100">
        <v>-3.9944331012013521</v>
      </c>
      <c r="N244" s="96">
        <v>4.8828125E-4</v>
      </c>
      <c r="O244" s="96">
        <f t="shared" si="15"/>
        <v>0.2626953125</v>
      </c>
      <c r="Q244" s="96">
        <f t="shared" si="12"/>
        <v>0</v>
      </c>
      <c r="R244" s="96">
        <f t="shared" si="13"/>
        <v>0</v>
      </c>
      <c r="S244" s="96">
        <f t="shared" si="14"/>
        <v>1</v>
      </c>
    </row>
    <row r="245" spans="1:19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-5.4953609176677878</v>
      </c>
      <c r="H245">
        <v>7.6612180056514559E-3</v>
      </c>
      <c r="I245">
        <v>-1.2010290094938021</v>
      </c>
      <c r="J245" s="96">
        <v>-9.2013450728436492E-3</v>
      </c>
      <c r="L245" s="100"/>
      <c r="M245" s="100">
        <v>-3.9935052847349115</v>
      </c>
      <c r="N245" s="96">
        <v>4.8828125E-4</v>
      </c>
      <c r="O245" s="96">
        <f t="shared" si="15"/>
        <v>0.26318359375</v>
      </c>
      <c r="Q245" s="96">
        <f t="shared" si="12"/>
        <v>0</v>
      </c>
      <c r="R245" s="96">
        <f t="shared" si="13"/>
        <v>1</v>
      </c>
      <c r="S245" s="96">
        <f t="shared" si="14"/>
        <v>0</v>
      </c>
    </row>
    <row r="246" spans="1:19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5.4344442763823277</v>
      </c>
      <c r="H246">
        <v>7.6612180056514559E-3</v>
      </c>
      <c r="I246">
        <v>-0.83431175247311151</v>
      </c>
      <c r="J246" s="96">
        <v>-6.3918442203736228E-3</v>
      </c>
      <c r="L246" s="100"/>
      <c r="M246" s="100">
        <v>-3.9935052847349115</v>
      </c>
      <c r="N246" s="96">
        <v>9.765625E-4</v>
      </c>
      <c r="O246" s="96">
        <f t="shared" si="15"/>
        <v>0.26416015625</v>
      </c>
      <c r="Q246" s="96">
        <f t="shared" si="12"/>
        <v>0</v>
      </c>
      <c r="R246" s="96">
        <f t="shared" si="13"/>
        <v>1</v>
      </c>
      <c r="S246" s="96">
        <f t="shared" si="14"/>
        <v>0</v>
      </c>
    </row>
    <row r="247" spans="1:19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12.617409774960631</v>
      </c>
      <c r="H247">
        <v>1.932559496921088E-3</v>
      </c>
      <c r="I247">
        <v>-0.656665629190752</v>
      </c>
      <c r="J247" s="96">
        <v>-1.2690453979942494E-3</v>
      </c>
      <c r="L247" s="100"/>
      <c r="M247" s="100">
        <v>-3.9935052847349115</v>
      </c>
      <c r="N247" s="96">
        <v>4.8828125E-4</v>
      </c>
      <c r="O247" s="96">
        <f t="shared" si="15"/>
        <v>0.2646484375</v>
      </c>
      <c r="Q247" s="96">
        <f t="shared" si="12"/>
        <v>0</v>
      </c>
      <c r="R247" s="96">
        <f t="shared" si="13"/>
        <v>1</v>
      </c>
      <c r="S247" s="96">
        <f t="shared" si="14"/>
        <v>0</v>
      </c>
    </row>
    <row r="248" spans="1:19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-9.2476804588338926</v>
      </c>
      <c r="H248">
        <v>7.6612180056514559E-3</v>
      </c>
      <c r="I248">
        <v>-1.3610493937980925</v>
      </c>
      <c r="J248" s="96">
        <v>-1.0427296122346946E-2</v>
      </c>
      <c r="L248" s="100"/>
      <c r="M248" s="100">
        <v>-3.6925488061003531</v>
      </c>
      <c r="N248" s="96">
        <v>2.44140625E-4</v>
      </c>
      <c r="O248" s="96">
        <f t="shared" si="15"/>
        <v>0.264892578125</v>
      </c>
      <c r="Q248" s="96">
        <f t="shared" si="12"/>
        <v>0</v>
      </c>
      <c r="R248" s="96">
        <f t="shared" si="13"/>
        <v>1</v>
      </c>
      <c r="S248" s="96">
        <f t="shared" si="14"/>
        <v>0</v>
      </c>
    </row>
    <row r="249" spans="1:19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2.9841941874053277</v>
      </c>
      <c r="H249">
        <v>7.6612180056514559E-3</v>
      </c>
      <c r="I249">
        <v>-0.90531426666320058</v>
      </c>
      <c r="J249" s="96">
        <v>-6.9358099605332556E-3</v>
      </c>
      <c r="L249" s="100"/>
      <c r="M249" s="100">
        <v>-3.6925488061003531</v>
      </c>
      <c r="N249" s="96">
        <v>4.8828125E-4</v>
      </c>
      <c r="O249" s="96">
        <f t="shared" si="15"/>
        <v>0.265380859375</v>
      </c>
      <c r="Q249" s="96">
        <f t="shared" si="12"/>
        <v>0</v>
      </c>
      <c r="R249" s="96">
        <f t="shared" si="13"/>
        <v>1</v>
      </c>
      <c r="S249" s="96">
        <f t="shared" si="14"/>
        <v>0</v>
      </c>
    </row>
    <row r="250" spans="1:19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10.24161466355287</v>
      </c>
      <c r="H250">
        <v>1.932559496921088E-3</v>
      </c>
      <c r="I250">
        <v>-0.71078367115677354</v>
      </c>
      <c r="J250" s="96">
        <v>-1.3736317339504583E-3</v>
      </c>
      <c r="L250" s="100"/>
      <c r="M250" s="100">
        <v>-3.6925488061003531</v>
      </c>
      <c r="N250" s="96">
        <v>2.44140625E-4</v>
      </c>
      <c r="O250" s="96">
        <f t="shared" si="15"/>
        <v>0.265625</v>
      </c>
      <c r="Q250" s="96">
        <f t="shared" si="12"/>
        <v>0</v>
      </c>
      <c r="R250" s="96">
        <f t="shared" si="13"/>
        <v>1</v>
      </c>
      <c r="S250" s="96">
        <f t="shared" si="14"/>
        <v>0</v>
      </c>
    </row>
    <row r="251" spans="1:19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-13</v>
      </c>
      <c r="H251">
        <v>1.932559496921088E-3</v>
      </c>
      <c r="I251">
        <v>-1.5423902651101746</v>
      </c>
      <c r="J251" s="96">
        <v>-2.9807609547973027E-3</v>
      </c>
      <c r="L251" s="100"/>
      <c r="M251" s="100">
        <v>-3.5617458222870511</v>
      </c>
      <c r="N251" s="96">
        <v>9.765625E-4</v>
      </c>
      <c r="O251" s="96">
        <f t="shared" si="15"/>
        <v>0.2666015625</v>
      </c>
      <c r="Q251" s="96">
        <f t="shared" si="12"/>
        <v>0</v>
      </c>
      <c r="R251" s="96">
        <f t="shared" si="13"/>
        <v>1</v>
      </c>
      <c r="S251" s="96">
        <f t="shared" si="14"/>
        <v>0</v>
      </c>
    </row>
    <row r="252" spans="1:19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0.47861892205448392</v>
      </c>
      <c r="H252">
        <v>1.932559496921088E-3</v>
      </c>
      <c r="I252">
        <v>-0.9841726263160453</v>
      </c>
      <c r="J252" s="96">
        <v>-1.9019721555968423E-3</v>
      </c>
      <c r="L252" s="100"/>
      <c r="M252" s="100">
        <v>-3.5617458222870511</v>
      </c>
      <c r="N252" s="96">
        <v>1.953125E-3</v>
      </c>
      <c r="O252" s="96">
        <f t="shared" si="15"/>
        <v>0.2685546875</v>
      </c>
      <c r="Q252" s="96">
        <f t="shared" si="12"/>
        <v>0</v>
      </c>
      <c r="R252" s="96">
        <f t="shared" si="13"/>
        <v>1</v>
      </c>
      <c r="S252" s="96">
        <f t="shared" si="14"/>
        <v>0</v>
      </c>
    </row>
    <row r="253" spans="1:19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7.853263110672775</v>
      </c>
      <c r="H253">
        <v>4.8749248570982399E-4</v>
      </c>
      <c r="I253">
        <v>-0.76968384679844337</v>
      </c>
      <c r="J253" s="96">
        <v>-3.7521509168647252E-4</v>
      </c>
      <c r="L253" s="100"/>
      <c r="M253" s="100">
        <v>-3.5617458222870511</v>
      </c>
      <c r="N253" s="96">
        <v>9.765625E-4</v>
      </c>
      <c r="O253" s="96">
        <f t="shared" si="15"/>
        <v>0.26953125</v>
      </c>
      <c r="Q253" s="96">
        <f t="shared" si="12"/>
        <v>0</v>
      </c>
      <c r="R253" s="96">
        <f t="shared" si="13"/>
        <v>1</v>
      </c>
      <c r="S253" s="96">
        <f t="shared" si="14"/>
        <v>0</v>
      </c>
    </row>
    <row r="254" spans="1:19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-6.995360917667786</v>
      </c>
      <c r="H254">
        <v>7.6612180056514559E-3</v>
      </c>
      <c r="I254">
        <v>-1.2626070835899594</v>
      </c>
      <c r="J254" s="96">
        <v>-9.6731081228624699E-3</v>
      </c>
      <c r="L254" s="100"/>
      <c r="M254" s="100">
        <v>-3.3325607143886926</v>
      </c>
      <c r="N254" s="96">
        <v>9.765625E-4</v>
      </c>
      <c r="O254" s="96">
        <f t="shared" si="15"/>
        <v>0.2705078125</v>
      </c>
      <c r="Q254" s="96">
        <f t="shared" si="12"/>
        <v>0</v>
      </c>
      <c r="R254" s="96">
        <f t="shared" si="13"/>
        <v>1</v>
      </c>
      <c r="S254" s="96">
        <f t="shared" si="14"/>
        <v>0</v>
      </c>
    </row>
    <row r="255" spans="1:19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4.373790546417478</v>
      </c>
      <c r="H255">
        <v>7.6612180056514559E-3</v>
      </c>
      <c r="I255">
        <v>-0.86433658660167212</v>
      </c>
      <c r="J255" s="96">
        <v>-6.621871020216049E-3</v>
      </c>
      <c r="L255" s="100"/>
      <c r="M255" s="100">
        <v>-3.3325607143886926</v>
      </c>
      <c r="N255" s="96">
        <v>1.953125E-3</v>
      </c>
      <c r="O255" s="96">
        <f t="shared" si="15"/>
        <v>0.2724609375</v>
      </c>
      <c r="Q255" s="96">
        <f t="shared" si="12"/>
        <v>0</v>
      </c>
      <c r="R255" s="96">
        <f t="shared" si="13"/>
        <v>1</v>
      </c>
      <c r="S255" s="96">
        <f t="shared" si="14"/>
        <v>0</v>
      </c>
    </row>
    <row r="256" spans="1:19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11.606092902532644</v>
      </c>
      <c r="H256">
        <v>1.932559496921088E-3</v>
      </c>
      <c r="I256">
        <v>-0.67917954318934792</v>
      </c>
      <c r="J256" s="96">
        <v>-1.3125548763051006E-3</v>
      </c>
      <c r="L256" s="100"/>
      <c r="M256" s="100">
        <v>-3.3325607143886926</v>
      </c>
      <c r="N256" s="96">
        <v>9.765625E-4</v>
      </c>
      <c r="O256" s="96">
        <f t="shared" si="15"/>
        <v>0.2734375</v>
      </c>
      <c r="Q256" s="96">
        <f t="shared" si="12"/>
        <v>0</v>
      </c>
      <c r="R256" s="96">
        <f t="shared" si="13"/>
        <v>1</v>
      </c>
      <c r="S256" s="96">
        <f t="shared" si="14"/>
        <v>0</v>
      </c>
    </row>
    <row r="257" spans="1:19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-10.747680458833893</v>
      </c>
      <c r="H257">
        <v>7.6612180056514559E-3</v>
      </c>
      <c r="I257">
        <v>-1.4308318884400437</v>
      </c>
      <c r="J257" s="96">
        <v>-1.0961915026777139E-2</v>
      </c>
      <c r="L257" s="100"/>
      <c r="M257" s="100">
        <v>-3.0420332032869952</v>
      </c>
      <c r="N257" s="96">
        <v>3.90625E-3</v>
      </c>
      <c r="O257" s="96">
        <f t="shared" si="15"/>
        <v>0.27734375</v>
      </c>
      <c r="Q257" s="96">
        <f t="shared" si="12"/>
        <v>0</v>
      </c>
      <c r="R257" s="96">
        <f t="shared" si="13"/>
        <v>1</v>
      </c>
      <c r="S257" s="96">
        <f t="shared" si="14"/>
        <v>0</v>
      </c>
    </row>
    <row r="258" spans="1:19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1.8956858265406606</v>
      </c>
      <c r="H258">
        <v>7.6612180056514559E-3</v>
      </c>
      <c r="I258">
        <v>-0.93876553489438852</v>
      </c>
      <c r="J258" s="96">
        <v>-7.1920874190179096E-3</v>
      </c>
      <c r="L258" s="100"/>
      <c r="M258" s="100">
        <v>-3.0420332032869952</v>
      </c>
      <c r="N258" s="96">
        <v>7.8125E-3</v>
      </c>
      <c r="O258" s="96">
        <f t="shared" si="15"/>
        <v>0.28515625</v>
      </c>
      <c r="Q258" s="96">
        <f t="shared" si="12"/>
        <v>0</v>
      </c>
      <c r="R258" s="96">
        <f t="shared" si="13"/>
        <v>1</v>
      </c>
      <c r="S258" s="96">
        <f t="shared" si="14"/>
        <v>0</v>
      </c>
    </row>
    <row r="259" spans="1:19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9.224566322344721</v>
      </c>
      <c r="H259">
        <v>1.932559496921088E-3</v>
      </c>
      <c r="I259">
        <v>-0.73529349681629386</v>
      </c>
      <c r="J259" s="96">
        <v>-1.4209984302966444E-3</v>
      </c>
      <c r="L259" s="100"/>
      <c r="M259" s="100">
        <v>-3.0420332032869952</v>
      </c>
      <c r="N259" s="96">
        <v>3.90625E-3</v>
      </c>
      <c r="O259" s="96">
        <f t="shared" si="15"/>
        <v>0.2890625</v>
      </c>
      <c r="Q259" s="96">
        <f t="shared" ref="Q259:Q322" si="16">IF(A259=3,1,0)</f>
        <v>0</v>
      </c>
      <c r="R259" s="96">
        <f t="shared" ref="R259:R322" si="17">IF(A259=2,1,0)</f>
        <v>1</v>
      </c>
      <c r="S259" s="96">
        <f t="shared" ref="S259:S322" si="18">IF(A259=1,1,0)</f>
        <v>0</v>
      </c>
    </row>
    <row r="260" spans="1:19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-14.5</v>
      </c>
      <c r="H260">
        <v>1.932559496921088E-3</v>
      </c>
      <c r="I260">
        <v>-1.6214703050420796</v>
      </c>
      <c r="J260" s="96">
        <v>-3.1335878369846042E-3</v>
      </c>
      <c r="L260" s="100"/>
      <c r="M260" s="100">
        <v>-3.0420332032869939</v>
      </c>
      <c r="N260" s="96">
        <v>1.953125E-3</v>
      </c>
      <c r="O260" s="96">
        <f t="shared" ref="O260:O323" si="19">N260+O259</f>
        <v>0.291015625</v>
      </c>
      <c r="Q260" s="96">
        <f t="shared" si="16"/>
        <v>0</v>
      </c>
      <c r="R260" s="96">
        <f t="shared" si="17"/>
        <v>1</v>
      </c>
      <c r="S260" s="96">
        <f t="shared" si="18"/>
        <v>0</v>
      </c>
    </row>
    <row r="261" spans="1:19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-0.65748311961275752</v>
      </c>
      <c r="H261">
        <v>1.932559496921088E-3</v>
      </c>
      <c r="I261">
        <v>-1.0221580258901528</v>
      </c>
      <c r="J261" s="96">
        <v>-1.9753812002881259E-3</v>
      </c>
      <c r="L261" s="100"/>
      <c r="M261" s="100">
        <v>-3.0420332032869939</v>
      </c>
      <c r="N261" s="96">
        <v>3.90625E-3</v>
      </c>
      <c r="O261" s="96">
        <f t="shared" si="19"/>
        <v>0.294921875</v>
      </c>
      <c r="Q261" s="96">
        <f t="shared" si="16"/>
        <v>0</v>
      </c>
      <c r="R261" s="96">
        <f t="shared" si="17"/>
        <v>1</v>
      </c>
      <c r="S261" s="96">
        <f t="shared" si="18"/>
        <v>0</v>
      </c>
    </row>
    <row r="262" spans="1:19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6.8057474880542728</v>
      </c>
      <c r="H262">
        <v>4.8749248570982399E-4</v>
      </c>
      <c r="I262">
        <v>-0.79703375413506872</v>
      </c>
      <c r="J262" s="96">
        <v>-3.8854796599793734E-4</v>
      </c>
      <c r="L262" s="100"/>
      <c r="M262" s="100">
        <v>-3.0420332032869939</v>
      </c>
      <c r="N262" s="96">
        <v>1.953125E-3</v>
      </c>
      <c r="O262" s="96">
        <f t="shared" si="19"/>
        <v>0.296875</v>
      </c>
      <c r="Q262" s="96">
        <f t="shared" si="16"/>
        <v>0</v>
      </c>
      <c r="R262" s="96">
        <f t="shared" si="17"/>
        <v>1</v>
      </c>
      <c r="S262" s="96">
        <f t="shared" si="18"/>
        <v>0</v>
      </c>
    </row>
    <row r="263" spans="1:19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-9.4953609176677851</v>
      </c>
      <c r="H263">
        <v>1.932559496921088E-3</v>
      </c>
      <c r="I263">
        <v>-1.3723327521081155</v>
      </c>
      <c r="J263" s="96">
        <v>-2.6521146930223918E-3</v>
      </c>
      <c r="L263" s="100"/>
      <c r="M263" s="100">
        <v>-2.9900607231347447</v>
      </c>
      <c r="N263" s="96">
        <v>4.8828125E-4</v>
      </c>
      <c r="O263" s="96">
        <f t="shared" si="19"/>
        <v>0.29736328125</v>
      </c>
      <c r="Q263" s="96">
        <f t="shared" si="16"/>
        <v>0</v>
      </c>
      <c r="R263" s="96">
        <f t="shared" si="17"/>
        <v>1</v>
      </c>
      <c r="S263" s="96">
        <f t="shared" si="18"/>
        <v>0</v>
      </c>
    </row>
    <row r="264" spans="1:19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2.5713743458996654</v>
      </c>
      <c r="H264">
        <v>1.932559496921088E-3</v>
      </c>
      <c r="I264">
        <v>-0.9178580975000864</v>
      </c>
      <c r="J264" s="96">
        <v>-1.773815383149714E-3</v>
      </c>
      <c r="L264" s="100"/>
      <c r="M264" s="100">
        <v>-2.9900607231347447</v>
      </c>
      <c r="N264" s="96">
        <v>9.765625E-4</v>
      </c>
      <c r="O264" s="96">
        <f t="shared" si="19"/>
        <v>0.29833984375</v>
      </c>
      <c r="Q264" s="96">
        <f t="shared" si="16"/>
        <v>0</v>
      </c>
      <c r="R264" s="96">
        <f t="shared" si="17"/>
        <v>1</v>
      </c>
      <c r="S264" s="96">
        <f t="shared" si="18"/>
        <v>0</v>
      </c>
    </row>
    <row r="265" spans="1:19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9.8975257856043335</v>
      </c>
      <c r="H265">
        <v>4.8749248570982399E-4</v>
      </c>
      <c r="I265">
        <v>-0.71898302825871585</v>
      </c>
      <c r="J265" s="96">
        <v>-3.5049882362901799E-4</v>
      </c>
      <c r="L265" s="100"/>
      <c r="M265" s="100">
        <v>-2.9900607231347447</v>
      </c>
      <c r="N265" s="96">
        <v>4.8828125E-4</v>
      </c>
      <c r="O265" s="96">
        <f t="shared" si="19"/>
        <v>0.298828125</v>
      </c>
      <c r="Q265" s="96">
        <f t="shared" si="16"/>
        <v>0</v>
      </c>
      <c r="R265" s="96">
        <f t="shared" si="17"/>
        <v>1</v>
      </c>
      <c r="S265" s="96">
        <f t="shared" si="18"/>
        <v>0</v>
      </c>
    </row>
    <row r="266" spans="1:19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-13.247680458833893</v>
      </c>
      <c r="H266">
        <v>1.932559496921088E-3</v>
      </c>
      <c r="I266">
        <v>-1.5551769737295909</v>
      </c>
      <c r="J266" s="96">
        <v>-3.0054720299741182E-3</v>
      </c>
      <c r="L266" s="100"/>
      <c r="M266" s="100">
        <v>-2.7917339750834369</v>
      </c>
      <c r="N266" s="96">
        <v>9.765625E-4</v>
      </c>
      <c r="O266" s="96">
        <f t="shared" si="19"/>
        <v>0.2998046875</v>
      </c>
      <c r="Q266" s="96">
        <f t="shared" si="16"/>
        <v>0</v>
      </c>
      <c r="R266" s="96">
        <f t="shared" si="17"/>
        <v>1</v>
      </c>
      <c r="S266" s="96">
        <f t="shared" si="18"/>
        <v>0</v>
      </c>
    </row>
    <row r="267" spans="1:19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3.3748584991527442E-2</v>
      </c>
      <c r="H267">
        <v>1.932559496921088E-3</v>
      </c>
      <c r="I267">
        <v>-0.99887567968917923</v>
      </c>
      <c r="J267" s="96">
        <v>-1.9303866810268301E-3</v>
      </c>
      <c r="L267" s="100"/>
      <c r="M267" s="100">
        <v>-2.7917339750834369</v>
      </c>
      <c r="N267" s="96">
        <v>1.953125E-3</v>
      </c>
      <c r="O267" s="96">
        <f t="shared" si="19"/>
        <v>0.3017578125</v>
      </c>
      <c r="Q267" s="96">
        <f t="shared" si="16"/>
        <v>0</v>
      </c>
      <c r="R267" s="96">
        <f t="shared" si="17"/>
        <v>1</v>
      </c>
      <c r="S267" s="96">
        <f t="shared" si="18"/>
        <v>0</v>
      </c>
    </row>
    <row r="268" spans="1:19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7.4787069513138844</v>
      </c>
      <c r="H268">
        <v>4.8749248570982399E-4</v>
      </c>
      <c r="I268">
        <v>-0.77935374738614971</v>
      </c>
      <c r="J268" s="96">
        <v>-3.7992909556054037E-4</v>
      </c>
      <c r="L268" s="100"/>
      <c r="M268" s="100">
        <v>-2.7917339750834369</v>
      </c>
      <c r="N268" s="96">
        <v>9.765625E-4</v>
      </c>
      <c r="O268" s="96">
        <f t="shared" si="19"/>
        <v>0.302734375</v>
      </c>
      <c r="Q268" s="96">
        <f t="shared" si="16"/>
        <v>0</v>
      </c>
      <c r="R268" s="96">
        <f t="shared" si="17"/>
        <v>1</v>
      </c>
      <c r="S268" s="96">
        <f t="shared" si="18"/>
        <v>0</v>
      </c>
    </row>
    <row r="269" spans="1:19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-17</v>
      </c>
      <c r="H269">
        <v>4.8749248570982405E-4</v>
      </c>
      <c r="I269">
        <v>-1.7623826407286585</v>
      </c>
      <c r="J269" s="96">
        <v>-8.5914829430065753E-4</v>
      </c>
      <c r="L269" s="100"/>
      <c r="M269" s="100">
        <v>-2.6920034286358208</v>
      </c>
      <c r="N269" s="96">
        <v>2.44140625E-4</v>
      </c>
      <c r="O269" s="96">
        <f t="shared" si="19"/>
        <v>0.302978515625</v>
      </c>
      <c r="Q269" s="96">
        <f t="shared" si="16"/>
        <v>0</v>
      </c>
      <c r="R269" s="96">
        <f t="shared" si="17"/>
        <v>1</v>
      </c>
      <c r="S269" s="96">
        <f t="shared" si="18"/>
        <v>0</v>
      </c>
    </row>
    <row r="270" spans="1:19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-2.5956324169788907</v>
      </c>
      <c r="H270">
        <v>4.8749248570982405E-4</v>
      </c>
      <c r="I270">
        <v>-1.090374353183982</v>
      </c>
      <c r="J270" s="96">
        <v>-5.3154930378790095E-4</v>
      </c>
      <c r="L270" s="100"/>
      <c r="M270" s="100">
        <v>-2.6920034286358208</v>
      </c>
      <c r="N270" s="96">
        <v>4.8828125E-4</v>
      </c>
      <c r="O270" s="96">
        <f t="shared" si="19"/>
        <v>0.303466796875</v>
      </c>
      <c r="Q270" s="96">
        <f t="shared" si="16"/>
        <v>0</v>
      </c>
      <c r="R270" s="96">
        <f t="shared" si="17"/>
        <v>1</v>
      </c>
      <c r="S270" s="96">
        <f t="shared" si="18"/>
        <v>0</v>
      </c>
    </row>
    <row r="271" spans="1:19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5.0426982494922781</v>
      </c>
      <c r="H271">
        <v>1.2297107747635201E-4</v>
      </c>
      <c r="I271">
        <v>-0.84527780558529353</v>
      </c>
      <c r="J271" s="96">
        <v>-1.0394472251966994E-4</v>
      </c>
      <c r="L271" s="100"/>
      <c r="M271" s="100">
        <v>-2.6920034286358208</v>
      </c>
      <c r="N271" s="96">
        <v>2.44140625E-4</v>
      </c>
      <c r="O271" s="96">
        <f t="shared" si="19"/>
        <v>0.3037109375</v>
      </c>
      <c r="Q271" s="96">
        <f t="shared" si="16"/>
        <v>0</v>
      </c>
      <c r="R271" s="96">
        <f t="shared" si="17"/>
        <v>1</v>
      </c>
      <c r="S271" s="96">
        <f t="shared" si="18"/>
        <v>0</v>
      </c>
    </row>
    <row r="272" spans="1:19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-5.4953609176677878</v>
      </c>
      <c r="H272">
        <v>7.6612180056514559E-3</v>
      </c>
      <c r="I272">
        <v>-1.2010290094938021</v>
      </c>
      <c r="J272" s="96">
        <v>-9.2013450728436492E-3</v>
      </c>
      <c r="L272" s="100"/>
      <c r="M272" s="100">
        <v>-2.5956324169788907</v>
      </c>
      <c r="N272" s="96">
        <v>9.765625E-4</v>
      </c>
      <c r="O272" s="96">
        <f t="shared" si="19"/>
        <v>0.3046875</v>
      </c>
      <c r="Q272" s="96">
        <f t="shared" si="16"/>
        <v>0</v>
      </c>
      <c r="R272" s="96">
        <f t="shared" si="17"/>
        <v>1</v>
      </c>
      <c r="S272" s="96">
        <f t="shared" si="18"/>
        <v>0</v>
      </c>
    </row>
    <row r="273" spans="1:19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5.4344442763823277</v>
      </c>
      <c r="H273">
        <v>7.6612180056514559E-3</v>
      </c>
      <c r="I273">
        <v>-0.83431175247311151</v>
      </c>
      <c r="J273" s="96">
        <v>-6.3918442203736228E-3</v>
      </c>
      <c r="L273" s="100"/>
      <c r="M273" s="100">
        <v>-2.5956324169788907</v>
      </c>
      <c r="N273" s="96">
        <v>1.953125E-3</v>
      </c>
      <c r="O273" s="96">
        <f t="shared" si="19"/>
        <v>0.306640625</v>
      </c>
      <c r="Q273" s="96">
        <f t="shared" si="16"/>
        <v>0</v>
      </c>
      <c r="R273" s="96">
        <f t="shared" si="17"/>
        <v>1</v>
      </c>
      <c r="S273" s="96">
        <f t="shared" si="18"/>
        <v>0</v>
      </c>
    </row>
    <row r="274" spans="1:19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12.617409774960631</v>
      </c>
      <c r="H274">
        <v>1.932559496921088E-3</v>
      </c>
      <c r="I274">
        <v>-0.656665629190752</v>
      </c>
      <c r="J274" s="96">
        <v>-1.2690453979942494E-3</v>
      </c>
      <c r="L274" s="100"/>
      <c r="M274" s="100">
        <v>-2.5956324169788907</v>
      </c>
      <c r="N274" s="96">
        <v>9.765625E-4</v>
      </c>
      <c r="O274" s="96">
        <f t="shared" si="19"/>
        <v>0.3076171875</v>
      </c>
      <c r="Q274" s="96">
        <f t="shared" si="16"/>
        <v>0</v>
      </c>
      <c r="R274" s="96">
        <f t="shared" si="17"/>
        <v>1</v>
      </c>
      <c r="S274" s="96">
        <f t="shared" si="18"/>
        <v>0</v>
      </c>
    </row>
    <row r="275" spans="1:19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-9.2476804588338926</v>
      </c>
      <c r="H275">
        <v>7.6612180056514559E-3</v>
      </c>
      <c r="I275">
        <v>-1.3610493937980925</v>
      </c>
      <c r="J275" s="96">
        <v>-1.0427296122346946E-2</v>
      </c>
      <c r="L275" s="100"/>
      <c r="M275" s="100">
        <v>-2.4983465249789889</v>
      </c>
      <c r="N275" s="96">
        <v>4.8828125E-4</v>
      </c>
      <c r="O275" s="96">
        <f t="shared" si="19"/>
        <v>0.30810546875</v>
      </c>
      <c r="Q275" s="96">
        <f t="shared" si="16"/>
        <v>0</v>
      </c>
      <c r="R275" s="96">
        <f t="shared" si="17"/>
        <v>1</v>
      </c>
      <c r="S275" s="96">
        <f t="shared" si="18"/>
        <v>0</v>
      </c>
    </row>
    <row r="276" spans="1:19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2.9841941874053277</v>
      </c>
      <c r="H276">
        <v>7.6612180056514559E-3</v>
      </c>
      <c r="I276">
        <v>-0.90531426666320058</v>
      </c>
      <c r="J276" s="96">
        <v>-6.9358099605332556E-3</v>
      </c>
      <c r="L276" s="100"/>
      <c r="M276" s="100">
        <v>-2.4983465249789889</v>
      </c>
      <c r="N276" s="96">
        <v>9.765625E-4</v>
      </c>
      <c r="O276" s="96">
        <f t="shared" si="19"/>
        <v>0.30908203125</v>
      </c>
      <c r="Q276" s="96">
        <f t="shared" si="16"/>
        <v>0</v>
      </c>
      <c r="R276" s="96">
        <f t="shared" si="17"/>
        <v>1</v>
      </c>
      <c r="S276" s="96">
        <f t="shared" si="18"/>
        <v>0</v>
      </c>
    </row>
    <row r="277" spans="1:19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10.24161466355287</v>
      </c>
      <c r="H277">
        <v>1.932559496921088E-3</v>
      </c>
      <c r="I277">
        <v>-0.71078367115677354</v>
      </c>
      <c r="J277" s="96">
        <v>-1.3736317339504583E-3</v>
      </c>
      <c r="L277" s="100"/>
      <c r="M277" s="100">
        <v>-2.4983465249789889</v>
      </c>
      <c r="N277" s="96">
        <v>4.8828125E-4</v>
      </c>
      <c r="O277" s="96">
        <f t="shared" si="19"/>
        <v>0.3095703125</v>
      </c>
      <c r="Q277" s="96">
        <f t="shared" si="16"/>
        <v>0</v>
      </c>
      <c r="R277" s="96">
        <f t="shared" si="17"/>
        <v>1</v>
      </c>
      <c r="S277" s="96">
        <f t="shared" si="18"/>
        <v>0</v>
      </c>
    </row>
    <row r="278" spans="1:19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-13</v>
      </c>
      <c r="H278">
        <v>1.932559496921088E-3</v>
      </c>
      <c r="I278">
        <v>-1.5423902651101746</v>
      </c>
      <c r="J278" s="96">
        <v>-2.9807609547973027E-3</v>
      </c>
      <c r="L278" s="100"/>
      <c r="M278" s="100">
        <v>-2.4298072441115979</v>
      </c>
      <c r="N278" s="96">
        <v>1.953125E-3</v>
      </c>
      <c r="O278" s="96">
        <f t="shared" si="19"/>
        <v>0.3115234375</v>
      </c>
      <c r="Q278" s="96">
        <f t="shared" si="16"/>
        <v>0</v>
      </c>
      <c r="R278" s="96">
        <f t="shared" si="17"/>
        <v>1</v>
      </c>
      <c r="S278" s="96">
        <f t="shared" si="18"/>
        <v>0</v>
      </c>
    </row>
    <row r="279" spans="1:19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0.47861892205448392</v>
      </c>
      <c r="H279">
        <v>1.932559496921088E-3</v>
      </c>
      <c r="I279">
        <v>-0.9841726263160453</v>
      </c>
      <c r="J279" s="96">
        <v>-1.9019721555968423E-3</v>
      </c>
      <c r="L279" s="100"/>
      <c r="M279" s="100">
        <v>-2.4298072441115979</v>
      </c>
      <c r="N279" s="96">
        <v>3.90625E-3</v>
      </c>
      <c r="O279" s="96">
        <f t="shared" si="19"/>
        <v>0.3154296875</v>
      </c>
      <c r="Q279" s="96">
        <f t="shared" si="16"/>
        <v>0</v>
      </c>
      <c r="R279" s="96">
        <f t="shared" si="17"/>
        <v>1</v>
      </c>
      <c r="S279" s="96">
        <f t="shared" si="18"/>
        <v>0</v>
      </c>
    </row>
    <row r="280" spans="1:19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7.853263110672775</v>
      </c>
      <c r="H280">
        <v>4.8749248570982399E-4</v>
      </c>
      <c r="I280">
        <v>-0.76968384679844337</v>
      </c>
      <c r="J280" s="96">
        <v>-3.7521509168647252E-4</v>
      </c>
      <c r="L280" s="100"/>
      <c r="M280" s="100">
        <v>-2.4298072441115979</v>
      </c>
      <c r="N280" s="96">
        <v>1.953125E-3</v>
      </c>
      <c r="O280" s="96">
        <f t="shared" si="19"/>
        <v>0.3173828125</v>
      </c>
      <c r="Q280" s="96">
        <f t="shared" si="16"/>
        <v>0</v>
      </c>
      <c r="R280" s="96">
        <f t="shared" si="17"/>
        <v>1</v>
      </c>
      <c r="S280" s="96">
        <f t="shared" si="18"/>
        <v>0</v>
      </c>
    </row>
    <row r="281" spans="1:19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-6.995360917667786</v>
      </c>
      <c r="H281">
        <v>7.6612180056514559E-3</v>
      </c>
      <c r="I281">
        <v>-1.2626070835899594</v>
      </c>
      <c r="J281" s="96">
        <v>-9.6731081228624699E-3</v>
      </c>
      <c r="L281" s="100"/>
      <c r="M281" s="100">
        <v>-2.3468547121122434</v>
      </c>
      <c r="N281" s="96">
        <v>1.953125E-3</v>
      </c>
      <c r="O281" s="96">
        <f t="shared" si="19"/>
        <v>0.3193359375</v>
      </c>
      <c r="Q281" s="96">
        <f t="shared" si="16"/>
        <v>0</v>
      </c>
      <c r="R281" s="96">
        <f t="shared" si="17"/>
        <v>1</v>
      </c>
      <c r="S281" s="96">
        <f t="shared" si="18"/>
        <v>0</v>
      </c>
    </row>
    <row r="282" spans="1:19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4.373790546417478</v>
      </c>
      <c r="H282">
        <v>7.6612180056514559E-3</v>
      </c>
      <c r="I282">
        <v>-0.86433658660167212</v>
      </c>
      <c r="J282" s="96">
        <v>-6.621871020216049E-3</v>
      </c>
      <c r="L282" s="100"/>
      <c r="M282" s="100">
        <v>-2.3468547121122434</v>
      </c>
      <c r="N282" s="96">
        <v>3.90625E-3</v>
      </c>
      <c r="O282" s="96">
        <f t="shared" si="19"/>
        <v>0.3232421875</v>
      </c>
      <c r="Q282" s="96">
        <f t="shared" si="16"/>
        <v>0</v>
      </c>
      <c r="R282" s="96">
        <f t="shared" si="17"/>
        <v>1</v>
      </c>
      <c r="S282" s="96">
        <f t="shared" si="18"/>
        <v>0</v>
      </c>
    </row>
    <row r="283" spans="1:19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11.606092902532644</v>
      </c>
      <c r="H283">
        <v>1.932559496921088E-3</v>
      </c>
      <c r="I283">
        <v>-0.67917954318934792</v>
      </c>
      <c r="J283" s="96">
        <v>-1.3125548763051006E-3</v>
      </c>
      <c r="L283" s="100"/>
      <c r="M283" s="100">
        <v>-2.3468547121122434</v>
      </c>
      <c r="N283" s="96">
        <v>1.953125E-3</v>
      </c>
      <c r="O283" s="96">
        <f t="shared" si="19"/>
        <v>0.3251953125</v>
      </c>
      <c r="Q283" s="96">
        <f t="shared" si="16"/>
        <v>0</v>
      </c>
      <c r="R283" s="96">
        <f t="shared" si="17"/>
        <v>1</v>
      </c>
      <c r="S283" s="96">
        <f t="shared" si="18"/>
        <v>0</v>
      </c>
    </row>
    <row r="284" spans="1:19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-10.747680458833893</v>
      </c>
      <c r="H284">
        <v>7.6612180056514559E-3</v>
      </c>
      <c r="I284">
        <v>-1.4308318884400437</v>
      </c>
      <c r="J284" s="96">
        <v>-1.0961915026777139E-2</v>
      </c>
      <c r="L284" s="100"/>
      <c r="M284" s="100">
        <v>-2.3468547121122407</v>
      </c>
      <c r="N284" s="96">
        <v>9.765625E-4</v>
      </c>
      <c r="O284" s="96">
        <f t="shared" si="19"/>
        <v>0.326171875</v>
      </c>
      <c r="Q284" s="96">
        <f t="shared" si="16"/>
        <v>0</v>
      </c>
      <c r="R284" s="96">
        <f t="shared" si="17"/>
        <v>1</v>
      </c>
      <c r="S284" s="96">
        <f t="shared" si="18"/>
        <v>0</v>
      </c>
    </row>
    <row r="285" spans="1:19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1.8956858265406606</v>
      </c>
      <c r="H285">
        <v>7.6612180056514559E-3</v>
      </c>
      <c r="I285">
        <v>-0.93876553489438852</v>
      </c>
      <c r="J285" s="96">
        <v>-7.1920874190179096E-3</v>
      </c>
      <c r="L285" s="100"/>
      <c r="M285" s="100">
        <v>-2.3468547121122407</v>
      </c>
      <c r="N285" s="96">
        <v>1.953125E-3</v>
      </c>
      <c r="O285" s="96">
        <f t="shared" si="19"/>
        <v>0.328125</v>
      </c>
      <c r="Q285" s="96">
        <f t="shared" si="16"/>
        <v>0</v>
      </c>
      <c r="R285" s="96">
        <f t="shared" si="17"/>
        <v>1</v>
      </c>
      <c r="S285" s="96">
        <f t="shared" si="18"/>
        <v>0</v>
      </c>
    </row>
    <row r="286" spans="1:19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9.224566322344721</v>
      </c>
      <c r="H286">
        <v>1.932559496921088E-3</v>
      </c>
      <c r="I286">
        <v>-0.73529349681629386</v>
      </c>
      <c r="J286" s="96">
        <v>-1.4209984302966444E-3</v>
      </c>
      <c r="L286" s="100"/>
      <c r="M286" s="100">
        <v>-2.3468547121122407</v>
      </c>
      <c r="N286" s="96">
        <v>9.765625E-4</v>
      </c>
      <c r="O286" s="96">
        <f t="shared" si="19"/>
        <v>0.3291015625</v>
      </c>
      <c r="Q286" s="96">
        <f t="shared" si="16"/>
        <v>0</v>
      </c>
      <c r="R286" s="96">
        <f t="shared" si="17"/>
        <v>1</v>
      </c>
      <c r="S286" s="96">
        <f t="shared" si="18"/>
        <v>0</v>
      </c>
    </row>
    <row r="287" spans="1:19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-14.5</v>
      </c>
      <c r="H287">
        <v>1.932559496921088E-3</v>
      </c>
      <c r="I287">
        <v>-1.6214703050420796</v>
      </c>
      <c r="J287" s="96">
        <v>-3.1335878369846042E-3</v>
      </c>
      <c r="L287" s="100"/>
      <c r="M287" s="100">
        <v>-2.127715838674793</v>
      </c>
      <c r="N287" s="96">
        <v>9.765625E-4</v>
      </c>
      <c r="O287" s="96">
        <f t="shared" si="19"/>
        <v>0.330078125</v>
      </c>
      <c r="Q287" s="96">
        <f t="shared" si="16"/>
        <v>0</v>
      </c>
      <c r="R287" s="96">
        <f t="shared" si="17"/>
        <v>1</v>
      </c>
      <c r="S287" s="96">
        <f t="shared" si="18"/>
        <v>0</v>
      </c>
    </row>
    <row r="288" spans="1:19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-0.65748311961275752</v>
      </c>
      <c r="H288">
        <v>1.932559496921088E-3</v>
      </c>
      <c r="I288">
        <v>-1.0221580258901528</v>
      </c>
      <c r="J288" s="96">
        <v>-1.9753812002881259E-3</v>
      </c>
      <c r="L288" s="100"/>
      <c r="M288" s="100">
        <v>-2.127715838674793</v>
      </c>
      <c r="N288" s="96">
        <v>1.953125E-3</v>
      </c>
      <c r="O288" s="96">
        <f t="shared" si="19"/>
        <v>0.33203125</v>
      </c>
      <c r="Q288" s="96">
        <f t="shared" si="16"/>
        <v>0</v>
      </c>
      <c r="R288" s="96">
        <f t="shared" si="17"/>
        <v>1</v>
      </c>
      <c r="S288" s="96">
        <f t="shared" si="18"/>
        <v>0</v>
      </c>
    </row>
    <row r="289" spans="1:19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6.8057474880542728</v>
      </c>
      <c r="H289">
        <v>4.8749248570982399E-4</v>
      </c>
      <c r="I289">
        <v>-0.79703375413506872</v>
      </c>
      <c r="J289" s="96">
        <v>-3.8854796599793734E-4</v>
      </c>
      <c r="L289" s="100"/>
      <c r="M289" s="100">
        <v>-2.127715838674793</v>
      </c>
      <c r="N289" s="96">
        <v>9.765625E-4</v>
      </c>
      <c r="O289" s="96">
        <f t="shared" si="19"/>
        <v>0.3330078125</v>
      </c>
      <c r="Q289" s="96">
        <f t="shared" si="16"/>
        <v>0</v>
      </c>
      <c r="R289" s="96">
        <f t="shared" si="17"/>
        <v>1</v>
      </c>
      <c r="S289" s="96">
        <f t="shared" si="18"/>
        <v>0</v>
      </c>
    </row>
    <row r="290" spans="1:19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-9.4953609176677851</v>
      </c>
      <c r="H290">
        <v>1.932559496921088E-3</v>
      </c>
      <c r="I290">
        <v>-1.3723327521081155</v>
      </c>
      <c r="J290" s="96">
        <v>-2.6521146930223918E-3</v>
      </c>
      <c r="L290" s="100"/>
      <c r="M290" s="100">
        <v>-1.849986467453121</v>
      </c>
      <c r="N290" s="96">
        <v>9.765625E-4</v>
      </c>
      <c r="O290" s="96">
        <f t="shared" si="19"/>
        <v>0.333984375</v>
      </c>
      <c r="Q290" s="96">
        <f t="shared" si="16"/>
        <v>0</v>
      </c>
      <c r="R290" s="96">
        <f t="shared" si="17"/>
        <v>1</v>
      </c>
      <c r="S290" s="96">
        <f t="shared" si="18"/>
        <v>0</v>
      </c>
    </row>
    <row r="291" spans="1:19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2.5713743458996654</v>
      </c>
      <c r="H291">
        <v>1.932559496921088E-3</v>
      </c>
      <c r="I291">
        <v>-0.9178580975000864</v>
      </c>
      <c r="J291" s="96">
        <v>-1.773815383149714E-3</v>
      </c>
      <c r="L291" s="100"/>
      <c r="M291" s="100">
        <v>-1.849986467453121</v>
      </c>
      <c r="N291" s="96">
        <v>1.953125E-3</v>
      </c>
      <c r="O291" s="96">
        <f t="shared" si="19"/>
        <v>0.3359375</v>
      </c>
      <c r="Q291" s="96">
        <f t="shared" si="16"/>
        <v>0</v>
      </c>
      <c r="R291" s="96">
        <f t="shared" si="17"/>
        <v>1</v>
      </c>
      <c r="S291" s="96">
        <f t="shared" si="18"/>
        <v>0</v>
      </c>
    </row>
    <row r="292" spans="1:19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9.8975257856043335</v>
      </c>
      <c r="H292">
        <v>4.8749248570982399E-4</v>
      </c>
      <c r="I292">
        <v>-0.71898302825871585</v>
      </c>
      <c r="J292" s="96">
        <v>-3.5049882362901799E-4</v>
      </c>
      <c r="L292" s="100"/>
      <c r="M292" s="100">
        <v>-1.849986467453121</v>
      </c>
      <c r="N292" s="96">
        <v>9.765625E-4</v>
      </c>
      <c r="O292" s="96">
        <f t="shared" si="19"/>
        <v>0.3369140625</v>
      </c>
      <c r="Q292" s="96">
        <f t="shared" si="16"/>
        <v>0</v>
      </c>
      <c r="R292" s="96">
        <f t="shared" si="17"/>
        <v>1</v>
      </c>
      <c r="S292" s="96">
        <f t="shared" si="18"/>
        <v>0</v>
      </c>
    </row>
    <row r="293" spans="1:19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-13.247680458833893</v>
      </c>
      <c r="H293">
        <v>1.932559496921088E-3</v>
      </c>
      <c r="I293">
        <v>-1.5551769737295909</v>
      </c>
      <c r="J293" s="96">
        <v>-3.0054720299741182E-3</v>
      </c>
      <c r="L293" s="100"/>
      <c r="M293" s="100">
        <v>-1.8499864674531208</v>
      </c>
      <c r="N293" s="96">
        <v>1.953125E-3</v>
      </c>
      <c r="O293" s="96">
        <f t="shared" si="19"/>
        <v>0.3388671875</v>
      </c>
      <c r="Q293" s="96">
        <f t="shared" si="16"/>
        <v>0</v>
      </c>
      <c r="R293" s="96">
        <f t="shared" si="17"/>
        <v>1</v>
      </c>
      <c r="S293" s="96">
        <f t="shared" si="18"/>
        <v>0</v>
      </c>
    </row>
    <row r="294" spans="1:19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3.3748584991527442E-2</v>
      </c>
      <c r="H294">
        <v>1.932559496921088E-3</v>
      </c>
      <c r="I294">
        <v>-0.99887567968917923</v>
      </c>
      <c r="J294" s="96">
        <v>-1.9303866810268301E-3</v>
      </c>
      <c r="L294" s="100"/>
      <c r="M294" s="100">
        <v>-1.8499864674531208</v>
      </c>
      <c r="N294" s="96">
        <v>3.90625E-3</v>
      </c>
      <c r="O294" s="96">
        <f t="shared" si="19"/>
        <v>0.3427734375</v>
      </c>
      <c r="Q294" s="96">
        <f t="shared" si="16"/>
        <v>0</v>
      </c>
      <c r="R294" s="96">
        <f t="shared" si="17"/>
        <v>1</v>
      </c>
      <c r="S294" s="96">
        <f t="shared" si="18"/>
        <v>0</v>
      </c>
    </row>
    <row r="295" spans="1:19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7.4787069513138844</v>
      </c>
      <c r="H295">
        <v>4.8749248570982399E-4</v>
      </c>
      <c r="I295">
        <v>-0.77935374738614971</v>
      </c>
      <c r="J295" s="96">
        <v>-3.7992909556054037E-4</v>
      </c>
      <c r="L295" s="100"/>
      <c r="M295" s="100">
        <v>-1.8499864674531208</v>
      </c>
      <c r="N295" s="96">
        <v>1.953125E-3</v>
      </c>
      <c r="O295" s="96">
        <f t="shared" si="19"/>
        <v>0.3447265625</v>
      </c>
      <c r="Q295" s="96">
        <f t="shared" si="16"/>
        <v>0</v>
      </c>
      <c r="R295" s="96">
        <f t="shared" si="17"/>
        <v>1</v>
      </c>
      <c r="S295" s="96">
        <f t="shared" si="18"/>
        <v>0</v>
      </c>
    </row>
    <row r="296" spans="1:19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-17</v>
      </c>
      <c r="H296">
        <v>4.8749248570982405E-4</v>
      </c>
      <c r="I296">
        <v>-1.7623826407286585</v>
      </c>
      <c r="J296" s="96">
        <v>-8.5914829430065753E-4</v>
      </c>
      <c r="L296" s="100"/>
      <c r="M296" s="100">
        <v>-1.7109222562879141</v>
      </c>
      <c r="N296" s="96">
        <v>4.8828125E-4</v>
      </c>
      <c r="O296" s="96">
        <f t="shared" si="19"/>
        <v>0.34521484375</v>
      </c>
      <c r="Q296" s="96">
        <f t="shared" si="16"/>
        <v>0</v>
      </c>
      <c r="R296" s="96">
        <f t="shared" si="17"/>
        <v>1</v>
      </c>
      <c r="S296" s="96">
        <f t="shared" si="18"/>
        <v>0</v>
      </c>
    </row>
    <row r="297" spans="1:19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-2.5956324169788907</v>
      </c>
      <c r="H297">
        <v>4.8749248570982405E-4</v>
      </c>
      <c r="I297">
        <v>-1.090374353183982</v>
      </c>
      <c r="J297" s="96">
        <v>-5.3154930378790095E-4</v>
      </c>
      <c r="L297" s="100"/>
      <c r="M297" s="100">
        <v>-1.7109222562879141</v>
      </c>
      <c r="N297" s="96">
        <v>9.765625E-4</v>
      </c>
      <c r="O297" s="96">
        <f t="shared" si="19"/>
        <v>0.34619140625</v>
      </c>
      <c r="Q297" s="96">
        <f t="shared" si="16"/>
        <v>0</v>
      </c>
      <c r="R297" s="96">
        <f t="shared" si="17"/>
        <v>1</v>
      </c>
      <c r="S297" s="96">
        <f t="shared" si="18"/>
        <v>0</v>
      </c>
    </row>
    <row r="298" spans="1:19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5.0426982494922781</v>
      </c>
      <c r="H298">
        <v>1.2297107747635201E-4</v>
      </c>
      <c r="I298">
        <v>-0.84527780558529353</v>
      </c>
      <c r="J298" s="96">
        <v>-1.0394472251966994E-4</v>
      </c>
      <c r="L298" s="100"/>
      <c r="M298" s="100">
        <v>-1.7109222562879141</v>
      </c>
      <c r="N298" s="96">
        <v>4.8828125E-4</v>
      </c>
      <c r="O298" s="96">
        <f t="shared" si="19"/>
        <v>0.3466796875</v>
      </c>
      <c r="Q298" s="96">
        <f t="shared" si="16"/>
        <v>0</v>
      </c>
      <c r="R298" s="96">
        <f t="shared" si="17"/>
        <v>1</v>
      </c>
      <c r="S298" s="96">
        <f t="shared" si="18"/>
        <v>0</v>
      </c>
    </row>
    <row r="299" spans="1:19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-5.4953609176677878</v>
      </c>
      <c r="H299">
        <v>1.932559496921088E-3</v>
      </c>
      <c r="I299">
        <v>-1.2010290094938021</v>
      </c>
      <c r="J299" s="96">
        <v>-2.3210600183749749E-3</v>
      </c>
      <c r="L299" s="100"/>
      <c r="M299" s="100">
        <v>-1.6520230774009681</v>
      </c>
      <c r="N299" s="96">
        <v>4.8828125E-4</v>
      </c>
      <c r="O299" s="96">
        <f t="shared" si="19"/>
        <v>0.34716796875</v>
      </c>
      <c r="Q299" s="96">
        <f t="shared" si="16"/>
        <v>0</v>
      </c>
      <c r="R299" s="96">
        <f t="shared" si="17"/>
        <v>1</v>
      </c>
      <c r="S299" s="96">
        <f t="shared" si="18"/>
        <v>0</v>
      </c>
    </row>
    <row r="300" spans="1:19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5.4344442763823277</v>
      </c>
      <c r="H300">
        <v>1.932559496921088E-3</v>
      </c>
      <c r="I300">
        <v>-0.83431175247311151</v>
      </c>
      <c r="J300" s="96">
        <v>-1.6123571006347876E-3</v>
      </c>
      <c r="L300" s="100"/>
      <c r="M300" s="100">
        <v>-1.6520230774009681</v>
      </c>
      <c r="N300" s="96">
        <v>9.765625E-4</v>
      </c>
      <c r="O300" s="96">
        <f t="shared" si="19"/>
        <v>0.34814453125</v>
      </c>
      <c r="Q300" s="96">
        <f t="shared" si="16"/>
        <v>0</v>
      </c>
      <c r="R300" s="96">
        <f t="shared" si="17"/>
        <v>1</v>
      </c>
      <c r="S300" s="96">
        <f t="shared" si="18"/>
        <v>0</v>
      </c>
    </row>
    <row r="301" spans="1:19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12.617409774960631</v>
      </c>
      <c r="H301">
        <v>4.8749248570982399E-4</v>
      </c>
      <c r="I301">
        <v>-0.656665629190752</v>
      </c>
      <c r="J301" s="96">
        <v>-3.2011955985440524E-4</v>
      </c>
      <c r="L301" s="100"/>
      <c r="M301" s="100">
        <v>-1.6520230774009681</v>
      </c>
      <c r="N301" s="96">
        <v>4.8828125E-4</v>
      </c>
      <c r="O301" s="96">
        <f t="shared" si="19"/>
        <v>0.3486328125</v>
      </c>
      <c r="Q301" s="96">
        <f t="shared" si="16"/>
        <v>0</v>
      </c>
      <c r="R301" s="96">
        <f t="shared" si="17"/>
        <v>1</v>
      </c>
      <c r="S301" s="96">
        <f t="shared" si="18"/>
        <v>0</v>
      </c>
    </row>
    <row r="302" spans="1:19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-9.2476804588338926</v>
      </c>
      <c r="H302">
        <v>1.932559496921088E-3</v>
      </c>
      <c r="I302">
        <v>-1.3610493937980925</v>
      </c>
      <c r="J302" s="96">
        <v>-2.6303089317631935E-3</v>
      </c>
      <c r="L302" s="100"/>
      <c r="M302" s="100">
        <v>-1.607294633344857</v>
      </c>
      <c r="N302" s="96">
        <v>4.8828125E-4</v>
      </c>
      <c r="O302" s="96">
        <f t="shared" si="19"/>
        <v>0.34912109375</v>
      </c>
      <c r="Q302" s="96">
        <f t="shared" si="16"/>
        <v>0</v>
      </c>
      <c r="R302" s="96">
        <f t="shared" si="17"/>
        <v>1</v>
      </c>
      <c r="S302" s="96">
        <f t="shared" si="18"/>
        <v>0</v>
      </c>
    </row>
    <row r="303" spans="1:19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2.9841941874053277</v>
      </c>
      <c r="H303">
        <v>1.932559496921088E-3</v>
      </c>
      <c r="I303">
        <v>-0.90531426666320058</v>
      </c>
      <c r="J303" s="96">
        <v>-1.7495736837381186E-3</v>
      </c>
      <c r="L303" s="100"/>
      <c r="M303" s="100">
        <v>-1.607294633344857</v>
      </c>
      <c r="N303" s="96">
        <v>9.765625E-4</v>
      </c>
      <c r="O303" s="96">
        <f t="shared" si="19"/>
        <v>0.35009765625</v>
      </c>
      <c r="Q303" s="96">
        <f t="shared" si="16"/>
        <v>0</v>
      </c>
      <c r="R303" s="96">
        <f t="shared" si="17"/>
        <v>1</v>
      </c>
      <c r="S303" s="96">
        <f t="shared" si="18"/>
        <v>0</v>
      </c>
    </row>
    <row r="304" spans="1:19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10.24161466355287</v>
      </c>
      <c r="H304">
        <v>4.8749248570982399E-4</v>
      </c>
      <c r="I304">
        <v>-0.71078367115677354</v>
      </c>
      <c r="J304" s="96">
        <v>-3.4650169865416965E-4</v>
      </c>
      <c r="L304" s="100"/>
      <c r="M304" s="100">
        <v>-1.607294633344857</v>
      </c>
      <c r="N304" s="96">
        <v>4.8828125E-4</v>
      </c>
      <c r="O304" s="96">
        <f t="shared" si="19"/>
        <v>0.3505859375</v>
      </c>
      <c r="Q304" s="96">
        <f t="shared" si="16"/>
        <v>0</v>
      </c>
      <c r="R304" s="96">
        <f t="shared" si="17"/>
        <v>1</v>
      </c>
      <c r="S304" s="96">
        <f t="shared" si="18"/>
        <v>0</v>
      </c>
    </row>
    <row r="305" spans="1:19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-13</v>
      </c>
      <c r="H305">
        <v>4.8749248570982405E-4</v>
      </c>
      <c r="I305">
        <v>-1.5423902651101746</v>
      </c>
      <c r="J305" s="96">
        <v>-7.5190366427319358E-4</v>
      </c>
      <c r="L305" s="100"/>
      <c r="M305" s="100">
        <v>-1.5290406772738361</v>
      </c>
      <c r="N305" s="96">
        <v>2.44140625E-4</v>
      </c>
      <c r="O305" s="96">
        <f t="shared" si="19"/>
        <v>0.350830078125</v>
      </c>
      <c r="Q305" s="96">
        <f t="shared" si="16"/>
        <v>0</v>
      </c>
      <c r="R305" s="96">
        <f t="shared" si="17"/>
        <v>1</v>
      </c>
      <c r="S305" s="96">
        <f t="shared" si="18"/>
        <v>0</v>
      </c>
    </row>
    <row r="306" spans="1:19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0.47861892205448392</v>
      </c>
      <c r="H306">
        <v>4.8749248570982405E-4</v>
      </c>
      <c r="I306">
        <v>-0.9841726263160453</v>
      </c>
      <c r="J306" s="96">
        <v>-4.7977675997037473E-4</v>
      </c>
      <c r="L306" s="100"/>
      <c r="M306" s="100">
        <v>-1.5290406772738361</v>
      </c>
      <c r="N306" s="96">
        <v>4.8828125E-4</v>
      </c>
      <c r="O306" s="96">
        <f t="shared" si="19"/>
        <v>0.351318359375</v>
      </c>
      <c r="Q306" s="96">
        <f t="shared" si="16"/>
        <v>0</v>
      </c>
      <c r="R306" s="96">
        <f t="shared" si="17"/>
        <v>1</v>
      </c>
      <c r="S306" s="96">
        <f t="shared" si="18"/>
        <v>0</v>
      </c>
    </row>
    <row r="307" spans="1:19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7.853263110672775</v>
      </c>
      <c r="H307">
        <v>1.2297107747635201E-4</v>
      </c>
      <c r="I307">
        <v>-0.76968384679844337</v>
      </c>
      <c r="J307" s="96">
        <v>-9.4648851956948029E-5</v>
      </c>
      <c r="L307" s="100"/>
      <c r="M307" s="100">
        <v>-1.5290406772738361</v>
      </c>
      <c r="N307" s="96">
        <v>2.44140625E-4</v>
      </c>
      <c r="O307" s="96">
        <f t="shared" si="19"/>
        <v>0.3515625</v>
      </c>
      <c r="Q307" s="96">
        <f t="shared" si="16"/>
        <v>0</v>
      </c>
      <c r="R307" s="96">
        <f t="shared" si="17"/>
        <v>1</v>
      </c>
      <c r="S307" s="96">
        <f t="shared" si="18"/>
        <v>0</v>
      </c>
    </row>
    <row r="308" spans="1:19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-6.995360917667786</v>
      </c>
      <c r="H308">
        <v>1.932559496921088E-3</v>
      </c>
      <c r="I308">
        <v>-1.2626070835899594</v>
      </c>
      <c r="J308" s="96">
        <v>-2.4400633102716141E-3</v>
      </c>
      <c r="L308" s="100"/>
      <c r="M308" s="100">
        <v>-1.3604288056436586</v>
      </c>
      <c r="N308" s="96">
        <v>1.953125E-3</v>
      </c>
      <c r="O308" s="96">
        <f t="shared" si="19"/>
        <v>0.353515625</v>
      </c>
      <c r="Q308" s="96">
        <f t="shared" si="16"/>
        <v>0</v>
      </c>
      <c r="R308" s="96">
        <f t="shared" si="17"/>
        <v>1</v>
      </c>
      <c r="S308" s="96">
        <f t="shared" si="18"/>
        <v>0</v>
      </c>
    </row>
    <row r="309" spans="1:19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4.373790546417478</v>
      </c>
      <c r="H309">
        <v>1.932559496921088E-3</v>
      </c>
      <c r="I309">
        <v>-0.86433658660167212</v>
      </c>
      <c r="J309" s="96">
        <v>-1.6703818789734178E-3</v>
      </c>
      <c r="L309" s="100"/>
      <c r="M309" s="100">
        <v>-1.3604288056436586</v>
      </c>
      <c r="N309" s="96">
        <v>3.90625E-3</v>
      </c>
      <c r="O309" s="96">
        <f t="shared" si="19"/>
        <v>0.357421875</v>
      </c>
      <c r="Q309" s="96">
        <f t="shared" si="16"/>
        <v>0</v>
      </c>
      <c r="R309" s="96">
        <f t="shared" si="17"/>
        <v>1</v>
      </c>
      <c r="S309" s="96">
        <f t="shared" si="18"/>
        <v>0</v>
      </c>
    </row>
    <row r="310" spans="1:19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11.606092902532644</v>
      </c>
      <c r="H310">
        <v>4.8749248570982399E-4</v>
      </c>
      <c r="I310">
        <v>-0.67917954318934792</v>
      </c>
      <c r="J310" s="96">
        <v>-3.3109492375263795E-4</v>
      </c>
      <c r="L310" s="100"/>
      <c r="M310" s="100">
        <v>-1.3604288056436586</v>
      </c>
      <c r="N310" s="96">
        <v>1.953125E-3</v>
      </c>
      <c r="O310" s="96">
        <f t="shared" si="19"/>
        <v>0.359375</v>
      </c>
      <c r="Q310" s="96">
        <f t="shared" si="16"/>
        <v>0</v>
      </c>
      <c r="R310" s="96">
        <f t="shared" si="17"/>
        <v>1</v>
      </c>
      <c r="S310" s="96">
        <f t="shared" si="18"/>
        <v>0</v>
      </c>
    </row>
    <row r="311" spans="1:19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-10.747680458833893</v>
      </c>
      <c r="H311">
        <v>1.932559496921088E-3</v>
      </c>
      <c r="I311">
        <v>-1.4308318884400437</v>
      </c>
      <c r="J311" s="96">
        <v>-2.765167754502341E-3</v>
      </c>
      <c r="L311" s="100"/>
      <c r="M311" s="100">
        <v>-1.2545834449263205</v>
      </c>
      <c r="N311" s="96">
        <v>9.765625E-4</v>
      </c>
      <c r="O311" s="96">
        <f t="shared" si="19"/>
        <v>0.3603515625</v>
      </c>
      <c r="Q311" s="96">
        <f t="shared" si="16"/>
        <v>0</v>
      </c>
      <c r="R311" s="96">
        <f t="shared" si="17"/>
        <v>1</v>
      </c>
      <c r="S311" s="96">
        <f t="shared" si="18"/>
        <v>0</v>
      </c>
    </row>
    <row r="312" spans="1:19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1.8956858265406606</v>
      </c>
      <c r="H312">
        <v>1.932559496921088E-3</v>
      </c>
      <c r="I312">
        <v>-0.93876553489438852</v>
      </c>
      <c r="J312" s="96">
        <v>-1.8142202498423556E-3</v>
      </c>
      <c r="L312" s="100"/>
      <c r="M312" s="100">
        <v>-1.2545834449263205</v>
      </c>
      <c r="N312" s="96">
        <v>1.953125E-3</v>
      </c>
      <c r="O312" s="96">
        <f t="shared" si="19"/>
        <v>0.3623046875</v>
      </c>
      <c r="Q312" s="96">
        <f t="shared" si="16"/>
        <v>0</v>
      </c>
      <c r="R312" s="96">
        <f t="shared" si="17"/>
        <v>1</v>
      </c>
      <c r="S312" s="96">
        <f t="shared" si="18"/>
        <v>0</v>
      </c>
    </row>
    <row r="313" spans="1:19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9.224566322344721</v>
      </c>
      <c r="H313">
        <v>4.8749248570982399E-4</v>
      </c>
      <c r="I313">
        <v>-0.73529349681629386</v>
      </c>
      <c r="J313" s="96">
        <v>-3.5845005448924364E-4</v>
      </c>
      <c r="L313" s="100"/>
      <c r="M313" s="100">
        <v>-1.2545834449263205</v>
      </c>
      <c r="N313" s="96">
        <v>9.765625E-4</v>
      </c>
      <c r="O313" s="96">
        <f t="shared" si="19"/>
        <v>0.36328125</v>
      </c>
      <c r="Q313" s="96">
        <f t="shared" si="16"/>
        <v>0</v>
      </c>
      <c r="R313" s="96">
        <f t="shared" si="17"/>
        <v>1</v>
      </c>
      <c r="S313" s="96">
        <f t="shared" si="18"/>
        <v>0</v>
      </c>
    </row>
    <row r="314" spans="1:19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-14.5</v>
      </c>
      <c r="H314">
        <v>4.8749248570982405E-4</v>
      </c>
      <c r="I314">
        <v>-1.6214703050420796</v>
      </c>
      <c r="J314" s="96">
        <v>-7.9045458950963003E-4</v>
      </c>
      <c r="L314" s="100"/>
      <c r="M314" s="100">
        <v>-1.1677106800845569</v>
      </c>
      <c r="N314" s="96">
        <v>9.765625E-4</v>
      </c>
      <c r="O314" s="96">
        <f t="shared" si="19"/>
        <v>0.3642578125</v>
      </c>
      <c r="Q314" s="96">
        <f t="shared" si="16"/>
        <v>0</v>
      </c>
      <c r="R314" s="96">
        <f t="shared" si="17"/>
        <v>1</v>
      </c>
      <c r="S314" s="96">
        <f t="shared" si="18"/>
        <v>0</v>
      </c>
    </row>
    <row r="315" spans="1:19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-0.65748311961275752</v>
      </c>
      <c r="H315">
        <v>4.8749248570982405E-4</v>
      </c>
      <c r="I315">
        <v>-1.0221580258901528</v>
      </c>
      <c r="J315" s="96">
        <v>-4.9829435682943724E-4</v>
      </c>
      <c r="L315" s="100"/>
      <c r="M315" s="100">
        <v>-1.1677106800845569</v>
      </c>
      <c r="N315" s="96">
        <v>1.953125E-3</v>
      </c>
      <c r="O315" s="96">
        <f t="shared" si="19"/>
        <v>0.3662109375</v>
      </c>
      <c r="Q315" s="96">
        <f t="shared" si="16"/>
        <v>0</v>
      </c>
      <c r="R315" s="96">
        <f t="shared" si="17"/>
        <v>1</v>
      </c>
      <c r="S315" s="96">
        <f t="shared" si="18"/>
        <v>0</v>
      </c>
    </row>
    <row r="316" spans="1:19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6.8057474880542728</v>
      </c>
      <c r="H316">
        <v>1.2297107747635201E-4</v>
      </c>
      <c r="I316">
        <v>-0.79703375413506872</v>
      </c>
      <c r="J316" s="96">
        <v>-9.8012099531011236E-5</v>
      </c>
      <c r="L316" s="100"/>
      <c r="M316" s="100">
        <v>-1.1677106800845569</v>
      </c>
      <c r="N316" s="96">
        <v>9.765625E-4</v>
      </c>
      <c r="O316" s="96">
        <f t="shared" si="19"/>
        <v>0.3671875</v>
      </c>
      <c r="Q316" s="96">
        <f t="shared" si="16"/>
        <v>0</v>
      </c>
      <c r="R316" s="96">
        <f t="shared" si="17"/>
        <v>1</v>
      </c>
      <c r="S316" s="96">
        <f t="shared" si="18"/>
        <v>0</v>
      </c>
    </row>
    <row r="317" spans="1:19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-9.4953609176677851</v>
      </c>
      <c r="H317">
        <v>4.8749248570982405E-4</v>
      </c>
      <c r="I317">
        <v>-1.3723327521081155</v>
      </c>
      <c r="J317" s="96">
        <v>-6.6900190454618894E-4</v>
      </c>
      <c r="L317" s="100"/>
      <c r="M317" s="100">
        <v>-1.1677106800845551</v>
      </c>
      <c r="N317" s="96">
        <v>4.8828125E-4</v>
      </c>
      <c r="O317" s="96">
        <f t="shared" si="19"/>
        <v>0.36767578125</v>
      </c>
      <c r="Q317" s="96">
        <f t="shared" si="16"/>
        <v>0</v>
      </c>
      <c r="R317" s="96">
        <f t="shared" si="17"/>
        <v>1</v>
      </c>
      <c r="S317" s="96">
        <f t="shared" si="18"/>
        <v>0</v>
      </c>
    </row>
    <row r="318" spans="1:19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2.5713743458996654</v>
      </c>
      <c r="H318">
        <v>4.8749248570982405E-4</v>
      </c>
      <c r="I318">
        <v>-0.9178580975000864</v>
      </c>
      <c r="J318" s="96">
        <v>-4.4744892547920713E-4</v>
      </c>
      <c r="L318" s="100"/>
      <c r="M318" s="100">
        <v>-1.1677106800845551</v>
      </c>
      <c r="N318" s="96">
        <v>9.765625E-4</v>
      </c>
      <c r="O318" s="96">
        <f t="shared" si="19"/>
        <v>0.36865234375</v>
      </c>
      <c r="Q318" s="96">
        <f t="shared" si="16"/>
        <v>0</v>
      </c>
      <c r="R318" s="96">
        <f t="shared" si="17"/>
        <v>1</v>
      </c>
      <c r="S318" s="96">
        <f t="shared" si="18"/>
        <v>0</v>
      </c>
    </row>
    <row r="319" spans="1:19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9.8975257856043335</v>
      </c>
      <c r="H319">
        <v>1.2297107747635201E-4</v>
      </c>
      <c r="I319">
        <v>-0.71898302825871585</v>
      </c>
      <c r="J319" s="96">
        <v>-8.8414117672184724E-5</v>
      </c>
      <c r="L319" s="100"/>
      <c r="M319" s="100">
        <v>-1.1677106800845551</v>
      </c>
      <c r="N319" s="96">
        <v>4.8828125E-4</v>
      </c>
      <c r="O319" s="96">
        <f t="shared" si="19"/>
        <v>0.369140625</v>
      </c>
      <c r="Q319" s="96">
        <f t="shared" si="16"/>
        <v>0</v>
      </c>
      <c r="R319" s="96">
        <f t="shared" si="17"/>
        <v>1</v>
      </c>
      <c r="S319" s="96">
        <f t="shared" si="18"/>
        <v>0</v>
      </c>
    </row>
    <row r="320" spans="1:19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-13.247680458833893</v>
      </c>
      <c r="H320">
        <v>4.8749248570982405E-4</v>
      </c>
      <c r="I320">
        <v>-1.5551769737295909</v>
      </c>
      <c r="J320" s="96">
        <v>-7.5813708864211999E-4</v>
      </c>
      <c r="L320" s="100"/>
      <c r="M320" s="100">
        <v>-0.96030536397420951</v>
      </c>
      <c r="N320" s="96">
        <v>4.8828125E-4</v>
      </c>
      <c r="O320" s="96">
        <f t="shared" si="19"/>
        <v>0.36962890625</v>
      </c>
      <c r="Q320" s="96">
        <f t="shared" si="16"/>
        <v>0</v>
      </c>
      <c r="R320" s="96">
        <f t="shared" si="17"/>
        <v>1</v>
      </c>
      <c r="S320" s="96">
        <f t="shared" si="18"/>
        <v>0</v>
      </c>
    </row>
    <row r="321" spans="1:19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3.3748584991527442E-2</v>
      </c>
      <c r="H321">
        <v>4.8749248570982405E-4</v>
      </c>
      <c r="I321">
        <v>-0.99887567968917923</v>
      </c>
      <c r="J321" s="96">
        <v>-4.86944388006768E-4</v>
      </c>
      <c r="L321" s="100"/>
      <c r="M321" s="100">
        <v>-0.96030536397420951</v>
      </c>
      <c r="N321" s="96">
        <v>9.765625E-4</v>
      </c>
      <c r="O321" s="96">
        <f t="shared" si="19"/>
        <v>0.37060546875</v>
      </c>
      <c r="Q321" s="96">
        <f t="shared" si="16"/>
        <v>0</v>
      </c>
      <c r="R321" s="96">
        <f t="shared" si="17"/>
        <v>1</v>
      </c>
      <c r="S321" s="96">
        <f t="shared" si="18"/>
        <v>0</v>
      </c>
    </row>
    <row r="322" spans="1:19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7.4787069513138844</v>
      </c>
      <c r="H322">
        <v>1.2297107747635201E-4</v>
      </c>
      <c r="I322">
        <v>-0.77935374738614971</v>
      </c>
      <c r="J322" s="96">
        <v>-9.583797005130748E-5</v>
      </c>
      <c r="L322" s="100"/>
      <c r="M322" s="100">
        <v>-0.96030536397420951</v>
      </c>
      <c r="N322" s="96">
        <v>4.8828125E-4</v>
      </c>
      <c r="O322" s="96">
        <f t="shared" si="19"/>
        <v>0.37109375</v>
      </c>
      <c r="Q322" s="96">
        <f t="shared" si="16"/>
        <v>0</v>
      </c>
      <c r="R322" s="96">
        <f t="shared" si="17"/>
        <v>1</v>
      </c>
      <c r="S322" s="96">
        <f t="shared" si="18"/>
        <v>0</v>
      </c>
    </row>
    <row r="323" spans="1:19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-17</v>
      </c>
      <c r="H323">
        <v>1.2297107747635201E-4</v>
      </c>
      <c r="I323">
        <v>-1.7623826407286585</v>
      </c>
      <c r="J323" s="96">
        <v>-2.167220922560217E-4</v>
      </c>
      <c r="L323" s="100"/>
      <c r="M323" s="100">
        <v>-0.7008665723579155</v>
      </c>
      <c r="N323" s="96">
        <v>2.44140625E-4</v>
      </c>
      <c r="O323" s="96">
        <f t="shared" si="19"/>
        <v>0.371337890625</v>
      </c>
      <c r="Q323" s="96">
        <f t="shared" ref="Q323:Q386" si="20">IF(A323=3,1,0)</f>
        <v>0</v>
      </c>
      <c r="R323" s="96">
        <f t="shared" ref="R323:R386" si="21">IF(A323=2,1,0)</f>
        <v>1</v>
      </c>
      <c r="S323" s="96">
        <f t="shared" ref="S323:S386" si="22">IF(A323=1,1,0)</f>
        <v>0</v>
      </c>
    </row>
    <row r="324" spans="1:19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-2.5956324169788907</v>
      </c>
      <c r="H324">
        <v>1.2297107747635201E-4</v>
      </c>
      <c r="I324">
        <v>-1.090374353183982</v>
      </c>
      <c r="J324" s="96">
        <v>-1.3408450906361467E-4</v>
      </c>
      <c r="L324" s="100"/>
      <c r="M324" s="100">
        <v>-0.7008665723579155</v>
      </c>
      <c r="N324" s="96">
        <v>4.8828125E-4</v>
      </c>
      <c r="O324" s="96">
        <f t="shared" ref="O324:O387" si="23">N324+O323</f>
        <v>0.371826171875</v>
      </c>
      <c r="Q324" s="96">
        <f t="shared" si="20"/>
        <v>0</v>
      </c>
      <c r="R324" s="96">
        <f t="shared" si="21"/>
        <v>1</v>
      </c>
      <c r="S324" s="96">
        <f t="shared" si="22"/>
        <v>0</v>
      </c>
    </row>
    <row r="325" spans="1:19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5.0426982494922781</v>
      </c>
      <c r="H325">
        <v>3.1019731255295997E-5</v>
      </c>
      <c r="I325">
        <v>-0.84527780558529353</v>
      </c>
      <c r="J325" s="96">
        <v>-2.6220290365322142E-5</v>
      </c>
      <c r="L325" s="100"/>
      <c r="M325" s="100">
        <v>-0.7008665723579155</v>
      </c>
      <c r="N325" s="96">
        <v>2.44140625E-4</v>
      </c>
      <c r="O325" s="96">
        <f t="shared" si="23"/>
        <v>0.3720703125</v>
      </c>
      <c r="Q325" s="96">
        <f t="shared" si="20"/>
        <v>0</v>
      </c>
      <c r="R325" s="96">
        <f t="shared" si="21"/>
        <v>1</v>
      </c>
      <c r="S325" s="96">
        <f t="shared" si="22"/>
        <v>0</v>
      </c>
    </row>
    <row r="326" spans="1:19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-1.849986467453121</v>
      </c>
      <c r="H326">
        <v>7.6612180056514559E-3</v>
      </c>
      <c r="I326">
        <v>-1.0636072699382935</v>
      </c>
      <c r="J326" s="96">
        <v>-8.148527167393043E-3</v>
      </c>
      <c r="L326" s="100"/>
      <c r="M326" s="100">
        <v>-0.65748311961275752</v>
      </c>
      <c r="N326" s="96">
        <v>1.953125E-3</v>
      </c>
      <c r="O326" s="96">
        <f t="shared" si="23"/>
        <v>0.3740234375</v>
      </c>
      <c r="Q326" s="96">
        <f t="shared" si="20"/>
        <v>0</v>
      </c>
      <c r="R326" s="96">
        <f t="shared" si="21"/>
        <v>1</v>
      </c>
      <c r="S326" s="96">
        <f t="shared" si="22"/>
        <v>0</v>
      </c>
    </row>
    <row r="327" spans="1:19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13.825126483959142</v>
      </c>
      <c r="H327">
        <v>7.6612180056514559E-3</v>
      </c>
      <c r="I327">
        <v>-0.63075513558467278</v>
      </c>
      <c r="J327" s="96">
        <v>-4.8323526018984207E-3</v>
      </c>
      <c r="L327" s="100"/>
      <c r="M327" s="100">
        <v>-0.65748311961275752</v>
      </c>
      <c r="N327" s="96">
        <v>3.90625E-3</v>
      </c>
      <c r="O327" s="96">
        <f t="shared" si="23"/>
        <v>0.3779296875</v>
      </c>
      <c r="Q327" s="96">
        <f t="shared" si="20"/>
        <v>0</v>
      </c>
      <c r="R327" s="96">
        <f t="shared" si="21"/>
        <v>1</v>
      </c>
      <c r="S327" s="96">
        <f t="shared" si="22"/>
        <v>0</v>
      </c>
    </row>
    <row r="328" spans="1:19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25.154238984816935</v>
      </c>
      <c r="H328">
        <v>1.932559496921088E-3</v>
      </c>
      <c r="I328">
        <v>-0.43236954298527502</v>
      </c>
      <c r="J328" s="96">
        <v>-8.3557986647562381E-4</v>
      </c>
      <c r="L328" s="100"/>
      <c r="M328" s="100">
        <v>-0.65748311961275752</v>
      </c>
      <c r="N328" s="96">
        <v>1.953125E-3</v>
      </c>
      <c r="O328" s="96">
        <f t="shared" si="23"/>
        <v>0.3798828125</v>
      </c>
      <c r="Q328" s="96">
        <f t="shared" si="20"/>
        <v>0</v>
      </c>
      <c r="R328" s="96">
        <f t="shared" si="21"/>
        <v>1</v>
      </c>
      <c r="S328" s="96">
        <f t="shared" si="22"/>
        <v>0</v>
      </c>
    </row>
    <row r="329" spans="1:19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-7.0040896672095787</v>
      </c>
      <c r="H329">
        <v>7.6612180056514559E-3</v>
      </c>
      <c r="I329">
        <v>-1.2629745030726562</v>
      </c>
      <c r="J329" s="96">
        <v>-9.6759230036189345E-3</v>
      </c>
      <c r="L329" s="100"/>
      <c r="M329" s="100">
        <v>-0.5537080305622587</v>
      </c>
      <c r="N329" s="96">
        <v>2.44140625E-4</v>
      </c>
      <c r="O329" s="96">
        <f t="shared" si="23"/>
        <v>0.380126953125</v>
      </c>
      <c r="Q329" s="96">
        <f t="shared" si="20"/>
        <v>0</v>
      </c>
      <c r="R329" s="96">
        <f t="shared" si="21"/>
        <v>1</v>
      </c>
      <c r="S329" s="96">
        <f t="shared" si="22"/>
        <v>0</v>
      </c>
    </row>
    <row r="330" spans="1:19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10.007860615072559</v>
      </c>
      <c r="H330">
        <v>7.6612180056514559E-3</v>
      </c>
      <c r="I330">
        <v>-0.71634358927428265</v>
      </c>
      <c r="J330" s="96">
        <v>-5.4880644043811258E-3</v>
      </c>
      <c r="L330" s="100"/>
      <c r="M330" s="100">
        <v>-0.5537080305622587</v>
      </c>
      <c r="N330" s="96">
        <v>4.8828125E-4</v>
      </c>
      <c r="O330" s="96">
        <f t="shared" si="23"/>
        <v>0.380615234375</v>
      </c>
      <c r="Q330" s="96">
        <f t="shared" si="20"/>
        <v>0</v>
      </c>
      <c r="R330" s="96">
        <f t="shared" si="21"/>
        <v>1</v>
      </c>
      <c r="S330" s="96">
        <f t="shared" si="22"/>
        <v>0</v>
      </c>
    </row>
    <row r="331" spans="1:19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21.385462850091812</v>
      </c>
      <c r="H331">
        <v>1.932559496921088E-3</v>
      </c>
      <c r="I331">
        <v>-0.49024561337830186</v>
      </c>
      <c r="J331" s="96">
        <v>-9.4742881595814127E-4</v>
      </c>
      <c r="L331" s="100"/>
      <c r="M331" s="100">
        <v>-0.5537080305622587</v>
      </c>
      <c r="N331" s="96">
        <v>2.44140625E-4</v>
      </c>
      <c r="O331" s="96">
        <f t="shared" si="23"/>
        <v>0.380859375</v>
      </c>
      <c r="Q331" s="96">
        <f t="shared" si="20"/>
        <v>0</v>
      </c>
      <c r="R331" s="96">
        <f t="shared" si="21"/>
        <v>1</v>
      </c>
      <c r="S331" s="96">
        <f t="shared" si="22"/>
        <v>0</v>
      </c>
    </row>
    <row r="332" spans="1:19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-13</v>
      </c>
      <c r="H332">
        <v>1.932559496921088E-3</v>
      </c>
      <c r="I332">
        <v>-1.5423902651101746</v>
      </c>
      <c r="J332" s="96">
        <v>-2.9807609547973027E-3</v>
      </c>
      <c r="L332" s="100"/>
      <c r="M332" s="100">
        <v>-0.54515180132103835</v>
      </c>
      <c r="N332" s="96">
        <v>9.765625E-4</v>
      </c>
      <c r="O332" s="96">
        <f t="shared" si="23"/>
        <v>0.3818359375</v>
      </c>
      <c r="Q332" s="96">
        <f t="shared" si="20"/>
        <v>0</v>
      </c>
      <c r="R332" s="96">
        <f t="shared" si="21"/>
        <v>1</v>
      </c>
      <c r="S332" s="96">
        <f t="shared" si="22"/>
        <v>0</v>
      </c>
    </row>
    <row r="333" spans="1:19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6.1481362377391306</v>
      </c>
      <c r="H333">
        <v>1.932559496921088E-3</v>
      </c>
      <c r="I333">
        <v>-0.81469792828101473</v>
      </c>
      <c r="J333" s="96">
        <v>-1.5744522184214104E-3</v>
      </c>
      <c r="L333" s="100"/>
      <c r="M333" s="100">
        <v>-0.54515180132103835</v>
      </c>
      <c r="N333" s="96">
        <v>1.953125E-3</v>
      </c>
      <c r="O333" s="96">
        <f t="shared" si="23"/>
        <v>0.3837890625</v>
      </c>
      <c r="Q333" s="96">
        <f t="shared" si="20"/>
        <v>0</v>
      </c>
      <c r="R333" s="96">
        <f t="shared" si="21"/>
        <v>1</v>
      </c>
      <c r="S333" s="96">
        <f t="shared" si="22"/>
        <v>0</v>
      </c>
    </row>
    <row r="334" spans="1:19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17.616686715366686</v>
      </c>
      <c r="H334">
        <v>4.8749248570982399E-4</v>
      </c>
      <c r="I334">
        <v>-0.55586885185585933</v>
      </c>
      <c r="J334" s="96">
        <v>-2.7098188831987876E-4</v>
      </c>
      <c r="L334" s="100"/>
      <c r="M334" s="100">
        <v>-0.54515180132103835</v>
      </c>
      <c r="N334" s="96">
        <v>9.765625E-4</v>
      </c>
      <c r="O334" s="96">
        <f t="shared" si="23"/>
        <v>0.384765625</v>
      </c>
      <c r="Q334" s="96">
        <f t="shared" si="20"/>
        <v>0</v>
      </c>
      <c r="R334" s="96">
        <f t="shared" si="21"/>
        <v>1</v>
      </c>
      <c r="S334" s="96">
        <f t="shared" si="22"/>
        <v>0</v>
      </c>
    </row>
    <row r="335" spans="1:19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-3.0420332032869939</v>
      </c>
      <c r="H335">
        <v>7.6612180056514559E-3</v>
      </c>
      <c r="I335">
        <v>-1.106720465825292</v>
      </c>
      <c r="J335" s="96">
        <v>-8.4788267600036937E-3</v>
      </c>
      <c r="L335" s="100"/>
      <c r="M335" s="100">
        <v>-0.19301833094307452</v>
      </c>
      <c r="N335" s="96">
        <v>9.765625E-4</v>
      </c>
      <c r="O335" s="96">
        <f t="shared" si="23"/>
        <v>0.3857421875</v>
      </c>
      <c r="Q335" s="96">
        <f t="shared" si="20"/>
        <v>0</v>
      </c>
      <c r="R335" s="96">
        <f t="shared" si="21"/>
        <v>1</v>
      </c>
      <c r="S335" s="96">
        <f t="shared" si="22"/>
        <v>0</v>
      </c>
    </row>
    <row r="336" spans="1:19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12.777610861340639</v>
      </c>
      <c r="H336">
        <v>7.6612180056514559E-3</v>
      </c>
      <c r="I336">
        <v>-0.65316835704189646</v>
      </c>
      <c r="J336" s="96">
        <v>-5.0040651776911563E-3</v>
      </c>
      <c r="L336" s="100"/>
      <c r="M336" s="100">
        <v>-0.19301833094307452</v>
      </c>
      <c r="N336" s="96">
        <v>1.953125E-3</v>
      </c>
      <c r="O336" s="96">
        <f t="shared" si="23"/>
        <v>0.3876953125</v>
      </c>
      <c r="Q336" s="96">
        <f t="shared" si="20"/>
        <v>0</v>
      </c>
      <c r="R336" s="96">
        <f t="shared" si="21"/>
        <v>1</v>
      </c>
      <c r="S336" s="96">
        <f t="shared" si="22"/>
        <v>0</v>
      </c>
    </row>
    <row r="337" spans="1:19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24.142922112388952</v>
      </c>
      <c r="H337">
        <v>1.932559496921088E-3</v>
      </c>
      <c r="I337">
        <v>-0.44719342027329273</v>
      </c>
      <c r="J337" s="96">
        <v>-8.642278913097753E-4</v>
      </c>
      <c r="L337" s="100"/>
      <c r="M337" s="100">
        <v>-0.19301833094307452</v>
      </c>
      <c r="N337" s="96">
        <v>9.765625E-4</v>
      </c>
      <c r="O337" s="96">
        <f t="shared" si="23"/>
        <v>0.388671875</v>
      </c>
      <c r="Q337" s="96">
        <f t="shared" si="20"/>
        <v>0</v>
      </c>
      <c r="R337" s="96">
        <f t="shared" si="21"/>
        <v>1</v>
      </c>
      <c r="S337" s="96">
        <f t="shared" si="22"/>
        <v>0</v>
      </c>
    </row>
    <row r="338" spans="1:19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-8.5040896672095787</v>
      </c>
      <c r="H338">
        <v>7.6612180056514559E-3</v>
      </c>
      <c r="I338">
        <v>-1.3277285905401555</v>
      </c>
      <c r="J338" s="96">
        <v>-1.0172018184464468E-2</v>
      </c>
      <c r="L338" s="100"/>
      <c r="M338" s="100">
        <v>-3.3973102100479657E-3</v>
      </c>
      <c r="N338" s="96">
        <v>9.765625E-4</v>
      </c>
      <c r="O338" s="96">
        <f t="shared" si="23"/>
        <v>0.3896484375</v>
      </c>
      <c r="Q338" s="96">
        <f t="shared" si="20"/>
        <v>0</v>
      </c>
      <c r="R338" s="96">
        <f t="shared" si="21"/>
        <v>1</v>
      </c>
      <c r="S338" s="96">
        <f t="shared" si="22"/>
        <v>0</v>
      </c>
    </row>
    <row r="339" spans="1:19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8.9463754450642696</v>
      </c>
      <c r="H339">
        <v>7.6612180056514559E-3</v>
      </c>
      <c r="I339">
        <v>-0.74214360646160982</v>
      </c>
      <c r="J339" s="96">
        <v>-5.6857239606027937E-3</v>
      </c>
      <c r="L339" s="100"/>
      <c r="M339" s="100">
        <v>-3.3973102100479657E-3</v>
      </c>
      <c r="N339" s="96">
        <v>1.953125E-3</v>
      </c>
      <c r="O339" s="96">
        <f t="shared" si="23"/>
        <v>0.3916015625</v>
      </c>
      <c r="Q339" s="96">
        <f t="shared" si="20"/>
        <v>0</v>
      </c>
      <c r="R339" s="96">
        <f t="shared" si="21"/>
        <v>1</v>
      </c>
      <c r="S339" s="96">
        <f t="shared" si="22"/>
        <v>0</v>
      </c>
    </row>
    <row r="340" spans="1:19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20.374145977663829</v>
      </c>
      <c r="H340">
        <v>1.932559496921088E-3</v>
      </c>
      <c r="I340">
        <v>-0.50705378345321495</v>
      </c>
      <c r="J340" s="96">
        <v>-9.7991160466227942E-4</v>
      </c>
      <c r="L340" s="100"/>
      <c r="M340" s="100">
        <v>-3.3973102100479657E-3</v>
      </c>
      <c r="N340" s="96">
        <v>9.765625E-4</v>
      </c>
      <c r="O340" s="96">
        <f t="shared" si="23"/>
        <v>0.392578125</v>
      </c>
      <c r="Q340" s="96">
        <f t="shared" si="20"/>
        <v>0</v>
      </c>
      <c r="R340" s="96">
        <f t="shared" si="21"/>
        <v>1</v>
      </c>
      <c r="S340" s="96">
        <f t="shared" si="22"/>
        <v>0</v>
      </c>
    </row>
    <row r="341" spans="1:19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-14.5</v>
      </c>
      <c r="H341">
        <v>1.932559496921088E-3</v>
      </c>
      <c r="I341">
        <v>-1.6214703050420796</v>
      </c>
      <c r="J341" s="96">
        <v>-3.1335878369846042E-3</v>
      </c>
      <c r="L341" s="100"/>
      <c r="M341" s="100">
        <v>3.3748584991527442E-2</v>
      </c>
      <c r="N341" s="96">
        <v>1.953125E-3</v>
      </c>
      <c r="O341" s="96">
        <f t="shared" si="23"/>
        <v>0.39453125</v>
      </c>
      <c r="Q341" s="96">
        <f t="shared" si="20"/>
        <v>0</v>
      </c>
      <c r="R341" s="96">
        <f t="shared" si="21"/>
        <v>1</v>
      </c>
      <c r="S341" s="96">
        <f t="shared" si="22"/>
        <v>0</v>
      </c>
    </row>
    <row r="342" spans="1:19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5.0645552624763033</v>
      </c>
      <c r="H342">
        <v>1.932559496921088E-3</v>
      </c>
      <c r="I342">
        <v>-0.84466218827272521</v>
      </c>
      <c r="J342" s="96">
        <v>-1.632359933636603E-3</v>
      </c>
      <c r="L342" s="100"/>
      <c r="M342" s="100">
        <v>3.3748584991527442E-2</v>
      </c>
      <c r="N342" s="96">
        <v>3.90625E-3</v>
      </c>
      <c r="O342" s="96">
        <f t="shared" si="23"/>
        <v>0.3984375</v>
      </c>
      <c r="Q342" s="96">
        <f t="shared" si="20"/>
        <v>0</v>
      </c>
      <c r="R342" s="96">
        <f t="shared" si="21"/>
        <v>1</v>
      </c>
      <c r="S342" s="96">
        <f t="shared" si="22"/>
        <v>0</v>
      </c>
    </row>
    <row r="343" spans="1:19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16.594876730227227</v>
      </c>
      <c r="H343">
        <v>4.8749248570982399E-4</v>
      </c>
      <c r="I343">
        <v>-0.57512805555077229</v>
      </c>
      <c r="J343" s="96">
        <v>-2.8037060540190374E-4</v>
      </c>
      <c r="L343" s="100"/>
      <c r="M343" s="100">
        <v>3.3748584991527442E-2</v>
      </c>
      <c r="N343" s="96">
        <v>1.953125E-3</v>
      </c>
      <c r="O343" s="96">
        <f t="shared" si="23"/>
        <v>0.400390625</v>
      </c>
      <c r="Q343" s="96">
        <f t="shared" si="20"/>
        <v>0</v>
      </c>
      <c r="R343" s="96">
        <f t="shared" si="21"/>
        <v>1</v>
      </c>
      <c r="S343" s="96">
        <f t="shared" si="22"/>
        <v>0</v>
      </c>
    </row>
    <row r="344" spans="1:19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-5.0596113222263472</v>
      </c>
      <c r="H344">
        <v>1.932559496921088E-3</v>
      </c>
      <c r="I344">
        <v>-1.1837101618277797</v>
      </c>
      <c r="J344" s="96">
        <v>-2.2875903148422733E-3</v>
      </c>
      <c r="L344" s="100"/>
      <c r="M344" s="100">
        <v>0.28222818173536612</v>
      </c>
      <c r="N344" s="96">
        <v>9.765625E-4</v>
      </c>
      <c r="O344" s="96">
        <f t="shared" si="23"/>
        <v>0.4013671875</v>
      </c>
      <c r="Q344" s="96">
        <f t="shared" si="20"/>
        <v>0</v>
      </c>
      <c r="R344" s="96">
        <f t="shared" si="21"/>
        <v>1</v>
      </c>
      <c r="S344" s="96">
        <f t="shared" si="22"/>
        <v>0</v>
      </c>
    </row>
    <row r="345" spans="1:19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11.023925996452062</v>
      </c>
      <c r="H345">
        <v>1.932559496921088E-3</v>
      </c>
      <c r="I345">
        <v>-0.69248811752138961</v>
      </c>
      <c r="J345" s="96">
        <v>-1.338274488020968E-3</v>
      </c>
      <c r="L345" s="100"/>
      <c r="M345" s="100">
        <v>0.28222818173536612</v>
      </c>
      <c r="N345" s="96">
        <v>1.953125E-3</v>
      </c>
      <c r="O345" s="96">
        <f t="shared" si="23"/>
        <v>0.4033203125</v>
      </c>
      <c r="Q345" s="96">
        <f t="shared" si="20"/>
        <v>0</v>
      </c>
      <c r="R345" s="96">
        <f t="shared" si="21"/>
        <v>1</v>
      </c>
      <c r="S345" s="96">
        <f t="shared" si="22"/>
        <v>0</v>
      </c>
    </row>
    <row r="346" spans="1:19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22.457393991675644</v>
      </c>
      <c r="H346">
        <v>4.8749248570982399E-4</v>
      </c>
      <c r="I346">
        <v>-0.47303788445019096</v>
      </c>
      <c r="J346" s="96">
        <v>-2.3060241412554009E-4</v>
      </c>
      <c r="L346" s="100"/>
      <c r="M346" s="100">
        <v>0.28222818173536612</v>
      </c>
      <c r="N346" s="96">
        <v>9.765625E-4</v>
      </c>
      <c r="O346" s="96">
        <f t="shared" si="23"/>
        <v>0.404296875</v>
      </c>
      <c r="Q346" s="96">
        <f t="shared" si="20"/>
        <v>0</v>
      </c>
      <c r="R346" s="96">
        <f t="shared" si="21"/>
        <v>1</v>
      </c>
      <c r="S346" s="96">
        <f t="shared" si="22"/>
        <v>0</v>
      </c>
    </row>
    <row r="347" spans="1:19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-11.004089667209579</v>
      </c>
      <c r="H347">
        <v>1.932559496921088E-3</v>
      </c>
      <c r="I347">
        <v>-1.4431135817232088</v>
      </c>
      <c r="J347" s="96">
        <v>-2.7889028574949936E-3</v>
      </c>
      <c r="L347" s="100"/>
      <c r="M347" s="100">
        <v>0.37820513723450122</v>
      </c>
      <c r="N347" s="96">
        <v>4.8828125E-4</v>
      </c>
      <c r="O347" s="96">
        <f t="shared" si="23"/>
        <v>0.40478515625</v>
      </c>
      <c r="Q347" s="96">
        <f t="shared" si="20"/>
        <v>0</v>
      </c>
      <c r="R347" s="96">
        <f t="shared" si="21"/>
        <v>1</v>
      </c>
      <c r="S347" s="96">
        <f t="shared" si="22"/>
        <v>0</v>
      </c>
    </row>
    <row r="348" spans="1:19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7.1446538052209014</v>
      </c>
      <c r="H348">
        <v>1.932559496921088E-3</v>
      </c>
      <c r="I348">
        <v>-0.78808042918376953</v>
      </c>
      <c r="J348" s="96">
        <v>-1.5230123177567406E-3</v>
      </c>
      <c r="L348" s="100"/>
      <c r="M348" s="100">
        <v>0.37820513723450122</v>
      </c>
      <c r="N348" s="96">
        <v>9.765625E-4</v>
      </c>
      <c r="O348" s="96">
        <f t="shared" si="23"/>
        <v>0.40576171875</v>
      </c>
      <c r="Q348" s="96">
        <f t="shared" si="20"/>
        <v>0</v>
      </c>
      <c r="R348" s="96">
        <f t="shared" si="21"/>
        <v>1</v>
      </c>
      <c r="S348" s="96">
        <f t="shared" si="22"/>
        <v>0</v>
      </c>
    </row>
    <row r="349" spans="1:19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18.666283228082971</v>
      </c>
      <c r="H349">
        <v>4.8749248570982399E-4</v>
      </c>
      <c r="I349">
        <v>-0.53675719318907533</v>
      </c>
      <c r="J349" s="96">
        <v>-2.6166509833037055E-4</v>
      </c>
      <c r="L349" s="100"/>
      <c r="M349" s="100">
        <v>0.37820513723450122</v>
      </c>
      <c r="N349" s="96">
        <v>4.8828125E-4</v>
      </c>
      <c r="O349" s="96">
        <f t="shared" si="23"/>
        <v>0.40625</v>
      </c>
      <c r="Q349" s="96">
        <f t="shared" si="20"/>
        <v>0</v>
      </c>
      <c r="R349" s="96">
        <f t="shared" si="21"/>
        <v>1</v>
      </c>
      <c r="S349" s="96">
        <f t="shared" si="22"/>
        <v>0</v>
      </c>
    </row>
    <row r="350" spans="1:19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-17</v>
      </c>
      <c r="H350">
        <v>4.8749248570982405E-4</v>
      </c>
      <c r="I350">
        <v>-1.7623826407286585</v>
      </c>
      <c r="J350" s="96">
        <v>-8.5914829430065753E-4</v>
      </c>
      <c r="L350" s="100"/>
      <c r="M350" s="100">
        <v>0.47861892205448392</v>
      </c>
      <c r="N350" s="96">
        <v>9.765625E-4</v>
      </c>
      <c r="O350" s="96">
        <f t="shared" si="23"/>
        <v>0.4072265625</v>
      </c>
      <c r="Q350" s="96">
        <f t="shared" si="20"/>
        <v>0</v>
      </c>
      <c r="R350" s="96">
        <f t="shared" si="21"/>
        <v>1</v>
      </c>
      <c r="S350" s="96">
        <f t="shared" si="22"/>
        <v>0</v>
      </c>
    </row>
    <row r="351" spans="1:19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3.2111092996583683</v>
      </c>
      <c r="H351">
        <v>4.8749248570982405E-4</v>
      </c>
      <c r="I351">
        <v>-0.89849244913049353</v>
      </c>
      <c r="J351" s="96">
        <v>-4.3800831741813191E-4</v>
      </c>
      <c r="L351" s="100"/>
      <c r="M351" s="100">
        <v>0.47861892205448392</v>
      </c>
      <c r="N351" s="96">
        <v>1.953125E-3</v>
      </c>
      <c r="O351" s="96">
        <f t="shared" si="23"/>
        <v>0.4091796875</v>
      </c>
      <c r="Q351" s="96">
        <f t="shared" si="20"/>
        <v>0</v>
      </c>
      <c r="R351" s="96">
        <f t="shared" si="21"/>
        <v>1</v>
      </c>
      <c r="S351" s="96">
        <f t="shared" si="22"/>
        <v>0</v>
      </c>
    </row>
    <row r="352" spans="1:19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14.849017359196388</v>
      </c>
      <c r="H352">
        <v>1.2297107747635201E-4</v>
      </c>
      <c r="I352">
        <v>-0.60959087393151479</v>
      </c>
      <c r="J352" s="96">
        <v>-7.4962046587109433E-5</v>
      </c>
      <c r="L352" s="100"/>
      <c r="M352" s="100">
        <v>0.47861892205448392</v>
      </c>
      <c r="N352" s="96">
        <v>9.765625E-4</v>
      </c>
      <c r="O352" s="96">
        <f t="shared" si="23"/>
        <v>0.41015625</v>
      </c>
      <c r="Q352" s="96">
        <f t="shared" si="20"/>
        <v>0</v>
      </c>
      <c r="R352" s="96">
        <f t="shared" si="21"/>
        <v>1</v>
      </c>
      <c r="S352" s="96">
        <f t="shared" si="22"/>
        <v>0</v>
      </c>
    </row>
    <row r="353" spans="1:19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-1.849986467453121</v>
      </c>
      <c r="H353">
        <v>7.6612180056514559E-3</v>
      </c>
      <c r="I353">
        <v>-1.0636072699382935</v>
      </c>
      <c r="J353" s="96">
        <v>-8.148527167393043E-3</v>
      </c>
      <c r="L353" s="100"/>
      <c r="M353" s="100">
        <v>0.60805662147890094</v>
      </c>
      <c r="N353" s="96">
        <v>4.8828125E-4</v>
      </c>
      <c r="O353" s="96">
        <f t="shared" si="23"/>
        <v>0.41064453125</v>
      </c>
      <c r="Q353" s="96">
        <f t="shared" si="20"/>
        <v>0</v>
      </c>
      <c r="R353" s="96">
        <f t="shared" si="21"/>
        <v>1</v>
      </c>
      <c r="S353" s="96">
        <f t="shared" si="22"/>
        <v>0</v>
      </c>
    </row>
    <row r="354" spans="1:19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13.825126483959142</v>
      </c>
      <c r="H354">
        <v>7.6612180056514559E-3</v>
      </c>
      <c r="I354">
        <v>-0.63075513558467278</v>
      </c>
      <c r="J354" s="96">
        <v>-4.8323526018984207E-3</v>
      </c>
      <c r="L354" s="100"/>
      <c r="M354" s="100">
        <v>0.60805662147890094</v>
      </c>
      <c r="N354" s="96">
        <v>9.765625E-4</v>
      </c>
      <c r="O354" s="96">
        <f t="shared" si="23"/>
        <v>0.41162109375</v>
      </c>
      <c r="Q354" s="96">
        <f t="shared" si="20"/>
        <v>0</v>
      </c>
      <c r="R354" s="96">
        <f t="shared" si="21"/>
        <v>1</v>
      </c>
      <c r="S354" s="96">
        <f t="shared" si="22"/>
        <v>0</v>
      </c>
    </row>
    <row r="355" spans="1:19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25.154238984816935</v>
      </c>
      <c r="H355">
        <v>1.932559496921088E-3</v>
      </c>
      <c r="I355">
        <v>-0.43236954298527502</v>
      </c>
      <c r="J355" s="96">
        <v>-8.3557986647562381E-4</v>
      </c>
      <c r="L355" s="100"/>
      <c r="M355" s="100">
        <v>0.60805662147890094</v>
      </c>
      <c r="N355" s="96">
        <v>4.8828125E-4</v>
      </c>
      <c r="O355" s="96">
        <f t="shared" si="23"/>
        <v>0.412109375</v>
      </c>
      <c r="Q355" s="96">
        <f t="shared" si="20"/>
        <v>0</v>
      </c>
      <c r="R355" s="96">
        <f t="shared" si="21"/>
        <v>1</v>
      </c>
      <c r="S355" s="96">
        <f t="shared" si="22"/>
        <v>0</v>
      </c>
    </row>
    <row r="356" spans="1:19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-7.0040896672095787</v>
      </c>
      <c r="H356">
        <v>7.6612180056514559E-3</v>
      </c>
      <c r="I356">
        <v>-1.2629745030726562</v>
      </c>
      <c r="J356" s="96">
        <v>-9.6759230036189345E-3</v>
      </c>
      <c r="L356" s="100"/>
      <c r="M356" s="100">
        <v>1.0642540092333412</v>
      </c>
      <c r="N356" s="96">
        <v>4.8828125E-4</v>
      </c>
      <c r="O356" s="96">
        <f t="shared" si="23"/>
        <v>0.41259765625</v>
      </c>
      <c r="Q356" s="96">
        <f t="shared" si="20"/>
        <v>0</v>
      </c>
      <c r="R356" s="96">
        <f t="shared" si="21"/>
        <v>1</v>
      </c>
      <c r="S356" s="96">
        <f t="shared" si="22"/>
        <v>0</v>
      </c>
    </row>
    <row r="357" spans="1:19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10.007860615072559</v>
      </c>
      <c r="H357">
        <v>7.6612180056514559E-3</v>
      </c>
      <c r="I357">
        <v>-0.71634358927428265</v>
      </c>
      <c r="J357" s="96">
        <v>-5.4880644043811258E-3</v>
      </c>
      <c r="L357" s="100"/>
      <c r="M357" s="100">
        <v>1.0642540092333412</v>
      </c>
      <c r="N357" s="96">
        <v>9.765625E-4</v>
      </c>
      <c r="O357" s="96">
        <f t="shared" si="23"/>
        <v>0.41357421875</v>
      </c>
      <c r="Q357" s="96">
        <f t="shared" si="20"/>
        <v>0</v>
      </c>
      <c r="R357" s="96">
        <f t="shared" si="21"/>
        <v>1</v>
      </c>
      <c r="S357" s="96">
        <f t="shared" si="22"/>
        <v>0</v>
      </c>
    </row>
    <row r="358" spans="1:19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21.385462850091812</v>
      </c>
      <c r="H358">
        <v>1.932559496921088E-3</v>
      </c>
      <c r="I358">
        <v>-0.49024561337830186</v>
      </c>
      <c r="J358" s="96">
        <v>-9.4742881595814127E-4</v>
      </c>
      <c r="L358" s="100"/>
      <c r="M358" s="100">
        <v>1.0642540092333412</v>
      </c>
      <c r="N358" s="96">
        <v>4.8828125E-4</v>
      </c>
      <c r="O358" s="96">
        <f t="shared" si="23"/>
        <v>0.4140625</v>
      </c>
      <c r="Q358" s="96">
        <f t="shared" si="20"/>
        <v>0</v>
      </c>
      <c r="R358" s="96">
        <f t="shared" si="21"/>
        <v>1</v>
      </c>
      <c r="S358" s="96">
        <f t="shared" si="22"/>
        <v>0</v>
      </c>
    </row>
    <row r="359" spans="1:19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-13</v>
      </c>
      <c r="H359">
        <v>1.932559496921088E-3</v>
      </c>
      <c r="I359">
        <v>-1.5423902651101746</v>
      </c>
      <c r="J359" s="96">
        <v>-2.9807609547973027E-3</v>
      </c>
      <c r="L359" s="100"/>
      <c r="M359" s="100">
        <v>1.2164230862483281</v>
      </c>
      <c r="N359" s="96">
        <v>4.8828125E-4</v>
      </c>
      <c r="O359" s="96">
        <f t="shared" si="23"/>
        <v>0.41455078125</v>
      </c>
      <c r="Q359" s="96">
        <f t="shared" si="20"/>
        <v>0</v>
      </c>
      <c r="R359" s="96">
        <f t="shared" si="21"/>
        <v>1</v>
      </c>
      <c r="S359" s="96">
        <f t="shared" si="22"/>
        <v>0</v>
      </c>
    </row>
    <row r="360" spans="1:19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6.1481362377391306</v>
      </c>
      <c r="H360">
        <v>1.932559496921088E-3</v>
      </c>
      <c r="I360">
        <v>-0.81469792828101473</v>
      </c>
      <c r="J360" s="96">
        <v>-1.5744522184214104E-3</v>
      </c>
      <c r="L360" s="100"/>
      <c r="M360" s="100">
        <v>1.2164230862483281</v>
      </c>
      <c r="N360" s="96">
        <v>9.765625E-4</v>
      </c>
      <c r="O360" s="96">
        <f t="shared" si="23"/>
        <v>0.41552734375</v>
      </c>
      <c r="Q360" s="96">
        <f t="shared" si="20"/>
        <v>0</v>
      </c>
      <c r="R360" s="96">
        <f t="shared" si="21"/>
        <v>1</v>
      </c>
      <c r="S360" s="96">
        <f t="shared" si="22"/>
        <v>0</v>
      </c>
    </row>
    <row r="361" spans="1:19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17.616686715366686</v>
      </c>
      <c r="H361">
        <v>4.8749248570982399E-4</v>
      </c>
      <c r="I361">
        <v>-0.55586885185585933</v>
      </c>
      <c r="J361" s="96">
        <v>-2.7098188831987876E-4</v>
      </c>
      <c r="L361" s="100"/>
      <c r="M361" s="100">
        <v>1.2164230862483281</v>
      </c>
      <c r="N361" s="96">
        <v>4.8828125E-4</v>
      </c>
      <c r="O361" s="96">
        <f t="shared" si="23"/>
        <v>0.416015625</v>
      </c>
      <c r="Q361" s="96">
        <f t="shared" si="20"/>
        <v>0</v>
      </c>
      <c r="R361" s="96">
        <f t="shared" si="21"/>
        <v>1</v>
      </c>
      <c r="S361" s="96">
        <f t="shared" si="22"/>
        <v>0</v>
      </c>
    </row>
    <row r="362" spans="1:19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-3.0420332032869939</v>
      </c>
      <c r="H362">
        <v>7.6612180056514559E-3</v>
      </c>
      <c r="I362">
        <v>-1.106720465825292</v>
      </c>
      <c r="J362" s="96">
        <v>-8.4788267600036937E-3</v>
      </c>
      <c r="L362" s="100"/>
      <c r="M362" s="100">
        <v>1.4230314944119988</v>
      </c>
      <c r="N362" s="96">
        <v>4.8828125E-4</v>
      </c>
      <c r="O362" s="96">
        <f t="shared" si="23"/>
        <v>0.41650390625</v>
      </c>
      <c r="Q362" s="96">
        <f t="shared" si="20"/>
        <v>0</v>
      </c>
      <c r="R362" s="96">
        <f t="shared" si="21"/>
        <v>1</v>
      </c>
      <c r="S362" s="96">
        <f t="shared" si="22"/>
        <v>0</v>
      </c>
    </row>
    <row r="363" spans="1:19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12.777610861340639</v>
      </c>
      <c r="H363">
        <v>7.6612180056514559E-3</v>
      </c>
      <c r="I363">
        <v>-0.65316835704189646</v>
      </c>
      <c r="J363" s="96">
        <v>-5.0040651776911563E-3</v>
      </c>
      <c r="L363" s="100"/>
      <c r="M363" s="100">
        <v>1.4230314944119988</v>
      </c>
      <c r="N363" s="96">
        <v>9.765625E-4</v>
      </c>
      <c r="O363" s="96">
        <f t="shared" si="23"/>
        <v>0.41748046875</v>
      </c>
      <c r="Q363" s="96">
        <f t="shared" si="20"/>
        <v>0</v>
      </c>
      <c r="R363" s="96">
        <f t="shared" si="21"/>
        <v>1</v>
      </c>
      <c r="S363" s="96">
        <f t="shared" si="22"/>
        <v>0</v>
      </c>
    </row>
    <row r="364" spans="1:19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24.142922112388952</v>
      </c>
      <c r="H364">
        <v>1.932559496921088E-3</v>
      </c>
      <c r="I364">
        <v>-0.44719342027329273</v>
      </c>
      <c r="J364" s="96">
        <v>-8.642278913097753E-4</v>
      </c>
      <c r="L364" s="100"/>
      <c r="M364" s="100">
        <v>1.4230314944119988</v>
      </c>
      <c r="N364" s="96">
        <v>4.8828125E-4</v>
      </c>
      <c r="O364" s="96">
        <f t="shared" si="23"/>
        <v>0.41796875</v>
      </c>
      <c r="Q364" s="96">
        <f t="shared" si="20"/>
        <v>0</v>
      </c>
      <c r="R364" s="96">
        <f t="shared" si="21"/>
        <v>1</v>
      </c>
      <c r="S364" s="96">
        <f t="shared" si="22"/>
        <v>0</v>
      </c>
    </row>
    <row r="365" spans="1:19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-8.5040896672095787</v>
      </c>
      <c r="H365">
        <v>7.6612180056514559E-3</v>
      </c>
      <c r="I365">
        <v>-1.3277285905401555</v>
      </c>
      <c r="J365" s="96">
        <v>-1.0172018184464468E-2</v>
      </c>
      <c r="L365" s="100"/>
      <c r="M365" s="100">
        <v>1.4902727149252621</v>
      </c>
      <c r="N365" s="96">
        <v>2.44140625E-4</v>
      </c>
      <c r="O365" s="96">
        <f t="shared" si="23"/>
        <v>0.418212890625</v>
      </c>
      <c r="Q365" s="96">
        <f t="shared" si="20"/>
        <v>0</v>
      </c>
      <c r="R365" s="96">
        <f t="shared" si="21"/>
        <v>1</v>
      </c>
      <c r="S365" s="96">
        <f t="shared" si="22"/>
        <v>0</v>
      </c>
    </row>
    <row r="366" spans="1:19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8.9463754450642696</v>
      </c>
      <c r="H366">
        <v>7.6612180056514559E-3</v>
      </c>
      <c r="I366">
        <v>-0.74214360646160982</v>
      </c>
      <c r="J366" s="96">
        <v>-5.6857239606027937E-3</v>
      </c>
      <c r="L366" s="100"/>
      <c r="M366" s="100">
        <v>1.4902727149252621</v>
      </c>
      <c r="N366" s="96">
        <v>4.8828125E-4</v>
      </c>
      <c r="O366" s="96">
        <f t="shared" si="23"/>
        <v>0.418701171875</v>
      </c>
      <c r="Q366" s="96">
        <f t="shared" si="20"/>
        <v>0</v>
      </c>
      <c r="R366" s="96">
        <f t="shared" si="21"/>
        <v>1</v>
      </c>
      <c r="S366" s="96">
        <f t="shared" si="22"/>
        <v>0</v>
      </c>
    </row>
    <row r="367" spans="1:19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20.374145977663829</v>
      </c>
      <c r="H367">
        <v>1.932559496921088E-3</v>
      </c>
      <c r="I367">
        <v>-0.50705378345321495</v>
      </c>
      <c r="J367" s="96">
        <v>-9.7991160466227942E-4</v>
      </c>
      <c r="L367" s="100"/>
      <c r="M367" s="100">
        <v>1.4902727149252621</v>
      </c>
      <c r="N367" s="96">
        <v>2.44140625E-4</v>
      </c>
      <c r="O367" s="96">
        <f t="shared" si="23"/>
        <v>0.4189453125</v>
      </c>
      <c r="Q367" s="96">
        <f t="shared" si="20"/>
        <v>0</v>
      </c>
      <c r="R367" s="96">
        <f t="shared" si="21"/>
        <v>1</v>
      </c>
      <c r="S367" s="96">
        <f t="shared" si="22"/>
        <v>0</v>
      </c>
    </row>
    <row r="368" spans="1:19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-14.5</v>
      </c>
      <c r="H368">
        <v>1.932559496921088E-3</v>
      </c>
      <c r="I368">
        <v>-1.6214703050420796</v>
      </c>
      <c r="J368" s="96">
        <v>-3.1335878369846042E-3</v>
      </c>
      <c r="L368" s="100"/>
      <c r="M368" s="100">
        <v>1.6123160523055924</v>
      </c>
      <c r="N368" s="96">
        <v>4.8828125E-4</v>
      </c>
      <c r="O368" s="96">
        <f t="shared" si="23"/>
        <v>0.41943359375</v>
      </c>
      <c r="Q368" s="96">
        <f t="shared" si="20"/>
        <v>0</v>
      </c>
      <c r="R368" s="96">
        <f t="shared" si="21"/>
        <v>1</v>
      </c>
      <c r="S368" s="96">
        <f t="shared" si="22"/>
        <v>0</v>
      </c>
    </row>
    <row r="369" spans="1:19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5.0645552624763033</v>
      </c>
      <c r="H369">
        <v>1.932559496921088E-3</v>
      </c>
      <c r="I369">
        <v>-0.84466218827272521</v>
      </c>
      <c r="J369" s="96">
        <v>-1.632359933636603E-3</v>
      </c>
      <c r="L369" s="100"/>
      <c r="M369" s="100">
        <v>1.6123160523055924</v>
      </c>
      <c r="N369" s="96">
        <v>9.765625E-4</v>
      </c>
      <c r="O369" s="96">
        <f t="shared" si="23"/>
        <v>0.42041015625</v>
      </c>
      <c r="Q369" s="96">
        <f t="shared" si="20"/>
        <v>0</v>
      </c>
      <c r="R369" s="96">
        <f t="shared" si="21"/>
        <v>1</v>
      </c>
      <c r="S369" s="96">
        <f t="shared" si="22"/>
        <v>0</v>
      </c>
    </row>
    <row r="370" spans="1:19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16.594876730227227</v>
      </c>
      <c r="H370">
        <v>4.8749248570982399E-4</v>
      </c>
      <c r="I370">
        <v>-0.57512805555077229</v>
      </c>
      <c r="J370" s="96">
        <v>-2.8037060540190374E-4</v>
      </c>
      <c r="L370" s="100"/>
      <c r="M370" s="100">
        <v>1.6123160523055924</v>
      </c>
      <c r="N370" s="96">
        <v>4.8828125E-4</v>
      </c>
      <c r="O370" s="96">
        <f t="shared" si="23"/>
        <v>0.4208984375</v>
      </c>
      <c r="Q370" s="96">
        <f t="shared" si="20"/>
        <v>0</v>
      </c>
      <c r="R370" s="96">
        <f t="shared" si="21"/>
        <v>1</v>
      </c>
      <c r="S370" s="96">
        <f t="shared" si="22"/>
        <v>0</v>
      </c>
    </row>
    <row r="371" spans="1:19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-5.0596113222263472</v>
      </c>
      <c r="H371">
        <v>1.932559496921088E-3</v>
      </c>
      <c r="I371">
        <v>-1.1837101618277797</v>
      </c>
      <c r="J371" s="96">
        <v>-2.2875903148422733E-3</v>
      </c>
      <c r="L371" s="100"/>
      <c r="M371" s="100">
        <v>1.8956858265406606</v>
      </c>
      <c r="N371" s="96">
        <v>3.90625E-3</v>
      </c>
      <c r="O371" s="96">
        <f t="shared" si="23"/>
        <v>0.4248046875</v>
      </c>
      <c r="Q371" s="96">
        <f t="shared" si="20"/>
        <v>0</v>
      </c>
      <c r="R371" s="96">
        <f t="shared" si="21"/>
        <v>1</v>
      </c>
      <c r="S371" s="96">
        <f t="shared" si="22"/>
        <v>0</v>
      </c>
    </row>
    <row r="372" spans="1:19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11.023925996452062</v>
      </c>
      <c r="H372">
        <v>1.932559496921088E-3</v>
      </c>
      <c r="I372">
        <v>-0.69248811752138961</v>
      </c>
      <c r="J372" s="96">
        <v>-1.338274488020968E-3</v>
      </c>
      <c r="L372" s="100"/>
      <c r="M372" s="100">
        <v>1.8956858265406606</v>
      </c>
      <c r="N372" s="96">
        <v>7.8125E-3</v>
      </c>
      <c r="O372" s="96">
        <f t="shared" si="23"/>
        <v>0.4326171875</v>
      </c>
      <c r="Q372" s="96">
        <f t="shared" si="20"/>
        <v>0</v>
      </c>
      <c r="R372" s="96">
        <f t="shared" si="21"/>
        <v>1</v>
      </c>
      <c r="S372" s="96">
        <f t="shared" si="22"/>
        <v>0</v>
      </c>
    </row>
    <row r="373" spans="1:19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22.457393991675644</v>
      </c>
      <c r="H373">
        <v>4.8749248570982399E-4</v>
      </c>
      <c r="I373">
        <v>-0.47303788445019096</v>
      </c>
      <c r="J373" s="96">
        <v>-2.3060241412554009E-4</v>
      </c>
      <c r="L373" s="100"/>
      <c r="M373" s="100">
        <v>1.8956858265406606</v>
      </c>
      <c r="N373" s="96">
        <v>3.90625E-3</v>
      </c>
      <c r="O373" s="96">
        <f t="shared" si="23"/>
        <v>0.4365234375</v>
      </c>
      <c r="Q373" s="96">
        <f t="shared" si="20"/>
        <v>0</v>
      </c>
      <c r="R373" s="96">
        <f t="shared" si="21"/>
        <v>1</v>
      </c>
      <c r="S373" s="96">
        <f t="shared" si="22"/>
        <v>0</v>
      </c>
    </row>
    <row r="374" spans="1:19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-11.004089667209579</v>
      </c>
      <c r="H374">
        <v>1.932559496921088E-3</v>
      </c>
      <c r="I374">
        <v>-1.4431135817232088</v>
      </c>
      <c r="J374" s="96">
        <v>-2.7889028574949936E-3</v>
      </c>
      <c r="L374" s="100"/>
      <c r="M374" s="100">
        <v>1.8979415442510021</v>
      </c>
      <c r="N374" s="96">
        <v>1.953125E-3</v>
      </c>
      <c r="O374" s="96">
        <f t="shared" si="23"/>
        <v>0.4384765625</v>
      </c>
      <c r="Q374" s="96">
        <f t="shared" si="20"/>
        <v>0</v>
      </c>
      <c r="R374" s="96">
        <f t="shared" si="21"/>
        <v>1</v>
      </c>
      <c r="S374" s="96">
        <f t="shared" si="22"/>
        <v>0</v>
      </c>
    </row>
    <row r="375" spans="1:19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7.1446538052209014</v>
      </c>
      <c r="H375">
        <v>1.932559496921088E-3</v>
      </c>
      <c r="I375">
        <v>-0.78808042918376953</v>
      </c>
      <c r="J375" s="96">
        <v>-1.5230123177567406E-3</v>
      </c>
      <c r="L375" s="100"/>
      <c r="M375" s="100">
        <v>1.8979415442510021</v>
      </c>
      <c r="N375" s="96">
        <v>3.90625E-3</v>
      </c>
      <c r="O375" s="96">
        <f t="shared" si="23"/>
        <v>0.4423828125</v>
      </c>
      <c r="Q375" s="96">
        <f t="shared" si="20"/>
        <v>0</v>
      </c>
      <c r="R375" s="96">
        <f t="shared" si="21"/>
        <v>1</v>
      </c>
      <c r="S375" s="96">
        <f t="shared" si="22"/>
        <v>0</v>
      </c>
    </row>
    <row r="376" spans="1:19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18.666283228082971</v>
      </c>
      <c r="H376">
        <v>4.8749248570982399E-4</v>
      </c>
      <c r="I376">
        <v>-0.53675719318907533</v>
      </c>
      <c r="J376" s="96">
        <v>-2.6166509833037055E-4</v>
      </c>
      <c r="L376" s="100"/>
      <c r="M376" s="100">
        <v>1.8979415442510021</v>
      </c>
      <c r="N376" s="96">
        <v>1.953125E-3</v>
      </c>
      <c r="O376" s="96">
        <f t="shared" si="23"/>
        <v>0.4443359375</v>
      </c>
      <c r="Q376" s="96">
        <f t="shared" si="20"/>
        <v>0</v>
      </c>
      <c r="R376" s="96">
        <f t="shared" si="21"/>
        <v>1</v>
      </c>
      <c r="S376" s="96">
        <f t="shared" si="22"/>
        <v>0</v>
      </c>
    </row>
    <row r="377" spans="1:19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-17</v>
      </c>
      <c r="H377">
        <v>4.8749248570982405E-4</v>
      </c>
      <c r="I377">
        <v>-1.7623826407286585</v>
      </c>
      <c r="J377" s="96">
        <v>-8.5914829430065753E-4</v>
      </c>
      <c r="L377" s="100"/>
      <c r="M377" s="100">
        <v>2.3540494624909964</v>
      </c>
      <c r="N377" s="96">
        <v>2.44140625E-4</v>
      </c>
      <c r="O377" s="96">
        <f t="shared" si="23"/>
        <v>0.444580078125</v>
      </c>
      <c r="Q377" s="96">
        <f t="shared" si="20"/>
        <v>0</v>
      </c>
      <c r="R377" s="96">
        <f t="shared" si="21"/>
        <v>1</v>
      </c>
      <c r="S377" s="96">
        <f t="shared" si="22"/>
        <v>0</v>
      </c>
    </row>
    <row r="378" spans="1:19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3.2111092996583683</v>
      </c>
      <c r="H378">
        <v>4.8749248570982405E-4</v>
      </c>
      <c r="I378">
        <v>-0.89849244913049353</v>
      </c>
      <c r="J378" s="96">
        <v>-4.3800831741813191E-4</v>
      </c>
      <c r="L378" s="100"/>
      <c r="M378" s="100">
        <v>2.3540494624909964</v>
      </c>
      <c r="N378" s="96">
        <v>4.8828125E-4</v>
      </c>
      <c r="O378" s="96">
        <f t="shared" si="23"/>
        <v>0.445068359375</v>
      </c>
      <c r="Q378" s="96">
        <f t="shared" si="20"/>
        <v>0</v>
      </c>
      <c r="R378" s="96">
        <f t="shared" si="21"/>
        <v>1</v>
      </c>
      <c r="S378" s="96">
        <f t="shared" si="22"/>
        <v>0</v>
      </c>
    </row>
    <row r="379" spans="1:19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14.849017359196388</v>
      </c>
      <c r="H379">
        <v>1.2297107747635201E-4</v>
      </c>
      <c r="I379">
        <v>-0.60959087393151479</v>
      </c>
      <c r="J379" s="96">
        <v>-7.4962046587109433E-5</v>
      </c>
      <c r="L379" s="100"/>
      <c r="M379" s="100">
        <v>2.3540494624909964</v>
      </c>
      <c r="N379" s="96">
        <v>2.44140625E-4</v>
      </c>
      <c r="O379" s="96">
        <f t="shared" si="23"/>
        <v>0.4453125</v>
      </c>
      <c r="Q379" s="96">
        <f t="shared" si="20"/>
        <v>0</v>
      </c>
      <c r="R379" s="96">
        <f t="shared" si="21"/>
        <v>1</v>
      </c>
      <c r="S379" s="96">
        <f t="shared" si="22"/>
        <v>0</v>
      </c>
    </row>
    <row r="380" spans="1:19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-1.849986467453121</v>
      </c>
      <c r="H380">
        <v>1.932559496921088E-3</v>
      </c>
      <c r="I380">
        <v>-1.0636072699382935</v>
      </c>
      <c r="J380" s="96">
        <v>-2.0554843305135603E-3</v>
      </c>
      <c r="L380" s="100"/>
      <c r="M380" s="100">
        <v>2.5713743458996654</v>
      </c>
      <c r="N380" s="96">
        <v>9.765625E-4</v>
      </c>
      <c r="O380" s="96">
        <f t="shared" si="23"/>
        <v>0.4462890625</v>
      </c>
      <c r="Q380" s="96">
        <f t="shared" si="20"/>
        <v>0</v>
      </c>
      <c r="R380" s="96">
        <f t="shared" si="21"/>
        <v>1</v>
      </c>
      <c r="S380" s="96">
        <f t="shared" si="22"/>
        <v>0</v>
      </c>
    </row>
    <row r="381" spans="1:19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13.825126483959142</v>
      </c>
      <c r="H381">
        <v>1.932559496921088E-3</v>
      </c>
      <c r="I381">
        <v>-0.63075513558467278</v>
      </c>
      <c r="J381" s="96">
        <v>-1.2189718275059079E-3</v>
      </c>
      <c r="L381" s="100"/>
      <c r="M381" s="100">
        <v>2.5713743458996654</v>
      </c>
      <c r="N381" s="96">
        <v>1.953125E-3</v>
      </c>
      <c r="O381" s="96">
        <f t="shared" si="23"/>
        <v>0.4482421875</v>
      </c>
      <c r="Q381" s="96">
        <f t="shared" si="20"/>
        <v>0</v>
      </c>
      <c r="R381" s="96">
        <f t="shared" si="21"/>
        <v>1</v>
      </c>
      <c r="S381" s="96">
        <f t="shared" si="22"/>
        <v>0</v>
      </c>
    </row>
    <row r="382" spans="1:19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25.154238984816935</v>
      </c>
      <c r="H382">
        <v>4.8749248570982399E-4</v>
      </c>
      <c r="I382">
        <v>-0.43236954298527502</v>
      </c>
      <c r="J382" s="96">
        <v>-2.1077690325511231E-4</v>
      </c>
      <c r="L382" s="100"/>
      <c r="M382" s="100">
        <v>2.5713743458996654</v>
      </c>
      <c r="N382" s="96">
        <v>9.765625E-4</v>
      </c>
      <c r="O382" s="96">
        <f t="shared" si="23"/>
        <v>0.44921875</v>
      </c>
      <c r="Q382" s="96">
        <f t="shared" si="20"/>
        <v>0</v>
      </c>
      <c r="R382" s="96">
        <f t="shared" si="21"/>
        <v>1</v>
      </c>
      <c r="S382" s="96">
        <f t="shared" si="22"/>
        <v>0</v>
      </c>
    </row>
    <row r="383" spans="1:19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-7.0040896672095787</v>
      </c>
      <c r="H383">
        <v>1.932559496921088E-3</v>
      </c>
      <c r="I383">
        <v>-1.2629745030726562</v>
      </c>
      <c r="J383" s="96">
        <v>-2.4407733702822535E-3</v>
      </c>
      <c r="L383" s="100"/>
      <c r="M383" s="100">
        <v>2.813423786679401</v>
      </c>
      <c r="N383" s="96">
        <v>2.44140625E-4</v>
      </c>
      <c r="O383" s="96">
        <f t="shared" si="23"/>
        <v>0.449462890625</v>
      </c>
      <c r="Q383" s="96">
        <f t="shared" si="20"/>
        <v>0</v>
      </c>
      <c r="R383" s="96">
        <f t="shared" si="21"/>
        <v>1</v>
      </c>
      <c r="S383" s="96">
        <f t="shared" si="22"/>
        <v>0</v>
      </c>
    </row>
    <row r="384" spans="1:19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10.007860615072559</v>
      </c>
      <c r="H384">
        <v>1.932559496921088E-3</v>
      </c>
      <c r="I384">
        <v>-0.71634358927428265</v>
      </c>
      <c r="J384" s="96">
        <v>-1.3843766065105541E-3</v>
      </c>
      <c r="L384" s="100"/>
      <c r="M384" s="100">
        <v>2.813423786679401</v>
      </c>
      <c r="N384" s="96">
        <v>4.8828125E-4</v>
      </c>
      <c r="O384" s="96">
        <f t="shared" si="23"/>
        <v>0.449951171875</v>
      </c>
      <c r="Q384" s="96">
        <f t="shared" si="20"/>
        <v>0</v>
      </c>
      <c r="R384" s="96">
        <f t="shared" si="21"/>
        <v>1</v>
      </c>
      <c r="S384" s="96">
        <f t="shared" si="22"/>
        <v>0</v>
      </c>
    </row>
    <row r="385" spans="1:19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21.385462850091812</v>
      </c>
      <c r="H385">
        <v>4.8749248570982399E-4</v>
      </c>
      <c r="I385">
        <v>-0.49024561337830186</v>
      </c>
      <c r="J385" s="96">
        <v>-2.3899105267412572E-4</v>
      </c>
      <c r="L385" s="100"/>
      <c r="M385" s="100">
        <v>2.813423786679401</v>
      </c>
      <c r="N385" s="96">
        <v>2.44140625E-4</v>
      </c>
      <c r="O385" s="96">
        <f t="shared" si="23"/>
        <v>0.4501953125</v>
      </c>
      <c r="Q385" s="96">
        <f t="shared" si="20"/>
        <v>0</v>
      </c>
      <c r="R385" s="96">
        <f t="shared" si="21"/>
        <v>1</v>
      </c>
      <c r="S385" s="96">
        <f t="shared" si="22"/>
        <v>0</v>
      </c>
    </row>
    <row r="386" spans="1:19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-13</v>
      </c>
      <c r="H386">
        <v>4.8749248570982405E-4</v>
      </c>
      <c r="I386">
        <v>-1.5423902651101746</v>
      </c>
      <c r="J386" s="96">
        <v>-7.5190366427319358E-4</v>
      </c>
      <c r="L386" s="100"/>
      <c r="M386" s="100">
        <v>2.9551202375351329</v>
      </c>
      <c r="N386" s="96">
        <v>9.765625E-4</v>
      </c>
      <c r="O386" s="96">
        <f t="shared" si="23"/>
        <v>0.451171875</v>
      </c>
      <c r="Q386" s="96">
        <f t="shared" si="20"/>
        <v>0</v>
      </c>
      <c r="R386" s="96">
        <f t="shared" si="21"/>
        <v>1</v>
      </c>
      <c r="S386" s="96">
        <f t="shared" si="22"/>
        <v>0</v>
      </c>
    </row>
    <row r="387" spans="1:19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6.1481362377391306</v>
      </c>
      <c r="H387">
        <v>4.8749248570982405E-4</v>
      </c>
      <c r="I387">
        <v>-0.81469792828101473</v>
      </c>
      <c r="J387" s="96">
        <v>-3.971591181603558E-4</v>
      </c>
      <c r="L387" s="100"/>
      <c r="M387" s="100">
        <v>2.9551202375351329</v>
      </c>
      <c r="N387" s="96">
        <v>1.953125E-3</v>
      </c>
      <c r="O387" s="96">
        <f t="shared" si="23"/>
        <v>0.453125</v>
      </c>
      <c r="Q387" s="96">
        <f t="shared" ref="Q387:Q450" si="24">IF(A387=3,1,0)</f>
        <v>0</v>
      </c>
      <c r="R387" s="96">
        <f t="shared" ref="R387:R450" si="25">IF(A387=2,1,0)</f>
        <v>1</v>
      </c>
      <c r="S387" s="96">
        <f t="shared" ref="S387:S450" si="26">IF(A387=1,1,0)</f>
        <v>0</v>
      </c>
    </row>
    <row r="388" spans="1:19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17.616686715366686</v>
      </c>
      <c r="H388">
        <v>1.2297107747635201E-4</v>
      </c>
      <c r="I388">
        <v>-0.55586885185585933</v>
      </c>
      <c r="J388" s="96">
        <v>-6.8355791648257709E-5</v>
      </c>
      <c r="L388" s="100"/>
      <c r="M388" s="100">
        <v>2.9551202375351329</v>
      </c>
      <c r="N388" s="96">
        <v>9.765625E-4</v>
      </c>
      <c r="O388" s="96">
        <f t="shared" ref="O388:O451" si="27">N388+O387</f>
        <v>0.4541015625</v>
      </c>
      <c r="Q388" s="96">
        <f t="shared" si="24"/>
        <v>0</v>
      </c>
      <c r="R388" s="96">
        <f t="shared" si="25"/>
        <v>1</v>
      </c>
      <c r="S388" s="96">
        <f t="shared" si="26"/>
        <v>0</v>
      </c>
    </row>
    <row r="389" spans="1:19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-3.0420332032869939</v>
      </c>
      <c r="H389">
        <v>1.932559496921088E-3</v>
      </c>
      <c r="I389">
        <v>-1.106720465825292</v>
      </c>
      <c r="J389" s="96">
        <v>-2.1388031466675985E-3</v>
      </c>
      <c r="L389" s="100"/>
      <c r="M389" s="100">
        <v>2.9841941874053277</v>
      </c>
      <c r="N389" s="96">
        <v>1.953125E-3</v>
      </c>
      <c r="O389" s="96">
        <f t="shared" si="27"/>
        <v>0.4560546875</v>
      </c>
      <c r="Q389" s="96">
        <f t="shared" si="24"/>
        <v>0</v>
      </c>
      <c r="R389" s="96">
        <f t="shared" si="25"/>
        <v>1</v>
      </c>
      <c r="S389" s="96">
        <f t="shared" si="26"/>
        <v>0</v>
      </c>
    </row>
    <row r="390" spans="1:19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12.777610861340639</v>
      </c>
      <c r="H390">
        <v>1.932559496921088E-3</v>
      </c>
      <c r="I390">
        <v>-0.65316835704189646</v>
      </c>
      <c r="J390" s="96">
        <v>-1.2622867114896611E-3</v>
      </c>
      <c r="L390" s="100"/>
      <c r="M390" s="100">
        <v>2.9841941874053277</v>
      </c>
      <c r="N390" s="96">
        <v>3.90625E-3</v>
      </c>
      <c r="O390" s="96">
        <f t="shared" si="27"/>
        <v>0.4599609375</v>
      </c>
      <c r="Q390" s="96">
        <f t="shared" si="24"/>
        <v>0</v>
      </c>
      <c r="R390" s="96">
        <f t="shared" si="25"/>
        <v>1</v>
      </c>
      <c r="S390" s="96">
        <f t="shared" si="26"/>
        <v>0</v>
      </c>
    </row>
    <row r="391" spans="1:19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24.142922112388952</v>
      </c>
      <c r="H391">
        <v>4.8749248570982399E-4</v>
      </c>
      <c r="I391">
        <v>-0.44719342027329273</v>
      </c>
      <c r="J391" s="96">
        <v>-2.1800343204210547E-4</v>
      </c>
      <c r="L391" s="100"/>
      <c r="M391" s="100">
        <v>2.9841941874053277</v>
      </c>
      <c r="N391" s="96">
        <v>1.953125E-3</v>
      </c>
      <c r="O391" s="96">
        <f t="shared" si="27"/>
        <v>0.4619140625</v>
      </c>
      <c r="Q391" s="96">
        <f t="shared" si="24"/>
        <v>0</v>
      </c>
      <c r="R391" s="96">
        <f t="shared" si="25"/>
        <v>1</v>
      </c>
      <c r="S391" s="96">
        <f t="shared" si="26"/>
        <v>0</v>
      </c>
    </row>
    <row r="392" spans="1:19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-8.5040896672095787</v>
      </c>
      <c r="H392">
        <v>1.932559496921088E-3</v>
      </c>
      <c r="I392">
        <v>-1.3277285905401555</v>
      </c>
      <c r="J392" s="96">
        <v>-2.5659144969820279E-3</v>
      </c>
      <c r="L392" s="100"/>
      <c r="M392" s="100">
        <v>3.0137144708029968</v>
      </c>
      <c r="N392" s="96">
        <v>9.765625E-4</v>
      </c>
      <c r="O392" s="96">
        <f t="shared" si="27"/>
        <v>0.462890625</v>
      </c>
      <c r="Q392" s="96">
        <f t="shared" si="24"/>
        <v>0</v>
      </c>
      <c r="R392" s="96">
        <f t="shared" si="25"/>
        <v>1</v>
      </c>
      <c r="S392" s="96">
        <f t="shared" si="26"/>
        <v>0</v>
      </c>
    </row>
    <row r="393" spans="1:19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-8.5040896672095787</v>
      </c>
      <c r="H393">
        <v>1.932559496921088E-3</v>
      </c>
      <c r="I393">
        <v>-1.3277285905401555</v>
      </c>
      <c r="J393" s="96">
        <v>-2.5659144969820279E-3</v>
      </c>
      <c r="L393" s="100"/>
      <c r="M393" s="100">
        <v>3.0137144708029968</v>
      </c>
      <c r="N393" s="96">
        <v>1.953125E-3</v>
      </c>
      <c r="O393" s="96">
        <f t="shared" si="27"/>
        <v>0.46484375</v>
      </c>
      <c r="Q393" s="96">
        <f t="shared" si="24"/>
        <v>0</v>
      </c>
      <c r="R393" s="96">
        <f t="shared" si="25"/>
        <v>1</v>
      </c>
      <c r="S393" s="96">
        <f t="shared" si="26"/>
        <v>0</v>
      </c>
    </row>
    <row r="394" spans="1:19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20.374145977663829</v>
      </c>
      <c r="H394">
        <v>4.8749248570982399E-4</v>
      </c>
      <c r="I394">
        <v>-0.50705378345321495</v>
      </c>
      <c r="J394" s="96">
        <v>-2.4718490928417856E-4</v>
      </c>
      <c r="L394" s="100"/>
      <c r="M394" s="100">
        <v>3.0137144708029968</v>
      </c>
      <c r="N394" s="96">
        <v>9.765625E-4</v>
      </c>
      <c r="O394" s="96">
        <f t="shared" si="27"/>
        <v>0.4658203125</v>
      </c>
      <c r="Q394" s="96">
        <f t="shared" si="24"/>
        <v>0</v>
      </c>
      <c r="R394" s="96">
        <f t="shared" si="25"/>
        <v>1</v>
      </c>
      <c r="S394" s="96">
        <f t="shared" si="26"/>
        <v>0</v>
      </c>
    </row>
    <row r="395" spans="1:19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-14.5</v>
      </c>
      <c r="H395">
        <v>4.8749248570982405E-4</v>
      </c>
      <c r="I395">
        <v>-1.6214703050420796</v>
      </c>
      <c r="J395" s="96">
        <v>-7.9045458950963003E-4</v>
      </c>
      <c r="L395" s="100"/>
      <c r="M395" s="100">
        <v>3.2111092996583683</v>
      </c>
      <c r="N395" s="96">
        <v>1.953125E-3</v>
      </c>
      <c r="O395" s="96">
        <f t="shared" si="27"/>
        <v>0.4677734375</v>
      </c>
      <c r="Q395" s="96">
        <f t="shared" si="24"/>
        <v>0</v>
      </c>
      <c r="R395" s="96">
        <f t="shared" si="25"/>
        <v>1</v>
      </c>
      <c r="S395" s="96">
        <f t="shared" si="26"/>
        <v>0</v>
      </c>
    </row>
    <row r="396" spans="1:19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5.0645552624763033</v>
      </c>
      <c r="H396">
        <v>4.8749248570982405E-4</v>
      </c>
      <c r="I396">
        <v>-0.84466218827272521</v>
      </c>
      <c r="J396" s="96">
        <v>-4.1176646974617023E-4</v>
      </c>
      <c r="L396" s="100"/>
      <c r="M396" s="100">
        <v>3.2111092996583683</v>
      </c>
      <c r="N396" s="96">
        <v>3.90625E-3</v>
      </c>
      <c r="O396" s="96">
        <f t="shared" si="27"/>
        <v>0.4716796875</v>
      </c>
      <c r="Q396" s="96">
        <f t="shared" si="24"/>
        <v>0</v>
      </c>
      <c r="R396" s="96">
        <f t="shared" si="25"/>
        <v>1</v>
      </c>
      <c r="S396" s="96">
        <f t="shared" si="26"/>
        <v>0</v>
      </c>
    </row>
    <row r="397" spans="1:19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16.594876730227227</v>
      </c>
      <c r="H397">
        <v>1.2297107747635201E-4</v>
      </c>
      <c r="I397">
        <v>-0.57512805555077229</v>
      </c>
      <c r="J397" s="96">
        <v>-7.0724116677957697E-5</v>
      </c>
      <c r="L397" s="100"/>
      <c r="M397" s="100">
        <v>3.2111092996583683</v>
      </c>
      <c r="N397" s="96">
        <v>1.953125E-3</v>
      </c>
      <c r="O397" s="96">
        <f t="shared" si="27"/>
        <v>0.4736328125</v>
      </c>
      <c r="Q397" s="96">
        <f t="shared" si="24"/>
        <v>0</v>
      </c>
      <c r="R397" s="96">
        <f t="shared" si="25"/>
        <v>1</v>
      </c>
      <c r="S397" s="96">
        <f t="shared" si="26"/>
        <v>0</v>
      </c>
    </row>
    <row r="398" spans="1:19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-5.0596113222263472</v>
      </c>
      <c r="H398">
        <v>4.8749248570982405E-4</v>
      </c>
      <c r="I398">
        <v>-1.1837101618277797</v>
      </c>
      <c r="J398" s="96">
        <v>-5.7704980914940237E-4</v>
      </c>
      <c r="L398" s="100"/>
      <c r="M398" s="100">
        <v>3.483101077794271</v>
      </c>
      <c r="N398" s="96">
        <v>9.765625E-4</v>
      </c>
      <c r="O398" s="96">
        <f t="shared" si="27"/>
        <v>0.474609375</v>
      </c>
      <c r="Q398" s="96">
        <f t="shared" si="24"/>
        <v>0</v>
      </c>
      <c r="R398" s="96">
        <f t="shared" si="25"/>
        <v>1</v>
      </c>
      <c r="S398" s="96">
        <f t="shared" si="26"/>
        <v>0</v>
      </c>
    </row>
    <row r="399" spans="1:19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11.023925996452062</v>
      </c>
      <c r="H399">
        <v>4.8749248570982405E-4</v>
      </c>
      <c r="I399">
        <v>-0.69248811752138961</v>
      </c>
      <c r="J399" s="96">
        <v>-3.3758275373501896E-4</v>
      </c>
      <c r="L399" s="100"/>
      <c r="M399" s="100">
        <v>3.483101077794271</v>
      </c>
      <c r="N399" s="96">
        <v>1.953125E-3</v>
      </c>
      <c r="O399" s="96">
        <f t="shared" si="27"/>
        <v>0.4765625</v>
      </c>
      <c r="Q399" s="96">
        <f t="shared" si="24"/>
        <v>0</v>
      </c>
      <c r="R399" s="96">
        <f t="shared" si="25"/>
        <v>1</v>
      </c>
      <c r="S399" s="96">
        <f t="shared" si="26"/>
        <v>0</v>
      </c>
    </row>
    <row r="400" spans="1:19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22.457393991675644</v>
      </c>
      <c r="H400">
        <v>1.2297107747635201E-4</v>
      </c>
      <c r="I400">
        <v>-0.47303788445019096</v>
      </c>
      <c r="J400" s="96">
        <v>-5.8169978337974081E-5</v>
      </c>
      <c r="L400" s="100"/>
      <c r="M400" s="100">
        <v>3.483101077794271</v>
      </c>
      <c r="N400" s="96">
        <v>9.765625E-4</v>
      </c>
      <c r="O400" s="96">
        <f t="shared" si="27"/>
        <v>0.4775390625</v>
      </c>
      <c r="Q400" s="96">
        <f t="shared" si="24"/>
        <v>0</v>
      </c>
      <c r="R400" s="96">
        <f t="shared" si="25"/>
        <v>1</v>
      </c>
      <c r="S400" s="96">
        <f t="shared" si="26"/>
        <v>0</v>
      </c>
    </row>
    <row r="401" spans="1:19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-11.004089667209579</v>
      </c>
      <c r="H401">
        <v>4.8749248570982405E-4</v>
      </c>
      <c r="I401">
        <v>-1.4431135817232088</v>
      </c>
      <c r="J401" s="96">
        <v>-7.035070271158544E-4</v>
      </c>
      <c r="L401" s="100"/>
      <c r="M401" s="100">
        <v>4.0671878152258945</v>
      </c>
      <c r="N401" s="96">
        <v>4.8828125E-4</v>
      </c>
      <c r="O401" s="96">
        <f t="shared" si="27"/>
        <v>0.47802734375</v>
      </c>
      <c r="Q401" s="96">
        <f t="shared" si="24"/>
        <v>0</v>
      </c>
      <c r="R401" s="96">
        <f t="shared" si="25"/>
        <v>1</v>
      </c>
      <c r="S401" s="96">
        <f t="shared" si="26"/>
        <v>0</v>
      </c>
    </row>
    <row r="402" spans="1:19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7.1446538052209014</v>
      </c>
      <c r="H402">
        <v>4.8749248570982405E-4</v>
      </c>
      <c r="I402">
        <v>-0.78808042918376953</v>
      </c>
      <c r="J402" s="96">
        <v>-3.8418328736206076E-4</v>
      </c>
      <c r="L402" s="100"/>
      <c r="M402" s="100">
        <v>4.0671878152258945</v>
      </c>
      <c r="N402" s="96">
        <v>9.765625E-4</v>
      </c>
      <c r="O402" s="96">
        <f t="shared" si="27"/>
        <v>0.47900390625</v>
      </c>
      <c r="Q402" s="96">
        <f t="shared" si="24"/>
        <v>0</v>
      </c>
      <c r="R402" s="96">
        <f t="shared" si="25"/>
        <v>1</v>
      </c>
      <c r="S402" s="96">
        <f t="shared" si="26"/>
        <v>0</v>
      </c>
    </row>
    <row r="403" spans="1:19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18.666283228082971</v>
      </c>
      <c r="H403">
        <v>1.2297107747635201E-4</v>
      </c>
      <c r="I403">
        <v>-0.53675719318907533</v>
      </c>
      <c r="J403" s="96">
        <v>-6.6005610389643021E-5</v>
      </c>
      <c r="L403" s="100"/>
      <c r="M403" s="100">
        <v>4.0671878152258945</v>
      </c>
      <c r="N403" s="96">
        <v>4.8828125E-4</v>
      </c>
      <c r="O403" s="96">
        <f t="shared" si="27"/>
        <v>0.4794921875</v>
      </c>
      <c r="Q403" s="96">
        <f t="shared" si="24"/>
        <v>0</v>
      </c>
      <c r="R403" s="96">
        <f t="shared" si="25"/>
        <v>1</v>
      </c>
      <c r="S403" s="96">
        <f t="shared" si="26"/>
        <v>0</v>
      </c>
    </row>
    <row r="404" spans="1:19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-17</v>
      </c>
      <c r="H404">
        <v>1.2297107747635201E-4</v>
      </c>
      <c r="I404">
        <v>-1.7623826407286585</v>
      </c>
      <c r="J404" s="96">
        <v>-2.167220922560217E-4</v>
      </c>
      <c r="L404" s="100"/>
      <c r="M404" s="100">
        <v>4.3235231091175752</v>
      </c>
      <c r="N404" s="96">
        <v>4.8828125E-4</v>
      </c>
      <c r="O404" s="96">
        <f t="shared" si="27"/>
        <v>0.47998046875</v>
      </c>
      <c r="Q404" s="96">
        <f t="shared" si="24"/>
        <v>0</v>
      </c>
      <c r="R404" s="96">
        <f t="shared" si="25"/>
        <v>1</v>
      </c>
      <c r="S404" s="96">
        <f t="shared" si="26"/>
        <v>0</v>
      </c>
    </row>
    <row r="405" spans="1:19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3.2111092996583683</v>
      </c>
      <c r="H405">
        <v>1.2297107747635201E-4</v>
      </c>
      <c r="I405">
        <v>-0.89849244913049353</v>
      </c>
      <c r="J405" s="96">
        <v>-1.1048858457394318E-4</v>
      </c>
      <c r="L405" s="100"/>
      <c r="M405" s="100">
        <v>4.3235231091175752</v>
      </c>
      <c r="N405" s="96">
        <v>9.765625E-4</v>
      </c>
      <c r="O405" s="96">
        <f t="shared" si="27"/>
        <v>0.48095703125</v>
      </c>
      <c r="Q405" s="96">
        <f t="shared" si="24"/>
        <v>0</v>
      </c>
      <c r="R405" s="96">
        <f t="shared" si="25"/>
        <v>1</v>
      </c>
      <c r="S405" s="96">
        <f t="shared" si="26"/>
        <v>0</v>
      </c>
    </row>
    <row r="406" spans="1:19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14.849017359196388</v>
      </c>
      <c r="H406">
        <v>3.1019731255295997E-5</v>
      </c>
      <c r="I406">
        <v>-0.60959087393151479</v>
      </c>
      <c r="J406" s="96">
        <v>-1.8909345085036611E-5</v>
      </c>
      <c r="L406" s="100"/>
      <c r="M406" s="100">
        <v>4.3235231091175752</v>
      </c>
      <c r="N406" s="96">
        <v>4.8828125E-4</v>
      </c>
      <c r="O406" s="96">
        <f t="shared" si="27"/>
        <v>0.4814453125</v>
      </c>
      <c r="Q406" s="96">
        <f t="shared" si="24"/>
        <v>0</v>
      </c>
      <c r="R406" s="96">
        <f t="shared" si="25"/>
        <v>1</v>
      </c>
      <c r="S406" s="96">
        <f t="shared" si="26"/>
        <v>0</v>
      </c>
    </row>
    <row r="407" spans="1:19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-1.1677106800845551</v>
      </c>
      <c r="H407">
        <v>1.932559496921088E-3</v>
      </c>
      <c r="I407">
        <v>-1.0396911411016805</v>
      </c>
      <c r="J407" s="96">
        <v>-2.0092649886007756E-3</v>
      </c>
      <c r="L407" s="100"/>
      <c r="M407" s="100">
        <v>4.373790546417478</v>
      </c>
      <c r="N407" s="96">
        <v>1.953125E-3</v>
      </c>
      <c r="O407" s="96">
        <f t="shared" si="27"/>
        <v>0.4833984375</v>
      </c>
      <c r="Q407" s="96">
        <f t="shared" si="24"/>
        <v>0</v>
      </c>
      <c r="R407" s="96">
        <f t="shared" si="25"/>
        <v>1</v>
      </c>
      <c r="S407" s="96">
        <f t="shared" si="26"/>
        <v>0</v>
      </c>
    </row>
    <row r="408" spans="1:19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-1.1677106800845551</v>
      </c>
      <c r="H408">
        <v>1.932559496921088E-3</v>
      </c>
      <c r="I408">
        <v>-1.0396911411016805</v>
      </c>
      <c r="J408" s="96">
        <v>-2.0092649886007756E-3</v>
      </c>
      <c r="L408" s="100"/>
      <c r="M408" s="100">
        <v>4.373790546417478</v>
      </c>
      <c r="N408" s="96">
        <v>3.90625E-3</v>
      </c>
      <c r="O408" s="96">
        <f t="shared" si="27"/>
        <v>0.4873046875</v>
      </c>
      <c r="Q408" s="96">
        <f t="shared" si="24"/>
        <v>0</v>
      </c>
      <c r="R408" s="96">
        <f t="shared" si="25"/>
        <v>1</v>
      </c>
      <c r="S408" s="96">
        <f t="shared" si="26"/>
        <v>0</v>
      </c>
    </row>
    <row r="409" spans="1:19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28.064583949047659</v>
      </c>
      <c r="H409">
        <v>4.8749248570982399E-4</v>
      </c>
      <c r="I409">
        <v>-0.39239506350406861</v>
      </c>
      <c r="J409" s="96">
        <v>-1.9128964488786265E-4</v>
      </c>
      <c r="L409" s="100"/>
      <c r="M409" s="100">
        <v>4.373790546417478</v>
      </c>
      <c r="N409" s="96">
        <v>1.953125E-3</v>
      </c>
      <c r="O409" s="96">
        <f t="shared" si="27"/>
        <v>0.4892578125</v>
      </c>
      <c r="Q409" s="96">
        <f t="shared" si="24"/>
        <v>0</v>
      </c>
      <c r="R409" s="96">
        <f t="shared" si="25"/>
        <v>1</v>
      </c>
      <c r="S409" s="96">
        <f t="shared" si="26"/>
        <v>0</v>
      </c>
    </row>
    <row r="410" spans="1:19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-6.4830479350473311</v>
      </c>
      <c r="H410">
        <v>1.932559496921088E-3</v>
      </c>
      <c r="I410">
        <v>-1.241228478720902</v>
      </c>
      <c r="J410" s="96">
        <v>-2.398747884400994E-3</v>
      </c>
      <c r="L410" s="100"/>
      <c r="M410" s="100">
        <v>4.5279509801869846</v>
      </c>
      <c r="N410" s="96">
        <v>9.765625E-4</v>
      </c>
      <c r="O410" s="96">
        <f t="shared" si="27"/>
        <v>0.490234375</v>
      </c>
      <c r="Q410" s="96">
        <f t="shared" si="24"/>
        <v>0</v>
      </c>
      <c r="R410" s="96">
        <f t="shared" si="25"/>
        <v>1</v>
      </c>
      <c r="S410" s="96">
        <f t="shared" si="26"/>
        <v>0</v>
      </c>
    </row>
    <row r="411" spans="1:19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11.629485097309161</v>
      </c>
      <c r="H411">
        <v>1.932559496921088E-3</v>
      </c>
      <c r="I411">
        <v>-0.6786501662655543</v>
      </c>
      <c r="J411" s="96">
        <v>-1.3115318239035724E-3</v>
      </c>
      <c r="L411" s="100"/>
      <c r="M411" s="100">
        <v>4.5279509801869846</v>
      </c>
      <c r="N411" s="96">
        <v>1.953125E-3</v>
      </c>
      <c r="O411" s="96">
        <f t="shared" si="27"/>
        <v>0.4921875</v>
      </c>
      <c r="Q411" s="96">
        <f t="shared" si="24"/>
        <v>0</v>
      </c>
      <c r="R411" s="96">
        <f t="shared" si="25"/>
        <v>1</v>
      </c>
      <c r="S411" s="96">
        <f t="shared" si="26"/>
        <v>0</v>
      </c>
    </row>
    <row r="412" spans="1:19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23.972436151630234</v>
      </c>
      <c r="H412">
        <v>4.8749248570982399E-4</v>
      </c>
      <c r="I412">
        <v>-0.44974199501468498</v>
      </c>
      <c r="J412" s="96">
        <v>-2.1924584307780404E-4</v>
      </c>
      <c r="L412" s="100"/>
      <c r="M412" s="100">
        <v>4.5279509801869846</v>
      </c>
      <c r="N412" s="96">
        <v>9.765625E-4</v>
      </c>
      <c r="O412" s="96">
        <f t="shared" si="27"/>
        <v>0.4931640625</v>
      </c>
      <c r="Q412" s="96">
        <f t="shared" si="24"/>
        <v>0</v>
      </c>
      <c r="R412" s="96">
        <f t="shared" si="25"/>
        <v>1</v>
      </c>
      <c r="S412" s="96">
        <f t="shared" si="26"/>
        <v>0</v>
      </c>
    </row>
    <row r="413" spans="1:19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-13</v>
      </c>
      <c r="H413">
        <v>4.8749248570982405E-4</v>
      </c>
      <c r="I413">
        <v>-1.5423902651101746</v>
      </c>
      <c r="J413" s="96">
        <v>-7.5190366427319358E-4</v>
      </c>
      <c r="L413" s="100"/>
      <c r="M413" s="100">
        <v>4.5951686554850308</v>
      </c>
      <c r="N413" s="96">
        <v>4.8828125E-4</v>
      </c>
      <c r="O413" s="96">
        <f t="shared" si="27"/>
        <v>0.49365234375</v>
      </c>
      <c r="Q413" s="96">
        <f t="shared" si="24"/>
        <v>0</v>
      </c>
      <c r="R413" s="96">
        <f t="shared" si="25"/>
        <v>1</v>
      </c>
      <c r="S413" s="96">
        <f t="shared" si="26"/>
        <v>0</v>
      </c>
    </row>
    <row r="414" spans="1:19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7.4528758956624728</v>
      </c>
      <c r="H414">
        <v>4.8749248570982405E-4</v>
      </c>
      <c r="I414">
        <v>-0.78002508736904297</v>
      </c>
      <c r="J414" s="96">
        <v>-3.8025636875755741E-4</v>
      </c>
      <c r="L414" s="100"/>
      <c r="M414" s="100">
        <v>4.5951686554850308</v>
      </c>
      <c r="N414" s="96">
        <v>9.765625E-4</v>
      </c>
      <c r="O414" s="96">
        <f t="shared" si="27"/>
        <v>0.49462890625</v>
      </c>
      <c r="Q414" s="96">
        <f t="shared" si="24"/>
        <v>0</v>
      </c>
      <c r="R414" s="96">
        <f t="shared" si="25"/>
        <v>1</v>
      </c>
      <c r="S414" s="96">
        <f t="shared" si="26"/>
        <v>0</v>
      </c>
    </row>
    <row r="415" spans="1:19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19.880288354212805</v>
      </c>
      <c r="H415">
        <v>1.2297107747635201E-4</v>
      </c>
      <c r="I415">
        <v>-0.51546994570611271</v>
      </c>
      <c r="J415" s="96">
        <v>-6.3387894630157344E-5</v>
      </c>
      <c r="L415" s="100"/>
      <c r="M415" s="100">
        <v>4.5951686554850308</v>
      </c>
      <c r="N415" s="96">
        <v>4.8828125E-4</v>
      </c>
      <c r="O415" s="96">
        <f t="shared" si="27"/>
        <v>0.4951171875</v>
      </c>
      <c r="Q415" s="96">
        <f t="shared" si="24"/>
        <v>0</v>
      </c>
      <c r="R415" s="96">
        <f t="shared" si="25"/>
        <v>1</v>
      </c>
      <c r="S415" s="96">
        <f t="shared" si="26"/>
        <v>0</v>
      </c>
    </row>
    <row r="416" spans="1:19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-2.3468547121122407</v>
      </c>
      <c r="H416">
        <v>1.932559496921088E-3</v>
      </c>
      <c r="I416">
        <v>-1.0813697130465589</v>
      </c>
      <c r="J416" s="96">
        <v>-2.0898113086309593E-3</v>
      </c>
      <c r="L416" s="100"/>
      <c r="M416" s="100">
        <v>4.6682585902700255</v>
      </c>
      <c r="N416" s="96">
        <v>4.8828125E-4</v>
      </c>
      <c r="O416" s="96">
        <f t="shared" si="27"/>
        <v>0.49560546875</v>
      </c>
      <c r="Q416" s="96">
        <f t="shared" si="24"/>
        <v>0</v>
      </c>
      <c r="R416" s="96">
        <f t="shared" si="25"/>
        <v>1</v>
      </c>
      <c r="S416" s="96">
        <f t="shared" si="26"/>
        <v>0</v>
      </c>
    </row>
    <row r="417" spans="1:19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14.723560240024558</v>
      </c>
      <c r="H417">
        <v>1.932559496921088E-3</v>
      </c>
      <c r="I417">
        <v>-0.61214546222726141</v>
      </c>
      <c r="J417" s="96">
        <v>-1.1830075265244432E-3</v>
      </c>
      <c r="L417" s="100"/>
      <c r="M417" s="100">
        <v>4.6682585902700255</v>
      </c>
      <c r="N417" s="96">
        <v>9.765625E-4</v>
      </c>
      <c r="O417" s="96">
        <f t="shared" si="27"/>
        <v>0.49658203125</v>
      </c>
      <c r="Q417" s="96">
        <f t="shared" si="24"/>
        <v>0</v>
      </c>
      <c r="R417" s="96">
        <f t="shared" si="25"/>
        <v>1</v>
      </c>
      <c r="S417" s="96">
        <f t="shared" si="26"/>
        <v>0</v>
      </c>
    </row>
    <row r="418" spans="1:19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27.053267076619676</v>
      </c>
      <c r="H418">
        <v>4.8749248570982399E-4</v>
      </c>
      <c r="I418">
        <v>-0.40584840767268493</v>
      </c>
      <c r="J418" s="96">
        <v>-1.9784804907773117E-4</v>
      </c>
      <c r="L418" s="100"/>
      <c r="M418" s="100">
        <v>4.6682585902700255</v>
      </c>
      <c r="N418" s="96">
        <v>4.8828125E-4</v>
      </c>
      <c r="O418" s="96">
        <f t="shared" si="27"/>
        <v>0.4970703125</v>
      </c>
      <c r="Q418" s="96">
        <f t="shared" si="24"/>
        <v>0</v>
      </c>
      <c r="R418" s="96">
        <f t="shared" si="25"/>
        <v>1</v>
      </c>
      <c r="S418" s="96">
        <f t="shared" si="26"/>
        <v>0</v>
      </c>
    </row>
    <row r="419" spans="1:19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-7.9830479350473311</v>
      </c>
      <c r="H419">
        <v>1.932559496921088E-3</v>
      </c>
      <c r="I419">
        <v>-1.304867623678067</v>
      </c>
      <c r="J419" s="96">
        <v>-2.5217343183639006E-3</v>
      </c>
      <c r="L419" s="100"/>
      <c r="M419" s="100">
        <v>4.8723522556397576</v>
      </c>
      <c r="N419" s="96">
        <v>2.44140625E-4</v>
      </c>
      <c r="O419" s="96">
        <f t="shared" si="27"/>
        <v>0.497314453125</v>
      </c>
      <c r="Q419" s="96">
        <f t="shared" si="24"/>
        <v>0</v>
      </c>
      <c r="R419" s="96">
        <f t="shared" si="25"/>
        <v>1</v>
      </c>
      <c r="S419" s="96">
        <f t="shared" si="26"/>
        <v>0</v>
      </c>
    </row>
    <row r="420" spans="1:19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10.577300017468453</v>
      </c>
      <c r="H420">
        <v>1.932559496921088E-3</v>
      </c>
      <c r="I420">
        <v>-0.70287468027687106</v>
      </c>
      <c r="J420" s="96">
        <v>-1.3583471385144406E-3</v>
      </c>
      <c r="L420" s="100"/>
      <c r="M420" s="100">
        <v>4.8723522556397576</v>
      </c>
      <c r="N420" s="96">
        <v>4.8828125E-4</v>
      </c>
      <c r="O420" s="96">
        <f t="shared" si="27"/>
        <v>0.497802734375</v>
      </c>
      <c r="Q420" s="96">
        <f t="shared" si="24"/>
        <v>0</v>
      </c>
      <c r="R420" s="96">
        <f t="shared" si="25"/>
        <v>1</v>
      </c>
      <c r="S420" s="96">
        <f t="shared" si="26"/>
        <v>0</v>
      </c>
    </row>
    <row r="421" spans="1:19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22.961119279202251</v>
      </c>
      <c r="H421">
        <v>4.8749248570982399E-4</v>
      </c>
      <c r="I421">
        <v>-0.46516149033652132</v>
      </c>
      <c r="J421" s="96">
        <v>-2.2676273118063704E-4</v>
      </c>
      <c r="L421" s="100"/>
      <c r="M421" s="100">
        <v>4.8723522556397576</v>
      </c>
      <c r="N421" s="96">
        <v>2.44140625E-4</v>
      </c>
      <c r="O421" s="96">
        <f t="shared" si="27"/>
        <v>0.498046875</v>
      </c>
      <c r="Q421" s="96">
        <f t="shared" si="24"/>
        <v>0</v>
      </c>
      <c r="R421" s="96">
        <f t="shared" si="25"/>
        <v>1</v>
      </c>
      <c r="S421" s="96">
        <f t="shared" si="26"/>
        <v>0</v>
      </c>
    </row>
    <row r="422" spans="1:19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-14.5</v>
      </c>
      <c r="H422">
        <v>4.8749248570982405E-4</v>
      </c>
      <c r="I422">
        <v>-1.6214703050420796</v>
      </c>
      <c r="J422" s="96">
        <v>-7.9045458950963003E-4</v>
      </c>
      <c r="L422" s="100"/>
      <c r="M422" s="100">
        <v>5.0426982494922781</v>
      </c>
      <c r="N422" s="96">
        <v>4.8828125E-4</v>
      </c>
      <c r="O422" s="96">
        <f t="shared" si="27"/>
        <v>0.49853515625</v>
      </c>
      <c r="Q422" s="96">
        <f t="shared" si="24"/>
        <v>0</v>
      </c>
      <c r="R422" s="96">
        <f t="shared" si="25"/>
        <v>1</v>
      </c>
      <c r="S422" s="96">
        <f t="shared" si="26"/>
        <v>0</v>
      </c>
    </row>
    <row r="423" spans="1:19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6.3718429117564508</v>
      </c>
      <c r="H423">
        <v>4.8749248570982405E-4</v>
      </c>
      <c r="I423">
        <v>-0.8086454106745089</v>
      </c>
      <c r="J423" s="96">
        <v>-3.9420856130755784E-4</v>
      </c>
      <c r="L423" s="100"/>
      <c r="M423" s="100">
        <v>5.0426982494922781</v>
      </c>
      <c r="N423" s="96">
        <v>9.765625E-4</v>
      </c>
      <c r="O423" s="96">
        <f t="shared" si="27"/>
        <v>0.49951171875</v>
      </c>
      <c r="Q423" s="96">
        <f t="shared" si="24"/>
        <v>0</v>
      </c>
      <c r="R423" s="96">
        <f t="shared" si="25"/>
        <v>1</v>
      </c>
      <c r="S423" s="96">
        <f t="shared" si="26"/>
        <v>0</v>
      </c>
    </row>
    <row r="424" spans="1:19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18.865151005358459</v>
      </c>
      <c r="H424">
        <v>1.2297107747635201E-4</v>
      </c>
      <c r="I424">
        <v>-0.53321083677750525</v>
      </c>
      <c r="J424" s="96">
        <v>-6.5569511120597081E-5</v>
      </c>
      <c r="L424" s="100"/>
      <c r="M424" s="100">
        <v>5.0426982494922781</v>
      </c>
      <c r="N424" s="96">
        <v>4.8828125E-4</v>
      </c>
      <c r="O424" s="96">
        <f t="shared" si="27"/>
        <v>0.5</v>
      </c>
      <c r="Q424" s="96">
        <f t="shared" si="24"/>
        <v>0</v>
      </c>
      <c r="R424" s="96">
        <f t="shared" si="25"/>
        <v>1</v>
      </c>
      <c r="S424" s="96">
        <f t="shared" si="26"/>
        <v>0</v>
      </c>
    </row>
    <row r="425" spans="1:19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-4.3446050569387475</v>
      </c>
      <c r="H425">
        <v>4.8749248570982405E-4</v>
      </c>
      <c r="I425">
        <v>-1.1558316967044109</v>
      </c>
      <c r="J425" s="96">
        <v>-5.6345926688863672E-4</v>
      </c>
      <c r="L425" s="100"/>
      <c r="M425" s="100">
        <v>5.0645552624763033</v>
      </c>
      <c r="N425" s="96">
        <v>3.90625E-3</v>
      </c>
      <c r="O425" s="96">
        <f t="shared" si="27"/>
        <v>0.50390625</v>
      </c>
      <c r="Q425" s="96">
        <f t="shared" si="24"/>
        <v>0</v>
      </c>
      <c r="R425" s="96">
        <f t="shared" si="25"/>
        <v>1</v>
      </c>
      <c r="S425" s="96">
        <f t="shared" si="26"/>
        <v>0</v>
      </c>
    </row>
    <row r="426" spans="1:19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12.977700868993718</v>
      </c>
      <c r="H426">
        <v>4.8749248570982405E-4</v>
      </c>
      <c r="I426">
        <v>-0.64882643733137257</v>
      </c>
      <c r="J426" s="96">
        <v>-3.162980127289202E-4</v>
      </c>
      <c r="L426" s="100"/>
      <c r="M426" s="100">
        <v>5.0645552624763033</v>
      </c>
      <c r="N426" s="96">
        <v>7.8125E-3</v>
      </c>
      <c r="O426" s="96">
        <f t="shared" si="27"/>
        <v>0.51171875</v>
      </c>
      <c r="Q426" s="96">
        <f t="shared" si="24"/>
        <v>0</v>
      </c>
      <c r="R426" s="96">
        <f t="shared" si="25"/>
        <v>1</v>
      </c>
      <c r="S426" s="96">
        <f t="shared" si="26"/>
        <v>0</v>
      </c>
    </row>
    <row r="427" spans="1:19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25.367738955906368</v>
      </c>
      <c r="H427">
        <v>1.2297107747635201E-4</v>
      </c>
      <c r="I427">
        <v>-0.42930343665530679</v>
      </c>
      <c r="J427" s="96">
        <v>-5.2791906169803911E-5</v>
      </c>
      <c r="L427" s="100"/>
      <c r="M427" s="100">
        <v>5.0645552624763033</v>
      </c>
      <c r="N427" s="96">
        <v>3.90625E-3</v>
      </c>
      <c r="O427" s="96">
        <f t="shared" si="27"/>
        <v>0.515625</v>
      </c>
      <c r="Q427" s="96">
        <f t="shared" si="24"/>
        <v>0</v>
      </c>
      <c r="R427" s="96">
        <f t="shared" si="25"/>
        <v>1</v>
      </c>
      <c r="S427" s="96">
        <f t="shared" si="26"/>
        <v>0</v>
      </c>
    </row>
    <row r="428" spans="1:19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-10.483047935047331</v>
      </c>
      <c r="H428">
        <v>4.8749248570982405E-4</v>
      </c>
      <c r="I428">
        <v>-1.418265904264834</v>
      </c>
      <c r="J428" s="96">
        <v>-6.9139397106755525E-4</v>
      </c>
      <c r="L428" s="100"/>
      <c r="M428" s="100">
        <v>5.4344442763823277</v>
      </c>
      <c r="N428" s="96">
        <v>9.765625E-4</v>
      </c>
      <c r="O428" s="96">
        <f t="shared" si="27"/>
        <v>0.5166015625</v>
      </c>
      <c r="Q428" s="96">
        <f t="shared" si="24"/>
        <v>0</v>
      </c>
      <c r="R428" s="96">
        <f t="shared" si="25"/>
        <v>1</v>
      </c>
      <c r="S428" s="96">
        <f t="shared" si="26"/>
        <v>0</v>
      </c>
    </row>
    <row r="429" spans="1:19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8.7755783776250844</v>
      </c>
      <c r="H429">
        <v>4.8749248570982405E-4</v>
      </c>
      <c r="I429">
        <v>-0.74638085523095454</v>
      </c>
      <c r="J429" s="96">
        <v>-3.6385505840276234E-4</v>
      </c>
      <c r="L429" s="100"/>
      <c r="M429" s="100">
        <v>5.4344442763823277</v>
      </c>
      <c r="N429" s="96">
        <v>1.953125E-3</v>
      </c>
      <c r="O429" s="96">
        <f t="shared" si="27"/>
        <v>0.5185546875</v>
      </c>
      <c r="Q429" s="96">
        <f t="shared" si="24"/>
        <v>0</v>
      </c>
      <c r="R429" s="96">
        <f t="shared" si="25"/>
        <v>1</v>
      </c>
      <c r="S429" s="96">
        <f t="shared" si="26"/>
        <v>0</v>
      </c>
    </row>
    <row r="430" spans="1:19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21.260882399661533</v>
      </c>
      <c r="H430">
        <v>1.2297107747635201E-4</v>
      </c>
      <c r="I430">
        <v>-0.49228568029873199</v>
      </c>
      <c r="J430" s="96">
        <v>-6.0536900532514028E-5</v>
      </c>
      <c r="L430" s="100"/>
      <c r="M430" s="100">
        <v>5.4344442763823277</v>
      </c>
      <c r="N430" s="96">
        <v>9.765625E-4</v>
      </c>
      <c r="O430" s="96">
        <f t="shared" si="27"/>
        <v>0.51953125</v>
      </c>
      <c r="Q430" s="96">
        <f t="shared" si="24"/>
        <v>0</v>
      </c>
      <c r="R430" s="96">
        <f t="shared" si="25"/>
        <v>1</v>
      </c>
      <c r="S430" s="96">
        <f t="shared" si="26"/>
        <v>0</v>
      </c>
    </row>
    <row r="431" spans="1:19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-17</v>
      </c>
      <c r="H431">
        <v>1.2297107747635201E-4</v>
      </c>
      <c r="I431">
        <v>-1.7623826407286585</v>
      </c>
      <c r="J431" s="96">
        <v>-2.167220922560217E-4</v>
      </c>
      <c r="L431" s="100"/>
      <c r="M431" s="100">
        <v>5.7706930533776735</v>
      </c>
      <c r="N431" s="96">
        <v>2.44140625E-4</v>
      </c>
      <c r="O431" s="96">
        <f t="shared" si="27"/>
        <v>0.519775390625</v>
      </c>
      <c r="Q431" s="96">
        <f t="shared" si="24"/>
        <v>0</v>
      </c>
      <c r="R431" s="96">
        <f t="shared" si="25"/>
        <v>1</v>
      </c>
      <c r="S431" s="96">
        <f t="shared" si="26"/>
        <v>0</v>
      </c>
    </row>
    <row r="432" spans="1:19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4.5279509801869846</v>
      </c>
      <c r="H432">
        <v>1.2297107747635201E-4</v>
      </c>
      <c r="I432">
        <v>-0.85990642883052837</v>
      </c>
      <c r="J432" s="96">
        <v>-1.0574362008213208E-4</v>
      </c>
      <c r="L432" s="100"/>
      <c r="M432" s="100">
        <v>5.7706930533776735</v>
      </c>
      <c r="N432" s="96">
        <v>4.8828125E-4</v>
      </c>
      <c r="O432" s="96">
        <f t="shared" si="27"/>
        <v>0.520263671875</v>
      </c>
      <c r="Q432" s="96">
        <f t="shared" si="24"/>
        <v>0</v>
      </c>
      <c r="R432" s="96">
        <f t="shared" si="25"/>
        <v>1</v>
      </c>
      <c r="S432" s="96">
        <f t="shared" si="26"/>
        <v>0</v>
      </c>
    </row>
    <row r="433" spans="1:19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17.11929163432762</v>
      </c>
      <c r="H433">
        <v>3.1019731255295997E-5</v>
      </c>
      <c r="I433">
        <v>-0.56516189193670641</v>
      </c>
      <c r="J433" s="96">
        <v>-1.7531170003611271E-5</v>
      </c>
      <c r="L433" s="100"/>
      <c r="M433" s="100">
        <v>5.7706930533776735</v>
      </c>
      <c r="N433" s="96">
        <v>2.44140625E-4</v>
      </c>
      <c r="O433" s="96">
        <f t="shared" si="27"/>
        <v>0.5205078125</v>
      </c>
      <c r="Q433" s="96">
        <f t="shared" si="24"/>
        <v>0</v>
      </c>
      <c r="R433" s="96">
        <f t="shared" si="25"/>
        <v>1</v>
      </c>
      <c r="S433" s="96">
        <f t="shared" si="26"/>
        <v>0</v>
      </c>
    </row>
    <row r="434" spans="1:19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-1.1677106800845551</v>
      </c>
      <c r="H434">
        <v>1.932559496921088E-3</v>
      </c>
      <c r="I434">
        <v>-1.0396911411016805</v>
      </c>
      <c r="J434" s="96">
        <v>-2.0092649886007756E-3</v>
      </c>
      <c r="L434" s="100"/>
      <c r="M434" s="100">
        <v>6.1481362377391306</v>
      </c>
      <c r="N434" s="96">
        <v>1.953125E-3</v>
      </c>
      <c r="O434" s="96">
        <f t="shared" si="27"/>
        <v>0.5224609375</v>
      </c>
      <c r="Q434" s="96">
        <f t="shared" si="24"/>
        <v>0</v>
      </c>
      <c r="R434" s="96">
        <f t="shared" si="25"/>
        <v>1</v>
      </c>
      <c r="S434" s="96">
        <f t="shared" si="26"/>
        <v>0</v>
      </c>
    </row>
    <row r="435" spans="1:19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15.771075862643059</v>
      </c>
      <c r="H435">
        <v>1.932559496921088E-3</v>
      </c>
      <c r="I435">
        <v>-0.59113992565921525</v>
      </c>
      <c r="J435" s="96">
        <v>-1.1424130773419424E-3</v>
      </c>
      <c r="L435" s="100"/>
      <c r="M435" s="100">
        <v>6.1481362377391306</v>
      </c>
      <c r="N435" s="96">
        <v>3.90625E-3</v>
      </c>
      <c r="O435" s="96">
        <f t="shared" si="27"/>
        <v>0.5263671875</v>
      </c>
      <c r="Q435" s="96">
        <f t="shared" si="24"/>
        <v>0</v>
      </c>
      <c r="R435" s="96">
        <f t="shared" si="25"/>
        <v>1</v>
      </c>
      <c r="S435" s="96">
        <f t="shared" si="26"/>
        <v>0</v>
      </c>
    </row>
    <row r="436" spans="1:19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28.064583949047659</v>
      </c>
      <c r="H436">
        <v>4.8749248570982399E-4</v>
      </c>
      <c r="I436">
        <v>-0.39239506350406861</v>
      </c>
      <c r="J436" s="96">
        <v>-1.9128964488786265E-4</v>
      </c>
      <c r="L436" s="100"/>
      <c r="M436" s="100">
        <v>6.1481362377391306</v>
      </c>
      <c r="N436" s="96">
        <v>1.953125E-3</v>
      </c>
      <c r="O436" s="96">
        <f t="shared" si="27"/>
        <v>0.5283203125</v>
      </c>
      <c r="Q436" s="96">
        <f t="shared" si="24"/>
        <v>0</v>
      </c>
      <c r="R436" s="96">
        <f t="shared" si="25"/>
        <v>1</v>
      </c>
      <c r="S436" s="96">
        <f t="shared" si="26"/>
        <v>0</v>
      </c>
    </row>
    <row r="437" spans="1:19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-6.4830479350473311</v>
      </c>
      <c r="H437">
        <v>1.932559496921088E-3</v>
      </c>
      <c r="I437">
        <v>-1.241228478720902</v>
      </c>
      <c r="J437" s="96">
        <v>-2.398747884400994E-3</v>
      </c>
      <c r="L437" s="100"/>
      <c r="M437" s="100">
        <v>6.1497717551027478</v>
      </c>
      <c r="N437" s="96">
        <v>9.765625E-4</v>
      </c>
      <c r="O437" s="96">
        <f t="shared" si="27"/>
        <v>0.529296875</v>
      </c>
      <c r="Q437" s="96">
        <f t="shared" si="24"/>
        <v>0</v>
      </c>
      <c r="R437" s="96">
        <f t="shared" si="25"/>
        <v>1</v>
      </c>
      <c r="S437" s="96">
        <f t="shared" si="26"/>
        <v>0</v>
      </c>
    </row>
    <row r="438" spans="1:19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11.629485097309161</v>
      </c>
      <c r="H438">
        <v>1.932559496921088E-3</v>
      </c>
      <c r="I438">
        <v>-0.6786501662655543</v>
      </c>
      <c r="J438" s="96">
        <v>-1.3115318239035724E-3</v>
      </c>
      <c r="L438" s="100"/>
      <c r="M438" s="100">
        <v>6.1497717551027478</v>
      </c>
      <c r="N438" s="96">
        <v>1.953125E-3</v>
      </c>
      <c r="O438" s="96">
        <f t="shared" si="27"/>
        <v>0.53125</v>
      </c>
      <c r="Q438" s="96">
        <f t="shared" si="24"/>
        <v>0</v>
      </c>
      <c r="R438" s="96">
        <f t="shared" si="25"/>
        <v>1</v>
      </c>
      <c r="S438" s="96">
        <f t="shared" si="26"/>
        <v>0</v>
      </c>
    </row>
    <row r="439" spans="1:19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23.972436151630234</v>
      </c>
      <c r="H439">
        <v>4.8749248570982399E-4</v>
      </c>
      <c r="I439">
        <v>-0.44974199501468498</v>
      </c>
      <c r="J439" s="96">
        <v>-2.1924584307780404E-4</v>
      </c>
      <c r="L439" s="100"/>
      <c r="M439" s="100">
        <v>6.1497717551027478</v>
      </c>
      <c r="N439" s="96">
        <v>9.765625E-4</v>
      </c>
      <c r="O439" s="96">
        <f t="shared" si="27"/>
        <v>0.5322265625</v>
      </c>
      <c r="Q439" s="96">
        <f t="shared" si="24"/>
        <v>0</v>
      </c>
      <c r="R439" s="96">
        <f t="shared" si="25"/>
        <v>1</v>
      </c>
      <c r="S439" s="96">
        <f t="shared" si="26"/>
        <v>0</v>
      </c>
    </row>
    <row r="440" spans="1:19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-13</v>
      </c>
      <c r="H440">
        <v>4.8749248570982405E-4</v>
      </c>
      <c r="I440">
        <v>-1.5423902651101746</v>
      </c>
      <c r="J440" s="96">
        <v>-7.5190366427319358E-4</v>
      </c>
      <c r="L440" s="100"/>
      <c r="M440" s="100">
        <v>6.3718429117564508</v>
      </c>
      <c r="N440" s="96">
        <v>1.953125E-3</v>
      </c>
      <c r="O440" s="96">
        <f t="shared" si="27"/>
        <v>0.5341796875</v>
      </c>
      <c r="Q440" s="96">
        <f t="shared" si="24"/>
        <v>0</v>
      </c>
      <c r="R440" s="96">
        <f t="shared" si="25"/>
        <v>1</v>
      </c>
      <c r="S440" s="96">
        <f t="shared" si="26"/>
        <v>0</v>
      </c>
    </row>
    <row r="441" spans="1:19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7.4528758956624728</v>
      </c>
      <c r="H441">
        <v>4.8749248570982405E-4</v>
      </c>
      <c r="I441">
        <v>-0.78002508736904297</v>
      </c>
      <c r="J441" s="96">
        <v>-3.8025636875755741E-4</v>
      </c>
      <c r="L441" s="100"/>
      <c r="M441" s="100">
        <v>6.3718429117564508</v>
      </c>
      <c r="N441" s="96">
        <v>3.90625E-3</v>
      </c>
      <c r="O441" s="96">
        <f t="shared" si="27"/>
        <v>0.5380859375</v>
      </c>
      <c r="Q441" s="96">
        <f t="shared" si="24"/>
        <v>0</v>
      </c>
      <c r="R441" s="96">
        <f t="shared" si="25"/>
        <v>1</v>
      </c>
      <c r="S441" s="96">
        <f t="shared" si="26"/>
        <v>0</v>
      </c>
    </row>
    <row r="442" spans="1:19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19.880288354212805</v>
      </c>
      <c r="H442">
        <v>1.2297107747635201E-4</v>
      </c>
      <c r="I442">
        <v>-0.51546994570611271</v>
      </c>
      <c r="J442" s="96">
        <v>-6.3387894630157344E-5</v>
      </c>
      <c r="L442" s="100"/>
      <c r="M442" s="100">
        <v>6.3718429117564508</v>
      </c>
      <c r="N442" s="96">
        <v>1.953125E-3</v>
      </c>
      <c r="O442" s="96">
        <f t="shared" si="27"/>
        <v>0.5400390625</v>
      </c>
      <c r="Q442" s="96">
        <f t="shared" si="24"/>
        <v>0</v>
      </c>
      <c r="R442" s="96">
        <f t="shared" si="25"/>
        <v>1</v>
      </c>
      <c r="S442" s="96">
        <f t="shared" si="26"/>
        <v>0</v>
      </c>
    </row>
    <row r="443" spans="1:19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-2.3468547121122407</v>
      </c>
      <c r="H443">
        <v>1.932559496921088E-3</v>
      </c>
      <c r="I443">
        <v>-1.0813697130465589</v>
      </c>
      <c r="J443" s="96">
        <v>-2.0898113086309593E-3</v>
      </c>
      <c r="L443" s="100"/>
      <c r="M443" s="100">
        <v>6.6852886767591286</v>
      </c>
      <c r="N443" s="96">
        <v>4.8828125E-4</v>
      </c>
      <c r="O443" s="96">
        <f t="shared" si="27"/>
        <v>0.54052734375</v>
      </c>
      <c r="Q443" s="96">
        <f t="shared" si="24"/>
        <v>0</v>
      </c>
      <c r="R443" s="96">
        <f t="shared" si="25"/>
        <v>1</v>
      </c>
      <c r="S443" s="96">
        <f t="shared" si="26"/>
        <v>0</v>
      </c>
    </row>
    <row r="444" spans="1:19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14.723560240024558</v>
      </c>
      <c r="H444">
        <v>1.932559496921088E-3</v>
      </c>
      <c r="I444">
        <v>-0.61214546222726141</v>
      </c>
      <c r="J444" s="96">
        <v>-1.1830075265244432E-3</v>
      </c>
      <c r="L444" s="100"/>
      <c r="M444" s="100">
        <v>6.6852886767591286</v>
      </c>
      <c r="N444" s="96">
        <v>9.765625E-4</v>
      </c>
      <c r="O444" s="96">
        <f t="shared" si="27"/>
        <v>0.54150390625</v>
      </c>
      <c r="Q444" s="96">
        <f t="shared" si="24"/>
        <v>0</v>
      </c>
      <c r="R444" s="96">
        <f t="shared" si="25"/>
        <v>1</v>
      </c>
      <c r="S444" s="96">
        <f t="shared" si="26"/>
        <v>0</v>
      </c>
    </row>
    <row r="445" spans="1:19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27.053267076619676</v>
      </c>
      <c r="H445">
        <v>4.8749248570982399E-4</v>
      </c>
      <c r="I445">
        <v>-0.40584840767268493</v>
      </c>
      <c r="J445" s="96">
        <v>-1.9784804907773117E-4</v>
      </c>
      <c r="L445" s="100"/>
      <c r="M445" s="100">
        <v>6.6852886767591286</v>
      </c>
      <c r="N445" s="96">
        <v>4.8828125E-4</v>
      </c>
      <c r="O445" s="96">
        <f t="shared" si="27"/>
        <v>0.5419921875</v>
      </c>
      <c r="Q445" s="96">
        <f t="shared" si="24"/>
        <v>0</v>
      </c>
      <c r="R445" s="96">
        <f t="shared" si="25"/>
        <v>1</v>
      </c>
      <c r="S445" s="96">
        <f t="shared" si="26"/>
        <v>0</v>
      </c>
    </row>
    <row r="446" spans="1:19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-7.9830479350473311</v>
      </c>
      <c r="H446">
        <v>1.932559496921088E-3</v>
      </c>
      <c r="I446">
        <v>-1.304867623678067</v>
      </c>
      <c r="J446" s="96">
        <v>-2.5217343183639006E-3</v>
      </c>
      <c r="L446" s="100"/>
      <c r="M446" s="100">
        <v>6.8057474880542728</v>
      </c>
      <c r="N446" s="96">
        <v>9.765625E-4</v>
      </c>
      <c r="O446" s="96">
        <f t="shared" si="27"/>
        <v>0.54296875</v>
      </c>
      <c r="Q446" s="96">
        <f t="shared" si="24"/>
        <v>0</v>
      </c>
      <c r="R446" s="96">
        <f t="shared" si="25"/>
        <v>1</v>
      </c>
      <c r="S446" s="96">
        <f t="shared" si="26"/>
        <v>0</v>
      </c>
    </row>
    <row r="447" spans="1:19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10.577300017468453</v>
      </c>
      <c r="H447">
        <v>1.932559496921088E-3</v>
      </c>
      <c r="I447">
        <v>-0.70287468027687106</v>
      </c>
      <c r="J447" s="96">
        <v>-1.3583471385144406E-3</v>
      </c>
      <c r="L447" s="100"/>
      <c r="M447" s="100">
        <v>6.8057474880542728</v>
      </c>
      <c r="N447" s="96">
        <v>1.953125E-3</v>
      </c>
      <c r="O447" s="96">
        <f t="shared" si="27"/>
        <v>0.544921875</v>
      </c>
      <c r="Q447" s="96">
        <f t="shared" si="24"/>
        <v>0</v>
      </c>
      <c r="R447" s="96">
        <f t="shared" si="25"/>
        <v>1</v>
      </c>
      <c r="S447" s="96">
        <f t="shared" si="26"/>
        <v>0</v>
      </c>
    </row>
    <row r="448" spans="1:19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22.961119279202251</v>
      </c>
      <c r="H448">
        <v>4.8749248570982399E-4</v>
      </c>
      <c r="I448">
        <v>-0.46516149033652132</v>
      </c>
      <c r="J448" s="96">
        <v>-2.2676273118063704E-4</v>
      </c>
      <c r="L448" s="100"/>
      <c r="M448" s="100">
        <v>6.8057474880542728</v>
      </c>
      <c r="N448" s="96">
        <v>9.765625E-4</v>
      </c>
      <c r="O448" s="96">
        <f t="shared" si="27"/>
        <v>0.5458984375</v>
      </c>
      <c r="Q448" s="96">
        <f t="shared" si="24"/>
        <v>0</v>
      </c>
      <c r="R448" s="96">
        <f t="shared" si="25"/>
        <v>1</v>
      </c>
      <c r="S448" s="96">
        <f t="shared" si="26"/>
        <v>0</v>
      </c>
    </row>
    <row r="449" spans="1:19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-14.5</v>
      </c>
      <c r="H449">
        <v>4.8749248570982405E-4</v>
      </c>
      <c r="I449">
        <v>-1.6214703050420796</v>
      </c>
      <c r="J449" s="96">
        <v>-7.9045458950963003E-4</v>
      </c>
      <c r="L449" s="100"/>
      <c r="M449" s="100">
        <v>7.1446538052209014</v>
      </c>
      <c r="N449" s="96">
        <v>3.90625E-3</v>
      </c>
      <c r="O449" s="96">
        <f t="shared" si="27"/>
        <v>0.5498046875</v>
      </c>
      <c r="Q449" s="96">
        <f t="shared" si="24"/>
        <v>0</v>
      </c>
      <c r="R449" s="96">
        <f t="shared" si="25"/>
        <v>1</v>
      </c>
      <c r="S449" s="96">
        <f t="shared" si="26"/>
        <v>0</v>
      </c>
    </row>
    <row r="450" spans="1:19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6.3718429117564508</v>
      </c>
      <c r="H450">
        <v>4.8749248570982405E-4</v>
      </c>
      <c r="I450">
        <v>-0.8086454106745089</v>
      </c>
      <c r="J450" s="96">
        <v>-3.9420856130755784E-4</v>
      </c>
      <c r="L450" s="100"/>
      <c r="M450" s="100">
        <v>7.1446538052209014</v>
      </c>
      <c r="N450" s="96">
        <v>7.8125E-3</v>
      </c>
      <c r="O450" s="96">
        <f t="shared" si="27"/>
        <v>0.5576171875</v>
      </c>
      <c r="Q450" s="96">
        <f t="shared" si="24"/>
        <v>0</v>
      </c>
      <c r="R450" s="96">
        <f t="shared" si="25"/>
        <v>1</v>
      </c>
      <c r="S450" s="96">
        <f t="shared" si="26"/>
        <v>0</v>
      </c>
    </row>
    <row r="451" spans="1:19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18.865151005358459</v>
      </c>
      <c r="H451">
        <v>1.2297107747635201E-4</v>
      </c>
      <c r="I451">
        <v>-0.53321083677750525</v>
      </c>
      <c r="J451" s="96">
        <v>-6.5569511120597081E-5</v>
      </c>
      <c r="L451" s="100"/>
      <c r="M451" s="100">
        <v>7.1446538052209014</v>
      </c>
      <c r="N451" s="96">
        <v>3.90625E-3</v>
      </c>
      <c r="O451" s="96">
        <f t="shared" si="27"/>
        <v>0.5615234375</v>
      </c>
      <c r="Q451" s="96">
        <f t="shared" ref="Q451:Q514" si="28">IF(A451=3,1,0)</f>
        <v>0</v>
      </c>
      <c r="R451" s="96">
        <f t="shared" ref="R451:R514" si="29">IF(A451=2,1,0)</f>
        <v>1</v>
      </c>
      <c r="S451" s="96">
        <f t="shared" ref="S451:S514" si="30">IF(A451=1,1,0)</f>
        <v>0</v>
      </c>
    </row>
    <row r="452" spans="1:19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-4.3446050569387475</v>
      </c>
      <c r="H452">
        <v>4.8749248570982405E-4</v>
      </c>
      <c r="I452">
        <v>-1.1558316967044109</v>
      </c>
      <c r="J452" s="96">
        <v>-5.6345926688863672E-4</v>
      </c>
      <c r="L452" s="100"/>
      <c r="M452" s="100">
        <v>7.2308047390087697</v>
      </c>
      <c r="N452" s="96">
        <v>4.8828125E-4</v>
      </c>
      <c r="O452" s="96">
        <f t="shared" ref="O452:O515" si="31">N452+O451</f>
        <v>0.56201171875</v>
      </c>
      <c r="Q452" s="96">
        <f t="shared" si="28"/>
        <v>0</v>
      </c>
      <c r="R452" s="96">
        <f t="shared" si="29"/>
        <v>1</v>
      </c>
      <c r="S452" s="96">
        <f t="shared" si="30"/>
        <v>0</v>
      </c>
    </row>
    <row r="453" spans="1:19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12.977700868993718</v>
      </c>
      <c r="H453">
        <v>4.8749248570982405E-4</v>
      </c>
      <c r="I453">
        <v>-0.64882643733137257</v>
      </c>
      <c r="J453" s="96">
        <v>-3.162980127289202E-4</v>
      </c>
      <c r="L453" s="100"/>
      <c r="M453" s="100">
        <v>7.2308047390087697</v>
      </c>
      <c r="N453" s="96">
        <v>9.765625E-4</v>
      </c>
      <c r="O453" s="96">
        <f t="shared" si="31"/>
        <v>0.56298828125</v>
      </c>
      <c r="Q453" s="96">
        <f t="shared" si="28"/>
        <v>0</v>
      </c>
      <c r="R453" s="96">
        <f t="shared" si="29"/>
        <v>1</v>
      </c>
      <c r="S453" s="96">
        <f t="shared" si="30"/>
        <v>0</v>
      </c>
    </row>
    <row r="454" spans="1:19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25.367738955906368</v>
      </c>
      <c r="H454">
        <v>1.2297107747635201E-4</v>
      </c>
      <c r="I454">
        <v>-0.42930343665530679</v>
      </c>
      <c r="J454" s="96">
        <v>-5.2791906169803911E-5</v>
      </c>
      <c r="L454" s="100"/>
      <c r="M454" s="100">
        <v>7.2308047390087697</v>
      </c>
      <c r="N454" s="96">
        <v>4.8828125E-4</v>
      </c>
      <c r="O454" s="96">
        <f t="shared" si="31"/>
        <v>0.5634765625</v>
      </c>
      <c r="Q454" s="96">
        <f t="shared" si="28"/>
        <v>0</v>
      </c>
      <c r="R454" s="96">
        <f t="shared" si="29"/>
        <v>1</v>
      </c>
      <c r="S454" s="96">
        <f t="shared" si="30"/>
        <v>0</v>
      </c>
    </row>
    <row r="455" spans="1:19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-10.483047935047331</v>
      </c>
      <c r="H455">
        <v>4.8749248570982405E-4</v>
      </c>
      <c r="I455">
        <v>-1.418265904264834</v>
      </c>
      <c r="J455" s="96">
        <v>-6.9139397106755525E-4</v>
      </c>
      <c r="L455" s="100"/>
      <c r="M455" s="100">
        <v>7.4528758956624728</v>
      </c>
      <c r="N455" s="96">
        <v>9.765625E-4</v>
      </c>
      <c r="O455" s="96">
        <f t="shared" si="31"/>
        <v>0.564453125</v>
      </c>
      <c r="Q455" s="96">
        <f t="shared" si="28"/>
        <v>0</v>
      </c>
      <c r="R455" s="96">
        <f t="shared" si="29"/>
        <v>1</v>
      </c>
      <c r="S455" s="96">
        <f t="shared" si="30"/>
        <v>0</v>
      </c>
    </row>
    <row r="456" spans="1:19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8.7755783776250844</v>
      </c>
      <c r="H456">
        <v>4.8749248570982405E-4</v>
      </c>
      <c r="I456">
        <v>-0.74638085523095454</v>
      </c>
      <c r="J456" s="96">
        <v>-3.6385505840276234E-4</v>
      </c>
      <c r="L456" s="100"/>
      <c r="M456" s="100">
        <v>7.4528758956624728</v>
      </c>
      <c r="N456" s="96">
        <v>1.953125E-3</v>
      </c>
      <c r="O456" s="96">
        <f t="shared" si="31"/>
        <v>0.56640625</v>
      </c>
      <c r="Q456" s="96">
        <f t="shared" si="28"/>
        <v>0</v>
      </c>
      <c r="R456" s="96">
        <f t="shared" si="29"/>
        <v>1</v>
      </c>
      <c r="S456" s="96">
        <f t="shared" si="30"/>
        <v>0</v>
      </c>
    </row>
    <row r="457" spans="1:19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21.260882399661533</v>
      </c>
      <c r="H457">
        <v>1.2297107747635201E-4</v>
      </c>
      <c r="I457">
        <v>-0.49228568029873199</v>
      </c>
      <c r="J457" s="96">
        <v>-6.0536900532514028E-5</v>
      </c>
      <c r="L457" s="100"/>
      <c r="M457" s="100">
        <v>7.4528758956624728</v>
      </c>
      <c r="N457" s="96">
        <v>9.765625E-4</v>
      </c>
      <c r="O457" s="96">
        <f t="shared" si="31"/>
        <v>0.5673828125</v>
      </c>
      <c r="Q457" s="96">
        <f t="shared" si="28"/>
        <v>0</v>
      </c>
      <c r="R457" s="96">
        <f t="shared" si="29"/>
        <v>1</v>
      </c>
      <c r="S457" s="96">
        <f t="shared" si="30"/>
        <v>0</v>
      </c>
    </row>
    <row r="458" spans="1:19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-17</v>
      </c>
      <c r="H458">
        <v>1.2297107747635201E-4</v>
      </c>
      <c r="I458">
        <v>-1.7623826407286585</v>
      </c>
      <c r="J458" s="96">
        <v>-2.167220922560217E-4</v>
      </c>
      <c r="L458" s="100"/>
      <c r="M458" s="100">
        <v>7.4787069513138844</v>
      </c>
      <c r="N458" s="96">
        <v>9.765625E-4</v>
      </c>
      <c r="O458" s="96">
        <f t="shared" si="31"/>
        <v>0.568359375</v>
      </c>
      <c r="Q458" s="96">
        <f t="shared" si="28"/>
        <v>0</v>
      </c>
      <c r="R458" s="96">
        <f t="shared" si="29"/>
        <v>1</v>
      </c>
      <c r="S458" s="96">
        <f t="shared" si="30"/>
        <v>0</v>
      </c>
    </row>
    <row r="459" spans="1:19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4.5279509801869846</v>
      </c>
      <c r="H459">
        <v>1.2297107747635201E-4</v>
      </c>
      <c r="I459">
        <v>-0.85990642883052837</v>
      </c>
      <c r="J459" s="96">
        <v>-1.0574362008213208E-4</v>
      </c>
      <c r="L459" s="100"/>
      <c r="M459" s="100">
        <v>7.4787069513138844</v>
      </c>
      <c r="N459" s="96">
        <v>1.953125E-3</v>
      </c>
      <c r="O459" s="96">
        <f t="shared" si="31"/>
        <v>0.5703125</v>
      </c>
      <c r="Q459" s="96">
        <f t="shared" si="28"/>
        <v>0</v>
      </c>
      <c r="R459" s="96">
        <f t="shared" si="29"/>
        <v>1</v>
      </c>
      <c r="S459" s="96">
        <f t="shared" si="30"/>
        <v>0</v>
      </c>
    </row>
    <row r="460" spans="1:19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17.11929163432762</v>
      </c>
      <c r="H460">
        <v>3.1019731255295997E-5</v>
      </c>
      <c r="I460">
        <v>-0.56516189193670641</v>
      </c>
      <c r="J460" s="96">
        <v>-1.7531170003611271E-5</v>
      </c>
      <c r="L460" s="100"/>
      <c r="M460" s="100">
        <v>7.4787069513138844</v>
      </c>
      <c r="N460" s="96">
        <v>9.765625E-4</v>
      </c>
      <c r="O460" s="96">
        <f t="shared" si="31"/>
        <v>0.5712890625</v>
      </c>
      <c r="Q460" s="96">
        <f t="shared" si="28"/>
        <v>0</v>
      </c>
      <c r="R460" s="96">
        <f t="shared" si="29"/>
        <v>1</v>
      </c>
      <c r="S460" s="96">
        <f t="shared" si="30"/>
        <v>0</v>
      </c>
    </row>
    <row r="461" spans="1:19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-1.1677106800845551</v>
      </c>
      <c r="H461">
        <v>4.8749248570982405E-4</v>
      </c>
      <c r="I461">
        <v>-1.0396911411016805</v>
      </c>
      <c r="J461" s="96">
        <v>-5.0684161874614162E-4</v>
      </c>
      <c r="L461" s="100"/>
      <c r="M461" s="100">
        <v>7.7663216606651506</v>
      </c>
      <c r="N461" s="96">
        <v>2.44140625E-4</v>
      </c>
      <c r="O461" s="96">
        <f t="shared" si="31"/>
        <v>0.571533203125</v>
      </c>
      <c r="Q461" s="96">
        <f t="shared" si="28"/>
        <v>0</v>
      </c>
      <c r="R461" s="96">
        <f t="shared" si="29"/>
        <v>1</v>
      </c>
      <c r="S461" s="96">
        <f t="shared" si="30"/>
        <v>0</v>
      </c>
    </row>
    <row r="462" spans="1:19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15.771075862643059</v>
      </c>
      <c r="H462">
        <v>4.8749248570982405E-4</v>
      </c>
      <c r="I462">
        <v>-0.59113992565921525</v>
      </c>
      <c r="J462" s="96">
        <v>-2.8817627176193144E-4</v>
      </c>
      <c r="L462" s="100"/>
      <c r="M462" s="100">
        <v>7.7663216606651506</v>
      </c>
      <c r="N462" s="96">
        <v>4.8828125E-4</v>
      </c>
      <c r="O462" s="96">
        <f t="shared" si="31"/>
        <v>0.572021484375</v>
      </c>
      <c r="Q462" s="96">
        <f t="shared" si="28"/>
        <v>0</v>
      </c>
      <c r="R462" s="96">
        <f t="shared" si="29"/>
        <v>1</v>
      </c>
      <c r="S462" s="96">
        <f t="shared" si="30"/>
        <v>0</v>
      </c>
    </row>
    <row r="463" spans="1:19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28.064583949047659</v>
      </c>
      <c r="H463">
        <v>1.2297107747635201E-4</v>
      </c>
      <c r="I463">
        <v>-0.39239506350406861</v>
      </c>
      <c r="J463" s="96">
        <v>-4.8253243755496887E-5</v>
      </c>
      <c r="L463" s="100"/>
      <c r="M463" s="100">
        <v>7.7663216606651506</v>
      </c>
      <c r="N463" s="96">
        <v>2.44140625E-4</v>
      </c>
      <c r="O463" s="96">
        <f t="shared" si="31"/>
        <v>0.572265625</v>
      </c>
      <c r="Q463" s="96">
        <f t="shared" si="28"/>
        <v>0</v>
      </c>
      <c r="R463" s="96">
        <f t="shared" si="29"/>
        <v>1</v>
      </c>
      <c r="S463" s="96">
        <f t="shared" si="30"/>
        <v>0</v>
      </c>
    </row>
    <row r="464" spans="1:19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-6.4830479350473311</v>
      </c>
      <c r="H464">
        <v>4.8749248570982405E-4</v>
      </c>
      <c r="I464">
        <v>-1.241228478720902</v>
      </c>
      <c r="J464" s="96">
        <v>-6.0508955642547596E-4</v>
      </c>
      <c r="L464" s="100"/>
      <c r="M464" s="100">
        <v>7.853263110672775</v>
      </c>
      <c r="N464" s="96">
        <v>4.8828125E-4</v>
      </c>
      <c r="O464" s="96">
        <f t="shared" si="31"/>
        <v>0.57275390625</v>
      </c>
      <c r="Q464" s="96">
        <f t="shared" si="28"/>
        <v>0</v>
      </c>
      <c r="R464" s="96">
        <f t="shared" si="29"/>
        <v>1</v>
      </c>
      <c r="S464" s="96">
        <f t="shared" si="30"/>
        <v>0</v>
      </c>
    </row>
    <row r="465" spans="1:19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11.629485097309161</v>
      </c>
      <c r="H465">
        <v>4.8749248570982405E-4</v>
      </c>
      <c r="I465">
        <v>-0.6786501662655543</v>
      </c>
      <c r="J465" s="96">
        <v>-3.3083685648018044E-4</v>
      </c>
      <c r="L465" s="100"/>
      <c r="M465" s="100">
        <v>7.853263110672775</v>
      </c>
      <c r="N465" s="96">
        <v>9.765625E-4</v>
      </c>
      <c r="O465" s="96">
        <f t="shared" si="31"/>
        <v>0.57373046875</v>
      </c>
      <c r="Q465" s="96">
        <f t="shared" si="28"/>
        <v>0</v>
      </c>
      <c r="R465" s="96">
        <f t="shared" si="29"/>
        <v>1</v>
      </c>
      <c r="S465" s="96">
        <f t="shared" si="30"/>
        <v>0</v>
      </c>
    </row>
    <row r="466" spans="1:19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23.972436151630234</v>
      </c>
      <c r="H466">
        <v>1.2297107747635201E-4</v>
      </c>
      <c r="I466">
        <v>-0.44974199501468498</v>
      </c>
      <c r="J466" s="96">
        <v>-5.5305257713319943E-5</v>
      </c>
      <c r="L466" s="100"/>
      <c r="M466" s="100">
        <v>7.853263110672775</v>
      </c>
      <c r="N466" s="96">
        <v>4.8828125E-4</v>
      </c>
      <c r="O466" s="96">
        <f t="shared" si="31"/>
        <v>0.57421875</v>
      </c>
      <c r="Q466" s="96">
        <f t="shared" si="28"/>
        <v>0</v>
      </c>
      <c r="R466" s="96">
        <f t="shared" si="29"/>
        <v>1</v>
      </c>
      <c r="S466" s="96">
        <f t="shared" si="30"/>
        <v>0</v>
      </c>
    </row>
    <row r="467" spans="1:19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-13</v>
      </c>
      <c r="H467">
        <v>1.2297107747635201E-4</v>
      </c>
      <c r="I467">
        <v>-1.5423902651101746</v>
      </c>
      <c r="J467" s="96">
        <v>-1.896693927896344E-4</v>
      </c>
      <c r="L467" s="100"/>
      <c r="M467" s="100">
        <v>8.7755783776250844</v>
      </c>
      <c r="N467" s="96">
        <v>1.953125E-3</v>
      </c>
      <c r="O467" s="96">
        <f t="shared" si="31"/>
        <v>0.576171875</v>
      </c>
      <c r="Q467" s="96">
        <f t="shared" si="28"/>
        <v>0</v>
      </c>
      <c r="R467" s="96">
        <f t="shared" si="29"/>
        <v>1</v>
      </c>
      <c r="S467" s="96">
        <f t="shared" si="30"/>
        <v>0</v>
      </c>
    </row>
    <row r="468" spans="1:19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7.4528758956624728</v>
      </c>
      <c r="H468">
        <v>1.2297107747635201E-4</v>
      </c>
      <c r="I468">
        <v>-0.78002508736904297</v>
      </c>
      <c r="J468" s="96">
        <v>-9.5920525452356827E-5</v>
      </c>
      <c r="L468" s="100"/>
      <c r="M468" s="100">
        <v>8.7755783776250844</v>
      </c>
      <c r="N468" s="96">
        <v>3.90625E-3</v>
      </c>
      <c r="O468" s="96">
        <f t="shared" si="31"/>
        <v>0.580078125</v>
      </c>
      <c r="Q468" s="96">
        <f t="shared" si="28"/>
        <v>0</v>
      </c>
      <c r="R468" s="96">
        <f t="shared" si="29"/>
        <v>1</v>
      </c>
      <c r="S468" s="96">
        <f t="shared" si="30"/>
        <v>0</v>
      </c>
    </row>
    <row r="469" spans="1:19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19.880288354212805</v>
      </c>
      <c r="H469">
        <v>3.1019731255295997E-5</v>
      </c>
      <c r="I469">
        <v>-0.51546994570611271</v>
      </c>
      <c r="J469" s="96">
        <v>-1.5989739185985634E-5</v>
      </c>
      <c r="L469" s="100"/>
      <c r="M469" s="100">
        <v>8.7755783776250844</v>
      </c>
      <c r="N469" s="96">
        <v>1.953125E-3</v>
      </c>
      <c r="O469" s="96">
        <f t="shared" si="31"/>
        <v>0.58203125</v>
      </c>
      <c r="Q469" s="96">
        <f t="shared" si="28"/>
        <v>0</v>
      </c>
      <c r="R469" s="96">
        <f t="shared" si="29"/>
        <v>1</v>
      </c>
      <c r="S469" s="96">
        <f t="shared" si="30"/>
        <v>0</v>
      </c>
    </row>
    <row r="470" spans="1:19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-2.3468547121122407</v>
      </c>
      <c r="H470">
        <v>4.8749248570982405E-4</v>
      </c>
      <c r="I470">
        <v>-1.0813697130465589</v>
      </c>
      <c r="J470" s="96">
        <v>-5.2715960938438619E-4</v>
      </c>
      <c r="L470" s="100"/>
      <c r="M470" s="100">
        <v>8.9463754450642696</v>
      </c>
      <c r="N470" s="96">
        <v>7.8125E-3</v>
      </c>
      <c r="O470" s="96">
        <f t="shared" si="31"/>
        <v>0.58984375</v>
      </c>
      <c r="Q470" s="96">
        <f t="shared" si="28"/>
        <v>0</v>
      </c>
      <c r="R470" s="96">
        <f t="shared" si="29"/>
        <v>1</v>
      </c>
      <c r="S470" s="96">
        <f t="shared" si="30"/>
        <v>0</v>
      </c>
    </row>
    <row r="471" spans="1:19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14.723560240024558</v>
      </c>
      <c r="H471">
        <v>4.8749248570982405E-4</v>
      </c>
      <c r="I471">
        <v>-0.61214546222726141</v>
      </c>
      <c r="J471" s="96">
        <v>-2.9841631299715686E-4</v>
      </c>
      <c r="L471" s="100"/>
      <c r="M471" s="100">
        <v>8.9463754450642696</v>
      </c>
      <c r="N471" s="96">
        <v>1.5625E-2</v>
      </c>
      <c r="O471" s="96">
        <f t="shared" si="31"/>
        <v>0.60546875</v>
      </c>
      <c r="Q471" s="96">
        <f t="shared" si="28"/>
        <v>0</v>
      </c>
      <c r="R471" s="96">
        <f t="shared" si="29"/>
        <v>1</v>
      </c>
      <c r="S471" s="96">
        <f t="shared" si="30"/>
        <v>0</v>
      </c>
    </row>
    <row r="472" spans="1:19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27.053267076619676</v>
      </c>
      <c r="H472">
        <v>1.2297107747635201E-4</v>
      </c>
      <c r="I472">
        <v>-0.40584840767268493</v>
      </c>
      <c r="J472" s="96">
        <v>-4.990761598357183E-5</v>
      </c>
      <c r="L472" s="100"/>
      <c r="M472" s="100">
        <v>8.9463754450642696</v>
      </c>
      <c r="N472" s="96">
        <v>7.8125E-3</v>
      </c>
      <c r="O472" s="96">
        <f t="shared" si="31"/>
        <v>0.61328125</v>
      </c>
      <c r="Q472" s="96">
        <f t="shared" si="28"/>
        <v>0</v>
      </c>
      <c r="R472" s="96">
        <f t="shared" si="29"/>
        <v>1</v>
      </c>
      <c r="S472" s="96">
        <f t="shared" si="30"/>
        <v>0</v>
      </c>
    </row>
    <row r="473" spans="1:19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-7.9830479350473311</v>
      </c>
      <c r="H473">
        <v>4.8749248570982405E-4</v>
      </c>
      <c r="I473">
        <v>-1.304867623678067</v>
      </c>
      <c r="J473" s="96">
        <v>-6.3611316138909209E-4</v>
      </c>
      <c r="L473" s="100"/>
      <c r="M473" s="100">
        <v>9.224566322344721</v>
      </c>
      <c r="N473" s="96">
        <v>1.953125E-3</v>
      </c>
      <c r="O473" s="96">
        <f t="shared" si="31"/>
        <v>0.615234375</v>
      </c>
      <c r="Q473" s="96">
        <f t="shared" si="28"/>
        <v>0</v>
      </c>
      <c r="R473" s="96">
        <f t="shared" si="29"/>
        <v>1</v>
      </c>
      <c r="S473" s="96">
        <f t="shared" si="30"/>
        <v>0</v>
      </c>
    </row>
    <row r="474" spans="1:19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10.577300017468453</v>
      </c>
      <c r="H474">
        <v>4.8749248570982405E-4</v>
      </c>
      <c r="I474">
        <v>-0.70287468027687106</v>
      </c>
      <c r="J474" s="96">
        <v>-3.4264612503066968E-4</v>
      </c>
      <c r="L474" s="100"/>
      <c r="M474" s="100">
        <v>9.224566322344721</v>
      </c>
      <c r="N474" s="96">
        <v>3.90625E-3</v>
      </c>
      <c r="O474" s="96">
        <f t="shared" si="31"/>
        <v>0.619140625</v>
      </c>
      <c r="Q474" s="96">
        <f t="shared" si="28"/>
        <v>0</v>
      </c>
      <c r="R474" s="96">
        <f t="shared" si="29"/>
        <v>1</v>
      </c>
      <c r="S474" s="96">
        <f t="shared" si="30"/>
        <v>0</v>
      </c>
    </row>
    <row r="475" spans="1:19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22.961119279202251</v>
      </c>
      <c r="H475">
        <v>1.2297107747635201E-4</v>
      </c>
      <c r="I475">
        <v>-0.46516149033652132</v>
      </c>
      <c r="J475" s="96">
        <v>-5.7201409667187729E-5</v>
      </c>
      <c r="L475" s="100"/>
      <c r="M475" s="100">
        <v>9.224566322344721</v>
      </c>
      <c r="N475" s="96">
        <v>1.953125E-3</v>
      </c>
      <c r="O475" s="96">
        <f t="shared" si="31"/>
        <v>0.62109375</v>
      </c>
      <c r="Q475" s="96">
        <f t="shared" si="28"/>
        <v>0</v>
      </c>
      <c r="R475" s="96">
        <f t="shared" si="29"/>
        <v>1</v>
      </c>
      <c r="S475" s="96">
        <f t="shared" si="30"/>
        <v>0</v>
      </c>
    </row>
    <row r="476" spans="1:19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-14.5</v>
      </c>
      <c r="H476">
        <v>1.2297107747635201E-4</v>
      </c>
      <c r="I476">
        <v>-1.6214703050420796</v>
      </c>
      <c r="J476" s="96">
        <v>-1.9939395050693368E-4</v>
      </c>
      <c r="L476" s="100"/>
      <c r="M476" s="100">
        <v>9.4137620187462474</v>
      </c>
      <c r="N476" s="96">
        <v>4.8828125E-4</v>
      </c>
      <c r="O476" s="96">
        <f t="shared" si="31"/>
        <v>0.62158203125</v>
      </c>
      <c r="Q476" s="96">
        <f t="shared" si="28"/>
        <v>0</v>
      </c>
      <c r="R476" s="96">
        <f t="shared" si="29"/>
        <v>1</v>
      </c>
      <c r="S476" s="96">
        <f t="shared" si="30"/>
        <v>0</v>
      </c>
    </row>
    <row r="477" spans="1:19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6.3718429117564508</v>
      </c>
      <c r="H477">
        <v>1.2297107747635201E-4</v>
      </c>
      <c r="I477">
        <v>-0.8086454106745089</v>
      </c>
      <c r="J477" s="96">
        <v>-9.9439997446951526E-5</v>
      </c>
      <c r="L477" s="100"/>
      <c r="M477" s="100">
        <v>9.4137620187462474</v>
      </c>
      <c r="N477" s="96">
        <v>9.765625E-4</v>
      </c>
      <c r="O477" s="96">
        <f t="shared" si="31"/>
        <v>0.62255859375</v>
      </c>
      <c r="Q477" s="96">
        <f t="shared" si="28"/>
        <v>0</v>
      </c>
      <c r="R477" s="96">
        <f t="shared" si="29"/>
        <v>1</v>
      </c>
      <c r="S477" s="96">
        <f t="shared" si="30"/>
        <v>0</v>
      </c>
    </row>
    <row r="478" spans="1:19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18.865151005358459</v>
      </c>
      <c r="H478">
        <v>3.1019731255295997E-5</v>
      </c>
      <c r="I478">
        <v>-0.53321083677750525</v>
      </c>
      <c r="J478" s="96">
        <v>-1.6540056859249711E-5</v>
      </c>
      <c r="L478" s="100"/>
      <c r="M478" s="100">
        <v>9.4137620187462474</v>
      </c>
      <c r="N478" s="96">
        <v>4.8828125E-4</v>
      </c>
      <c r="O478" s="96">
        <f t="shared" si="31"/>
        <v>0.623046875</v>
      </c>
      <c r="Q478" s="96">
        <f t="shared" si="28"/>
        <v>0</v>
      </c>
      <c r="R478" s="96">
        <f t="shared" si="29"/>
        <v>1</v>
      </c>
      <c r="S478" s="96">
        <f t="shared" si="30"/>
        <v>0</v>
      </c>
    </row>
    <row r="479" spans="1:19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-4.3446050569387475</v>
      </c>
      <c r="H479">
        <v>1.2297107747635201E-4</v>
      </c>
      <c r="I479">
        <v>-1.1558316967044109</v>
      </c>
      <c r="J479" s="96">
        <v>-1.4213386912506151E-4</v>
      </c>
      <c r="L479" s="100"/>
      <c r="M479" s="100">
        <v>9.8975257856043335</v>
      </c>
      <c r="N479" s="96">
        <v>4.8828125E-4</v>
      </c>
      <c r="O479" s="96">
        <f t="shared" si="31"/>
        <v>0.62353515625</v>
      </c>
      <c r="Q479" s="96">
        <f t="shared" si="28"/>
        <v>0</v>
      </c>
      <c r="R479" s="96">
        <f t="shared" si="29"/>
        <v>1</v>
      </c>
      <c r="S479" s="96">
        <f t="shared" si="30"/>
        <v>0</v>
      </c>
    </row>
    <row r="480" spans="1:19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12.977700868993718</v>
      </c>
      <c r="H480">
        <v>1.2297107747635201E-4</v>
      </c>
      <c r="I480">
        <v>-0.64882643733137257</v>
      </c>
      <c r="J480" s="96">
        <v>-7.9786886093781667E-5</v>
      </c>
      <c r="L480" s="100"/>
      <c r="M480" s="100">
        <v>9.8975257856043335</v>
      </c>
      <c r="N480" s="96">
        <v>9.765625E-4</v>
      </c>
      <c r="O480" s="96">
        <f t="shared" si="31"/>
        <v>0.62451171875</v>
      </c>
      <c r="Q480" s="96">
        <f t="shared" si="28"/>
        <v>0</v>
      </c>
      <c r="R480" s="96">
        <f t="shared" si="29"/>
        <v>1</v>
      </c>
      <c r="S480" s="96">
        <f t="shared" si="30"/>
        <v>0</v>
      </c>
    </row>
    <row r="481" spans="1:19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25.367738955906368</v>
      </c>
      <c r="H481">
        <v>3.1019731255295997E-5</v>
      </c>
      <c r="I481">
        <v>-0.42930343665530679</v>
      </c>
      <c r="J481" s="96">
        <v>-1.3316877232022606E-5</v>
      </c>
      <c r="L481" s="100"/>
      <c r="M481" s="100">
        <v>9.8975257856043335</v>
      </c>
      <c r="N481" s="96">
        <v>4.8828125E-4</v>
      </c>
      <c r="O481" s="96">
        <f t="shared" si="31"/>
        <v>0.625</v>
      </c>
      <c r="Q481" s="96">
        <f t="shared" si="28"/>
        <v>0</v>
      </c>
      <c r="R481" s="96">
        <f t="shared" si="29"/>
        <v>1</v>
      </c>
      <c r="S481" s="96">
        <f t="shared" si="30"/>
        <v>0</v>
      </c>
    </row>
    <row r="482" spans="1:19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-10.483047935047331</v>
      </c>
      <c r="H482">
        <v>1.2297107747635201E-4</v>
      </c>
      <c r="I482">
        <v>-1.418265904264834</v>
      </c>
      <c r="J482" s="96">
        <v>-1.7440568639541935E-4</v>
      </c>
      <c r="L482" s="100"/>
      <c r="M482" s="100">
        <v>10.007860615072559</v>
      </c>
      <c r="N482" s="96">
        <v>3.90625E-3</v>
      </c>
      <c r="O482" s="96">
        <f t="shared" si="31"/>
        <v>0.62890625</v>
      </c>
      <c r="Q482" s="96">
        <f t="shared" si="28"/>
        <v>0</v>
      </c>
      <c r="R482" s="96">
        <f t="shared" si="29"/>
        <v>1</v>
      </c>
      <c r="S482" s="96">
        <f t="shared" si="30"/>
        <v>0</v>
      </c>
    </row>
    <row r="483" spans="1:19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8.7755783776250844</v>
      </c>
      <c r="H483">
        <v>1.2297107747635201E-4</v>
      </c>
      <c r="I483">
        <v>-0.74638085523095454</v>
      </c>
      <c r="J483" s="96">
        <v>-9.1783257975471577E-5</v>
      </c>
      <c r="L483" s="100"/>
      <c r="M483" s="100">
        <v>10.007860615072559</v>
      </c>
      <c r="N483" s="96">
        <v>7.8125E-3</v>
      </c>
      <c r="O483" s="96">
        <f t="shared" si="31"/>
        <v>0.63671875</v>
      </c>
      <c r="Q483" s="96">
        <f t="shared" si="28"/>
        <v>0</v>
      </c>
      <c r="R483" s="96">
        <f t="shared" si="29"/>
        <v>1</v>
      </c>
      <c r="S483" s="96">
        <f t="shared" si="30"/>
        <v>0</v>
      </c>
    </row>
    <row r="484" spans="1:19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21.260882399661533</v>
      </c>
      <c r="H484">
        <v>3.1019731255295997E-5</v>
      </c>
      <c r="I484">
        <v>-0.49228568029873199</v>
      </c>
      <c r="J484" s="96">
        <v>-1.527056950369723E-5</v>
      </c>
      <c r="L484" s="100"/>
      <c r="M484" s="100">
        <v>10.007860615072559</v>
      </c>
      <c r="N484" s="96">
        <v>3.90625E-3</v>
      </c>
      <c r="O484" s="96">
        <f t="shared" si="31"/>
        <v>0.640625</v>
      </c>
      <c r="Q484" s="96">
        <f t="shared" si="28"/>
        <v>0</v>
      </c>
      <c r="R484" s="96">
        <f t="shared" si="29"/>
        <v>1</v>
      </c>
      <c r="S484" s="96">
        <f t="shared" si="30"/>
        <v>0</v>
      </c>
    </row>
    <row r="485" spans="1:19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-17</v>
      </c>
      <c r="H485">
        <v>3.1019731255296003E-5</v>
      </c>
      <c r="I485">
        <v>-1.7623826407286585</v>
      </c>
      <c r="J485" s="96">
        <v>-5.4668635884401875E-5</v>
      </c>
      <c r="L485" s="100"/>
      <c r="M485" s="100">
        <v>10.24161466355287</v>
      </c>
      <c r="N485" s="96">
        <v>9.765625E-4</v>
      </c>
      <c r="O485" s="96">
        <f t="shared" si="31"/>
        <v>0.6416015625</v>
      </c>
      <c r="Q485" s="96">
        <f t="shared" si="28"/>
        <v>0</v>
      </c>
      <c r="R485" s="96">
        <f t="shared" si="29"/>
        <v>1</v>
      </c>
      <c r="S485" s="96">
        <f t="shared" si="30"/>
        <v>0</v>
      </c>
    </row>
    <row r="486" spans="1:19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4.5279509801869846</v>
      </c>
      <c r="H486">
        <v>3.1019731255296003E-5</v>
      </c>
      <c r="I486">
        <v>-0.85990642883052837</v>
      </c>
      <c r="J486" s="96">
        <v>-2.6674066327024309E-5</v>
      </c>
      <c r="L486" s="100"/>
      <c r="M486" s="100">
        <v>10.24161466355287</v>
      </c>
      <c r="N486" s="96">
        <v>1.953125E-3</v>
      </c>
      <c r="O486" s="96">
        <f t="shared" si="31"/>
        <v>0.6435546875</v>
      </c>
      <c r="Q486" s="96">
        <f t="shared" si="28"/>
        <v>0</v>
      </c>
      <c r="R486" s="96">
        <f t="shared" si="29"/>
        <v>1</v>
      </c>
      <c r="S486" s="96">
        <f t="shared" si="30"/>
        <v>0</v>
      </c>
    </row>
    <row r="487" spans="1:19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17.11929163432762</v>
      </c>
      <c r="H487">
        <v>7.8247970734080004E-6</v>
      </c>
      <c r="I487">
        <v>-0.56516189193670641</v>
      </c>
      <c r="J487" s="96">
        <v>-4.4222771180280692E-6</v>
      </c>
      <c r="L487" s="100"/>
      <c r="M487" s="100">
        <v>10.24161466355287</v>
      </c>
      <c r="N487" s="96">
        <v>9.765625E-4</v>
      </c>
      <c r="O487" s="96">
        <f t="shared" si="31"/>
        <v>0.64453125</v>
      </c>
      <c r="Q487" s="96">
        <f t="shared" si="28"/>
        <v>0</v>
      </c>
      <c r="R487" s="96">
        <f t="shared" si="29"/>
        <v>1</v>
      </c>
      <c r="S487" s="96">
        <f t="shared" si="30"/>
        <v>0</v>
      </c>
    </row>
    <row r="488" spans="1:19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1.4902727149252621</v>
      </c>
      <c r="H488">
        <v>1.932559496921088E-3</v>
      </c>
      <c r="I488">
        <v>-0.9515379038352384</v>
      </c>
      <c r="J488" s="96">
        <v>-1.8389036127371748E-3</v>
      </c>
      <c r="L488" s="100"/>
      <c r="M488" s="100">
        <v>10.577300017468453</v>
      </c>
      <c r="N488" s="96">
        <v>3.90625E-3</v>
      </c>
      <c r="O488" s="96">
        <f t="shared" si="31"/>
        <v>0.6484375</v>
      </c>
      <c r="Q488" s="96">
        <f t="shared" si="28"/>
        <v>1</v>
      </c>
      <c r="R488" s="96">
        <f t="shared" si="29"/>
        <v>0</v>
      </c>
      <c r="S488" s="96">
        <f t="shared" si="30"/>
        <v>0</v>
      </c>
    </row>
    <row r="489" spans="1:19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22.51527942119969</v>
      </c>
      <c r="H489">
        <v>1.932559496921088E-3</v>
      </c>
      <c r="I489">
        <v>-0.47212603107941109</v>
      </c>
      <c r="J489" s="96">
        <v>-9.1241164510617661E-4</v>
      </c>
      <c r="L489" s="100"/>
      <c r="M489" s="100">
        <v>10.577300017468453</v>
      </c>
      <c r="N489" s="96">
        <v>7.8125E-3</v>
      </c>
      <c r="O489" s="96">
        <f t="shared" si="31"/>
        <v>0.65625</v>
      </c>
      <c r="Q489" s="96">
        <f t="shared" si="28"/>
        <v>1</v>
      </c>
      <c r="R489" s="96">
        <f t="shared" si="29"/>
        <v>0</v>
      </c>
      <c r="S489" s="96">
        <f t="shared" si="30"/>
        <v>0</v>
      </c>
    </row>
    <row r="490" spans="1:19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37.985882094762495</v>
      </c>
      <c r="H490">
        <v>4.8749248570982399E-4</v>
      </c>
      <c r="I490">
        <v>-0.28190192003777143</v>
      </c>
      <c r="J490" s="96">
        <v>-1.3742506772558522E-4</v>
      </c>
      <c r="L490" s="100"/>
      <c r="M490" s="100">
        <v>10.577300017468453</v>
      </c>
      <c r="N490" s="96">
        <v>3.90625E-3</v>
      </c>
      <c r="O490" s="96">
        <f t="shared" si="31"/>
        <v>0.66015625</v>
      </c>
      <c r="Q490" s="96">
        <f t="shared" si="28"/>
        <v>1</v>
      </c>
      <c r="R490" s="96">
        <f t="shared" si="29"/>
        <v>0</v>
      </c>
      <c r="S490" s="96">
        <f t="shared" si="30"/>
        <v>0</v>
      </c>
    </row>
    <row r="491" spans="1:19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-4.7448970094345793</v>
      </c>
      <c r="H491">
        <v>1.932559496921088E-3</v>
      </c>
      <c r="I491">
        <v>-1.171357384041676</v>
      </c>
      <c r="J491" s="96">
        <v>-2.263717836818383E-3</v>
      </c>
      <c r="L491" s="100"/>
      <c r="M491" s="100">
        <v>11.023925996452062</v>
      </c>
      <c r="N491" s="96">
        <v>1.953125E-3</v>
      </c>
      <c r="O491" s="96">
        <f t="shared" si="31"/>
        <v>0.662109375</v>
      </c>
      <c r="Q491" s="96">
        <f t="shared" si="28"/>
        <v>1</v>
      </c>
      <c r="R491" s="96">
        <f t="shared" si="29"/>
        <v>0</v>
      </c>
      <c r="S491" s="96">
        <f t="shared" si="30"/>
        <v>0</v>
      </c>
    </row>
    <row r="492" spans="1:19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17.358411863345417</v>
      </c>
      <c r="H492">
        <v>1.932559496921088E-3</v>
      </c>
      <c r="I492">
        <v>-0.56067507579855758</v>
      </c>
      <c r="J492" s="96">
        <v>-1.0835379424214532E-3</v>
      </c>
      <c r="L492" s="100"/>
      <c r="M492" s="100">
        <v>11.023925996452062</v>
      </c>
      <c r="N492" s="96">
        <v>3.90625E-3</v>
      </c>
      <c r="O492" s="96">
        <f t="shared" si="31"/>
        <v>0.666015625</v>
      </c>
      <c r="Q492" s="96">
        <f t="shared" si="28"/>
        <v>1</v>
      </c>
      <c r="R492" s="96">
        <f t="shared" si="29"/>
        <v>0</v>
      </c>
      <c r="S492" s="96">
        <f t="shared" si="30"/>
        <v>0</v>
      </c>
    </row>
    <row r="493" spans="1:19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32.829014536908225</v>
      </c>
      <c r="H493">
        <v>4.8749248570982399E-4</v>
      </c>
      <c r="I493">
        <v>-0.33477370443561</v>
      </c>
      <c r="J493" s="96">
        <v>-1.6319966532560144E-4</v>
      </c>
      <c r="L493" s="100"/>
      <c r="M493" s="100">
        <v>11.023925996452062</v>
      </c>
      <c r="N493" s="96">
        <v>1.953125E-3</v>
      </c>
      <c r="O493" s="96">
        <f t="shared" si="31"/>
        <v>0.66796875</v>
      </c>
      <c r="Q493" s="96">
        <f t="shared" si="28"/>
        <v>1</v>
      </c>
      <c r="R493" s="96">
        <f t="shared" si="29"/>
        <v>0</v>
      </c>
      <c r="S493" s="96">
        <f t="shared" si="30"/>
        <v>0</v>
      </c>
    </row>
    <row r="494" spans="1:19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-13</v>
      </c>
      <c r="H494">
        <v>4.8749248570982405E-4</v>
      </c>
      <c r="I494">
        <v>-1.5423902651101746</v>
      </c>
      <c r="J494" s="96">
        <v>-7.5190366427319358E-4</v>
      </c>
      <c r="L494" s="100"/>
      <c r="M494" s="100">
        <v>11.130933880251099</v>
      </c>
      <c r="N494" s="96">
        <v>9.765625E-4</v>
      </c>
      <c r="O494" s="96">
        <f t="shared" si="31"/>
        <v>0.6689453125</v>
      </c>
      <c r="Q494" s="96">
        <f t="shared" si="28"/>
        <v>1</v>
      </c>
      <c r="R494" s="96">
        <f t="shared" si="29"/>
        <v>0</v>
      </c>
      <c r="S494" s="96">
        <f t="shared" si="30"/>
        <v>0</v>
      </c>
    </row>
    <row r="495" spans="1:19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12.142250752679082</v>
      </c>
      <c r="H495">
        <v>4.8749248570982405E-4</v>
      </c>
      <c r="I495">
        <v>-0.667149118720609</v>
      </c>
      <c r="J495" s="96">
        <v>-3.2523018222422819E-4</v>
      </c>
      <c r="L495" s="100"/>
      <c r="M495" s="100">
        <v>11.130933880251099</v>
      </c>
      <c r="N495" s="96">
        <v>1.953125E-3</v>
      </c>
      <c r="O495" s="96">
        <f t="shared" si="31"/>
        <v>0.6708984375</v>
      </c>
      <c r="Q495" s="96">
        <f t="shared" si="28"/>
        <v>1</v>
      </c>
      <c r="R495" s="96">
        <f t="shared" si="29"/>
        <v>0</v>
      </c>
      <c r="S495" s="96">
        <f t="shared" si="30"/>
        <v>0</v>
      </c>
    </row>
    <row r="496" spans="1:19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27.672146979053963</v>
      </c>
      <c r="H496">
        <v>1.2297107747635201E-4</v>
      </c>
      <c r="I496">
        <v>-0.3975617944231265</v>
      </c>
      <c r="J496" s="96">
        <v>-4.888860222364382E-5</v>
      </c>
      <c r="L496" s="100"/>
      <c r="M496" s="100">
        <v>11.130933880251099</v>
      </c>
      <c r="N496" s="96">
        <v>9.765625E-4</v>
      </c>
      <c r="O496" s="96">
        <f t="shared" si="31"/>
        <v>0.671875</v>
      </c>
      <c r="Q496" s="96">
        <f t="shared" si="28"/>
        <v>1</v>
      </c>
      <c r="R496" s="96">
        <f t="shared" si="29"/>
        <v>0</v>
      </c>
      <c r="S496" s="96">
        <f t="shared" si="30"/>
        <v>0</v>
      </c>
    </row>
    <row r="497" spans="1:19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0.37820513723450122</v>
      </c>
      <c r="H497">
        <v>1.932559496921088E-3</v>
      </c>
      <c r="I497">
        <v>-0.98747229538394343</v>
      </c>
      <c r="J497" s="96">
        <v>-1.9083489623907058E-3</v>
      </c>
      <c r="L497" s="100"/>
      <c r="M497" s="100">
        <v>11.606092902532644</v>
      </c>
      <c r="N497" s="96">
        <v>9.765625E-4</v>
      </c>
      <c r="O497" s="96">
        <f t="shared" si="31"/>
        <v>0.6728515625</v>
      </c>
      <c r="Q497" s="96">
        <f t="shared" si="28"/>
        <v>1</v>
      </c>
      <c r="R497" s="96">
        <f t="shared" si="29"/>
        <v>0</v>
      </c>
      <c r="S497" s="96">
        <f t="shared" si="30"/>
        <v>0</v>
      </c>
    </row>
    <row r="498" spans="1:19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21.543057198977468</v>
      </c>
      <c r="H498">
        <v>1.932559496921088E-3</v>
      </c>
      <c r="I498">
        <v>-0.48767703456901079</v>
      </c>
      <c r="J498" s="96">
        <v>-9.4246488458665551E-4</v>
      </c>
      <c r="L498" s="100"/>
      <c r="M498" s="100">
        <v>11.606092902532644</v>
      </c>
      <c r="N498" s="96">
        <v>1.953125E-3</v>
      </c>
      <c r="O498" s="96">
        <f t="shared" si="31"/>
        <v>0.6748046875</v>
      </c>
      <c r="Q498" s="96">
        <f t="shared" si="28"/>
        <v>1</v>
      </c>
      <c r="R498" s="96">
        <f t="shared" si="29"/>
        <v>0</v>
      </c>
      <c r="S498" s="96">
        <f t="shared" si="30"/>
        <v>0</v>
      </c>
    </row>
    <row r="499" spans="1:19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37.013659872540273</v>
      </c>
      <c r="H499">
        <v>4.8749248570982399E-4</v>
      </c>
      <c r="I499">
        <v>-0.29118727490839674</v>
      </c>
      <c r="J499" s="96">
        <v>-1.4195160845216419E-4</v>
      </c>
      <c r="L499" s="100"/>
      <c r="M499" s="100">
        <v>11.606092902532644</v>
      </c>
      <c r="N499" s="96">
        <v>9.765625E-4</v>
      </c>
      <c r="O499" s="96">
        <f t="shared" si="31"/>
        <v>0.67578125</v>
      </c>
      <c r="Q499" s="96">
        <f t="shared" si="28"/>
        <v>1</v>
      </c>
      <c r="R499" s="96">
        <f t="shared" si="29"/>
        <v>0</v>
      </c>
      <c r="S499" s="96">
        <f t="shared" si="30"/>
        <v>0</v>
      </c>
    </row>
    <row r="500" spans="1:19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-6.2448970094345793</v>
      </c>
      <c r="H500">
        <v>1.932559496921088E-3</v>
      </c>
      <c r="I500">
        <v>-1.2314141613696441</v>
      </c>
      <c r="J500" s="96">
        <v>-2.379781132198023E-3</v>
      </c>
      <c r="L500" s="100"/>
      <c r="M500" s="100">
        <v>11.629485097309161</v>
      </c>
      <c r="N500" s="96">
        <v>1.953125E-3</v>
      </c>
      <c r="O500" s="96">
        <f t="shared" si="31"/>
        <v>0.677734375</v>
      </c>
      <c r="Q500" s="96">
        <f t="shared" si="28"/>
        <v>1</v>
      </c>
      <c r="R500" s="96">
        <f t="shared" si="29"/>
        <v>0</v>
      </c>
      <c r="S500" s="96">
        <f t="shared" si="30"/>
        <v>0</v>
      </c>
    </row>
    <row r="501" spans="1:19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16.357683125348164</v>
      </c>
      <c r="H501">
        <v>1.932559496921088E-3</v>
      </c>
      <c r="I501">
        <v>-0.579693302450496</v>
      </c>
      <c r="J501" s="96">
        <v>-1.1202917969522547E-3</v>
      </c>
      <c r="L501" s="100"/>
      <c r="M501" s="100">
        <v>11.629485097309161</v>
      </c>
      <c r="N501" s="96">
        <v>3.90625E-3</v>
      </c>
      <c r="O501" s="96">
        <f t="shared" si="31"/>
        <v>0.681640625</v>
      </c>
      <c r="Q501" s="96">
        <f t="shared" si="28"/>
        <v>1</v>
      </c>
      <c r="R501" s="96">
        <f t="shared" si="29"/>
        <v>0</v>
      </c>
      <c r="S501" s="96">
        <f t="shared" si="30"/>
        <v>0</v>
      </c>
    </row>
    <row r="502" spans="1:19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31.856792314686004</v>
      </c>
      <c r="H502">
        <v>4.8749248570982399E-4</v>
      </c>
      <c r="I502">
        <v>-0.34580056316229763</v>
      </c>
      <c r="J502" s="96">
        <v>-1.6857517609584547E-4</v>
      </c>
      <c r="L502" s="100"/>
      <c r="M502" s="100">
        <v>11.629485097309161</v>
      </c>
      <c r="N502" s="96">
        <v>1.953125E-3</v>
      </c>
      <c r="O502" s="96">
        <f t="shared" si="31"/>
        <v>0.68359375</v>
      </c>
      <c r="Q502" s="96">
        <f t="shared" si="28"/>
        <v>1</v>
      </c>
      <c r="R502" s="96">
        <f t="shared" si="29"/>
        <v>0</v>
      </c>
      <c r="S502" s="96">
        <f t="shared" si="30"/>
        <v>0</v>
      </c>
    </row>
    <row r="503" spans="1:19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-14.5</v>
      </c>
      <c r="H503">
        <v>4.8749248570982405E-4</v>
      </c>
      <c r="I503">
        <v>-1.6214703050420796</v>
      </c>
      <c r="J503" s="96">
        <v>-7.9045458950963003E-4</v>
      </c>
      <c r="L503" s="100"/>
      <c r="M503" s="100">
        <v>12.142250752679082</v>
      </c>
      <c r="N503" s="96">
        <v>4.8828125E-4</v>
      </c>
      <c r="O503" s="96">
        <f t="shared" si="31"/>
        <v>0.68408203125</v>
      </c>
      <c r="Q503" s="96">
        <f t="shared" si="28"/>
        <v>1</v>
      </c>
      <c r="R503" s="96">
        <f t="shared" si="29"/>
        <v>0</v>
      </c>
      <c r="S503" s="96">
        <f t="shared" si="30"/>
        <v>0</v>
      </c>
    </row>
    <row r="504" spans="1:19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11.130933880251099</v>
      </c>
      <c r="H504">
        <v>4.8749248570982405E-4</v>
      </c>
      <c r="I504">
        <v>-0.6900224612794772</v>
      </c>
      <c r="J504" s="96">
        <v>-3.3638076484474315E-4</v>
      </c>
      <c r="L504" s="100"/>
      <c r="M504" s="100">
        <v>12.142250752679082</v>
      </c>
      <c r="N504" s="96">
        <v>9.765625E-4</v>
      </c>
      <c r="O504" s="96">
        <f t="shared" si="31"/>
        <v>0.68505859375</v>
      </c>
      <c r="Q504" s="96">
        <f t="shared" si="28"/>
        <v>1</v>
      </c>
      <c r="R504" s="96">
        <f t="shared" si="29"/>
        <v>0</v>
      </c>
      <c r="S504" s="96">
        <f t="shared" si="30"/>
        <v>0</v>
      </c>
    </row>
    <row r="505" spans="1:19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26.699924756831738</v>
      </c>
      <c r="H505">
        <v>1.2297107747635201E-4</v>
      </c>
      <c r="I505">
        <v>-0.41065678272163386</v>
      </c>
      <c r="J505" s="96">
        <v>-5.0498907044251493E-5</v>
      </c>
      <c r="L505" s="100"/>
      <c r="M505" s="100">
        <v>12.142250752679082</v>
      </c>
      <c r="N505" s="96">
        <v>4.8828125E-4</v>
      </c>
      <c r="O505" s="96">
        <f t="shared" si="31"/>
        <v>0.685546875</v>
      </c>
      <c r="Q505" s="96">
        <f t="shared" si="28"/>
        <v>1</v>
      </c>
      <c r="R505" s="96">
        <f t="shared" si="29"/>
        <v>0</v>
      </c>
      <c r="S505" s="96">
        <f t="shared" si="30"/>
        <v>0</v>
      </c>
    </row>
    <row r="506" spans="1:19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-1.5290406772738361</v>
      </c>
      <c r="H506">
        <v>4.8749248570982405E-4</v>
      </c>
      <c r="I506">
        <v>-1.0522892432456679</v>
      </c>
      <c r="J506" s="96">
        <v>-5.129830988755403E-4</v>
      </c>
      <c r="L506" s="100"/>
      <c r="M506" s="100">
        <v>12.617409774960631</v>
      </c>
      <c r="N506" s="96">
        <v>4.8828125E-4</v>
      </c>
      <c r="O506" s="96">
        <f t="shared" si="31"/>
        <v>0.68603515625</v>
      </c>
      <c r="Q506" s="96">
        <f t="shared" si="28"/>
        <v>1</v>
      </c>
      <c r="R506" s="96">
        <f t="shared" si="29"/>
        <v>0</v>
      </c>
      <c r="S506" s="96">
        <f t="shared" si="30"/>
        <v>0</v>
      </c>
    </row>
    <row r="507" spans="1:19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19.898904249731924</v>
      </c>
      <c r="H507">
        <v>4.8749248570982405E-4</v>
      </c>
      <c r="I507">
        <v>-0.51515018043990279</v>
      </c>
      <c r="J507" s="96">
        <v>-2.5113184197651258E-4</v>
      </c>
      <c r="L507" s="100"/>
      <c r="M507" s="100">
        <v>12.617409774960631</v>
      </c>
      <c r="N507" s="96">
        <v>9.765625E-4</v>
      </c>
      <c r="O507" s="96">
        <f t="shared" si="31"/>
        <v>0.68701171875</v>
      </c>
      <c r="Q507" s="96">
        <f t="shared" si="28"/>
        <v>1</v>
      </c>
      <c r="R507" s="96">
        <f t="shared" si="29"/>
        <v>0</v>
      </c>
      <c r="S507" s="96">
        <f t="shared" si="30"/>
        <v>0</v>
      </c>
    </row>
    <row r="508" spans="1:19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35.3932895021699</v>
      </c>
      <c r="H508">
        <v>1.2297107747635201E-4</v>
      </c>
      <c r="I508">
        <v>-0.30734747939921481</v>
      </c>
      <c r="J508" s="96">
        <v>-3.7794850701362345E-5</v>
      </c>
      <c r="L508" s="100"/>
      <c r="M508" s="100">
        <v>12.617409774960631</v>
      </c>
      <c r="N508" s="96">
        <v>4.8828125E-4</v>
      </c>
      <c r="O508" s="96">
        <f t="shared" si="31"/>
        <v>0.6875</v>
      </c>
      <c r="Q508" s="96">
        <f t="shared" si="28"/>
        <v>1</v>
      </c>
      <c r="R508" s="96">
        <f t="shared" si="29"/>
        <v>0</v>
      </c>
      <c r="S508" s="96">
        <f t="shared" si="30"/>
        <v>0</v>
      </c>
    </row>
    <row r="509" spans="1:19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-8.7448970094345775</v>
      </c>
      <c r="H509">
        <v>4.8749248570982405E-4</v>
      </c>
      <c r="I509">
        <v>-1.338429038630454</v>
      </c>
      <c r="J509" s="96">
        <v>-6.524740989881702E-4</v>
      </c>
      <c r="L509" s="100"/>
      <c r="M509" s="100">
        <v>12.777610861340639</v>
      </c>
      <c r="N509" s="96">
        <v>3.90625E-3</v>
      </c>
      <c r="O509" s="96">
        <f t="shared" si="31"/>
        <v>0.69140625</v>
      </c>
      <c r="Q509" s="96">
        <f t="shared" si="28"/>
        <v>1</v>
      </c>
      <c r="R509" s="96">
        <f t="shared" si="29"/>
        <v>0</v>
      </c>
      <c r="S509" s="96">
        <f t="shared" si="30"/>
        <v>0</v>
      </c>
    </row>
    <row r="510" spans="1:19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14.672155004634858</v>
      </c>
      <c r="H510">
        <v>4.8749248570982405E-4</v>
      </c>
      <c r="I510">
        <v>-0.61319527745633073</v>
      </c>
      <c r="J510" s="96">
        <v>-2.9892809003271193E-4</v>
      </c>
      <c r="L510" s="100"/>
      <c r="M510" s="100">
        <v>12.777610861340639</v>
      </c>
      <c r="N510" s="96">
        <v>7.8125E-3</v>
      </c>
      <c r="O510" s="96">
        <f t="shared" si="31"/>
        <v>0.69921875</v>
      </c>
      <c r="Q510" s="96">
        <f t="shared" si="28"/>
        <v>1</v>
      </c>
      <c r="R510" s="96">
        <f t="shared" si="29"/>
        <v>0</v>
      </c>
      <c r="S510" s="96">
        <f t="shared" si="30"/>
        <v>0</v>
      </c>
    </row>
    <row r="511" spans="1:19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30.23642194431563</v>
      </c>
      <c r="H511">
        <v>1.2297107747635201E-4</v>
      </c>
      <c r="I511">
        <v>-0.36499167587661779</v>
      </c>
      <c r="J511" s="96">
        <v>-4.4883419652447128E-5</v>
      </c>
      <c r="L511" s="100"/>
      <c r="M511" s="100">
        <v>12.777610861340639</v>
      </c>
      <c r="N511" s="96">
        <v>3.90625E-3</v>
      </c>
      <c r="O511" s="96">
        <f t="shared" si="31"/>
        <v>0.703125</v>
      </c>
      <c r="Q511" s="96">
        <f t="shared" si="28"/>
        <v>1</v>
      </c>
      <c r="R511" s="96">
        <f t="shared" si="29"/>
        <v>0</v>
      </c>
      <c r="S511" s="96">
        <f t="shared" si="30"/>
        <v>0</v>
      </c>
    </row>
    <row r="512" spans="1:19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-17</v>
      </c>
      <c r="H512">
        <v>1.2297107747635201E-4</v>
      </c>
      <c r="I512">
        <v>-1.7623826407286585</v>
      </c>
      <c r="J512" s="96">
        <v>-2.167220922560217E-4</v>
      </c>
      <c r="L512" s="100"/>
      <c r="M512" s="100">
        <v>12.977700868993718</v>
      </c>
      <c r="N512" s="96">
        <v>9.765625E-4</v>
      </c>
      <c r="O512" s="96">
        <f t="shared" si="31"/>
        <v>0.7041015625</v>
      </c>
      <c r="Q512" s="96">
        <f t="shared" si="28"/>
        <v>1</v>
      </c>
      <c r="R512" s="96">
        <f t="shared" si="29"/>
        <v>0</v>
      </c>
      <c r="S512" s="96">
        <f t="shared" si="30"/>
        <v>0</v>
      </c>
    </row>
    <row r="513" spans="1:19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9.4137620187462474</v>
      </c>
      <c r="H513">
        <v>1.2297107747635201E-4</v>
      </c>
      <c r="I513">
        <v>-0.73067094275298961</v>
      </c>
      <c r="J513" s="96">
        <v>-8.9851393110997047E-5</v>
      </c>
      <c r="L513" s="100"/>
      <c r="M513" s="100">
        <v>12.977700868993718</v>
      </c>
      <c r="N513" s="96">
        <v>1.953125E-3</v>
      </c>
      <c r="O513" s="96">
        <f t="shared" si="31"/>
        <v>0.7060546875</v>
      </c>
      <c r="Q513" s="96">
        <f t="shared" si="28"/>
        <v>1</v>
      </c>
      <c r="R513" s="96">
        <f t="shared" si="29"/>
        <v>0</v>
      </c>
      <c r="S513" s="96">
        <f t="shared" si="30"/>
        <v>0</v>
      </c>
    </row>
    <row r="514" spans="1:19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25.079554386461371</v>
      </c>
      <c r="H514">
        <v>3.1019731255295997E-5</v>
      </c>
      <c r="I514">
        <v>-0.43344726210096352</v>
      </c>
      <c r="J514" s="96">
        <v>-1.3445417583715734E-5</v>
      </c>
      <c r="L514" s="100"/>
      <c r="M514" s="100">
        <v>12.977700868993718</v>
      </c>
      <c r="N514" s="96">
        <v>9.765625E-4</v>
      </c>
      <c r="O514" s="96">
        <f t="shared" si="31"/>
        <v>0.70703125</v>
      </c>
      <c r="Q514" s="96">
        <f t="shared" si="28"/>
        <v>1</v>
      </c>
      <c r="R514" s="96">
        <f t="shared" si="29"/>
        <v>0</v>
      </c>
      <c r="S514" s="96">
        <f t="shared" si="30"/>
        <v>0</v>
      </c>
    </row>
    <row r="515" spans="1:19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1.4902727149252621</v>
      </c>
      <c r="H515">
        <v>1.932559496921088E-3</v>
      </c>
      <c r="I515">
        <v>-0.9515379038352384</v>
      </c>
      <c r="J515" s="96">
        <v>-1.8389036127371748E-3</v>
      </c>
      <c r="L515" s="100"/>
      <c r="M515" s="100">
        <v>13.825126483959142</v>
      </c>
      <c r="N515" s="96">
        <v>1.953125E-3</v>
      </c>
      <c r="O515" s="96">
        <f t="shared" si="31"/>
        <v>0.708984375</v>
      </c>
      <c r="Q515" s="96">
        <f t="shared" ref="Q515:Q578" si="32">IF(A515=3,1,0)</f>
        <v>1</v>
      </c>
      <c r="R515" s="96">
        <f t="shared" ref="R515:R578" si="33">IF(A515=2,1,0)</f>
        <v>0</v>
      </c>
      <c r="S515" s="96">
        <f t="shared" ref="S515:S578" si="34">IF(A515=1,1,0)</f>
        <v>0</v>
      </c>
    </row>
    <row r="516" spans="1:19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22.51527942119969</v>
      </c>
      <c r="H516">
        <v>1.932559496921088E-3</v>
      </c>
      <c r="I516">
        <v>-0.47212603107941109</v>
      </c>
      <c r="J516" s="96">
        <v>-9.1241164510617661E-4</v>
      </c>
      <c r="L516" s="100"/>
      <c r="M516" s="100">
        <v>13.825126483959142</v>
      </c>
      <c r="N516" s="96">
        <v>3.90625E-3</v>
      </c>
      <c r="O516" s="96">
        <f t="shared" ref="O516:O579" si="35">N516+O515</f>
        <v>0.712890625</v>
      </c>
      <c r="Q516" s="96">
        <f t="shared" si="32"/>
        <v>1</v>
      </c>
      <c r="R516" s="96">
        <f t="shared" si="33"/>
        <v>0</v>
      </c>
      <c r="S516" s="96">
        <f t="shared" si="34"/>
        <v>0</v>
      </c>
    </row>
    <row r="517" spans="1:19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37.985882094762495</v>
      </c>
      <c r="H517">
        <v>4.8749248570982399E-4</v>
      </c>
      <c r="I517">
        <v>-0.28190192003777143</v>
      </c>
      <c r="J517" s="96">
        <v>-1.3742506772558522E-4</v>
      </c>
      <c r="L517" s="100"/>
      <c r="M517" s="100">
        <v>13.825126483959142</v>
      </c>
      <c r="N517" s="96">
        <v>1.953125E-3</v>
      </c>
      <c r="O517" s="96">
        <f t="shared" si="35"/>
        <v>0.71484375</v>
      </c>
      <c r="Q517" s="96">
        <f t="shared" si="32"/>
        <v>1</v>
      </c>
      <c r="R517" s="96">
        <f t="shared" si="33"/>
        <v>0</v>
      </c>
      <c r="S517" s="96">
        <f t="shared" si="34"/>
        <v>0</v>
      </c>
    </row>
    <row r="518" spans="1:19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-4.7448970094345793</v>
      </c>
      <c r="H518">
        <v>1.932559496921088E-3</v>
      </c>
      <c r="I518">
        <v>-1.171357384041676</v>
      </c>
      <c r="J518" s="96">
        <v>-2.263717836818383E-3</v>
      </c>
      <c r="L518" s="100"/>
      <c r="M518" s="100">
        <v>14.672155004634858</v>
      </c>
      <c r="N518" s="96">
        <v>9.765625E-4</v>
      </c>
      <c r="O518" s="96">
        <f t="shared" si="35"/>
        <v>0.7158203125</v>
      </c>
      <c r="Q518" s="96">
        <f t="shared" si="32"/>
        <v>1</v>
      </c>
      <c r="R518" s="96">
        <f t="shared" si="33"/>
        <v>0</v>
      </c>
      <c r="S518" s="96">
        <f t="shared" si="34"/>
        <v>0</v>
      </c>
    </row>
    <row r="519" spans="1:19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17.358411863345417</v>
      </c>
      <c r="H519">
        <v>1.932559496921088E-3</v>
      </c>
      <c r="I519">
        <v>-0.56067507579855758</v>
      </c>
      <c r="J519" s="96">
        <v>-1.0835379424214532E-3</v>
      </c>
      <c r="L519" s="100"/>
      <c r="M519" s="100">
        <v>14.672155004634858</v>
      </c>
      <c r="N519" s="96">
        <v>1.953125E-3</v>
      </c>
      <c r="O519" s="96">
        <f t="shared" si="35"/>
        <v>0.7177734375</v>
      </c>
      <c r="Q519" s="96">
        <f t="shared" si="32"/>
        <v>1</v>
      </c>
      <c r="R519" s="96">
        <f t="shared" si="33"/>
        <v>0</v>
      </c>
      <c r="S519" s="96">
        <f t="shared" si="34"/>
        <v>0</v>
      </c>
    </row>
    <row r="520" spans="1:19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32.829014536908225</v>
      </c>
      <c r="H520">
        <v>4.8749248570982399E-4</v>
      </c>
      <c r="I520">
        <v>-0.33477370443561</v>
      </c>
      <c r="J520" s="96">
        <v>-1.6319966532560144E-4</v>
      </c>
      <c r="L520" s="100"/>
      <c r="M520" s="100">
        <v>14.672155004634858</v>
      </c>
      <c r="N520" s="96">
        <v>9.765625E-4</v>
      </c>
      <c r="O520" s="96">
        <f t="shared" si="35"/>
        <v>0.71875</v>
      </c>
      <c r="Q520" s="96">
        <f t="shared" si="32"/>
        <v>1</v>
      </c>
      <c r="R520" s="96">
        <f t="shared" si="33"/>
        <v>0</v>
      </c>
      <c r="S520" s="96">
        <f t="shared" si="34"/>
        <v>0</v>
      </c>
    </row>
    <row r="521" spans="1:19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-13</v>
      </c>
      <c r="H521">
        <v>4.8749248570982405E-4</v>
      </c>
      <c r="I521">
        <v>-1.5423902651101746</v>
      </c>
      <c r="J521" s="96">
        <v>-7.5190366427319358E-4</v>
      </c>
      <c r="L521" s="100"/>
      <c r="M521" s="100">
        <v>14.723560240024558</v>
      </c>
      <c r="N521" s="96">
        <v>1.953125E-3</v>
      </c>
      <c r="O521" s="96">
        <f t="shared" si="35"/>
        <v>0.720703125</v>
      </c>
      <c r="Q521" s="96">
        <f t="shared" si="32"/>
        <v>1</v>
      </c>
      <c r="R521" s="96">
        <f t="shared" si="33"/>
        <v>0</v>
      </c>
      <c r="S521" s="96">
        <f t="shared" si="34"/>
        <v>0</v>
      </c>
    </row>
    <row r="522" spans="1:19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12.142250752679082</v>
      </c>
      <c r="H522">
        <v>4.8749248570982405E-4</v>
      </c>
      <c r="I522">
        <v>-0.667149118720609</v>
      </c>
      <c r="J522" s="96">
        <v>-3.2523018222422819E-4</v>
      </c>
      <c r="L522" s="100"/>
      <c r="M522" s="100">
        <v>14.723560240024558</v>
      </c>
      <c r="N522" s="96">
        <v>3.90625E-3</v>
      </c>
      <c r="O522" s="96">
        <f t="shared" si="35"/>
        <v>0.724609375</v>
      </c>
      <c r="Q522" s="96">
        <f t="shared" si="32"/>
        <v>1</v>
      </c>
      <c r="R522" s="96">
        <f t="shared" si="33"/>
        <v>0</v>
      </c>
      <c r="S522" s="96">
        <f t="shared" si="34"/>
        <v>0</v>
      </c>
    </row>
    <row r="523" spans="1:19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27.672146979053963</v>
      </c>
      <c r="H523">
        <v>1.2297107747635201E-4</v>
      </c>
      <c r="I523">
        <v>-0.3975617944231265</v>
      </c>
      <c r="J523" s="96">
        <v>-4.888860222364382E-5</v>
      </c>
      <c r="L523" s="100"/>
      <c r="M523" s="100">
        <v>14.723560240024558</v>
      </c>
      <c r="N523" s="96">
        <v>1.953125E-3</v>
      </c>
      <c r="O523" s="96">
        <f t="shared" si="35"/>
        <v>0.7265625</v>
      </c>
      <c r="Q523" s="96">
        <f t="shared" si="32"/>
        <v>1</v>
      </c>
      <c r="R523" s="96">
        <f t="shared" si="33"/>
        <v>0</v>
      </c>
      <c r="S523" s="96">
        <f t="shared" si="34"/>
        <v>0</v>
      </c>
    </row>
    <row r="524" spans="1:19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0.37820513723450122</v>
      </c>
      <c r="H524">
        <v>1.932559496921088E-3</v>
      </c>
      <c r="I524">
        <v>-0.98747229538394343</v>
      </c>
      <c r="J524" s="96">
        <v>-1.9083489623907058E-3</v>
      </c>
      <c r="L524" s="100"/>
      <c r="M524" s="100">
        <v>14.849017359196388</v>
      </c>
      <c r="N524" s="96">
        <v>9.765625E-4</v>
      </c>
      <c r="O524" s="96">
        <f t="shared" si="35"/>
        <v>0.7275390625</v>
      </c>
      <c r="Q524" s="96">
        <f t="shared" si="32"/>
        <v>1</v>
      </c>
      <c r="R524" s="96">
        <f t="shared" si="33"/>
        <v>0</v>
      </c>
      <c r="S524" s="96">
        <f t="shared" si="34"/>
        <v>0</v>
      </c>
    </row>
    <row r="525" spans="1:19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21.543057198977468</v>
      </c>
      <c r="H525">
        <v>1.932559496921088E-3</v>
      </c>
      <c r="I525">
        <v>-0.48767703456901079</v>
      </c>
      <c r="J525" s="96">
        <v>-9.4246488458665551E-4</v>
      </c>
      <c r="L525" s="100"/>
      <c r="M525" s="100">
        <v>14.849017359196388</v>
      </c>
      <c r="N525" s="96">
        <v>1.953125E-3</v>
      </c>
      <c r="O525" s="96">
        <f t="shared" si="35"/>
        <v>0.7294921875</v>
      </c>
      <c r="Q525" s="96">
        <f t="shared" si="32"/>
        <v>1</v>
      </c>
      <c r="R525" s="96">
        <f t="shared" si="33"/>
        <v>0</v>
      </c>
      <c r="S525" s="96">
        <f t="shared" si="34"/>
        <v>0</v>
      </c>
    </row>
    <row r="526" spans="1:19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37.013659872540273</v>
      </c>
      <c r="H526">
        <v>4.8749248570982399E-4</v>
      </c>
      <c r="I526">
        <v>-0.29118727490839674</v>
      </c>
      <c r="J526" s="96">
        <v>-1.4195160845216419E-4</v>
      </c>
      <c r="L526" s="100"/>
      <c r="M526" s="100">
        <v>14.849017359196388</v>
      </c>
      <c r="N526" s="96">
        <v>9.765625E-4</v>
      </c>
      <c r="O526" s="96">
        <f t="shared" si="35"/>
        <v>0.73046875</v>
      </c>
      <c r="Q526" s="96">
        <f t="shared" si="32"/>
        <v>1</v>
      </c>
      <c r="R526" s="96">
        <f t="shared" si="33"/>
        <v>0</v>
      </c>
      <c r="S526" s="96">
        <f t="shared" si="34"/>
        <v>0</v>
      </c>
    </row>
    <row r="527" spans="1:19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-6.2448970094345793</v>
      </c>
      <c r="H527">
        <v>1.932559496921088E-3</v>
      </c>
      <c r="I527">
        <v>-1.2314141613696441</v>
      </c>
      <c r="J527" s="96">
        <v>-2.379781132198023E-3</v>
      </c>
      <c r="L527" s="100"/>
      <c r="M527" s="100">
        <v>15.771075862643059</v>
      </c>
      <c r="N527" s="96">
        <v>9.765625E-4</v>
      </c>
      <c r="O527" s="96">
        <f t="shared" si="35"/>
        <v>0.7314453125</v>
      </c>
      <c r="Q527" s="96">
        <f t="shared" si="32"/>
        <v>1</v>
      </c>
      <c r="R527" s="96">
        <f t="shared" si="33"/>
        <v>0</v>
      </c>
      <c r="S527" s="96">
        <f t="shared" si="34"/>
        <v>0</v>
      </c>
    </row>
    <row r="528" spans="1:19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16.357683125348164</v>
      </c>
      <c r="H528">
        <v>1.932559496921088E-3</v>
      </c>
      <c r="I528">
        <v>-0.579693302450496</v>
      </c>
      <c r="J528" s="96">
        <v>-1.1202917969522547E-3</v>
      </c>
      <c r="L528" s="100"/>
      <c r="M528" s="100">
        <v>15.771075862643059</v>
      </c>
      <c r="N528" s="96">
        <v>1.953125E-3</v>
      </c>
      <c r="O528" s="96">
        <f t="shared" si="35"/>
        <v>0.7333984375</v>
      </c>
      <c r="Q528" s="96">
        <f t="shared" si="32"/>
        <v>1</v>
      </c>
      <c r="R528" s="96">
        <f t="shared" si="33"/>
        <v>0</v>
      </c>
      <c r="S528" s="96">
        <f t="shared" si="34"/>
        <v>0</v>
      </c>
    </row>
    <row r="529" spans="1:19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31.856792314686004</v>
      </c>
      <c r="H529">
        <v>4.8749248570982399E-4</v>
      </c>
      <c r="I529">
        <v>-0.34580056316229763</v>
      </c>
      <c r="J529" s="96">
        <v>-1.6857517609584547E-4</v>
      </c>
      <c r="L529" s="100"/>
      <c r="M529" s="100">
        <v>15.771075862643059</v>
      </c>
      <c r="N529" s="96">
        <v>9.765625E-4</v>
      </c>
      <c r="O529" s="96">
        <f t="shared" si="35"/>
        <v>0.734375</v>
      </c>
      <c r="Q529" s="96">
        <f t="shared" si="32"/>
        <v>1</v>
      </c>
      <c r="R529" s="96">
        <f t="shared" si="33"/>
        <v>0</v>
      </c>
      <c r="S529" s="96">
        <f t="shared" si="34"/>
        <v>0</v>
      </c>
    </row>
    <row r="530" spans="1:19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-14.5</v>
      </c>
      <c r="H530">
        <v>4.8749248570982405E-4</v>
      </c>
      <c r="I530">
        <v>-1.6214703050420796</v>
      </c>
      <c r="J530" s="96">
        <v>-7.9045458950963003E-4</v>
      </c>
      <c r="L530" s="100"/>
      <c r="M530" s="100">
        <v>16.357683125348164</v>
      </c>
      <c r="N530" s="96">
        <v>1.953125E-3</v>
      </c>
      <c r="O530" s="96">
        <f t="shared" si="35"/>
        <v>0.736328125</v>
      </c>
      <c r="Q530" s="96">
        <f t="shared" si="32"/>
        <v>1</v>
      </c>
      <c r="R530" s="96">
        <f t="shared" si="33"/>
        <v>0</v>
      </c>
      <c r="S530" s="96">
        <f t="shared" si="34"/>
        <v>0</v>
      </c>
    </row>
    <row r="531" spans="1:19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11.130933880251099</v>
      </c>
      <c r="H531">
        <v>4.8749248570982405E-4</v>
      </c>
      <c r="I531">
        <v>-0.6900224612794772</v>
      </c>
      <c r="J531" s="96">
        <v>-3.3638076484474315E-4</v>
      </c>
      <c r="L531" s="100"/>
      <c r="M531" s="100">
        <v>16.357683125348164</v>
      </c>
      <c r="N531" s="96">
        <v>3.90625E-3</v>
      </c>
      <c r="O531" s="96">
        <f t="shared" si="35"/>
        <v>0.740234375</v>
      </c>
      <c r="Q531" s="96">
        <f t="shared" si="32"/>
        <v>1</v>
      </c>
      <c r="R531" s="96">
        <f t="shared" si="33"/>
        <v>0</v>
      </c>
      <c r="S531" s="96">
        <f t="shared" si="34"/>
        <v>0</v>
      </c>
    </row>
    <row r="532" spans="1:19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26.699924756831738</v>
      </c>
      <c r="H532">
        <v>1.2297107747635201E-4</v>
      </c>
      <c r="I532">
        <v>-0.41065678272163386</v>
      </c>
      <c r="J532" s="96">
        <v>-5.0498907044251493E-5</v>
      </c>
      <c r="L532" s="100"/>
      <c r="M532" s="100">
        <v>16.357683125348164</v>
      </c>
      <c r="N532" s="96">
        <v>1.953125E-3</v>
      </c>
      <c r="O532" s="96">
        <f t="shared" si="35"/>
        <v>0.7421875</v>
      </c>
      <c r="Q532" s="96">
        <f t="shared" si="32"/>
        <v>1</v>
      </c>
      <c r="R532" s="96">
        <f t="shared" si="33"/>
        <v>0</v>
      </c>
      <c r="S532" s="96">
        <f t="shared" si="34"/>
        <v>0</v>
      </c>
    </row>
    <row r="533" spans="1:19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-1.5290406772738361</v>
      </c>
      <c r="H533">
        <v>4.8749248570982405E-4</v>
      </c>
      <c r="I533">
        <v>-1.0522892432456679</v>
      </c>
      <c r="J533" s="96">
        <v>-5.129830988755403E-4</v>
      </c>
      <c r="L533" s="100"/>
      <c r="M533" s="100">
        <v>16.594876730227227</v>
      </c>
      <c r="N533" s="96">
        <v>1.953125E-3</v>
      </c>
      <c r="O533" s="96">
        <f t="shared" si="35"/>
        <v>0.744140625</v>
      </c>
      <c r="Q533" s="96">
        <f t="shared" si="32"/>
        <v>1</v>
      </c>
      <c r="R533" s="96">
        <f t="shared" si="33"/>
        <v>0</v>
      </c>
      <c r="S533" s="96">
        <f t="shared" si="34"/>
        <v>0</v>
      </c>
    </row>
    <row r="534" spans="1:19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19.898904249731924</v>
      </c>
      <c r="H534">
        <v>4.8749248570982405E-4</v>
      </c>
      <c r="I534">
        <v>-0.51515018043990279</v>
      </c>
      <c r="J534" s="96">
        <v>-2.5113184197651258E-4</v>
      </c>
      <c r="L534" s="100"/>
      <c r="M534" s="100">
        <v>16.594876730227227</v>
      </c>
      <c r="N534" s="96">
        <v>3.90625E-3</v>
      </c>
      <c r="O534" s="96">
        <f t="shared" si="35"/>
        <v>0.748046875</v>
      </c>
      <c r="Q534" s="96">
        <f t="shared" si="32"/>
        <v>1</v>
      </c>
      <c r="R534" s="96">
        <f t="shared" si="33"/>
        <v>0</v>
      </c>
      <c r="S534" s="96">
        <f t="shared" si="34"/>
        <v>0</v>
      </c>
    </row>
    <row r="535" spans="1:19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35.3932895021699</v>
      </c>
      <c r="H535">
        <v>1.2297107747635201E-4</v>
      </c>
      <c r="I535">
        <v>-0.30734747939921481</v>
      </c>
      <c r="J535" s="96">
        <v>-3.7794850701362345E-5</v>
      </c>
      <c r="L535" s="100"/>
      <c r="M535" s="100">
        <v>16.594876730227227</v>
      </c>
      <c r="N535" s="96">
        <v>1.953125E-3</v>
      </c>
      <c r="O535" s="96">
        <f t="shared" si="35"/>
        <v>0.75</v>
      </c>
      <c r="Q535" s="96">
        <f t="shared" si="32"/>
        <v>1</v>
      </c>
      <c r="R535" s="96">
        <f t="shared" si="33"/>
        <v>0</v>
      </c>
      <c r="S535" s="96">
        <f t="shared" si="34"/>
        <v>0</v>
      </c>
    </row>
    <row r="536" spans="1:19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-8.7448970094345775</v>
      </c>
      <c r="H536">
        <v>4.8749248570982405E-4</v>
      </c>
      <c r="I536">
        <v>-1.338429038630454</v>
      </c>
      <c r="J536" s="96">
        <v>-6.524740989881702E-4</v>
      </c>
      <c r="L536" s="100"/>
      <c r="M536" s="100">
        <v>17.11929163432762</v>
      </c>
      <c r="N536" s="96">
        <v>4.8828125E-4</v>
      </c>
      <c r="O536" s="96">
        <f t="shared" si="35"/>
        <v>0.75048828125</v>
      </c>
      <c r="Q536" s="96">
        <f t="shared" si="32"/>
        <v>1</v>
      </c>
      <c r="R536" s="96">
        <f t="shared" si="33"/>
        <v>0</v>
      </c>
      <c r="S536" s="96">
        <f t="shared" si="34"/>
        <v>0</v>
      </c>
    </row>
    <row r="537" spans="1:19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14.672155004634858</v>
      </c>
      <c r="H537">
        <v>4.8749248570982405E-4</v>
      </c>
      <c r="I537">
        <v>-0.61319527745633073</v>
      </c>
      <c r="J537" s="96">
        <v>-2.9892809003271193E-4</v>
      </c>
      <c r="L537" s="100"/>
      <c r="M537" s="100">
        <v>17.11929163432762</v>
      </c>
      <c r="N537" s="96">
        <v>9.765625E-4</v>
      </c>
      <c r="O537" s="96">
        <f t="shared" si="35"/>
        <v>0.75146484375</v>
      </c>
      <c r="Q537" s="96">
        <f t="shared" si="32"/>
        <v>1</v>
      </c>
      <c r="R537" s="96">
        <f t="shared" si="33"/>
        <v>0</v>
      </c>
      <c r="S537" s="96">
        <f t="shared" si="34"/>
        <v>0</v>
      </c>
    </row>
    <row r="538" spans="1:19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30.23642194431563</v>
      </c>
      <c r="H538">
        <v>1.2297107747635201E-4</v>
      </c>
      <c r="I538">
        <v>-0.36499167587661779</v>
      </c>
      <c r="J538" s="96">
        <v>-4.4883419652447128E-5</v>
      </c>
      <c r="L538" s="100"/>
      <c r="M538" s="100">
        <v>17.11929163432762</v>
      </c>
      <c r="N538" s="96">
        <v>4.8828125E-4</v>
      </c>
      <c r="O538" s="96">
        <f t="shared" si="35"/>
        <v>0.751953125</v>
      </c>
      <c r="Q538" s="96">
        <f t="shared" si="32"/>
        <v>1</v>
      </c>
      <c r="R538" s="96">
        <f t="shared" si="33"/>
        <v>0</v>
      </c>
      <c r="S538" s="96">
        <f t="shared" si="34"/>
        <v>0</v>
      </c>
    </row>
    <row r="539" spans="1:19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-17</v>
      </c>
      <c r="H539">
        <v>1.2297107747635201E-4</v>
      </c>
      <c r="I539">
        <v>-1.7623826407286585</v>
      </c>
      <c r="J539" s="96">
        <v>-2.167220922560217E-4</v>
      </c>
      <c r="L539" s="100"/>
      <c r="M539" s="100">
        <v>17.358411863345417</v>
      </c>
      <c r="N539" s="96">
        <v>9.765625E-4</v>
      </c>
      <c r="O539" s="96">
        <f t="shared" si="35"/>
        <v>0.7529296875</v>
      </c>
      <c r="Q539" s="96">
        <f t="shared" si="32"/>
        <v>1</v>
      </c>
      <c r="R539" s="96">
        <f t="shared" si="33"/>
        <v>0</v>
      </c>
      <c r="S539" s="96">
        <f t="shared" si="34"/>
        <v>0</v>
      </c>
    </row>
    <row r="540" spans="1:19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9.4137620187462474</v>
      </c>
      <c r="H540">
        <v>1.2297107747635201E-4</v>
      </c>
      <c r="I540">
        <v>-0.73067094275298961</v>
      </c>
      <c r="J540" s="96">
        <v>-8.9851393110997047E-5</v>
      </c>
      <c r="L540" s="100"/>
      <c r="M540" s="100">
        <v>17.358411863345417</v>
      </c>
      <c r="N540" s="96">
        <v>1.953125E-3</v>
      </c>
      <c r="O540" s="96">
        <f t="shared" si="35"/>
        <v>0.7548828125</v>
      </c>
      <c r="Q540" s="96">
        <f t="shared" si="32"/>
        <v>1</v>
      </c>
      <c r="R540" s="96">
        <f t="shared" si="33"/>
        <v>0</v>
      </c>
      <c r="S540" s="96">
        <f t="shared" si="34"/>
        <v>0</v>
      </c>
    </row>
    <row r="541" spans="1:19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25.079554386461371</v>
      </c>
      <c r="H541">
        <v>3.1019731255295997E-5</v>
      </c>
      <c r="I541">
        <v>-0.43344726210096352</v>
      </c>
      <c r="J541" s="96">
        <v>-1.3445417583715734E-5</v>
      </c>
      <c r="L541" s="100"/>
      <c r="M541" s="100">
        <v>17.358411863345417</v>
      </c>
      <c r="N541" s="96">
        <v>9.765625E-4</v>
      </c>
      <c r="O541" s="96">
        <f t="shared" si="35"/>
        <v>0.755859375</v>
      </c>
      <c r="Q541" s="96">
        <f t="shared" si="32"/>
        <v>1</v>
      </c>
      <c r="R541" s="96">
        <f t="shared" si="33"/>
        <v>0</v>
      </c>
      <c r="S541" s="96">
        <f t="shared" si="34"/>
        <v>0</v>
      </c>
    </row>
    <row r="542" spans="1:19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1.4902727149252621</v>
      </c>
      <c r="H542">
        <v>4.8749248570982405E-4</v>
      </c>
      <c r="I542">
        <v>-0.9515379038352384</v>
      </c>
      <c r="J542" s="96">
        <v>-4.6386757798775588E-4</v>
      </c>
      <c r="L542" s="100"/>
      <c r="M542" s="100">
        <v>17.616686715366686</v>
      </c>
      <c r="N542" s="96">
        <v>9.765625E-4</v>
      </c>
      <c r="O542" s="96">
        <f t="shared" si="35"/>
        <v>0.7568359375</v>
      </c>
      <c r="Q542" s="96">
        <f t="shared" si="32"/>
        <v>1</v>
      </c>
      <c r="R542" s="96">
        <f t="shared" si="33"/>
        <v>0</v>
      </c>
      <c r="S542" s="96">
        <f t="shared" si="34"/>
        <v>0</v>
      </c>
    </row>
    <row r="543" spans="1:19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22.51527942119969</v>
      </c>
      <c r="H543">
        <v>4.8749248570982405E-4</v>
      </c>
      <c r="I543">
        <v>-0.47212603107941109</v>
      </c>
      <c r="J543" s="96">
        <v>-2.3015789245921575E-4</v>
      </c>
      <c r="L543" s="100"/>
      <c r="M543" s="100">
        <v>17.616686715366686</v>
      </c>
      <c r="N543" s="96">
        <v>1.953125E-3</v>
      </c>
      <c r="O543" s="96">
        <f t="shared" si="35"/>
        <v>0.7587890625</v>
      </c>
      <c r="Q543" s="96">
        <f t="shared" si="32"/>
        <v>1</v>
      </c>
      <c r="R543" s="96">
        <f t="shared" si="33"/>
        <v>0</v>
      </c>
      <c r="S543" s="96">
        <f t="shared" si="34"/>
        <v>0</v>
      </c>
    </row>
    <row r="544" spans="1:19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37.985882094762495</v>
      </c>
      <c r="H544">
        <v>1.2297107747635201E-4</v>
      </c>
      <c r="I544">
        <v>-0.28190192003777143</v>
      </c>
      <c r="J544" s="96">
        <v>-3.4665782849697178E-5</v>
      </c>
      <c r="L544" s="100"/>
      <c r="M544" s="100">
        <v>17.616686715366686</v>
      </c>
      <c r="N544" s="96">
        <v>9.765625E-4</v>
      </c>
      <c r="O544" s="96">
        <f t="shared" si="35"/>
        <v>0.759765625</v>
      </c>
      <c r="Q544" s="96">
        <f t="shared" si="32"/>
        <v>1</v>
      </c>
      <c r="R544" s="96">
        <f t="shared" si="33"/>
        <v>0</v>
      </c>
      <c r="S544" s="96">
        <f t="shared" si="34"/>
        <v>0</v>
      </c>
    </row>
    <row r="545" spans="1:19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-4.7448970094345793</v>
      </c>
      <c r="H545">
        <v>4.8749248570982405E-4</v>
      </c>
      <c r="I545">
        <v>-1.171357384041676</v>
      </c>
      <c r="J545" s="96">
        <v>-5.7102792280103361E-4</v>
      </c>
      <c r="L545" s="100"/>
      <c r="M545" s="100">
        <v>18.666283228082971</v>
      </c>
      <c r="N545" s="96">
        <v>1.953125E-3</v>
      </c>
      <c r="O545" s="96">
        <f t="shared" si="35"/>
        <v>0.76171875</v>
      </c>
      <c r="Q545" s="96">
        <f t="shared" si="32"/>
        <v>1</v>
      </c>
      <c r="R545" s="96">
        <f t="shared" si="33"/>
        <v>0</v>
      </c>
      <c r="S545" s="96">
        <f t="shared" si="34"/>
        <v>0</v>
      </c>
    </row>
    <row r="546" spans="1:19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17.358411863345417</v>
      </c>
      <c r="H546">
        <v>4.8749248570982405E-4</v>
      </c>
      <c r="I546">
        <v>-0.56067507579855758</v>
      </c>
      <c r="J546" s="96">
        <v>-2.7332488637658284E-4</v>
      </c>
      <c r="L546" s="100"/>
      <c r="M546" s="100">
        <v>18.666283228082971</v>
      </c>
      <c r="N546" s="96">
        <v>3.90625E-3</v>
      </c>
      <c r="O546" s="96">
        <f t="shared" si="35"/>
        <v>0.765625</v>
      </c>
      <c r="Q546" s="96">
        <f t="shared" si="32"/>
        <v>1</v>
      </c>
      <c r="R546" s="96">
        <f t="shared" si="33"/>
        <v>0</v>
      </c>
      <c r="S546" s="96">
        <f t="shared" si="34"/>
        <v>0</v>
      </c>
    </row>
    <row r="547" spans="1:19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32.829014536908225</v>
      </c>
      <c r="H547">
        <v>1.2297107747635201E-4</v>
      </c>
      <c r="I547">
        <v>-0.33477370443561</v>
      </c>
      <c r="J547" s="96">
        <v>-4.1167483145196764E-5</v>
      </c>
      <c r="L547" s="100"/>
      <c r="M547" s="100">
        <v>18.666283228082971</v>
      </c>
      <c r="N547" s="96">
        <v>1.953125E-3</v>
      </c>
      <c r="O547" s="96">
        <f t="shared" si="35"/>
        <v>0.767578125</v>
      </c>
      <c r="Q547" s="96">
        <f t="shared" si="32"/>
        <v>1</v>
      </c>
      <c r="R547" s="96">
        <f t="shared" si="33"/>
        <v>0</v>
      </c>
      <c r="S547" s="96">
        <f t="shared" si="34"/>
        <v>0</v>
      </c>
    </row>
    <row r="548" spans="1:19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-13</v>
      </c>
      <c r="H548">
        <v>1.2297107747635201E-4</v>
      </c>
      <c r="I548">
        <v>-1.5423902651101746</v>
      </c>
      <c r="J548" s="96">
        <v>-1.896693927896344E-4</v>
      </c>
      <c r="L548" s="100"/>
      <c r="M548" s="100">
        <v>18.865151005358459</v>
      </c>
      <c r="N548" s="96">
        <v>9.765625E-4</v>
      </c>
      <c r="O548" s="96">
        <f t="shared" si="35"/>
        <v>0.7685546875</v>
      </c>
      <c r="Q548" s="96">
        <f t="shared" si="32"/>
        <v>1</v>
      </c>
      <c r="R548" s="96">
        <f t="shared" si="33"/>
        <v>0</v>
      </c>
      <c r="S548" s="96">
        <f t="shared" si="34"/>
        <v>0</v>
      </c>
    </row>
    <row r="549" spans="1:19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12.142250752679082</v>
      </c>
      <c r="H549">
        <v>1.2297107747635201E-4</v>
      </c>
      <c r="I549">
        <v>-0.667149118720609</v>
      </c>
      <c r="J549" s="96">
        <v>-8.2040045966471969E-5</v>
      </c>
      <c r="L549" s="100"/>
      <c r="M549" s="100">
        <v>18.865151005358459</v>
      </c>
      <c r="N549" s="96">
        <v>1.953125E-3</v>
      </c>
      <c r="O549" s="96">
        <f t="shared" si="35"/>
        <v>0.7705078125</v>
      </c>
      <c r="Q549" s="96">
        <f t="shared" si="32"/>
        <v>1</v>
      </c>
      <c r="R549" s="96">
        <f t="shared" si="33"/>
        <v>0</v>
      </c>
      <c r="S549" s="96">
        <f t="shared" si="34"/>
        <v>0</v>
      </c>
    </row>
    <row r="550" spans="1:19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27.672146979053963</v>
      </c>
      <c r="H550">
        <v>3.1019731255295997E-5</v>
      </c>
      <c r="I550">
        <v>-0.3975617944231265</v>
      </c>
      <c r="J550" s="96">
        <v>-1.2332260020378619E-5</v>
      </c>
      <c r="L550" s="100"/>
      <c r="M550" s="100">
        <v>18.865151005358459</v>
      </c>
      <c r="N550" s="96">
        <v>9.765625E-4</v>
      </c>
      <c r="O550" s="96">
        <f t="shared" si="35"/>
        <v>0.771484375</v>
      </c>
      <c r="Q550" s="96">
        <f t="shared" si="32"/>
        <v>1</v>
      </c>
      <c r="R550" s="96">
        <f t="shared" si="33"/>
        <v>0</v>
      </c>
      <c r="S550" s="96">
        <f t="shared" si="34"/>
        <v>0</v>
      </c>
    </row>
    <row r="551" spans="1:19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0.37820513723450122</v>
      </c>
      <c r="H551">
        <v>4.8749248570982405E-4</v>
      </c>
      <c r="I551">
        <v>-0.98747229538394343</v>
      </c>
      <c r="J551" s="96">
        <v>-4.8138532384630418E-4</v>
      </c>
      <c r="L551" s="100"/>
      <c r="M551" s="100">
        <v>19.880288354212805</v>
      </c>
      <c r="N551" s="96">
        <v>4.8828125E-4</v>
      </c>
      <c r="O551" s="96">
        <f t="shared" si="35"/>
        <v>0.77197265625</v>
      </c>
      <c r="Q551" s="96">
        <f t="shared" si="32"/>
        <v>1</v>
      </c>
      <c r="R551" s="96">
        <f t="shared" si="33"/>
        <v>0</v>
      </c>
      <c r="S551" s="96">
        <f t="shared" si="34"/>
        <v>0</v>
      </c>
    </row>
    <row r="552" spans="1:19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21.543057198977468</v>
      </c>
      <c r="H552">
        <v>4.8749248570982405E-4</v>
      </c>
      <c r="I552">
        <v>-0.48767703456901079</v>
      </c>
      <c r="J552" s="96">
        <v>-2.3773888980564286E-4</v>
      </c>
      <c r="L552" s="100"/>
      <c r="M552" s="100">
        <v>19.880288354212805</v>
      </c>
      <c r="N552" s="96">
        <v>9.765625E-4</v>
      </c>
      <c r="O552" s="96">
        <f t="shared" si="35"/>
        <v>0.77294921875</v>
      </c>
      <c r="Q552" s="96">
        <f t="shared" si="32"/>
        <v>1</v>
      </c>
      <c r="R552" s="96">
        <f t="shared" si="33"/>
        <v>0</v>
      </c>
      <c r="S552" s="96">
        <f t="shared" si="34"/>
        <v>0</v>
      </c>
    </row>
    <row r="553" spans="1:19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37.013659872540273</v>
      </c>
      <c r="H553">
        <v>1.2297107747635201E-4</v>
      </c>
      <c r="I553">
        <v>-0.29118727490839674</v>
      </c>
      <c r="J553" s="96">
        <v>-3.580761294288827E-5</v>
      </c>
      <c r="L553" s="100"/>
      <c r="M553" s="100">
        <v>19.880288354212805</v>
      </c>
      <c r="N553" s="96">
        <v>4.8828125E-4</v>
      </c>
      <c r="O553" s="96">
        <f t="shared" si="35"/>
        <v>0.7734375</v>
      </c>
      <c r="Q553" s="96">
        <f t="shared" si="32"/>
        <v>1</v>
      </c>
      <c r="R553" s="96">
        <f t="shared" si="33"/>
        <v>0</v>
      </c>
      <c r="S553" s="96">
        <f t="shared" si="34"/>
        <v>0</v>
      </c>
    </row>
    <row r="554" spans="1:19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-6.2448970094345793</v>
      </c>
      <c r="H554">
        <v>4.8749248570982405E-4</v>
      </c>
      <c r="I554">
        <v>-1.2314141613696441</v>
      </c>
      <c r="J554" s="96">
        <v>-6.0030515046436621E-4</v>
      </c>
      <c r="L554" s="100"/>
      <c r="M554" s="100">
        <v>19.898904249731924</v>
      </c>
      <c r="N554" s="96">
        <v>4.8828125E-4</v>
      </c>
      <c r="O554" s="96">
        <f t="shared" si="35"/>
        <v>0.77392578125</v>
      </c>
      <c r="Q554" s="96">
        <f t="shared" si="32"/>
        <v>1</v>
      </c>
      <c r="R554" s="96">
        <f t="shared" si="33"/>
        <v>0</v>
      </c>
      <c r="S554" s="96">
        <f t="shared" si="34"/>
        <v>0</v>
      </c>
    </row>
    <row r="555" spans="1:19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16.357683125348164</v>
      </c>
      <c r="H555">
        <v>4.8749248570982405E-4</v>
      </c>
      <c r="I555">
        <v>-0.579693302450496</v>
      </c>
      <c r="J555" s="96">
        <v>-2.8259612896092915E-4</v>
      </c>
      <c r="L555" s="100"/>
      <c r="M555" s="100">
        <v>19.898904249731924</v>
      </c>
      <c r="N555" s="96">
        <v>9.765625E-4</v>
      </c>
      <c r="O555" s="96">
        <f t="shared" si="35"/>
        <v>0.77490234375</v>
      </c>
      <c r="Q555" s="96">
        <f t="shared" si="32"/>
        <v>1</v>
      </c>
      <c r="R555" s="96">
        <f t="shared" si="33"/>
        <v>0</v>
      </c>
      <c r="S555" s="96">
        <f t="shared" si="34"/>
        <v>0</v>
      </c>
    </row>
    <row r="556" spans="1:19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31.856792314686004</v>
      </c>
      <c r="H556">
        <v>1.2297107747635201E-4</v>
      </c>
      <c r="I556">
        <v>-0.34580056316229763</v>
      </c>
      <c r="J556" s="96">
        <v>-4.2523467843997056E-5</v>
      </c>
      <c r="L556" s="100"/>
      <c r="M556" s="100">
        <v>19.898904249731924</v>
      </c>
      <c r="N556" s="96">
        <v>4.8828125E-4</v>
      </c>
      <c r="O556" s="96">
        <f t="shared" si="35"/>
        <v>0.775390625</v>
      </c>
      <c r="Q556" s="96">
        <f t="shared" si="32"/>
        <v>1</v>
      </c>
      <c r="R556" s="96">
        <f t="shared" si="33"/>
        <v>0</v>
      </c>
      <c r="S556" s="96">
        <f t="shared" si="34"/>
        <v>0</v>
      </c>
    </row>
    <row r="557" spans="1:19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-14.5</v>
      </c>
      <c r="H557">
        <v>1.2297107747635201E-4</v>
      </c>
      <c r="I557">
        <v>-1.6214703050420796</v>
      </c>
      <c r="J557" s="96">
        <v>-1.9939395050693368E-4</v>
      </c>
      <c r="L557" s="100"/>
      <c r="M557" s="100">
        <v>20.374145977663829</v>
      </c>
      <c r="N557" s="96">
        <v>3.90625E-3</v>
      </c>
      <c r="O557" s="96">
        <f t="shared" si="35"/>
        <v>0.779296875</v>
      </c>
      <c r="Q557" s="96">
        <f t="shared" si="32"/>
        <v>1</v>
      </c>
      <c r="R557" s="96">
        <f t="shared" si="33"/>
        <v>0</v>
      </c>
      <c r="S557" s="96">
        <f t="shared" si="34"/>
        <v>0</v>
      </c>
    </row>
    <row r="558" spans="1:19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11.130933880251099</v>
      </c>
      <c r="H558">
        <v>1.2297107747635201E-4</v>
      </c>
      <c r="I558">
        <v>-0.6900224612794772</v>
      </c>
      <c r="J558" s="96">
        <v>-8.4852805546421688E-5</v>
      </c>
      <c r="L558" s="100"/>
      <c r="M558" s="100">
        <v>20.374145977663829</v>
      </c>
      <c r="N558" s="96">
        <v>7.8125E-3</v>
      </c>
      <c r="O558" s="96">
        <f t="shared" si="35"/>
        <v>0.787109375</v>
      </c>
      <c r="Q558" s="96">
        <f t="shared" si="32"/>
        <v>1</v>
      </c>
      <c r="R558" s="96">
        <f t="shared" si="33"/>
        <v>0</v>
      </c>
      <c r="S558" s="96">
        <f t="shared" si="34"/>
        <v>0</v>
      </c>
    </row>
    <row r="559" spans="1:19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26.699924756831738</v>
      </c>
      <c r="H559">
        <v>3.1019731255295997E-5</v>
      </c>
      <c r="I559">
        <v>-0.41065678272163386</v>
      </c>
      <c r="J559" s="96">
        <v>-1.2738463038189563E-5</v>
      </c>
      <c r="L559" s="100"/>
      <c r="M559" s="100">
        <v>20.374145977663829</v>
      </c>
      <c r="N559" s="96">
        <v>3.90625E-3</v>
      </c>
      <c r="O559" s="96">
        <f t="shared" si="35"/>
        <v>0.791015625</v>
      </c>
      <c r="Q559" s="96">
        <f t="shared" si="32"/>
        <v>1</v>
      </c>
      <c r="R559" s="96">
        <f t="shared" si="33"/>
        <v>0</v>
      </c>
      <c r="S559" s="96">
        <f t="shared" si="34"/>
        <v>0</v>
      </c>
    </row>
    <row r="560" spans="1:19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-1.5290406772738361</v>
      </c>
      <c r="H560">
        <v>1.2297107747635201E-4</v>
      </c>
      <c r="I560">
        <v>-1.0522892432456679</v>
      </c>
      <c r="J560" s="96">
        <v>-1.2940114205869485E-4</v>
      </c>
      <c r="L560" s="100"/>
      <c r="M560" s="100">
        <v>20.765558014284956</v>
      </c>
      <c r="N560" s="96">
        <v>9.765625E-4</v>
      </c>
      <c r="O560" s="96">
        <f t="shared" si="35"/>
        <v>0.7919921875</v>
      </c>
      <c r="Q560" s="96">
        <f t="shared" si="32"/>
        <v>1</v>
      </c>
      <c r="R560" s="96">
        <f t="shared" si="33"/>
        <v>0</v>
      </c>
      <c r="S560" s="96">
        <f t="shared" si="34"/>
        <v>0</v>
      </c>
    </row>
    <row r="561" spans="1:19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19.898904249731924</v>
      </c>
      <c r="H561">
        <v>1.2297107747635201E-4</v>
      </c>
      <c r="I561">
        <v>-0.51515018043990279</v>
      </c>
      <c r="J561" s="96">
        <v>-6.3348572750832009E-5</v>
      </c>
      <c r="L561" s="100"/>
      <c r="M561" s="100">
        <v>20.765558014284956</v>
      </c>
      <c r="N561" s="96">
        <v>1.953125E-3</v>
      </c>
      <c r="O561" s="96">
        <f t="shared" si="35"/>
        <v>0.7939453125</v>
      </c>
      <c r="Q561" s="96">
        <f t="shared" si="32"/>
        <v>1</v>
      </c>
      <c r="R561" s="96">
        <f t="shared" si="33"/>
        <v>0</v>
      </c>
      <c r="S561" s="96">
        <f t="shared" si="34"/>
        <v>0</v>
      </c>
    </row>
    <row r="562" spans="1:19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35.3932895021699</v>
      </c>
      <c r="H562">
        <v>3.1019731255295997E-5</v>
      </c>
      <c r="I562">
        <v>-0.30734747939921481</v>
      </c>
      <c r="J562" s="96">
        <v>-9.5338362129562652E-6</v>
      </c>
      <c r="L562" s="100"/>
      <c r="M562" s="100">
        <v>20.765558014284956</v>
      </c>
      <c r="N562" s="96">
        <v>9.765625E-4</v>
      </c>
      <c r="O562" s="96">
        <f t="shared" si="35"/>
        <v>0.794921875</v>
      </c>
      <c r="Q562" s="96">
        <f t="shared" si="32"/>
        <v>1</v>
      </c>
      <c r="R562" s="96">
        <f t="shared" si="33"/>
        <v>0</v>
      </c>
      <c r="S562" s="96">
        <f t="shared" si="34"/>
        <v>0</v>
      </c>
    </row>
    <row r="563" spans="1:19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30.23642194431563</v>
      </c>
      <c r="H563">
        <v>1.2297107747635201E-4</v>
      </c>
      <c r="I563">
        <v>-0.36499167587661779</v>
      </c>
      <c r="J563" s="96">
        <v>-4.4883419652447128E-5</v>
      </c>
      <c r="L563" s="100"/>
      <c r="M563" s="100">
        <v>21.260882399661533</v>
      </c>
      <c r="N563" s="96">
        <v>9.765625E-4</v>
      </c>
      <c r="O563" s="96">
        <f t="shared" si="35"/>
        <v>0.7958984375</v>
      </c>
      <c r="Q563" s="96">
        <f t="shared" si="32"/>
        <v>1</v>
      </c>
      <c r="R563" s="96">
        <f t="shared" si="33"/>
        <v>0</v>
      </c>
      <c r="S563" s="96">
        <f t="shared" si="34"/>
        <v>0</v>
      </c>
    </row>
    <row r="564" spans="1:19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14.672155004634858</v>
      </c>
      <c r="H564">
        <v>1.2297107747635201E-4</v>
      </c>
      <c r="I564">
        <v>-0.61319527745633073</v>
      </c>
      <c r="J564" s="96">
        <v>-7.5405283972215616E-5</v>
      </c>
      <c r="L564" s="100"/>
      <c r="M564" s="100">
        <v>21.260882399661533</v>
      </c>
      <c r="N564" s="96">
        <v>1.953125E-3</v>
      </c>
      <c r="O564" s="96">
        <f t="shared" si="35"/>
        <v>0.7978515625</v>
      </c>
      <c r="Q564" s="96">
        <f t="shared" si="32"/>
        <v>1</v>
      </c>
      <c r="R564" s="96">
        <f t="shared" si="33"/>
        <v>0</v>
      </c>
      <c r="S564" s="96">
        <f t="shared" si="34"/>
        <v>0</v>
      </c>
    </row>
    <row r="565" spans="1:19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30.23642194431563</v>
      </c>
      <c r="H565">
        <v>3.1019731255295997E-5</v>
      </c>
      <c r="I565">
        <v>-0.36499167587661779</v>
      </c>
      <c r="J565" s="96">
        <v>-1.1321943696112788E-5</v>
      </c>
      <c r="L565" s="100"/>
      <c r="M565" s="100">
        <v>21.260882399661533</v>
      </c>
      <c r="N565" s="96">
        <v>9.765625E-4</v>
      </c>
      <c r="O565" s="96">
        <f t="shared" si="35"/>
        <v>0.798828125</v>
      </c>
      <c r="Q565" s="96">
        <f t="shared" si="32"/>
        <v>1</v>
      </c>
      <c r="R565" s="96">
        <f t="shared" si="33"/>
        <v>0</v>
      </c>
      <c r="S565" s="96">
        <f t="shared" si="34"/>
        <v>0</v>
      </c>
    </row>
    <row r="566" spans="1:19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-17</v>
      </c>
      <c r="H566">
        <v>3.1019731255296003E-5</v>
      </c>
      <c r="I566">
        <v>-1.7623826407286585</v>
      </c>
      <c r="J566" s="96">
        <v>-5.4668635884401875E-5</v>
      </c>
      <c r="L566" s="100"/>
      <c r="M566" s="100">
        <v>21.385462850091812</v>
      </c>
      <c r="N566" s="96">
        <v>1.953125E-3</v>
      </c>
      <c r="O566" s="96">
        <f t="shared" si="35"/>
        <v>0.80078125</v>
      </c>
      <c r="Q566" s="96">
        <f t="shared" si="32"/>
        <v>1</v>
      </c>
      <c r="R566" s="96">
        <f t="shared" si="33"/>
        <v>0</v>
      </c>
      <c r="S566" s="96">
        <f t="shared" si="34"/>
        <v>0</v>
      </c>
    </row>
    <row r="567" spans="1:19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9.4137620187462474</v>
      </c>
      <c r="H567">
        <v>3.1019731255296003E-5</v>
      </c>
      <c r="I567">
        <v>-0.73067094275298961</v>
      </c>
      <c r="J567" s="96">
        <v>-2.2665216280251508E-5</v>
      </c>
      <c r="L567" s="100"/>
      <c r="M567" s="100">
        <v>21.385462850091812</v>
      </c>
      <c r="N567" s="96">
        <v>3.90625E-3</v>
      </c>
      <c r="O567" s="96">
        <f t="shared" si="35"/>
        <v>0.8046875</v>
      </c>
      <c r="Q567" s="96">
        <f t="shared" si="32"/>
        <v>1</v>
      </c>
      <c r="R567" s="96">
        <f t="shared" si="33"/>
        <v>0</v>
      </c>
      <c r="S567" s="96">
        <f t="shared" si="34"/>
        <v>0</v>
      </c>
    </row>
    <row r="568" spans="1:19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25.079554386461371</v>
      </c>
      <c r="H568">
        <v>7.8247970734080004E-6</v>
      </c>
      <c r="I568">
        <v>-0.43344726210096352</v>
      </c>
      <c r="J568" s="96">
        <v>-3.3916368679643299E-6</v>
      </c>
      <c r="L568" s="100"/>
      <c r="M568" s="100">
        <v>21.385462850091812</v>
      </c>
      <c r="N568" s="96">
        <v>1.953125E-3</v>
      </c>
      <c r="O568" s="96">
        <f t="shared" si="35"/>
        <v>0.806640625</v>
      </c>
      <c r="Q568" s="96">
        <f t="shared" si="32"/>
        <v>1</v>
      </c>
      <c r="R568" s="96">
        <f t="shared" si="33"/>
        <v>0</v>
      </c>
      <c r="S568" s="96">
        <f t="shared" si="34"/>
        <v>0</v>
      </c>
    </row>
    <row r="569" spans="1:19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7.2308047390087697</v>
      </c>
      <c r="H569">
        <v>1.932559496921088E-3</v>
      </c>
      <c r="I569">
        <v>-0.7858205467573578</v>
      </c>
      <c r="J569" s="96">
        <v>-1.5186449605116537E-3</v>
      </c>
      <c r="L569" s="100"/>
      <c r="M569" s="100">
        <v>21.543057198977468</v>
      </c>
      <c r="N569" s="96">
        <v>9.765625E-4</v>
      </c>
      <c r="O569" s="96">
        <f t="shared" si="35"/>
        <v>0.8076171875</v>
      </c>
      <c r="Q569" s="96">
        <f t="shared" si="32"/>
        <v>1</v>
      </c>
      <c r="R569" s="96">
        <f t="shared" si="33"/>
        <v>0</v>
      </c>
      <c r="S569" s="96">
        <f t="shared" si="34"/>
        <v>0</v>
      </c>
    </row>
    <row r="570" spans="1:19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39.469705334184646</v>
      </c>
      <c r="H570">
        <v>1.932559496921088E-3</v>
      </c>
      <c r="I570">
        <v>-0.26829803526715063</v>
      </c>
      <c r="J570" s="96">
        <v>-5.1850191606080088E-4</v>
      </c>
      <c r="L570" s="100"/>
      <c r="M570" s="100">
        <v>21.543057198977468</v>
      </c>
      <c r="N570" s="96">
        <v>1.953125E-3</v>
      </c>
      <c r="O570" s="96">
        <f t="shared" si="35"/>
        <v>0.8095703125</v>
      </c>
      <c r="Q570" s="96">
        <f t="shared" si="32"/>
        <v>1</v>
      </c>
      <c r="R570" s="96">
        <f t="shared" si="33"/>
        <v>0</v>
      </c>
      <c r="S570" s="96">
        <f t="shared" si="34"/>
        <v>0</v>
      </c>
    </row>
    <row r="571" spans="1:19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63.417520964239941</v>
      </c>
      <c r="H571">
        <v>4.8749248570982399E-4</v>
      </c>
      <c r="I571">
        <v>-0.12076396203984271</v>
      </c>
      <c r="J571" s="96">
        <v>-5.8871524038969749E-5</v>
      </c>
      <c r="L571" s="100"/>
      <c r="M571" s="100">
        <v>21.543057198977468</v>
      </c>
      <c r="N571" s="96">
        <v>9.765625E-4</v>
      </c>
      <c r="O571" s="96">
        <f t="shared" si="35"/>
        <v>0.810546875</v>
      </c>
      <c r="Q571" s="96">
        <f t="shared" si="32"/>
        <v>1</v>
      </c>
      <c r="R571" s="96">
        <f t="shared" si="33"/>
        <v>0</v>
      </c>
      <c r="S571" s="96">
        <f t="shared" si="34"/>
        <v>0</v>
      </c>
    </row>
    <row r="572" spans="1:19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-1.2545834449263205</v>
      </c>
      <c r="H572">
        <v>1.932559496921088E-3</v>
      </c>
      <c r="I572">
        <v>-1.0427061992357078</v>
      </c>
      <c r="J572" s="96">
        <v>-2.0150917678314591E-3</v>
      </c>
      <c r="L572" s="100"/>
      <c r="M572" s="100">
        <v>21.811835241858656</v>
      </c>
      <c r="N572" s="96">
        <v>4.8828125E-4</v>
      </c>
      <c r="O572" s="96">
        <f t="shared" si="35"/>
        <v>0.81103515625</v>
      </c>
      <c r="Q572" s="96">
        <f t="shared" si="32"/>
        <v>1</v>
      </c>
      <c r="R572" s="96">
        <f t="shared" si="33"/>
        <v>0</v>
      </c>
      <c r="S572" s="96">
        <f t="shared" si="34"/>
        <v>0</v>
      </c>
    </row>
    <row r="573" spans="1:19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31.487100124166211</v>
      </c>
      <c r="H573">
        <v>1.932559496921088E-3</v>
      </c>
      <c r="I573">
        <v>-0.35008825325068454</v>
      </c>
      <c r="J573" s="96">
        <v>-6.7656637858012534E-4</v>
      </c>
      <c r="L573" s="100"/>
      <c r="M573" s="100">
        <v>21.811835241858656</v>
      </c>
      <c r="N573" s="96">
        <v>9.765625E-4</v>
      </c>
      <c r="O573" s="96">
        <f t="shared" si="35"/>
        <v>0.81201171875</v>
      </c>
      <c r="Q573" s="96">
        <f t="shared" si="32"/>
        <v>1</v>
      </c>
      <c r="R573" s="96">
        <f t="shared" si="33"/>
        <v>0</v>
      </c>
      <c r="S573" s="96">
        <f t="shared" si="34"/>
        <v>0</v>
      </c>
    </row>
    <row r="574" spans="1:19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55.434915754221493</v>
      </c>
      <c r="H574">
        <v>4.8749248570982399E-4</v>
      </c>
      <c r="I574">
        <v>-0.15757865868851142</v>
      </c>
      <c r="J574" s="96">
        <v>-7.6818412018882386E-5</v>
      </c>
      <c r="L574" s="100"/>
      <c r="M574" s="100">
        <v>21.811835241858656</v>
      </c>
      <c r="N574" s="96">
        <v>4.8828125E-4</v>
      </c>
      <c r="O574" s="96">
        <f t="shared" si="35"/>
        <v>0.8125</v>
      </c>
      <c r="Q574" s="96">
        <f t="shared" si="32"/>
        <v>1</v>
      </c>
      <c r="R574" s="96">
        <f t="shared" si="33"/>
        <v>0</v>
      </c>
      <c r="S574" s="96">
        <f t="shared" si="34"/>
        <v>0</v>
      </c>
    </row>
    <row r="575" spans="1:19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-13</v>
      </c>
      <c r="H575">
        <v>4.8749248570982405E-4</v>
      </c>
      <c r="I575">
        <v>-1.5423902651101746</v>
      </c>
      <c r="J575" s="96">
        <v>-7.5190366427319358E-4</v>
      </c>
      <c r="L575" s="100"/>
      <c r="M575" s="100">
        <v>22.45108613499826</v>
      </c>
      <c r="N575" s="96">
        <v>1.953125E-3</v>
      </c>
      <c r="O575" s="96">
        <f t="shared" si="35"/>
        <v>0.814453125</v>
      </c>
      <c r="Q575" s="96">
        <f t="shared" si="32"/>
        <v>1</v>
      </c>
      <c r="R575" s="96">
        <f t="shared" si="33"/>
        <v>0</v>
      </c>
      <c r="S575" s="96">
        <f t="shared" si="34"/>
        <v>0</v>
      </c>
    </row>
    <row r="576" spans="1:19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23.462403007426246</v>
      </c>
      <c r="H576">
        <v>4.8749248570982405E-4</v>
      </c>
      <c r="I576">
        <v>-0.45745347187983554</v>
      </c>
      <c r="J576" s="96">
        <v>-2.2300513010329012E-4</v>
      </c>
      <c r="L576" s="100"/>
      <c r="M576" s="100">
        <v>22.45108613499826</v>
      </c>
      <c r="N576" s="96">
        <v>3.90625E-3</v>
      </c>
      <c r="O576" s="96">
        <f t="shared" si="35"/>
        <v>0.818359375</v>
      </c>
      <c r="Q576" s="96">
        <f t="shared" si="32"/>
        <v>1</v>
      </c>
      <c r="R576" s="96">
        <f t="shared" si="33"/>
        <v>0</v>
      </c>
      <c r="S576" s="96">
        <f t="shared" si="34"/>
        <v>0</v>
      </c>
    </row>
    <row r="577" spans="1:19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47.452310544203073</v>
      </c>
      <c r="H577">
        <v>1.2297107747635201E-4</v>
      </c>
      <c r="I577">
        <v>-0.20561625550077628</v>
      </c>
      <c r="J577" s="96">
        <v>-2.5284852485583349E-5</v>
      </c>
      <c r="L577" s="100"/>
      <c r="M577" s="100">
        <v>22.45108613499826</v>
      </c>
      <c r="N577" s="96">
        <v>1.953125E-3</v>
      </c>
      <c r="O577" s="96">
        <f t="shared" si="35"/>
        <v>0.8203125</v>
      </c>
      <c r="Q577" s="96">
        <f t="shared" si="32"/>
        <v>1</v>
      </c>
      <c r="R577" s="96">
        <f t="shared" si="33"/>
        <v>0</v>
      </c>
      <c r="S577" s="96">
        <f t="shared" si="34"/>
        <v>0</v>
      </c>
    </row>
    <row r="578" spans="1:19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6.1497717551027478</v>
      </c>
      <c r="H578">
        <v>1.932559496921088E-3</v>
      </c>
      <c r="I578">
        <v>-0.81465351440475986</v>
      </c>
      <c r="J578" s="96">
        <v>-1.574366385963059E-3</v>
      </c>
      <c r="L578" s="100"/>
      <c r="M578" s="100">
        <v>22.457393991675644</v>
      </c>
      <c r="N578" s="96">
        <v>9.765625E-4</v>
      </c>
      <c r="O578" s="96">
        <f t="shared" si="35"/>
        <v>0.8212890625</v>
      </c>
      <c r="Q578" s="96">
        <f t="shared" si="32"/>
        <v>1</v>
      </c>
      <c r="R578" s="96">
        <f t="shared" si="33"/>
        <v>0</v>
      </c>
      <c r="S578" s="96">
        <f t="shared" si="34"/>
        <v>0</v>
      </c>
    </row>
    <row r="579" spans="1:19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38.497483111962424</v>
      </c>
      <c r="H579">
        <v>1.932559496921088E-3</v>
      </c>
      <c r="I579">
        <v>-0.27713530203075859</v>
      </c>
      <c r="J579" s="96">
        <v>-5.3558045987163656E-4</v>
      </c>
      <c r="L579" s="100"/>
      <c r="M579" s="100">
        <v>22.457393991675644</v>
      </c>
      <c r="N579" s="96">
        <v>1.953125E-3</v>
      </c>
      <c r="O579" s="96">
        <f t="shared" si="35"/>
        <v>0.8232421875</v>
      </c>
      <c r="Q579" s="96">
        <f t="shared" ref="Q579:Q642" si="36">IF(A579=3,1,0)</f>
        <v>1</v>
      </c>
      <c r="R579" s="96">
        <f t="shared" ref="R579:R642" si="37">IF(A579=2,1,0)</f>
        <v>0</v>
      </c>
      <c r="S579" s="96">
        <f t="shared" ref="S579:S642" si="38">IF(A579=1,1,0)</f>
        <v>0</v>
      </c>
    </row>
    <row r="580" spans="1:19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62.445298742017719</v>
      </c>
      <c r="H580">
        <v>4.8749248570982399E-4</v>
      </c>
      <c r="I580">
        <v>-0.12474171516395209</v>
      </c>
      <c r="J580" s="96">
        <v>-6.0810648796981846E-5</v>
      </c>
      <c r="L580" s="100"/>
      <c r="M580" s="100">
        <v>22.457393991675644</v>
      </c>
      <c r="N580" s="96">
        <v>9.765625E-4</v>
      </c>
      <c r="O580" s="96">
        <f t="shared" ref="O580:O643" si="39">N580+O579</f>
        <v>0.82421875</v>
      </c>
      <c r="Q580" s="96">
        <f t="shared" si="36"/>
        <v>1</v>
      </c>
      <c r="R580" s="96">
        <f t="shared" si="37"/>
        <v>0</v>
      </c>
      <c r="S580" s="96">
        <f t="shared" si="38"/>
        <v>0</v>
      </c>
    </row>
    <row r="581" spans="1:19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-2.4298072441115979</v>
      </c>
      <c r="H581">
        <v>1.932559496921088E-3</v>
      </c>
      <c r="I581">
        <v>-1.0843639292932925</v>
      </c>
      <c r="J581" s="96">
        <v>-2.0955978096744198E-3</v>
      </c>
      <c r="L581" s="100"/>
      <c r="M581" s="100">
        <v>22.51527942119969</v>
      </c>
      <c r="N581" s="96">
        <v>4.8828125E-4</v>
      </c>
      <c r="O581" s="96">
        <f t="shared" si="39"/>
        <v>0.82470703125</v>
      </c>
      <c r="Q581" s="96">
        <f t="shared" si="36"/>
        <v>1</v>
      </c>
      <c r="R581" s="96">
        <f t="shared" si="37"/>
        <v>0</v>
      </c>
      <c r="S581" s="96">
        <f t="shared" si="38"/>
        <v>0</v>
      </c>
    </row>
    <row r="582" spans="1:19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30.507873443782124</v>
      </c>
      <c r="H582">
        <v>1.932559496921088E-3</v>
      </c>
      <c r="I582">
        <v>-0.36170398784816177</v>
      </c>
      <c r="J582" s="96">
        <v>-6.9901447679019486E-4</v>
      </c>
      <c r="L582" s="100"/>
      <c r="M582" s="100">
        <v>22.51527942119969</v>
      </c>
      <c r="N582" s="96">
        <v>9.765625E-4</v>
      </c>
      <c r="O582" s="96">
        <f t="shared" si="39"/>
        <v>0.82568359375</v>
      </c>
      <c r="Q582" s="96">
        <f t="shared" si="36"/>
        <v>1</v>
      </c>
      <c r="R582" s="96">
        <f t="shared" si="37"/>
        <v>0</v>
      </c>
      <c r="S582" s="96">
        <f t="shared" si="38"/>
        <v>0</v>
      </c>
    </row>
    <row r="583" spans="1:19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54.462693531999271</v>
      </c>
      <c r="H583">
        <v>4.8749248570982399E-4</v>
      </c>
      <c r="I583">
        <v>-0.16276902335776919</v>
      </c>
      <c r="J583" s="96">
        <v>-7.9348675793239307E-5</v>
      </c>
      <c r="L583" s="100"/>
      <c r="M583" s="100">
        <v>22.51527942119969</v>
      </c>
      <c r="N583" s="96">
        <v>4.8828125E-4</v>
      </c>
      <c r="O583" s="96">
        <f t="shared" si="39"/>
        <v>0.826171875</v>
      </c>
      <c r="Q583" s="96">
        <f t="shared" si="36"/>
        <v>1</v>
      </c>
      <c r="R583" s="96">
        <f t="shared" si="37"/>
        <v>0</v>
      </c>
      <c r="S583" s="96">
        <f t="shared" si="38"/>
        <v>0</v>
      </c>
    </row>
    <row r="584" spans="1:19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-14.5</v>
      </c>
      <c r="H584">
        <v>4.8749248570982405E-4</v>
      </c>
      <c r="I584">
        <v>-1.6214703050420796</v>
      </c>
      <c r="J584" s="96">
        <v>-7.9045458950963003E-4</v>
      </c>
      <c r="L584" s="100"/>
      <c r="M584" s="100">
        <v>22.961119279202251</v>
      </c>
      <c r="N584" s="96">
        <v>1.953125E-3</v>
      </c>
      <c r="O584" s="96">
        <f t="shared" si="39"/>
        <v>0.828125</v>
      </c>
      <c r="Q584" s="96">
        <f t="shared" si="36"/>
        <v>1</v>
      </c>
      <c r="R584" s="96">
        <f t="shared" si="37"/>
        <v>0</v>
      </c>
      <c r="S584" s="96">
        <f t="shared" si="38"/>
        <v>0</v>
      </c>
    </row>
    <row r="585" spans="1:19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22.45108613499826</v>
      </c>
      <c r="H585">
        <v>4.8749248570982405E-4</v>
      </c>
      <c r="I585">
        <v>-0.47313735674671048</v>
      </c>
      <c r="J585" s="96">
        <v>-2.3065090612262967E-4</v>
      </c>
      <c r="L585" s="100"/>
      <c r="M585" s="100">
        <v>22.961119279202251</v>
      </c>
      <c r="N585" s="96">
        <v>3.90625E-3</v>
      </c>
      <c r="O585" s="96">
        <f t="shared" si="39"/>
        <v>0.83203125</v>
      </c>
      <c r="Q585" s="96">
        <f t="shared" si="36"/>
        <v>1</v>
      </c>
      <c r="R585" s="96">
        <f t="shared" si="37"/>
        <v>0</v>
      </c>
      <c r="S585" s="96">
        <f t="shared" si="38"/>
        <v>0</v>
      </c>
    </row>
    <row r="586" spans="1:19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46.480088321980844</v>
      </c>
      <c r="H586">
        <v>1.2297107747635201E-4</v>
      </c>
      <c r="I586">
        <v>-0.21238889436481131</v>
      </c>
      <c r="J586" s="96">
        <v>-2.6117691184051953E-5</v>
      </c>
      <c r="L586" s="100"/>
      <c r="M586" s="100">
        <v>22.961119279202251</v>
      </c>
      <c r="N586" s="96">
        <v>1.953125E-3</v>
      </c>
      <c r="O586" s="96">
        <f t="shared" si="39"/>
        <v>0.833984375</v>
      </c>
      <c r="Q586" s="96">
        <f t="shared" si="36"/>
        <v>1</v>
      </c>
      <c r="R586" s="96">
        <f t="shared" si="37"/>
        <v>0</v>
      </c>
      <c r="S586" s="96">
        <f t="shared" si="38"/>
        <v>0</v>
      </c>
    </row>
    <row r="587" spans="1:19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4.3235231091175752</v>
      </c>
      <c r="H587">
        <v>4.8749248570982405E-4</v>
      </c>
      <c r="I587">
        <v>-0.86578606679589221</v>
      </c>
      <c r="J587" s="96">
        <v>-4.2206420179526126E-4</v>
      </c>
      <c r="L587" s="100"/>
      <c r="M587" s="100">
        <v>23.462403007426246</v>
      </c>
      <c r="N587" s="96">
        <v>9.765625E-4</v>
      </c>
      <c r="O587" s="96">
        <f t="shared" si="39"/>
        <v>0.8349609375</v>
      </c>
      <c r="Q587" s="96">
        <f t="shared" si="36"/>
        <v>1</v>
      </c>
      <c r="R587" s="96">
        <f t="shared" si="37"/>
        <v>0</v>
      </c>
      <c r="S587" s="96">
        <f t="shared" si="38"/>
        <v>0</v>
      </c>
    </row>
    <row r="588" spans="1:19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36.87711274159205</v>
      </c>
      <c r="H588">
        <v>4.8749248570982405E-4</v>
      </c>
      <c r="I588">
        <v>-0.29251565528915763</v>
      </c>
      <c r="J588" s="96">
        <v>-1.425991839059495E-4</v>
      </c>
      <c r="L588" s="100"/>
      <c r="M588" s="100">
        <v>23.462403007426246</v>
      </c>
      <c r="N588" s="96">
        <v>1.953125E-3</v>
      </c>
      <c r="O588" s="96">
        <f t="shared" si="39"/>
        <v>0.8369140625</v>
      </c>
      <c r="Q588" s="96">
        <f t="shared" si="36"/>
        <v>1</v>
      </c>
      <c r="R588" s="96">
        <f t="shared" si="37"/>
        <v>0</v>
      </c>
      <c r="S588" s="96">
        <f t="shared" si="38"/>
        <v>0</v>
      </c>
    </row>
    <row r="589" spans="1:19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60.824928371647346</v>
      </c>
      <c r="H589">
        <v>1.2297107747635201E-4</v>
      </c>
      <c r="I589">
        <v>-0.13166458508063714</v>
      </c>
      <c r="J589" s="96">
        <v>-1.6190935892842769E-5</v>
      </c>
      <c r="L589" s="100"/>
      <c r="M589" s="100">
        <v>23.462403007426246</v>
      </c>
      <c r="N589" s="96">
        <v>9.765625E-4</v>
      </c>
      <c r="O589" s="96">
        <f t="shared" si="39"/>
        <v>0.837890625</v>
      </c>
      <c r="Q589" s="96">
        <f t="shared" si="36"/>
        <v>1</v>
      </c>
      <c r="R589" s="96">
        <f t="shared" si="37"/>
        <v>0</v>
      </c>
      <c r="S589" s="96">
        <f t="shared" si="38"/>
        <v>0</v>
      </c>
    </row>
    <row r="590" spans="1:19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-4.4294892017680674</v>
      </c>
      <c r="H590">
        <v>4.8749248570982405E-4</v>
      </c>
      <c r="I590">
        <v>-1.1591067206509449</v>
      </c>
      <c r="J590" s="96">
        <v>-5.6505581645309173E-4</v>
      </c>
      <c r="L590" s="100"/>
      <c r="M590" s="100">
        <v>23.497363362571964</v>
      </c>
      <c r="N590" s="96">
        <v>9.765625E-4</v>
      </c>
      <c r="O590" s="96">
        <f t="shared" si="39"/>
        <v>0.8388671875</v>
      </c>
      <c r="Q590" s="96">
        <f t="shared" si="36"/>
        <v>1</v>
      </c>
      <c r="R590" s="96">
        <f t="shared" si="37"/>
        <v>0</v>
      </c>
      <c r="S590" s="96">
        <f t="shared" si="38"/>
        <v>0</v>
      </c>
    </row>
    <row r="591" spans="1:19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28.822345323068816</v>
      </c>
      <c r="H591">
        <v>4.8749248570982405E-4</v>
      </c>
      <c r="I591">
        <v>-0.38260779665391337</v>
      </c>
      <c r="J591" s="96">
        <v>-1.8651842584277512E-4</v>
      </c>
      <c r="L591" s="100"/>
      <c r="M591" s="100">
        <v>23.497363362571964</v>
      </c>
      <c r="N591" s="96">
        <v>1.953125E-3</v>
      </c>
      <c r="O591" s="96">
        <f t="shared" si="39"/>
        <v>0.8408203125</v>
      </c>
      <c r="Q591" s="96">
        <f t="shared" si="36"/>
        <v>1</v>
      </c>
      <c r="R591" s="96">
        <f t="shared" si="37"/>
        <v>0</v>
      </c>
      <c r="S591" s="96">
        <f t="shared" si="38"/>
        <v>0</v>
      </c>
    </row>
    <row r="592" spans="1:19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52.842323161628904</v>
      </c>
      <c r="H592">
        <v>1.2297107747635201E-4</v>
      </c>
      <c r="I592">
        <v>-0.17180231886513558</v>
      </c>
      <c r="J592" s="96">
        <v>-2.1126716263781519E-5</v>
      </c>
      <c r="L592" s="100"/>
      <c r="M592" s="100">
        <v>23.497363362571964</v>
      </c>
      <c r="N592" s="96">
        <v>9.765625E-4</v>
      </c>
      <c r="O592" s="96">
        <f t="shared" si="39"/>
        <v>0.841796875</v>
      </c>
      <c r="Q592" s="96">
        <f t="shared" si="36"/>
        <v>1</v>
      </c>
      <c r="R592" s="96">
        <f t="shared" si="37"/>
        <v>0</v>
      </c>
      <c r="S592" s="96">
        <f t="shared" si="38"/>
        <v>0</v>
      </c>
    </row>
    <row r="593" spans="1:19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-17</v>
      </c>
      <c r="H593">
        <v>1.2297107747635201E-4</v>
      </c>
      <c r="I593">
        <v>-1.7623826407286585</v>
      </c>
      <c r="J593" s="96">
        <v>-2.167220922560217E-4</v>
      </c>
      <c r="L593" s="100"/>
      <c r="M593" s="100">
        <v>23.972436151630234</v>
      </c>
      <c r="N593" s="96">
        <v>9.765625E-4</v>
      </c>
      <c r="O593" s="96">
        <f t="shared" si="39"/>
        <v>0.8427734375</v>
      </c>
      <c r="Q593" s="96">
        <f t="shared" si="36"/>
        <v>1</v>
      </c>
      <c r="R593" s="96">
        <f t="shared" si="37"/>
        <v>0</v>
      </c>
      <c r="S593" s="96">
        <f t="shared" si="38"/>
        <v>0</v>
      </c>
    </row>
    <row r="594" spans="1:19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20.765558014284956</v>
      </c>
      <c r="H594">
        <v>1.2297107747635201E-4</v>
      </c>
      <c r="I594">
        <v>-0.50048118810209974</v>
      </c>
      <c r="J594" s="96">
        <v>-6.1544710957560014E-5</v>
      </c>
      <c r="L594" s="100"/>
      <c r="M594" s="100">
        <v>23.972436151630234</v>
      </c>
      <c r="N594" s="96">
        <v>1.953125E-3</v>
      </c>
      <c r="O594" s="96">
        <f t="shared" si="39"/>
        <v>0.8447265625</v>
      </c>
      <c r="Q594" s="96">
        <f t="shared" si="36"/>
        <v>1</v>
      </c>
      <c r="R594" s="96">
        <f t="shared" si="37"/>
        <v>0</v>
      </c>
      <c r="S594" s="96">
        <f t="shared" si="38"/>
        <v>0</v>
      </c>
    </row>
    <row r="595" spans="1:19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44.859717951610477</v>
      </c>
      <c r="H595">
        <v>3.1019731255295997E-5</v>
      </c>
      <c r="I595">
        <v>-0.22417597525834909</v>
      </c>
      <c r="J595" s="96">
        <v>-6.9538785064078737E-6</v>
      </c>
      <c r="L595" s="100"/>
      <c r="M595" s="100">
        <v>23.972436151630234</v>
      </c>
      <c r="N595" s="96">
        <v>9.765625E-4</v>
      </c>
      <c r="O595" s="96">
        <f t="shared" si="39"/>
        <v>0.845703125</v>
      </c>
      <c r="Q595" s="96">
        <f t="shared" si="36"/>
        <v>1</v>
      </c>
      <c r="R595" s="96">
        <f t="shared" si="37"/>
        <v>0</v>
      </c>
      <c r="S595" s="96">
        <f t="shared" si="38"/>
        <v>0</v>
      </c>
    </row>
    <row r="596" spans="1:19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7.2308047390087697</v>
      </c>
      <c r="H596">
        <v>1.932559496921088E-3</v>
      </c>
      <c r="I596">
        <v>-0.7858205467573578</v>
      </c>
      <c r="J596" s="96">
        <v>-1.5186449605116537E-3</v>
      </c>
      <c r="L596" s="100"/>
      <c r="M596" s="100">
        <v>24.142922112388952</v>
      </c>
      <c r="N596" s="96">
        <v>1.953125E-3</v>
      </c>
      <c r="O596" s="96">
        <f t="shared" si="39"/>
        <v>0.84765625</v>
      </c>
      <c r="Q596" s="96">
        <f t="shared" si="36"/>
        <v>1</v>
      </c>
      <c r="R596" s="96">
        <f t="shared" si="37"/>
        <v>0</v>
      </c>
      <c r="S596" s="96">
        <f t="shared" si="38"/>
        <v>0</v>
      </c>
    </row>
    <row r="597" spans="1:19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39.469705334184646</v>
      </c>
      <c r="H597">
        <v>1.932559496921088E-3</v>
      </c>
      <c r="I597">
        <v>-0.26829803526715063</v>
      </c>
      <c r="J597" s="96">
        <v>-5.1850191606080088E-4</v>
      </c>
      <c r="L597" s="100"/>
      <c r="M597" s="100">
        <v>24.142922112388952</v>
      </c>
      <c r="N597" s="96">
        <v>3.90625E-3</v>
      </c>
      <c r="O597" s="96">
        <f t="shared" si="39"/>
        <v>0.8515625</v>
      </c>
      <c r="Q597" s="96">
        <f t="shared" si="36"/>
        <v>1</v>
      </c>
      <c r="R597" s="96">
        <f t="shared" si="37"/>
        <v>0</v>
      </c>
      <c r="S597" s="96">
        <f t="shared" si="38"/>
        <v>0</v>
      </c>
    </row>
    <row r="598" spans="1:19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63.417520964239941</v>
      </c>
      <c r="H598">
        <v>4.8749248570982399E-4</v>
      </c>
      <c r="I598">
        <v>-0.12076396203984271</v>
      </c>
      <c r="J598" s="96">
        <v>-5.8871524038969749E-5</v>
      </c>
      <c r="L598" s="100"/>
      <c r="M598" s="100">
        <v>24.142922112388952</v>
      </c>
      <c r="N598" s="96">
        <v>1.953125E-3</v>
      </c>
      <c r="O598" s="96">
        <f t="shared" si="39"/>
        <v>0.853515625</v>
      </c>
      <c r="Q598" s="96">
        <f t="shared" si="36"/>
        <v>1</v>
      </c>
      <c r="R598" s="96">
        <f t="shared" si="37"/>
        <v>0</v>
      </c>
      <c r="S598" s="96">
        <f t="shared" si="38"/>
        <v>0</v>
      </c>
    </row>
    <row r="599" spans="1:19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-1.2545834449263205</v>
      </c>
      <c r="H599">
        <v>1.932559496921088E-3</v>
      </c>
      <c r="I599">
        <v>-1.0427061992357078</v>
      </c>
      <c r="J599" s="96">
        <v>-2.0150917678314591E-3</v>
      </c>
      <c r="L599" s="100"/>
      <c r="M599" s="100">
        <v>24.508680234999947</v>
      </c>
      <c r="N599" s="96">
        <v>4.8828125E-4</v>
      </c>
      <c r="O599" s="96">
        <f t="shared" si="39"/>
        <v>0.85400390625</v>
      </c>
      <c r="Q599" s="96">
        <f t="shared" si="36"/>
        <v>1</v>
      </c>
      <c r="R599" s="96">
        <f t="shared" si="37"/>
        <v>0</v>
      </c>
      <c r="S599" s="96">
        <f t="shared" si="38"/>
        <v>0</v>
      </c>
    </row>
    <row r="600" spans="1:19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31.487100124166211</v>
      </c>
      <c r="H600">
        <v>1.932559496921088E-3</v>
      </c>
      <c r="I600">
        <v>-0.35008825325068454</v>
      </c>
      <c r="J600" s="96">
        <v>-6.7656637858012534E-4</v>
      </c>
      <c r="L600" s="100"/>
      <c r="M600" s="100">
        <v>24.508680234999947</v>
      </c>
      <c r="N600" s="96">
        <v>9.765625E-4</v>
      </c>
      <c r="O600" s="96">
        <f t="shared" si="39"/>
        <v>0.85498046875</v>
      </c>
      <c r="Q600" s="96">
        <f t="shared" si="36"/>
        <v>1</v>
      </c>
      <c r="R600" s="96">
        <f t="shared" si="37"/>
        <v>0</v>
      </c>
      <c r="S600" s="96">
        <f t="shared" si="38"/>
        <v>0</v>
      </c>
    </row>
    <row r="601" spans="1:19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55.434915754221493</v>
      </c>
      <c r="H601">
        <v>4.8749248570982399E-4</v>
      </c>
      <c r="I601">
        <v>-0.15757865868851142</v>
      </c>
      <c r="J601" s="96">
        <v>-7.6818412018882386E-5</v>
      </c>
      <c r="L601" s="100"/>
      <c r="M601" s="100">
        <v>24.508680234999947</v>
      </c>
      <c r="N601" s="96">
        <v>4.8828125E-4</v>
      </c>
      <c r="O601" s="96">
        <f t="shared" si="39"/>
        <v>0.85546875</v>
      </c>
      <c r="Q601" s="96">
        <f t="shared" si="36"/>
        <v>1</v>
      </c>
      <c r="R601" s="96">
        <f t="shared" si="37"/>
        <v>0</v>
      </c>
      <c r="S601" s="96">
        <f t="shared" si="38"/>
        <v>0</v>
      </c>
    </row>
    <row r="602" spans="1:19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-13</v>
      </c>
      <c r="H602">
        <v>4.8749248570982405E-4</v>
      </c>
      <c r="I602">
        <v>-1.5423902651101746</v>
      </c>
      <c r="J602" s="96">
        <v>-7.5190366427319358E-4</v>
      </c>
      <c r="L602" s="100"/>
      <c r="M602" s="100">
        <v>25.079554386461371</v>
      </c>
      <c r="N602" s="96">
        <v>2.44140625E-4</v>
      </c>
      <c r="O602" s="96">
        <f t="shared" si="39"/>
        <v>0.855712890625</v>
      </c>
      <c r="Q602" s="96">
        <f t="shared" si="36"/>
        <v>1</v>
      </c>
      <c r="R602" s="96">
        <f t="shared" si="37"/>
        <v>0</v>
      </c>
      <c r="S602" s="96">
        <f t="shared" si="38"/>
        <v>0</v>
      </c>
    </row>
    <row r="603" spans="1:19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23.462403007426246</v>
      </c>
      <c r="H603">
        <v>4.8749248570982405E-4</v>
      </c>
      <c r="I603">
        <v>-0.45745347187983554</v>
      </c>
      <c r="J603" s="96">
        <v>-2.2300513010329012E-4</v>
      </c>
      <c r="L603" s="100"/>
      <c r="M603" s="100">
        <v>25.079554386461371</v>
      </c>
      <c r="N603" s="96">
        <v>4.8828125E-4</v>
      </c>
      <c r="O603" s="96">
        <f t="shared" si="39"/>
        <v>0.856201171875</v>
      </c>
      <c r="Q603" s="96">
        <f t="shared" si="36"/>
        <v>1</v>
      </c>
      <c r="R603" s="96">
        <f t="shared" si="37"/>
        <v>0</v>
      </c>
      <c r="S603" s="96">
        <f t="shared" si="38"/>
        <v>0</v>
      </c>
    </row>
    <row r="604" spans="1:19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47.452310544203073</v>
      </c>
      <c r="H604">
        <v>1.2297107747635201E-4</v>
      </c>
      <c r="I604">
        <v>-0.20561625550077628</v>
      </c>
      <c r="J604" s="96">
        <v>-2.5284852485583349E-5</v>
      </c>
      <c r="L604" s="100"/>
      <c r="M604" s="100">
        <v>25.079554386461371</v>
      </c>
      <c r="N604" s="96">
        <v>2.44140625E-4</v>
      </c>
      <c r="O604" s="96">
        <f t="shared" si="39"/>
        <v>0.8564453125</v>
      </c>
      <c r="Q604" s="96">
        <f t="shared" si="36"/>
        <v>1</v>
      </c>
      <c r="R604" s="96">
        <f t="shared" si="37"/>
        <v>0</v>
      </c>
      <c r="S604" s="96">
        <f t="shared" si="38"/>
        <v>0</v>
      </c>
    </row>
    <row r="605" spans="1:19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6.1497717551027478</v>
      </c>
      <c r="H605">
        <v>1.932559496921088E-3</v>
      </c>
      <c r="I605">
        <v>-0.81465351440475986</v>
      </c>
      <c r="J605" s="96">
        <v>-1.574366385963059E-3</v>
      </c>
      <c r="L605" s="100"/>
      <c r="M605" s="100">
        <v>25.154238984816935</v>
      </c>
      <c r="N605" s="96">
        <v>9.765625E-4</v>
      </c>
      <c r="O605" s="96">
        <f t="shared" si="39"/>
        <v>0.857421875</v>
      </c>
      <c r="Q605" s="96">
        <f t="shared" si="36"/>
        <v>1</v>
      </c>
      <c r="R605" s="96">
        <f t="shared" si="37"/>
        <v>0</v>
      </c>
      <c r="S605" s="96">
        <f t="shared" si="38"/>
        <v>0</v>
      </c>
    </row>
    <row r="606" spans="1:19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38.497483111962424</v>
      </c>
      <c r="H606">
        <v>1.932559496921088E-3</v>
      </c>
      <c r="I606">
        <v>-0.27713530203075859</v>
      </c>
      <c r="J606" s="96">
        <v>-5.3558045987163656E-4</v>
      </c>
      <c r="L606" s="100"/>
      <c r="M606" s="100">
        <v>25.154238984816935</v>
      </c>
      <c r="N606" s="96">
        <v>1.953125E-3</v>
      </c>
      <c r="O606" s="96">
        <f t="shared" si="39"/>
        <v>0.859375</v>
      </c>
      <c r="Q606" s="96">
        <f t="shared" si="36"/>
        <v>1</v>
      </c>
      <c r="R606" s="96">
        <f t="shared" si="37"/>
        <v>0</v>
      </c>
      <c r="S606" s="96">
        <f t="shared" si="38"/>
        <v>0</v>
      </c>
    </row>
    <row r="607" spans="1:19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62.445298742017719</v>
      </c>
      <c r="H607">
        <v>4.8749248570982399E-4</v>
      </c>
      <c r="I607">
        <v>-0.12474171516395209</v>
      </c>
      <c r="J607" s="96">
        <v>-6.0810648796981846E-5</v>
      </c>
      <c r="L607" s="100"/>
      <c r="M607" s="100">
        <v>25.154238984816935</v>
      </c>
      <c r="N607" s="96">
        <v>9.765625E-4</v>
      </c>
      <c r="O607" s="96">
        <f t="shared" si="39"/>
        <v>0.8603515625</v>
      </c>
      <c r="Q607" s="96">
        <f t="shared" si="36"/>
        <v>1</v>
      </c>
      <c r="R607" s="96">
        <f t="shared" si="37"/>
        <v>0</v>
      </c>
      <c r="S607" s="96">
        <f t="shared" si="38"/>
        <v>0</v>
      </c>
    </row>
    <row r="608" spans="1:19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-2.4298072441115979</v>
      </c>
      <c r="H608">
        <v>1.932559496921088E-3</v>
      </c>
      <c r="I608">
        <v>-1.0843639292932925</v>
      </c>
      <c r="J608" s="96">
        <v>-2.0955978096744198E-3</v>
      </c>
      <c r="L608" s="100"/>
      <c r="M608" s="100">
        <v>25.367738955906368</v>
      </c>
      <c r="N608" s="96">
        <v>4.8828125E-4</v>
      </c>
      <c r="O608" s="96">
        <f t="shared" si="39"/>
        <v>0.86083984375</v>
      </c>
      <c r="Q608" s="96">
        <f t="shared" si="36"/>
        <v>1</v>
      </c>
      <c r="R608" s="96">
        <f t="shared" si="37"/>
        <v>0</v>
      </c>
      <c r="S608" s="96">
        <f t="shared" si="38"/>
        <v>0</v>
      </c>
    </row>
    <row r="609" spans="1:19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30.507873443782124</v>
      </c>
      <c r="H609">
        <v>1.932559496921088E-3</v>
      </c>
      <c r="I609">
        <v>-0.36170398784816177</v>
      </c>
      <c r="J609" s="96">
        <v>-6.9901447679019486E-4</v>
      </c>
      <c r="L609" s="100"/>
      <c r="M609" s="100">
        <v>25.367738955906368</v>
      </c>
      <c r="N609" s="96">
        <v>9.765625E-4</v>
      </c>
      <c r="O609" s="96">
        <f t="shared" si="39"/>
        <v>0.86181640625</v>
      </c>
      <c r="Q609" s="96">
        <f t="shared" si="36"/>
        <v>1</v>
      </c>
      <c r="R609" s="96">
        <f t="shared" si="37"/>
        <v>0</v>
      </c>
      <c r="S609" s="96">
        <f t="shared" si="38"/>
        <v>0</v>
      </c>
    </row>
    <row r="610" spans="1:19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54.462693531999271</v>
      </c>
      <c r="H610">
        <v>4.8749248570982399E-4</v>
      </c>
      <c r="I610">
        <v>-0.16276902335776919</v>
      </c>
      <c r="J610" s="96">
        <v>-7.9348675793239307E-5</v>
      </c>
      <c r="L610" s="100"/>
      <c r="M610" s="100">
        <v>25.367738955906368</v>
      </c>
      <c r="N610" s="96">
        <v>4.8828125E-4</v>
      </c>
      <c r="O610" s="96">
        <f t="shared" si="39"/>
        <v>0.8623046875</v>
      </c>
      <c r="Q610" s="96">
        <f t="shared" si="36"/>
        <v>1</v>
      </c>
      <c r="R610" s="96">
        <f t="shared" si="37"/>
        <v>0</v>
      </c>
      <c r="S610" s="96">
        <f t="shared" si="38"/>
        <v>0</v>
      </c>
    </row>
    <row r="611" spans="1:19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-14.5</v>
      </c>
      <c r="H611">
        <v>4.8749248570982405E-4</v>
      </c>
      <c r="I611">
        <v>-1.6214703050420796</v>
      </c>
      <c r="J611" s="96">
        <v>-7.9045458950963003E-4</v>
      </c>
      <c r="L611" s="100"/>
      <c r="M611" s="100">
        <v>26.699924756831738</v>
      </c>
      <c r="N611" s="96">
        <v>4.8828125E-4</v>
      </c>
      <c r="O611" s="96">
        <f t="shared" si="39"/>
        <v>0.86279296875</v>
      </c>
      <c r="Q611" s="96">
        <f t="shared" si="36"/>
        <v>1</v>
      </c>
      <c r="R611" s="96">
        <f t="shared" si="37"/>
        <v>0</v>
      </c>
      <c r="S611" s="96">
        <f t="shared" si="38"/>
        <v>0</v>
      </c>
    </row>
    <row r="612" spans="1:19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22.45108613499826</v>
      </c>
      <c r="H612">
        <v>4.8749248570982405E-4</v>
      </c>
      <c r="I612">
        <v>-0.47313735674671048</v>
      </c>
      <c r="J612" s="96">
        <v>-2.3065090612262967E-4</v>
      </c>
      <c r="L612" s="100"/>
      <c r="M612" s="100">
        <v>26.699924756831738</v>
      </c>
      <c r="N612" s="96">
        <v>9.765625E-4</v>
      </c>
      <c r="O612" s="96">
        <f t="shared" si="39"/>
        <v>0.86376953125</v>
      </c>
      <c r="Q612" s="96">
        <f t="shared" si="36"/>
        <v>1</v>
      </c>
      <c r="R612" s="96">
        <f t="shared" si="37"/>
        <v>0</v>
      </c>
      <c r="S612" s="96">
        <f t="shared" si="38"/>
        <v>0</v>
      </c>
    </row>
    <row r="613" spans="1:19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46.480088321980844</v>
      </c>
      <c r="H613">
        <v>1.2297107747635201E-4</v>
      </c>
      <c r="I613">
        <v>-0.21238889436481131</v>
      </c>
      <c r="J613" s="96">
        <v>-2.6117691184051953E-5</v>
      </c>
      <c r="L613" s="100"/>
      <c r="M613" s="100">
        <v>26.699924756831738</v>
      </c>
      <c r="N613" s="96">
        <v>4.8828125E-4</v>
      </c>
      <c r="O613" s="96">
        <f t="shared" si="39"/>
        <v>0.8642578125</v>
      </c>
      <c r="Q613" s="96">
        <f t="shared" si="36"/>
        <v>1</v>
      </c>
      <c r="R613" s="96">
        <f t="shared" si="37"/>
        <v>0</v>
      </c>
      <c r="S613" s="96">
        <f t="shared" si="38"/>
        <v>0</v>
      </c>
    </row>
    <row r="614" spans="1:19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4.3235231091175752</v>
      </c>
      <c r="H614">
        <v>4.8749248570982405E-4</v>
      </c>
      <c r="I614">
        <v>-0.86578606679589221</v>
      </c>
      <c r="J614" s="96">
        <v>-4.2206420179526126E-4</v>
      </c>
      <c r="L614" s="100"/>
      <c r="M614" s="100">
        <v>27.053267076619676</v>
      </c>
      <c r="N614" s="96">
        <v>9.765625E-4</v>
      </c>
      <c r="O614" s="96">
        <f t="shared" si="39"/>
        <v>0.865234375</v>
      </c>
      <c r="Q614" s="96">
        <f t="shared" si="36"/>
        <v>1</v>
      </c>
      <c r="R614" s="96">
        <f t="shared" si="37"/>
        <v>0</v>
      </c>
      <c r="S614" s="96">
        <f t="shared" si="38"/>
        <v>0</v>
      </c>
    </row>
    <row r="615" spans="1:19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36.87711274159205</v>
      </c>
      <c r="H615">
        <v>4.8749248570982405E-4</v>
      </c>
      <c r="I615">
        <v>-0.29251565528915763</v>
      </c>
      <c r="J615" s="96">
        <v>-1.425991839059495E-4</v>
      </c>
      <c r="L615" s="100"/>
      <c r="M615" s="100">
        <v>27.053267076619676</v>
      </c>
      <c r="N615" s="96">
        <v>1.953125E-3</v>
      </c>
      <c r="O615" s="96">
        <f t="shared" si="39"/>
        <v>0.8671875</v>
      </c>
      <c r="Q615" s="96">
        <f t="shared" si="36"/>
        <v>1</v>
      </c>
      <c r="R615" s="96">
        <f t="shared" si="37"/>
        <v>0</v>
      </c>
      <c r="S615" s="96">
        <f t="shared" si="38"/>
        <v>0</v>
      </c>
    </row>
    <row r="616" spans="1:19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60.824928371647346</v>
      </c>
      <c r="H616">
        <v>1.2297107747635201E-4</v>
      </c>
      <c r="I616">
        <v>-0.13166458508063714</v>
      </c>
      <c r="J616" s="96">
        <v>-1.6190935892842769E-5</v>
      </c>
      <c r="L616" s="100"/>
      <c r="M616" s="100">
        <v>27.053267076619676</v>
      </c>
      <c r="N616" s="96">
        <v>9.765625E-4</v>
      </c>
      <c r="O616" s="96">
        <f t="shared" si="39"/>
        <v>0.8681640625</v>
      </c>
      <c r="Q616" s="96">
        <f t="shared" si="36"/>
        <v>1</v>
      </c>
      <c r="R616" s="96">
        <f t="shared" si="37"/>
        <v>0</v>
      </c>
      <c r="S616" s="96">
        <f t="shared" si="38"/>
        <v>0</v>
      </c>
    </row>
    <row r="617" spans="1:19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-4.4294892017680674</v>
      </c>
      <c r="H617">
        <v>4.8749248570982405E-4</v>
      </c>
      <c r="I617">
        <v>-1.1591067206509449</v>
      </c>
      <c r="J617" s="96">
        <v>-5.6505581645309173E-4</v>
      </c>
      <c r="L617" s="100"/>
      <c r="M617" s="100">
        <v>27.672146979053963</v>
      </c>
      <c r="N617" s="96">
        <v>2.44140625E-4</v>
      </c>
      <c r="O617" s="96">
        <f t="shared" si="39"/>
        <v>0.868408203125</v>
      </c>
      <c r="Q617" s="96">
        <f t="shared" si="36"/>
        <v>1</v>
      </c>
      <c r="R617" s="96">
        <f t="shared" si="37"/>
        <v>0</v>
      </c>
      <c r="S617" s="96">
        <f t="shared" si="38"/>
        <v>0</v>
      </c>
    </row>
    <row r="618" spans="1:19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28.822345323068816</v>
      </c>
      <c r="H618">
        <v>4.8749248570982405E-4</v>
      </c>
      <c r="I618">
        <v>-0.38260779665391337</v>
      </c>
      <c r="J618" s="96">
        <v>-1.8651842584277512E-4</v>
      </c>
      <c r="L618" s="100"/>
      <c r="M618" s="100">
        <v>27.672146979053963</v>
      </c>
      <c r="N618" s="96">
        <v>4.8828125E-4</v>
      </c>
      <c r="O618" s="96">
        <f t="shared" si="39"/>
        <v>0.868896484375</v>
      </c>
      <c r="Q618" s="96">
        <f t="shared" si="36"/>
        <v>1</v>
      </c>
      <c r="R618" s="96">
        <f t="shared" si="37"/>
        <v>0</v>
      </c>
      <c r="S618" s="96">
        <f t="shared" si="38"/>
        <v>0</v>
      </c>
    </row>
    <row r="619" spans="1:19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52.842323161628904</v>
      </c>
      <c r="H619">
        <v>1.2297107747635201E-4</v>
      </c>
      <c r="I619">
        <v>-0.17180231886513558</v>
      </c>
      <c r="J619" s="96">
        <v>-2.1126716263781519E-5</v>
      </c>
      <c r="L619" s="100"/>
      <c r="M619" s="100">
        <v>27.672146979053963</v>
      </c>
      <c r="N619" s="96">
        <v>2.44140625E-4</v>
      </c>
      <c r="O619" s="96">
        <f t="shared" si="39"/>
        <v>0.869140625</v>
      </c>
      <c r="Q619" s="96">
        <f t="shared" si="36"/>
        <v>1</v>
      </c>
      <c r="R619" s="96">
        <f t="shared" si="37"/>
        <v>0</v>
      </c>
      <c r="S619" s="96">
        <f t="shared" si="38"/>
        <v>0</v>
      </c>
    </row>
    <row r="620" spans="1:19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-17</v>
      </c>
      <c r="H620">
        <v>1.2297107747635201E-4</v>
      </c>
      <c r="I620">
        <v>-1.7623826407286585</v>
      </c>
      <c r="J620" s="96">
        <v>-2.167220922560217E-4</v>
      </c>
      <c r="L620" s="100"/>
      <c r="M620" s="100">
        <v>28.064583949047659</v>
      </c>
      <c r="N620" s="96">
        <v>4.8828125E-4</v>
      </c>
      <c r="O620" s="96">
        <f t="shared" si="39"/>
        <v>0.86962890625</v>
      </c>
      <c r="Q620" s="96">
        <f t="shared" si="36"/>
        <v>1</v>
      </c>
      <c r="R620" s="96">
        <f t="shared" si="37"/>
        <v>0</v>
      </c>
      <c r="S620" s="96">
        <f t="shared" si="38"/>
        <v>0</v>
      </c>
    </row>
    <row r="621" spans="1:19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20.765558014284956</v>
      </c>
      <c r="H621">
        <v>1.2297107747635201E-4</v>
      </c>
      <c r="I621">
        <v>-0.50048118810209974</v>
      </c>
      <c r="J621" s="96">
        <v>-6.1544710957560014E-5</v>
      </c>
      <c r="L621" s="100"/>
      <c r="M621" s="100">
        <v>28.064583949047659</v>
      </c>
      <c r="N621" s="96">
        <v>9.765625E-4</v>
      </c>
      <c r="O621" s="96">
        <f t="shared" si="39"/>
        <v>0.87060546875</v>
      </c>
      <c r="Q621" s="96">
        <f t="shared" si="36"/>
        <v>1</v>
      </c>
      <c r="R621" s="96">
        <f t="shared" si="37"/>
        <v>0</v>
      </c>
      <c r="S621" s="96">
        <f t="shared" si="38"/>
        <v>0</v>
      </c>
    </row>
    <row r="622" spans="1:19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44.859717951610477</v>
      </c>
      <c r="H622">
        <v>3.1019731255295997E-5</v>
      </c>
      <c r="I622">
        <v>-0.22417597525834909</v>
      </c>
      <c r="J622" s="96">
        <v>-6.9538785064078737E-6</v>
      </c>
      <c r="L622" s="100"/>
      <c r="M622" s="100">
        <v>28.064583949047659</v>
      </c>
      <c r="N622" s="96">
        <v>4.8828125E-4</v>
      </c>
      <c r="O622" s="96">
        <f t="shared" si="39"/>
        <v>0.87109375</v>
      </c>
      <c r="Q622" s="96">
        <f t="shared" si="36"/>
        <v>1</v>
      </c>
      <c r="R622" s="96">
        <f t="shared" si="37"/>
        <v>0</v>
      </c>
      <c r="S622" s="96">
        <f t="shared" si="38"/>
        <v>0</v>
      </c>
    </row>
    <row r="623" spans="1:19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7.2308047390087697</v>
      </c>
      <c r="H623">
        <v>4.8749248570982405E-4</v>
      </c>
      <c r="I623">
        <v>-0.7858205467573578</v>
      </c>
      <c r="J623" s="96">
        <v>-3.8308161166059735E-4</v>
      </c>
      <c r="L623" s="100"/>
      <c r="M623" s="100">
        <v>28.822345323068816</v>
      </c>
      <c r="N623" s="96">
        <v>1.953125E-3</v>
      </c>
      <c r="O623" s="96">
        <f t="shared" si="39"/>
        <v>0.873046875</v>
      </c>
      <c r="Q623" s="96">
        <f t="shared" si="36"/>
        <v>1</v>
      </c>
      <c r="R623" s="96">
        <f t="shared" si="37"/>
        <v>0</v>
      </c>
      <c r="S623" s="96">
        <f t="shared" si="38"/>
        <v>0</v>
      </c>
    </row>
    <row r="624" spans="1:19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39.469705334184646</v>
      </c>
      <c r="H624">
        <v>4.8749248570982405E-4</v>
      </c>
      <c r="I624">
        <v>-0.26829803526715063</v>
      </c>
      <c r="J624" s="96">
        <v>-1.307932761234453E-4</v>
      </c>
      <c r="L624" s="100"/>
      <c r="M624" s="100">
        <v>28.822345323068816</v>
      </c>
      <c r="N624" s="96">
        <v>3.90625E-3</v>
      </c>
      <c r="O624" s="96">
        <f t="shared" si="39"/>
        <v>0.876953125</v>
      </c>
      <c r="Q624" s="96">
        <f t="shared" si="36"/>
        <v>1</v>
      </c>
      <c r="R624" s="96">
        <f t="shared" si="37"/>
        <v>0</v>
      </c>
      <c r="S624" s="96">
        <f t="shared" si="38"/>
        <v>0</v>
      </c>
    </row>
    <row r="625" spans="1:19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63.417520964239941</v>
      </c>
      <c r="H625">
        <v>1.2297107747635201E-4</v>
      </c>
      <c r="I625">
        <v>-0.12076396203984271</v>
      </c>
      <c r="J625" s="96">
        <v>-1.4850474532352732E-5</v>
      </c>
      <c r="L625" s="100"/>
      <c r="M625" s="100">
        <v>28.822345323068816</v>
      </c>
      <c r="N625" s="96">
        <v>1.953125E-3</v>
      </c>
      <c r="O625" s="96">
        <f t="shared" si="39"/>
        <v>0.87890625</v>
      </c>
      <c r="Q625" s="96">
        <f t="shared" si="36"/>
        <v>1</v>
      </c>
      <c r="R625" s="96">
        <f t="shared" si="37"/>
        <v>0</v>
      </c>
      <c r="S625" s="96">
        <f t="shared" si="38"/>
        <v>0</v>
      </c>
    </row>
    <row r="626" spans="1:19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-1.2545834449263205</v>
      </c>
      <c r="H626">
        <v>4.8749248570982405E-4</v>
      </c>
      <c r="I626">
        <v>-1.0427061992357078</v>
      </c>
      <c r="J626" s="96">
        <v>-5.0831143693045829E-4</v>
      </c>
      <c r="L626" s="100"/>
      <c r="M626" s="100">
        <v>30.130191857535941</v>
      </c>
      <c r="N626" s="96">
        <v>9.765625E-4</v>
      </c>
      <c r="O626" s="96">
        <f t="shared" si="39"/>
        <v>0.8798828125</v>
      </c>
      <c r="Q626" s="96">
        <f t="shared" si="36"/>
        <v>1</v>
      </c>
      <c r="R626" s="96">
        <f t="shared" si="37"/>
        <v>0</v>
      </c>
      <c r="S626" s="96">
        <f t="shared" si="38"/>
        <v>0</v>
      </c>
    </row>
    <row r="627" spans="1:19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31.487100124166211</v>
      </c>
      <c r="H627">
        <v>4.8749248570982405E-4</v>
      </c>
      <c r="I627">
        <v>-0.35008825325068454</v>
      </c>
      <c r="J627" s="96">
        <v>-1.7066539279498661E-4</v>
      </c>
      <c r="L627" s="100"/>
      <c r="M627" s="100">
        <v>30.130191857535941</v>
      </c>
      <c r="N627" s="96">
        <v>1.953125E-3</v>
      </c>
      <c r="O627" s="96">
        <f t="shared" si="39"/>
        <v>0.8818359375</v>
      </c>
      <c r="Q627" s="96">
        <f t="shared" si="36"/>
        <v>1</v>
      </c>
      <c r="R627" s="96">
        <f t="shared" si="37"/>
        <v>0</v>
      </c>
      <c r="S627" s="96">
        <f t="shared" si="38"/>
        <v>0</v>
      </c>
    </row>
    <row r="628" spans="1:19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55.434915754221493</v>
      </c>
      <c r="H628">
        <v>1.2297107747635201E-4</v>
      </c>
      <c r="I628">
        <v>-0.15757865868851142</v>
      </c>
      <c r="J628" s="96">
        <v>-1.9377617446204568E-5</v>
      </c>
      <c r="L628" s="100"/>
      <c r="M628" s="100">
        <v>30.130191857535941</v>
      </c>
      <c r="N628" s="96">
        <v>9.765625E-4</v>
      </c>
      <c r="O628" s="96">
        <f t="shared" si="39"/>
        <v>0.8828125</v>
      </c>
      <c r="Q628" s="96">
        <f t="shared" si="36"/>
        <v>1</v>
      </c>
      <c r="R628" s="96">
        <f t="shared" si="37"/>
        <v>0</v>
      </c>
      <c r="S628" s="96">
        <f t="shared" si="38"/>
        <v>0</v>
      </c>
    </row>
    <row r="629" spans="1:19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-13</v>
      </c>
      <c r="H629">
        <v>1.2297107747635201E-4</v>
      </c>
      <c r="I629">
        <v>-1.5423902651101746</v>
      </c>
      <c r="J629" s="96">
        <v>-1.896693927896344E-4</v>
      </c>
      <c r="L629" s="100"/>
      <c r="M629" s="100">
        <v>30.23642194431563</v>
      </c>
      <c r="N629" s="96">
        <v>4.8828125E-4</v>
      </c>
      <c r="O629" s="96">
        <f t="shared" si="39"/>
        <v>0.88330078125</v>
      </c>
      <c r="Q629" s="96">
        <f t="shared" si="36"/>
        <v>1</v>
      </c>
      <c r="R629" s="96">
        <f t="shared" si="37"/>
        <v>0</v>
      </c>
      <c r="S629" s="96">
        <f t="shared" si="38"/>
        <v>0</v>
      </c>
    </row>
    <row r="630" spans="1:19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23.462403007426246</v>
      </c>
      <c r="H630">
        <v>1.2297107747635201E-4</v>
      </c>
      <c r="I630">
        <v>-0.45745347187983554</v>
      </c>
      <c r="J630" s="96">
        <v>-5.625354633236147E-5</v>
      </c>
      <c r="L630" s="100"/>
      <c r="M630" s="100">
        <v>30.23642194431563</v>
      </c>
      <c r="N630" s="96">
        <v>9.765625E-4</v>
      </c>
      <c r="O630" s="96">
        <f t="shared" si="39"/>
        <v>0.88427734375</v>
      </c>
      <c r="Q630" s="96">
        <f t="shared" si="36"/>
        <v>1</v>
      </c>
      <c r="R630" s="96">
        <f t="shared" si="37"/>
        <v>0</v>
      </c>
      <c r="S630" s="96">
        <f t="shared" si="38"/>
        <v>0</v>
      </c>
    </row>
    <row r="631" spans="1:19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47.452310544203073</v>
      </c>
      <c r="H631">
        <v>3.1019731255295997E-5</v>
      </c>
      <c r="I631">
        <v>-0.20561625550077628</v>
      </c>
      <c r="J631" s="96">
        <v>-6.3781609873543573E-6</v>
      </c>
      <c r="L631" s="100"/>
      <c r="M631" s="100">
        <v>30.23642194431563</v>
      </c>
      <c r="N631" s="96">
        <v>4.8828125E-4</v>
      </c>
      <c r="O631" s="96">
        <f t="shared" si="39"/>
        <v>0.884765625</v>
      </c>
      <c r="Q631" s="96">
        <f t="shared" si="36"/>
        <v>1</v>
      </c>
      <c r="R631" s="96">
        <f t="shared" si="37"/>
        <v>0</v>
      </c>
      <c r="S631" s="96">
        <f t="shared" si="38"/>
        <v>0</v>
      </c>
    </row>
    <row r="632" spans="1:19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6.1497717551027478</v>
      </c>
      <c r="H632">
        <v>4.8749248570982405E-4</v>
      </c>
      <c r="I632">
        <v>-0.81465351440475986</v>
      </c>
      <c r="J632" s="96">
        <v>-3.9713746672942035E-4</v>
      </c>
      <c r="L632" s="100"/>
      <c r="M632" s="100">
        <v>30.507873443782124</v>
      </c>
      <c r="N632" s="96">
        <v>3.90625E-3</v>
      </c>
      <c r="O632" s="96">
        <f t="shared" si="39"/>
        <v>0.888671875</v>
      </c>
      <c r="Q632" s="96">
        <f t="shared" si="36"/>
        <v>1</v>
      </c>
      <c r="R632" s="96">
        <f t="shared" si="37"/>
        <v>0</v>
      </c>
      <c r="S632" s="96">
        <f t="shared" si="38"/>
        <v>0</v>
      </c>
    </row>
    <row r="633" spans="1:19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38.497483111962424</v>
      </c>
      <c r="H633">
        <v>4.8749248570982405E-4</v>
      </c>
      <c r="I633">
        <v>-0.27713530203075859</v>
      </c>
      <c r="J633" s="96">
        <v>-1.3510137726491735E-4</v>
      </c>
      <c r="L633" s="100"/>
      <c r="M633" s="100">
        <v>30.507873443782124</v>
      </c>
      <c r="N633" s="96">
        <v>7.8125E-3</v>
      </c>
      <c r="O633" s="96">
        <f t="shared" si="39"/>
        <v>0.896484375</v>
      </c>
      <c r="Q633" s="96">
        <f t="shared" si="36"/>
        <v>1</v>
      </c>
      <c r="R633" s="96">
        <f t="shared" si="37"/>
        <v>0</v>
      </c>
      <c r="S633" s="96">
        <f t="shared" si="38"/>
        <v>0</v>
      </c>
    </row>
    <row r="634" spans="1:19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62.445298742017719</v>
      </c>
      <c r="H634">
        <v>1.2297107747635201E-4</v>
      </c>
      <c r="I634">
        <v>-0.12474171516395209</v>
      </c>
      <c r="J634" s="96">
        <v>-1.5339623119959385E-5</v>
      </c>
      <c r="L634" s="100"/>
      <c r="M634" s="100">
        <v>30.507873443782124</v>
      </c>
      <c r="N634" s="96">
        <v>3.90625E-3</v>
      </c>
      <c r="O634" s="96">
        <f t="shared" si="39"/>
        <v>0.900390625</v>
      </c>
      <c r="Q634" s="96">
        <f t="shared" si="36"/>
        <v>1</v>
      </c>
      <c r="R634" s="96">
        <f t="shared" si="37"/>
        <v>0</v>
      </c>
      <c r="S634" s="96">
        <f t="shared" si="38"/>
        <v>0</v>
      </c>
    </row>
    <row r="635" spans="1:19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-2.4298072441115979</v>
      </c>
      <c r="H635">
        <v>4.8749248570982405E-4</v>
      </c>
      <c r="I635">
        <v>-1.0843639292932925</v>
      </c>
      <c r="J635" s="96">
        <v>-5.2861926730525901E-4</v>
      </c>
      <c r="L635" s="100"/>
      <c r="M635" s="100">
        <v>31.487100124166211</v>
      </c>
      <c r="N635" s="96">
        <v>1.953125E-3</v>
      </c>
      <c r="O635" s="96">
        <f t="shared" si="39"/>
        <v>0.90234375</v>
      </c>
      <c r="Q635" s="96">
        <f t="shared" si="36"/>
        <v>1</v>
      </c>
      <c r="R635" s="96">
        <f t="shared" si="37"/>
        <v>0</v>
      </c>
      <c r="S635" s="96">
        <f t="shared" si="38"/>
        <v>0</v>
      </c>
    </row>
    <row r="636" spans="1:19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30.507873443782124</v>
      </c>
      <c r="H636">
        <v>4.8749248570982405E-4</v>
      </c>
      <c r="I636">
        <v>-0.36170398784816177</v>
      </c>
      <c r="J636" s="96">
        <v>-1.7632797612725638E-4</v>
      </c>
      <c r="L636" s="100"/>
      <c r="M636" s="100">
        <v>31.487100124166211</v>
      </c>
      <c r="N636" s="96">
        <v>3.90625E-3</v>
      </c>
      <c r="O636" s="96">
        <f t="shared" si="39"/>
        <v>0.90625</v>
      </c>
      <c r="Q636" s="96">
        <f t="shared" si="36"/>
        <v>1</v>
      </c>
      <c r="R636" s="96">
        <f t="shared" si="37"/>
        <v>0</v>
      </c>
      <c r="S636" s="96">
        <f t="shared" si="38"/>
        <v>0</v>
      </c>
    </row>
    <row r="637" spans="1:19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54.462693531999271</v>
      </c>
      <c r="H637">
        <v>1.2297107747635201E-4</v>
      </c>
      <c r="I637">
        <v>-0.16276902335776919</v>
      </c>
      <c r="J637" s="96">
        <v>-2.0015882182078385E-5</v>
      </c>
      <c r="L637" s="100"/>
      <c r="M637" s="100">
        <v>31.487100124166211</v>
      </c>
      <c r="N637" s="96">
        <v>1.953125E-3</v>
      </c>
      <c r="O637" s="96">
        <f t="shared" si="39"/>
        <v>0.908203125</v>
      </c>
      <c r="Q637" s="96">
        <f t="shared" si="36"/>
        <v>1</v>
      </c>
      <c r="R637" s="96">
        <f t="shared" si="37"/>
        <v>0</v>
      </c>
      <c r="S637" s="96">
        <f t="shared" si="38"/>
        <v>0</v>
      </c>
    </row>
    <row r="638" spans="1:19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-14.5</v>
      </c>
      <c r="H638">
        <v>1.2297107747635201E-4</v>
      </c>
      <c r="I638">
        <v>-1.6214703050420796</v>
      </c>
      <c r="J638" s="96">
        <v>-1.9939395050693368E-4</v>
      </c>
      <c r="L638" s="100"/>
      <c r="M638" s="100">
        <v>31.815719978249248</v>
      </c>
      <c r="N638" s="96">
        <v>1.953125E-3</v>
      </c>
      <c r="O638" s="96">
        <f t="shared" si="39"/>
        <v>0.91015625</v>
      </c>
      <c r="Q638" s="96">
        <f t="shared" si="36"/>
        <v>1</v>
      </c>
      <c r="R638" s="96">
        <f t="shared" si="37"/>
        <v>0</v>
      </c>
      <c r="S638" s="96">
        <f t="shared" si="38"/>
        <v>0</v>
      </c>
    </row>
    <row r="639" spans="1:19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22.45108613499826</v>
      </c>
      <c r="H639">
        <v>1.2297107747635201E-4</v>
      </c>
      <c r="I639">
        <v>-0.47313735674671048</v>
      </c>
      <c r="J639" s="96">
        <v>-5.8182210553456133E-5</v>
      </c>
      <c r="L639" s="100"/>
      <c r="M639" s="100">
        <v>31.815719978249248</v>
      </c>
      <c r="N639" s="96">
        <v>3.90625E-3</v>
      </c>
      <c r="O639" s="96">
        <f t="shared" si="39"/>
        <v>0.9140625</v>
      </c>
      <c r="Q639" s="96">
        <f t="shared" si="36"/>
        <v>1</v>
      </c>
      <c r="R639" s="96">
        <f t="shared" si="37"/>
        <v>0</v>
      </c>
      <c r="S639" s="96">
        <f t="shared" si="38"/>
        <v>0</v>
      </c>
    </row>
    <row r="640" spans="1:19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46.480088321980844</v>
      </c>
      <c r="H640">
        <v>3.1019731255295997E-5</v>
      </c>
      <c r="I640">
        <v>-0.21238889436481131</v>
      </c>
      <c r="J640" s="96">
        <v>-6.5882464248058974E-6</v>
      </c>
      <c r="L640" s="100"/>
      <c r="M640" s="100">
        <v>31.815719978249248</v>
      </c>
      <c r="N640" s="96">
        <v>1.953125E-3</v>
      </c>
      <c r="O640" s="96">
        <f t="shared" si="39"/>
        <v>0.916015625</v>
      </c>
      <c r="Q640" s="96">
        <f t="shared" si="36"/>
        <v>1</v>
      </c>
      <c r="R640" s="96">
        <f t="shared" si="37"/>
        <v>0</v>
      </c>
      <c r="S640" s="96">
        <f t="shared" si="38"/>
        <v>0</v>
      </c>
    </row>
    <row r="641" spans="1:19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4.3235231091175752</v>
      </c>
      <c r="H641">
        <v>1.2297107747635201E-4</v>
      </c>
      <c r="I641">
        <v>-0.86578606679589221</v>
      </c>
      <c r="J641" s="96">
        <v>-1.0646664549790374E-4</v>
      </c>
      <c r="L641" s="100"/>
      <c r="M641" s="100">
        <v>31.856792314686004</v>
      </c>
      <c r="N641" s="96">
        <v>9.765625E-4</v>
      </c>
      <c r="O641" s="96">
        <f t="shared" si="39"/>
        <v>0.9169921875</v>
      </c>
      <c r="Q641" s="96">
        <f t="shared" si="36"/>
        <v>1</v>
      </c>
      <c r="R641" s="96">
        <f t="shared" si="37"/>
        <v>0</v>
      </c>
      <c r="S641" s="96">
        <f t="shared" si="38"/>
        <v>0</v>
      </c>
    </row>
    <row r="642" spans="1:19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36.87711274159205</v>
      </c>
      <c r="H642">
        <v>1.2297107747635201E-4</v>
      </c>
      <c r="I642">
        <v>-0.29251565528915763</v>
      </c>
      <c r="J642" s="96">
        <v>-3.5970965309608881E-5</v>
      </c>
      <c r="L642" s="100"/>
      <c r="M642" s="100">
        <v>31.856792314686004</v>
      </c>
      <c r="N642" s="96">
        <v>1.953125E-3</v>
      </c>
      <c r="O642" s="96">
        <f t="shared" si="39"/>
        <v>0.9189453125</v>
      </c>
      <c r="Q642" s="96">
        <f t="shared" si="36"/>
        <v>1</v>
      </c>
      <c r="R642" s="96">
        <f t="shared" si="37"/>
        <v>0</v>
      </c>
      <c r="S642" s="96">
        <f t="shared" si="38"/>
        <v>0</v>
      </c>
    </row>
    <row r="643" spans="1:19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60.824928371647346</v>
      </c>
      <c r="H643">
        <v>3.1019731255295997E-5</v>
      </c>
      <c r="I643">
        <v>-0.13166458508063714</v>
      </c>
      <c r="J643" s="96">
        <v>-4.0842000450414189E-6</v>
      </c>
      <c r="L643" s="100"/>
      <c r="M643" s="100">
        <v>31.856792314686004</v>
      </c>
      <c r="N643" s="96">
        <v>9.765625E-4</v>
      </c>
      <c r="O643" s="96">
        <f t="shared" si="39"/>
        <v>0.919921875</v>
      </c>
      <c r="Q643" s="96">
        <f t="shared" ref="Q643:Q706" si="40">IF(A643=3,1,0)</f>
        <v>1</v>
      </c>
      <c r="R643" s="96">
        <f t="shared" ref="R643:R706" si="41">IF(A643=2,1,0)</f>
        <v>0</v>
      </c>
      <c r="S643" s="96">
        <f t="shared" ref="S643:S706" si="42">IF(A643=1,1,0)</f>
        <v>0</v>
      </c>
    </row>
    <row r="644" spans="1:19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-4.4294892017680674</v>
      </c>
      <c r="H644">
        <v>1.2297107747635201E-4</v>
      </c>
      <c r="I644">
        <v>-1.1591067206509449</v>
      </c>
      <c r="J644" s="96">
        <v>-1.4253660234852766E-4</v>
      </c>
      <c r="L644" s="100"/>
      <c r="M644" s="100">
        <v>32.791362982364475</v>
      </c>
      <c r="N644" s="96">
        <v>9.765625E-4</v>
      </c>
      <c r="O644" s="96">
        <f t="shared" ref="O644:O707" si="43">N644+O643</f>
        <v>0.9208984375</v>
      </c>
      <c r="Q644" s="96">
        <f t="shared" si="40"/>
        <v>1</v>
      </c>
      <c r="R644" s="96">
        <f t="shared" si="41"/>
        <v>0</v>
      </c>
      <c r="S644" s="96">
        <f t="shared" si="42"/>
        <v>0</v>
      </c>
    </row>
    <row r="645" spans="1:19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28.822345323068816</v>
      </c>
      <c r="H645">
        <v>1.2297107747635201E-4</v>
      </c>
      <c r="I645">
        <v>-0.38260779665391337</v>
      </c>
      <c r="J645" s="96">
        <v>-4.7049693005384716E-5</v>
      </c>
      <c r="L645" s="100"/>
      <c r="M645" s="100">
        <v>32.791362982364475</v>
      </c>
      <c r="N645" s="96">
        <v>1.953125E-3</v>
      </c>
      <c r="O645" s="96">
        <f t="shared" si="43"/>
        <v>0.9228515625</v>
      </c>
      <c r="Q645" s="96">
        <f t="shared" si="40"/>
        <v>1</v>
      </c>
      <c r="R645" s="96">
        <f t="shared" si="41"/>
        <v>0</v>
      </c>
      <c r="S645" s="96">
        <f t="shared" si="42"/>
        <v>0</v>
      </c>
    </row>
    <row r="646" spans="1:19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52.842323161628904</v>
      </c>
      <c r="H646">
        <v>3.1019731255295997E-5</v>
      </c>
      <c r="I646">
        <v>-0.17180231886513558</v>
      </c>
      <c r="J646" s="96">
        <v>-5.3292617602331756E-6</v>
      </c>
      <c r="L646" s="100"/>
      <c r="M646" s="100">
        <v>32.791362982364475</v>
      </c>
      <c r="N646" s="96">
        <v>9.765625E-4</v>
      </c>
      <c r="O646" s="96">
        <f t="shared" si="43"/>
        <v>0.923828125</v>
      </c>
      <c r="Q646" s="96">
        <f t="shared" si="40"/>
        <v>1</v>
      </c>
      <c r="R646" s="96">
        <f t="shared" si="41"/>
        <v>0</v>
      </c>
      <c r="S646" s="96">
        <f t="shared" si="42"/>
        <v>0</v>
      </c>
    </row>
    <row r="647" spans="1:19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-17</v>
      </c>
      <c r="H647">
        <v>3.1019731255296003E-5</v>
      </c>
      <c r="I647">
        <v>-1.7623826407286585</v>
      </c>
      <c r="J647" s="96">
        <v>-5.4668635884401875E-5</v>
      </c>
      <c r="L647" s="100"/>
      <c r="M647" s="100">
        <v>32.829014536908225</v>
      </c>
      <c r="N647" s="96">
        <v>4.8828125E-4</v>
      </c>
      <c r="O647" s="96">
        <f t="shared" si="43"/>
        <v>0.92431640625</v>
      </c>
      <c r="Q647" s="96">
        <f t="shared" si="40"/>
        <v>1</v>
      </c>
      <c r="R647" s="96">
        <f t="shared" si="41"/>
        <v>0</v>
      </c>
      <c r="S647" s="96">
        <f t="shared" si="42"/>
        <v>0</v>
      </c>
    </row>
    <row r="648" spans="1:19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20.765558014284956</v>
      </c>
      <c r="H648">
        <v>3.1019731255296003E-5</v>
      </c>
      <c r="I648">
        <v>-0.50048118810209974</v>
      </c>
      <c r="J648" s="96">
        <v>-1.5524791953258383E-5</v>
      </c>
      <c r="L648" s="100"/>
      <c r="M648" s="100">
        <v>32.829014536908225</v>
      </c>
      <c r="N648" s="96">
        <v>9.765625E-4</v>
      </c>
      <c r="O648" s="96">
        <f t="shared" si="43"/>
        <v>0.92529296875</v>
      </c>
      <c r="Q648" s="96">
        <f t="shared" si="40"/>
        <v>1</v>
      </c>
      <c r="R648" s="96">
        <f t="shared" si="41"/>
        <v>0</v>
      </c>
      <c r="S648" s="96">
        <f t="shared" si="42"/>
        <v>0</v>
      </c>
    </row>
    <row r="649" spans="1:19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44.859717951610477</v>
      </c>
      <c r="H649">
        <v>7.8247970734080004E-6</v>
      </c>
      <c r="I649">
        <v>-0.22417597525834909</v>
      </c>
      <c r="J649" s="96">
        <v>-1.7541315151299142E-6</v>
      </c>
      <c r="L649" s="100"/>
      <c r="M649" s="100">
        <v>32.829014536908225</v>
      </c>
      <c r="N649" s="96">
        <v>4.8828125E-4</v>
      </c>
      <c r="O649" s="96">
        <f t="shared" si="43"/>
        <v>0.92578125</v>
      </c>
      <c r="Q649" s="96">
        <f t="shared" si="40"/>
        <v>1</v>
      </c>
      <c r="R649" s="96">
        <f t="shared" si="41"/>
        <v>0</v>
      </c>
      <c r="S649" s="96">
        <f t="shared" si="42"/>
        <v>0</v>
      </c>
    </row>
    <row r="650" spans="1:19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7.7663216606651506</v>
      </c>
      <c r="H650">
        <v>4.8749248570982415E-4</v>
      </c>
      <c r="I650">
        <v>-0.77191766307839438</v>
      </c>
      <c r="J650" s="96">
        <v>-3.7630406033740504E-4</v>
      </c>
      <c r="L650" s="100"/>
      <c r="M650" s="100">
        <v>35.3932895021699</v>
      </c>
      <c r="N650" s="96">
        <v>2.44140625E-4</v>
      </c>
      <c r="O650" s="96">
        <f t="shared" si="43"/>
        <v>0.926025390625</v>
      </c>
      <c r="Q650" s="96">
        <f t="shared" si="40"/>
        <v>1</v>
      </c>
      <c r="R650" s="96">
        <f t="shared" si="41"/>
        <v>0</v>
      </c>
      <c r="S650" s="96">
        <f t="shared" si="42"/>
        <v>0</v>
      </c>
    </row>
    <row r="651" spans="1:19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41.034820764022548</v>
      </c>
      <c r="H651">
        <v>4.8749248570982415E-4</v>
      </c>
      <c r="I651">
        <v>-0.25465964297612242</v>
      </c>
      <c r="J651" s="96">
        <v>-1.2414466236440629E-4</v>
      </c>
      <c r="L651" s="100"/>
      <c r="M651" s="100">
        <v>35.3932895021699</v>
      </c>
      <c r="N651" s="96">
        <v>4.8828125E-4</v>
      </c>
      <c r="O651" s="96">
        <f t="shared" si="43"/>
        <v>0.926513671875</v>
      </c>
      <c r="Q651" s="96">
        <f t="shared" si="40"/>
        <v>1</v>
      </c>
      <c r="R651" s="96">
        <f t="shared" si="41"/>
        <v>0</v>
      </c>
      <c r="S651" s="96">
        <f t="shared" si="42"/>
        <v>0</v>
      </c>
    </row>
    <row r="652" spans="1:19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65.765194108996766</v>
      </c>
      <c r="H652">
        <v>1.2297107747635203E-4</v>
      </c>
      <c r="I652">
        <v>-0.11167380226718866</v>
      </c>
      <c r="J652" s="96">
        <v>-1.3732647790677275E-5</v>
      </c>
      <c r="L652" s="100"/>
      <c r="M652" s="100">
        <v>35.3932895021699</v>
      </c>
      <c r="N652" s="96">
        <v>2.44140625E-4</v>
      </c>
      <c r="O652" s="96">
        <f t="shared" si="43"/>
        <v>0.9267578125</v>
      </c>
      <c r="Q652" s="96">
        <f t="shared" si="40"/>
        <v>1</v>
      </c>
      <c r="R652" s="96">
        <f t="shared" si="41"/>
        <v>0</v>
      </c>
      <c r="S652" s="96">
        <f t="shared" si="42"/>
        <v>0</v>
      </c>
    </row>
    <row r="653" spans="1:19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-0.96030536397420951</v>
      </c>
      <c r="H653">
        <v>4.8749248570982415E-4</v>
      </c>
      <c r="I653">
        <v>-1.0325280151469025</v>
      </c>
      <c r="J653" s="96">
        <v>-5.0334964866899444E-4</v>
      </c>
      <c r="L653" s="100"/>
      <c r="M653" s="100">
        <v>36.87711274159205</v>
      </c>
      <c r="N653" s="96">
        <v>9.765625E-4</v>
      </c>
      <c r="O653" s="96">
        <f t="shared" si="43"/>
        <v>0.927734375</v>
      </c>
      <c r="Q653" s="96">
        <f t="shared" si="40"/>
        <v>1</v>
      </c>
      <c r="R653" s="96">
        <f t="shared" si="41"/>
        <v>0</v>
      </c>
      <c r="S653" s="96">
        <f t="shared" si="42"/>
        <v>0</v>
      </c>
    </row>
    <row r="654" spans="1:19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32.791362982364475</v>
      </c>
      <c r="H654">
        <v>4.8749248570982415E-4</v>
      </c>
      <c r="I654">
        <v>-0.33519412655260761</v>
      </c>
      <c r="J654" s="96">
        <v>-1.6340461794846404E-4</v>
      </c>
      <c r="L654" s="100"/>
      <c r="M654" s="100">
        <v>36.87711274159205</v>
      </c>
      <c r="N654" s="96">
        <v>1.953125E-3</v>
      </c>
      <c r="O654" s="96">
        <f t="shared" si="43"/>
        <v>0.9296875</v>
      </c>
      <c r="Q654" s="96">
        <f t="shared" si="40"/>
        <v>1</v>
      </c>
      <c r="R654" s="96">
        <f t="shared" si="41"/>
        <v>0</v>
      </c>
      <c r="S654" s="96">
        <f t="shared" si="42"/>
        <v>0</v>
      </c>
    </row>
    <row r="655" spans="1:19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57.521736327338687</v>
      </c>
      <c r="H655">
        <v>1.2297107747635203E-4</v>
      </c>
      <c r="I655">
        <v>-0.14698992809500125</v>
      </c>
      <c r="J655" s="96">
        <v>-1.8075509836013812E-5</v>
      </c>
      <c r="L655" s="100"/>
      <c r="M655" s="100">
        <v>36.87711274159205</v>
      </c>
      <c r="N655" s="96">
        <v>9.765625E-4</v>
      </c>
      <c r="O655" s="96">
        <f t="shared" si="43"/>
        <v>0.9306640625</v>
      </c>
      <c r="Q655" s="96">
        <f t="shared" si="40"/>
        <v>1</v>
      </c>
      <c r="R655" s="96">
        <f t="shared" si="41"/>
        <v>0</v>
      </c>
      <c r="S655" s="96">
        <f t="shared" si="42"/>
        <v>0</v>
      </c>
    </row>
    <row r="656" spans="1:19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-13</v>
      </c>
      <c r="H656">
        <v>1.2297107747635203E-4</v>
      </c>
      <c r="I656">
        <v>-1.5423902651101746</v>
      </c>
      <c r="J656" s="96">
        <v>-1.8966939278963443E-4</v>
      </c>
      <c r="L656" s="100"/>
      <c r="M656" s="100">
        <v>37.013659872540273</v>
      </c>
      <c r="N656" s="96">
        <v>4.8828125E-4</v>
      </c>
      <c r="O656" s="96">
        <f t="shared" si="43"/>
        <v>0.93115234375</v>
      </c>
      <c r="Q656" s="96">
        <f t="shared" si="40"/>
        <v>1</v>
      </c>
      <c r="R656" s="96">
        <f t="shared" si="41"/>
        <v>0</v>
      </c>
      <c r="S656" s="96">
        <f t="shared" si="42"/>
        <v>0</v>
      </c>
    </row>
    <row r="657" spans="1:19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24.508680234999947</v>
      </c>
      <c r="H657">
        <v>1.2297107747635203E-4</v>
      </c>
      <c r="I657">
        <v>-0.44177436757952165</v>
      </c>
      <c r="J657" s="96">
        <v>-5.4325469982687776E-5</v>
      </c>
      <c r="L657" s="100"/>
      <c r="M657" s="100">
        <v>37.013659872540273</v>
      </c>
      <c r="N657" s="96">
        <v>9.765625E-4</v>
      </c>
      <c r="O657" s="96">
        <f t="shared" si="43"/>
        <v>0.93212890625</v>
      </c>
      <c r="Q657" s="96">
        <f t="shared" si="40"/>
        <v>1</v>
      </c>
      <c r="R657" s="96">
        <f t="shared" si="41"/>
        <v>0</v>
      </c>
      <c r="S657" s="96">
        <f t="shared" si="42"/>
        <v>0</v>
      </c>
    </row>
    <row r="658" spans="1:19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49.278278545680621</v>
      </c>
      <c r="H658">
        <v>3.1019731255296003E-5</v>
      </c>
      <c r="I658">
        <v>-0.19347455287390877</v>
      </c>
      <c r="J658" s="96">
        <v>-6.0015286348872072E-6</v>
      </c>
      <c r="L658" s="100"/>
      <c r="M658" s="100">
        <v>37.013659872540273</v>
      </c>
      <c r="N658" s="96">
        <v>4.8828125E-4</v>
      </c>
      <c r="O658" s="96">
        <f t="shared" si="43"/>
        <v>0.9326171875</v>
      </c>
      <c r="Q658" s="96">
        <f t="shared" si="40"/>
        <v>1</v>
      </c>
      <c r="R658" s="96">
        <f t="shared" si="41"/>
        <v>0</v>
      </c>
      <c r="S658" s="96">
        <f t="shared" si="42"/>
        <v>0</v>
      </c>
    </row>
    <row r="659" spans="1:19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6.6852886767591286</v>
      </c>
      <c r="H659">
        <v>4.8749248570982415E-4</v>
      </c>
      <c r="I659">
        <v>-0.80024051248445593</v>
      </c>
      <c r="J659" s="96">
        <v>-3.9011123659675099E-4</v>
      </c>
      <c r="L659" s="100"/>
      <c r="M659" s="100">
        <v>37.985882094762495</v>
      </c>
      <c r="N659" s="96">
        <v>2.44140625E-4</v>
      </c>
      <c r="O659" s="96">
        <f t="shared" si="43"/>
        <v>0.932861328125</v>
      </c>
      <c r="Q659" s="96">
        <f t="shared" si="40"/>
        <v>1</v>
      </c>
      <c r="R659" s="96">
        <f t="shared" si="41"/>
        <v>0</v>
      </c>
      <c r="S659" s="96">
        <f t="shared" si="42"/>
        <v>0</v>
      </c>
    </row>
    <row r="660" spans="1:19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40.06259854180032</v>
      </c>
      <c r="H660">
        <v>4.8749248570982415E-4</v>
      </c>
      <c r="I660">
        <v>-0.26304768501550713</v>
      </c>
      <c r="J660" s="96">
        <v>-1.2823376982842443E-4</v>
      </c>
      <c r="L660" s="100"/>
      <c r="M660" s="100">
        <v>37.985882094762495</v>
      </c>
      <c r="N660" s="96">
        <v>4.8828125E-4</v>
      </c>
      <c r="O660" s="96">
        <f t="shared" si="43"/>
        <v>0.933349609375</v>
      </c>
      <c r="Q660" s="96">
        <f t="shared" si="40"/>
        <v>1</v>
      </c>
      <c r="R660" s="96">
        <f t="shared" si="41"/>
        <v>0</v>
      </c>
      <c r="S660" s="96">
        <f t="shared" si="42"/>
        <v>0</v>
      </c>
    </row>
    <row r="661" spans="1:19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64.792971886774538</v>
      </c>
      <c r="H661">
        <v>1.2297107747635203E-4</v>
      </c>
      <c r="I661">
        <v>-0.11535214146992968</v>
      </c>
      <c r="J661" s="96">
        <v>-1.4184977125761844E-5</v>
      </c>
      <c r="L661" s="100"/>
      <c r="M661" s="100">
        <v>37.985882094762495</v>
      </c>
      <c r="N661" s="96">
        <v>2.44140625E-4</v>
      </c>
      <c r="O661" s="96">
        <f t="shared" si="43"/>
        <v>0.93359375</v>
      </c>
      <c r="Q661" s="96">
        <f t="shared" si="40"/>
        <v>1</v>
      </c>
      <c r="R661" s="96">
        <f t="shared" si="41"/>
        <v>0</v>
      </c>
      <c r="S661" s="96">
        <f t="shared" si="42"/>
        <v>0</v>
      </c>
    </row>
    <row r="662" spans="1:19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-2.127715838674793</v>
      </c>
      <c r="H662">
        <v>4.8749248570982415E-4</v>
      </c>
      <c r="I662">
        <v>-1.0734994878895892</v>
      </c>
      <c r="J662" s="96">
        <v>-5.2332293375951904E-4</v>
      </c>
      <c r="L662" s="100"/>
      <c r="M662" s="100">
        <v>38.442228171429953</v>
      </c>
      <c r="N662" s="96">
        <v>4.8828125E-4</v>
      </c>
      <c r="O662" s="96">
        <f t="shared" si="43"/>
        <v>0.93408203125</v>
      </c>
      <c r="Q662" s="96">
        <f t="shared" si="40"/>
        <v>1</v>
      </c>
      <c r="R662" s="96">
        <f t="shared" si="41"/>
        <v>0</v>
      </c>
      <c r="S662" s="96">
        <f t="shared" si="42"/>
        <v>0</v>
      </c>
    </row>
    <row r="663" spans="1:19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31.815719978249248</v>
      </c>
      <c r="H663">
        <v>4.8749248570982415E-4</v>
      </c>
      <c r="I663">
        <v>-0.34627431529242059</v>
      </c>
      <c r="J663" s="96">
        <v>-1.688061266993695E-4</v>
      </c>
      <c r="L663" s="100"/>
      <c r="M663" s="100">
        <v>38.442228171429953</v>
      </c>
      <c r="N663" s="96">
        <v>9.765625E-4</v>
      </c>
      <c r="O663" s="96">
        <f t="shared" si="43"/>
        <v>0.93505859375</v>
      </c>
      <c r="Q663" s="96">
        <f t="shared" si="40"/>
        <v>1</v>
      </c>
      <c r="R663" s="96">
        <f t="shared" si="41"/>
        <v>0</v>
      </c>
      <c r="S663" s="96">
        <f t="shared" si="42"/>
        <v>0</v>
      </c>
    </row>
    <row r="664" spans="1:19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56.549514105116465</v>
      </c>
      <c r="H664">
        <v>1.2297107747635203E-4</v>
      </c>
      <c r="I664">
        <v>-0.15183151854811672</v>
      </c>
      <c r="J664" s="96">
        <v>-1.8670885430732642E-5</v>
      </c>
      <c r="L664" s="100"/>
      <c r="M664" s="100">
        <v>38.442228171429953</v>
      </c>
      <c r="N664" s="96">
        <v>4.8828125E-4</v>
      </c>
      <c r="O664" s="96">
        <f t="shared" si="43"/>
        <v>0.935546875</v>
      </c>
      <c r="Q664" s="96">
        <f t="shared" si="40"/>
        <v>1</v>
      </c>
      <c r="R664" s="96">
        <f t="shared" si="41"/>
        <v>0</v>
      </c>
      <c r="S664" s="96">
        <f t="shared" si="42"/>
        <v>0</v>
      </c>
    </row>
    <row r="665" spans="1:19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-14.5</v>
      </c>
      <c r="H665">
        <v>1.2297107747635203E-4</v>
      </c>
      <c r="I665">
        <v>-1.6214703050420796</v>
      </c>
      <c r="J665" s="96">
        <v>-1.9939395050693373E-4</v>
      </c>
      <c r="L665" s="100"/>
      <c r="M665" s="100">
        <v>38.497483111962424</v>
      </c>
      <c r="N665" s="96">
        <v>1.953125E-3</v>
      </c>
      <c r="O665" s="96">
        <f t="shared" si="43"/>
        <v>0.9375</v>
      </c>
      <c r="Q665" s="96">
        <f t="shared" si="40"/>
        <v>1</v>
      </c>
      <c r="R665" s="96">
        <f t="shared" si="41"/>
        <v>0</v>
      </c>
      <c r="S665" s="96">
        <f t="shared" si="42"/>
        <v>0</v>
      </c>
    </row>
    <row r="666" spans="1:19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23.497363362571964</v>
      </c>
      <c r="H666">
        <v>1.2297107747635203E-4</v>
      </c>
      <c r="I666">
        <v>-0.45692069118218459</v>
      </c>
      <c r="J666" s="96">
        <v>-5.6188029715912746E-5</v>
      </c>
      <c r="L666" s="100"/>
      <c r="M666" s="100">
        <v>38.497483111962424</v>
      </c>
      <c r="N666" s="96">
        <v>3.90625E-3</v>
      </c>
      <c r="O666" s="96">
        <f t="shared" si="43"/>
        <v>0.94140625</v>
      </c>
      <c r="Q666" s="96">
        <f t="shared" si="40"/>
        <v>1</v>
      </c>
      <c r="R666" s="96">
        <f t="shared" si="41"/>
        <v>0</v>
      </c>
      <c r="S666" s="96">
        <f t="shared" si="42"/>
        <v>0</v>
      </c>
    </row>
    <row r="667" spans="1:19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48.306056323458392</v>
      </c>
      <c r="H667">
        <v>3.1019731255296003E-5</v>
      </c>
      <c r="I667">
        <v>-0.19984726534649189</v>
      </c>
      <c r="J667" s="96">
        <v>-6.1992084631540081E-6</v>
      </c>
      <c r="L667" s="100"/>
      <c r="M667" s="100">
        <v>38.497483111962424</v>
      </c>
      <c r="N667" s="96">
        <v>1.953125E-3</v>
      </c>
      <c r="O667" s="96">
        <f t="shared" si="43"/>
        <v>0.943359375</v>
      </c>
      <c r="Q667" s="96">
        <f t="shared" si="40"/>
        <v>1</v>
      </c>
      <c r="R667" s="96">
        <f t="shared" si="41"/>
        <v>0</v>
      </c>
      <c r="S667" s="96">
        <f t="shared" si="42"/>
        <v>0</v>
      </c>
    </row>
    <row r="668" spans="1:19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4.8723522556397576</v>
      </c>
      <c r="H668">
        <v>1.2297107747635203E-4</v>
      </c>
      <c r="I668">
        <v>-0.8500911143797294</v>
      </c>
      <c r="J668" s="96">
        <v>-1.0453662028834814E-4</v>
      </c>
      <c r="L668" s="100"/>
      <c r="M668" s="100">
        <v>39.469705334184646</v>
      </c>
      <c r="N668" s="96">
        <v>9.765625E-4</v>
      </c>
      <c r="O668" s="96">
        <f t="shared" si="43"/>
        <v>0.9443359375</v>
      </c>
      <c r="Q668" s="96">
        <f t="shared" si="40"/>
        <v>1</v>
      </c>
      <c r="R668" s="96">
        <f t="shared" si="41"/>
        <v>0</v>
      </c>
      <c r="S668" s="96">
        <f t="shared" si="42"/>
        <v>0</v>
      </c>
    </row>
    <row r="669" spans="1:19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38.442228171429953</v>
      </c>
      <c r="H669">
        <v>1.2297107747635203E-4</v>
      </c>
      <c r="I669">
        <v>-0.27764620887622238</v>
      </c>
      <c r="J669" s="96">
        <v>-3.4142453462733359E-5</v>
      </c>
      <c r="L669" s="100"/>
      <c r="M669" s="100">
        <v>39.469705334184646</v>
      </c>
      <c r="N669" s="96">
        <v>1.953125E-3</v>
      </c>
      <c r="O669" s="96">
        <f t="shared" si="43"/>
        <v>0.9462890625</v>
      </c>
      <c r="Q669" s="96">
        <f t="shared" si="40"/>
        <v>1</v>
      </c>
      <c r="R669" s="96">
        <f t="shared" si="41"/>
        <v>0</v>
      </c>
      <c r="S669" s="96">
        <f t="shared" si="42"/>
        <v>0</v>
      </c>
    </row>
    <row r="670" spans="1:19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63.172601516404178</v>
      </c>
      <c r="H670">
        <v>3.1019731255296003E-5</v>
      </c>
      <c r="I670">
        <v>-0.12175391227256607</v>
      </c>
      <c r="J670" s="96">
        <v>-3.7767736379758853E-6</v>
      </c>
      <c r="L670" s="100"/>
      <c r="M670" s="100">
        <v>39.469705334184646</v>
      </c>
      <c r="N670" s="96">
        <v>9.765625E-4</v>
      </c>
      <c r="O670" s="96">
        <f t="shared" si="43"/>
        <v>0.947265625</v>
      </c>
      <c r="Q670" s="96">
        <f t="shared" si="40"/>
        <v>1</v>
      </c>
      <c r="R670" s="96">
        <f t="shared" si="41"/>
        <v>0</v>
      </c>
      <c r="S670" s="96">
        <f t="shared" si="42"/>
        <v>0</v>
      </c>
    </row>
    <row r="671" spans="1:19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-4.1171713473951597</v>
      </c>
      <c r="H671">
        <v>1.2297107747635203E-4</v>
      </c>
      <c r="I671">
        <v>-1.1471023247244923</v>
      </c>
      <c r="J671" s="96">
        <v>-1.4106040884699907E-4</v>
      </c>
      <c r="L671" s="100"/>
      <c r="M671" s="100">
        <v>40.06259854180032</v>
      </c>
      <c r="N671" s="96">
        <v>9.765625E-4</v>
      </c>
      <c r="O671" s="96">
        <f t="shared" si="43"/>
        <v>0.9482421875</v>
      </c>
      <c r="Q671" s="96">
        <f t="shared" si="40"/>
        <v>1</v>
      </c>
      <c r="R671" s="96">
        <f t="shared" si="41"/>
        <v>0</v>
      </c>
      <c r="S671" s="96">
        <f t="shared" si="42"/>
        <v>0</v>
      </c>
    </row>
    <row r="672" spans="1:19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30.130191857535941</v>
      </c>
      <c r="H672">
        <v>1.2297107747635203E-4</v>
      </c>
      <c r="I672">
        <v>-0.36628640342083207</v>
      </c>
      <c r="J672" s="96">
        <v>-4.5042633693597481E-5</v>
      </c>
      <c r="L672" s="100"/>
      <c r="M672" s="100">
        <v>40.06259854180032</v>
      </c>
      <c r="N672" s="96">
        <v>1.953125E-3</v>
      </c>
      <c r="O672" s="96">
        <f t="shared" si="43"/>
        <v>0.9501953125</v>
      </c>
      <c r="Q672" s="96">
        <f t="shared" si="40"/>
        <v>1</v>
      </c>
      <c r="R672" s="96">
        <f t="shared" si="41"/>
        <v>0</v>
      </c>
      <c r="S672" s="96">
        <f t="shared" si="42"/>
        <v>0</v>
      </c>
    </row>
    <row r="673" spans="1:19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54.929143734746091</v>
      </c>
      <c r="H673">
        <v>3.1019731255296003E-5</v>
      </c>
      <c r="I673">
        <v>-0.16025780842860987</v>
      </c>
      <c r="J673" s="96">
        <v>-4.9711541490181887E-6</v>
      </c>
      <c r="L673" s="100"/>
      <c r="M673" s="100">
        <v>40.06259854180032</v>
      </c>
      <c r="N673" s="96">
        <v>9.765625E-4</v>
      </c>
      <c r="O673" s="96">
        <f t="shared" si="43"/>
        <v>0.951171875</v>
      </c>
      <c r="Q673" s="96">
        <f t="shared" si="40"/>
        <v>1</v>
      </c>
      <c r="R673" s="96">
        <f t="shared" si="41"/>
        <v>0</v>
      </c>
      <c r="S673" s="96">
        <f t="shared" si="42"/>
        <v>0</v>
      </c>
    </row>
    <row r="674" spans="1:19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-17</v>
      </c>
      <c r="H674">
        <v>3.1019731255296003E-5</v>
      </c>
      <c r="I674">
        <v>-1.7623826407286585</v>
      </c>
      <c r="J674" s="96">
        <v>-5.4668635884401875E-5</v>
      </c>
      <c r="L674" s="100"/>
      <c r="M674" s="100">
        <v>41.034820764022548</v>
      </c>
      <c r="N674" s="96">
        <v>4.8828125E-4</v>
      </c>
      <c r="O674" s="96">
        <f t="shared" si="43"/>
        <v>0.95166015625</v>
      </c>
      <c r="Q674" s="96">
        <f t="shared" si="40"/>
        <v>1</v>
      </c>
      <c r="R674" s="96">
        <f t="shared" si="41"/>
        <v>0</v>
      </c>
      <c r="S674" s="96">
        <f t="shared" si="42"/>
        <v>0</v>
      </c>
    </row>
    <row r="675" spans="1:19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21.811835241858656</v>
      </c>
      <c r="H675">
        <v>4.8828125E-4</v>
      </c>
      <c r="I675">
        <v>-0.4833273194991326</v>
      </c>
      <c r="J675" s="96">
        <v>-2.3599966772418584E-4</v>
      </c>
      <c r="L675" s="100"/>
      <c r="M675" s="100">
        <v>41.034820764022548</v>
      </c>
      <c r="N675" s="96">
        <v>9.765625E-4</v>
      </c>
      <c r="O675" s="96">
        <f t="shared" si="43"/>
        <v>0.95263671875</v>
      </c>
      <c r="Q675" s="96">
        <f t="shared" si="40"/>
        <v>1</v>
      </c>
      <c r="R675" s="96">
        <f t="shared" si="41"/>
        <v>0</v>
      </c>
      <c r="S675" s="96">
        <f t="shared" si="42"/>
        <v>0</v>
      </c>
    </row>
    <row r="676" spans="1:19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46.685685953088026</v>
      </c>
      <c r="H676">
        <v>2.44140625E-4</v>
      </c>
      <c r="I676">
        <v>-0.21093831551668235</v>
      </c>
      <c r="J676" s="96">
        <v>-5.1498612186690027E-5</v>
      </c>
      <c r="L676" s="100"/>
      <c r="M676" s="100">
        <v>41.034820764022548</v>
      </c>
      <c r="N676" s="96">
        <v>4.8828125E-4</v>
      </c>
      <c r="O676" s="96">
        <f t="shared" si="43"/>
        <v>0.953125</v>
      </c>
      <c r="Q676" s="96">
        <f t="shared" si="40"/>
        <v>1</v>
      </c>
      <c r="R676" s="96">
        <f t="shared" si="41"/>
        <v>0</v>
      </c>
      <c r="S676" s="96">
        <f t="shared" si="42"/>
        <v>0</v>
      </c>
    </row>
    <row r="677" spans="1:19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7.7663216606651506</v>
      </c>
      <c r="H677">
        <v>4.8828125E-4</v>
      </c>
      <c r="I677">
        <v>-0.77191766307839438</v>
      </c>
      <c r="J677" s="96">
        <v>-3.7691292142499725E-4</v>
      </c>
      <c r="L677" s="100"/>
      <c r="M677" s="100">
        <v>44.859717951610477</v>
      </c>
      <c r="N677" s="96">
        <v>4.8828125E-4</v>
      </c>
      <c r="O677" s="96">
        <f t="shared" si="43"/>
        <v>0.95361328125</v>
      </c>
      <c r="Q677" s="96">
        <f t="shared" si="40"/>
        <v>1</v>
      </c>
      <c r="R677" s="96">
        <f t="shared" si="41"/>
        <v>0</v>
      </c>
      <c r="S677" s="96">
        <f t="shared" si="42"/>
        <v>0</v>
      </c>
    </row>
    <row r="678" spans="1:19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41.034820764022548</v>
      </c>
      <c r="H678">
        <v>9.765625E-4</v>
      </c>
      <c r="I678">
        <v>-0.25465964297612242</v>
      </c>
      <c r="J678" s="96">
        <v>-2.4869105759386956E-4</v>
      </c>
      <c r="L678" s="100"/>
      <c r="M678" s="100">
        <v>44.859717951610477</v>
      </c>
      <c r="N678" s="96">
        <v>9.765625E-4</v>
      </c>
      <c r="O678" s="96">
        <f t="shared" si="43"/>
        <v>0.95458984375</v>
      </c>
      <c r="Q678" s="96">
        <f t="shared" si="40"/>
        <v>1</v>
      </c>
      <c r="R678" s="96">
        <f t="shared" si="41"/>
        <v>0</v>
      </c>
      <c r="S678" s="96">
        <f t="shared" si="42"/>
        <v>0</v>
      </c>
    </row>
    <row r="679" spans="1:19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65.765194108996766</v>
      </c>
      <c r="H679">
        <v>4.8828125E-4</v>
      </c>
      <c r="I679">
        <v>-0.11167380226718866</v>
      </c>
      <c r="J679" s="96">
        <v>-5.4528223763275714E-5</v>
      </c>
      <c r="L679" s="100"/>
      <c r="M679" s="100">
        <v>44.859717951610477</v>
      </c>
      <c r="N679" s="96">
        <v>4.8828125E-4</v>
      </c>
      <c r="O679" s="96">
        <f t="shared" si="43"/>
        <v>0.955078125</v>
      </c>
      <c r="Q679" s="96">
        <f t="shared" si="40"/>
        <v>1</v>
      </c>
      <c r="R679" s="96">
        <f t="shared" si="41"/>
        <v>0</v>
      </c>
      <c r="S679" s="96">
        <f t="shared" si="42"/>
        <v>0</v>
      </c>
    </row>
    <row r="680" spans="1:19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-0.96030536397420951</v>
      </c>
      <c r="H680">
        <v>9.765625E-4</v>
      </c>
      <c r="I680">
        <v>-1.0325280151469025</v>
      </c>
      <c r="J680" s="96">
        <v>-1.008328139791897E-3</v>
      </c>
      <c r="L680" s="100"/>
      <c r="M680" s="100">
        <v>46.480088321980844</v>
      </c>
      <c r="N680" s="96">
        <v>9.765625E-4</v>
      </c>
      <c r="O680" s="96">
        <f t="shared" si="43"/>
        <v>0.9560546875</v>
      </c>
      <c r="Q680" s="96">
        <f t="shared" si="40"/>
        <v>1</v>
      </c>
      <c r="R680" s="96">
        <f t="shared" si="41"/>
        <v>0</v>
      </c>
      <c r="S680" s="96">
        <f t="shared" si="42"/>
        <v>0</v>
      </c>
    </row>
    <row r="681" spans="1:19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32.791362982364475</v>
      </c>
      <c r="H681">
        <v>1.953125E-3</v>
      </c>
      <c r="I681">
        <v>-0.33519412655260761</v>
      </c>
      <c r="J681" s="96">
        <v>-6.5467602842306173E-4</v>
      </c>
      <c r="L681" s="100"/>
      <c r="M681" s="100">
        <v>46.480088321980844</v>
      </c>
      <c r="N681" s="96">
        <v>1.953125E-3</v>
      </c>
      <c r="O681" s="96">
        <f t="shared" si="43"/>
        <v>0.9580078125</v>
      </c>
      <c r="Q681" s="96">
        <f t="shared" si="40"/>
        <v>1</v>
      </c>
      <c r="R681" s="96">
        <f t="shared" si="41"/>
        <v>0</v>
      </c>
      <c r="S681" s="96">
        <f t="shared" si="42"/>
        <v>0</v>
      </c>
    </row>
    <row r="682" spans="1:19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57.521736327338687</v>
      </c>
      <c r="H682">
        <v>9.765625E-4</v>
      </c>
      <c r="I682">
        <v>-0.14698992809500125</v>
      </c>
      <c r="J682" s="96">
        <v>-1.4354485165527466E-4</v>
      </c>
      <c r="L682" s="100"/>
      <c r="M682" s="100">
        <v>46.480088321980844</v>
      </c>
      <c r="N682" s="96">
        <v>9.765625E-4</v>
      </c>
      <c r="O682" s="96">
        <f t="shared" si="43"/>
        <v>0.958984375</v>
      </c>
      <c r="Q682" s="96">
        <f t="shared" si="40"/>
        <v>1</v>
      </c>
      <c r="R682" s="96">
        <f t="shared" si="41"/>
        <v>0</v>
      </c>
      <c r="S682" s="96">
        <f t="shared" si="42"/>
        <v>0</v>
      </c>
    </row>
    <row r="683" spans="1:19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-13</v>
      </c>
      <c r="H683">
        <v>4.8828125E-4</v>
      </c>
      <c r="I683">
        <v>-1.5423902651101746</v>
      </c>
      <c r="J683" s="96">
        <v>-7.5312024663582746E-4</v>
      </c>
      <c r="L683" s="100"/>
      <c r="M683" s="100">
        <v>46.685685953088026</v>
      </c>
      <c r="N683" s="96">
        <v>2.44140625E-4</v>
      </c>
      <c r="O683" s="96">
        <f t="shared" si="43"/>
        <v>0.959228515625</v>
      </c>
      <c r="Q683" s="96">
        <f t="shared" si="40"/>
        <v>1</v>
      </c>
      <c r="R683" s="96">
        <f t="shared" si="41"/>
        <v>0</v>
      </c>
      <c r="S683" s="96">
        <f t="shared" si="42"/>
        <v>0</v>
      </c>
    </row>
    <row r="684" spans="1:19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24.508680234999947</v>
      </c>
      <c r="H684">
        <v>9.765625E-4</v>
      </c>
      <c r="I684">
        <v>-0.44177436757952165</v>
      </c>
      <c r="J684" s="96">
        <v>-4.3142028083937662E-4</v>
      </c>
      <c r="L684" s="100"/>
      <c r="M684" s="100">
        <v>46.685685953088026</v>
      </c>
      <c r="N684" s="96">
        <v>4.8828125E-4</v>
      </c>
      <c r="O684" s="96">
        <f t="shared" si="43"/>
        <v>0.959716796875</v>
      </c>
      <c r="Q684" s="96">
        <f t="shared" si="40"/>
        <v>1</v>
      </c>
      <c r="R684" s="96">
        <f t="shared" si="41"/>
        <v>0</v>
      </c>
      <c r="S684" s="96">
        <f t="shared" si="42"/>
        <v>0</v>
      </c>
    </row>
    <row r="685" spans="1:19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49.278278545680621</v>
      </c>
      <c r="H685">
        <v>4.8828125E-4</v>
      </c>
      <c r="I685">
        <v>-0.19347455287390877</v>
      </c>
      <c r="J685" s="96">
        <v>-9.4469996520463268E-5</v>
      </c>
      <c r="L685" s="100"/>
      <c r="M685" s="100">
        <v>46.685685953088026</v>
      </c>
      <c r="N685" s="96">
        <v>2.44140625E-4</v>
      </c>
      <c r="O685" s="96">
        <f t="shared" si="43"/>
        <v>0.9599609375</v>
      </c>
      <c r="Q685" s="96">
        <f t="shared" si="40"/>
        <v>1</v>
      </c>
      <c r="R685" s="96">
        <f t="shared" si="41"/>
        <v>0</v>
      </c>
      <c r="S685" s="96">
        <f t="shared" si="42"/>
        <v>0</v>
      </c>
    </row>
    <row r="686" spans="1:19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6.6852886767591286</v>
      </c>
      <c r="H686">
        <v>9.765625E-4</v>
      </c>
      <c r="I686">
        <v>-0.80024051248445593</v>
      </c>
      <c r="J686" s="96">
        <v>-7.814848754731015E-4</v>
      </c>
      <c r="L686" s="100"/>
      <c r="M686" s="100">
        <v>47.452310544203073</v>
      </c>
      <c r="N686" s="96">
        <v>4.8828125E-4</v>
      </c>
      <c r="O686" s="96">
        <f t="shared" si="43"/>
        <v>0.96044921875</v>
      </c>
      <c r="Q686" s="96">
        <f t="shared" si="40"/>
        <v>1</v>
      </c>
      <c r="R686" s="96">
        <f t="shared" si="41"/>
        <v>0</v>
      </c>
      <c r="S686" s="96">
        <f t="shared" si="42"/>
        <v>0</v>
      </c>
    </row>
    <row r="687" spans="1:19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40.06259854180032</v>
      </c>
      <c r="H687">
        <v>1.953125E-3</v>
      </c>
      <c r="I687">
        <v>-0.26304768501550713</v>
      </c>
      <c r="J687" s="96">
        <v>-5.1376500979591236E-4</v>
      </c>
      <c r="L687" s="100"/>
      <c r="M687" s="100">
        <v>47.452310544203073</v>
      </c>
      <c r="N687" s="96">
        <v>9.765625E-4</v>
      </c>
      <c r="O687" s="96">
        <f t="shared" si="43"/>
        <v>0.96142578125</v>
      </c>
      <c r="Q687" s="96">
        <f t="shared" si="40"/>
        <v>1</v>
      </c>
      <c r="R687" s="96">
        <f t="shared" si="41"/>
        <v>0</v>
      </c>
      <c r="S687" s="96">
        <f t="shared" si="42"/>
        <v>0</v>
      </c>
    </row>
    <row r="688" spans="1:19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64.792971886774538</v>
      </c>
      <c r="H688">
        <v>9.765625E-4</v>
      </c>
      <c r="I688">
        <v>-0.11535214146992968</v>
      </c>
      <c r="J688" s="96">
        <v>-1.1264857565422821E-4</v>
      </c>
      <c r="L688" s="100"/>
      <c r="M688" s="100">
        <v>47.452310544203073</v>
      </c>
      <c r="N688" s="96">
        <v>4.8828125E-4</v>
      </c>
      <c r="O688" s="96">
        <f t="shared" si="43"/>
        <v>0.9619140625</v>
      </c>
      <c r="Q688" s="96">
        <f t="shared" si="40"/>
        <v>1</v>
      </c>
      <c r="R688" s="96">
        <f t="shared" si="41"/>
        <v>0</v>
      </c>
      <c r="S688" s="96">
        <f t="shared" si="42"/>
        <v>0</v>
      </c>
    </row>
    <row r="689" spans="1:19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-2.127715838674793</v>
      </c>
      <c r="H689">
        <v>1.953125E-3</v>
      </c>
      <c r="I689">
        <v>-1.0734994878895892</v>
      </c>
      <c r="J689" s="96">
        <v>-2.0966786872843538E-3</v>
      </c>
      <c r="L689" s="100"/>
      <c r="M689" s="100">
        <v>48.306056323458392</v>
      </c>
      <c r="N689" s="96">
        <v>4.8828125E-4</v>
      </c>
      <c r="O689" s="96">
        <f t="shared" si="43"/>
        <v>0.96240234375</v>
      </c>
      <c r="Q689" s="96">
        <f t="shared" si="40"/>
        <v>1</v>
      </c>
      <c r="R689" s="96">
        <f t="shared" si="41"/>
        <v>0</v>
      </c>
      <c r="S689" s="96">
        <f t="shared" si="42"/>
        <v>0</v>
      </c>
    </row>
    <row r="690" spans="1:19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31.815719978249248</v>
      </c>
      <c r="H690">
        <v>3.90625E-3</v>
      </c>
      <c r="I690">
        <v>-0.34627431529242059</v>
      </c>
      <c r="J690" s="96">
        <v>-1.3526340441110179E-3</v>
      </c>
      <c r="L690" s="100"/>
      <c r="M690" s="100">
        <v>48.306056323458392</v>
      </c>
      <c r="N690" s="96">
        <v>9.765625E-4</v>
      </c>
      <c r="O690" s="96">
        <f t="shared" si="43"/>
        <v>0.96337890625</v>
      </c>
      <c r="Q690" s="96">
        <f t="shared" si="40"/>
        <v>1</v>
      </c>
      <c r="R690" s="96">
        <f t="shared" si="41"/>
        <v>0</v>
      </c>
      <c r="S690" s="96">
        <f t="shared" si="42"/>
        <v>0</v>
      </c>
    </row>
    <row r="691" spans="1:19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56.549514105116465</v>
      </c>
      <c r="H691">
        <v>1.953125E-3</v>
      </c>
      <c r="I691">
        <v>-0.15183151854811672</v>
      </c>
      <c r="J691" s="96">
        <v>-2.9654593466429046E-4</v>
      </c>
      <c r="L691" s="100"/>
      <c r="M691" s="100">
        <v>48.306056323458392</v>
      </c>
      <c r="N691" s="96">
        <v>4.8828125E-4</v>
      </c>
      <c r="O691" s="96">
        <f t="shared" si="43"/>
        <v>0.9638671875</v>
      </c>
      <c r="Q691" s="96">
        <f t="shared" si="40"/>
        <v>1</v>
      </c>
      <c r="R691" s="96">
        <f t="shared" si="41"/>
        <v>0</v>
      </c>
      <c r="S691" s="96">
        <f t="shared" si="42"/>
        <v>0</v>
      </c>
    </row>
    <row r="692" spans="1:19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-14.5</v>
      </c>
      <c r="H692">
        <v>9.765625E-4</v>
      </c>
      <c r="I692">
        <v>-1.6214703050420796</v>
      </c>
      <c r="J692" s="96">
        <v>-1.5834670947676558E-3</v>
      </c>
      <c r="L692" s="100"/>
      <c r="M692" s="100">
        <v>49.278278545680621</v>
      </c>
      <c r="N692" s="96">
        <v>2.44140625E-4</v>
      </c>
      <c r="O692" s="96">
        <f t="shared" si="43"/>
        <v>0.964111328125</v>
      </c>
      <c r="Q692" s="96">
        <f t="shared" si="40"/>
        <v>1</v>
      </c>
      <c r="R692" s="96">
        <f t="shared" si="41"/>
        <v>0</v>
      </c>
      <c r="S692" s="96">
        <f t="shared" si="42"/>
        <v>0</v>
      </c>
    </row>
    <row r="693" spans="1:19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23.497363362571964</v>
      </c>
      <c r="H693">
        <v>1.953125E-3</v>
      </c>
      <c r="I693">
        <v>-0.45692069118218459</v>
      </c>
      <c r="J693" s="96">
        <v>-8.9242322496520428E-4</v>
      </c>
      <c r="L693" s="100"/>
      <c r="M693" s="100">
        <v>49.278278545680621</v>
      </c>
      <c r="N693" s="96">
        <v>4.8828125E-4</v>
      </c>
      <c r="O693" s="96">
        <f t="shared" si="43"/>
        <v>0.964599609375</v>
      </c>
      <c r="Q693" s="96">
        <f t="shared" si="40"/>
        <v>1</v>
      </c>
      <c r="R693" s="96">
        <f t="shared" si="41"/>
        <v>0</v>
      </c>
      <c r="S693" s="96">
        <f t="shared" si="42"/>
        <v>0</v>
      </c>
    </row>
    <row r="694" spans="1:19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48.306056323458392</v>
      </c>
      <c r="H694">
        <v>9.765625E-4</v>
      </c>
      <c r="I694">
        <v>-0.19984726534649189</v>
      </c>
      <c r="J694" s="96">
        <v>-1.9516334506493348E-4</v>
      </c>
      <c r="L694" s="100"/>
      <c r="M694" s="100">
        <v>49.278278545680621</v>
      </c>
      <c r="N694" s="96">
        <v>2.44140625E-4</v>
      </c>
      <c r="O694" s="96">
        <f t="shared" si="43"/>
        <v>0.96484375</v>
      </c>
      <c r="Q694" s="96">
        <f t="shared" si="40"/>
        <v>1</v>
      </c>
      <c r="R694" s="96">
        <f t="shared" si="41"/>
        <v>0</v>
      </c>
      <c r="S694" s="96">
        <f t="shared" si="42"/>
        <v>0</v>
      </c>
    </row>
    <row r="695" spans="1:19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4.8723522556397576</v>
      </c>
      <c r="H695">
        <v>4.8828125E-4</v>
      </c>
      <c r="I695">
        <v>-0.8500911143797294</v>
      </c>
      <c r="J695" s="96">
        <v>-4.1508355194322724E-4</v>
      </c>
      <c r="L695" s="100"/>
      <c r="M695" s="100">
        <v>52.842323161628904</v>
      </c>
      <c r="N695" s="96">
        <v>9.765625E-4</v>
      </c>
      <c r="O695" s="96">
        <f t="shared" si="43"/>
        <v>0.9658203125</v>
      </c>
      <c r="Q695" s="96">
        <f t="shared" si="40"/>
        <v>1</v>
      </c>
      <c r="R695" s="96">
        <f t="shared" si="41"/>
        <v>0</v>
      </c>
      <c r="S695" s="96">
        <f t="shared" si="42"/>
        <v>0</v>
      </c>
    </row>
    <row r="696" spans="1:19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38.442228171429953</v>
      </c>
      <c r="H696">
        <v>9.765625E-4</v>
      </c>
      <c r="I696">
        <v>-0.27764620887622238</v>
      </c>
      <c r="J696" s="96">
        <v>-2.7113887585568592E-4</v>
      </c>
      <c r="L696" s="100"/>
      <c r="M696" s="100">
        <v>52.842323161628904</v>
      </c>
      <c r="N696" s="96">
        <v>1.953125E-3</v>
      </c>
      <c r="O696" s="96">
        <f t="shared" si="43"/>
        <v>0.9677734375</v>
      </c>
      <c r="Q696" s="96">
        <f t="shared" si="40"/>
        <v>1</v>
      </c>
      <c r="R696" s="96">
        <f t="shared" si="41"/>
        <v>0</v>
      </c>
      <c r="S696" s="96">
        <f t="shared" si="42"/>
        <v>0</v>
      </c>
    </row>
    <row r="697" spans="1:19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63.172601516404178</v>
      </c>
      <c r="H697">
        <v>4.8828125E-4</v>
      </c>
      <c r="I697">
        <v>-0.12175391227256607</v>
      </c>
      <c r="J697" s="96">
        <v>-5.9450152476838903E-5</v>
      </c>
      <c r="L697" s="100"/>
      <c r="M697" s="100">
        <v>52.842323161628904</v>
      </c>
      <c r="N697" s="96">
        <v>9.765625E-4</v>
      </c>
      <c r="O697" s="96">
        <f t="shared" si="43"/>
        <v>0.96875</v>
      </c>
      <c r="Q697" s="96">
        <f t="shared" si="40"/>
        <v>1</v>
      </c>
      <c r="R697" s="96">
        <f t="shared" si="41"/>
        <v>0</v>
      </c>
      <c r="S697" s="96">
        <f t="shared" si="42"/>
        <v>0</v>
      </c>
    </row>
    <row r="698" spans="1:19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-4.1171713473951597</v>
      </c>
      <c r="H698">
        <v>9.765625E-4</v>
      </c>
      <c r="I698">
        <v>-1.1471023247244923</v>
      </c>
      <c r="J698" s="96">
        <v>-1.120217113988762E-3</v>
      </c>
      <c r="L698" s="100"/>
      <c r="M698" s="100">
        <v>54.462693531999271</v>
      </c>
      <c r="N698" s="96">
        <v>1.953125E-3</v>
      </c>
      <c r="O698" s="96">
        <f t="shared" si="43"/>
        <v>0.970703125</v>
      </c>
      <c r="Q698" s="96">
        <f t="shared" si="40"/>
        <v>1</v>
      </c>
      <c r="R698" s="96">
        <f t="shared" si="41"/>
        <v>0</v>
      </c>
      <c r="S698" s="96">
        <f t="shared" si="42"/>
        <v>0</v>
      </c>
    </row>
    <row r="699" spans="1:19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30.130191857535941</v>
      </c>
      <c r="H699">
        <v>1.953125E-3</v>
      </c>
      <c r="I699">
        <v>-0.36628640342083207</v>
      </c>
      <c r="J699" s="96">
        <v>-7.1540313168131264E-4</v>
      </c>
      <c r="L699" s="100"/>
      <c r="M699" s="100">
        <v>54.462693531999271</v>
      </c>
      <c r="N699" s="96">
        <v>3.90625E-3</v>
      </c>
      <c r="O699" s="96">
        <f t="shared" si="43"/>
        <v>0.974609375</v>
      </c>
      <c r="Q699" s="96">
        <f t="shared" si="40"/>
        <v>1</v>
      </c>
      <c r="R699" s="96">
        <f t="shared" si="41"/>
        <v>0</v>
      </c>
      <c r="S699" s="96">
        <f t="shared" si="42"/>
        <v>0</v>
      </c>
    </row>
    <row r="700" spans="1:19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54.929143734746091</v>
      </c>
      <c r="H700">
        <v>9.765625E-4</v>
      </c>
      <c r="I700">
        <v>-0.16025780842860987</v>
      </c>
      <c r="J700" s="96">
        <v>-1.5650176604356433E-4</v>
      </c>
      <c r="L700" s="100"/>
      <c r="M700" s="100">
        <v>54.462693531999271</v>
      </c>
      <c r="N700" s="96">
        <v>1.953125E-3</v>
      </c>
      <c r="O700" s="96">
        <f t="shared" si="43"/>
        <v>0.9765625</v>
      </c>
      <c r="Q700" s="96">
        <f t="shared" si="40"/>
        <v>1</v>
      </c>
      <c r="R700" s="96">
        <f t="shared" si="41"/>
        <v>0</v>
      </c>
      <c r="S700" s="96">
        <f t="shared" si="42"/>
        <v>0</v>
      </c>
    </row>
    <row r="701" spans="1:19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-17</v>
      </c>
      <c r="H701">
        <v>4.8828125E-4</v>
      </c>
      <c r="I701">
        <v>-1.7623826407286585</v>
      </c>
      <c r="J701" s="96">
        <v>-8.6053839879329027E-4</v>
      </c>
      <c r="L701" s="100"/>
      <c r="M701" s="100">
        <v>54.929143734746091</v>
      </c>
      <c r="N701" s="96">
        <v>4.8828125E-4</v>
      </c>
      <c r="O701" s="96">
        <f t="shared" si="43"/>
        <v>0.97705078125</v>
      </c>
      <c r="Q701" s="96">
        <f t="shared" si="40"/>
        <v>1</v>
      </c>
      <c r="R701" s="96">
        <f t="shared" si="41"/>
        <v>0</v>
      </c>
      <c r="S701" s="96">
        <f t="shared" si="42"/>
        <v>0</v>
      </c>
    </row>
    <row r="702" spans="1:19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21.811835241858656</v>
      </c>
      <c r="H702">
        <v>9.765625E-4</v>
      </c>
      <c r="I702">
        <v>-0.4833273194991326</v>
      </c>
      <c r="J702" s="96">
        <v>-4.7199933544837168E-4</v>
      </c>
      <c r="L702" s="100"/>
      <c r="M702" s="100">
        <v>54.929143734746091</v>
      </c>
      <c r="N702" s="96">
        <v>9.765625E-4</v>
      </c>
      <c r="O702" s="96">
        <f t="shared" si="43"/>
        <v>0.97802734375</v>
      </c>
      <c r="Q702" s="96">
        <f t="shared" si="40"/>
        <v>1</v>
      </c>
      <c r="R702" s="96">
        <f t="shared" si="41"/>
        <v>0</v>
      </c>
      <c r="S702" s="96">
        <f t="shared" si="42"/>
        <v>0</v>
      </c>
    </row>
    <row r="703" spans="1:19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46.685685953088026</v>
      </c>
      <c r="H703">
        <v>4.8828125E-4</v>
      </c>
      <c r="I703">
        <v>-0.21093831551668235</v>
      </c>
      <c r="J703" s="96">
        <v>-1.0299722437338005E-4</v>
      </c>
      <c r="L703" s="100"/>
      <c r="M703" s="100">
        <v>54.929143734746091</v>
      </c>
      <c r="N703" s="96">
        <v>4.8828125E-4</v>
      </c>
      <c r="O703" s="96">
        <f t="shared" si="43"/>
        <v>0.978515625</v>
      </c>
      <c r="Q703" s="96">
        <f t="shared" si="40"/>
        <v>1</v>
      </c>
      <c r="R703" s="96">
        <f t="shared" si="41"/>
        <v>0</v>
      </c>
      <c r="S703" s="96">
        <f t="shared" si="42"/>
        <v>0</v>
      </c>
    </row>
    <row r="704" spans="1:19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7.7663216606651506</v>
      </c>
      <c r="H704">
        <v>2.44140625E-4</v>
      </c>
      <c r="I704">
        <v>-0.77191766307839438</v>
      </c>
      <c r="J704" s="96">
        <v>-1.8845646071249863E-4</v>
      </c>
      <c r="L704" s="100"/>
      <c r="M704" s="100">
        <v>55.434915754221493</v>
      </c>
      <c r="N704" s="96">
        <v>9.765625E-4</v>
      </c>
      <c r="O704" s="96">
        <f t="shared" si="43"/>
        <v>0.9794921875</v>
      </c>
      <c r="Q704" s="96">
        <f t="shared" si="40"/>
        <v>1</v>
      </c>
      <c r="R704" s="96">
        <f t="shared" si="41"/>
        <v>0</v>
      </c>
      <c r="S704" s="96">
        <f t="shared" si="42"/>
        <v>0</v>
      </c>
    </row>
    <row r="705" spans="1:19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41.034820764022548</v>
      </c>
      <c r="H705">
        <v>4.8828125E-4</v>
      </c>
      <c r="I705">
        <v>-0.25465964297612242</v>
      </c>
      <c r="J705" s="96">
        <v>-1.2434552879693478E-4</v>
      </c>
      <c r="L705" s="100"/>
      <c r="M705" s="100">
        <v>55.434915754221493</v>
      </c>
      <c r="N705" s="96">
        <v>1.953125E-3</v>
      </c>
      <c r="O705" s="96">
        <f t="shared" si="43"/>
        <v>0.9814453125</v>
      </c>
      <c r="Q705" s="96">
        <f t="shared" si="40"/>
        <v>1</v>
      </c>
      <c r="R705" s="96">
        <f t="shared" si="41"/>
        <v>0</v>
      </c>
      <c r="S705" s="96">
        <f t="shared" si="42"/>
        <v>0</v>
      </c>
    </row>
    <row r="706" spans="1:19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65.765194108996766</v>
      </c>
      <c r="H706">
        <v>2.44140625E-4</v>
      </c>
      <c r="I706">
        <v>-0.11167380226718866</v>
      </c>
      <c r="J706" s="96">
        <v>-2.7264111881637857E-5</v>
      </c>
      <c r="L706" s="100"/>
      <c r="M706" s="100">
        <v>55.434915754221493</v>
      </c>
      <c r="N706" s="96">
        <v>9.765625E-4</v>
      </c>
      <c r="O706" s="96">
        <f t="shared" si="43"/>
        <v>0.982421875</v>
      </c>
      <c r="Q706" s="96">
        <f t="shared" si="40"/>
        <v>1</v>
      </c>
      <c r="R706" s="96">
        <f t="shared" si="41"/>
        <v>0</v>
      </c>
      <c r="S706" s="96">
        <f t="shared" si="42"/>
        <v>0</v>
      </c>
    </row>
    <row r="707" spans="1:19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-0.96030536397420951</v>
      </c>
      <c r="H707">
        <v>4.8828125E-4</v>
      </c>
      <c r="I707">
        <v>-1.0325280151469025</v>
      </c>
      <c r="J707" s="96">
        <v>-5.0416406989594849E-4</v>
      </c>
      <c r="L707" s="100"/>
      <c r="M707" s="100">
        <v>56.549514105116465</v>
      </c>
      <c r="N707" s="96">
        <v>9.765625E-4</v>
      </c>
      <c r="O707" s="96">
        <f t="shared" si="43"/>
        <v>0.9833984375</v>
      </c>
      <c r="Q707" s="96">
        <f t="shared" ref="Q707:Q730" si="44">IF(A707=3,1,0)</f>
        <v>1</v>
      </c>
      <c r="R707" s="96">
        <f t="shared" ref="R707:R730" si="45">IF(A707=2,1,0)</f>
        <v>0</v>
      </c>
      <c r="S707" s="96">
        <f t="shared" ref="S707:S730" si="46">IF(A707=1,1,0)</f>
        <v>0</v>
      </c>
    </row>
    <row r="708" spans="1:19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32.791362982364475</v>
      </c>
      <c r="H708">
        <v>9.765625E-4</v>
      </c>
      <c r="I708">
        <v>-0.33519412655260761</v>
      </c>
      <c r="J708" s="96">
        <v>-3.2733801421153087E-4</v>
      </c>
      <c r="L708" s="100"/>
      <c r="M708" s="100">
        <v>56.549514105116465</v>
      </c>
      <c r="N708" s="96">
        <v>1.953125E-3</v>
      </c>
      <c r="O708" s="96">
        <f t="shared" ref="O708:O730" si="47">N708+O707</f>
        <v>0.9853515625</v>
      </c>
      <c r="Q708" s="96">
        <f t="shared" si="44"/>
        <v>1</v>
      </c>
      <c r="R708" s="96">
        <f t="shared" si="45"/>
        <v>0</v>
      </c>
      <c r="S708" s="96">
        <f t="shared" si="46"/>
        <v>0</v>
      </c>
    </row>
    <row r="709" spans="1:19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57.521736327338687</v>
      </c>
      <c r="H709">
        <v>4.8828125E-4</v>
      </c>
      <c r="I709">
        <v>-0.14698992809500125</v>
      </c>
      <c r="J709" s="96">
        <v>-7.1772425827637329E-5</v>
      </c>
      <c r="L709" s="100"/>
      <c r="M709" s="100">
        <v>56.549514105116465</v>
      </c>
      <c r="N709" s="96">
        <v>9.765625E-4</v>
      </c>
      <c r="O709" s="96">
        <f t="shared" si="47"/>
        <v>0.986328125</v>
      </c>
      <c r="Q709" s="96">
        <f t="shared" si="44"/>
        <v>1</v>
      </c>
      <c r="R709" s="96">
        <f t="shared" si="45"/>
        <v>0</v>
      </c>
      <c r="S709" s="96">
        <f t="shared" si="46"/>
        <v>0</v>
      </c>
    </row>
    <row r="710" spans="1:19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-13</v>
      </c>
      <c r="H710">
        <v>2.44140625E-4</v>
      </c>
      <c r="I710">
        <v>-1.5423902651101746</v>
      </c>
      <c r="J710" s="96">
        <v>-3.7656012331791373E-4</v>
      </c>
      <c r="L710" s="100"/>
      <c r="M710" s="100">
        <v>57.521736327338687</v>
      </c>
      <c r="N710" s="96">
        <v>4.8828125E-4</v>
      </c>
      <c r="O710" s="96">
        <f t="shared" si="47"/>
        <v>0.98681640625</v>
      </c>
      <c r="Q710" s="96">
        <f t="shared" si="44"/>
        <v>1</v>
      </c>
      <c r="R710" s="96">
        <f t="shared" si="45"/>
        <v>0</v>
      </c>
      <c r="S710" s="96">
        <f t="shared" si="46"/>
        <v>0</v>
      </c>
    </row>
    <row r="711" spans="1:19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24.508680234999947</v>
      </c>
      <c r="H711">
        <v>4.8828125E-4</v>
      </c>
      <c r="I711">
        <v>-0.44177436757952165</v>
      </c>
      <c r="J711" s="96">
        <v>-2.1571014041968831E-4</v>
      </c>
      <c r="L711" s="100"/>
      <c r="M711" s="100">
        <v>57.521736327338687</v>
      </c>
      <c r="N711" s="96">
        <v>9.765625E-4</v>
      </c>
      <c r="O711" s="96">
        <f t="shared" si="47"/>
        <v>0.98779296875</v>
      </c>
      <c r="Q711" s="96">
        <f t="shared" si="44"/>
        <v>1</v>
      </c>
      <c r="R711" s="96">
        <f t="shared" si="45"/>
        <v>0</v>
      </c>
      <c r="S711" s="96">
        <f t="shared" si="46"/>
        <v>0</v>
      </c>
    </row>
    <row r="712" spans="1:19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49.278278545680621</v>
      </c>
      <c r="H712">
        <v>2.44140625E-4</v>
      </c>
      <c r="I712">
        <v>-0.19347455287390877</v>
      </c>
      <c r="J712" s="96">
        <v>-4.7234998260231634E-5</v>
      </c>
      <c r="L712" s="100"/>
      <c r="M712" s="100">
        <v>57.521736327338687</v>
      </c>
      <c r="N712" s="96">
        <v>4.8828125E-4</v>
      </c>
      <c r="O712" s="96">
        <f t="shared" si="47"/>
        <v>0.98828125</v>
      </c>
      <c r="Q712" s="96">
        <f t="shared" si="44"/>
        <v>1</v>
      </c>
      <c r="R712" s="96">
        <f t="shared" si="45"/>
        <v>0</v>
      </c>
      <c r="S712" s="96">
        <f t="shared" si="46"/>
        <v>0</v>
      </c>
    </row>
    <row r="713" spans="1:19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6.6852886767591286</v>
      </c>
      <c r="H713">
        <v>4.8828125E-4</v>
      </c>
      <c r="I713">
        <v>-0.80024051248445593</v>
      </c>
      <c r="J713" s="96">
        <v>-3.9074243773655075E-4</v>
      </c>
      <c r="L713" s="100"/>
      <c r="M713" s="100">
        <v>60.824928371647346</v>
      </c>
      <c r="N713" s="96">
        <v>4.8828125E-4</v>
      </c>
      <c r="O713" s="96">
        <f t="shared" si="47"/>
        <v>0.98876953125</v>
      </c>
      <c r="Q713" s="96">
        <f t="shared" si="44"/>
        <v>1</v>
      </c>
      <c r="R713" s="96">
        <f t="shared" si="45"/>
        <v>0</v>
      </c>
      <c r="S713" s="96">
        <f t="shared" si="46"/>
        <v>0</v>
      </c>
    </row>
    <row r="714" spans="1:19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40.06259854180032</v>
      </c>
      <c r="H714">
        <v>9.765625E-4</v>
      </c>
      <c r="I714">
        <v>-0.26304768501550713</v>
      </c>
      <c r="J714" s="96">
        <v>-2.5688250489795618E-4</v>
      </c>
      <c r="L714" s="100"/>
      <c r="M714" s="100">
        <v>60.824928371647346</v>
      </c>
      <c r="N714" s="96">
        <v>9.765625E-4</v>
      </c>
      <c r="O714" s="96">
        <f t="shared" si="47"/>
        <v>0.98974609375</v>
      </c>
      <c r="Q714" s="96">
        <f t="shared" si="44"/>
        <v>1</v>
      </c>
      <c r="R714" s="96">
        <f t="shared" si="45"/>
        <v>0</v>
      </c>
      <c r="S714" s="96">
        <f t="shared" si="46"/>
        <v>0</v>
      </c>
    </row>
    <row r="715" spans="1:19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64.792971886774538</v>
      </c>
      <c r="H715">
        <v>4.8828125E-4</v>
      </c>
      <c r="I715">
        <v>-0.11535214146992968</v>
      </c>
      <c r="J715" s="96">
        <v>-5.6324287827114103E-5</v>
      </c>
      <c r="L715" s="100"/>
      <c r="M715" s="100">
        <v>60.824928371647346</v>
      </c>
      <c r="N715" s="96">
        <v>4.8828125E-4</v>
      </c>
      <c r="O715" s="96">
        <f t="shared" si="47"/>
        <v>0.990234375</v>
      </c>
      <c r="Q715" s="96">
        <f t="shared" si="44"/>
        <v>1</v>
      </c>
      <c r="R715" s="96">
        <f t="shared" si="45"/>
        <v>0</v>
      </c>
      <c r="S715" s="96">
        <f t="shared" si="46"/>
        <v>0</v>
      </c>
    </row>
    <row r="716" spans="1:19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-2.127715838674793</v>
      </c>
      <c r="H716">
        <v>9.765625E-4</v>
      </c>
      <c r="I716">
        <v>-1.0734994878895892</v>
      </c>
      <c r="J716" s="96">
        <v>-1.0483393436421769E-3</v>
      </c>
      <c r="L716" s="100"/>
      <c r="M716" s="100">
        <v>62.445298742017719</v>
      </c>
      <c r="N716" s="96">
        <v>9.765625E-4</v>
      </c>
      <c r="O716" s="96">
        <f t="shared" si="47"/>
        <v>0.9912109375</v>
      </c>
      <c r="Q716" s="96">
        <f t="shared" si="44"/>
        <v>1</v>
      </c>
      <c r="R716" s="96">
        <f t="shared" si="45"/>
        <v>0</v>
      </c>
      <c r="S716" s="96">
        <f t="shared" si="46"/>
        <v>0</v>
      </c>
    </row>
    <row r="717" spans="1:19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31.815719978249248</v>
      </c>
      <c r="H717">
        <v>1.953125E-3</v>
      </c>
      <c r="I717">
        <v>-0.34627431529242059</v>
      </c>
      <c r="J717" s="96">
        <v>-6.7631702205550896E-4</v>
      </c>
      <c r="L717" s="100"/>
      <c r="M717" s="100">
        <v>62.445298742017719</v>
      </c>
      <c r="N717" s="96">
        <v>1.953125E-3</v>
      </c>
      <c r="O717" s="96">
        <f t="shared" si="47"/>
        <v>0.9931640625</v>
      </c>
      <c r="Q717" s="96">
        <f t="shared" si="44"/>
        <v>1</v>
      </c>
      <c r="R717" s="96">
        <f t="shared" si="45"/>
        <v>0</v>
      </c>
      <c r="S717" s="96">
        <f t="shared" si="46"/>
        <v>0</v>
      </c>
    </row>
    <row r="718" spans="1:19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56.549514105116465</v>
      </c>
      <c r="H718">
        <v>9.765625E-4</v>
      </c>
      <c r="I718">
        <v>-0.15183151854811672</v>
      </c>
      <c r="J718" s="96">
        <v>-1.4827296733214523E-4</v>
      </c>
      <c r="L718" s="100"/>
      <c r="M718" s="100">
        <v>62.445298742017719</v>
      </c>
      <c r="N718" s="96">
        <v>9.765625E-4</v>
      </c>
      <c r="O718" s="96">
        <f t="shared" si="47"/>
        <v>0.994140625</v>
      </c>
      <c r="Q718" s="96">
        <f t="shared" si="44"/>
        <v>1</v>
      </c>
      <c r="R718" s="96">
        <f t="shared" si="45"/>
        <v>0</v>
      </c>
      <c r="S718" s="96">
        <f t="shared" si="46"/>
        <v>0</v>
      </c>
    </row>
    <row r="719" spans="1:19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-14.5</v>
      </c>
      <c r="H719">
        <v>4.8828125E-4</v>
      </c>
      <c r="I719">
        <v>-1.6214703050420796</v>
      </c>
      <c r="J719" s="96">
        <v>-7.9173354738382791E-4</v>
      </c>
      <c r="L719" s="100"/>
      <c r="M719" s="100">
        <v>63.172601516404178</v>
      </c>
      <c r="N719" s="96">
        <v>2.44140625E-4</v>
      </c>
      <c r="O719" s="96">
        <f t="shared" si="47"/>
        <v>0.994384765625</v>
      </c>
      <c r="Q719" s="96">
        <f t="shared" si="44"/>
        <v>1</v>
      </c>
      <c r="R719" s="96">
        <f t="shared" si="45"/>
        <v>0</v>
      </c>
      <c r="S719" s="96">
        <f t="shared" si="46"/>
        <v>0</v>
      </c>
    </row>
    <row r="720" spans="1:19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23.497363362571964</v>
      </c>
      <c r="H720">
        <v>9.765625E-4</v>
      </c>
      <c r="I720">
        <v>-0.45692069118218459</v>
      </c>
      <c r="J720" s="96">
        <v>-4.4621161248260214E-4</v>
      </c>
      <c r="L720" s="100"/>
      <c r="M720" s="100">
        <v>63.172601516404178</v>
      </c>
      <c r="N720" s="96">
        <v>4.8828125E-4</v>
      </c>
      <c r="O720" s="96">
        <f t="shared" si="47"/>
        <v>0.994873046875</v>
      </c>
      <c r="Q720" s="96">
        <f t="shared" si="44"/>
        <v>1</v>
      </c>
      <c r="R720" s="96">
        <f t="shared" si="45"/>
        <v>0</v>
      </c>
      <c r="S720" s="96">
        <f t="shared" si="46"/>
        <v>0</v>
      </c>
    </row>
    <row r="721" spans="1:19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48.306056323458392</v>
      </c>
      <c r="H721">
        <v>4.8828125E-4</v>
      </c>
      <c r="I721">
        <v>-0.19984726534649189</v>
      </c>
      <c r="J721" s="96">
        <v>-9.7581672532466742E-5</v>
      </c>
      <c r="L721" s="100"/>
      <c r="M721" s="100">
        <v>63.172601516404178</v>
      </c>
      <c r="N721" s="96">
        <v>2.44140625E-4</v>
      </c>
      <c r="O721" s="96">
        <f t="shared" si="47"/>
        <v>0.9951171875</v>
      </c>
      <c r="Q721" s="96">
        <f t="shared" si="44"/>
        <v>1</v>
      </c>
      <c r="R721" s="96">
        <f t="shared" si="45"/>
        <v>0</v>
      </c>
      <c r="S721" s="96">
        <f t="shared" si="46"/>
        <v>0</v>
      </c>
    </row>
    <row r="722" spans="1:19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4.8723522556397576</v>
      </c>
      <c r="H722">
        <v>2.44140625E-4</v>
      </c>
      <c r="I722">
        <v>-0.8500911143797294</v>
      </c>
      <c r="J722" s="96">
        <v>-2.0754177597161362E-4</v>
      </c>
      <c r="L722" s="100"/>
      <c r="M722" s="100">
        <v>63.417520964239941</v>
      </c>
      <c r="N722" s="96">
        <v>4.8828125E-4</v>
      </c>
      <c r="O722" s="96">
        <f t="shared" si="47"/>
        <v>0.99560546875</v>
      </c>
      <c r="Q722" s="96">
        <f t="shared" si="44"/>
        <v>1</v>
      </c>
      <c r="R722" s="96">
        <f t="shared" si="45"/>
        <v>0</v>
      </c>
      <c r="S722" s="96">
        <f t="shared" si="46"/>
        <v>0</v>
      </c>
    </row>
    <row r="723" spans="1:19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38.442228171429953</v>
      </c>
      <c r="H723">
        <v>4.8828125E-4</v>
      </c>
      <c r="I723">
        <v>-0.27764620887622238</v>
      </c>
      <c r="J723" s="96">
        <v>-1.3556943792784296E-4</v>
      </c>
      <c r="L723" s="100"/>
      <c r="M723" s="100">
        <v>63.417520964239941</v>
      </c>
      <c r="N723" s="96">
        <v>9.765625E-4</v>
      </c>
      <c r="O723" s="96">
        <f t="shared" si="47"/>
        <v>0.99658203125</v>
      </c>
      <c r="Q723" s="96">
        <f t="shared" si="44"/>
        <v>1</v>
      </c>
      <c r="R723" s="96">
        <f t="shared" si="45"/>
        <v>0</v>
      </c>
      <c r="S723" s="96">
        <f t="shared" si="46"/>
        <v>0</v>
      </c>
    </row>
    <row r="724" spans="1:19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63.172601516404178</v>
      </c>
      <c r="H724">
        <v>2.44140625E-4</v>
      </c>
      <c r="I724">
        <v>-0.12175391227256607</v>
      </c>
      <c r="J724" s="96">
        <v>-2.9725076238419451E-5</v>
      </c>
      <c r="L724" s="100"/>
      <c r="M724" s="100">
        <v>63.417520964239941</v>
      </c>
      <c r="N724" s="96">
        <v>4.8828125E-4</v>
      </c>
      <c r="O724" s="96">
        <f t="shared" si="47"/>
        <v>0.9970703125</v>
      </c>
      <c r="Q724" s="96">
        <f t="shared" si="44"/>
        <v>1</v>
      </c>
      <c r="R724" s="96">
        <f t="shared" si="45"/>
        <v>0</v>
      </c>
      <c r="S724" s="96">
        <f t="shared" si="46"/>
        <v>0</v>
      </c>
    </row>
    <row r="725" spans="1:19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-4.1171713473951597</v>
      </c>
      <c r="H725">
        <v>4.8828125E-4</v>
      </c>
      <c r="I725">
        <v>-1.1471023247244923</v>
      </c>
      <c r="J725" s="96">
        <v>-5.6010855699438098E-4</v>
      </c>
      <c r="L725" s="100"/>
      <c r="M725" s="100">
        <v>64.792971886774538</v>
      </c>
      <c r="N725" s="96">
        <v>4.8828125E-4</v>
      </c>
      <c r="O725" s="96">
        <f t="shared" si="47"/>
        <v>0.99755859375</v>
      </c>
      <c r="Q725" s="96">
        <f t="shared" si="44"/>
        <v>1</v>
      </c>
      <c r="R725" s="96">
        <f t="shared" si="45"/>
        <v>0</v>
      </c>
      <c r="S725" s="96">
        <f t="shared" si="46"/>
        <v>0</v>
      </c>
    </row>
    <row r="726" spans="1:19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30.130191857535941</v>
      </c>
      <c r="H726">
        <v>9.765625E-4</v>
      </c>
      <c r="I726">
        <v>-0.36628640342083207</v>
      </c>
      <c r="J726" s="96">
        <v>-3.5770156584065632E-4</v>
      </c>
      <c r="L726" s="100"/>
      <c r="M726" s="100">
        <v>64.792971886774538</v>
      </c>
      <c r="N726" s="96">
        <v>9.765625E-4</v>
      </c>
      <c r="O726" s="96">
        <f t="shared" si="47"/>
        <v>0.99853515625</v>
      </c>
      <c r="Q726" s="96">
        <f t="shared" si="44"/>
        <v>1</v>
      </c>
      <c r="R726" s="96">
        <f t="shared" si="45"/>
        <v>0</v>
      </c>
      <c r="S726" s="96">
        <f t="shared" si="46"/>
        <v>0</v>
      </c>
    </row>
    <row r="727" spans="1:19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54.929143734746091</v>
      </c>
      <c r="H727">
        <v>4.8828125E-4</v>
      </c>
      <c r="I727">
        <v>-0.16025780842860987</v>
      </c>
      <c r="J727" s="96">
        <v>-7.8250883021782164E-5</v>
      </c>
      <c r="L727" s="100"/>
      <c r="M727" s="100">
        <v>64.792971886774538</v>
      </c>
      <c r="N727" s="96">
        <v>4.8828125E-4</v>
      </c>
      <c r="O727" s="96">
        <f t="shared" si="47"/>
        <v>0.9990234375</v>
      </c>
      <c r="Q727" s="96">
        <f t="shared" si="44"/>
        <v>1</v>
      </c>
      <c r="R727" s="96">
        <f t="shared" si="45"/>
        <v>0</v>
      </c>
      <c r="S727" s="96">
        <f t="shared" si="46"/>
        <v>0</v>
      </c>
    </row>
    <row r="728" spans="1:19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-17</v>
      </c>
      <c r="H728">
        <v>2.44140625E-4</v>
      </c>
      <c r="I728">
        <v>-1.7623826407286585</v>
      </c>
      <c r="J728" s="96">
        <v>-4.3026919939664513E-4</v>
      </c>
      <c r="L728" s="100"/>
      <c r="M728" s="100">
        <v>65.765194108996766</v>
      </c>
      <c r="N728" s="96">
        <v>2.44140625E-4</v>
      </c>
      <c r="O728" s="96">
        <f t="shared" si="47"/>
        <v>0.999267578125</v>
      </c>
      <c r="Q728" s="96">
        <f t="shared" si="44"/>
        <v>1</v>
      </c>
      <c r="R728" s="96">
        <f t="shared" si="45"/>
        <v>0</v>
      </c>
      <c r="S728" s="96">
        <f t="shared" si="46"/>
        <v>0</v>
      </c>
    </row>
    <row r="729" spans="1:19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21.811835241858656</v>
      </c>
      <c r="H729">
        <v>4.8828125E-4</v>
      </c>
      <c r="I729">
        <v>-0.4833273194991326</v>
      </c>
      <c r="J729" s="96">
        <v>-2.3599966772418584E-4</v>
      </c>
      <c r="L729" s="100"/>
      <c r="M729" s="100">
        <v>65.765194108996766</v>
      </c>
      <c r="N729" s="96">
        <v>4.8828125E-4</v>
      </c>
      <c r="O729" s="96">
        <f t="shared" si="47"/>
        <v>0.999755859375</v>
      </c>
      <c r="Q729" s="96">
        <f t="shared" si="44"/>
        <v>1</v>
      </c>
      <c r="R729" s="96">
        <f t="shared" si="45"/>
        <v>0</v>
      </c>
      <c r="S729" s="96">
        <f t="shared" si="46"/>
        <v>0</v>
      </c>
    </row>
    <row r="730" spans="1:19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46.685685953088026</v>
      </c>
      <c r="H730">
        <v>2.44140625E-4</v>
      </c>
      <c r="I730">
        <v>-0.21093831551668235</v>
      </c>
      <c r="J730" s="96">
        <v>-5.1498612186690027E-5</v>
      </c>
      <c r="L730" s="100"/>
      <c r="M730" s="100">
        <v>65.765194108996766</v>
      </c>
      <c r="N730" s="96">
        <v>2.44140625E-4</v>
      </c>
      <c r="O730" s="96">
        <f t="shared" si="47"/>
        <v>1</v>
      </c>
      <c r="Q730" s="96">
        <f t="shared" si="44"/>
        <v>1</v>
      </c>
      <c r="R730" s="96">
        <f t="shared" si="45"/>
        <v>0</v>
      </c>
      <c r="S730" s="96">
        <f t="shared" si="46"/>
        <v>0</v>
      </c>
    </row>
  </sheetData>
  <sortState ref="M2:N731">
    <sortCondition ref="M2:M7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730"/>
  <sheetViews>
    <sheetView topLeftCell="E1" workbookViewId="0">
      <selection activeCell="L8" sqref="L8"/>
    </sheetView>
  </sheetViews>
  <sheetFormatPr defaultRowHeight="14.25" x14ac:dyDescent="0.45"/>
  <cols>
    <col min="11" max="11" width="9.06640625" style="96"/>
    <col min="12" max="12" width="9.19921875" style="96" bestFit="1" customWidth="1"/>
    <col min="13" max="13" width="9.1328125" style="96" bestFit="1" customWidth="1"/>
    <col min="14" max="16" width="9.06640625" style="96"/>
  </cols>
  <sheetData>
    <row r="1" spans="1:22" x14ac:dyDescent="0.45">
      <c r="G1" t="s">
        <v>84</v>
      </c>
      <c r="H1" t="s">
        <v>75</v>
      </c>
      <c r="M1" s="96" t="s">
        <v>84</v>
      </c>
      <c r="N1" s="96" t="s">
        <v>75</v>
      </c>
      <c r="O1" s="96" t="s">
        <v>76</v>
      </c>
      <c r="Q1" t="s">
        <v>89</v>
      </c>
      <c r="R1" t="s">
        <v>91</v>
      </c>
      <c r="S1" t="s">
        <v>90</v>
      </c>
      <c r="T1" t="s">
        <v>89</v>
      </c>
      <c r="U1" t="s">
        <v>91</v>
      </c>
      <c r="V1" t="s">
        <v>90</v>
      </c>
    </row>
    <row r="2" spans="1:22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1.1129679944661941</v>
      </c>
      <c r="H2">
        <v>2.44140625E-4</v>
      </c>
      <c r="I2">
        <v>-0.96358080055045314</v>
      </c>
      <c r="J2">
        <v>-2.3524921888438797E-4</v>
      </c>
      <c r="K2" s="97" t="s">
        <v>86</v>
      </c>
      <c r="L2" s="99">
        <f>SUM(J:J)</f>
        <v>-0.69875475777785567</v>
      </c>
      <c r="M2" s="101">
        <v>0</v>
      </c>
      <c r="N2" s="96">
        <v>2.44140625E-4</v>
      </c>
      <c r="O2" s="96">
        <f>N2</f>
        <v>2.44140625E-4</v>
      </c>
      <c r="Q2" s="96">
        <f>IF(A2=3,1,0)</f>
        <v>0</v>
      </c>
      <c r="R2" s="96">
        <f>IF(A2=2,1,0)</f>
        <v>0</v>
      </c>
      <c r="S2" s="96">
        <f>IF(A2=1,1,0)</f>
        <v>1</v>
      </c>
      <c r="T2">
        <f>SUMPRODUCT($G$2:$G$730,$H$2:$H$730,Q2:Q730)</f>
        <v>4.95936856660055</v>
      </c>
      <c r="U2">
        <f>SUMPRODUCT($G$2:$G$730,$H$2:$H$730,R2:R730)</f>
        <v>5.9257830245665222</v>
      </c>
      <c r="V2">
        <f>SUMPRODUCT($G$2:$G$730,$H$2:$H$730,S2:S730)</f>
        <v>1.1874358794560647</v>
      </c>
    </row>
    <row r="3" spans="1:22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3.338903983398585</v>
      </c>
      <c r="H3">
        <v>4.8828125E-4</v>
      </c>
      <c r="I3">
        <v>-0.89467317101722876</v>
      </c>
      <c r="J3">
        <v>-4.3685213428575623E-4</v>
      </c>
      <c r="K3" s="97"/>
      <c r="L3" s="99"/>
      <c r="M3" s="101">
        <v>0</v>
      </c>
      <c r="N3" s="96">
        <v>4.8828125E-4</v>
      </c>
      <c r="O3" s="96">
        <f>N3+O2</f>
        <v>7.32421875E-4</v>
      </c>
      <c r="Q3" s="96">
        <f t="shared" ref="Q3:Q66" si="0">IF(A3=3,1,0)</f>
        <v>0</v>
      </c>
      <c r="R3" s="96">
        <f t="shared" ref="R3:R66" si="1">IF(A3=2,1,0)</f>
        <v>0</v>
      </c>
      <c r="S3" s="96">
        <f t="shared" ref="S3:S66" si="2">IF(A3=1,1,0)</f>
        <v>1</v>
      </c>
    </row>
    <row r="4" spans="1:22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5.0083559750978806</v>
      </c>
      <c r="H4">
        <v>2.44140625E-4</v>
      </c>
      <c r="I4">
        <v>-0.84624598504894233</v>
      </c>
      <c r="J4">
        <v>-2.0660302369358944E-4</v>
      </c>
      <c r="K4" s="97" t="s">
        <v>92</v>
      </c>
      <c r="L4" s="99">
        <f>-LN(-1*L2)/(1/risk_tol)</f>
        <v>10.753663366548009</v>
      </c>
      <c r="M4" s="101">
        <v>0</v>
      </c>
      <c r="N4" s="96">
        <v>2.44140625E-4</v>
      </c>
      <c r="O4" s="96">
        <f t="shared" ref="O4:O67" si="3">N4+O3</f>
        <v>9.765625E-4</v>
      </c>
      <c r="Q4" s="96">
        <f t="shared" si="0"/>
        <v>0</v>
      </c>
      <c r="R4" s="96">
        <f t="shared" si="1"/>
        <v>0</v>
      </c>
      <c r="S4" s="96">
        <f t="shared" si="2"/>
        <v>1</v>
      </c>
    </row>
    <row r="5" spans="1:22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0.55648399723309783</v>
      </c>
      <c r="H5">
        <v>4.8828125E-4</v>
      </c>
      <c r="I5">
        <v>-0.98162151593699953</v>
      </c>
      <c r="J5">
        <v>-4.7930738082861305E-4</v>
      </c>
      <c r="K5" s="97"/>
      <c r="L5" s="99"/>
      <c r="M5" s="101">
        <v>0</v>
      </c>
      <c r="N5" s="96">
        <v>4.8828125E-4</v>
      </c>
      <c r="O5" s="96">
        <f t="shared" si="3"/>
        <v>1.46484375E-3</v>
      </c>
      <c r="Q5" s="96">
        <f t="shared" si="0"/>
        <v>0</v>
      </c>
      <c r="R5" s="96">
        <f t="shared" si="1"/>
        <v>0</v>
      </c>
      <c r="S5" s="96">
        <f t="shared" si="2"/>
        <v>1</v>
      </c>
    </row>
    <row r="6" spans="1:22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2.7824199861654888</v>
      </c>
      <c r="H6">
        <v>9.765625E-4</v>
      </c>
      <c r="I6">
        <v>-0.91142375802880093</v>
      </c>
      <c r="J6">
        <v>-8.9006226370000091E-4</v>
      </c>
      <c r="K6" s="97" t="s">
        <v>83</v>
      </c>
      <c r="L6" s="99">
        <f>SUMPRODUCT(G2:G730,H2:H730)</f>
        <v>12.072587470623152</v>
      </c>
      <c r="M6" s="101">
        <v>0</v>
      </c>
      <c r="N6" s="96">
        <v>9.765625E-4</v>
      </c>
      <c r="O6" s="96">
        <f t="shared" si="3"/>
        <v>2.44140625E-3</v>
      </c>
      <c r="Q6" s="96">
        <f t="shared" si="0"/>
        <v>0</v>
      </c>
      <c r="R6" s="96">
        <f t="shared" si="1"/>
        <v>0</v>
      </c>
      <c r="S6" s="96">
        <f t="shared" si="2"/>
        <v>1</v>
      </c>
    </row>
    <row r="7" spans="1:22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4.4518719778647826</v>
      </c>
      <c r="H7">
        <v>4.8828125E-4</v>
      </c>
      <c r="I7">
        <v>-0.86208989035979366</v>
      </c>
      <c r="J7">
        <v>-4.20942329277243E-4</v>
      </c>
      <c r="L7" s="101"/>
      <c r="M7" s="101">
        <v>0</v>
      </c>
      <c r="N7" s="96">
        <v>4.8828125E-4</v>
      </c>
      <c r="O7" s="96">
        <f t="shared" si="3"/>
        <v>2.9296875E-3</v>
      </c>
      <c r="Q7" s="96">
        <f t="shared" si="0"/>
        <v>0</v>
      </c>
      <c r="R7" s="96">
        <f t="shared" si="1"/>
        <v>0</v>
      </c>
      <c r="S7" s="96">
        <f t="shared" si="2"/>
        <v>1</v>
      </c>
    </row>
    <row r="8" spans="1:22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0</v>
      </c>
      <c r="H8">
        <v>2.44140625E-4</v>
      </c>
      <c r="I8">
        <v>-1</v>
      </c>
      <c r="J8">
        <v>-2.44140625E-4</v>
      </c>
      <c r="L8" s="101"/>
      <c r="M8" s="101">
        <v>0</v>
      </c>
      <c r="N8" s="96">
        <v>2.44140625E-4</v>
      </c>
      <c r="O8" s="96">
        <f t="shared" si="3"/>
        <v>3.173828125E-3</v>
      </c>
      <c r="Q8" s="96">
        <f t="shared" si="0"/>
        <v>0</v>
      </c>
      <c r="R8" s="96">
        <f t="shared" si="1"/>
        <v>0</v>
      </c>
      <c r="S8" s="96">
        <f t="shared" si="2"/>
        <v>1</v>
      </c>
    </row>
    <row r="9" spans="1:22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2.2259359889323895</v>
      </c>
      <c r="H9">
        <v>4.8828125E-4</v>
      </c>
      <c r="I9">
        <v>-0.92848795918945215</v>
      </c>
      <c r="J9">
        <v>-4.5336326132297468E-4</v>
      </c>
      <c r="L9" s="101"/>
      <c r="M9" s="101">
        <v>0</v>
      </c>
      <c r="N9" s="96">
        <v>4.8828125E-4</v>
      </c>
      <c r="O9" s="96">
        <f t="shared" si="3"/>
        <v>3.662109375E-3</v>
      </c>
      <c r="Q9" s="96">
        <f t="shared" si="0"/>
        <v>0</v>
      </c>
      <c r="R9" s="96">
        <f t="shared" si="1"/>
        <v>0</v>
      </c>
      <c r="S9" s="96">
        <f t="shared" si="2"/>
        <v>1</v>
      </c>
    </row>
    <row r="10" spans="1:22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3.8953879806316833</v>
      </c>
      <c r="H10">
        <v>2.44140625E-4</v>
      </c>
      <c r="I10">
        <v>-0.87823043440209447</v>
      </c>
      <c r="J10">
        <v>-2.1441172714894885E-4</v>
      </c>
      <c r="L10" s="101"/>
      <c r="M10" s="101">
        <v>0</v>
      </c>
      <c r="N10" s="96">
        <v>2.44140625E-4</v>
      </c>
      <c r="O10" s="96">
        <f t="shared" si="3"/>
        <v>3.90625E-3</v>
      </c>
      <c r="Q10" s="96">
        <f t="shared" si="0"/>
        <v>0</v>
      </c>
      <c r="R10" s="96">
        <f t="shared" si="1"/>
        <v>0</v>
      </c>
      <c r="S10" s="96">
        <f t="shared" si="2"/>
        <v>1</v>
      </c>
    </row>
    <row r="11" spans="1:22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1.1129679944661941</v>
      </c>
      <c r="H11">
        <v>4.8828125E-4</v>
      </c>
      <c r="I11">
        <v>-0.96358080055045314</v>
      </c>
      <c r="J11">
        <v>-4.7049843776877595E-4</v>
      </c>
      <c r="L11" s="101"/>
      <c r="M11" s="101">
        <v>0</v>
      </c>
      <c r="N11" s="96">
        <v>4.8828125E-4</v>
      </c>
      <c r="O11" s="96">
        <f t="shared" si="3"/>
        <v>4.39453125E-3</v>
      </c>
      <c r="Q11" s="96">
        <f t="shared" si="0"/>
        <v>0</v>
      </c>
      <c r="R11" s="96">
        <f t="shared" si="1"/>
        <v>0</v>
      </c>
      <c r="S11" s="96">
        <f t="shared" si="2"/>
        <v>1</v>
      </c>
    </row>
    <row r="12" spans="1:22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3.338903983398585</v>
      </c>
      <c r="H12">
        <v>9.765625E-4</v>
      </c>
      <c r="I12">
        <v>-0.89467317101722876</v>
      </c>
      <c r="J12">
        <v>-8.7370426857151246E-4</v>
      </c>
      <c r="L12" s="101"/>
      <c r="M12" s="101">
        <v>0</v>
      </c>
      <c r="N12" s="96">
        <v>9.765625E-4</v>
      </c>
      <c r="O12" s="96">
        <f t="shared" si="3"/>
        <v>5.37109375E-3</v>
      </c>
      <c r="Q12" s="96">
        <f t="shared" si="0"/>
        <v>0</v>
      </c>
      <c r="R12" s="96">
        <f t="shared" si="1"/>
        <v>0</v>
      </c>
      <c r="S12" s="96">
        <f t="shared" si="2"/>
        <v>1</v>
      </c>
    </row>
    <row r="13" spans="1:22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5.0083559750978806</v>
      </c>
      <c r="H13">
        <v>4.8828125E-4</v>
      </c>
      <c r="I13">
        <v>-0.84624598504894233</v>
      </c>
      <c r="J13">
        <v>-4.1320604738717887E-4</v>
      </c>
      <c r="L13" s="101"/>
      <c r="M13" s="101">
        <v>0</v>
      </c>
      <c r="N13" s="96">
        <v>4.8828125E-4</v>
      </c>
      <c r="O13" s="96">
        <f t="shared" si="3"/>
        <v>5.859375E-3</v>
      </c>
      <c r="Q13" s="96">
        <f t="shared" si="0"/>
        <v>0</v>
      </c>
      <c r="R13" s="96">
        <f t="shared" si="1"/>
        <v>0</v>
      </c>
      <c r="S13" s="96">
        <f t="shared" si="2"/>
        <v>1</v>
      </c>
    </row>
    <row r="14" spans="1:22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0.55648399723309783</v>
      </c>
      <c r="H14">
        <v>9.765625E-4</v>
      </c>
      <c r="I14">
        <v>-0.98162151593699953</v>
      </c>
      <c r="J14">
        <v>-9.5861476165722611E-4</v>
      </c>
      <c r="L14" s="101"/>
      <c r="M14" s="101">
        <v>0</v>
      </c>
      <c r="N14" s="96">
        <v>9.765625E-4</v>
      </c>
      <c r="O14" s="96">
        <f t="shared" si="3"/>
        <v>6.8359375E-3</v>
      </c>
      <c r="Q14" s="96">
        <f t="shared" si="0"/>
        <v>0</v>
      </c>
      <c r="R14" s="96">
        <f t="shared" si="1"/>
        <v>0</v>
      </c>
      <c r="S14" s="96">
        <f t="shared" si="2"/>
        <v>1</v>
      </c>
    </row>
    <row r="15" spans="1:22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2.7824199861654888</v>
      </c>
      <c r="H15">
        <v>1.953125E-3</v>
      </c>
      <c r="I15">
        <v>-0.91142375802880093</v>
      </c>
      <c r="J15">
        <v>-1.7801245274000018E-3</v>
      </c>
      <c r="L15" s="101"/>
      <c r="M15" s="101">
        <v>0</v>
      </c>
      <c r="N15" s="96">
        <v>1.953125E-3</v>
      </c>
      <c r="O15" s="96">
        <f t="shared" si="3"/>
        <v>8.7890625E-3</v>
      </c>
      <c r="Q15" s="96">
        <f t="shared" si="0"/>
        <v>0</v>
      </c>
      <c r="R15" s="96">
        <f t="shared" si="1"/>
        <v>0</v>
      </c>
      <c r="S15" s="96">
        <f t="shared" si="2"/>
        <v>1</v>
      </c>
    </row>
    <row r="16" spans="1:22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4.4518719778647826</v>
      </c>
      <c r="H16">
        <v>9.765625E-4</v>
      </c>
      <c r="I16">
        <v>-0.86208989035979366</v>
      </c>
      <c r="J16">
        <v>-8.41884658554486E-4</v>
      </c>
      <c r="L16" s="101"/>
      <c r="M16" s="101">
        <v>0</v>
      </c>
      <c r="N16" s="96">
        <v>9.765625E-4</v>
      </c>
      <c r="O16" s="96">
        <f t="shared" si="3"/>
        <v>9.765625E-3</v>
      </c>
      <c r="Q16" s="96">
        <f t="shared" si="0"/>
        <v>0</v>
      </c>
      <c r="R16" s="96">
        <f t="shared" si="1"/>
        <v>0</v>
      </c>
      <c r="S16" s="96">
        <f t="shared" si="2"/>
        <v>1</v>
      </c>
    </row>
    <row r="17" spans="1:19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0</v>
      </c>
      <c r="H17">
        <v>4.8828125E-4</v>
      </c>
      <c r="I17">
        <v>-1</v>
      </c>
      <c r="J17">
        <v>-4.8828125E-4</v>
      </c>
      <c r="L17" s="101"/>
      <c r="M17" s="101">
        <v>0</v>
      </c>
      <c r="N17" s="96">
        <v>4.8828125E-4</v>
      </c>
      <c r="O17" s="96">
        <f t="shared" si="3"/>
        <v>1.025390625E-2</v>
      </c>
      <c r="Q17" s="96">
        <f t="shared" si="0"/>
        <v>0</v>
      </c>
      <c r="R17" s="96">
        <f t="shared" si="1"/>
        <v>0</v>
      </c>
      <c r="S17" s="96">
        <f t="shared" si="2"/>
        <v>1</v>
      </c>
    </row>
    <row r="18" spans="1:19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2.2259359889323895</v>
      </c>
      <c r="H18">
        <v>9.765625E-4</v>
      </c>
      <c r="I18">
        <v>-0.92848795918945215</v>
      </c>
      <c r="J18">
        <v>-9.0672652264594937E-4</v>
      </c>
      <c r="L18" s="101"/>
      <c r="M18" s="101">
        <v>0</v>
      </c>
      <c r="N18" s="96">
        <v>9.765625E-4</v>
      </c>
      <c r="O18" s="96">
        <f t="shared" si="3"/>
        <v>1.123046875E-2</v>
      </c>
      <c r="Q18" s="96">
        <f t="shared" si="0"/>
        <v>0</v>
      </c>
      <c r="R18" s="96">
        <f t="shared" si="1"/>
        <v>0</v>
      </c>
      <c r="S18" s="96">
        <f t="shared" si="2"/>
        <v>1</v>
      </c>
    </row>
    <row r="19" spans="1:19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3.8953879806316833</v>
      </c>
      <c r="H19">
        <v>4.8828125E-4</v>
      </c>
      <c r="I19">
        <v>-0.87823043440209447</v>
      </c>
      <c r="J19">
        <v>-4.2882345429789769E-4</v>
      </c>
      <c r="L19" s="101"/>
      <c r="M19" s="101">
        <v>0</v>
      </c>
      <c r="N19" s="96">
        <v>4.8828125E-4</v>
      </c>
      <c r="O19" s="96">
        <f t="shared" si="3"/>
        <v>1.171875E-2</v>
      </c>
      <c r="Q19" s="96">
        <f t="shared" si="0"/>
        <v>0</v>
      </c>
      <c r="R19" s="96">
        <f t="shared" si="1"/>
        <v>0</v>
      </c>
      <c r="S19" s="96">
        <f t="shared" si="2"/>
        <v>1</v>
      </c>
    </row>
    <row r="20" spans="1:19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1.1129679944661941</v>
      </c>
      <c r="H20">
        <v>2.44140625E-4</v>
      </c>
      <c r="I20">
        <v>-0.96358080055045314</v>
      </c>
      <c r="J20">
        <v>-2.3524921888438797E-4</v>
      </c>
      <c r="L20" s="101"/>
      <c r="M20" s="101">
        <v>0</v>
      </c>
      <c r="N20" s="96">
        <v>2.44140625E-4</v>
      </c>
      <c r="O20" s="96">
        <f t="shared" si="3"/>
        <v>1.1962890625E-2</v>
      </c>
      <c r="Q20" s="96">
        <f t="shared" si="0"/>
        <v>0</v>
      </c>
      <c r="R20" s="96">
        <f t="shared" si="1"/>
        <v>0</v>
      </c>
      <c r="S20" s="96">
        <f t="shared" si="2"/>
        <v>1</v>
      </c>
    </row>
    <row r="21" spans="1:19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3.338903983398585</v>
      </c>
      <c r="H21">
        <v>4.8828125E-4</v>
      </c>
      <c r="I21">
        <v>-0.89467317101722876</v>
      </c>
      <c r="J21">
        <v>-4.3685213428575623E-4</v>
      </c>
      <c r="L21" s="101"/>
      <c r="M21" s="101">
        <v>0</v>
      </c>
      <c r="N21" s="96">
        <v>4.8828125E-4</v>
      </c>
      <c r="O21" s="96">
        <f t="shared" si="3"/>
        <v>1.2451171875E-2</v>
      </c>
      <c r="Q21" s="96">
        <f t="shared" si="0"/>
        <v>0</v>
      </c>
      <c r="R21" s="96">
        <f t="shared" si="1"/>
        <v>0</v>
      </c>
      <c r="S21" s="96">
        <f t="shared" si="2"/>
        <v>1</v>
      </c>
    </row>
    <row r="22" spans="1:19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5.0083559750978806</v>
      </c>
      <c r="H22">
        <v>2.44140625E-4</v>
      </c>
      <c r="I22">
        <v>-0.84624598504894233</v>
      </c>
      <c r="J22">
        <v>-2.0660302369358944E-4</v>
      </c>
      <c r="L22" s="101"/>
      <c r="M22" s="101">
        <v>0</v>
      </c>
      <c r="N22" s="96">
        <v>2.44140625E-4</v>
      </c>
      <c r="O22" s="96">
        <f t="shared" si="3"/>
        <v>1.26953125E-2</v>
      </c>
      <c r="Q22" s="96">
        <f t="shared" si="0"/>
        <v>0</v>
      </c>
      <c r="R22" s="96">
        <f t="shared" si="1"/>
        <v>0</v>
      </c>
      <c r="S22" s="96">
        <f t="shared" si="2"/>
        <v>1</v>
      </c>
    </row>
    <row r="23" spans="1:19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0.55648399723309783</v>
      </c>
      <c r="H23">
        <v>4.8828125E-4</v>
      </c>
      <c r="I23">
        <v>-0.98162151593699953</v>
      </c>
      <c r="J23">
        <v>-4.7930738082861305E-4</v>
      </c>
      <c r="L23" s="101"/>
      <c r="M23" s="101">
        <v>0</v>
      </c>
      <c r="N23" s="96">
        <v>4.8828125E-4</v>
      </c>
      <c r="O23" s="96">
        <f t="shared" si="3"/>
        <v>1.318359375E-2</v>
      </c>
      <c r="Q23" s="96">
        <f t="shared" si="0"/>
        <v>0</v>
      </c>
      <c r="R23" s="96">
        <f t="shared" si="1"/>
        <v>0</v>
      </c>
      <c r="S23" s="96">
        <f t="shared" si="2"/>
        <v>1</v>
      </c>
    </row>
    <row r="24" spans="1:19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2.7824199861654888</v>
      </c>
      <c r="H24">
        <v>9.765625E-4</v>
      </c>
      <c r="I24">
        <v>-0.91142375802880093</v>
      </c>
      <c r="J24">
        <v>-8.9006226370000091E-4</v>
      </c>
      <c r="L24" s="101"/>
      <c r="M24" s="101">
        <v>0</v>
      </c>
      <c r="N24" s="96">
        <v>9.765625E-4</v>
      </c>
      <c r="O24" s="96">
        <f t="shared" si="3"/>
        <v>1.416015625E-2</v>
      </c>
      <c r="Q24" s="96">
        <f t="shared" si="0"/>
        <v>0</v>
      </c>
      <c r="R24" s="96">
        <f t="shared" si="1"/>
        <v>0</v>
      </c>
      <c r="S24" s="96">
        <f t="shared" si="2"/>
        <v>1</v>
      </c>
    </row>
    <row r="25" spans="1:19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4.4518719778647826</v>
      </c>
      <c r="H25">
        <v>4.8828125E-4</v>
      </c>
      <c r="I25">
        <v>-0.86208989035979366</v>
      </c>
      <c r="J25">
        <v>-4.20942329277243E-4</v>
      </c>
      <c r="L25" s="101"/>
      <c r="M25" s="101">
        <v>0</v>
      </c>
      <c r="N25" s="96">
        <v>4.8828125E-4</v>
      </c>
      <c r="O25" s="96">
        <f t="shared" si="3"/>
        <v>1.46484375E-2</v>
      </c>
      <c r="Q25" s="96">
        <f t="shared" si="0"/>
        <v>0</v>
      </c>
      <c r="R25" s="96">
        <f t="shared" si="1"/>
        <v>0</v>
      </c>
      <c r="S25" s="96">
        <f t="shared" si="2"/>
        <v>1</v>
      </c>
    </row>
    <row r="26" spans="1:19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0</v>
      </c>
      <c r="H26">
        <v>2.44140625E-4</v>
      </c>
      <c r="I26">
        <v>-1</v>
      </c>
      <c r="J26">
        <v>-2.44140625E-4</v>
      </c>
      <c r="L26" s="101"/>
      <c r="M26" s="101">
        <v>0</v>
      </c>
      <c r="N26" s="96">
        <v>2.44140625E-4</v>
      </c>
      <c r="O26" s="96">
        <f t="shared" si="3"/>
        <v>1.4892578125E-2</v>
      </c>
      <c r="Q26" s="96">
        <f t="shared" si="0"/>
        <v>0</v>
      </c>
      <c r="R26" s="96">
        <f t="shared" si="1"/>
        <v>0</v>
      </c>
      <c r="S26" s="96">
        <f t="shared" si="2"/>
        <v>1</v>
      </c>
    </row>
    <row r="27" spans="1:19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2.2259359889323895</v>
      </c>
      <c r="H27">
        <v>4.8828125E-4</v>
      </c>
      <c r="I27">
        <v>-0.92848795918945215</v>
      </c>
      <c r="J27">
        <v>-4.5336326132297468E-4</v>
      </c>
      <c r="L27" s="101"/>
      <c r="M27" s="101">
        <v>0</v>
      </c>
      <c r="N27" s="96">
        <v>4.8828125E-4</v>
      </c>
      <c r="O27" s="96">
        <f t="shared" si="3"/>
        <v>1.5380859375E-2</v>
      </c>
      <c r="Q27" s="96">
        <f t="shared" si="0"/>
        <v>0</v>
      </c>
      <c r="R27" s="96">
        <f t="shared" si="1"/>
        <v>0</v>
      </c>
      <c r="S27" s="96">
        <f t="shared" si="2"/>
        <v>1</v>
      </c>
    </row>
    <row r="28" spans="1:19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3.8953879806316833</v>
      </c>
      <c r="H28">
        <v>2.44140625E-4</v>
      </c>
      <c r="I28">
        <v>-0.87823043440209447</v>
      </c>
      <c r="J28">
        <v>-2.1441172714894885E-4</v>
      </c>
      <c r="L28" s="101"/>
      <c r="M28" s="101">
        <v>0</v>
      </c>
      <c r="N28" s="96">
        <v>2.44140625E-4</v>
      </c>
      <c r="O28" s="96">
        <f t="shared" si="3"/>
        <v>1.5625E-2</v>
      </c>
      <c r="Q28" s="96">
        <f t="shared" si="0"/>
        <v>0</v>
      </c>
      <c r="R28" s="96">
        <f t="shared" si="1"/>
        <v>0</v>
      </c>
      <c r="S28" s="96">
        <f t="shared" si="2"/>
        <v>1</v>
      </c>
    </row>
    <row r="29" spans="1:19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1.3698067624199337</v>
      </c>
      <c r="H29">
        <v>4.8828125E-4</v>
      </c>
      <c r="I29">
        <v>-0.95536651631253156</v>
      </c>
      <c r="J29">
        <v>-4.664875567932283E-4</v>
      </c>
      <c r="L29" s="101"/>
      <c r="M29" s="101">
        <v>0</v>
      </c>
      <c r="N29" s="96">
        <v>4.8828125E-4</v>
      </c>
      <c r="O29" s="96">
        <f t="shared" si="3"/>
        <v>1.611328125E-2</v>
      </c>
      <c r="Q29" s="96">
        <f t="shared" si="0"/>
        <v>0</v>
      </c>
      <c r="R29" s="96">
        <f t="shared" si="1"/>
        <v>0</v>
      </c>
      <c r="S29" s="96">
        <f t="shared" si="2"/>
        <v>1</v>
      </c>
    </row>
    <row r="30" spans="1:19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4.1094202872597982</v>
      </c>
      <c r="H30">
        <v>9.765625E-4</v>
      </c>
      <c r="I30">
        <v>-0.87198707603654946</v>
      </c>
      <c r="J30">
        <v>-8.5154987894194283E-4</v>
      </c>
      <c r="L30" s="101"/>
      <c r="M30" s="101">
        <v>0</v>
      </c>
      <c r="N30" s="96">
        <v>9.765625E-4</v>
      </c>
      <c r="O30" s="96">
        <f t="shared" si="3"/>
        <v>1.708984375E-2</v>
      </c>
      <c r="Q30" s="96">
        <f t="shared" si="0"/>
        <v>0</v>
      </c>
      <c r="R30" s="96">
        <f t="shared" si="1"/>
        <v>0</v>
      </c>
      <c r="S30" s="96">
        <f t="shared" si="2"/>
        <v>1</v>
      </c>
    </row>
    <row r="31" spans="1:19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6.1641304308896991</v>
      </c>
      <c r="H31">
        <v>4.8828125E-4</v>
      </c>
      <c r="I31">
        <v>-0.81426369617702599</v>
      </c>
      <c r="J31">
        <v>-3.9758969539893847E-4</v>
      </c>
      <c r="L31" s="101"/>
      <c r="M31" s="101">
        <v>0</v>
      </c>
      <c r="N31" s="96">
        <v>4.8828125E-4</v>
      </c>
      <c r="O31" s="96">
        <f t="shared" si="3"/>
        <v>1.7578125E-2</v>
      </c>
      <c r="Q31" s="96">
        <f t="shared" si="0"/>
        <v>0</v>
      </c>
      <c r="R31" s="96">
        <f t="shared" si="1"/>
        <v>0</v>
      </c>
      <c r="S31" s="96">
        <f t="shared" si="2"/>
        <v>1</v>
      </c>
    </row>
    <row r="32" spans="1:19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0.68490338120996708</v>
      </c>
      <c r="H32">
        <v>9.765625E-4</v>
      </c>
      <c r="I32">
        <v>-0.97742852235472011</v>
      </c>
      <c r="J32">
        <v>-9.5452004136203136E-4</v>
      </c>
      <c r="L32" s="101"/>
      <c r="M32" s="101">
        <v>0</v>
      </c>
      <c r="N32" s="96">
        <v>9.765625E-4</v>
      </c>
      <c r="O32" s="96">
        <f t="shared" si="3"/>
        <v>1.85546875E-2</v>
      </c>
      <c r="Q32" s="96">
        <f t="shared" si="0"/>
        <v>0</v>
      </c>
      <c r="R32" s="96">
        <f t="shared" si="1"/>
        <v>0</v>
      </c>
      <c r="S32" s="96">
        <f t="shared" si="2"/>
        <v>1</v>
      </c>
    </row>
    <row r="33" spans="1:19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3.4245169060498313</v>
      </c>
      <c r="H33">
        <v>1.953125E-3</v>
      </c>
      <c r="I33">
        <v>-0.89212362448340277</v>
      </c>
      <c r="J33">
        <v>-1.742428954069146E-3</v>
      </c>
      <c r="L33" s="101"/>
      <c r="M33" s="101">
        <v>0</v>
      </c>
      <c r="N33" s="96">
        <v>1.953125E-3</v>
      </c>
      <c r="O33" s="96">
        <f t="shared" si="3"/>
        <v>2.05078125E-2</v>
      </c>
      <c r="Q33" s="96">
        <f t="shared" si="0"/>
        <v>0</v>
      </c>
      <c r="R33" s="96">
        <f t="shared" si="1"/>
        <v>0</v>
      </c>
      <c r="S33" s="96">
        <f t="shared" si="2"/>
        <v>1</v>
      </c>
    </row>
    <row r="34" spans="1:19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5.4792270496797304</v>
      </c>
      <c r="H34">
        <v>9.765625E-4</v>
      </c>
      <c r="I34">
        <v>-0.83306725510258883</v>
      </c>
      <c r="J34">
        <v>-8.1354224131112191E-4</v>
      </c>
      <c r="L34" s="101"/>
      <c r="M34" s="101">
        <v>0</v>
      </c>
      <c r="N34" s="96">
        <v>9.765625E-4</v>
      </c>
      <c r="O34" s="96">
        <f t="shared" si="3"/>
        <v>2.1484375E-2</v>
      </c>
      <c r="Q34" s="96">
        <f t="shared" si="0"/>
        <v>0</v>
      </c>
      <c r="R34" s="96">
        <f t="shared" si="1"/>
        <v>0</v>
      </c>
      <c r="S34" s="96">
        <f t="shared" si="2"/>
        <v>1</v>
      </c>
    </row>
    <row r="35" spans="1:19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0</v>
      </c>
      <c r="H35">
        <v>4.8828125E-4</v>
      </c>
      <c r="I35">
        <v>-1</v>
      </c>
      <c r="J35">
        <v>-4.8828125E-4</v>
      </c>
      <c r="L35" s="101"/>
      <c r="M35" s="101">
        <v>0</v>
      </c>
      <c r="N35" s="96">
        <v>4.8828125E-4</v>
      </c>
      <c r="O35" s="96">
        <f t="shared" si="3"/>
        <v>2.197265625E-2</v>
      </c>
      <c r="Q35" s="96">
        <f t="shared" si="0"/>
        <v>0</v>
      </c>
      <c r="R35" s="96">
        <f t="shared" si="1"/>
        <v>0</v>
      </c>
      <c r="S35" s="96">
        <f t="shared" si="2"/>
        <v>1</v>
      </c>
    </row>
    <row r="36" spans="1:19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2.7396135248398656</v>
      </c>
      <c r="H36">
        <v>9.765625E-4</v>
      </c>
      <c r="I36">
        <v>-0.9127251804911426</v>
      </c>
      <c r="J36">
        <v>-8.9133318407338144E-4</v>
      </c>
      <c r="L36" s="101"/>
      <c r="M36" s="101">
        <v>0</v>
      </c>
      <c r="N36" s="96">
        <v>9.765625E-4</v>
      </c>
      <c r="O36" s="96">
        <f t="shared" si="3"/>
        <v>2.294921875E-2</v>
      </c>
      <c r="Q36" s="96">
        <f t="shared" si="0"/>
        <v>0</v>
      </c>
      <c r="R36" s="96">
        <f t="shared" si="1"/>
        <v>0</v>
      </c>
      <c r="S36" s="96">
        <f t="shared" si="2"/>
        <v>1</v>
      </c>
    </row>
    <row r="37" spans="1:19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4.7943236684697652</v>
      </c>
      <c r="H37">
        <v>4.8828125E-4</v>
      </c>
      <c r="I37">
        <v>-0.85230503924281753</v>
      </c>
      <c r="J37">
        <v>-4.16164569942782E-4</v>
      </c>
      <c r="L37" s="101"/>
      <c r="M37" s="101">
        <v>0</v>
      </c>
      <c r="N37" s="96">
        <v>4.8828125E-4</v>
      </c>
      <c r="O37" s="96">
        <f t="shared" si="3"/>
        <v>2.34375E-2</v>
      </c>
      <c r="Q37" s="96">
        <f t="shared" si="0"/>
        <v>0</v>
      </c>
      <c r="R37" s="96">
        <f t="shared" si="1"/>
        <v>0</v>
      </c>
      <c r="S37" s="96">
        <f t="shared" si="2"/>
        <v>1</v>
      </c>
    </row>
    <row r="38" spans="1:19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1.3698067624199337</v>
      </c>
      <c r="H38">
        <v>9.765625E-4</v>
      </c>
      <c r="I38">
        <v>-0.95536651631253156</v>
      </c>
      <c r="J38">
        <v>-9.329751135864566E-4</v>
      </c>
      <c r="L38" s="101"/>
      <c r="M38" s="101">
        <v>0</v>
      </c>
      <c r="N38" s="96">
        <v>9.765625E-4</v>
      </c>
      <c r="O38" s="96">
        <f t="shared" si="3"/>
        <v>2.44140625E-2</v>
      </c>
      <c r="Q38" s="96">
        <f t="shared" si="0"/>
        <v>0</v>
      </c>
      <c r="R38" s="96">
        <f t="shared" si="1"/>
        <v>0</v>
      </c>
      <c r="S38" s="96">
        <f t="shared" si="2"/>
        <v>1</v>
      </c>
    </row>
    <row r="39" spans="1:19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4.1094202872597982</v>
      </c>
      <c r="H39">
        <v>1.953125E-3</v>
      </c>
      <c r="I39">
        <v>-0.87198707603654946</v>
      </c>
      <c r="J39">
        <v>-1.7030997578838857E-3</v>
      </c>
      <c r="L39" s="101"/>
      <c r="M39" s="101">
        <v>0</v>
      </c>
      <c r="N39" s="96">
        <v>1.953125E-3</v>
      </c>
      <c r="O39" s="96">
        <f t="shared" si="3"/>
        <v>2.63671875E-2</v>
      </c>
      <c r="Q39" s="96">
        <f t="shared" si="0"/>
        <v>0</v>
      </c>
      <c r="R39" s="96">
        <f t="shared" si="1"/>
        <v>0</v>
      </c>
      <c r="S39" s="96">
        <f t="shared" si="2"/>
        <v>1</v>
      </c>
    </row>
    <row r="40" spans="1:19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6.1641304308896991</v>
      </c>
      <c r="H40">
        <v>9.765625E-4</v>
      </c>
      <c r="I40">
        <v>-0.81426369617702599</v>
      </c>
      <c r="J40">
        <v>-7.9517939079787694E-4</v>
      </c>
      <c r="L40" s="101"/>
      <c r="M40" s="101">
        <v>0</v>
      </c>
      <c r="N40" s="96">
        <v>9.765625E-4</v>
      </c>
      <c r="O40" s="96">
        <f t="shared" si="3"/>
        <v>2.734375E-2</v>
      </c>
      <c r="Q40" s="96">
        <f t="shared" si="0"/>
        <v>0</v>
      </c>
      <c r="R40" s="96">
        <f t="shared" si="1"/>
        <v>0</v>
      </c>
      <c r="S40" s="96">
        <f t="shared" si="2"/>
        <v>1</v>
      </c>
    </row>
    <row r="41" spans="1:19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0.68490338120996708</v>
      </c>
      <c r="H41">
        <v>1.953125E-3</v>
      </c>
      <c r="I41">
        <v>-0.97742852235472011</v>
      </c>
      <c r="J41">
        <v>-1.9090400827240627E-3</v>
      </c>
      <c r="L41" s="101"/>
      <c r="M41" s="101">
        <v>0</v>
      </c>
      <c r="N41" s="96">
        <v>1.953125E-3</v>
      </c>
      <c r="O41" s="96">
        <f t="shared" si="3"/>
        <v>2.9296875E-2</v>
      </c>
      <c r="Q41" s="96">
        <f t="shared" si="0"/>
        <v>0</v>
      </c>
      <c r="R41" s="96">
        <f t="shared" si="1"/>
        <v>0</v>
      </c>
      <c r="S41" s="96">
        <f t="shared" si="2"/>
        <v>1</v>
      </c>
    </row>
    <row r="42" spans="1:19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3.4245169060498313</v>
      </c>
      <c r="H42">
        <v>3.90625E-3</v>
      </c>
      <c r="I42">
        <v>-0.89212362448340277</v>
      </c>
      <c r="J42">
        <v>-3.4848579081382921E-3</v>
      </c>
      <c r="L42" s="101"/>
      <c r="M42" s="101">
        <v>0</v>
      </c>
      <c r="N42" s="96">
        <v>3.90625E-3</v>
      </c>
      <c r="O42" s="96">
        <f t="shared" si="3"/>
        <v>3.3203125E-2</v>
      </c>
      <c r="Q42" s="96">
        <f t="shared" si="0"/>
        <v>0</v>
      </c>
      <c r="R42" s="96">
        <f t="shared" si="1"/>
        <v>0</v>
      </c>
      <c r="S42" s="96">
        <f t="shared" si="2"/>
        <v>1</v>
      </c>
    </row>
    <row r="43" spans="1:19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5.4792270496797304</v>
      </c>
      <c r="H43">
        <v>1.953125E-3</v>
      </c>
      <c r="I43">
        <v>-0.83306725510258883</v>
      </c>
      <c r="J43">
        <v>-1.6270844826222438E-3</v>
      </c>
      <c r="L43" s="101"/>
      <c r="M43" s="101">
        <v>0</v>
      </c>
      <c r="N43" s="96">
        <v>1.953125E-3</v>
      </c>
      <c r="O43" s="96">
        <f t="shared" si="3"/>
        <v>3.515625E-2</v>
      </c>
      <c r="Q43" s="96">
        <f t="shared" si="0"/>
        <v>0</v>
      </c>
      <c r="R43" s="96">
        <f t="shared" si="1"/>
        <v>0</v>
      </c>
      <c r="S43" s="96">
        <f t="shared" si="2"/>
        <v>1</v>
      </c>
    </row>
    <row r="44" spans="1:19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0</v>
      </c>
      <c r="H44">
        <v>9.765625E-4</v>
      </c>
      <c r="I44">
        <v>-1</v>
      </c>
      <c r="J44">
        <v>-9.765625E-4</v>
      </c>
      <c r="L44" s="101"/>
      <c r="M44" s="101">
        <v>0</v>
      </c>
      <c r="N44" s="96">
        <v>9.765625E-4</v>
      </c>
      <c r="O44" s="96">
        <f t="shared" si="3"/>
        <v>3.61328125E-2</v>
      </c>
      <c r="Q44" s="96">
        <f t="shared" si="0"/>
        <v>0</v>
      </c>
      <c r="R44" s="96">
        <f t="shared" si="1"/>
        <v>0</v>
      </c>
      <c r="S44" s="96">
        <f t="shared" si="2"/>
        <v>1</v>
      </c>
    </row>
    <row r="45" spans="1:19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2.7396135248398656</v>
      </c>
      <c r="H45">
        <v>1.953125E-3</v>
      </c>
      <c r="I45">
        <v>-0.9127251804911426</v>
      </c>
      <c r="J45">
        <v>-1.7826663681467629E-3</v>
      </c>
      <c r="L45" s="101"/>
      <c r="M45" s="101">
        <v>0</v>
      </c>
      <c r="N45" s="96">
        <v>1.953125E-3</v>
      </c>
      <c r="O45" s="96">
        <f t="shared" si="3"/>
        <v>3.80859375E-2</v>
      </c>
      <c r="Q45" s="96">
        <f t="shared" si="0"/>
        <v>0</v>
      </c>
      <c r="R45" s="96">
        <f t="shared" si="1"/>
        <v>0</v>
      </c>
      <c r="S45" s="96">
        <f t="shared" si="2"/>
        <v>1</v>
      </c>
    </row>
    <row r="46" spans="1:19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4.7943236684697652</v>
      </c>
      <c r="H46">
        <v>9.765625E-4</v>
      </c>
      <c r="I46">
        <v>-0.85230503924281753</v>
      </c>
      <c r="J46">
        <v>-8.3232913988556399E-4</v>
      </c>
      <c r="L46" s="101"/>
      <c r="M46" s="101">
        <v>0</v>
      </c>
      <c r="N46" s="96">
        <v>9.765625E-4</v>
      </c>
      <c r="O46" s="96">
        <f t="shared" si="3"/>
        <v>3.90625E-2</v>
      </c>
      <c r="Q46" s="96">
        <f t="shared" si="0"/>
        <v>0</v>
      </c>
      <c r="R46" s="96">
        <f t="shared" si="1"/>
        <v>0</v>
      </c>
      <c r="S46" s="96">
        <f t="shared" si="2"/>
        <v>1</v>
      </c>
    </row>
    <row r="47" spans="1:19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1.3698067624199337</v>
      </c>
      <c r="H47">
        <v>4.8828125E-4</v>
      </c>
      <c r="I47">
        <v>-0.95536651631253156</v>
      </c>
      <c r="J47">
        <v>-4.664875567932283E-4</v>
      </c>
      <c r="L47" s="101"/>
      <c r="M47" s="101">
        <v>0</v>
      </c>
      <c r="N47" s="96">
        <v>4.8828125E-4</v>
      </c>
      <c r="O47" s="96">
        <f t="shared" si="3"/>
        <v>3.955078125E-2</v>
      </c>
      <c r="Q47" s="96">
        <f t="shared" si="0"/>
        <v>0</v>
      </c>
      <c r="R47" s="96">
        <f t="shared" si="1"/>
        <v>0</v>
      </c>
      <c r="S47" s="96">
        <f t="shared" si="2"/>
        <v>1</v>
      </c>
    </row>
    <row r="48" spans="1:19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4.1094202872597982</v>
      </c>
      <c r="H48">
        <v>9.765625E-4</v>
      </c>
      <c r="I48">
        <v>-0.87198707603654946</v>
      </c>
      <c r="J48">
        <v>-8.5154987894194283E-4</v>
      </c>
      <c r="L48" s="101"/>
      <c r="M48" s="101">
        <v>0</v>
      </c>
      <c r="N48" s="96">
        <v>9.765625E-4</v>
      </c>
      <c r="O48" s="96">
        <f t="shared" si="3"/>
        <v>4.052734375E-2</v>
      </c>
      <c r="Q48" s="96">
        <f t="shared" si="0"/>
        <v>0</v>
      </c>
      <c r="R48" s="96">
        <f t="shared" si="1"/>
        <v>0</v>
      </c>
      <c r="S48" s="96">
        <f t="shared" si="2"/>
        <v>1</v>
      </c>
    </row>
    <row r="49" spans="1:19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6.1641304308896991</v>
      </c>
      <c r="H49">
        <v>4.8828125E-4</v>
      </c>
      <c r="I49">
        <v>-0.81426369617702599</v>
      </c>
      <c r="J49">
        <v>-3.9758969539893847E-4</v>
      </c>
      <c r="L49" s="101"/>
      <c r="M49" s="101">
        <v>0</v>
      </c>
      <c r="N49" s="96">
        <v>4.8828125E-4</v>
      </c>
      <c r="O49" s="96">
        <f t="shared" si="3"/>
        <v>4.1015625E-2</v>
      </c>
      <c r="Q49" s="96">
        <f t="shared" si="0"/>
        <v>0</v>
      </c>
      <c r="R49" s="96">
        <f t="shared" si="1"/>
        <v>0</v>
      </c>
      <c r="S49" s="96">
        <f t="shared" si="2"/>
        <v>1</v>
      </c>
    </row>
    <row r="50" spans="1:19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0.68490338120996708</v>
      </c>
      <c r="H50">
        <v>9.765625E-4</v>
      </c>
      <c r="I50">
        <v>-0.97742852235472011</v>
      </c>
      <c r="J50">
        <v>-9.5452004136203136E-4</v>
      </c>
      <c r="L50" s="101"/>
      <c r="M50" s="101">
        <v>0</v>
      </c>
      <c r="N50" s="96">
        <v>9.765625E-4</v>
      </c>
      <c r="O50" s="96">
        <f t="shared" si="3"/>
        <v>4.19921875E-2</v>
      </c>
      <c r="Q50" s="96">
        <f t="shared" si="0"/>
        <v>0</v>
      </c>
      <c r="R50" s="96">
        <f t="shared" si="1"/>
        <v>0</v>
      </c>
      <c r="S50" s="96">
        <f t="shared" si="2"/>
        <v>1</v>
      </c>
    </row>
    <row r="51" spans="1:19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3.4245169060498313</v>
      </c>
      <c r="H51">
        <v>1.953125E-3</v>
      </c>
      <c r="I51">
        <v>-0.89212362448340277</v>
      </c>
      <c r="J51">
        <v>-1.742428954069146E-3</v>
      </c>
      <c r="L51" s="101"/>
      <c r="M51" s="101">
        <v>0</v>
      </c>
      <c r="N51" s="96">
        <v>1.953125E-3</v>
      </c>
      <c r="O51" s="96">
        <f t="shared" si="3"/>
        <v>4.39453125E-2</v>
      </c>
      <c r="Q51" s="96">
        <f t="shared" si="0"/>
        <v>0</v>
      </c>
      <c r="R51" s="96">
        <f t="shared" si="1"/>
        <v>0</v>
      </c>
      <c r="S51" s="96">
        <f t="shared" si="2"/>
        <v>1</v>
      </c>
    </row>
    <row r="52" spans="1:19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5.4792270496797304</v>
      </c>
      <c r="H52">
        <v>9.765625E-4</v>
      </c>
      <c r="I52">
        <v>-0.83306725510258883</v>
      </c>
      <c r="J52">
        <v>-8.1354224131112191E-4</v>
      </c>
      <c r="L52" s="101"/>
      <c r="M52" s="101">
        <v>0</v>
      </c>
      <c r="N52" s="96">
        <v>9.765625E-4</v>
      </c>
      <c r="O52" s="96">
        <f t="shared" si="3"/>
        <v>4.4921875E-2</v>
      </c>
      <c r="Q52" s="96">
        <f t="shared" si="0"/>
        <v>0</v>
      </c>
      <c r="R52" s="96">
        <f t="shared" si="1"/>
        <v>0</v>
      </c>
      <c r="S52" s="96">
        <f t="shared" si="2"/>
        <v>1</v>
      </c>
    </row>
    <row r="53" spans="1:19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0</v>
      </c>
      <c r="H53">
        <v>4.8828125E-4</v>
      </c>
      <c r="I53">
        <v>-1</v>
      </c>
      <c r="J53">
        <v>-4.8828125E-4</v>
      </c>
      <c r="L53" s="101"/>
      <c r="M53" s="101">
        <v>0</v>
      </c>
      <c r="N53" s="96">
        <v>4.8828125E-4</v>
      </c>
      <c r="O53" s="96">
        <f t="shared" si="3"/>
        <v>4.541015625E-2</v>
      </c>
      <c r="Q53" s="96">
        <f t="shared" si="0"/>
        <v>0</v>
      </c>
      <c r="R53" s="96">
        <f t="shared" si="1"/>
        <v>0</v>
      </c>
      <c r="S53" s="96">
        <f t="shared" si="2"/>
        <v>1</v>
      </c>
    </row>
    <row r="54" spans="1:19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2.7396135248398656</v>
      </c>
      <c r="H54">
        <v>9.765625E-4</v>
      </c>
      <c r="I54">
        <v>-0.9127251804911426</v>
      </c>
      <c r="J54">
        <v>-8.9133318407338144E-4</v>
      </c>
      <c r="L54" s="101"/>
      <c r="M54" s="101">
        <v>0</v>
      </c>
      <c r="N54" s="96">
        <v>9.765625E-4</v>
      </c>
      <c r="O54" s="96">
        <f t="shared" si="3"/>
        <v>4.638671875E-2</v>
      </c>
      <c r="Q54" s="96">
        <f t="shared" si="0"/>
        <v>0</v>
      </c>
      <c r="R54" s="96">
        <f t="shared" si="1"/>
        <v>0</v>
      </c>
      <c r="S54" s="96">
        <f t="shared" si="2"/>
        <v>1</v>
      </c>
    </row>
    <row r="55" spans="1:19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4.7943236684697652</v>
      </c>
      <c r="H55">
        <v>4.8828125E-4</v>
      </c>
      <c r="I55">
        <v>-0.85230503924281753</v>
      </c>
      <c r="J55">
        <v>-4.16164569942782E-4</v>
      </c>
      <c r="L55" s="101"/>
      <c r="M55" s="101">
        <v>0</v>
      </c>
      <c r="N55" s="96">
        <v>4.8828125E-4</v>
      </c>
      <c r="O55" s="96">
        <f t="shared" si="3"/>
        <v>4.6875E-2</v>
      </c>
      <c r="Q55" s="96">
        <f t="shared" si="0"/>
        <v>0</v>
      </c>
      <c r="R55" s="96">
        <f t="shared" si="1"/>
        <v>0</v>
      </c>
      <c r="S55" s="96">
        <f t="shared" si="2"/>
        <v>1</v>
      </c>
    </row>
    <row r="56" spans="1:19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1.5410326077224235</v>
      </c>
      <c r="H56">
        <v>2.44140625E-4</v>
      </c>
      <c r="I56">
        <v>-0.94992926639037967</v>
      </c>
      <c r="J56">
        <v>-2.3191632480233879E-4</v>
      </c>
      <c r="L56" s="101"/>
      <c r="M56" s="101">
        <v>0</v>
      </c>
      <c r="N56" s="96">
        <v>2.44140625E-4</v>
      </c>
      <c r="O56" s="96">
        <f t="shared" si="3"/>
        <v>4.7119140625E-2</v>
      </c>
      <c r="Q56" s="96">
        <f t="shared" si="0"/>
        <v>0</v>
      </c>
      <c r="R56" s="96">
        <f t="shared" si="1"/>
        <v>0</v>
      </c>
      <c r="S56" s="96">
        <f t="shared" si="2"/>
        <v>1</v>
      </c>
    </row>
    <row r="57" spans="1:19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4.6230978231672744</v>
      </c>
      <c r="H57">
        <v>4.8828125E-4</v>
      </c>
      <c r="I57">
        <v>-0.85718350301084312</v>
      </c>
      <c r="J57">
        <v>-4.1854663232951324E-4</v>
      </c>
      <c r="L57" s="101"/>
      <c r="M57" s="101">
        <v>0</v>
      </c>
      <c r="N57" s="96">
        <v>4.8828125E-4</v>
      </c>
      <c r="O57" s="96">
        <f t="shared" si="3"/>
        <v>4.7607421875E-2</v>
      </c>
      <c r="Q57" s="96">
        <f t="shared" si="0"/>
        <v>0</v>
      </c>
      <c r="R57" s="96">
        <f t="shared" si="1"/>
        <v>0</v>
      </c>
      <c r="S57" s="96">
        <f t="shared" si="2"/>
        <v>1</v>
      </c>
    </row>
    <row r="58" spans="1:19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6.9346467347509115</v>
      </c>
      <c r="H58">
        <v>2.44140625E-4</v>
      </c>
      <c r="I58">
        <v>-0.7936165323308273</v>
      </c>
      <c r="J58">
        <v>-1.9375403621358088E-4</v>
      </c>
      <c r="L58" s="101"/>
      <c r="M58" s="101">
        <v>0</v>
      </c>
      <c r="N58" s="96">
        <v>2.44140625E-4</v>
      </c>
      <c r="O58" s="96">
        <f t="shared" si="3"/>
        <v>4.78515625E-2</v>
      </c>
      <c r="Q58" s="96">
        <f t="shared" si="0"/>
        <v>0</v>
      </c>
      <c r="R58" s="96">
        <f t="shared" si="1"/>
        <v>0</v>
      </c>
      <c r="S58" s="96">
        <f t="shared" si="2"/>
        <v>1</v>
      </c>
    </row>
    <row r="59" spans="1:19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0.77051630386121184</v>
      </c>
      <c r="H59">
        <v>4.8828125E-4</v>
      </c>
      <c r="I59">
        <v>-0.97464314822932996</v>
      </c>
      <c r="J59">
        <v>-4.7589997472135252E-4</v>
      </c>
      <c r="L59" s="101"/>
      <c r="M59" s="101">
        <v>0</v>
      </c>
      <c r="N59" s="96">
        <v>4.8828125E-4</v>
      </c>
      <c r="O59" s="96">
        <f t="shared" si="3"/>
        <v>4.833984375E-2</v>
      </c>
      <c r="Q59" s="96">
        <f t="shared" si="0"/>
        <v>0</v>
      </c>
      <c r="R59" s="96">
        <f t="shared" si="1"/>
        <v>0</v>
      </c>
      <c r="S59" s="96">
        <f t="shared" si="2"/>
        <v>1</v>
      </c>
    </row>
    <row r="60" spans="1:19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3.852581519306062</v>
      </c>
      <c r="H60">
        <v>9.765625E-4</v>
      </c>
      <c r="I60">
        <v>-0.87948446010021197</v>
      </c>
      <c r="J60">
        <v>-8.5887154306661326E-4</v>
      </c>
      <c r="L60" s="101"/>
      <c r="M60" s="101">
        <v>0</v>
      </c>
      <c r="N60" s="96">
        <v>9.765625E-4</v>
      </c>
      <c r="O60" s="96">
        <f t="shared" si="3"/>
        <v>4.931640625E-2</v>
      </c>
      <c r="Q60" s="96">
        <f t="shared" si="0"/>
        <v>0</v>
      </c>
      <c r="R60" s="96">
        <f t="shared" si="1"/>
        <v>0</v>
      </c>
      <c r="S60" s="96">
        <f t="shared" si="2"/>
        <v>1</v>
      </c>
    </row>
    <row r="61" spans="1:19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6.1641304308896983</v>
      </c>
      <c r="H61">
        <v>4.8828125E-4</v>
      </c>
      <c r="I61">
        <v>-0.81426369617702599</v>
      </c>
      <c r="J61">
        <v>-3.9758969539893847E-4</v>
      </c>
      <c r="L61" s="101"/>
      <c r="M61" s="101">
        <v>0</v>
      </c>
      <c r="N61" s="96">
        <v>4.8828125E-4</v>
      </c>
      <c r="O61" s="96">
        <f t="shared" si="3"/>
        <v>4.98046875E-2</v>
      </c>
      <c r="Q61" s="96">
        <f t="shared" si="0"/>
        <v>0</v>
      </c>
      <c r="R61" s="96">
        <f t="shared" si="1"/>
        <v>0</v>
      </c>
      <c r="S61" s="96">
        <f t="shared" si="2"/>
        <v>1</v>
      </c>
    </row>
    <row r="62" spans="1:19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0</v>
      </c>
      <c r="H62">
        <v>2.44140625E-4</v>
      </c>
      <c r="I62">
        <v>-1</v>
      </c>
      <c r="J62">
        <v>-2.44140625E-4</v>
      </c>
      <c r="L62" s="101"/>
      <c r="M62" s="101">
        <v>0</v>
      </c>
      <c r="N62" s="96">
        <v>2.44140625E-4</v>
      </c>
      <c r="O62" s="96">
        <f t="shared" si="3"/>
        <v>5.0048828125E-2</v>
      </c>
      <c r="Q62" s="96">
        <f t="shared" si="0"/>
        <v>0</v>
      </c>
      <c r="R62" s="96">
        <f t="shared" si="1"/>
        <v>0</v>
      </c>
      <c r="S62" s="96">
        <f t="shared" si="2"/>
        <v>1</v>
      </c>
    </row>
    <row r="63" spans="1:19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3.0820652154448487</v>
      </c>
      <c r="H63">
        <v>4.8828125E-4</v>
      </c>
      <c r="I63">
        <v>-0.90236561114496494</v>
      </c>
      <c r="J63">
        <v>-4.4060820856687741E-4</v>
      </c>
      <c r="L63" s="101"/>
      <c r="M63" s="101">
        <v>0</v>
      </c>
      <c r="N63" s="96">
        <v>4.8828125E-4</v>
      </c>
      <c r="O63" s="96">
        <f t="shared" si="3"/>
        <v>5.0537109375E-2</v>
      </c>
      <c r="Q63" s="96">
        <f t="shared" si="0"/>
        <v>0</v>
      </c>
      <c r="R63" s="96">
        <f t="shared" si="1"/>
        <v>0</v>
      </c>
      <c r="S63" s="96">
        <f t="shared" si="2"/>
        <v>1</v>
      </c>
    </row>
    <row r="64" spans="1:19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5.3936141270284859</v>
      </c>
      <c r="H64">
        <v>2.44140625E-4</v>
      </c>
      <c r="I64">
        <v>-0.8354480279847335</v>
      </c>
      <c r="J64">
        <v>-2.0396680370721033E-4</v>
      </c>
      <c r="L64" s="101"/>
      <c r="M64" s="101">
        <v>0</v>
      </c>
      <c r="N64" s="96">
        <v>2.44140625E-4</v>
      </c>
      <c r="O64" s="96">
        <f t="shared" si="3"/>
        <v>5.078125E-2</v>
      </c>
      <c r="Q64" s="96">
        <f t="shared" si="0"/>
        <v>0</v>
      </c>
      <c r="R64" s="96">
        <f t="shared" si="1"/>
        <v>0</v>
      </c>
      <c r="S64" s="96">
        <f t="shared" si="2"/>
        <v>1</v>
      </c>
    </row>
    <row r="65" spans="1:19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1.5410326077224235</v>
      </c>
      <c r="H65">
        <v>4.8828125E-4</v>
      </c>
      <c r="I65">
        <v>-0.94992926639037967</v>
      </c>
      <c r="J65">
        <v>-4.6383264960467757E-4</v>
      </c>
      <c r="L65" s="101"/>
      <c r="M65" s="101">
        <v>0</v>
      </c>
      <c r="N65" s="96">
        <v>4.8828125E-4</v>
      </c>
      <c r="O65" s="96">
        <f t="shared" si="3"/>
        <v>5.126953125E-2</v>
      </c>
      <c r="Q65" s="96">
        <f t="shared" si="0"/>
        <v>0</v>
      </c>
      <c r="R65" s="96">
        <f t="shared" si="1"/>
        <v>0</v>
      </c>
      <c r="S65" s="96">
        <f t="shared" si="2"/>
        <v>1</v>
      </c>
    </row>
    <row r="66" spans="1:19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4.6230978231672744</v>
      </c>
      <c r="H66">
        <v>9.765625E-4</v>
      </c>
      <c r="I66">
        <v>-0.85718350301084312</v>
      </c>
      <c r="J66">
        <v>-8.3709326465902648E-4</v>
      </c>
      <c r="L66" s="101"/>
      <c r="M66" s="101">
        <v>0</v>
      </c>
      <c r="N66" s="96">
        <v>9.765625E-4</v>
      </c>
      <c r="O66" s="96">
        <f t="shared" si="3"/>
        <v>5.224609375E-2</v>
      </c>
      <c r="Q66" s="96">
        <f t="shared" si="0"/>
        <v>0</v>
      </c>
      <c r="R66" s="96">
        <f t="shared" si="1"/>
        <v>0</v>
      </c>
      <c r="S66" s="96">
        <f t="shared" si="2"/>
        <v>1</v>
      </c>
    </row>
    <row r="67" spans="1:19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6.9346467347509115</v>
      </c>
      <c r="H67">
        <v>4.8828125E-4</v>
      </c>
      <c r="I67">
        <v>-0.7936165323308273</v>
      </c>
      <c r="J67">
        <v>-3.8750807242716177E-4</v>
      </c>
      <c r="L67" s="101"/>
      <c r="M67" s="101">
        <v>0</v>
      </c>
      <c r="N67" s="96">
        <v>4.8828125E-4</v>
      </c>
      <c r="O67" s="96">
        <f t="shared" si="3"/>
        <v>5.2734375E-2</v>
      </c>
      <c r="Q67" s="96">
        <f t="shared" ref="Q67:Q130" si="4">IF(A67=3,1,0)</f>
        <v>0</v>
      </c>
      <c r="R67" s="96">
        <f t="shared" ref="R67:R130" si="5">IF(A67=2,1,0)</f>
        <v>0</v>
      </c>
      <c r="S67" s="96">
        <f t="shared" ref="S67:S130" si="6">IF(A67=1,1,0)</f>
        <v>1</v>
      </c>
    </row>
    <row r="68" spans="1:19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0.77051630386121184</v>
      </c>
      <c r="H68">
        <v>9.765625E-4</v>
      </c>
      <c r="I68">
        <v>-0.97464314822932996</v>
      </c>
      <c r="J68">
        <v>-9.5179994944270504E-4</v>
      </c>
      <c r="L68" s="101"/>
      <c r="M68" s="101">
        <v>0</v>
      </c>
      <c r="N68" s="96">
        <v>9.765625E-4</v>
      </c>
      <c r="O68" s="96">
        <f t="shared" ref="O68:O131" si="7">N68+O67</f>
        <v>5.37109375E-2</v>
      </c>
      <c r="Q68" s="96">
        <f t="shared" si="4"/>
        <v>0</v>
      </c>
      <c r="R68" s="96">
        <f t="shared" si="5"/>
        <v>0</v>
      </c>
      <c r="S68" s="96">
        <f t="shared" si="6"/>
        <v>1</v>
      </c>
    </row>
    <row r="69" spans="1:19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3.852581519306062</v>
      </c>
      <c r="H69">
        <v>1.953125E-3</v>
      </c>
      <c r="I69">
        <v>-0.87948446010021197</v>
      </c>
      <c r="J69">
        <v>-1.7177430861332265E-3</v>
      </c>
      <c r="L69" s="101"/>
      <c r="M69" s="101">
        <v>0</v>
      </c>
      <c r="N69" s="96">
        <v>1.953125E-3</v>
      </c>
      <c r="O69" s="96">
        <f t="shared" si="7"/>
        <v>5.56640625E-2</v>
      </c>
      <c r="Q69" s="96">
        <f t="shared" si="4"/>
        <v>0</v>
      </c>
      <c r="R69" s="96">
        <f t="shared" si="5"/>
        <v>0</v>
      </c>
      <c r="S69" s="96">
        <f t="shared" si="6"/>
        <v>1</v>
      </c>
    </row>
    <row r="70" spans="1:19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6.1641304308896983</v>
      </c>
      <c r="H70">
        <v>9.765625E-4</v>
      </c>
      <c r="I70">
        <v>-0.81426369617702599</v>
      </c>
      <c r="J70">
        <v>-7.9517939079787694E-4</v>
      </c>
      <c r="L70" s="101"/>
      <c r="M70" s="101">
        <v>0</v>
      </c>
      <c r="N70" s="96">
        <v>9.765625E-4</v>
      </c>
      <c r="O70" s="96">
        <f t="shared" si="7"/>
        <v>5.6640625E-2</v>
      </c>
      <c r="Q70" s="96">
        <f t="shared" si="4"/>
        <v>0</v>
      </c>
      <c r="R70" s="96">
        <f t="shared" si="5"/>
        <v>0</v>
      </c>
      <c r="S70" s="96">
        <f t="shared" si="6"/>
        <v>1</v>
      </c>
    </row>
    <row r="71" spans="1:19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0</v>
      </c>
      <c r="H71">
        <v>4.8828125E-4</v>
      </c>
      <c r="I71">
        <v>-1</v>
      </c>
      <c r="J71">
        <v>-4.8828125E-4</v>
      </c>
      <c r="L71" s="101"/>
      <c r="M71" s="101">
        <v>0</v>
      </c>
      <c r="N71" s="96">
        <v>4.8828125E-4</v>
      </c>
      <c r="O71" s="96">
        <f t="shared" si="7"/>
        <v>5.712890625E-2</v>
      </c>
      <c r="Q71" s="96">
        <f t="shared" si="4"/>
        <v>0</v>
      </c>
      <c r="R71" s="96">
        <f t="shared" si="5"/>
        <v>0</v>
      </c>
      <c r="S71" s="96">
        <f t="shared" si="6"/>
        <v>1</v>
      </c>
    </row>
    <row r="72" spans="1:19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3.0820652154448487</v>
      </c>
      <c r="H72">
        <v>9.765625E-4</v>
      </c>
      <c r="I72">
        <v>-0.90236561114496494</v>
      </c>
      <c r="J72">
        <v>-8.8121641713375483E-4</v>
      </c>
      <c r="L72" s="101"/>
      <c r="M72" s="101">
        <v>0</v>
      </c>
      <c r="N72" s="96">
        <v>9.765625E-4</v>
      </c>
      <c r="O72" s="96">
        <f t="shared" si="7"/>
        <v>5.810546875E-2</v>
      </c>
      <c r="Q72" s="96">
        <f t="shared" si="4"/>
        <v>0</v>
      </c>
      <c r="R72" s="96">
        <f t="shared" si="5"/>
        <v>0</v>
      </c>
      <c r="S72" s="96">
        <f t="shared" si="6"/>
        <v>1</v>
      </c>
    </row>
    <row r="73" spans="1:19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5.3936141270284859</v>
      </c>
      <c r="H73">
        <v>4.8828125E-4</v>
      </c>
      <c r="I73">
        <v>-0.8354480279847335</v>
      </c>
      <c r="J73">
        <v>-4.0793360741442065E-4</v>
      </c>
      <c r="L73" s="101"/>
      <c r="M73" s="101">
        <v>0</v>
      </c>
      <c r="N73" s="96">
        <v>4.8828125E-4</v>
      </c>
      <c r="O73" s="96">
        <f t="shared" si="7"/>
        <v>5.859375E-2</v>
      </c>
      <c r="Q73" s="96">
        <f t="shared" si="4"/>
        <v>0</v>
      </c>
      <c r="R73" s="96">
        <f t="shared" si="5"/>
        <v>0</v>
      </c>
      <c r="S73" s="96">
        <f t="shared" si="6"/>
        <v>1</v>
      </c>
    </row>
    <row r="74" spans="1:19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1.5410326077224235</v>
      </c>
      <c r="H74">
        <v>2.44140625E-4</v>
      </c>
      <c r="I74">
        <v>-0.94992926639037967</v>
      </c>
      <c r="J74">
        <v>-2.3191632480233879E-4</v>
      </c>
      <c r="L74" s="101"/>
      <c r="M74" s="101">
        <v>0</v>
      </c>
      <c r="N74" s="96">
        <v>2.44140625E-4</v>
      </c>
      <c r="O74" s="96">
        <f t="shared" si="7"/>
        <v>5.8837890625E-2</v>
      </c>
      <c r="Q74" s="96">
        <f t="shared" si="4"/>
        <v>0</v>
      </c>
      <c r="R74" s="96">
        <f t="shared" si="5"/>
        <v>0</v>
      </c>
      <c r="S74" s="96">
        <f t="shared" si="6"/>
        <v>1</v>
      </c>
    </row>
    <row r="75" spans="1:19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4.6230978231672744</v>
      </c>
      <c r="H75">
        <v>4.8828125E-4</v>
      </c>
      <c r="I75">
        <v>-0.85718350301084312</v>
      </c>
      <c r="J75">
        <v>-4.1854663232951324E-4</v>
      </c>
      <c r="L75" s="101"/>
      <c r="M75" s="101">
        <v>0</v>
      </c>
      <c r="N75" s="96">
        <v>4.8828125E-4</v>
      </c>
      <c r="O75" s="96">
        <f t="shared" si="7"/>
        <v>5.9326171875E-2</v>
      </c>
      <c r="Q75" s="96">
        <f t="shared" si="4"/>
        <v>0</v>
      </c>
      <c r="R75" s="96">
        <f t="shared" si="5"/>
        <v>0</v>
      </c>
      <c r="S75" s="96">
        <f t="shared" si="6"/>
        <v>1</v>
      </c>
    </row>
    <row r="76" spans="1:19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6.9346467347509115</v>
      </c>
      <c r="H76">
        <v>2.44140625E-4</v>
      </c>
      <c r="I76">
        <v>-0.7936165323308273</v>
      </c>
      <c r="J76">
        <v>-1.9375403621358088E-4</v>
      </c>
      <c r="L76" s="101"/>
      <c r="M76" s="101">
        <v>0</v>
      </c>
      <c r="N76" s="96">
        <v>2.44140625E-4</v>
      </c>
      <c r="O76" s="96">
        <f t="shared" si="7"/>
        <v>5.95703125E-2</v>
      </c>
      <c r="Q76" s="96">
        <f t="shared" si="4"/>
        <v>0</v>
      </c>
      <c r="R76" s="96">
        <f t="shared" si="5"/>
        <v>0</v>
      </c>
      <c r="S76" s="96">
        <f t="shared" si="6"/>
        <v>1</v>
      </c>
    </row>
    <row r="77" spans="1:19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0.77051630386121184</v>
      </c>
      <c r="H77">
        <v>4.8828125E-4</v>
      </c>
      <c r="I77">
        <v>-0.97464314822932996</v>
      </c>
      <c r="J77">
        <v>-4.7589997472135252E-4</v>
      </c>
      <c r="L77" s="101"/>
      <c r="M77" s="101">
        <v>0</v>
      </c>
      <c r="N77" s="96">
        <v>4.8828125E-4</v>
      </c>
      <c r="O77" s="96">
        <f t="shared" si="7"/>
        <v>6.005859375E-2</v>
      </c>
      <c r="Q77" s="96">
        <f t="shared" si="4"/>
        <v>0</v>
      </c>
      <c r="R77" s="96">
        <f t="shared" si="5"/>
        <v>0</v>
      </c>
      <c r="S77" s="96">
        <f t="shared" si="6"/>
        <v>1</v>
      </c>
    </row>
    <row r="78" spans="1:19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3.852581519306062</v>
      </c>
      <c r="H78">
        <v>9.765625E-4</v>
      </c>
      <c r="I78">
        <v>-0.87948446010021197</v>
      </c>
      <c r="J78">
        <v>-8.5887154306661326E-4</v>
      </c>
      <c r="L78" s="101"/>
      <c r="M78" s="101">
        <v>0</v>
      </c>
      <c r="N78" s="96">
        <v>9.765625E-4</v>
      </c>
      <c r="O78" s="96">
        <f t="shared" si="7"/>
        <v>6.103515625E-2</v>
      </c>
      <c r="Q78" s="96">
        <f t="shared" si="4"/>
        <v>0</v>
      </c>
      <c r="R78" s="96">
        <f t="shared" si="5"/>
        <v>0</v>
      </c>
      <c r="S78" s="96">
        <f t="shared" si="6"/>
        <v>1</v>
      </c>
    </row>
    <row r="79" spans="1:19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6.1641304308896983</v>
      </c>
      <c r="H79">
        <v>4.8828125E-4</v>
      </c>
      <c r="I79">
        <v>-0.81426369617702599</v>
      </c>
      <c r="J79">
        <v>-3.9758969539893847E-4</v>
      </c>
      <c r="L79" s="101"/>
      <c r="M79" s="101">
        <v>0</v>
      </c>
      <c r="N79" s="96">
        <v>4.8828125E-4</v>
      </c>
      <c r="O79" s="96">
        <f t="shared" si="7"/>
        <v>6.15234375E-2</v>
      </c>
      <c r="Q79" s="96">
        <f t="shared" si="4"/>
        <v>0</v>
      </c>
      <c r="R79" s="96">
        <f t="shared" si="5"/>
        <v>0</v>
      </c>
      <c r="S79" s="96">
        <f t="shared" si="6"/>
        <v>1</v>
      </c>
    </row>
    <row r="80" spans="1:19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0</v>
      </c>
      <c r="H80">
        <v>2.44140625E-4</v>
      </c>
      <c r="I80">
        <v>-1</v>
      </c>
      <c r="J80">
        <v>-2.44140625E-4</v>
      </c>
      <c r="L80" s="101"/>
      <c r="M80" s="101">
        <v>0</v>
      </c>
      <c r="N80" s="96">
        <v>2.44140625E-4</v>
      </c>
      <c r="O80" s="96">
        <f t="shared" si="7"/>
        <v>6.1767578125E-2</v>
      </c>
      <c r="Q80" s="96">
        <f t="shared" si="4"/>
        <v>0</v>
      </c>
      <c r="R80" s="96">
        <f t="shared" si="5"/>
        <v>0</v>
      </c>
      <c r="S80" s="96">
        <f t="shared" si="6"/>
        <v>1</v>
      </c>
    </row>
    <row r="81" spans="1:19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3.0820652154448487</v>
      </c>
      <c r="H81">
        <v>4.8828125E-4</v>
      </c>
      <c r="I81">
        <v>-0.90236561114496494</v>
      </c>
      <c r="J81">
        <v>-4.4060820856687741E-4</v>
      </c>
      <c r="L81" s="101"/>
      <c r="M81" s="101">
        <v>0</v>
      </c>
      <c r="N81" s="96">
        <v>4.8828125E-4</v>
      </c>
      <c r="O81" s="96">
        <f t="shared" si="7"/>
        <v>6.2255859375E-2</v>
      </c>
      <c r="Q81" s="96">
        <f t="shared" si="4"/>
        <v>0</v>
      </c>
      <c r="R81" s="96">
        <f t="shared" si="5"/>
        <v>0</v>
      </c>
      <c r="S81" s="96">
        <f t="shared" si="6"/>
        <v>1</v>
      </c>
    </row>
    <row r="82" spans="1:19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5.3936141270284859</v>
      </c>
      <c r="H82">
        <v>2.44140625E-4</v>
      </c>
      <c r="I82">
        <v>-0.8354480279847335</v>
      </c>
      <c r="J82">
        <v>-2.0396680370721033E-4</v>
      </c>
      <c r="L82" s="101"/>
      <c r="M82" s="101">
        <v>0</v>
      </c>
      <c r="N82" s="96">
        <v>2.44140625E-4</v>
      </c>
      <c r="O82" s="96">
        <f t="shared" si="7"/>
        <v>6.25E-2</v>
      </c>
      <c r="Q82" s="96">
        <f t="shared" si="4"/>
        <v>0</v>
      </c>
      <c r="R82" s="96">
        <f t="shared" si="5"/>
        <v>0</v>
      </c>
      <c r="S82" s="96">
        <f t="shared" si="6"/>
        <v>1</v>
      </c>
    </row>
    <row r="83" spans="1:19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1.7784349719883017</v>
      </c>
      <c r="H83">
        <v>4.8828125E-4</v>
      </c>
      <c r="I83">
        <v>-0.94244174957635729</v>
      </c>
      <c r="J83">
        <v>-4.6017663553533071E-4</v>
      </c>
      <c r="L83" s="101"/>
      <c r="M83" s="101">
        <v>0.48389912802878188</v>
      </c>
      <c r="N83" s="96">
        <v>4.8828125E-4</v>
      </c>
      <c r="O83" s="96">
        <f t="shared" si="7"/>
        <v>6.298828125E-2</v>
      </c>
      <c r="Q83" s="96">
        <f t="shared" si="4"/>
        <v>0</v>
      </c>
      <c r="R83" s="96">
        <f t="shared" si="5"/>
        <v>0</v>
      </c>
      <c r="S83" s="96">
        <f t="shared" si="6"/>
        <v>1</v>
      </c>
    </row>
    <row r="84" spans="1:19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5.3353049159649064</v>
      </c>
      <c r="H84">
        <v>9.765625E-4</v>
      </c>
      <c r="I84">
        <v>-0.83707341757266507</v>
      </c>
      <c r="J84">
        <v>-8.1745450934830573E-4</v>
      </c>
      <c r="L84" s="101"/>
      <c r="M84" s="101">
        <v>0.48389912802878188</v>
      </c>
      <c r="N84" s="96">
        <v>9.765625E-4</v>
      </c>
      <c r="O84" s="96">
        <f t="shared" si="7"/>
        <v>6.396484375E-2</v>
      </c>
      <c r="Q84" s="96">
        <f t="shared" si="4"/>
        <v>0</v>
      </c>
      <c r="R84" s="96">
        <f t="shared" si="5"/>
        <v>0</v>
      </c>
      <c r="S84" s="96">
        <f t="shared" si="6"/>
        <v>1</v>
      </c>
    </row>
    <row r="85" spans="1:19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8.0029573739473605</v>
      </c>
      <c r="H85">
        <v>4.8828125E-4</v>
      </c>
      <c r="I85">
        <v>-0.76585283753566546</v>
      </c>
      <c r="J85">
        <v>-3.7395158082796165E-4</v>
      </c>
      <c r="L85" s="101"/>
      <c r="M85" s="101">
        <v>0.48389912802878188</v>
      </c>
      <c r="N85" s="96">
        <v>4.8828125E-4</v>
      </c>
      <c r="O85" s="96">
        <f t="shared" si="7"/>
        <v>6.4453125E-2</v>
      </c>
      <c r="Q85" s="96">
        <f t="shared" si="4"/>
        <v>0</v>
      </c>
      <c r="R85" s="96">
        <f t="shared" si="5"/>
        <v>0</v>
      </c>
      <c r="S85" s="96">
        <f t="shared" si="6"/>
        <v>1</v>
      </c>
    </row>
    <row r="86" spans="1:19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0.88921748599415018</v>
      </c>
      <c r="H86">
        <v>9.765625E-4</v>
      </c>
      <c r="I86">
        <v>-0.97079439098933673</v>
      </c>
      <c r="J86">
        <v>-9.4804139745052415E-4</v>
      </c>
      <c r="L86" s="101"/>
      <c r="M86" s="101">
        <v>0.59556815757388393</v>
      </c>
      <c r="N86" s="96">
        <v>9.765625E-4</v>
      </c>
      <c r="O86" s="96">
        <f t="shared" si="7"/>
        <v>6.54296875E-2</v>
      </c>
      <c r="Q86" s="96">
        <f t="shared" si="4"/>
        <v>0</v>
      </c>
      <c r="R86" s="96">
        <f t="shared" si="5"/>
        <v>0</v>
      </c>
      <c r="S86" s="96">
        <f t="shared" si="6"/>
        <v>1</v>
      </c>
    </row>
    <row r="87" spans="1:19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4.4460874299707553</v>
      </c>
      <c r="H87">
        <v>1.953125E-3</v>
      </c>
      <c r="I87">
        <v>-0.86225613306191784</v>
      </c>
      <c r="J87">
        <v>-1.6840940098865583E-3</v>
      </c>
      <c r="L87" s="101"/>
      <c r="M87" s="101">
        <v>0.59556815757388393</v>
      </c>
      <c r="N87" s="96">
        <v>1.953125E-3</v>
      </c>
      <c r="O87" s="96">
        <f t="shared" si="7"/>
        <v>6.73828125E-2</v>
      </c>
      <c r="Q87" s="96">
        <f t="shared" si="4"/>
        <v>0</v>
      </c>
      <c r="R87" s="96">
        <f t="shared" si="5"/>
        <v>0</v>
      </c>
      <c r="S87" s="96">
        <f t="shared" si="6"/>
        <v>1</v>
      </c>
    </row>
    <row r="88" spans="1:19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7.1137398879532077</v>
      </c>
      <c r="H88">
        <v>9.765625E-4</v>
      </c>
      <c r="I88">
        <v>-0.78889293618104317</v>
      </c>
      <c r="J88">
        <v>-7.7040325798929997E-4</v>
      </c>
      <c r="L88" s="101"/>
      <c r="M88" s="101">
        <v>0.59556815757388393</v>
      </c>
      <c r="N88" s="96">
        <v>9.765625E-4</v>
      </c>
      <c r="O88" s="96">
        <f t="shared" si="7"/>
        <v>6.8359375E-2</v>
      </c>
      <c r="Q88" s="96">
        <f t="shared" si="4"/>
        <v>0</v>
      </c>
      <c r="R88" s="96">
        <f t="shared" si="5"/>
        <v>0</v>
      </c>
      <c r="S88" s="96">
        <f t="shared" si="6"/>
        <v>1</v>
      </c>
    </row>
    <row r="89" spans="1:19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0</v>
      </c>
      <c r="H89">
        <v>4.8828125E-4</v>
      </c>
      <c r="I89">
        <v>-1</v>
      </c>
      <c r="J89">
        <v>-4.8828125E-4</v>
      </c>
      <c r="L89" s="101"/>
      <c r="M89" s="101">
        <v>0.67001417727061796</v>
      </c>
      <c r="N89" s="96">
        <v>4.8828125E-4</v>
      </c>
      <c r="O89" s="96">
        <f t="shared" si="7"/>
        <v>6.884765625E-2</v>
      </c>
      <c r="Q89" s="96">
        <f t="shared" si="4"/>
        <v>0</v>
      </c>
      <c r="R89" s="96">
        <f t="shared" si="5"/>
        <v>0</v>
      </c>
      <c r="S89" s="96">
        <f t="shared" si="6"/>
        <v>1</v>
      </c>
    </row>
    <row r="90" spans="1:19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3.5568699439766034</v>
      </c>
      <c r="H90">
        <v>9.765625E-4</v>
      </c>
      <c r="I90">
        <v>-0.88819645134454528</v>
      </c>
      <c r="J90">
        <v>-8.673793470161575E-4</v>
      </c>
      <c r="L90" s="101"/>
      <c r="M90" s="101">
        <v>0.67001417727061796</v>
      </c>
      <c r="N90" s="96">
        <v>9.765625E-4</v>
      </c>
      <c r="O90" s="96">
        <f t="shared" si="7"/>
        <v>6.982421875E-2</v>
      </c>
      <c r="Q90" s="96">
        <f t="shared" si="4"/>
        <v>0</v>
      </c>
      <c r="R90" s="96">
        <f t="shared" si="5"/>
        <v>0</v>
      </c>
      <c r="S90" s="96">
        <f t="shared" si="6"/>
        <v>1</v>
      </c>
    </row>
    <row r="91" spans="1:19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6.2245224019590601</v>
      </c>
      <c r="H91">
        <v>4.8828125E-4</v>
      </c>
      <c r="I91">
        <v>-0.8126261786258181</v>
      </c>
      <c r="J91">
        <v>-3.9679012628213774E-4</v>
      </c>
      <c r="L91" s="101"/>
      <c r="M91" s="101">
        <v>0.67001417727061796</v>
      </c>
      <c r="N91" s="96">
        <v>4.8828125E-4</v>
      </c>
      <c r="O91" s="96">
        <f t="shared" si="7"/>
        <v>7.03125E-2</v>
      </c>
      <c r="Q91" s="96">
        <f t="shared" si="4"/>
        <v>0</v>
      </c>
      <c r="R91" s="96">
        <f t="shared" si="5"/>
        <v>0</v>
      </c>
      <c r="S91" s="96">
        <f t="shared" si="6"/>
        <v>1</v>
      </c>
    </row>
    <row r="92" spans="1:19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1.7784349719883017</v>
      </c>
      <c r="H92">
        <v>9.765625E-4</v>
      </c>
      <c r="I92">
        <v>-0.94244174957635729</v>
      </c>
      <c r="J92">
        <v>-9.2035327107066142E-4</v>
      </c>
      <c r="L92" s="101"/>
      <c r="M92" s="101">
        <v>0.77323259651665233</v>
      </c>
      <c r="N92" s="96">
        <v>9.765625E-4</v>
      </c>
      <c r="O92" s="96">
        <f t="shared" si="7"/>
        <v>7.12890625E-2</v>
      </c>
      <c r="Q92" s="96">
        <f t="shared" si="4"/>
        <v>0</v>
      </c>
      <c r="R92" s="96">
        <f t="shared" si="5"/>
        <v>0</v>
      </c>
      <c r="S92" s="96">
        <f t="shared" si="6"/>
        <v>1</v>
      </c>
    </row>
    <row r="93" spans="1:19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5.3353049159649064</v>
      </c>
      <c r="H93">
        <v>1.953125E-3</v>
      </c>
      <c r="I93">
        <v>-0.83707341757266507</v>
      </c>
      <c r="J93">
        <v>-1.6349090186966115E-3</v>
      </c>
      <c r="L93" s="101"/>
      <c r="M93" s="101">
        <v>0.77323259651665233</v>
      </c>
      <c r="N93" s="96">
        <v>1.953125E-3</v>
      </c>
      <c r="O93" s="96">
        <f t="shared" si="7"/>
        <v>7.32421875E-2</v>
      </c>
      <c r="Q93" s="96">
        <f t="shared" si="4"/>
        <v>0</v>
      </c>
      <c r="R93" s="96">
        <f t="shared" si="5"/>
        <v>0</v>
      </c>
      <c r="S93" s="96">
        <f t="shared" si="6"/>
        <v>1</v>
      </c>
    </row>
    <row r="94" spans="1:19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8.0029573739473605</v>
      </c>
      <c r="H94">
        <v>9.765625E-4</v>
      </c>
      <c r="I94">
        <v>-0.76585283753566546</v>
      </c>
      <c r="J94">
        <v>-7.4790316165592331E-4</v>
      </c>
      <c r="L94" s="101"/>
      <c r="M94" s="101">
        <v>0.77323259651665233</v>
      </c>
      <c r="N94" s="96">
        <v>9.765625E-4</v>
      </c>
      <c r="O94" s="96">
        <f t="shared" si="7"/>
        <v>7.421875E-2</v>
      </c>
      <c r="Q94" s="96">
        <f t="shared" si="4"/>
        <v>0</v>
      </c>
      <c r="R94" s="96">
        <f t="shared" si="5"/>
        <v>0</v>
      </c>
      <c r="S94" s="96">
        <f t="shared" si="6"/>
        <v>1</v>
      </c>
    </row>
    <row r="95" spans="1:19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0.88921748599415018</v>
      </c>
      <c r="H95">
        <v>1.953125E-3</v>
      </c>
      <c r="I95">
        <v>-0.97079439098933673</v>
      </c>
      <c r="J95">
        <v>-1.8960827949010483E-3</v>
      </c>
      <c r="L95" s="101"/>
      <c r="M95" s="101">
        <v>0.84042613829629575</v>
      </c>
      <c r="N95" s="96">
        <v>4.8828125E-4</v>
      </c>
      <c r="O95" s="96">
        <f t="shared" si="7"/>
        <v>7.470703125E-2</v>
      </c>
      <c r="Q95" s="96">
        <f t="shared" si="4"/>
        <v>0</v>
      </c>
      <c r="R95" s="96">
        <f t="shared" si="5"/>
        <v>0</v>
      </c>
      <c r="S95" s="96">
        <f t="shared" si="6"/>
        <v>1</v>
      </c>
    </row>
    <row r="96" spans="1:19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4.4460874299707553</v>
      </c>
      <c r="H96">
        <v>3.90625E-3</v>
      </c>
      <c r="I96">
        <v>-0.86225613306191784</v>
      </c>
      <c r="J96">
        <v>-3.3681880197731166E-3</v>
      </c>
      <c r="L96" s="101"/>
      <c r="M96" s="101">
        <v>0.84042613829629575</v>
      </c>
      <c r="N96" s="96">
        <v>9.765625E-4</v>
      </c>
      <c r="O96" s="96">
        <f t="shared" si="7"/>
        <v>7.568359375E-2</v>
      </c>
      <c r="Q96" s="96">
        <f t="shared" si="4"/>
        <v>0</v>
      </c>
      <c r="R96" s="96">
        <f t="shared" si="5"/>
        <v>0</v>
      </c>
      <c r="S96" s="96">
        <f t="shared" si="6"/>
        <v>1</v>
      </c>
    </row>
    <row r="97" spans="1:19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7.1137398879532077</v>
      </c>
      <c r="H97">
        <v>1.953125E-3</v>
      </c>
      <c r="I97">
        <v>-0.78889293618104317</v>
      </c>
      <c r="J97">
        <v>-1.5408065159785999E-3</v>
      </c>
      <c r="L97" s="101"/>
      <c r="M97" s="101">
        <v>0.84042613829629575</v>
      </c>
      <c r="N97" s="96">
        <v>4.8828125E-4</v>
      </c>
      <c r="O97" s="96">
        <f t="shared" si="7"/>
        <v>7.6171875E-2</v>
      </c>
      <c r="Q97" s="96">
        <f t="shared" si="4"/>
        <v>0</v>
      </c>
      <c r="R97" s="96">
        <f t="shared" si="5"/>
        <v>0</v>
      </c>
      <c r="S97" s="96">
        <f t="shared" si="6"/>
        <v>1</v>
      </c>
    </row>
    <row r="98" spans="1:19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0</v>
      </c>
      <c r="H98">
        <v>9.765625E-4</v>
      </c>
      <c r="I98">
        <v>-1</v>
      </c>
      <c r="J98">
        <v>-9.765625E-4</v>
      </c>
      <c r="L98" s="101"/>
      <c r="M98" s="101">
        <v>0.9516708880204956</v>
      </c>
      <c r="N98" s="96">
        <v>1.953125E-3</v>
      </c>
      <c r="O98" s="96">
        <f t="shared" si="7"/>
        <v>7.8125E-2</v>
      </c>
      <c r="Q98" s="96">
        <f t="shared" si="4"/>
        <v>0</v>
      </c>
      <c r="R98" s="96">
        <f t="shared" si="5"/>
        <v>0</v>
      </c>
      <c r="S98" s="96">
        <f t="shared" si="6"/>
        <v>1</v>
      </c>
    </row>
    <row r="99" spans="1:19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3.5568699439766034</v>
      </c>
      <c r="H99">
        <v>1.953125E-3</v>
      </c>
      <c r="I99">
        <v>-0.88819645134454528</v>
      </c>
      <c r="J99">
        <v>-1.734758694032315E-3</v>
      </c>
      <c r="L99" s="101"/>
      <c r="M99" s="101">
        <v>0.9516708880204956</v>
      </c>
      <c r="N99" s="96">
        <v>3.90625E-3</v>
      </c>
      <c r="O99" s="96">
        <f t="shared" si="7"/>
        <v>8.203125E-2</v>
      </c>
      <c r="Q99" s="96">
        <f t="shared" si="4"/>
        <v>0</v>
      </c>
      <c r="R99" s="96">
        <f t="shared" si="5"/>
        <v>0</v>
      </c>
      <c r="S99" s="96">
        <f t="shared" si="6"/>
        <v>1</v>
      </c>
    </row>
    <row r="100" spans="1:19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6.2245224019590601</v>
      </c>
      <c r="H100">
        <v>9.765625E-4</v>
      </c>
      <c r="I100">
        <v>-0.8126261786258181</v>
      </c>
      <c r="J100">
        <v>-7.9358025256427548E-4</v>
      </c>
      <c r="L100" s="101"/>
      <c r="M100" s="101">
        <v>0.9516708880204956</v>
      </c>
      <c r="N100" s="96">
        <v>1.953125E-3</v>
      </c>
      <c r="O100" s="96">
        <f t="shared" si="7"/>
        <v>8.3984375E-2</v>
      </c>
      <c r="Q100" s="96">
        <f t="shared" si="4"/>
        <v>0</v>
      </c>
      <c r="R100" s="96">
        <f t="shared" si="5"/>
        <v>0</v>
      </c>
      <c r="S100" s="96">
        <f t="shared" si="6"/>
        <v>1</v>
      </c>
    </row>
    <row r="101" spans="1:19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1.7784349719883017</v>
      </c>
      <c r="H101">
        <v>4.8828125E-4</v>
      </c>
      <c r="I101">
        <v>-0.94244174957635729</v>
      </c>
      <c r="J101">
        <v>-4.6017663553533071E-4</v>
      </c>
      <c r="L101" s="101"/>
      <c r="M101" s="101">
        <v>0.96779825605756109</v>
      </c>
      <c r="N101" s="96">
        <v>2.44140625E-4</v>
      </c>
      <c r="O101" s="96">
        <f t="shared" si="7"/>
        <v>8.4228515625E-2</v>
      </c>
      <c r="Q101" s="96">
        <f t="shared" si="4"/>
        <v>0</v>
      </c>
      <c r="R101" s="96">
        <f t="shared" si="5"/>
        <v>0</v>
      </c>
      <c r="S101" s="96">
        <f t="shared" si="6"/>
        <v>1</v>
      </c>
    </row>
    <row r="102" spans="1:19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5.3353049159649064</v>
      </c>
      <c r="H102">
        <v>9.765625E-4</v>
      </c>
      <c r="I102">
        <v>-0.83707341757266507</v>
      </c>
      <c r="J102">
        <v>-8.1745450934830573E-4</v>
      </c>
      <c r="L102" s="101"/>
      <c r="M102" s="101">
        <v>0.96779825605756109</v>
      </c>
      <c r="N102" s="96">
        <v>4.8828125E-4</v>
      </c>
      <c r="O102" s="96">
        <f t="shared" si="7"/>
        <v>8.4716796875E-2</v>
      </c>
      <c r="Q102" s="96">
        <f t="shared" si="4"/>
        <v>0</v>
      </c>
      <c r="R102" s="96">
        <f t="shared" si="5"/>
        <v>0</v>
      </c>
      <c r="S102" s="96">
        <f t="shared" si="6"/>
        <v>1</v>
      </c>
    </row>
    <row r="103" spans="1:19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8.0029573739473605</v>
      </c>
      <c r="H103">
        <v>4.8828125E-4</v>
      </c>
      <c r="I103">
        <v>-0.76585283753566546</v>
      </c>
      <c r="J103">
        <v>-3.7395158082796165E-4</v>
      </c>
      <c r="L103" s="101"/>
      <c r="M103" s="101">
        <v>0.96779825605756109</v>
      </c>
      <c r="N103" s="96">
        <v>2.44140625E-4</v>
      </c>
      <c r="O103" s="96">
        <f t="shared" si="7"/>
        <v>8.49609375E-2</v>
      </c>
      <c r="Q103" s="96">
        <f t="shared" si="4"/>
        <v>0</v>
      </c>
      <c r="R103" s="96">
        <f t="shared" si="5"/>
        <v>0</v>
      </c>
      <c r="S103" s="96">
        <f t="shared" si="6"/>
        <v>1</v>
      </c>
    </row>
    <row r="104" spans="1:19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0.88921748599415018</v>
      </c>
      <c r="H104">
        <v>9.765625E-4</v>
      </c>
      <c r="I104">
        <v>-0.97079439098933673</v>
      </c>
      <c r="J104">
        <v>-9.4804139745052415E-4</v>
      </c>
      <c r="L104" s="101"/>
      <c r="M104" s="101">
        <v>1.0343706317492853</v>
      </c>
      <c r="N104" s="96">
        <v>9.765625E-4</v>
      </c>
      <c r="O104" s="96">
        <f t="shared" si="7"/>
        <v>8.59375E-2</v>
      </c>
      <c r="Q104" s="96">
        <f t="shared" si="4"/>
        <v>0</v>
      </c>
      <c r="R104" s="96">
        <f t="shared" si="5"/>
        <v>0</v>
      </c>
      <c r="S104" s="96">
        <f t="shared" si="6"/>
        <v>1</v>
      </c>
    </row>
    <row r="105" spans="1:19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4.4460874299707553</v>
      </c>
      <c r="H105">
        <v>1.953125E-3</v>
      </c>
      <c r="I105">
        <v>-0.86225613306191784</v>
      </c>
      <c r="J105">
        <v>-1.6840940098865583E-3</v>
      </c>
      <c r="L105" s="101"/>
      <c r="M105" s="101">
        <v>1.0343706317492853</v>
      </c>
      <c r="N105" s="96">
        <v>1.953125E-3</v>
      </c>
      <c r="O105" s="96">
        <f t="shared" si="7"/>
        <v>8.7890625E-2</v>
      </c>
      <c r="Q105" s="96">
        <f t="shared" si="4"/>
        <v>0</v>
      </c>
      <c r="R105" s="96">
        <f t="shared" si="5"/>
        <v>0</v>
      </c>
      <c r="S105" s="96">
        <f t="shared" si="6"/>
        <v>1</v>
      </c>
    </row>
    <row r="106" spans="1:19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7.1137398879532077</v>
      </c>
      <c r="H106">
        <v>9.765625E-4</v>
      </c>
      <c r="I106">
        <v>-0.78889293618104317</v>
      </c>
      <c r="J106">
        <v>-7.7040325798929997E-4</v>
      </c>
      <c r="L106" s="101"/>
      <c r="M106" s="101">
        <v>1.0343706317492853</v>
      </c>
      <c r="N106" s="96">
        <v>9.765625E-4</v>
      </c>
      <c r="O106" s="96">
        <f t="shared" si="7"/>
        <v>8.88671875E-2</v>
      </c>
      <c r="Q106" s="96">
        <f t="shared" si="4"/>
        <v>0</v>
      </c>
      <c r="R106" s="96">
        <f t="shared" si="5"/>
        <v>0</v>
      </c>
      <c r="S106" s="96">
        <f t="shared" si="6"/>
        <v>1</v>
      </c>
    </row>
    <row r="107" spans="1:19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0</v>
      </c>
      <c r="H107">
        <v>4.8828125E-4</v>
      </c>
      <c r="I107">
        <v>-1</v>
      </c>
      <c r="J107">
        <v>-4.8828125E-4</v>
      </c>
      <c r="L107" s="101"/>
      <c r="M107" s="101">
        <v>1.0706297490230596</v>
      </c>
      <c r="N107" s="96">
        <v>9.765625E-4</v>
      </c>
      <c r="O107" s="96">
        <f t="shared" si="7"/>
        <v>8.984375E-2</v>
      </c>
      <c r="Q107" s="96">
        <f t="shared" si="4"/>
        <v>0</v>
      </c>
      <c r="R107" s="96">
        <f t="shared" si="5"/>
        <v>0</v>
      </c>
      <c r="S107" s="96">
        <f t="shared" si="6"/>
        <v>1</v>
      </c>
    </row>
    <row r="108" spans="1:19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3.5568699439766034</v>
      </c>
      <c r="H108">
        <v>9.765625E-4</v>
      </c>
      <c r="I108">
        <v>-0.88819645134454528</v>
      </c>
      <c r="J108">
        <v>-8.673793470161575E-4</v>
      </c>
      <c r="L108" s="101"/>
      <c r="M108" s="101">
        <v>1.0706297490230596</v>
      </c>
      <c r="N108" s="96">
        <v>1.953125E-3</v>
      </c>
      <c r="O108" s="96">
        <f t="shared" si="7"/>
        <v>9.1796875E-2</v>
      </c>
      <c r="Q108" s="96">
        <f t="shared" si="4"/>
        <v>0</v>
      </c>
      <c r="R108" s="96">
        <f t="shared" si="5"/>
        <v>0</v>
      </c>
      <c r="S108" s="96">
        <f t="shared" si="6"/>
        <v>1</v>
      </c>
    </row>
    <row r="109" spans="1:19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6.2245224019590601</v>
      </c>
      <c r="H109">
        <v>4.8828125E-4</v>
      </c>
      <c r="I109">
        <v>-0.8126261786258181</v>
      </c>
      <c r="J109">
        <v>-3.9679012628213774E-4</v>
      </c>
      <c r="L109" s="101"/>
      <c r="M109" s="101">
        <v>1.0706297490230596</v>
      </c>
      <c r="N109" s="96">
        <v>9.765625E-4</v>
      </c>
      <c r="O109" s="96">
        <f t="shared" si="7"/>
        <v>9.27734375E-2</v>
      </c>
      <c r="Q109" s="96">
        <f t="shared" si="4"/>
        <v>0</v>
      </c>
      <c r="R109" s="96">
        <f t="shared" si="5"/>
        <v>0</v>
      </c>
      <c r="S109" s="96">
        <f t="shared" si="6"/>
        <v>1</v>
      </c>
    </row>
    <row r="110" spans="1:19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2.1888430424471399</v>
      </c>
      <c r="H110">
        <v>9.765625E-4</v>
      </c>
      <c r="I110">
        <v>-0.92963668100713748</v>
      </c>
      <c r="J110">
        <v>-9.0784832129603269E-4</v>
      </c>
      <c r="L110" s="101"/>
      <c r="M110" s="101">
        <v>1.1636669607179451</v>
      </c>
      <c r="N110" s="96">
        <v>4.8828125E-4</v>
      </c>
      <c r="O110" s="96">
        <f t="shared" si="7"/>
        <v>9.326171875E-2</v>
      </c>
      <c r="Q110" s="96">
        <f t="shared" si="4"/>
        <v>0</v>
      </c>
      <c r="R110" s="96">
        <f t="shared" si="5"/>
        <v>0</v>
      </c>
      <c r="S110" s="96">
        <f t="shared" si="6"/>
        <v>1</v>
      </c>
    </row>
    <row r="111" spans="1:19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6.5665291273414237</v>
      </c>
      <c r="H111">
        <v>1.953125E-3</v>
      </c>
      <c r="I111">
        <v>-0.80341466444318776</v>
      </c>
      <c r="J111">
        <v>-1.5691692664906011E-3</v>
      </c>
      <c r="L111" s="101"/>
      <c r="M111" s="101">
        <v>1.1636669607179451</v>
      </c>
      <c r="N111" s="96">
        <v>9.765625E-4</v>
      </c>
      <c r="O111" s="96">
        <f t="shared" si="7"/>
        <v>9.423828125E-2</v>
      </c>
      <c r="Q111" s="96">
        <f t="shared" si="4"/>
        <v>0</v>
      </c>
      <c r="R111" s="96">
        <f t="shared" si="5"/>
        <v>0</v>
      </c>
      <c r="S111" s="96">
        <f t="shared" si="6"/>
        <v>1</v>
      </c>
    </row>
    <row r="112" spans="1:19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9.8497936910121364</v>
      </c>
      <c r="H112">
        <v>9.765625E-4</v>
      </c>
      <c r="I112">
        <v>-0.72012789099263674</v>
      </c>
      <c r="J112">
        <v>-7.0324989354749682E-4</v>
      </c>
      <c r="L112" s="101"/>
      <c r="M112" s="101">
        <v>1.1636669607179451</v>
      </c>
      <c r="N112" s="96">
        <v>4.8828125E-4</v>
      </c>
      <c r="O112" s="96">
        <f t="shared" si="7"/>
        <v>9.47265625E-2</v>
      </c>
      <c r="Q112" s="96">
        <f t="shared" si="4"/>
        <v>0</v>
      </c>
      <c r="R112" s="96">
        <f t="shared" si="5"/>
        <v>0</v>
      </c>
      <c r="S112" s="96">
        <f t="shared" si="6"/>
        <v>1</v>
      </c>
    </row>
    <row r="113" spans="1:19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1.0944215212235706</v>
      </c>
      <c r="H113">
        <v>1.953125E-3</v>
      </c>
      <c r="I113">
        <v>-0.96417668557538638</v>
      </c>
      <c r="J113">
        <v>-1.8831575890144265E-3</v>
      </c>
      <c r="L113" s="101"/>
      <c r="M113" s="101">
        <v>1.1911363151477687</v>
      </c>
      <c r="N113" s="96">
        <v>4.8828125E-4</v>
      </c>
      <c r="O113" s="96">
        <f t="shared" si="7"/>
        <v>9.521484375E-2</v>
      </c>
      <c r="Q113" s="96">
        <f t="shared" si="4"/>
        <v>0</v>
      </c>
      <c r="R113" s="96">
        <f t="shared" si="5"/>
        <v>0</v>
      </c>
      <c r="S113" s="96">
        <f t="shared" si="6"/>
        <v>1</v>
      </c>
    </row>
    <row r="114" spans="1:19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5.4721076061178522</v>
      </c>
      <c r="H114">
        <v>3.90625E-3</v>
      </c>
      <c r="I114">
        <v>-0.83326497773977859</v>
      </c>
      <c r="J114">
        <v>-3.2549413192960101E-3</v>
      </c>
      <c r="L114" s="101"/>
      <c r="M114" s="101">
        <v>1.1911363151477687</v>
      </c>
      <c r="N114" s="96">
        <v>9.765625E-4</v>
      </c>
      <c r="O114" s="96">
        <f t="shared" si="7"/>
        <v>9.619140625E-2</v>
      </c>
      <c r="Q114" s="96">
        <f t="shared" si="4"/>
        <v>0</v>
      </c>
      <c r="R114" s="96">
        <f t="shared" si="5"/>
        <v>0</v>
      </c>
      <c r="S114" s="96">
        <f t="shared" si="6"/>
        <v>1</v>
      </c>
    </row>
    <row r="115" spans="1:19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8.7553721697885649</v>
      </c>
      <c r="H115">
        <v>1.953125E-3</v>
      </c>
      <c r="I115">
        <v>-0.74688374212542807</v>
      </c>
      <c r="J115">
        <v>-1.4587573088387267E-3</v>
      </c>
      <c r="L115" s="101"/>
      <c r="M115" s="101">
        <v>1.1911363151477687</v>
      </c>
      <c r="N115" s="96">
        <v>4.8828125E-4</v>
      </c>
      <c r="O115" s="96">
        <f t="shared" si="7"/>
        <v>9.66796875E-2</v>
      </c>
      <c r="Q115" s="96">
        <f t="shared" si="4"/>
        <v>0</v>
      </c>
      <c r="R115" s="96">
        <f t="shared" si="5"/>
        <v>0</v>
      </c>
      <c r="S115" s="96">
        <f t="shared" si="6"/>
        <v>1</v>
      </c>
    </row>
    <row r="116" spans="1:19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0</v>
      </c>
      <c r="H116">
        <v>9.765625E-4</v>
      </c>
      <c r="I116">
        <v>-1</v>
      </c>
      <c r="J116">
        <v>-9.765625E-4</v>
      </c>
      <c r="L116" s="101"/>
      <c r="M116" s="101">
        <v>1.2097478200719514</v>
      </c>
      <c r="N116" s="96">
        <v>9.765625E-4</v>
      </c>
      <c r="O116" s="96">
        <f t="shared" si="7"/>
        <v>9.765625E-2</v>
      </c>
      <c r="Q116" s="96">
        <f t="shared" si="4"/>
        <v>0</v>
      </c>
      <c r="R116" s="96">
        <f t="shared" si="5"/>
        <v>0</v>
      </c>
      <c r="S116" s="96">
        <f t="shared" si="6"/>
        <v>1</v>
      </c>
    </row>
    <row r="117" spans="1:19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4.3776860848942842</v>
      </c>
      <c r="H117">
        <v>1.953125E-3</v>
      </c>
      <c r="I117">
        <v>-0.86422435867396608</v>
      </c>
      <c r="J117">
        <v>-1.68793820053509E-3</v>
      </c>
      <c r="L117" s="101"/>
      <c r="M117" s="101">
        <v>1.2097478200719514</v>
      </c>
      <c r="N117" s="96">
        <v>1.953125E-3</v>
      </c>
      <c r="O117" s="96">
        <f t="shared" si="7"/>
        <v>9.9609375E-2</v>
      </c>
      <c r="Q117" s="96">
        <f t="shared" si="4"/>
        <v>0</v>
      </c>
      <c r="R117" s="96">
        <f t="shared" si="5"/>
        <v>0</v>
      </c>
      <c r="S117" s="96">
        <f t="shared" si="6"/>
        <v>1</v>
      </c>
    </row>
    <row r="118" spans="1:19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7.6609506485649943</v>
      </c>
      <c r="H118">
        <v>9.765625E-4</v>
      </c>
      <c r="I118">
        <v>-0.77463368830549395</v>
      </c>
      <c r="J118">
        <v>-7.5647821123583394E-4</v>
      </c>
      <c r="L118" s="101"/>
      <c r="M118" s="101">
        <v>1.2097478200719514</v>
      </c>
      <c r="N118" s="96">
        <v>9.765625E-4</v>
      </c>
      <c r="O118" s="96">
        <f t="shared" si="7"/>
        <v>0.1005859375</v>
      </c>
      <c r="Q118" s="96">
        <f t="shared" si="4"/>
        <v>0</v>
      </c>
      <c r="R118" s="96">
        <f t="shared" si="5"/>
        <v>0</v>
      </c>
      <c r="S118" s="96">
        <f t="shared" si="6"/>
        <v>1</v>
      </c>
    </row>
    <row r="119" spans="1:19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2.1888430424471399</v>
      </c>
      <c r="H119">
        <v>1.953125E-3</v>
      </c>
      <c r="I119">
        <v>-0.92963668100713748</v>
      </c>
      <c r="J119">
        <v>-1.8156966425920654E-3</v>
      </c>
      <c r="L119" s="101"/>
      <c r="M119" s="101">
        <v>1.3400283545412375</v>
      </c>
      <c r="N119" s="96">
        <v>2.44140625E-4</v>
      </c>
      <c r="O119" s="96">
        <f t="shared" si="7"/>
        <v>0.100830078125</v>
      </c>
      <c r="Q119" s="96">
        <f t="shared" si="4"/>
        <v>0</v>
      </c>
      <c r="R119" s="96">
        <f t="shared" si="5"/>
        <v>0</v>
      </c>
      <c r="S119" s="96">
        <f t="shared" si="6"/>
        <v>1</v>
      </c>
    </row>
    <row r="120" spans="1:19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6.5665291273414237</v>
      </c>
      <c r="H120">
        <v>3.90625E-3</v>
      </c>
      <c r="I120">
        <v>-0.80341466444318776</v>
      </c>
      <c r="J120">
        <v>-3.1383385329812022E-3</v>
      </c>
      <c r="L120" s="101"/>
      <c r="M120" s="101">
        <v>1.3400283545412375</v>
      </c>
      <c r="N120" s="96">
        <v>4.8828125E-4</v>
      </c>
      <c r="O120" s="96">
        <f t="shared" si="7"/>
        <v>0.101318359375</v>
      </c>
      <c r="Q120" s="96">
        <f t="shared" si="4"/>
        <v>0</v>
      </c>
      <c r="R120" s="96">
        <f t="shared" si="5"/>
        <v>0</v>
      </c>
      <c r="S120" s="96">
        <f t="shared" si="6"/>
        <v>1</v>
      </c>
    </row>
    <row r="121" spans="1:19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9.8497936910121364</v>
      </c>
      <c r="H121">
        <v>1.953125E-3</v>
      </c>
      <c r="I121">
        <v>-0.72012789099263674</v>
      </c>
      <c r="J121">
        <v>-1.4064997870949936E-3</v>
      </c>
      <c r="L121" s="101"/>
      <c r="M121" s="101">
        <v>1.3400283545412375</v>
      </c>
      <c r="N121" s="96">
        <v>2.44140625E-4</v>
      </c>
      <c r="O121" s="96">
        <f t="shared" si="7"/>
        <v>0.1015625</v>
      </c>
      <c r="Q121" s="96">
        <f t="shared" si="4"/>
        <v>0</v>
      </c>
      <c r="R121" s="96">
        <f t="shared" si="5"/>
        <v>0</v>
      </c>
      <c r="S121" s="96">
        <f t="shared" si="6"/>
        <v>1</v>
      </c>
    </row>
    <row r="122" spans="1:19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1.0944215212235706</v>
      </c>
      <c r="H122">
        <v>3.90625E-3</v>
      </c>
      <c r="I122">
        <v>-0.96417668557538638</v>
      </c>
      <c r="J122">
        <v>-3.7663151780288531E-3</v>
      </c>
      <c r="L122" s="101"/>
      <c r="M122" s="101">
        <v>1.4889203939347078</v>
      </c>
      <c r="N122" s="96">
        <v>1.953125E-3</v>
      </c>
      <c r="O122" s="96">
        <f t="shared" si="7"/>
        <v>0.103515625</v>
      </c>
      <c r="Q122" s="96">
        <f t="shared" si="4"/>
        <v>0</v>
      </c>
      <c r="R122" s="96">
        <f t="shared" si="5"/>
        <v>0</v>
      </c>
      <c r="S122" s="96">
        <f t="shared" si="6"/>
        <v>1</v>
      </c>
    </row>
    <row r="123" spans="1:19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5.4721076061178522</v>
      </c>
      <c r="H123">
        <v>7.8125E-3</v>
      </c>
      <c r="I123">
        <v>-0.83326497773977859</v>
      </c>
      <c r="J123">
        <v>-6.5098826385920202E-3</v>
      </c>
      <c r="L123" s="101"/>
      <c r="M123" s="101">
        <v>1.4889203939347078</v>
      </c>
      <c r="N123" s="96">
        <v>3.90625E-3</v>
      </c>
      <c r="O123" s="96">
        <f t="shared" si="7"/>
        <v>0.107421875</v>
      </c>
      <c r="Q123" s="96">
        <f t="shared" si="4"/>
        <v>0</v>
      </c>
      <c r="R123" s="96">
        <f t="shared" si="5"/>
        <v>0</v>
      </c>
      <c r="S123" s="96">
        <f t="shared" si="6"/>
        <v>1</v>
      </c>
    </row>
    <row r="124" spans="1:19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8.7553721697885649</v>
      </c>
      <c r="H124">
        <v>3.90625E-3</v>
      </c>
      <c r="I124">
        <v>-0.74688374212542807</v>
      </c>
      <c r="J124">
        <v>-2.9175146176774534E-3</v>
      </c>
      <c r="L124" s="101"/>
      <c r="M124" s="101">
        <v>1.4889203939347078</v>
      </c>
      <c r="N124" s="96">
        <v>1.953125E-3</v>
      </c>
      <c r="O124" s="96">
        <f t="shared" si="7"/>
        <v>0.109375</v>
      </c>
      <c r="Q124" s="96">
        <f t="shared" si="4"/>
        <v>0</v>
      </c>
      <c r="R124" s="96">
        <f t="shared" si="5"/>
        <v>0</v>
      </c>
      <c r="S124" s="96">
        <f t="shared" si="6"/>
        <v>1</v>
      </c>
    </row>
    <row r="125" spans="1:19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0</v>
      </c>
      <c r="H125">
        <v>1.953125E-3</v>
      </c>
      <c r="I125">
        <v>-1</v>
      </c>
      <c r="J125">
        <v>-1.953125E-3</v>
      </c>
      <c r="L125" s="101"/>
      <c r="M125" s="101">
        <v>1.5464651930333067</v>
      </c>
      <c r="N125" s="96">
        <v>4.8828125E-4</v>
      </c>
      <c r="O125" s="96">
        <f t="shared" si="7"/>
        <v>0.10986328125</v>
      </c>
      <c r="Q125" s="96">
        <f t="shared" si="4"/>
        <v>0</v>
      </c>
      <c r="R125" s="96">
        <f t="shared" si="5"/>
        <v>0</v>
      </c>
      <c r="S125" s="96">
        <f t="shared" si="6"/>
        <v>1</v>
      </c>
    </row>
    <row r="126" spans="1:19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4.3776860848942842</v>
      </c>
      <c r="H126">
        <v>3.90625E-3</v>
      </c>
      <c r="I126">
        <v>-0.86422435867396608</v>
      </c>
      <c r="J126">
        <v>-3.37587640107018E-3</v>
      </c>
      <c r="L126" s="101"/>
      <c r="M126" s="101">
        <v>1.5464651930333067</v>
      </c>
      <c r="N126" s="96">
        <v>9.765625E-4</v>
      </c>
      <c r="O126" s="96">
        <f t="shared" si="7"/>
        <v>0.11083984375</v>
      </c>
      <c r="Q126" s="96">
        <f t="shared" si="4"/>
        <v>0</v>
      </c>
      <c r="R126" s="96">
        <f t="shared" si="5"/>
        <v>0</v>
      </c>
      <c r="S126" s="96">
        <f t="shared" si="6"/>
        <v>1</v>
      </c>
    </row>
    <row r="127" spans="1:19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7.6609506485649943</v>
      </c>
      <c r="H127">
        <v>1.953125E-3</v>
      </c>
      <c r="I127">
        <v>-0.77463368830549395</v>
      </c>
      <c r="J127">
        <v>-1.5129564224716679E-3</v>
      </c>
      <c r="L127" s="101"/>
      <c r="M127" s="101">
        <v>1.5464651930333067</v>
      </c>
      <c r="N127" s="96">
        <v>4.8828125E-4</v>
      </c>
      <c r="O127" s="96">
        <f t="shared" si="7"/>
        <v>0.111328125</v>
      </c>
      <c r="Q127" s="96">
        <f t="shared" si="4"/>
        <v>0</v>
      </c>
      <c r="R127" s="96">
        <f t="shared" si="5"/>
        <v>0</v>
      </c>
      <c r="S127" s="96">
        <f t="shared" si="6"/>
        <v>1</v>
      </c>
    </row>
    <row r="128" spans="1:19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2.1888430424471399</v>
      </c>
      <c r="H128">
        <v>9.765625E-4</v>
      </c>
      <c r="I128">
        <v>-0.92963668100713748</v>
      </c>
      <c r="J128">
        <v>-9.0784832129603269E-4</v>
      </c>
      <c r="L128" s="101"/>
      <c r="M128" s="101">
        <v>1.6750354431765495</v>
      </c>
      <c r="N128" s="96">
        <v>9.765625E-4</v>
      </c>
      <c r="O128" s="96">
        <f t="shared" si="7"/>
        <v>0.1123046875</v>
      </c>
      <c r="Q128" s="96">
        <f t="shared" si="4"/>
        <v>0</v>
      </c>
      <c r="R128" s="96">
        <f t="shared" si="5"/>
        <v>0</v>
      </c>
      <c r="S128" s="96">
        <f t="shared" si="6"/>
        <v>1</v>
      </c>
    </row>
    <row r="129" spans="1:19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6.5665291273414237</v>
      </c>
      <c r="H129">
        <v>1.953125E-3</v>
      </c>
      <c r="I129">
        <v>-0.80341466444318776</v>
      </c>
      <c r="J129">
        <v>-1.5691692664906011E-3</v>
      </c>
      <c r="L129" s="101"/>
      <c r="M129" s="101">
        <v>1.6750354431765495</v>
      </c>
      <c r="N129" s="96">
        <v>1.953125E-3</v>
      </c>
      <c r="O129" s="96">
        <f t="shared" si="7"/>
        <v>0.1142578125</v>
      </c>
      <c r="Q129" s="96">
        <f t="shared" si="4"/>
        <v>0</v>
      </c>
      <c r="R129" s="96">
        <f t="shared" si="5"/>
        <v>0</v>
      </c>
      <c r="S129" s="96">
        <f t="shared" si="6"/>
        <v>1</v>
      </c>
    </row>
    <row r="130" spans="1:19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9.8497936910121364</v>
      </c>
      <c r="H130">
        <v>9.765625E-4</v>
      </c>
      <c r="I130">
        <v>-0.72012789099263674</v>
      </c>
      <c r="J130">
        <v>-7.0324989354749682E-4</v>
      </c>
      <c r="L130" s="101"/>
      <c r="M130" s="101">
        <v>1.6750354431765495</v>
      </c>
      <c r="N130" s="96">
        <v>9.765625E-4</v>
      </c>
      <c r="O130" s="96">
        <f t="shared" si="7"/>
        <v>0.115234375</v>
      </c>
      <c r="Q130" s="96">
        <f t="shared" si="4"/>
        <v>0</v>
      </c>
      <c r="R130" s="96">
        <f t="shared" si="5"/>
        <v>0</v>
      </c>
      <c r="S130" s="96">
        <f t="shared" si="6"/>
        <v>1</v>
      </c>
    </row>
    <row r="131" spans="1:19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1.0944215212235706</v>
      </c>
      <c r="H131">
        <v>1.953125E-3</v>
      </c>
      <c r="I131">
        <v>-0.96417668557538638</v>
      </c>
      <c r="J131">
        <v>-1.8831575890144265E-3</v>
      </c>
      <c r="L131" s="101"/>
      <c r="M131" s="101">
        <v>1.6808522765925888</v>
      </c>
      <c r="N131" s="96">
        <v>2.44140625E-4</v>
      </c>
      <c r="O131" s="96">
        <f t="shared" si="7"/>
        <v>0.115478515625</v>
      </c>
      <c r="Q131" s="96">
        <f t="shared" ref="Q131:Q194" si="8">IF(A131=3,1,0)</f>
        <v>0</v>
      </c>
      <c r="R131" s="96">
        <f t="shared" ref="R131:R194" si="9">IF(A131=2,1,0)</f>
        <v>0</v>
      </c>
      <c r="S131" s="96">
        <f t="shared" ref="S131:S194" si="10">IF(A131=1,1,0)</f>
        <v>1</v>
      </c>
    </row>
    <row r="132" spans="1:19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5.4721076061178522</v>
      </c>
      <c r="H132">
        <v>3.90625E-3</v>
      </c>
      <c r="I132">
        <v>-0.83326497773977859</v>
      </c>
      <c r="J132">
        <v>-3.2549413192960101E-3</v>
      </c>
      <c r="L132" s="101"/>
      <c r="M132" s="101">
        <v>1.6808522765925888</v>
      </c>
      <c r="N132" s="96">
        <v>4.8828125E-4</v>
      </c>
      <c r="O132" s="96">
        <f t="shared" ref="O132:O195" si="11">N132+O131</f>
        <v>0.115966796875</v>
      </c>
      <c r="Q132" s="96">
        <f t="shared" si="8"/>
        <v>0</v>
      </c>
      <c r="R132" s="96">
        <f t="shared" si="9"/>
        <v>0</v>
      </c>
      <c r="S132" s="96">
        <f t="shared" si="10"/>
        <v>1</v>
      </c>
    </row>
    <row r="133" spans="1:19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8.7553721697885649</v>
      </c>
      <c r="H133">
        <v>1.953125E-3</v>
      </c>
      <c r="I133">
        <v>-0.74688374212542807</v>
      </c>
      <c r="J133">
        <v>-1.4587573088387267E-3</v>
      </c>
      <c r="L133" s="101"/>
      <c r="M133" s="101">
        <v>1.6808522765925888</v>
      </c>
      <c r="N133" s="96">
        <v>2.44140625E-4</v>
      </c>
      <c r="O133" s="96">
        <f t="shared" si="11"/>
        <v>0.1162109375</v>
      </c>
      <c r="Q133" s="96">
        <f t="shared" si="8"/>
        <v>0</v>
      </c>
      <c r="R133" s="96">
        <f t="shared" si="9"/>
        <v>0</v>
      </c>
      <c r="S133" s="96">
        <f t="shared" si="10"/>
        <v>1</v>
      </c>
    </row>
    <row r="134" spans="1:19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0</v>
      </c>
      <c r="H134">
        <v>9.765625E-4</v>
      </c>
      <c r="I134">
        <v>-1</v>
      </c>
      <c r="J134">
        <v>-9.765625E-4</v>
      </c>
      <c r="L134" s="101"/>
      <c r="M134" s="101">
        <v>1.9033417760409903</v>
      </c>
      <c r="N134" s="96">
        <v>9.765625E-4</v>
      </c>
      <c r="O134" s="96">
        <f t="shared" si="11"/>
        <v>0.1171875</v>
      </c>
      <c r="Q134" s="96">
        <f t="shared" si="8"/>
        <v>0</v>
      </c>
      <c r="R134" s="96">
        <f t="shared" si="9"/>
        <v>0</v>
      </c>
      <c r="S134" s="96">
        <f t="shared" si="10"/>
        <v>1</v>
      </c>
    </row>
    <row r="135" spans="1:19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4.3776860848942842</v>
      </c>
      <c r="H135">
        <v>1.953125E-3</v>
      </c>
      <c r="I135">
        <v>-0.86422435867396608</v>
      </c>
      <c r="J135">
        <v>-1.68793820053509E-3</v>
      </c>
      <c r="L135" s="101"/>
      <c r="M135" s="101">
        <v>1.9033417760409903</v>
      </c>
      <c r="N135" s="96">
        <v>1.953125E-3</v>
      </c>
      <c r="O135" s="96">
        <f t="shared" si="11"/>
        <v>0.119140625</v>
      </c>
      <c r="Q135" s="96">
        <f t="shared" si="8"/>
        <v>0</v>
      </c>
      <c r="R135" s="96">
        <f t="shared" si="9"/>
        <v>0</v>
      </c>
      <c r="S135" s="96">
        <f t="shared" si="10"/>
        <v>1</v>
      </c>
    </row>
    <row r="136" spans="1:19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7.6609506485649943</v>
      </c>
      <c r="H136">
        <v>9.765625E-4</v>
      </c>
      <c r="I136">
        <v>-0.77463368830549395</v>
      </c>
      <c r="J136">
        <v>-7.5647821123583394E-4</v>
      </c>
      <c r="L136" s="101"/>
      <c r="M136" s="101">
        <v>1.9033417760409903</v>
      </c>
      <c r="N136" s="96">
        <v>9.765625E-4</v>
      </c>
      <c r="O136" s="96">
        <f t="shared" si="11"/>
        <v>0.1201171875</v>
      </c>
      <c r="Q136" s="96">
        <f t="shared" si="8"/>
        <v>0</v>
      </c>
      <c r="R136" s="96">
        <f t="shared" si="9"/>
        <v>0</v>
      </c>
      <c r="S136" s="96">
        <f t="shared" si="10"/>
        <v>1</v>
      </c>
    </row>
    <row r="137" spans="1:19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2.4624484227530323</v>
      </c>
      <c r="H137">
        <v>4.8828125E-4</v>
      </c>
      <c r="I137">
        <v>-0.92119677299031688</v>
      </c>
      <c r="J137">
        <v>-4.4980311181167816E-4</v>
      </c>
      <c r="L137" s="101"/>
      <c r="M137" s="101">
        <v>1.933081491291633</v>
      </c>
      <c r="N137" s="96">
        <v>1.953125E-3</v>
      </c>
      <c r="O137" s="96">
        <f t="shared" si="11"/>
        <v>0.1220703125</v>
      </c>
      <c r="Q137" s="96">
        <f t="shared" si="8"/>
        <v>0</v>
      </c>
      <c r="R137" s="96">
        <f t="shared" si="9"/>
        <v>0</v>
      </c>
      <c r="S137" s="96">
        <f t="shared" si="10"/>
        <v>1</v>
      </c>
    </row>
    <row r="138" spans="1:19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7.3873452682591019</v>
      </c>
      <c r="H138">
        <v>9.765625E-4</v>
      </c>
      <c r="I138">
        <v>-0.78173080074413859</v>
      </c>
      <c r="J138">
        <v>-7.6340898510169784E-4</v>
      </c>
      <c r="L138" s="101"/>
      <c r="M138" s="101">
        <v>1.933081491291633</v>
      </c>
      <c r="N138" s="96">
        <v>3.90625E-3</v>
      </c>
      <c r="O138" s="96">
        <f t="shared" si="11"/>
        <v>0.1259765625</v>
      </c>
      <c r="Q138" s="96">
        <f t="shared" si="8"/>
        <v>0</v>
      </c>
      <c r="R138" s="96">
        <f t="shared" si="9"/>
        <v>0</v>
      </c>
      <c r="S138" s="96">
        <f t="shared" si="10"/>
        <v>1</v>
      </c>
    </row>
    <row r="139" spans="1:19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11.081017902388654</v>
      </c>
      <c r="H139">
        <v>4.8828125E-4</v>
      </c>
      <c r="I139">
        <v>-0.69117152181911901</v>
      </c>
      <c r="J139">
        <v>-3.374860946382417E-4</v>
      </c>
      <c r="L139" s="101"/>
      <c r="M139" s="101">
        <v>1.933081491291633</v>
      </c>
      <c r="N139" s="96">
        <v>1.953125E-3</v>
      </c>
      <c r="O139" s="96">
        <f t="shared" si="11"/>
        <v>0.1279296875</v>
      </c>
      <c r="Q139" s="96">
        <f t="shared" si="8"/>
        <v>0</v>
      </c>
      <c r="R139" s="96">
        <f t="shared" si="9"/>
        <v>0</v>
      </c>
      <c r="S139" s="96">
        <f t="shared" si="10"/>
        <v>1</v>
      </c>
    </row>
    <row r="140" spans="1:19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1.2312242113765157</v>
      </c>
      <c r="H140">
        <v>9.765625E-4</v>
      </c>
      <c r="I140">
        <v>-0.95978996295560248</v>
      </c>
      <c r="J140">
        <v>-9.3729488569883055E-4</v>
      </c>
      <c r="L140" s="101"/>
      <c r="M140" s="101">
        <v>1.9355965121151222</v>
      </c>
      <c r="N140" s="96">
        <v>4.8828125E-4</v>
      </c>
      <c r="O140" s="96">
        <f t="shared" si="11"/>
        <v>0.12841796875</v>
      </c>
      <c r="Q140" s="96">
        <f t="shared" si="8"/>
        <v>0</v>
      </c>
      <c r="R140" s="96">
        <f t="shared" si="9"/>
        <v>0</v>
      </c>
      <c r="S140" s="96">
        <f t="shared" si="10"/>
        <v>1</v>
      </c>
    </row>
    <row r="141" spans="1:19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6.1561210568825846</v>
      </c>
      <c r="H141">
        <v>1.953125E-3</v>
      </c>
      <c r="I141">
        <v>-0.81448111661519795</v>
      </c>
      <c r="J141">
        <v>-1.5907834308890585E-3</v>
      </c>
      <c r="L141" s="101"/>
      <c r="M141" s="101">
        <v>1.9355965121151222</v>
      </c>
      <c r="N141" s="96">
        <v>9.765625E-4</v>
      </c>
      <c r="O141" s="96">
        <f t="shared" si="11"/>
        <v>0.12939453125</v>
      </c>
      <c r="Q141" s="96">
        <f t="shared" si="8"/>
        <v>0</v>
      </c>
      <c r="R141" s="96">
        <f t="shared" si="9"/>
        <v>0</v>
      </c>
      <c r="S141" s="96">
        <f t="shared" si="10"/>
        <v>1</v>
      </c>
    </row>
    <row r="142" spans="1:19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9.8497936910121382</v>
      </c>
      <c r="H142">
        <v>9.765625E-4</v>
      </c>
      <c r="I142">
        <v>-0.72012789099263674</v>
      </c>
      <c r="J142">
        <v>-7.0324989354749682E-4</v>
      </c>
      <c r="L142" s="101"/>
      <c r="M142" s="101">
        <v>1.9355965121151222</v>
      </c>
      <c r="N142" s="96">
        <v>4.8828125E-4</v>
      </c>
      <c r="O142" s="96">
        <f t="shared" si="11"/>
        <v>0.1298828125</v>
      </c>
      <c r="Q142" s="96">
        <f t="shared" si="8"/>
        <v>0</v>
      </c>
      <c r="R142" s="96">
        <f t="shared" si="9"/>
        <v>0</v>
      </c>
      <c r="S142" s="96">
        <f t="shared" si="10"/>
        <v>1</v>
      </c>
    </row>
    <row r="143" spans="1:19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0</v>
      </c>
      <c r="H143">
        <v>4.8828125E-4</v>
      </c>
      <c r="I143">
        <v>-1</v>
      </c>
      <c r="J143">
        <v>-4.8828125E-4</v>
      </c>
      <c r="L143" s="101"/>
      <c r="M143" s="101">
        <v>2.0687412634985751</v>
      </c>
      <c r="N143" s="96">
        <v>4.8828125E-4</v>
      </c>
      <c r="O143" s="96">
        <f t="shared" si="11"/>
        <v>0.13037109375</v>
      </c>
      <c r="Q143" s="96">
        <f t="shared" si="8"/>
        <v>0</v>
      </c>
      <c r="R143" s="96">
        <f t="shared" si="9"/>
        <v>0</v>
      </c>
      <c r="S143" s="96">
        <f t="shared" si="10"/>
        <v>1</v>
      </c>
    </row>
    <row r="144" spans="1:19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4.92489684550607</v>
      </c>
      <c r="H144">
        <v>9.765625E-4</v>
      </c>
      <c r="I144">
        <v>-0.84860349456777318</v>
      </c>
      <c r="J144">
        <v>-8.2871435016384099E-4</v>
      </c>
      <c r="L144" s="101"/>
      <c r="M144" s="101">
        <v>2.0687412634985751</v>
      </c>
      <c r="N144" s="96">
        <v>9.765625E-4</v>
      </c>
      <c r="O144" s="96">
        <f t="shared" si="11"/>
        <v>0.13134765625</v>
      </c>
      <c r="Q144" s="96">
        <f t="shared" si="8"/>
        <v>0</v>
      </c>
      <c r="R144" s="96">
        <f t="shared" si="9"/>
        <v>0</v>
      </c>
      <c r="S144" s="96">
        <f t="shared" si="10"/>
        <v>1</v>
      </c>
    </row>
    <row r="145" spans="1:19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8.6185694796356138</v>
      </c>
      <c r="H145">
        <v>4.8828125E-4</v>
      </c>
      <c r="I145">
        <v>-0.7502973762874704</v>
      </c>
      <c r="J145">
        <v>-3.663561407653664E-4</v>
      </c>
      <c r="L145" s="101"/>
      <c r="M145" s="101">
        <v>2.0687412634985751</v>
      </c>
      <c r="N145" s="96">
        <v>4.8828125E-4</v>
      </c>
      <c r="O145" s="96">
        <f t="shared" si="11"/>
        <v>0.1318359375</v>
      </c>
      <c r="Q145" s="96">
        <f t="shared" si="8"/>
        <v>0</v>
      </c>
      <c r="R145" s="96">
        <f t="shared" si="9"/>
        <v>0</v>
      </c>
      <c r="S145" s="96">
        <f t="shared" si="10"/>
        <v>1</v>
      </c>
    </row>
    <row r="146" spans="1:19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2.4624484227530323</v>
      </c>
      <c r="H146">
        <v>9.765625E-4</v>
      </c>
      <c r="I146">
        <v>-0.92119677299031688</v>
      </c>
      <c r="J146">
        <v>-8.9960622362335633E-4</v>
      </c>
      <c r="L146" s="101"/>
      <c r="M146" s="101">
        <v>2.1010653457407376</v>
      </c>
      <c r="N146" s="96">
        <v>9.765625E-4</v>
      </c>
      <c r="O146" s="96">
        <f t="shared" si="11"/>
        <v>0.1328125</v>
      </c>
      <c r="Q146" s="96">
        <f t="shared" si="8"/>
        <v>0</v>
      </c>
      <c r="R146" s="96">
        <f t="shared" si="9"/>
        <v>0</v>
      </c>
      <c r="S146" s="96">
        <f t="shared" si="10"/>
        <v>1</v>
      </c>
    </row>
    <row r="147" spans="1:19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7.3873452682591019</v>
      </c>
      <c r="H147">
        <v>1.953125E-3</v>
      </c>
      <c r="I147">
        <v>-0.78173080074413859</v>
      </c>
      <c r="J147">
        <v>-1.5268179702033957E-3</v>
      </c>
      <c r="L147" s="101"/>
      <c r="M147" s="101">
        <v>2.1010653457407376</v>
      </c>
      <c r="N147" s="96">
        <v>1.953125E-3</v>
      </c>
      <c r="O147" s="96">
        <f t="shared" si="11"/>
        <v>0.134765625</v>
      </c>
      <c r="Q147" s="96">
        <f t="shared" si="8"/>
        <v>0</v>
      </c>
      <c r="R147" s="96">
        <f t="shared" si="9"/>
        <v>0</v>
      </c>
      <c r="S147" s="96">
        <f t="shared" si="10"/>
        <v>1</v>
      </c>
    </row>
    <row r="148" spans="1:19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11.081017902388654</v>
      </c>
      <c r="H148">
        <v>9.765625E-4</v>
      </c>
      <c r="I148">
        <v>-0.69117152181911901</v>
      </c>
      <c r="J148">
        <v>-6.749721892764834E-4</v>
      </c>
      <c r="L148" s="101"/>
      <c r="M148" s="101">
        <v>2.1010653457407376</v>
      </c>
      <c r="N148" s="96">
        <v>9.765625E-4</v>
      </c>
      <c r="O148" s="96">
        <f t="shared" si="11"/>
        <v>0.1357421875</v>
      </c>
      <c r="Q148" s="96">
        <f t="shared" si="8"/>
        <v>0</v>
      </c>
      <c r="R148" s="96">
        <f t="shared" si="9"/>
        <v>0</v>
      </c>
      <c r="S148" s="96">
        <f t="shared" si="10"/>
        <v>1</v>
      </c>
    </row>
    <row r="149" spans="1:19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1.2312242113765157</v>
      </c>
      <c r="H149">
        <v>1.953125E-3</v>
      </c>
      <c r="I149">
        <v>-0.95978996295560248</v>
      </c>
      <c r="J149">
        <v>-1.8745897713976611E-3</v>
      </c>
      <c r="L149" s="101"/>
      <c r="M149" s="101">
        <v>2.1412594980461193</v>
      </c>
      <c r="N149" s="96">
        <v>4.8828125E-4</v>
      </c>
      <c r="O149" s="96">
        <f t="shared" si="11"/>
        <v>0.13623046875</v>
      </c>
      <c r="Q149" s="96">
        <f t="shared" si="8"/>
        <v>0</v>
      </c>
      <c r="R149" s="96">
        <f t="shared" si="9"/>
        <v>0</v>
      </c>
      <c r="S149" s="96">
        <f t="shared" si="10"/>
        <v>1</v>
      </c>
    </row>
    <row r="150" spans="1:19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6.1561210568825846</v>
      </c>
      <c r="H150">
        <v>3.90625E-3</v>
      </c>
      <c r="I150">
        <v>-0.81448111661519795</v>
      </c>
      <c r="J150">
        <v>-3.181566861778117E-3</v>
      </c>
      <c r="L150" s="101"/>
      <c r="M150" s="101">
        <v>2.1412594980461193</v>
      </c>
      <c r="N150" s="96">
        <v>9.765625E-4</v>
      </c>
      <c r="O150" s="96">
        <f t="shared" si="11"/>
        <v>0.13720703125</v>
      </c>
      <c r="Q150" s="96">
        <f t="shared" si="8"/>
        <v>0</v>
      </c>
      <c r="R150" s="96">
        <f t="shared" si="9"/>
        <v>0</v>
      </c>
      <c r="S150" s="96">
        <f t="shared" si="10"/>
        <v>1</v>
      </c>
    </row>
    <row r="151" spans="1:19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9.8497936910121382</v>
      </c>
      <c r="H151">
        <v>1.953125E-3</v>
      </c>
      <c r="I151">
        <v>-0.72012789099263674</v>
      </c>
      <c r="J151">
        <v>-1.4064997870949936E-3</v>
      </c>
      <c r="L151" s="101"/>
      <c r="M151" s="101">
        <v>2.1412594980461193</v>
      </c>
      <c r="N151" s="96">
        <v>4.8828125E-4</v>
      </c>
      <c r="O151" s="96">
        <f t="shared" si="11"/>
        <v>0.1376953125</v>
      </c>
      <c r="Q151" s="96">
        <f t="shared" si="8"/>
        <v>0</v>
      </c>
      <c r="R151" s="96">
        <f t="shared" si="9"/>
        <v>0</v>
      </c>
      <c r="S151" s="96">
        <f t="shared" si="10"/>
        <v>1</v>
      </c>
    </row>
    <row r="152" spans="1:19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0</v>
      </c>
      <c r="H152">
        <v>9.765625E-4</v>
      </c>
      <c r="I152">
        <v>-1</v>
      </c>
      <c r="J152">
        <v>-9.765625E-4</v>
      </c>
      <c r="L152" s="101"/>
      <c r="M152" s="101">
        <v>2.3273339214358928</v>
      </c>
      <c r="N152" s="96">
        <v>2.44140625E-4</v>
      </c>
      <c r="O152" s="96">
        <f t="shared" si="11"/>
        <v>0.137939453125</v>
      </c>
      <c r="Q152" s="96">
        <f t="shared" si="8"/>
        <v>0</v>
      </c>
      <c r="R152" s="96">
        <f t="shared" si="9"/>
        <v>0</v>
      </c>
      <c r="S152" s="96">
        <f t="shared" si="10"/>
        <v>1</v>
      </c>
    </row>
    <row r="153" spans="1:19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4.92489684550607</v>
      </c>
      <c r="H153">
        <v>1.953125E-3</v>
      </c>
      <c r="I153">
        <v>-0.84860349456777318</v>
      </c>
      <c r="J153">
        <v>-1.657428700327682E-3</v>
      </c>
      <c r="L153" s="101"/>
      <c r="M153" s="101">
        <v>2.3273339214358928</v>
      </c>
      <c r="N153" s="96">
        <v>4.8828125E-4</v>
      </c>
      <c r="O153" s="96">
        <f t="shared" si="11"/>
        <v>0.138427734375</v>
      </c>
      <c r="Q153" s="96">
        <f t="shared" si="8"/>
        <v>0</v>
      </c>
      <c r="R153" s="96">
        <f t="shared" si="9"/>
        <v>0</v>
      </c>
      <c r="S153" s="96">
        <f t="shared" si="10"/>
        <v>1</v>
      </c>
    </row>
    <row r="154" spans="1:19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8.6185694796356138</v>
      </c>
      <c r="H154">
        <v>9.765625E-4</v>
      </c>
      <c r="I154">
        <v>-0.7502973762874704</v>
      </c>
      <c r="J154">
        <v>-7.3271228153073281E-4</v>
      </c>
      <c r="L154" s="101"/>
      <c r="M154" s="101">
        <v>2.3273339214358928</v>
      </c>
      <c r="N154" s="96">
        <v>2.44140625E-4</v>
      </c>
      <c r="O154" s="96">
        <f t="shared" si="11"/>
        <v>0.138671875</v>
      </c>
      <c r="Q154" s="96">
        <f t="shared" si="8"/>
        <v>0</v>
      </c>
      <c r="R154" s="96">
        <f t="shared" si="9"/>
        <v>0</v>
      </c>
      <c r="S154" s="96">
        <f t="shared" si="10"/>
        <v>1</v>
      </c>
    </row>
    <row r="155" spans="1:19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2.4624484227530323</v>
      </c>
      <c r="H155">
        <v>4.8828125E-4</v>
      </c>
      <c r="I155">
        <v>-0.92119677299031688</v>
      </c>
      <c r="J155">
        <v>-4.4980311181167816E-4</v>
      </c>
      <c r="L155" s="101"/>
      <c r="M155" s="101">
        <v>2.3791772200512344</v>
      </c>
      <c r="N155" s="96">
        <v>3.90625E-3</v>
      </c>
      <c r="O155" s="96">
        <f t="shared" si="11"/>
        <v>0.142578125</v>
      </c>
      <c r="Q155" s="96">
        <f t="shared" si="8"/>
        <v>0</v>
      </c>
      <c r="R155" s="96">
        <f t="shared" si="9"/>
        <v>0</v>
      </c>
      <c r="S155" s="96">
        <f t="shared" si="10"/>
        <v>1</v>
      </c>
    </row>
    <row r="156" spans="1:19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7.3873452682591019</v>
      </c>
      <c r="H156">
        <v>9.765625E-4</v>
      </c>
      <c r="I156">
        <v>-0.78173080074413859</v>
      </c>
      <c r="J156">
        <v>-7.6340898510169784E-4</v>
      </c>
      <c r="L156" s="101"/>
      <c r="M156" s="101">
        <v>2.3791772200512344</v>
      </c>
      <c r="N156" s="96">
        <v>7.8125E-3</v>
      </c>
      <c r="O156" s="96">
        <f t="shared" si="11"/>
        <v>0.150390625</v>
      </c>
      <c r="Q156" s="96">
        <f t="shared" si="8"/>
        <v>0</v>
      </c>
      <c r="R156" s="96">
        <f t="shared" si="9"/>
        <v>0</v>
      </c>
      <c r="S156" s="96">
        <f t="shared" si="10"/>
        <v>1</v>
      </c>
    </row>
    <row r="157" spans="1:19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11.081017902388654</v>
      </c>
      <c r="H157">
        <v>4.8828125E-4</v>
      </c>
      <c r="I157">
        <v>-0.69117152181911901</v>
      </c>
      <c r="J157">
        <v>-3.374860946382417E-4</v>
      </c>
      <c r="L157" s="101"/>
      <c r="M157" s="101">
        <v>2.3791772200512344</v>
      </c>
      <c r="N157" s="96">
        <v>3.90625E-3</v>
      </c>
      <c r="O157" s="96">
        <f t="shared" si="11"/>
        <v>0.154296875</v>
      </c>
      <c r="Q157" s="96">
        <f t="shared" si="8"/>
        <v>0</v>
      </c>
      <c r="R157" s="96">
        <f t="shared" si="9"/>
        <v>0</v>
      </c>
      <c r="S157" s="96">
        <f t="shared" si="10"/>
        <v>1</v>
      </c>
    </row>
    <row r="158" spans="1:19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1.2312242113765157</v>
      </c>
      <c r="H158">
        <v>9.765625E-4</v>
      </c>
      <c r="I158">
        <v>-0.95978996295560248</v>
      </c>
      <c r="J158">
        <v>-9.3729488569883055E-4</v>
      </c>
      <c r="L158" s="101"/>
      <c r="M158" s="101">
        <v>2.3822726302955366</v>
      </c>
      <c r="N158" s="96">
        <v>9.765625E-4</v>
      </c>
      <c r="O158" s="96">
        <f t="shared" si="11"/>
        <v>0.1552734375</v>
      </c>
      <c r="Q158" s="96">
        <f t="shared" si="8"/>
        <v>0</v>
      </c>
      <c r="R158" s="96">
        <f t="shared" si="9"/>
        <v>0</v>
      </c>
      <c r="S158" s="96">
        <f t="shared" si="10"/>
        <v>1</v>
      </c>
    </row>
    <row r="159" spans="1:19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6.1561210568825846</v>
      </c>
      <c r="H159">
        <v>1.953125E-3</v>
      </c>
      <c r="I159">
        <v>-0.81448111661519795</v>
      </c>
      <c r="J159">
        <v>-1.5907834308890585E-3</v>
      </c>
      <c r="L159" s="101"/>
      <c r="M159" s="101">
        <v>2.3822726302955366</v>
      </c>
      <c r="N159" s="96">
        <v>1.953125E-3</v>
      </c>
      <c r="O159" s="96">
        <f t="shared" si="11"/>
        <v>0.1572265625</v>
      </c>
      <c r="Q159" s="96">
        <f t="shared" si="8"/>
        <v>0</v>
      </c>
      <c r="R159" s="96">
        <f t="shared" si="9"/>
        <v>0</v>
      </c>
      <c r="S159" s="96">
        <f t="shared" si="10"/>
        <v>1</v>
      </c>
    </row>
    <row r="160" spans="1:19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9.8497936910121382</v>
      </c>
      <c r="H160">
        <v>9.765625E-4</v>
      </c>
      <c r="I160">
        <v>-0.72012789099263674</v>
      </c>
      <c r="J160">
        <v>-7.0324989354749682E-4</v>
      </c>
      <c r="L160" s="101"/>
      <c r="M160" s="101">
        <v>2.3822726302955366</v>
      </c>
      <c r="N160" s="96">
        <v>9.765625E-4</v>
      </c>
      <c r="O160" s="96">
        <f t="shared" si="11"/>
        <v>0.158203125</v>
      </c>
      <c r="Q160" s="96">
        <f t="shared" si="8"/>
        <v>0</v>
      </c>
      <c r="R160" s="96">
        <f t="shared" si="9"/>
        <v>0</v>
      </c>
      <c r="S160" s="96">
        <f t="shared" si="10"/>
        <v>1</v>
      </c>
    </row>
    <row r="161" spans="1:19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0</v>
      </c>
      <c r="H161">
        <v>4.8828125E-4</v>
      </c>
      <c r="I161">
        <v>-1</v>
      </c>
      <c r="J161">
        <v>-4.8828125E-4</v>
      </c>
      <c r="L161" s="101"/>
      <c r="M161" s="101">
        <v>2.4194956401439001</v>
      </c>
      <c r="N161" s="96">
        <v>4.8828125E-4</v>
      </c>
      <c r="O161" s="96">
        <f t="shared" si="11"/>
        <v>0.15869140625</v>
      </c>
      <c r="Q161" s="96">
        <f t="shared" si="8"/>
        <v>0</v>
      </c>
      <c r="R161" s="96">
        <f t="shared" si="9"/>
        <v>0</v>
      </c>
      <c r="S161" s="96">
        <f t="shared" si="10"/>
        <v>1</v>
      </c>
    </row>
    <row r="162" spans="1:19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4.92489684550607</v>
      </c>
      <c r="H162">
        <v>9.765625E-4</v>
      </c>
      <c r="I162">
        <v>-0.84860349456777318</v>
      </c>
      <c r="J162">
        <v>-8.2871435016384099E-4</v>
      </c>
      <c r="L162" s="101"/>
      <c r="M162" s="101">
        <v>2.4194956401439001</v>
      </c>
      <c r="N162" s="96">
        <v>9.765625E-4</v>
      </c>
      <c r="O162" s="96">
        <f t="shared" si="11"/>
        <v>0.15966796875</v>
      </c>
      <c r="Q162" s="96">
        <f t="shared" si="8"/>
        <v>0</v>
      </c>
      <c r="R162" s="96">
        <f t="shared" si="9"/>
        <v>0</v>
      </c>
      <c r="S162" s="96">
        <f t="shared" si="10"/>
        <v>1</v>
      </c>
    </row>
    <row r="163" spans="1:19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8.6185694796356138</v>
      </c>
      <c r="H163">
        <v>4.8828125E-4</v>
      </c>
      <c r="I163">
        <v>-0.7502973762874704</v>
      </c>
      <c r="J163">
        <v>-3.663561407653664E-4</v>
      </c>
      <c r="L163" s="101"/>
      <c r="M163" s="101">
        <v>2.4194956401439001</v>
      </c>
      <c r="N163" s="96">
        <v>4.8828125E-4</v>
      </c>
      <c r="O163" s="96">
        <f t="shared" si="11"/>
        <v>0.16015625</v>
      </c>
      <c r="Q163" s="96">
        <f t="shared" si="8"/>
        <v>0</v>
      </c>
      <c r="R163" s="96">
        <f t="shared" si="9"/>
        <v>0</v>
      </c>
      <c r="S163" s="96">
        <f t="shared" si="10"/>
        <v>1</v>
      </c>
    </row>
    <row r="164" spans="1:19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1.9329801180814783</v>
      </c>
      <c r="H164">
        <v>2.44140625E-4</v>
      </c>
      <c r="I164">
        <v>-0.93759924012864448</v>
      </c>
      <c r="J164">
        <v>-2.2890606448453234E-4</v>
      </c>
      <c r="L164" s="101"/>
      <c r="M164" s="101">
        <v>2.4194956401439036</v>
      </c>
      <c r="N164" s="96">
        <v>9.765625E-4</v>
      </c>
      <c r="O164" s="96">
        <f t="shared" si="11"/>
        <v>0.1611328125</v>
      </c>
      <c r="Q164" s="96">
        <f t="shared" si="8"/>
        <v>0</v>
      </c>
      <c r="R164" s="96">
        <f t="shared" si="9"/>
        <v>0</v>
      </c>
      <c r="S164" s="96">
        <f t="shared" si="10"/>
        <v>1</v>
      </c>
    </row>
    <row r="165" spans="1:19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5.7989403542444391</v>
      </c>
      <c r="H165">
        <v>4.8828125E-4</v>
      </c>
      <c r="I165">
        <v>-0.82423630538312287</v>
      </c>
      <c r="J165">
        <v>-4.0245913348785296E-4</v>
      </c>
      <c r="L165" s="101"/>
      <c r="M165" s="101">
        <v>2.4194956401439036</v>
      </c>
      <c r="N165" s="96">
        <v>1.953125E-3</v>
      </c>
      <c r="O165" s="96">
        <f t="shared" si="11"/>
        <v>0.1630859375</v>
      </c>
      <c r="Q165" s="96">
        <f t="shared" si="8"/>
        <v>0</v>
      </c>
      <c r="R165" s="96">
        <f t="shared" si="9"/>
        <v>0</v>
      </c>
      <c r="S165" s="96">
        <f t="shared" si="10"/>
        <v>1</v>
      </c>
    </row>
    <row r="166" spans="1:19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8.69841053136666</v>
      </c>
      <c r="H166">
        <v>2.44140625E-4</v>
      </c>
      <c r="I166">
        <v>-0.7483032133444889</v>
      </c>
      <c r="J166">
        <v>-1.8269121419543186E-4</v>
      </c>
      <c r="L166" s="101"/>
      <c r="M166" s="101">
        <v>2.4194956401439036</v>
      </c>
      <c r="N166" s="96">
        <v>9.765625E-4</v>
      </c>
      <c r="O166" s="96">
        <f t="shared" si="11"/>
        <v>0.1640625</v>
      </c>
      <c r="Q166" s="96">
        <f t="shared" si="8"/>
        <v>0</v>
      </c>
      <c r="R166" s="96">
        <f t="shared" si="9"/>
        <v>0</v>
      </c>
      <c r="S166" s="96">
        <f t="shared" si="10"/>
        <v>1</v>
      </c>
    </row>
    <row r="167" spans="1:19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0.96649005904074003</v>
      </c>
      <c r="H167">
        <v>4.8828125E-4</v>
      </c>
      <c r="I167">
        <v>-0.96829708257778224</v>
      </c>
      <c r="J167">
        <v>-4.7280130985243274E-4</v>
      </c>
      <c r="L167" s="101"/>
      <c r="M167" s="101">
        <v>2.5801089173508185</v>
      </c>
      <c r="N167" s="96">
        <v>1.953125E-3</v>
      </c>
      <c r="O167" s="96">
        <f t="shared" si="11"/>
        <v>0.166015625</v>
      </c>
      <c r="Q167" s="96">
        <f t="shared" si="8"/>
        <v>0</v>
      </c>
      <c r="R167" s="96">
        <f t="shared" si="9"/>
        <v>0</v>
      </c>
      <c r="S167" s="96">
        <f t="shared" si="10"/>
        <v>1</v>
      </c>
    </row>
    <row r="168" spans="1:19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4.8324502952037012</v>
      </c>
      <c r="H168">
        <v>9.765625E-4</v>
      </c>
      <c r="I168">
        <v>-0.85122254338395453</v>
      </c>
      <c r="J168">
        <v>-8.312720150233931E-4</v>
      </c>
      <c r="L168" s="101"/>
      <c r="M168" s="101">
        <v>2.5801089173508185</v>
      </c>
      <c r="N168" s="96">
        <v>3.90625E-3</v>
      </c>
      <c r="O168" s="96">
        <f t="shared" si="11"/>
        <v>0.169921875</v>
      </c>
      <c r="Q168" s="96">
        <f t="shared" si="8"/>
        <v>0</v>
      </c>
      <c r="R168" s="96">
        <f t="shared" si="9"/>
        <v>0</v>
      </c>
      <c r="S168" s="96">
        <f t="shared" si="10"/>
        <v>1</v>
      </c>
    </row>
    <row r="169" spans="1:19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7.7319204723259212</v>
      </c>
      <c r="H169">
        <v>4.8828125E-4</v>
      </c>
      <c r="I169">
        <v>-0.77280333361365727</v>
      </c>
      <c r="J169">
        <v>-3.7734537774104359E-4</v>
      </c>
      <c r="L169" s="101"/>
      <c r="M169" s="101">
        <v>2.5801089173508185</v>
      </c>
      <c r="N169" s="96">
        <v>1.953125E-3</v>
      </c>
      <c r="O169" s="96">
        <f t="shared" si="11"/>
        <v>0.171875</v>
      </c>
      <c r="Q169" s="96">
        <f t="shared" si="8"/>
        <v>0</v>
      </c>
      <c r="R169" s="96">
        <f t="shared" si="9"/>
        <v>0</v>
      </c>
      <c r="S169" s="96">
        <f t="shared" si="10"/>
        <v>1</v>
      </c>
    </row>
    <row r="170" spans="1:19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0</v>
      </c>
      <c r="H170">
        <v>2.44140625E-4</v>
      </c>
      <c r="I170">
        <v>-1</v>
      </c>
      <c r="J170">
        <v>-2.44140625E-4</v>
      </c>
      <c r="L170" s="101"/>
      <c r="M170" s="101">
        <v>2.6614452041582859</v>
      </c>
      <c r="N170" s="96">
        <v>4.8828125E-4</v>
      </c>
      <c r="O170" s="96">
        <f t="shared" si="11"/>
        <v>0.17236328125</v>
      </c>
      <c r="Q170" s="96">
        <f t="shared" si="8"/>
        <v>0</v>
      </c>
      <c r="R170" s="96">
        <f t="shared" si="9"/>
        <v>0</v>
      </c>
      <c r="S170" s="96">
        <f t="shared" si="10"/>
        <v>1</v>
      </c>
    </row>
    <row r="171" spans="1:19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3.8659602361629601</v>
      </c>
      <c r="H171">
        <v>4.8828125E-4</v>
      </c>
      <c r="I171">
        <v>-0.87909233508981144</v>
      </c>
      <c r="J171">
        <v>-4.2924430424307199E-4</v>
      </c>
      <c r="L171" s="101"/>
      <c r="M171" s="101">
        <v>2.6614452041582859</v>
      </c>
      <c r="N171" s="96">
        <v>9.765625E-4</v>
      </c>
      <c r="O171" s="96">
        <f t="shared" si="11"/>
        <v>0.17333984375</v>
      </c>
      <c r="Q171" s="96">
        <f t="shared" si="8"/>
        <v>0</v>
      </c>
      <c r="R171" s="96">
        <f t="shared" si="9"/>
        <v>0</v>
      </c>
      <c r="S171" s="96">
        <f t="shared" si="10"/>
        <v>1</v>
      </c>
    </row>
    <row r="172" spans="1:19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6.7654304132851788</v>
      </c>
      <c r="H172">
        <v>2.44140625E-4</v>
      </c>
      <c r="I172">
        <v>-0.79810560985716783</v>
      </c>
      <c r="J172">
        <v>-1.9485000240653511E-4</v>
      </c>
      <c r="L172" s="101"/>
      <c r="M172" s="101">
        <v>2.6614452041582859</v>
      </c>
      <c r="N172" s="96">
        <v>4.8828125E-4</v>
      </c>
      <c r="O172" s="96">
        <f t="shared" si="11"/>
        <v>0.173828125</v>
      </c>
      <c r="Q172" s="96">
        <f t="shared" si="8"/>
        <v>0</v>
      </c>
      <c r="R172" s="96">
        <f t="shared" si="9"/>
        <v>0</v>
      </c>
      <c r="S172" s="96">
        <f t="shared" si="10"/>
        <v>1</v>
      </c>
    </row>
    <row r="173" spans="1:19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1.9329801180814783</v>
      </c>
      <c r="H173">
        <v>4.8828125E-4</v>
      </c>
      <c r="I173">
        <v>-0.93759924012864448</v>
      </c>
      <c r="J173">
        <v>-4.5781212896906469E-4</v>
      </c>
      <c r="L173" s="101"/>
      <c r="M173" s="101">
        <v>2.6765743725576416</v>
      </c>
      <c r="N173" s="96">
        <v>1.953125E-3</v>
      </c>
      <c r="O173" s="96">
        <f t="shared" si="11"/>
        <v>0.17578125</v>
      </c>
      <c r="Q173" s="96">
        <f t="shared" si="8"/>
        <v>0</v>
      </c>
      <c r="R173" s="96">
        <f t="shared" si="9"/>
        <v>0</v>
      </c>
      <c r="S173" s="96">
        <f t="shared" si="10"/>
        <v>1</v>
      </c>
    </row>
    <row r="174" spans="1:19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5.7989403542444391</v>
      </c>
      <c r="H174">
        <v>9.765625E-4</v>
      </c>
      <c r="I174">
        <v>-0.82423630538312287</v>
      </c>
      <c r="J174">
        <v>-8.0491826697570593E-4</v>
      </c>
      <c r="L174" s="101"/>
      <c r="M174" s="101">
        <v>2.6765743725576416</v>
      </c>
      <c r="N174" s="96">
        <v>3.90625E-3</v>
      </c>
      <c r="O174" s="96">
        <f t="shared" si="11"/>
        <v>0.1796875</v>
      </c>
      <c r="Q174" s="96">
        <f t="shared" si="8"/>
        <v>0</v>
      </c>
      <c r="R174" s="96">
        <f t="shared" si="9"/>
        <v>0</v>
      </c>
      <c r="S174" s="96">
        <f t="shared" si="10"/>
        <v>1</v>
      </c>
    </row>
    <row r="175" spans="1:19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8.69841053136666</v>
      </c>
      <c r="H175">
        <v>4.8828125E-4</v>
      </c>
      <c r="I175">
        <v>-0.7483032133444889</v>
      </c>
      <c r="J175">
        <v>-3.6538242839086372E-4</v>
      </c>
      <c r="L175" s="101"/>
      <c r="M175" s="101">
        <v>2.6765743725576416</v>
      </c>
      <c r="N175" s="96">
        <v>1.953125E-3</v>
      </c>
      <c r="O175" s="96">
        <f t="shared" si="11"/>
        <v>0.181640625</v>
      </c>
      <c r="Q175" s="96">
        <f t="shared" si="8"/>
        <v>0</v>
      </c>
      <c r="R175" s="96">
        <f t="shared" si="9"/>
        <v>0</v>
      </c>
      <c r="S175" s="96">
        <f t="shared" si="10"/>
        <v>1</v>
      </c>
    </row>
    <row r="176" spans="1:19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0.96649005904074003</v>
      </c>
      <c r="H176">
        <v>9.765625E-4</v>
      </c>
      <c r="I176">
        <v>-0.96829708257778224</v>
      </c>
      <c r="J176">
        <v>-9.4560261970486547E-4</v>
      </c>
      <c r="L176" s="101"/>
      <c r="M176" s="101">
        <v>2.6800567090824772</v>
      </c>
      <c r="N176" s="96">
        <v>4.8828125E-4</v>
      </c>
      <c r="O176" s="96">
        <f t="shared" si="11"/>
        <v>0.18212890625</v>
      </c>
      <c r="Q176" s="96">
        <f t="shared" si="8"/>
        <v>0</v>
      </c>
      <c r="R176" s="96">
        <f t="shared" si="9"/>
        <v>0</v>
      </c>
      <c r="S176" s="96">
        <f t="shared" si="10"/>
        <v>1</v>
      </c>
    </row>
    <row r="177" spans="1:19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4.8324502952037012</v>
      </c>
      <c r="H177">
        <v>1.953125E-3</v>
      </c>
      <c r="I177">
        <v>-0.85122254338395453</v>
      </c>
      <c r="J177">
        <v>-1.6625440300467862E-3</v>
      </c>
      <c r="L177" s="101"/>
      <c r="M177" s="101">
        <v>2.6800567090824772</v>
      </c>
      <c r="N177" s="96">
        <v>9.765625E-4</v>
      </c>
      <c r="O177" s="96">
        <f t="shared" si="11"/>
        <v>0.18310546875</v>
      </c>
      <c r="Q177" s="96">
        <f t="shared" si="8"/>
        <v>0</v>
      </c>
      <c r="R177" s="96">
        <f t="shared" si="9"/>
        <v>0</v>
      </c>
      <c r="S177" s="96">
        <f t="shared" si="10"/>
        <v>1</v>
      </c>
    </row>
    <row r="178" spans="1:19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7.7319204723259212</v>
      </c>
      <c r="H178">
        <v>9.765625E-4</v>
      </c>
      <c r="I178">
        <v>-0.77280333361365727</v>
      </c>
      <c r="J178">
        <v>-7.5469075548208718E-4</v>
      </c>
      <c r="L178" s="101"/>
      <c r="M178" s="101">
        <v>2.6800567090824772</v>
      </c>
      <c r="N178" s="96">
        <v>4.8828125E-4</v>
      </c>
      <c r="O178" s="96">
        <f t="shared" si="11"/>
        <v>0.18359375</v>
      </c>
      <c r="Q178" s="96">
        <f t="shared" si="8"/>
        <v>0</v>
      </c>
      <c r="R178" s="96">
        <f t="shared" si="9"/>
        <v>0</v>
      </c>
      <c r="S178" s="96">
        <f t="shared" si="10"/>
        <v>1</v>
      </c>
    </row>
    <row r="179" spans="1:19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0</v>
      </c>
      <c r="H179">
        <v>4.8828125E-4</v>
      </c>
      <c r="I179">
        <v>-1</v>
      </c>
      <c r="J179">
        <v>-4.8828125E-4</v>
      </c>
      <c r="L179" s="101"/>
      <c r="M179" s="101">
        <v>2.8540413662347963</v>
      </c>
      <c r="N179" s="96">
        <v>9.765625E-4</v>
      </c>
      <c r="O179" s="96">
        <f t="shared" si="11"/>
        <v>0.1845703125</v>
      </c>
      <c r="Q179" s="96">
        <f t="shared" si="8"/>
        <v>0</v>
      </c>
      <c r="R179" s="96">
        <f t="shared" si="9"/>
        <v>0</v>
      </c>
      <c r="S179" s="96">
        <f t="shared" si="10"/>
        <v>1</v>
      </c>
    </row>
    <row r="180" spans="1:19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3.8659602361629601</v>
      </c>
      <c r="H180">
        <v>9.765625E-4</v>
      </c>
      <c r="I180">
        <v>-0.87909233508981144</v>
      </c>
      <c r="J180">
        <v>-8.5848860848614398E-4</v>
      </c>
      <c r="L180" s="101"/>
      <c r="M180" s="101">
        <v>2.8540413662347963</v>
      </c>
      <c r="N180" s="96">
        <v>1.953125E-3</v>
      </c>
      <c r="O180" s="96">
        <f t="shared" si="11"/>
        <v>0.1865234375</v>
      </c>
      <c r="Q180" s="96">
        <f t="shared" si="8"/>
        <v>0</v>
      </c>
      <c r="R180" s="96">
        <f t="shared" si="9"/>
        <v>0</v>
      </c>
      <c r="S180" s="96">
        <f t="shared" si="10"/>
        <v>1</v>
      </c>
    </row>
    <row r="181" spans="1:19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6.7654304132851788</v>
      </c>
      <c r="H181">
        <v>4.8828125E-4</v>
      </c>
      <c r="I181">
        <v>-0.79810560985716783</v>
      </c>
      <c r="J181">
        <v>-3.8970000481307023E-4</v>
      </c>
      <c r="L181" s="101"/>
      <c r="M181" s="101">
        <v>2.8540413662347963</v>
      </c>
      <c r="N181" s="96">
        <v>9.765625E-4</v>
      </c>
      <c r="O181" s="96">
        <f t="shared" si="11"/>
        <v>0.1875</v>
      </c>
      <c r="Q181" s="96">
        <f t="shared" si="8"/>
        <v>0</v>
      </c>
      <c r="R181" s="96">
        <f t="shared" si="9"/>
        <v>0</v>
      </c>
      <c r="S181" s="96">
        <f t="shared" si="10"/>
        <v>1</v>
      </c>
    </row>
    <row r="182" spans="1:19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1.9329801180814783</v>
      </c>
      <c r="H182">
        <v>2.44140625E-4</v>
      </c>
      <c r="I182">
        <v>-0.93759924012864448</v>
      </c>
      <c r="J182">
        <v>-2.2890606448453234E-4</v>
      </c>
      <c r="L182" s="101"/>
      <c r="M182" s="101">
        <v>2.9033947681726828</v>
      </c>
      <c r="N182" s="96">
        <v>4.8828125E-4</v>
      </c>
      <c r="O182" s="96">
        <f t="shared" si="11"/>
        <v>0.18798828125</v>
      </c>
      <c r="Q182" s="96">
        <f t="shared" si="8"/>
        <v>0</v>
      </c>
      <c r="R182" s="96">
        <f t="shared" si="9"/>
        <v>0</v>
      </c>
      <c r="S182" s="96">
        <f t="shared" si="10"/>
        <v>1</v>
      </c>
    </row>
    <row r="183" spans="1:19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5.7989403542444391</v>
      </c>
      <c r="H183">
        <v>4.8828125E-4</v>
      </c>
      <c r="I183">
        <v>-0.82423630538312287</v>
      </c>
      <c r="J183">
        <v>-4.0245913348785296E-4</v>
      </c>
      <c r="L183" s="101"/>
      <c r="M183" s="101">
        <v>2.9033947681726828</v>
      </c>
      <c r="N183" s="96">
        <v>9.765625E-4</v>
      </c>
      <c r="O183" s="96">
        <f t="shared" si="11"/>
        <v>0.18896484375</v>
      </c>
      <c r="Q183" s="96">
        <f t="shared" si="8"/>
        <v>0</v>
      </c>
      <c r="R183" s="96">
        <f t="shared" si="9"/>
        <v>0</v>
      </c>
      <c r="S183" s="96">
        <f t="shared" si="10"/>
        <v>1</v>
      </c>
    </row>
    <row r="184" spans="1:19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8.69841053136666</v>
      </c>
      <c r="H184">
        <v>2.44140625E-4</v>
      </c>
      <c r="I184">
        <v>-0.7483032133444889</v>
      </c>
      <c r="J184">
        <v>-1.8269121419543186E-4</v>
      </c>
      <c r="L184" s="101"/>
      <c r="M184" s="101">
        <v>2.9033947681726828</v>
      </c>
      <c r="N184" s="96">
        <v>4.8828125E-4</v>
      </c>
      <c r="O184" s="96">
        <f t="shared" si="11"/>
        <v>0.189453125</v>
      </c>
      <c r="Q184" s="96">
        <f t="shared" si="8"/>
        <v>0</v>
      </c>
      <c r="R184" s="96">
        <f t="shared" si="9"/>
        <v>0</v>
      </c>
      <c r="S184" s="96">
        <f t="shared" si="10"/>
        <v>1</v>
      </c>
    </row>
    <row r="185" spans="1:19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0.96649005904074003</v>
      </c>
      <c r="H185">
        <v>4.8828125E-4</v>
      </c>
      <c r="I185">
        <v>-0.96829708257778224</v>
      </c>
      <c r="J185">
        <v>-4.7280130985243274E-4</v>
      </c>
      <c r="L185" s="101"/>
      <c r="M185" s="101">
        <v>2.9778407878694191</v>
      </c>
      <c r="N185" s="96">
        <v>1.953125E-3</v>
      </c>
      <c r="O185" s="96">
        <f t="shared" si="11"/>
        <v>0.19140625</v>
      </c>
      <c r="Q185" s="96">
        <f t="shared" si="8"/>
        <v>0</v>
      </c>
      <c r="R185" s="96">
        <f t="shared" si="9"/>
        <v>0</v>
      </c>
      <c r="S185" s="96">
        <f t="shared" si="10"/>
        <v>1</v>
      </c>
    </row>
    <row r="186" spans="1:19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4.8324502952037012</v>
      </c>
      <c r="H186">
        <v>9.765625E-4</v>
      </c>
      <c r="I186">
        <v>-0.85122254338395453</v>
      </c>
      <c r="J186">
        <v>-8.312720150233931E-4</v>
      </c>
      <c r="L186" s="101"/>
      <c r="M186" s="101">
        <v>2.9778407878694191</v>
      </c>
      <c r="N186" s="96">
        <v>3.90625E-3</v>
      </c>
      <c r="O186" s="96">
        <f t="shared" si="11"/>
        <v>0.1953125</v>
      </c>
      <c r="Q186" s="96">
        <f t="shared" si="8"/>
        <v>0</v>
      </c>
      <c r="R186" s="96">
        <f t="shared" si="9"/>
        <v>0</v>
      </c>
      <c r="S186" s="96">
        <f t="shared" si="10"/>
        <v>1</v>
      </c>
    </row>
    <row r="187" spans="1:19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7.7319204723259212</v>
      </c>
      <c r="H187">
        <v>4.8828125E-4</v>
      </c>
      <c r="I187">
        <v>-0.77280333361365727</v>
      </c>
      <c r="J187">
        <v>-3.7734537774104359E-4</v>
      </c>
      <c r="L187" s="101"/>
      <c r="M187" s="101">
        <v>2.9778407878694191</v>
      </c>
      <c r="N187" s="96">
        <v>1.953125E-3</v>
      </c>
      <c r="O187" s="96">
        <f t="shared" si="11"/>
        <v>0.197265625</v>
      </c>
      <c r="Q187" s="96">
        <f t="shared" si="8"/>
        <v>0</v>
      </c>
      <c r="R187" s="96">
        <f t="shared" si="9"/>
        <v>0</v>
      </c>
      <c r="S187" s="96">
        <f t="shared" si="10"/>
        <v>1</v>
      </c>
    </row>
    <row r="188" spans="1:19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0</v>
      </c>
      <c r="H188">
        <v>2.44140625E-4</v>
      </c>
      <c r="I188">
        <v>-1</v>
      </c>
      <c r="J188">
        <v>-2.44140625E-4</v>
      </c>
      <c r="L188" s="101"/>
      <c r="M188" s="101">
        <v>2.9778407878694204</v>
      </c>
      <c r="N188" s="96">
        <v>9.765625E-4</v>
      </c>
      <c r="O188" s="96">
        <f t="shared" si="11"/>
        <v>0.1982421875</v>
      </c>
      <c r="Q188" s="96">
        <f t="shared" si="8"/>
        <v>0</v>
      </c>
      <c r="R188" s="96">
        <f t="shared" si="9"/>
        <v>0</v>
      </c>
      <c r="S188" s="96">
        <f t="shared" si="10"/>
        <v>1</v>
      </c>
    </row>
    <row r="189" spans="1:19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3.8659602361629601</v>
      </c>
      <c r="H189">
        <v>4.8828125E-4</v>
      </c>
      <c r="I189">
        <v>-0.87909233508981144</v>
      </c>
      <c r="J189">
        <v>-4.2924430424307199E-4</v>
      </c>
      <c r="L189" s="101"/>
      <c r="M189" s="101">
        <v>2.9778407878694204</v>
      </c>
      <c r="N189" s="96">
        <v>1.953125E-3</v>
      </c>
      <c r="O189" s="96">
        <f t="shared" si="11"/>
        <v>0.2001953125</v>
      </c>
      <c r="Q189" s="96">
        <f t="shared" si="8"/>
        <v>0</v>
      </c>
      <c r="R189" s="96">
        <f t="shared" si="9"/>
        <v>0</v>
      </c>
      <c r="S189" s="96">
        <f t="shared" si="10"/>
        <v>1</v>
      </c>
    </row>
    <row r="190" spans="1:19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6.7654304132851788</v>
      </c>
      <c r="H190">
        <v>2.44140625E-4</v>
      </c>
      <c r="I190">
        <v>-0.79810560985716783</v>
      </c>
      <c r="J190">
        <v>-1.9485000240653511E-4</v>
      </c>
      <c r="L190" s="101"/>
      <c r="M190" s="101">
        <v>2.9778407878694204</v>
      </c>
      <c r="N190" s="96">
        <v>9.765625E-4</v>
      </c>
      <c r="O190" s="96">
        <f t="shared" si="11"/>
        <v>0.201171875</v>
      </c>
      <c r="Q190" s="96">
        <f t="shared" si="8"/>
        <v>0</v>
      </c>
      <c r="R190" s="96">
        <f t="shared" si="9"/>
        <v>0</v>
      </c>
      <c r="S190" s="96">
        <f t="shared" si="10"/>
        <v>1</v>
      </c>
    </row>
    <row r="191" spans="1:19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2.3790524530233572</v>
      </c>
      <c r="H191">
        <v>4.8828125E-4</v>
      </c>
      <c r="I191">
        <v>-0.92376113890849354</v>
      </c>
      <c r="J191">
        <v>-4.5105524360766286E-4</v>
      </c>
      <c r="L191" s="101"/>
      <c r="M191" s="101">
        <v>3.0929303860666124</v>
      </c>
      <c r="N191" s="96">
        <v>9.765625E-4</v>
      </c>
      <c r="O191" s="96">
        <f t="shared" si="11"/>
        <v>0.2021484375</v>
      </c>
      <c r="Q191" s="96">
        <f t="shared" si="8"/>
        <v>0</v>
      </c>
      <c r="R191" s="96">
        <f t="shared" si="9"/>
        <v>0</v>
      </c>
      <c r="S191" s="96">
        <f t="shared" si="10"/>
        <v>1</v>
      </c>
    </row>
    <row r="192" spans="1:19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7.1371573590700761</v>
      </c>
      <c r="H192">
        <v>9.765625E-4</v>
      </c>
      <c r="I192">
        <v>-0.78827738053999519</v>
      </c>
      <c r="J192">
        <v>-7.6980212943358905E-4</v>
      </c>
      <c r="L192" s="101"/>
      <c r="M192" s="101">
        <v>3.0929303860666124</v>
      </c>
      <c r="N192" s="96">
        <v>1.953125E-3</v>
      </c>
      <c r="O192" s="96">
        <f t="shared" si="11"/>
        <v>0.2041015625</v>
      </c>
      <c r="Q192" s="96">
        <f t="shared" si="8"/>
        <v>0</v>
      </c>
      <c r="R192" s="96">
        <f t="shared" si="9"/>
        <v>0</v>
      </c>
      <c r="S192" s="96">
        <f t="shared" si="10"/>
        <v>1</v>
      </c>
    </row>
    <row r="193" spans="1:19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10.705736038605115</v>
      </c>
      <c r="H193">
        <v>4.8828125E-4</v>
      </c>
      <c r="I193">
        <v>-0.69987196490036419</v>
      </c>
      <c r="J193">
        <v>-3.4173435786150595E-4</v>
      </c>
      <c r="L193" s="101"/>
      <c r="M193" s="101">
        <v>3.0929303860666124</v>
      </c>
      <c r="N193" s="96">
        <v>9.765625E-4</v>
      </c>
      <c r="O193" s="96">
        <f t="shared" si="11"/>
        <v>0.205078125</v>
      </c>
      <c r="Q193" s="96">
        <f t="shared" si="8"/>
        <v>0</v>
      </c>
      <c r="R193" s="96">
        <f t="shared" si="9"/>
        <v>0</v>
      </c>
      <c r="S193" s="96">
        <f t="shared" si="10"/>
        <v>1</v>
      </c>
    </row>
    <row r="194" spans="1:19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1.1895262265116779</v>
      </c>
      <c r="H194">
        <v>9.765625E-4</v>
      </c>
      <c r="I194">
        <v>-0.9611249340790684</v>
      </c>
      <c r="J194">
        <v>-9.3859856843659024E-4</v>
      </c>
      <c r="L194" s="101"/>
      <c r="M194" s="101">
        <v>3.2570248666563648</v>
      </c>
      <c r="N194" s="96">
        <v>9.765625E-4</v>
      </c>
      <c r="O194" s="96">
        <f t="shared" si="11"/>
        <v>0.2060546875</v>
      </c>
      <c r="Q194" s="96">
        <f t="shared" si="8"/>
        <v>0</v>
      </c>
      <c r="R194" s="96">
        <f t="shared" si="9"/>
        <v>0</v>
      </c>
      <c r="S194" s="96">
        <f t="shared" si="10"/>
        <v>1</v>
      </c>
    </row>
    <row r="195" spans="1:19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5.9476311325583975</v>
      </c>
      <c r="H195">
        <v>1.953125E-3</v>
      </c>
      <c r="I195">
        <v>-0.82016120130657888</v>
      </c>
      <c r="J195">
        <v>-1.6018773463019119E-3</v>
      </c>
      <c r="L195" s="101"/>
      <c r="M195" s="101">
        <v>3.2570248666563648</v>
      </c>
      <c r="N195" s="96">
        <v>1.953125E-3</v>
      </c>
      <c r="O195" s="96">
        <f t="shared" si="11"/>
        <v>0.2080078125</v>
      </c>
      <c r="Q195" s="96">
        <f t="shared" ref="Q195:Q258" si="12">IF(A195=3,1,0)</f>
        <v>0</v>
      </c>
      <c r="R195" s="96">
        <f t="shared" ref="R195:R258" si="13">IF(A195=2,1,0)</f>
        <v>0</v>
      </c>
      <c r="S195" s="96">
        <f t="shared" ref="S195:S258" si="14">IF(A195=1,1,0)</f>
        <v>1</v>
      </c>
    </row>
    <row r="196" spans="1:19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9.5162098120934377</v>
      </c>
      <c r="H196">
        <v>9.765625E-4</v>
      </c>
      <c r="I196">
        <v>-0.72818001082342976</v>
      </c>
      <c r="J196">
        <v>-7.1111329181975562E-4</v>
      </c>
      <c r="L196" s="101"/>
      <c r="M196" s="101">
        <v>3.2570248666563648</v>
      </c>
      <c r="N196" s="96">
        <v>9.765625E-4</v>
      </c>
      <c r="O196" s="96">
        <f t="shared" ref="O196:O259" si="15">N196+O195</f>
        <v>0.208984375</v>
      </c>
      <c r="Q196" s="96">
        <f t="shared" si="12"/>
        <v>0</v>
      </c>
      <c r="R196" s="96">
        <f t="shared" si="13"/>
        <v>0</v>
      </c>
      <c r="S196" s="96">
        <f t="shared" si="14"/>
        <v>1</v>
      </c>
    </row>
    <row r="197" spans="1:19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0</v>
      </c>
      <c r="H197">
        <v>4.8828125E-4</v>
      </c>
      <c r="I197">
        <v>-1</v>
      </c>
      <c r="J197">
        <v>-4.8828125E-4</v>
      </c>
      <c r="L197" s="101"/>
      <c r="M197" s="101">
        <v>3.3500708863530946</v>
      </c>
      <c r="N197" s="96">
        <v>4.8828125E-4</v>
      </c>
      <c r="O197" s="96">
        <f t="shared" si="15"/>
        <v>0.20947265625</v>
      </c>
      <c r="Q197" s="96">
        <f t="shared" si="12"/>
        <v>0</v>
      </c>
      <c r="R197" s="96">
        <f t="shared" si="13"/>
        <v>0</v>
      </c>
      <c r="S197" s="96">
        <f t="shared" si="14"/>
        <v>1</v>
      </c>
    </row>
    <row r="198" spans="1:19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4.7581049060467198</v>
      </c>
      <c r="H198">
        <v>9.765625E-4</v>
      </c>
      <c r="I198">
        <v>-0.85333464175751683</v>
      </c>
      <c r="J198">
        <v>-8.3333461109132503E-4</v>
      </c>
      <c r="L198" s="101"/>
      <c r="M198" s="101">
        <v>3.3500708863530946</v>
      </c>
      <c r="N198" s="96">
        <v>9.765625E-4</v>
      </c>
      <c r="O198" s="96">
        <f t="shared" si="15"/>
        <v>0.21044921875</v>
      </c>
      <c r="Q198" s="96">
        <f t="shared" si="12"/>
        <v>0</v>
      </c>
      <c r="R198" s="96">
        <f t="shared" si="13"/>
        <v>0</v>
      </c>
      <c r="S198" s="96">
        <f t="shared" si="14"/>
        <v>1</v>
      </c>
    </row>
    <row r="199" spans="1:19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8.3266835855817583</v>
      </c>
      <c r="H199">
        <v>4.8828125E-4</v>
      </c>
      <c r="I199">
        <v>-0.75763304540752341</v>
      </c>
      <c r="J199">
        <v>-3.6993801045289229E-4</v>
      </c>
      <c r="L199" s="101"/>
      <c r="M199" s="101">
        <v>3.3500708863530946</v>
      </c>
      <c r="N199" s="96">
        <v>4.8828125E-4</v>
      </c>
      <c r="O199" s="96">
        <f t="shared" si="15"/>
        <v>0.2109375</v>
      </c>
      <c r="Q199" s="96">
        <f t="shared" si="12"/>
        <v>0</v>
      </c>
      <c r="R199" s="96">
        <f t="shared" si="13"/>
        <v>0</v>
      </c>
      <c r="S199" s="96">
        <f t="shared" si="14"/>
        <v>1</v>
      </c>
    </row>
    <row r="200" spans="1:19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2.3790524530233572</v>
      </c>
      <c r="H200">
        <v>9.765625E-4</v>
      </c>
      <c r="I200">
        <v>-0.92376113890849354</v>
      </c>
      <c r="J200">
        <v>-9.0211048721532572E-4</v>
      </c>
      <c r="L200" s="101"/>
      <c r="M200" s="101">
        <v>3.3500708863530968</v>
      </c>
      <c r="N200" s="96">
        <v>9.765625E-4</v>
      </c>
      <c r="O200" s="96">
        <f t="shared" si="15"/>
        <v>0.2119140625</v>
      </c>
      <c r="Q200" s="96">
        <f t="shared" si="12"/>
        <v>0</v>
      </c>
      <c r="R200" s="96">
        <f t="shared" si="13"/>
        <v>0</v>
      </c>
      <c r="S200" s="96">
        <f t="shared" si="14"/>
        <v>1</v>
      </c>
    </row>
    <row r="201" spans="1:19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7.1371573590700761</v>
      </c>
      <c r="H201">
        <v>1.953125E-3</v>
      </c>
      <c r="I201">
        <v>-0.78827738053999519</v>
      </c>
      <c r="J201">
        <v>-1.5396042588671781E-3</v>
      </c>
      <c r="L201" s="101"/>
      <c r="M201" s="101">
        <v>3.3500708863530968</v>
      </c>
      <c r="N201" s="96">
        <v>1.953125E-3</v>
      </c>
      <c r="O201" s="96">
        <f t="shared" si="15"/>
        <v>0.2138671875</v>
      </c>
      <c r="Q201" s="96">
        <f t="shared" si="12"/>
        <v>0</v>
      </c>
      <c r="R201" s="96">
        <f t="shared" si="13"/>
        <v>0</v>
      </c>
      <c r="S201" s="96">
        <f t="shared" si="14"/>
        <v>1</v>
      </c>
    </row>
    <row r="202" spans="1:19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10.705736038605115</v>
      </c>
      <c r="H202">
        <v>9.765625E-4</v>
      </c>
      <c r="I202">
        <v>-0.69987196490036419</v>
      </c>
      <c r="J202">
        <v>-6.834687157230119E-4</v>
      </c>
      <c r="L202" s="101"/>
      <c r="M202" s="101">
        <v>3.3500708863530968</v>
      </c>
      <c r="N202" s="96">
        <v>9.765625E-4</v>
      </c>
      <c r="O202" s="96">
        <f t="shared" si="15"/>
        <v>0.21484375</v>
      </c>
      <c r="Q202" s="96">
        <f t="shared" si="12"/>
        <v>0</v>
      </c>
      <c r="R202" s="96">
        <f t="shared" si="13"/>
        <v>0</v>
      </c>
      <c r="S202" s="96">
        <f t="shared" si="14"/>
        <v>1</v>
      </c>
    </row>
    <row r="203" spans="1:19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1.1895262265116779</v>
      </c>
      <c r="H203">
        <v>1.953125E-3</v>
      </c>
      <c r="I203">
        <v>-0.9611249340790684</v>
      </c>
      <c r="J203">
        <v>-1.8771971368731805E-3</v>
      </c>
      <c r="L203" s="101"/>
      <c r="M203" s="101">
        <v>3.3617045531851804</v>
      </c>
      <c r="N203" s="96">
        <v>4.8828125E-4</v>
      </c>
      <c r="O203" s="96">
        <f t="shared" si="15"/>
        <v>0.21533203125</v>
      </c>
      <c r="Q203" s="96">
        <f t="shared" si="12"/>
        <v>0</v>
      </c>
      <c r="R203" s="96">
        <f t="shared" si="13"/>
        <v>0</v>
      </c>
      <c r="S203" s="96">
        <f t="shared" si="14"/>
        <v>1</v>
      </c>
    </row>
    <row r="204" spans="1:19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5.9476311325583975</v>
      </c>
      <c r="H204">
        <v>3.90625E-3</v>
      </c>
      <c r="I204">
        <v>-0.82016120130657888</v>
      </c>
      <c r="J204">
        <v>-3.2037546926038237E-3</v>
      </c>
      <c r="L204" s="101"/>
      <c r="M204" s="101">
        <v>3.3617045531851804</v>
      </c>
      <c r="N204" s="96">
        <v>9.765625E-4</v>
      </c>
      <c r="O204" s="96">
        <f t="shared" si="15"/>
        <v>0.21630859375</v>
      </c>
      <c r="Q204" s="96">
        <f t="shared" si="12"/>
        <v>0</v>
      </c>
      <c r="R204" s="96">
        <f t="shared" si="13"/>
        <v>0</v>
      </c>
      <c r="S204" s="96">
        <f t="shared" si="14"/>
        <v>1</v>
      </c>
    </row>
    <row r="205" spans="1:19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9.5162098120934377</v>
      </c>
      <c r="H205">
        <v>1.953125E-3</v>
      </c>
      <c r="I205">
        <v>-0.72818001082342976</v>
      </c>
      <c r="J205">
        <v>-1.4222265836395112E-3</v>
      </c>
      <c r="L205" s="101"/>
      <c r="M205" s="101">
        <v>3.3617045531851804</v>
      </c>
      <c r="N205" s="96">
        <v>4.8828125E-4</v>
      </c>
      <c r="O205" s="96">
        <f t="shared" si="15"/>
        <v>0.216796875</v>
      </c>
      <c r="Q205" s="96">
        <f t="shared" si="12"/>
        <v>0</v>
      </c>
      <c r="R205" s="96">
        <f t="shared" si="13"/>
        <v>0</v>
      </c>
      <c r="S205" s="96">
        <f t="shared" si="14"/>
        <v>1</v>
      </c>
    </row>
    <row r="206" spans="1:19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0</v>
      </c>
      <c r="H206">
        <v>9.765625E-4</v>
      </c>
      <c r="I206">
        <v>-1</v>
      </c>
      <c r="J206">
        <v>-9.765625E-4</v>
      </c>
      <c r="L206" s="101"/>
      <c r="M206" s="101">
        <v>3.3872938962014643</v>
      </c>
      <c r="N206" s="96">
        <v>2.44140625E-4</v>
      </c>
      <c r="O206" s="96">
        <f t="shared" si="15"/>
        <v>0.217041015625</v>
      </c>
      <c r="Q206" s="96">
        <f t="shared" si="12"/>
        <v>0</v>
      </c>
      <c r="R206" s="96">
        <f t="shared" si="13"/>
        <v>0</v>
      </c>
      <c r="S206" s="96">
        <f t="shared" si="14"/>
        <v>1</v>
      </c>
    </row>
    <row r="207" spans="1:19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4.7581049060467198</v>
      </c>
      <c r="H207">
        <v>1.953125E-3</v>
      </c>
      <c r="I207">
        <v>-0.85333464175751683</v>
      </c>
      <c r="J207">
        <v>-1.6666692221826501E-3</v>
      </c>
      <c r="L207" s="101"/>
      <c r="M207" s="101">
        <v>3.3872938962014643</v>
      </c>
      <c r="N207" s="96">
        <v>4.8828125E-4</v>
      </c>
      <c r="O207" s="96">
        <f t="shared" si="15"/>
        <v>0.217529296875</v>
      </c>
      <c r="Q207" s="96">
        <f t="shared" si="12"/>
        <v>0</v>
      </c>
      <c r="R207" s="96">
        <f t="shared" si="13"/>
        <v>0</v>
      </c>
      <c r="S207" s="96">
        <f t="shared" si="14"/>
        <v>1</v>
      </c>
    </row>
    <row r="208" spans="1:19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8.3266835855817583</v>
      </c>
      <c r="H208">
        <v>9.765625E-4</v>
      </c>
      <c r="I208">
        <v>-0.75763304540752341</v>
      </c>
      <c r="J208">
        <v>-7.3987602090578458E-4</v>
      </c>
      <c r="L208" s="101"/>
      <c r="M208" s="101">
        <v>3.3872938962014643</v>
      </c>
      <c r="N208" s="96">
        <v>2.44140625E-4</v>
      </c>
      <c r="O208" s="96">
        <f t="shared" si="15"/>
        <v>0.2177734375</v>
      </c>
      <c r="Q208" s="96">
        <f t="shared" si="12"/>
        <v>0</v>
      </c>
      <c r="R208" s="96">
        <f t="shared" si="13"/>
        <v>0</v>
      </c>
      <c r="S208" s="96">
        <f t="shared" si="14"/>
        <v>1</v>
      </c>
    </row>
    <row r="209" spans="1:19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2.3790524530233572</v>
      </c>
      <c r="H209">
        <v>4.8828125E-4</v>
      </c>
      <c r="I209">
        <v>-0.92376113890849354</v>
      </c>
      <c r="J209">
        <v>-4.5105524360766286E-4</v>
      </c>
      <c r="L209" s="101"/>
      <c r="M209" s="101">
        <v>3.5232151320528735</v>
      </c>
      <c r="N209" s="96">
        <v>4.8828125E-4</v>
      </c>
      <c r="O209" s="96">
        <f t="shared" si="15"/>
        <v>0.21826171875</v>
      </c>
      <c r="Q209" s="96">
        <f t="shared" si="12"/>
        <v>0</v>
      </c>
      <c r="R209" s="96">
        <f t="shared" si="13"/>
        <v>0</v>
      </c>
      <c r="S209" s="96">
        <f t="shared" si="14"/>
        <v>1</v>
      </c>
    </row>
    <row r="210" spans="1:19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7.1371573590700761</v>
      </c>
      <c r="H210">
        <v>9.765625E-4</v>
      </c>
      <c r="I210">
        <v>-0.78827738053999519</v>
      </c>
      <c r="J210">
        <v>-7.6980212943358905E-4</v>
      </c>
      <c r="L210" s="101"/>
      <c r="M210" s="101">
        <v>3.5232151320528735</v>
      </c>
      <c r="N210" s="96">
        <v>9.765625E-4</v>
      </c>
      <c r="O210" s="96">
        <f t="shared" si="15"/>
        <v>0.21923828125</v>
      </c>
      <c r="Q210" s="96">
        <f t="shared" si="12"/>
        <v>0</v>
      </c>
      <c r="R210" s="96">
        <f t="shared" si="13"/>
        <v>0</v>
      </c>
      <c r="S210" s="96">
        <f t="shared" si="14"/>
        <v>1</v>
      </c>
    </row>
    <row r="211" spans="1:19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10.705736038605115</v>
      </c>
      <c r="H211">
        <v>4.8828125E-4</v>
      </c>
      <c r="I211">
        <v>-0.69987196490036419</v>
      </c>
      <c r="J211">
        <v>-3.4173435786150595E-4</v>
      </c>
      <c r="L211" s="101"/>
      <c r="M211" s="101">
        <v>3.5232151320528735</v>
      </c>
      <c r="N211" s="96">
        <v>4.8828125E-4</v>
      </c>
      <c r="O211" s="96">
        <f t="shared" si="15"/>
        <v>0.2197265625</v>
      </c>
      <c r="Q211" s="96">
        <f t="shared" si="12"/>
        <v>0</v>
      </c>
      <c r="R211" s="96">
        <f t="shared" si="13"/>
        <v>0</v>
      </c>
      <c r="S211" s="96">
        <f t="shared" si="14"/>
        <v>1</v>
      </c>
    </row>
    <row r="212" spans="1:19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1.1895262265116779</v>
      </c>
      <c r="H212">
        <v>9.765625E-4</v>
      </c>
      <c r="I212">
        <v>-0.9611249340790684</v>
      </c>
      <c r="J212">
        <v>-9.3859856843659024E-4</v>
      </c>
      <c r="L212" s="101"/>
      <c r="M212" s="101">
        <v>3.5734089454433042</v>
      </c>
      <c r="N212" s="96">
        <v>9.765625E-4</v>
      </c>
      <c r="O212" s="96">
        <f t="shared" si="15"/>
        <v>0.220703125</v>
      </c>
      <c r="Q212" s="96">
        <f t="shared" si="12"/>
        <v>0</v>
      </c>
      <c r="R212" s="96">
        <f t="shared" si="13"/>
        <v>0</v>
      </c>
      <c r="S212" s="96">
        <f t="shared" si="14"/>
        <v>1</v>
      </c>
    </row>
    <row r="213" spans="1:19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5.9476311325583975</v>
      </c>
      <c r="H213">
        <v>1.953125E-3</v>
      </c>
      <c r="I213">
        <v>-0.82016120130657888</v>
      </c>
      <c r="J213">
        <v>-1.6018773463019119E-3</v>
      </c>
      <c r="L213" s="101"/>
      <c r="M213" s="101">
        <v>3.5734089454433042</v>
      </c>
      <c r="N213" s="96">
        <v>1.953125E-3</v>
      </c>
      <c r="O213" s="96">
        <f t="shared" si="15"/>
        <v>0.22265625</v>
      </c>
      <c r="Q213" s="96">
        <f t="shared" si="12"/>
        <v>0</v>
      </c>
      <c r="R213" s="96">
        <f t="shared" si="13"/>
        <v>0</v>
      </c>
      <c r="S213" s="96">
        <f t="shared" si="14"/>
        <v>1</v>
      </c>
    </row>
    <row r="214" spans="1:19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9.5162098120934377</v>
      </c>
      <c r="H214">
        <v>9.765625E-4</v>
      </c>
      <c r="I214">
        <v>-0.72818001082342976</v>
      </c>
      <c r="J214">
        <v>-7.1111329181975562E-4</v>
      </c>
      <c r="L214" s="101"/>
      <c r="M214" s="101">
        <v>3.5734089454433042</v>
      </c>
      <c r="N214" s="96">
        <v>9.765625E-4</v>
      </c>
      <c r="O214" s="96">
        <f t="shared" si="15"/>
        <v>0.2236328125</v>
      </c>
      <c r="Q214" s="96">
        <f t="shared" si="12"/>
        <v>0</v>
      </c>
      <c r="R214" s="96">
        <f t="shared" si="13"/>
        <v>0</v>
      </c>
      <c r="S214" s="96">
        <f t="shared" si="14"/>
        <v>1</v>
      </c>
    </row>
    <row r="215" spans="1:19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0</v>
      </c>
      <c r="H215">
        <v>4.8828125E-4</v>
      </c>
      <c r="I215">
        <v>-1</v>
      </c>
      <c r="J215">
        <v>-4.8828125E-4</v>
      </c>
      <c r="L215" s="101"/>
      <c r="M215" s="101">
        <v>3.6699535247005088</v>
      </c>
      <c r="N215" s="96">
        <v>9.765625E-4</v>
      </c>
      <c r="O215" s="96">
        <f t="shared" si="15"/>
        <v>0.224609375</v>
      </c>
      <c r="Q215" s="96">
        <f t="shared" si="12"/>
        <v>0</v>
      </c>
      <c r="R215" s="96">
        <f t="shared" si="13"/>
        <v>0</v>
      </c>
      <c r="S215" s="96">
        <f t="shared" si="14"/>
        <v>1</v>
      </c>
    </row>
    <row r="216" spans="1:19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4.7581049060467198</v>
      </c>
      <c r="H216">
        <v>9.765625E-4</v>
      </c>
      <c r="I216">
        <v>-0.85333464175751683</v>
      </c>
      <c r="J216">
        <v>-8.3333461109132503E-4</v>
      </c>
      <c r="L216" s="101"/>
      <c r="M216" s="101">
        <v>3.6699535247005088</v>
      </c>
      <c r="N216" s="96">
        <v>1.953125E-3</v>
      </c>
      <c r="O216" s="96">
        <f t="shared" si="15"/>
        <v>0.2265625</v>
      </c>
      <c r="Q216" s="96">
        <f t="shared" si="12"/>
        <v>0</v>
      </c>
      <c r="R216" s="96">
        <f t="shared" si="13"/>
        <v>0</v>
      </c>
      <c r="S216" s="96">
        <f t="shared" si="14"/>
        <v>1</v>
      </c>
    </row>
    <row r="217" spans="1:19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8.3266835855817583</v>
      </c>
      <c r="H217">
        <v>4.8828125E-4</v>
      </c>
      <c r="I217">
        <v>-0.75763304540752341</v>
      </c>
      <c r="J217">
        <v>-3.6993801045289229E-4</v>
      </c>
      <c r="L217" s="101"/>
      <c r="M217" s="101">
        <v>3.6699535247005088</v>
      </c>
      <c r="N217" s="96">
        <v>9.765625E-4</v>
      </c>
      <c r="O217" s="96">
        <f t="shared" si="15"/>
        <v>0.2275390625</v>
      </c>
      <c r="Q217" s="96">
        <f t="shared" si="12"/>
        <v>0</v>
      </c>
      <c r="R217" s="96">
        <f t="shared" si="13"/>
        <v>0</v>
      </c>
      <c r="S217" s="96">
        <f t="shared" si="14"/>
        <v>1</v>
      </c>
    </row>
    <row r="218" spans="1:19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2.6764340096512762</v>
      </c>
      <c r="H218">
        <v>2.44140625E-4</v>
      </c>
      <c r="I218">
        <v>-0.91464939043761373</v>
      </c>
      <c r="J218">
        <v>-2.2330307383730804E-4</v>
      </c>
      <c r="L218" s="101"/>
      <c r="M218" s="101">
        <v>3.6945813024782841</v>
      </c>
      <c r="N218" s="96">
        <v>4.8828125E-4</v>
      </c>
      <c r="O218" s="96">
        <f t="shared" si="15"/>
        <v>0.22802734375</v>
      </c>
      <c r="Q218" s="96">
        <f t="shared" si="12"/>
        <v>0</v>
      </c>
      <c r="R218" s="96">
        <f t="shared" si="13"/>
        <v>0</v>
      </c>
      <c r="S218" s="96">
        <f t="shared" si="14"/>
        <v>1</v>
      </c>
    </row>
    <row r="219" spans="1:19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8.0293020289538415</v>
      </c>
      <c r="H219">
        <v>4.8828125E-4</v>
      </c>
      <c r="I219">
        <v>-0.76518059511908776</v>
      </c>
      <c r="J219">
        <v>-3.7362333746049207E-4</v>
      </c>
      <c r="L219" s="101"/>
      <c r="M219" s="101">
        <v>3.6945813024782841</v>
      </c>
      <c r="N219" s="96">
        <v>9.765625E-4</v>
      </c>
      <c r="O219" s="96">
        <f t="shared" si="15"/>
        <v>0.22900390625</v>
      </c>
      <c r="Q219" s="96">
        <f t="shared" si="12"/>
        <v>0</v>
      </c>
      <c r="R219" s="96">
        <f t="shared" si="13"/>
        <v>0</v>
      </c>
      <c r="S219" s="96">
        <f t="shared" si="14"/>
        <v>1</v>
      </c>
    </row>
    <row r="220" spans="1:19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12.043953043430761</v>
      </c>
      <c r="H220">
        <v>2.44140625E-4</v>
      </c>
      <c r="I220">
        <v>-0.6693386782430063</v>
      </c>
      <c r="J220">
        <v>-1.6341276324292146E-4</v>
      </c>
      <c r="L220" s="101"/>
      <c r="M220" s="101">
        <v>3.6945813024782841</v>
      </c>
      <c r="N220" s="96">
        <v>4.8828125E-4</v>
      </c>
      <c r="O220" s="96">
        <f t="shared" si="15"/>
        <v>0.2294921875</v>
      </c>
      <c r="Q220" s="96">
        <f t="shared" si="12"/>
        <v>0</v>
      </c>
      <c r="R220" s="96">
        <f t="shared" si="13"/>
        <v>0</v>
      </c>
      <c r="S220" s="96">
        <f t="shared" si="14"/>
        <v>1</v>
      </c>
    </row>
    <row r="221" spans="1:19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1.3382170048256403</v>
      </c>
      <c r="H221">
        <v>4.8828125E-4</v>
      </c>
      <c r="I221">
        <v>-0.9563730393719877</v>
      </c>
      <c r="J221">
        <v>-4.6697902313085337E-4</v>
      </c>
      <c r="L221" s="101"/>
      <c r="M221" s="101">
        <v>3.8066835520819877</v>
      </c>
      <c r="N221" s="96">
        <v>1.953125E-3</v>
      </c>
      <c r="O221" s="96">
        <f t="shared" si="15"/>
        <v>0.2314453125</v>
      </c>
      <c r="Q221" s="96">
        <f t="shared" si="12"/>
        <v>0</v>
      </c>
      <c r="R221" s="96">
        <f t="shared" si="13"/>
        <v>0</v>
      </c>
      <c r="S221" s="96">
        <f t="shared" si="14"/>
        <v>1</v>
      </c>
    </row>
    <row r="222" spans="1:19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6.6910850241282009</v>
      </c>
      <c r="H222">
        <v>9.765625E-4</v>
      </c>
      <c r="I222">
        <v>-0.80008591168729681</v>
      </c>
      <c r="J222">
        <v>-7.8133389813212579E-4</v>
      </c>
      <c r="L222" s="101"/>
      <c r="M222" s="101">
        <v>3.8066835520819877</v>
      </c>
      <c r="N222" s="96">
        <v>3.90625E-3</v>
      </c>
      <c r="O222" s="96">
        <f t="shared" si="15"/>
        <v>0.2353515625</v>
      </c>
      <c r="Q222" s="96">
        <f t="shared" si="12"/>
        <v>0</v>
      </c>
      <c r="R222" s="96">
        <f t="shared" si="13"/>
        <v>0</v>
      </c>
      <c r="S222" s="96">
        <f t="shared" si="14"/>
        <v>1</v>
      </c>
    </row>
    <row r="223" spans="1:19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10.705736038605115</v>
      </c>
      <c r="H223">
        <v>4.8828125E-4</v>
      </c>
      <c r="I223">
        <v>-0.69987196490036419</v>
      </c>
      <c r="J223">
        <v>-3.4173435786150595E-4</v>
      </c>
      <c r="L223" s="101"/>
      <c r="M223" s="101">
        <v>3.8066835520819877</v>
      </c>
      <c r="N223" s="96">
        <v>1.953125E-3</v>
      </c>
      <c r="O223" s="96">
        <f t="shared" si="15"/>
        <v>0.2373046875</v>
      </c>
      <c r="Q223" s="96">
        <f t="shared" si="12"/>
        <v>0</v>
      </c>
      <c r="R223" s="96">
        <f t="shared" si="13"/>
        <v>0</v>
      </c>
      <c r="S223" s="96">
        <f t="shared" si="14"/>
        <v>1</v>
      </c>
    </row>
    <row r="224" spans="1:19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0</v>
      </c>
      <c r="H224">
        <v>2.44140625E-4</v>
      </c>
      <c r="I224">
        <v>-1</v>
      </c>
      <c r="J224">
        <v>-2.44140625E-4</v>
      </c>
      <c r="L224" s="101"/>
      <c r="M224" s="101">
        <v>3.819109929021486</v>
      </c>
      <c r="N224" s="96">
        <v>1.953125E-3</v>
      </c>
      <c r="O224" s="96">
        <f t="shared" si="15"/>
        <v>0.2392578125</v>
      </c>
      <c r="Q224" s="96">
        <f t="shared" si="12"/>
        <v>0</v>
      </c>
      <c r="R224" s="96">
        <f t="shared" si="13"/>
        <v>0</v>
      </c>
      <c r="S224" s="96">
        <f t="shared" si="14"/>
        <v>1</v>
      </c>
    </row>
    <row r="225" spans="1:19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5.3528680193025586</v>
      </c>
      <c r="H225">
        <v>4.8828125E-4</v>
      </c>
      <c r="I225">
        <v>-0.83658350742789822</v>
      </c>
      <c r="J225">
        <v>-4.0848804073627843E-4</v>
      </c>
      <c r="L225" s="101"/>
      <c r="M225" s="101">
        <v>3.819109929021486</v>
      </c>
      <c r="N225" s="96">
        <v>3.90625E-3</v>
      </c>
      <c r="O225" s="96">
        <f t="shared" si="15"/>
        <v>0.2431640625</v>
      </c>
      <c r="Q225" s="96">
        <f t="shared" si="12"/>
        <v>0</v>
      </c>
      <c r="R225" s="96">
        <f t="shared" si="13"/>
        <v>0</v>
      </c>
      <c r="S225" s="96">
        <f t="shared" si="14"/>
        <v>1</v>
      </c>
    </row>
    <row r="226" spans="1:19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9.3675190337794767</v>
      </c>
      <c r="H226">
        <v>2.44140625E-4</v>
      </c>
      <c r="I226">
        <v>-0.73179809142250851</v>
      </c>
      <c r="J226">
        <v>-1.7866164341369837E-4</v>
      </c>
      <c r="L226" s="101"/>
      <c r="M226" s="101">
        <v>3.819109929021486</v>
      </c>
      <c r="N226" s="96">
        <v>1.953125E-3</v>
      </c>
      <c r="O226" s="96">
        <f t="shared" si="15"/>
        <v>0.2451171875</v>
      </c>
      <c r="Q226" s="96">
        <f t="shared" si="12"/>
        <v>0</v>
      </c>
      <c r="R226" s="96">
        <f t="shared" si="13"/>
        <v>0</v>
      </c>
      <c r="S226" s="96">
        <f t="shared" si="14"/>
        <v>1</v>
      </c>
    </row>
    <row r="227" spans="1:19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2.6764340096512762</v>
      </c>
      <c r="H227">
        <v>4.8828125E-4</v>
      </c>
      <c r="I227">
        <v>-0.91464939043761373</v>
      </c>
      <c r="J227">
        <v>-4.4660614767461608E-4</v>
      </c>
      <c r="L227" s="101"/>
      <c r="M227" s="101">
        <v>3.819109929021486</v>
      </c>
      <c r="N227" s="96">
        <v>9.765625E-4</v>
      </c>
      <c r="O227" s="96">
        <f t="shared" si="15"/>
        <v>0.24609375</v>
      </c>
      <c r="Q227" s="96">
        <f t="shared" si="12"/>
        <v>0</v>
      </c>
      <c r="R227" s="96">
        <f t="shared" si="13"/>
        <v>0</v>
      </c>
      <c r="S227" s="96">
        <f t="shared" si="14"/>
        <v>1</v>
      </c>
    </row>
    <row r="228" spans="1:19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8.0293020289538415</v>
      </c>
      <c r="H228">
        <v>9.765625E-4</v>
      </c>
      <c r="I228">
        <v>-0.76518059511908776</v>
      </c>
      <c r="J228">
        <v>-7.4724667492098414E-4</v>
      </c>
      <c r="L228" s="101"/>
      <c r="M228" s="101">
        <v>3.819109929021486</v>
      </c>
      <c r="N228" s="96">
        <v>1.953125E-3</v>
      </c>
      <c r="O228" s="96">
        <f t="shared" si="15"/>
        <v>0.248046875</v>
      </c>
      <c r="Q228" s="96">
        <f t="shared" si="12"/>
        <v>0</v>
      </c>
      <c r="R228" s="96">
        <f t="shared" si="13"/>
        <v>0</v>
      </c>
      <c r="S228" s="96">
        <f t="shared" si="14"/>
        <v>1</v>
      </c>
    </row>
    <row r="229" spans="1:19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12.043953043430761</v>
      </c>
      <c r="H229">
        <v>4.8828125E-4</v>
      </c>
      <c r="I229">
        <v>-0.6693386782430063</v>
      </c>
      <c r="J229">
        <v>-3.2682552648584292E-4</v>
      </c>
      <c r="L229" s="101"/>
      <c r="M229" s="101">
        <v>3.819109929021486</v>
      </c>
      <c r="N229" s="96">
        <v>9.765625E-4</v>
      </c>
      <c r="O229" s="96">
        <f t="shared" si="15"/>
        <v>0.2490234375</v>
      </c>
      <c r="Q229" s="96">
        <f t="shared" si="12"/>
        <v>0</v>
      </c>
      <c r="R229" s="96">
        <f t="shared" si="13"/>
        <v>0</v>
      </c>
      <c r="S229" s="96">
        <f t="shared" si="14"/>
        <v>1</v>
      </c>
    </row>
    <row r="230" spans="1:19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1.3382170048256403</v>
      </c>
      <c r="H230">
        <v>9.765625E-4</v>
      </c>
      <c r="I230">
        <v>-0.9563730393719877</v>
      </c>
      <c r="J230">
        <v>-9.3395804626170674E-4</v>
      </c>
      <c r="L230" s="101"/>
      <c r="M230" s="101">
        <v>3.819109929021486</v>
      </c>
      <c r="N230" s="96">
        <v>9.765625E-4</v>
      </c>
      <c r="O230" s="96">
        <f t="shared" si="15"/>
        <v>0.25</v>
      </c>
      <c r="Q230" s="96">
        <f t="shared" si="12"/>
        <v>0</v>
      </c>
      <c r="R230" s="96">
        <f t="shared" si="13"/>
        <v>0</v>
      </c>
      <c r="S230" s="96">
        <f t="shared" si="14"/>
        <v>1</v>
      </c>
    </row>
    <row r="231" spans="1:19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6.6910850241282009</v>
      </c>
      <c r="H231">
        <v>1.953125E-3</v>
      </c>
      <c r="I231">
        <v>-0.80008591168729681</v>
      </c>
      <c r="J231">
        <v>-1.5626677962642516E-3</v>
      </c>
      <c r="L231" s="101"/>
      <c r="M231" s="101">
        <v>3.819109929021486</v>
      </c>
      <c r="N231" s="96">
        <v>1.953125E-3</v>
      </c>
      <c r="O231" s="96">
        <f t="shared" si="15"/>
        <v>0.251953125</v>
      </c>
      <c r="Q231" s="96">
        <f t="shared" si="12"/>
        <v>0</v>
      </c>
      <c r="R231" s="96">
        <f t="shared" si="13"/>
        <v>0</v>
      </c>
      <c r="S231" s="96">
        <f t="shared" si="14"/>
        <v>1</v>
      </c>
    </row>
    <row r="232" spans="1:19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10.705736038605115</v>
      </c>
      <c r="H232">
        <v>9.765625E-4</v>
      </c>
      <c r="I232">
        <v>-0.69987196490036419</v>
      </c>
      <c r="J232">
        <v>-6.834687157230119E-4</v>
      </c>
      <c r="L232" s="101"/>
      <c r="M232" s="101">
        <v>3.819109929021486</v>
      </c>
      <c r="N232" s="96">
        <v>9.765625E-4</v>
      </c>
      <c r="O232" s="96">
        <f t="shared" si="15"/>
        <v>0.2529296875</v>
      </c>
      <c r="Q232" s="96">
        <f t="shared" si="12"/>
        <v>0</v>
      </c>
      <c r="R232" s="96">
        <f t="shared" si="13"/>
        <v>0</v>
      </c>
      <c r="S232" s="96">
        <f t="shared" si="14"/>
        <v>1</v>
      </c>
    </row>
    <row r="233" spans="1:19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0</v>
      </c>
      <c r="H233">
        <v>4.8828125E-4</v>
      </c>
      <c r="I233">
        <v>-1</v>
      </c>
      <c r="J233">
        <v>-4.8828125E-4</v>
      </c>
      <c r="L233" s="101"/>
      <c r="M233" s="101">
        <v>3.819109929021486</v>
      </c>
      <c r="N233" s="96">
        <v>4.8828125E-4</v>
      </c>
      <c r="O233" s="96">
        <f t="shared" si="15"/>
        <v>0.25341796875</v>
      </c>
      <c r="Q233" s="96">
        <f t="shared" si="12"/>
        <v>0</v>
      </c>
      <c r="R233" s="96">
        <f t="shared" si="13"/>
        <v>0</v>
      </c>
      <c r="S233" s="96">
        <f t="shared" si="14"/>
        <v>1</v>
      </c>
    </row>
    <row r="234" spans="1:19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5.3528680193025586</v>
      </c>
      <c r="H234">
        <v>9.765625E-4</v>
      </c>
      <c r="I234">
        <v>-0.83658350742789822</v>
      </c>
      <c r="J234">
        <v>-8.1697608147255686E-4</v>
      </c>
      <c r="L234" s="101"/>
      <c r="M234" s="101">
        <v>3.819109929021486</v>
      </c>
      <c r="N234" s="96">
        <v>9.765625E-4</v>
      </c>
      <c r="O234" s="96">
        <f t="shared" si="15"/>
        <v>0.25439453125</v>
      </c>
      <c r="Q234" s="96">
        <f t="shared" si="12"/>
        <v>0</v>
      </c>
      <c r="R234" s="96">
        <f t="shared" si="13"/>
        <v>0</v>
      </c>
      <c r="S234" s="96">
        <f t="shared" si="14"/>
        <v>1</v>
      </c>
    </row>
    <row r="235" spans="1:19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9.3675190337794767</v>
      </c>
      <c r="H235">
        <v>4.8828125E-4</v>
      </c>
      <c r="I235">
        <v>-0.73179809142250851</v>
      </c>
      <c r="J235">
        <v>-3.5732328682739673E-4</v>
      </c>
      <c r="L235" s="101"/>
      <c r="M235" s="101">
        <v>3.819109929021486</v>
      </c>
      <c r="N235" s="96">
        <v>4.8828125E-4</v>
      </c>
      <c r="O235" s="96">
        <f t="shared" si="15"/>
        <v>0.2548828125</v>
      </c>
      <c r="Q235" s="96">
        <f t="shared" si="12"/>
        <v>0</v>
      </c>
      <c r="R235" s="96">
        <f t="shared" si="13"/>
        <v>0</v>
      </c>
      <c r="S235" s="96">
        <f t="shared" si="14"/>
        <v>1</v>
      </c>
    </row>
    <row r="236" spans="1:19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2.6764340096512762</v>
      </c>
      <c r="H236">
        <v>2.44140625E-4</v>
      </c>
      <c r="I236">
        <v>-0.91464939043761373</v>
      </c>
      <c r="J236">
        <v>-2.2330307383730804E-4</v>
      </c>
      <c r="L236" s="101"/>
      <c r="M236" s="101">
        <v>3.8661629825832633</v>
      </c>
      <c r="N236" s="96">
        <v>1.953125E-3</v>
      </c>
      <c r="O236" s="96">
        <f t="shared" si="15"/>
        <v>0.2568359375</v>
      </c>
      <c r="Q236" s="96">
        <f t="shared" si="12"/>
        <v>0</v>
      </c>
      <c r="R236" s="96">
        <f t="shared" si="13"/>
        <v>0</v>
      </c>
      <c r="S236" s="96">
        <f t="shared" si="14"/>
        <v>1</v>
      </c>
    </row>
    <row r="237" spans="1:19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8.0293020289538415</v>
      </c>
      <c r="H237">
        <v>4.8828125E-4</v>
      </c>
      <c r="I237">
        <v>-0.76518059511908776</v>
      </c>
      <c r="J237">
        <v>-3.7362333746049207E-4</v>
      </c>
      <c r="L237" s="101"/>
      <c r="M237" s="101">
        <v>3.8661629825832633</v>
      </c>
      <c r="N237" s="96">
        <v>3.90625E-3</v>
      </c>
      <c r="O237" s="96">
        <f t="shared" si="15"/>
        <v>0.2607421875</v>
      </c>
      <c r="Q237" s="96">
        <f t="shared" si="12"/>
        <v>0</v>
      </c>
      <c r="R237" s="96">
        <f t="shared" si="13"/>
        <v>0</v>
      </c>
      <c r="S237" s="96">
        <f t="shared" si="14"/>
        <v>1</v>
      </c>
    </row>
    <row r="238" spans="1:19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12.043953043430761</v>
      </c>
      <c r="H238">
        <v>2.44140625E-4</v>
      </c>
      <c r="I238">
        <v>-0.6693386782430063</v>
      </c>
      <c r="J238">
        <v>-1.6341276324292146E-4</v>
      </c>
      <c r="L238" s="101"/>
      <c r="M238" s="101">
        <v>3.8661629825832633</v>
      </c>
      <c r="N238" s="96">
        <v>1.953125E-3</v>
      </c>
      <c r="O238" s="96">
        <f t="shared" si="15"/>
        <v>0.2626953125</v>
      </c>
      <c r="Q238" s="96">
        <f t="shared" si="12"/>
        <v>0</v>
      </c>
      <c r="R238" s="96">
        <f t="shared" si="13"/>
        <v>0</v>
      </c>
      <c r="S238" s="96">
        <f t="shared" si="14"/>
        <v>1</v>
      </c>
    </row>
    <row r="239" spans="1:19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1.3382170048256403</v>
      </c>
      <c r="H239">
        <v>4.8828125E-4</v>
      </c>
      <c r="I239">
        <v>-0.9563730393719877</v>
      </c>
      <c r="J239">
        <v>-4.6697902313085337E-4</v>
      </c>
      <c r="L239" s="101"/>
      <c r="M239" s="101">
        <v>3.8661629825832646</v>
      </c>
      <c r="N239" s="96">
        <v>9.765625E-4</v>
      </c>
      <c r="O239" s="96">
        <f t="shared" si="15"/>
        <v>0.263671875</v>
      </c>
      <c r="Q239" s="96">
        <f t="shared" si="12"/>
        <v>0</v>
      </c>
      <c r="R239" s="96">
        <f t="shared" si="13"/>
        <v>0</v>
      </c>
      <c r="S239" s="96">
        <f t="shared" si="14"/>
        <v>1</v>
      </c>
    </row>
    <row r="240" spans="1:19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6.6910850241282009</v>
      </c>
      <c r="H240">
        <v>9.765625E-4</v>
      </c>
      <c r="I240">
        <v>-0.80008591168729681</v>
      </c>
      <c r="J240">
        <v>-7.8133389813212579E-4</v>
      </c>
      <c r="L240" s="101"/>
      <c r="M240" s="101">
        <v>3.8661629825832646</v>
      </c>
      <c r="N240" s="96">
        <v>1.953125E-3</v>
      </c>
      <c r="O240" s="96">
        <f t="shared" si="15"/>
        <v>0.265625</v>
      </c>
      <c r="Q240" s="96">
        <f t="shared" si="12"/>
        <v>0</v>
      </c>
      <c r="R240" s="96">
        <f t="shared" si="13"/>
        <v>0</v>
      </c>
      <c r="S240" s="96">
        <f t="shared" si="14"/>
        <v>1</v>
      </c>
    </row>
    <row r="241" spans="1:19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10.705736038605115</v>
      </c>
      <c r="H241">
        <v>4.8828125E-4</v>
      </c>
      <c r="I241">
        <v>-0.69987196490036419</v>
      </c>
      <c r="J241">
        <v>-3.4173435786150595E-4</v>
      </c>
      <c r="L241" s="101"/>
      <c r="M241" s="101">
        <v>3.8661629825832646</v>
      </c>
      <c r="N241" s="96">
        <v>9.765625E-4</v>
      </c>
      <c r="O241" s="96">
        <f t="shared" si="15"/>
        <v>0.2666015625</v>
      </c>
      <c r="Q241" s="96">
        <f t="shared" si="12"/>
        <v>0</v>
      </c>
      <c r="R241" s="96">
        <f t="shared" si="13"/>
        <v>0</v>
      </c>
      <c r="S241" s="96">
        <f t="shared" si="14"/>
        <v>1</v>
      </c>
    </row>
    <row r="242" spans="1:19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0</v>
      </c>
      <c r="H242">
        <v>2.44140625E-4</v>
      </c>
      <c r="I242">
        <v>-1</v>
      </c>
      <c r="J242">
        <v>-2.44140625E-4</v>
      </c>
      <c r="L242" s="101"/>
      <c r="M242" s="101">
        <v>3.8711930242302457</v>
      </c>
      <c r="N242" s="96">
        <v>4.8828125E-4</v>
      </c>
      <c r="O242" s="96">
        <f t="shared" si="15"/>
        <v>0.26708984375</v>
      </c>
      <c r="Q242" s="96">
        <f t="shared" si="12"/>
        <v>0</v>
      </c>
      <c r="R242" s="96">
        <f t="shared" si="13"/>
        <v>0</v>
      </c>
      <c r="S242" s="96">
        <f t="shared" si="14"/>
        <v>1</v>
      </c>
    </row>
    <row r="243" spans="1:19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5.3528680193025586</v>
      </c>
      <c r="H243">
        <v>4.8828125E-4</v>
      </c>
      <c r="I243">
        <v>-0.83658350742789822</v>
      </c>
      <c r="J243">
        <v>-4.0848804073627843E-4</v>
      </c>
      <c r="L243" s="101"/>
      <c r="M243" s="101">
        <v>3.8711930242302457</v>
      </c>
      <c r="N243" s="96">
        <v>9.765625E-4</v>
      </c>
      <c r="O243" s="96">
        <f t="shared" si="15"/>
        <v>0.26806640625</v>
      </c>
      <c r="Q243" s="96">
        <f t="shared" si="12"/>
        <v>0</v>
      </c>
      <c r="R243" s="96">
        <f t="shared" si="13"/>
        <v>0</v>
      </c>
      <c r="S243" s="96">
        <f t="shared" si="14"/>
        <v>1</v>
      </c>
    </row>
    <row r="244" spans="1:19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9.3675190337794767</v>
      </c>
      <c r="H244">
        <v>2.44140625E-4</v>
      </c>
      <c r="I244">
        <v>-0.73179809142250851</v>
      </c>
      <c r="J244">
        <v>-1.7866164341369837E-4</v>
      </c>
      <c r="L244" s="101"/>
      <c r="M244" s="101">
        <v>3.8711930242302457</v>
      </c>
      <c r="N244" s="96">
        <v>4.8828125E-4</v>
      </c>
      <c r="O244" s="96">
        <f t="shared" si="15"/>
        <v>0.2685546875</v>
      </c>
      <c r="Q244" s="96">
        <f t="shared" si="12"/>
        <v>0</v>
      </c>
      <c r="R244" s="96">
        <f t="shared" si="13"/>
        <v>0</v>
      </c>
      <c r="S244" s="96">
        <f t="shared" si="14"/>
        <v>1</v>
      </c>
    </row>
    <row r="245" spans="1:19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2.7824199861654852</v>
      </c>
      <c r="H245">
        <v>4.8828125E-4</v>
      </c>
      <c r="I245">
        <v>-0.91142375802880105</v>
      </c>
      <c r="J245">
        <v>-4.4503113185000051E-4</v>
      </c>
      <c r="L245" s="101"/>
      <c r="M245" s="101">
        <v>4.0200850636237142</v>
      </c>
      <c r="N245" s="96">
        <v>4.8828125E-4</v>
      </c>
      <c r="O245" s="96">
        <f t="shared" si="15"/>
        <v>0.26904296875</v>
      </c>
      <c r="Q245" s="96">
        <f t="shared" si="12"/>
        <v>0</v>
      </c>
      <c r="R245" s="96">
        <f t="shared" si="13"/>
        <v>1</v>
      </c>
      <c r="S245" s="96">
        <f t="shared" si="14"/>
        <v>0</v>
      </c>
    </row>
    <row r="246" spans="1:19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8.3472599584964655</v>
      </c>
      <c r="H246">
        <v>9.765625E-4</v>
      </c>
      <c r="I246">
        <v>-0.75711357890433562</v>
      </c>
      <c r="J246">
        <v>-7.3936872939876525E-4</v>
      </c>
      <c r="L246" s="101"/>
      <c r="M246" s="101">
        <v>4.0200850636237142</v>
      </c>
      <c r="N246" s="96">
        <v>9.765625E-4</v>
      </c>
      <c r="O246" s="96">
        <f t="shared" si="15"/>
        <v>0.27001953125</v>
      </c>
      <c r="Q246" s="96">
        <f t="shared" si="12"/>
        <v>0</v>
      </c>
      <c r="R246" s="96">
        <f t="shared" si="13"/>
        <v>1</v>
      </c>
      <c r="S246" s="96">
        <f t="shared" si="14"/>
        <v>0</v>
      </c>
    </row>
    <row r="247" spans="1:19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12.5208899377447</v>
      </c>
      <c r="H247">
        <v>4.8828125E-4</v>
      </c>
      <c r="I247">
        <v>-0.65878174013127999</v>
      </c>
      <c r="J247">
        <v>-3.2167077154847656E-4</v>
      </c>
      <c r="L247" s="101"/>
      <c r="M247" s="101">
        <v>4.0200850636237142</v>
      </c>
      <c r="N247" s="96">
        <v>4.8828125E-4</v>
      </c>
      <c r="O247" s="96">
        <f t="shared" si="15"/>
        <v>0.2705078125</v>
      </c>
      <c r="Q247" s="96">
        <f t="shared" si="12"/>
        <v>0</v>
      </c>
      <c r="R247" s="96">
        <f t="shared" si="13"/>
        <v>1</v>
      </c>
      <c r="S247" s="96">
        <f t="shared" si="14"/>
        <v>0</v>
      </c>
    </row>
    <row r="248" spans="1:19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1.3912099930827422</v>
      </c>
      <c r="H248">
        <v>9.765625E-4</v>
      </c>
      <c r="I248">
        <v>-0.95468516173071483</v>
      </c>
      <c r="J248">
        <v>-9.323097282526512E-4</v>
      </c>
      <c r="L248" s="101"/>
      <c r="M248" s="101">
        <v>4.1374825269971502</v>
      </c>
      <c r="N248" s="96">
        <v>9.765625E-4</v>
      </c>
      <c r="O248" s="96">
        <f t="shared" si="15"/>
        <v>0.271484375</v>
      </c>
      <c r="Q248" s="96">
        <f t="shared" si="12"/>
        <v>0</v>
      </c>
      <c r="R248" s="96">
        <f t="shared" si="13"/>
        <v>1</v>
      </c>
      <c r="S248" s="96">
        <f t="shared" si="14"/>
        <v>0</v>
      </c>
    </row>
    <row r="249" spans="1:19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6.9560499654137216</v>
      </c>
      <c r="H249">
        <v>1.953125E-3</v>
      </c>
      <c r="I249">
        <v>-0.7930505356674773</v>
      </c>
      <c r="J249">
        <v>-1.5489268274755416E-3</v>
      </c>
      <c r="L249" s="101"/>
      <c r="M249" s="101">
        <v>4.1374825269971502</v>
      </c>
      <c r="N249" s="96">
        <v>1.953125E-3</v>
      </c>
      <c r="O249" s="96">
        <f t="shared" si="15"/>
        <v>0.2734375</v>
      </c>
      <c r="Q249" s="96">
        <f t="shared" si="12"/>
        <v>0</v>
      </c>
      <c r="R249" s="96">
        <f t="shared" si="13"/>
        <v>1</v>
      </c>
      <c r="S249" s="96">
        <f t="shared" si="14"/>
        <v>0</v>
      </c>
    </row>
    <row r="250" spans="1:19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11.129679944661959</v>
      </c>
      <c r="H250">
        <v>9.765625E-4</v>
      </c>
      <c r="I250">
        <v>-0.6900513033396245</v>
      </c>
      <c r="J250">
        <v>-6.7387822591760205E-4</v>
      </c>
      <c r="L250" s="101"/>
      <c r="M250" s="101">
        <v>4.1374825269971502</v>
      </c>
      <c r="N250" s="96">
        <v>9.765625E-4</v>
      </c>
      <c r="O250" s="96">
        <f t="shared" si="15"/>
        <v>0.2744140625</v>
      </c>
      <c r="Q250" s="96">
        <f t="shared" si="12"/>
        <v>0</v>
      </c>
      <c r="R250" s="96">
        <f t="shared" si="13"/>
        <v>1</v>
      </c>
      <c r="S250" s="96">
        <f t="shared" si="14"/>
        <v>0</v>
      </c>
    </row>
    <row r="251" spans="1:19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0</v>
      </c>
      <c r="H251">
        <v>4.8828125E-4</v>
      </c>
      <c r="I251">
        <v>-1</v>
      </c>
      <c r="J251">
        <v>-4.8828125E-4</v>
      </c>
      <c r="L251" s="101"/>
      <c r="M251" s="101">
        <v>4.1689771030171885</v>
      </c>
      <c r="N251" s="96">
        <v>4.8828125E-4</v>
      </c>
      <c r="O251" s="96">
        <f t="shared" si="15"/>
        <v>0.27490234375</v>
      </c>
      <c r="Q251" s="96">
        <f t="shared" si="12"/>
        <v>0</v>
      </c>
      <c r="R251" s="96">
        <f t="shared" si="13"/>
        <v>1</v>
      </c>
      <c r="S251" s="96">
        <f t="shared" si="14"/>
        <v>0</v>
      </c>
    </row>
    <row r="252" spans="1:19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5.5648399723309776</v>
      </c>
      <c r="H252">
        <v>9.765625E-4</v>
      </c>
      <c r="I252">
        <v>-0.83069326669934229</v>
      </c>
      <c r="J252">
        <v>-8.1122389326107646E-4</v>
      </c>
      <c r="L252" s="101"/>
      <c r="M252" s="101">
        <v>4.1689771030171885</v>
      </c>
      <c r="N252" s="96">
        <v>9.765625E-4</v>
      </c>
      <c r="O252" s="96">
        <f t="shared" si="15"/>
        <v>0.27587890625</v>
      </c>
      <c r="Q252" s="96">
        <f t="shared" si="12"/>
        <v>0</v>
      </c>
      <c r="R252" s="96">
        <f t="shared" si="13"/>
        <v>1</v>
      </c>
      <c r="S252" s="96">
        <f t="shared" si="14"/>
        <v>0</v>
      </c>
    </row>
    <row r="253" spans="1:19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9.7384699515792139</v>
      </c>
      <c r="H253">
        <v>4.8828125E-4</v>
      </c>
      <c r="I253">
        <v>-0.72280509952480576</v>
      </c>
      <c r="J253">
        <v>-3.5293217750234656E-4</v>
      </c>
      <c r="L253" s="101"/>
      <c r="M253" s="101">
        <v>4.1689771030171885</v>
      </c>
      <c r="N253" s="96">
        <v>4.8828125E-4</v>
      </c>
      <c r="O253" s="96">
        <f t="shared" si="15"/>
        <v>0.2763671875</v>
      </c>
      <c r="Q253" s="96">
        <f t="shared" si="12"/>
        <v>0</v>
      </c>
      <c r="R253" s="96">
        <f t="shared" si="13"/>
        <v>1</v>
      </c>
      <c r="S253" s="96">
        <f t="shared" si="14"/>
        <v>0</v>
      </c>
    </row>
    <row r="254" spans="1:19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2.7824199861654852</v>
      </c>
      <c r="H254">
        <v>9.765625E-4</v>
      </c>
      <c r="I254">
        <v>-0.91142375802880105</v>
      </c>
      <c r="J254">
        <v>-8.9006226370000102E-4</v>
      </c>
      <c r="L254" s="101"/>
      <c r="M254" s="101">
        <v>4.2021306914814778</v>
      </c>
      <c r="N254" s="96">
        <v>4.8828125E-4</v>
      </c>
      <c r="O254" s="96">
        <f t="shared" si="15"/>
        <v>0.27685546875</v>
      </c>
      <c r="Q254" s="96">
        <f t="shared" si="12"/>
        <v>0</v>
      </c>
      <c r="R254" s="96">
        <f t="shared" si="13"/>
        <v>1</v>
      </c>
      <c r="S254" s="96">
        <f t="shared" si="14"/>
        <v>0</v>
      </c>
    </row>
    <row r="255" spans="1:19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8.3472599584964655</v>
      </c>
      <c r="H255">
        <v>1.953125E-3</v>
      </c>
      <c r="I255">
        <v>-0.75711357890433562</v>
      </c>
      <c r="J255">
        <v>-1.4787374587975305E-3</v>
      </c>
      <c r="L255" s="101"/>
      <c r="M255" s="101">
        <v>4.2021306914814778</v>
      </c>
      <c r="N255" s="96">
        <v>9.765625E-4</v>
      </c>
      <c r="O255" s="96">
        <f t="shared" si="15"/>
        <v>0.27783203125</v>
      </c>
      <c r="Q255" s="96">
        <f t="shared" si="12"/>
        <v>0</v>
      </c>
      <c r="R255" s="96">
        <f t="shared" si="13"/>
        <v>1</v>
      </c>
      <c r="S255" s="96">
        <f t="shared" si="14"/>
        <v>0</v>
      </c>
    </row>
    <row r="256" spans="1:19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12.5208899377447</v>
      </c>
      <c r="H256">
        <v>9.765625E-4</v>
      </c>
      <c r="I256">
        <v>-0.65878174013127999</v>
      </c>
      <c r="J256">
        <v>-6.4334154309695312E-4</v>
      </c>
      <c r="L256" s="101"/>
      <c r="M256" s="101">
        <v>4.2021306914814778</v>
      </c>
      <c r="N256" s="96">
        <v>4.8828125E-4</v>
      </c>
      <c r="O256" s="96">
        <f t="shared" si="15"/>
        <v>0.2783203125</v>
      </c>
      <c r="Q256" s="96">
        <f t="shared" si="12"/>
        <v>0</v>
      </c>
      <c r="R256" s="96">
        <f t="shared" si="13"/>
        <v>1</v>
      </c>
      <c r="S256" s="96">
        <f t="shared" si="14"/>
        <v>0</v>
      </c>
    </row>
    <row r="257" spans="1:19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1.3912099930827422</v>
      </c>
      <c r="H257">
        <v>1.953125E-3</v>
      </c>
      <c r="I257">
        <v>-0.95468516173071483</v>
      </c>
      <c r="J257">
        <v>-1.8646194565053024E-3</v>
      </c>
      <c r="L257" s="101"/>
      <c r="M257" s="101">
        <v>4.2021306914814804</v>
      </c>
      <c r="N257" s="96">
        <v>9.765625E-4</v>
      </c>
      <c r="O257" s="96">
        <f t="shared" si="15"/>
        <v>0.279296875</v>
      </c>
      <c r="Q257" s="96">
        <f t="shared" si="12"/>
        <v>0</v>
      </c>
      <c r="R257" s="96">
        <f t="shared" si="13"/>
        <v>1</v>
      </c>
      <c r="S257" s="96">
        <f t="shared" si="14"/>
        <v>0</v>
      </c>
    </row>
    <row r="258" spans="1:19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6.9560499654137216</v>
      </c>
      <c r="H258">
        <v>3.90625E-3</v>
      </c>
      <c r="I258">
        <v>-0.7930505356674773</v>
      </c>
      <c r="J258">
        <v>-3.0978536549510832E-3</v>
      </c>
      <c r="L258" s="101"/>
      <c r="M258" s="101">
        <v>4.2021306914814804</v>
      </c>
      <c r="N258" s="96">
        <v>1.953125E-3</v>
      </c>
      <c r="O258" s="96">
        <f t="shared" si="15"/>
        <v>0.28125</v>
      </c>
      <c r="Q258" s="96">
        <f t="shared" si="12"/>
        <v>0</v>
      </c>
      <c r="R258" s="96">
        <f t="shared" si="13"/>
        <v>1</v>
      </c>
      <c r="S258" s="96">
        <f t="shared" si="14"/>
        <v>0</v>
      </c>
    </row>
    <row r="259" spans="1:19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11.129679944661959</v>
      </c>
      <c r="H259">
        <v>1.953125E-3</v>
      </c>
      <c r="I259">
        <v>-0.6900513033396245</v>
      </c>
      <c r="J259">
        <v>-1.3477564518352041E-3</v>
      </c>
      <c r="L259" s="101"/>
      <c r="M259" s="101">
        <v>4.2021306914814804</v>
      </c>
      <c r="N259" s="96">
        <v>9.765625E-4</v>
      </c>
      <c r="O259" s="96">
        <f t="shared" si="15"/>
        <v>0.2822265625</v>
      </c>
      <c r="Q259" s="96">
        <f t="shared" ref="Q259:Q322" si="16">IF(A259=3,1,0)</f>
        <v>0</v>
      </c>
      <c r="R259" s="96">
        <f t="shared" ref="R259:R322" si="17">IF(A259=2,1,0)</f>
        <v>1</v>
      </c>
      <c r="S259" s="96">
        <f t="shared" ref="S259:S322" si="18">IF(A259=1,1,0)</f>
        <v>0</v>
      </c>
    </row>
    <row r="260" spans="1:19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0</v>
      </c>
      <c r="H260">
        <v>9.765625E-4</v>
      </c>
      <c r="I260">
        <v>-1</v>
      </c>
      <c r="J260">
        <v>-9.765625E-4</v>
      </c>
      <c r="L260" s="101"/>
      <c r="M260" s="101">
        <v>4.2825189960922359</v>
      </c>
      <c r="N260" s="96">
        <v>9.765625E-4</v>
      </c>
      <c r="O260" s="96">
        <f t="shared" ref="O260:O323" si="19">N260+O259</f>
        <v>0.283203125</v>
      </c>
      <c r="Q260" s="96">
        <f t="shared" si="16"/>
        <v>0</v>
      </c>
      <c r="R260" s="96">
        <f t="shared" si="17"/>
        <v>1</v>
      </c>
      <c r="S260" s="96">
        <f t="shared" si="18"/>
        <v>0</v>
      </c>
    </row>
    <row r="261" spans="1:19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5.5648399723309776</v>
      </c>
      <c r="H261">
        <v>1.953125E-3</v>
      </c>
      <c r="I261">
        <v>-0.83069326669934229</v>
      </c>
      <c r="J261">
        <v>-1.6224477865221529E-3</v>
      </c>
      <c r="L261" s="101"/>
      <c r="M261" s="101">
        <v>4.2825189960922359</v>
      </c>
      <c r="N261" s="96">
        <v>1.953125E-3</v>
      </c>
      <c r="O261" s="96">
        <f t="shared" si="19"/>
        <v>0.28515625</v>
      </c>
      <c r="Q261" s="96">
        <f t="shared" si="16"/>
        <v>0</v>
      </c>
      <c r="R261" s="96">
        <f t="shared" si="17"/>
        <v>1</v>
      </c>
      <c r="S261" s="96">
        <f t="shared" si="18"/>
        <v>0</v>
      </c>
    </row>
    <row r="262" spans="1:19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9.7384699515792139</v>
      </c>
      <c r="H262">
        <v>9.765625E-4</v>
      </c>
      <c r="I262">
        <v>-0.72280509952480576</v>
      </c>
      <c r="J262">
        <v>-7.0586435500469313E-4</v>
      </c>
      <c r="L262" s="101"/>
      <c r="M262" s="101">
        <v>4.2825189960922359</v>
      </c>
      <c r="N262" s="96">
        <v>9.765625E-4</v>
      </c>
      <c r="O262" s="96">
        <f t="shared" si="19"/>
        <v>0.2861328125</v>
      </c>
      <c r="Q262" s="96">
        <f t="shared" si="16"/>
        <v>0</v>
      </c>
      <c r="R262" s="96">
        <f t="shared" si="17"/>
        <v>1</v>
      </c>
      <c r="S262" s="96">
        <f t="shared" si="18"/>
        <v>0</v>
      </c>
    </row>
    <row r="263" spans="1:19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2.7824199861654852</v>
      </c>
      <c r="H263">
        <v>4.8828125E-4</v>
      </c>
      <c r="I263">
        <v>-0.91142375802880105</v>
      </c>
      <c r="J263">
        <v>-4.4503113185000051E-4</v>
      </c>
      <c r="L263" s="101"/>
      <c r="M263" s="101">
        <v>4.3550921522590267</v>
      </c>
      <c r="N263" s="96">
        <v>2.44140625E-4</v>
      </c>
      <c r="O263" s="96">
        <f t="shared" si="19"/>
        <v>0.286376953125</v>
      </c>
      <c r="Q263" s="96">
        <f t="shared" si="16"/>
        <v>0</v>
      </c>
      <c r="R263" s="96">
        <f t="shared" si="17"/>
        <v>1</v>
      </c>
      <c r="S263" s="96">
        <f t="shared" si="18"/>
        <v>0</v>
      </c>
    </row>
    <row r="264" spans="1:19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8.3472599584964655</v>
      </c>
      <c r="H264">
        <v>9.765625E-4</v>
      </c>
      <c r="I264">
        <v>-0.75711357890433562</v>
      </c>
      <c r="J264">
        <v>-7.3936872939876525E-4</v>
      </c>
      <c r="L264" s="101"/>
      <c r="M264" s="101">
        <v>4.3550921522590267</v>
      </c>
      <c r="N264" s="96">
        <v>4.8828125E-4</v>
      </c>
      <c r="O264" s="96">
        <f t="shared" si="19"/>
        <v>0.286865234375</v>
      </c>
      <c r="Q264" s="96">
        <f t="shared" si="16"/>
        <v>0</v>
      </c>
      <c r="R264" s="96">
        <f t="shared" si="17"/>
        <v>1</v>
      </c>
      <c r="S264" s="96">
        <f t="shared" si="18"/>
        <v>0</v>
      </c>
    </row>
    <row r="265" spans="1:19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12.5208899377447</v>
      </c>
      <c r="H265">
        <v>4.8828125E-4</v>
      </c>
      <c r="I265">
        <v>-0.65878174013127999</v>
      </c>
      <c r="J265">
        <v>-3.2167077154847656E-4</v>
      </c>
      <c r="L265" s="101"/>
      <c r="M265" s="101">
        <v>4.3550921522590267</v>
      </c>
      <c r="N265" s="96">
        <v>2.44140625E-4</v>
      </c>
      <c r="O265" s="96">
        <f t="shared" si="19"/>
        <v>0.287109375</v>
      </c>
      <c r="Q265" s="96">
        <f t="shared" si="16"/>
        <v>0</v>
      </c>
      <c r="R265" s="96">
        <f t="shared" si="17"/>
        <v>1</v>
      </c>
      <c r="S265" s="96">
        <f t="shared" si="18"/>
        <v>0</v>
      </c>
    </row>
    <row r="266" spans="1:19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1.3912099930827422</v>
      </c>
      <c r="H266">
        <v>9.765625E-4</v>
      </c>
      <c r="I266">
        <v>-0.95468516173071483</v>
      </c>
      <c r="J266">
        <v>-9.323097282526512E-4</v>
      </c>
      <c r="L266" s="101"/>
      <c r="M266" s="101">
        <v>4.6393955790999195</v>
      </c>
      <c r="N266" s="96">
        <v>9.765625E-4</v>
      </c>
      <c r="O266" s="96">
        <f t="shared" si="19"/>
        <v>0.2880859375</v>
      </c>
      <c r="Q266" s="96">
        <f t="shared" si="16"/>
        <v>0</v>
      </c>
      <c r="R266" s="96">
        <f t="shared" si="17"/>
        <v>1</v>
      </c>
      <c r="S266" s="96">
        <f t="shared" si="18"/>
        <v>0</v>
      </c>
    </row>
    <row r="267" spans="1:19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6.9560499654137216</v>
      </c>
      <c r="H267">
        <v>1.953125E-3</v>
      </c>
      <c r="I267">
        <v>-0.7930505356674773</v>
      </c>
      <c r="J267">
        <v>-1.5489268274755416E-3</v>
      </c>
      <c r="L267" s="101"/>
      <c r="M267" s="101">
        <v>4.6393955790999195</v>
      </c>
      <c r="N267" s="96">
        <v>1.953125E-3</v>
      </c>
      <c r="O267" s="96">
        <f t="shared" si="19"/>
        <v>0.2900390625</v>
      </c>
      <c r="Q267" s="96">
        <f t="shared" si="16"/>
        <v>0</v>
      </c>
      <c r="R267" s="96">
        <f t="shared" si="17"/>
        <v>1</v>
      </c>
      <c r="S267" s="96">
        <f t="shared" si="18"/>
        <v>0</v>
      </c>
    </row>
    <row r="268" spans="1:19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11.129679944661959</v>
      </c>
      <c r="H268">
        <v>9.765625E-4</v>
      </c>
      <c r="I268">
        <v>-0.6900513033396245</v>
      </c>
      <c r="J268">
        <v>-6.7387822591760205E-4</v>
      </c>
      <c r="L268" s="101"/>
      <c r="M268" s="101">
        <v>4.6393955790999195</v>
      </c>
      <c r="N268" s="96">
        <v>9.765625E-4</v>
      </c>
      <c r="O268" s="96">
        <f t="shared" si="19"/>
        <v>0.291015625</v>
      </c>
      <c r="Q268" s="96">
        <f t="shared" si="16"/>
        <v>0</v>
      </c>
      <c r="R268" s="96">
        <f t="shared" si="17"/>
        <v>1</v>
      </c>
      <c r="S268" s="96">
        <f t="shared" si="18"/>
        <v>0</v>
      </c>
    </row>
    <row r="269" spans="1:19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0</v>
      </c>
      <c r="H269">
        <v>4.8828125E-4</v>
      </c>
      <c r="I269">
        <v>-1</v>
      </c>
      <c r="J269">
        <v>-4.8828125E-4</v>
      </c>
      <c r="L269" s="101"/>
      <c r="M269" s="101">
        <v>4.65466784287179</v>
      </c>
      <c r="N269" s="96">
        <v>4.8828125E-4</v>
      </c>
      <c r="O269" s="96">
        <f t="shared" si="19"/>
        <v>0.29150390625</v>
      </c>
      <c r="Q269" s="96">
        <f t="shared" si="16"/>
        <v>0</v>
      </c>
      <c r="R269" s="96">
        <f t="shared" si="17"/>
        <v>1</v>
      </c>
      <c r="S269" s="96">
        <f t="shared" si="18"/>
        <v>0</v>
      </c>
    </row>
    <row r="270" spans="1:19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5.5648399723309776</v>
      </c>
      <c r="H270">
        <v>9.765625E-4</v>
      </c>
      <c r="I270">
        <v>-0.83069326669934229</v>
      </c>
      <c r="J270">
        <v>-8.1122389326107646E-4</v>
      </c>
      <c r="L270" s="101"/>
      <c r="M270" s="101">
        <v>4.65466784287179</v>
      </c>
      <c r="N270" s="96">
        <v>9.765625E-4</v>
      </c>
      <c r="O270" s="96">
        <f t="shared" si="19"/>
        <v>0.29248046875</v>
      </c>
      <c r="Q270" s="96">
        <f t="shared" si="16"/>
        <v>0</v>
      </c>
      <c r="R270" s="96">
        <f t="shared" si="17"/>
        <v>1</v>
      </c>
      <c r="S270" s="96">
        <f t="shared" si="18"/>
        <v>0</v>
      </c>
    </row>
    <row r="271" spans="1:19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9.7384699515792139</v>
      </c>
      <c r="H271">
        <v>4.8828125E-4</v>
      </c>
      <c r="I271">
        <v>-0.72280509952480576</v>
      </c>
      <c r="J271">
        <v>-3.5293217750234656E-4</v>
      </c>
      <c r="L271" s="101"/>
      <c r="M271" s="101">
        <v>4.65466784287179</v>
      </c>
      <c r="N271" s="96">
        <v>4.8828125E-4</v>
      </c>
      <c r="O271" s="96">
        <f t="shared" si="19"/>
        <v>0.29296875</v>
      </c>
      <c r="Q271" s="96">
        <f t="shared" si="16"/>
        <v>0</v>
      </c>
      <c r="R271" s="96">
        <f t="shared" si="17"/>
        <v>1</v>
      </c>
      <c r="S271" s="96">
        <f t="shared" si="18"/>
        <v>0</v>
      </c>
    </row>
    <row r="272" spans="1:19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3.4245169060498379</v>
      </c>
      <c r="H272">
        <v>9.765625E-4</v>
      </c>
      <c r="I272">
        <v>-0.89212362448340254</v>
      </c>
      <c r="J272">
        <v>-8.712144770345728E-4</v>
      </c>
      <c r="L272" s="101"/>
      <c r="M272" s="101">
        <v>4.6900992408943338</v>
      </c>
      <c r="N272" s="96">
        <v>2.44140625E-4</v>
      </c>
      <c r="O272" s="96">
        <f t="shared" si="19"/>
        <v>0.293212890625</v>
      </c>
      <c r="Q272" s="96">
        <f t="shared" si="16"/>
        <v>0</v>
      </c>
      <c r="R272" s="96">
        <f t="shared" si="17"/>
        <v>1</v>
      </c>
      <c r="S272" s="96">
        <f t="shared" si="18"/>
        <v>0</v>
      </c>
    </row>
    <row r="273" spans="1:19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10.273550718149494</v>
      </c>
      <c r="H273">
        <v>1.953125E-3</v>
      </c>
      <c r="I273">
        <v>-0.71002741955211834</v>
      </c>
      <c r="J273">
        <v>-1.3867723038127311E-3</v>
      </c>
      <c r="L273" s="101"/>
      <c r="M273" s="101">
        <v>4.6900992408943338</v>
      </c>
      <c r="N273" s="96">
        <v>4.8828125E-4</v>
      </c>
      <c r="O273" s="96">
        <f t="shared" si="19"/>
        <v>0.293701171875</v>
      </c>
      <c r="Q273" s="96">
        <f t="shared" si="16"/>
        <v>0</v>
      </c>
      <c r="R273" s="96">
        <f t="shared" si="17"/>
        <v>1</v>
      </c>
      <c r="S273" s="96">
        <f t="shared" si="18"/>
        <v>0</v>
      </c>
    </row>
    <row r="274" spans="1:19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15.410326077224246</v>
      </c>
      <c r="H274">
        <v>9.765625E-4</v>
      </c>
      <c r="I274">
        <v>-0.59829129041804607</v>
      </c>
      <c r="J274">
        <v>-5.8426883829887312E-4</v>
      </c>
      <c r="L274" s="101"/>
      <c r="M274" s="101">
        <v>4.6900992408943338</v>
      </c>
      <c r="N274" s="96">
        <v>2.44140625E-4</v>
      </c>
      <c r="O274" s="96">
        <f t="shared" si="19"/>
        <v>0.2939453125</v>
      </c>
      <c r="Q274" s="96">
        <f t="shared" si="16"/>
        <v>0</v>
      </c>
      <c r="R274" s="96">
        <f t="shared" si="17"/>
        <v>1</v>
      </c>
      <c r="S274" s="96">
        <f t="shared" si="18"/>
        <v>0</v>
      </c>
    </row>
    <row r="275" spans="1:19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1.7122584530249172</v>
      </c>
      <c r="H275">
        <v>1.953125E-3</v>
      </c>
      <c r="I275">
        <v>-0.94452296133201685</v>
      </c>
      <c r="J275">
        <v>-1.8447714088515954E-3</v>
      </c>
      <c r="L275" s="101"/>
      <c r="M275" s="101">
        <v>4.7583544401024813</v>
      </c>
      <c r="N275" s="96">
        <v>1.953125E-3</v>
      </c>
      <c r="O275" s="96">
        <f t="shared" si="19"/>
        <v>0.2958984375</v>
      </c>
      <c r="Q275" s="96">
        <f t="shared" si="16"/>
        <v>0</v>
      </c>
      <c r="R275" s="96">
        <f t="shared" si="17"/>
        <v>1</v>
      </c>
      <c r="S275" s="96">
        <f t="shared" si="18"/>
        <v>0</v>
      </c>
    </row>
    <row r="276" spans="1:19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8.5612922651245835</v>
      </c>
      <c r="H276">
        <v>3.90625E-3</v>
      </c>
      <c r="I276">
        <v>-0.75173124277550596</v>
      </c>
      <c r="J276">
        <v>-2.9364501670918202E-3</v>
      </c>
      <c r="L276" s="101"/>
      <c r="M276" s="101">
        <v>4.7583544401024813</v>
      </c>
      <c r="N276" s="96">
        <v>3.90625E-3</v>
      </c>
      <c r="O276" s="96">
        <f t="shared" si="19"/>
        <v>0.2998046875</v>
      </c>
      <c r="Q276" s="96">
        <f t="shared" si="16"/>
        <v>0</v>
      </c>
      <c r="R276" s="96">
        <f t="shared" si="17"/>
        <v>1</v>
      </c>
      <c r="S276" s="96">
        <f t="shared" si="18"/>
        <v>0</v>
      </c>
    </row>
    <row r="277" spans="1:19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13.698067624199329</v>
      </c>
      <c r="H277">
        <v>1.953125E-3</v>
      </c>
      <c r="I277">
        <v>-0.63343223501343338</v>
      </c>
      <c r="J277">
        <v>-1.2371723340106121E-3</v>
      </c>
      <c r="L277" s="101"/>
      <c r="M277" s="101">
        <v>4.7583544401024813</v>
      </c>
      <c r="N277" s="96">
        <v>1.953125E-3</v>
      </c>
      <c r="O277" s="96">
        <f t="shared" si="19"/>
        <v>0.3017578125</v>
      </c>
      <c r="Q277" s="96">
        <f t="shared" si="16"/>
        <v>0</v>
      </c>
      <c r="R277" s="96">
        <f t="shared" si="17"/>
        <v>1</v>
      </c>
      <c r="S277" s="96">
        <f t="shared" si="18"/>
        <v>0</v>
      </c>
    </row>
    <row r="278" spans="1:19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0</v>
      </c>
      <c r="H278">
        <v>9.765625E-4</v>
      </c>
      <c r="I278">
        <v>-1</v>
      </c>
      <c r="J278">
        <v>-9.765625E-4</v>
      </c>
      <c r="L278" s="101"/>
      <c r="M278" s="101">
        <v>4.7583544401024831</v>
      </c>
      <c r="N278" s="96">
        <v>3.90625E-3</v>
      </c>
      <c r="O278" s="96">
        <f t="shared" si="19"/>
        <v>0.3056640625</v>
      </c>
      <c r="Q278" s="96">
        <f t="shared" si="16"/>
        <v>0</v>
      </c>
      <c r="R278" s="96">
        <f t="shared" si="17"/>
        <v>1</v>
      </c>
      <c r="S278" s="96">
        <f t="shared" si="18"/>
        <v>0</v>
      </c>
    </row>
    <row r="279" spans="1:19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6.8490338120996705</v>
      </c>
      <c r="H279">
        <v>1.953125E-3</v>
      </c>
      <c r="I279">
        <v>-0.79588456136140318</v>
      </c>
      <c r="J279">
        <v>-1.5544620339089906E-3</v>
      </c>
      <c r="L279" s="101"/>
      <c r="M279" s="101">
        <v>4.7583544401024831</v>
      </c>
      <c r="N279" s="96">
        <v>7.8125E-3</v>
      </c>
      <c r="O279" s="96">
        <f t="shared" si="19"/>
        <v>0.3134765625</v>
      </c>
      <c r="Q279" s="96">
        <f t="shared" si="16"/>
        <v>0</v>
      </c>
      <c r="R279" s="96">
        <f t="shared" si="17"/>
        <v>1</v>
      </c>
      <c r="S279" s="96">
        <f t="shared" si="18"/>
        <v>0</v>
      </c>
    </row>
    <row r="280" spans="1:19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11.985809171174413</v>
      </c>
      <c r="H280">
        <v>9.765625E-4</v>
      </c>
      <c r="I280">
        <v>-0.67063720094229717</v>
      </c>
      <c r="J280">
        <v>-6.5491914154521208E-4</v>
      </c>
      <c r="L280" s="101"/>
      <c r="M280" s="101">
        <v>4.7583544401024831</v>
      </c>
      <c r="N280" s="96">
        <v>3.90625E-3</v>
      </c>
      <c r="O280" s="96">
        <f t="shared" si="19"/>
        <v>0.3173828125</v>
      </c>
      <c r="Q280" s="96">
        <f t="shared" si="16"/>
        <v>0</v>
      </c>
      <c r="R280" s="96">
        <f t="shared" si="17"/>
        <v>1</v>
      </c>
      <c r="S280" s="96">
        <f t="shared" si="18"/>
        <v>0</v>
      </c>
    </row>
    <row r="281" spans="1:19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3.4245169060498379</v>
      </c>
      <c r="H281">
        <v>1.953125E-3</v>
      </c>
      <c r="I281">
        <v>-0.89212362448340254</v>
      </c>
      <c r="J281">
        <v>-1.7424289540691456E-3</v>
      </c>
      <c r="L281" s="101"/>
      <c r="M281" s="101">
        <v>4.7645452605910714</v>
      </c>
      <c r="N281" s="96">
        <v>9.765625E-4</v>
      </c>
      <c r="O281" s="96">
        <f t="shared" si="19"/>
        <v>0.318359375</v>
      </c>
      <c r="Q281" s="96">
        <f t="shared" si="16"/>
        <v>0</v>
      </c>
      <c r="R281" s="96">
        <f t="shared" si="17"/>
        <v>1</v>
      </c>
      <c r="S281" s="96">
        <f t="shared" si="18"/>
        <v>0</v>
      </c>
    </row>
    <row r="282" spans="1:19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10.273550718149494</v>
      </c>
      <c r="H282">
        <v>3.90625E-3</v>
      </c>
      <c r="I282">
        <v>-0.71002741955211834</v>
      </c>
      <c r="J282">
        <v>-2.7735446076254623E-3</v>
      </c>
      <c r="L282" s="101"/>
      <c r="M282" s="101">
        <v>4.7645452605910714</v>
      </c>
      <c r="N282" s="96">
        <v>1.953125E-3</v>
      </c>
      <c r="O282" s="96">
        <f t="shared" si="19"/>
        <v>0.3203125</v>
      </c>
      <c r="Q282" s="96">
        <f t="shared" si="16"/>
        <v>0</v>
      </c>
      <c r="R282" s="96">
        <f t="shared" si="17"/>
        <v>1</v>
      </c>
      <c r="S282" s="96">
        <f t="shared" si="18"/>
        <v>0</v>
      </c>
    </row>
    <row r="283" spans="1:19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15.410326077224246</v>
      </c>
      <c r="H283">
        <v>1.953125E-3</v>
      </c>
      <c r="I283">
        <v>-0.59829129041804607</v>
      </c>
      <c r="J283">
        <v>-1.1685376765977462E-3</v>
      </c>
      <c r="L283" s="101"/>
      <c r="M283" s="101">
        <v>4.7645452605910714</v>
      </c>
      <c r="N283" s="96">
        <v>9.765625E-4</v>
      </c>
      <c r="O283" s="96">
        <f t="shared" si="19"/>
        <v>0.3212890625</v>
      </c>
      <c r="Q283" s="96">
        <f t="shared" si="16"/>
        <v>0</v>
      </c>
      <c r="R283" s="96">
        <f t="shared" si="17"/>
        <v>1</v>
      </c>
      <c r="S283" s="96">
        <f t="shared" si="18"/>
        <v>0</v>
      </c>
    </row>
    <row r="284" spans="1:19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1.7122584530249172</v>
      </c>
      <c r="H284">
        <v>3.90625E-3</v>
      </c>
      <c r="I284">
        <v>-0.94452296133201685</v>
      </c>
      <c r="J284">
        <v>-3.6895428177031908E-3</v>
      </c>
      <c r="L284" s="101"/>
      <c r="M284" s="101">
        <v>4.8389912802878055</v>
      </c>
      <c r="N284" s="96">
        <v>9.765625E-4</v>
      </c>
      <c r="O284" s="96">
        <f t="shared" si="19"/>
        <v>0.322265625</v>
      </c>
      <c r="Q284" s="96">
        <f t="shared" si="16"/>
        <v>0</v>
      </c>
      <c r="R284" s="96">
        <f t="shared" si="17"/>
        <v>1</v>
      </c>
      <c r="S284" s="96">
        <f t="shared" si="18"/>
        <v>0</v>
      </c>
    </row>
    <row r="285" spans="1:19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8.5612922651245835</v>
      </c>
      <c r="H285">
        <v>7.8125E-3</v>
      </c>
      <c r="I285">
        <v>-0.75173124277550596</v>
      </c>
      <c r="J285">
        <v>-5.8729003341836403E-3</v>
      </c>
      <c r="L285" s="101"/>
      <c r="M285" s="101">
        <v>4.8389912802878055</v>
      </c>
      <c r="N285" s="96">
        <v>1.953125E-3</v>
      </c>
      <c r="O285" s="96">
        <f t="shared" si="19"/>
        <v>0.32421875</v>
      </c>
      <c r="Q285" s="96">
        <f t="shared" si="16"/>
        <v>0</v>
      </c>
      <c r="R285" s="96">
        <f t="shared" si="17"/>
        <v>1</v>
      </c>
      <c r="S285" s="96">
        <f t="shared" si="18"/>
        <v>0</v>
      </c>
    </row>
    <row r="286" spans="1:19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13.698067624199329</v>
      </c>
      <c r="H286">
        <v>3.90625E-3</v>
      </c>
      <c r="I286">
        <v>-0.63343223501343338</v>
      </c>
      <c r="J286">
        <v>-2.4743446680212241E-3</v>
      </c>
      <c r="L286" s="101"/>
      <c r="M286" s="101">
        <v>4.8389912802878055</v>
      </c>
      <c r="N286" s="96">
        <v>9.765625E-4</v>
      </c>
      <c r="O286" s="96">
        <f t="shared" si="19"/>
        <v>0.3251953125</v>
      </c>
      <c r="Q286" s="96">
        <f t="shared" si="16"/>
        <v>0</v>
      </c>
      <c r="R286" s="96">
        <f t="shared" si="17"/>
        <v>1</v>
      </c>
      <c r="S286" s="96">
        <f t="shared" si="18"/>
        <v>0</v>
      </c>
    </row>
    <row r="287" spans="1:19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0</v>
      </c>
      <c r="H287">
        <v>1.953125E-3</v>
      </c>
      <c r="I287">
        <v>-1</v>
      </c>
      <c r="J287">
        <v>-1.953125E-3</v>
      </c>
      <c r="L287" s="101"/>
      <c r="M287" s="101">
        <v>5.0425568297777739</v>
      </c>
      <c r="N287" s="96">
        <v>4.8828125E-4</v>
      </c>
      <c r="O287" s="96">
        <f t="shared" si="19"/>
        <v>0.32568359375</v>
      </c>
      <c r="Q287" s="96">
        <f t="shared" si="16"/>
        <v>0</v>
      </c>
      <c r="R287" s="96">
        <f t="shared" si="17"/>
        <v>1</v>
      </c>
      <c r="S287" s="96">
        <f t="shared" si="18"/>
        <v>0</v>
      </c>
    </row>
    <row r="288" spans="1:19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6.8490338120996705</v>
      </c>
      <c r="H288">
        <v>3.90625E-3</v>
      </c>
      <c r="I288">
        <v>-0.79588456136140318</v>
      </c>
      <c r="J288">
        <v>-3.1089240678179812E-3</v>
      </c>
      <c r="L288" s="101"/>
      <c r="M288" s="101">
        <v>5.0425568297777739</v>
      </c>
      <c r="N288" s="96">
        <v>9.765625E-4</v>
      </c>
      <c r="O288" s="96">
        <f t="shared" si="19"/>
        <v>0.32666015625</v>
      </c>
      <c r="Q288" s="96">
        <f t="shared" si="16"/>
        <v>0</v>
      </c>
      <c r="R288" s="96">
        <f t="shared" si="17"/>
        <v>1</v>
      </c>
      <c r="S288" s="96">
        <f t="shared" si="18"/>
        <v>0</v>
      </c>
    </row>
    <row r="289" spans="1:19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11.985809171174413</v>
      </c>
      <c r="H289">
        <v>1.953125E-3</v>
      </c>
      <c r="I289">
        <v>-0.67063720094229717</v>
      </c>
      <c r="J289">
        <v>-1.3098382830904242E-3</v>
      </c>
      <c r="L289" s="101"/>
      <c r="M289" s="101">
        <v>5.0425568297777739</v>
      </c>
      <c r="N289" s="96">
        <v>4.8828125E-4</v>
      </c>
      <c r="O289" s="96">
        <f t="shared" si="19"/>
        <v>0.3271484375</v>
      </c>
      <c r="Q289" s="96">
        <f t="shared" si="16"/>
        <v>0</v>
      </c>
      <c r="R289" s="96">
        <f t="shared" si="17"/>
        <v>1</v>
      </c>
      <c r="S289" s="96">
        <f t="shared" si="18"/>
        <v>0</v>
      </c>
    </row>
    <row r="290" spans="1:19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3.4245169060498379</v>
      </c>
      <c r="H290">
        <v>9.765625E-4</v>
      </c>
      <c r="I290">
        <v>-0.89212362448340254</v>
      </c>
      <c r="J290">
        <v>-8.712144770345728E-4</v>
      </c>
      <c r="L290" s="101"/>
      <c r="M290" s="101">
        <v>5.1602178347016467</v>
      </c>
      <c r="N290" s="96">
        <v>9.765625E-4</v>
      </c>
      <c r="O290" s="96">
        <f t="shared" si="19"/>
        <v>0.328125</v>
      </c>
      <c r="Q290" s="96">
        <f t="shared" si="16"/>
        <v>0</v>
      </c>
      <c r="R290" s="96">
        <f t="shared" si="17"/>
        <v>1</v>
      </c>
      <c r="S290" s="96">
        <f t="shared" si="18"/>
        <v>0</v>
      </c>
    </row>
    <row r="291" spans="1:19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10.273550718149494</v>
      </c>
      <c r="H291">
        <v>1.953125E-3</v>
      </c>
      <c r="I291">
        <v>-0.71002741955211834</v>
      </c>
      <c r="J291">
        <v>-1.3867723038127311E-3</v>
      </c>
      <c r="L291" s="101"/>
      <c r="M291" s="101">
        <v>5.1602178347016467</v>
      </c>
      <c r="N291" s="96">
        <v>1.953125E-3</v>
      </c>
      <c r="O291" s="96">
        <f t="shared" si="19"/>
        <v>0.330078125</v>
      </c>
      <c r="Q291" s="96">
        <f t="shared" si="16"/>
        <v>0</v>
      </c>
      <c r="R291" s="96">
        <f t="shared" si="17"/>
        <v>1</v>
      </c>
      <c r="S291" s="96">
        <f t="shared" si="18"/>
        <v>0</v>
      </c>
    </row>
    <row r="292" spans="1:19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15.410326077224246</v>
      </c>
      <c r="H292">
        <v>9.765625E-4</v>
      </c>
      <c r="I292">
        <v>-0.59829129041804607</v>
      </c>
      <c r="J292">
        <v>-5.8426883829887312E-4</v>
      </c>
      <c r="L292" s="101"/>
      <c r="M292" s="101">
        <v>5.1602178347016467</v>
      </c>
      <c r="N292" s="96">
        <v>9.765625E-4</v>
      </c>
      <c r="O292" s="96">
        <f t="shared" si="19"/>
        <v>0.3310546875</v>
      </c>
      <c r="Q292" s="96">
        <f t="shared" si="16"/>
        <v>0</v>
      </c>
      <c r="R292" s="96">
        <f t="shared" si="17"/>
        <v>1</v>
      </c>
      <c r="S292" s="96">
        <f t="shared" si="18"/>
        <v>0</v>
      </c>
    </row>
    <row r="293" spans="1:19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1.7122584530249172</v>
      </c>
      <c r="H293">
        <v>1.953125E-3</v>
      </c>
      <c r="I293">
        <v>-0.94452296133201685</v>
      </c>
      <c r="J293">
        <v>-1.8447714088515954E-3</v>
      </c>
      <c r="L293" s="101"/>
      <c r="M293" s="101">
        <v>5.1718531587464351</v>
      </c>
      <c r="N293" s="96">
        <v>1.953125E-3</v>
      </c>
      <c r="O293" s="96">
        <f t="shared" si="19"/>
        <v>0.3330078125</v>
      </c>
      <c r="Q293" s="96">
        <f t="shared" si="16"/>
        <v>0</v>
      </c>
      <c r="R293" s="96">
        <f t="shared" si="17"/>
        <v>1</v>
      </c>
      <c r="S293" s="96">
        <f t="shared" si="18"/>
        <v>0</v>
      </c>
    </row>
    <row r="294" spans="1:19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8.5612922651245835</v>
      </c>
      <c r="H294">
        <v>3.90625E-3</v>
      </c>
      <c r="I294">
        <v>-0.75173124277550596</v>
      </c>
      <c r="J294">
        <v>-2.9364501670918202E-3</v>
      </c>
      <c r="L294" s="101"/>
      <c r="M294" s="101">
        <v>5.1718531587464351</v>
      </c>
      <c r="N294" s="96">
        <v>3.90625E-3</v>
      </c>
      <c r="O294" s="96">
        <f t="shared" si="19"/>
        <v>0.3369140625</v>
      </c>
      <c r="Q294" s="96">
        <f t="shared" si="16"/>
        <v>0</v>
      </c>
      <c r="R294" s="96">
        <f t="shared" si="17"/>
        <v>1</v>
      </c>
      <c r="S294" s="96">
        <f t="shared" si="18"/>
        <v>0</v>
      </c>
    </row>
    <row r="295" spans="1:19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13.698067624199329</v>
      </c>
      <c r="H295">
        <v>1.953125E-3</v>
      </c>
      <c r="I295">
        <v>-0.63343223501343338</v>
      </c>
      <c r="J295">
        <v>-1.2371723340106121E-3</v>
      </c>
      <c r="L295" s="101"/>
      <c r="M295" s="101">
        <v>5.1718531587464351</v>
      </c>
      <c r="N295" s="96">
        <v>1.953125E-3</v>
      </c>
      <c r="O295" s="96">
        <f t="shared" si="19"/>
        <v>0.3388671875</v>
      </c>
      <c r="Q295" s="96">
        <f t="shared" si="16"/>
        <v>0</v>
      </c>
      <c r="R295" s="96">
        <f t="shared" si="17"/>
        <v>1</v>
      </c>
      <c r="S295" s="96">
        <f t="shared" si="18"/>
        <v>0</v>
      </c>
    </row>
    <row r="296" spans="1:19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0</v>
      </c>
      <c r="H296">
        <v>9.765625E-4</v>
      </c>
      <c r="I296">
        <v>-1</v>
      </c>
      <c r="J296">
        <v>-9.765625E-4</v>
      </c>
      <c r="L296" s="101"/>
      <c r="M296" s="101">
        <v>5.3228904083165913</v>
      </c>
      <c r="N296" s="96">
        <v>2.44140625E-4</v>
      </c>
      <c r="O296" s="96">
        <f t="shared" si="19"/>
        <v>0.339111328125</v>
      </c>
      <c r="Q296" s="96">
        <f t="shared" si="16"/>
        <v>0</v>
      </c>
      <c r="R296" s="96">
        <f t="shared" si="17"/>
        <v>1</v>
      </c>
      <c r="S296" s="96">
        <f t="shared" si="18"/>
        <v>0</v>
      </c>
    </row>
    <row r="297" spans="1:19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6.8490338120996705</v>
      </c>
      <c r="H297">
        <v>1.953125E-3</v>
      </c>
      <c r="I297">
        <v>-0.79588456136140318</v>
      </c>
      <c r="J297">
        <v>-1.5544620339089906E-3</v>
      </c>
      <c r="L297" s="101"/>
      <c r="M297" s="101">
        <v>5.3228904083165913</v>
      </c>
      <c r="N297" s="96">
        <v>4.8828125E-4</v>
      </c>
      <c r="O297" s="96">
        <f t="shared" si="19"/>
        <v>0.339599609375</v>
      </c>
      <c r="Q297" s="96">
        <f t="shared" si="16"/>
        <v>0</v>
      </c>
      <c r="R297" s="96">
        <f t="shared" si="17"/>
        <v>1</v>
      </c>
      <c r="S297" s="96">
        <f t="shared" si="18"/>
        <v>0</v>
      </c>
    </row>
    <row r="298" spans="1:19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11.985809171174413</v>
      </c>
      <c r="H298">
        <v>9.765625E-4</v>
      </c>
      <c r="I298">
        <v>-0.67063720094229717</v>
      </c>
      <c r="J298">
        <v>-6.5491914154521208E-4</v>
      </c>
      <c r="L298" s="101"/>
      <c r="M298" s="101">
        <v>5.3228904083165913</v>
      </c>
      <c r="N298" s="96">
        <v>2.44140625E-4</v>
      </c>
      <c r="O298" s="96">
        <f t="shared" si="19"/>
        <v>0.33984375</v>
      </c>
      <c r="Q298" s="96">
        <f t="shared" si="16"/>
        <v>0</v>
      </c>
      <c r="R298" s="96">
        <f t="shared" si="17"/>
        <v>1</v>
      </c>
      <c r="S298" s="96">
        <f t="shared" si="18"/>
        <v>0</v>
      </c>
    </row>
    <row r="299" spans="1:19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3.8525815193060589</v>
      </c>
      <c r="H299">
        <v>4.8828125E-4</v>
      </c>
      <c r="I299">
        <v>-0.87948446010021208</v>
      </c>
      <c r="J299">
        <v>-4.2943577153330668E-4</v>
      </c>
      <c r="L299" s="101"/>
      <c r="M299" s="101">
        <v>5.353148745115285</v>
      </c>
      <c r="N299" s="96">
        <v>9.765625E-4</v>
      </c>
      <c r="O299" s="96">
        <f t="shared" si="19"/>
        <v>0.3408203125</v>
      </c>
      <c r="Q299" s="96">
        <f t="shared" si="16"/>
        <v>0</v>
      </c>
      <c r="R299" s="96">
        <f t="shared" si="17"/>
        <v>1</v>
      </c>
      <c r="S299" s="96">
        <f t="shared" si="18"/>
        <v>0</v>
      </c>
    </row>
    <row r="300" spans="1:19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11.557744557918184</v>
      </c>
      <c r="H300">
        <v>9.765625E-4</v>
      </c>
      <c r="I300">
        <v>-0.6802749992306566</v>
      </c>
      <c r="J300">
        <v>-6.6433105393618808E-4</v>
      </c>
      <c r="L300" s="101"/>
      <c r="M300" s="101">
        <v>5.353148745115285</v>
      </c>
      <c r="N300" s="96">
        <v>1.953125E-3</v>
      </c>
      <c r="O300" s="96">
        <f t="shared" si="19"/>
        <v>0.3427734375</v>
      </c>
      <c r="Q300" s="96">
        <f t="shared" si="16"/>
        <v>0</v>
      </c>
      <c r="R300" s="96">
        <f t="shared" si="17"/>
        <v>1</v>
      </c>
      <c r="S300" s="96">
        <f t="shared" si="18"/>
        <v>0</v>
      </c>
    </row>
    <row r="301" spans="1:19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17.336616836877276</v>
      </c>
      <c r="H301">
        <v>4.8828125E-4</v>
      </c>
      <c r="I301">
        <v>-0.56108255473477375</v>
      </c>
      <c r="J301">
        <v>-2.7396609117908875E-4</v>
      </c>
      <c r="L301" s="101"/>
      <c r="M301" s="101">
        <v>5.353148745115285</v>
      </c>
      <c r="N301" s="96">
        <v>9.765625E-4</v>
      </c>
      <c r="O301" s="96">
        <f t="shared" si="19"/>
        <v>0.34375</v>
      </c>
      <c r="Q301" s="96">
        <f t="shared" si="16"/>
        <v>0</v>
      </c>
      <c r="R301" s="96">
        <f t="shared" si="17"/>
        <v>1</v>
      </c>
      <c r="S301" s="96">
        <f t="shared" si="18"/>
        <v>0</v>
      </c>
    </row>
    <row r="302" spans="1:19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1.9262907596530294</v>
      </c>
      <c r="H302">
        <v>9.765625E-4</v>
      </c>
      <c r="I302">
        <v>-0.9378083280181575</v>
      </c>
      <c r="J302">
        <v>-9.1582844533023193E-4</v>
      </c>
      <c r="L302" s="101"/>
      <c r="M302" s="101">
        <v>5.3531487451152904</v>
      </c>
      <c r="N302" s="96">
        <v>1.953125E-3</v>
      </c>
      <c r="O302" s="96">
        <f t="shared" si="19"/>
        <v>0.345703125</v>
      </c>
      <c r="Q302" s="96">
        <f t="shared" si="16"/>
        <v>0</v>
      </c>
      <c r="R302" s="96">
        <f t="shared" si="17"/>
        <v>1</v>
      </c>
      <c r="S302" s="96">
        <f t="shared" si="18"/>
        <v>0</v>
      </c>
    </row>
    <row r="303" spans="1:19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9.6314537982651522</v>
      </c>
      <c r="H303">
        <v>1.953125E-3</v>
      </c>
      <c r="I303">
        <v>-0.72538809787311409</v>
      </c>
      <c r="J303">
        <v>-1.416773628658426E-3</v>
      </c>
      <c r="L303" s="101"/>
      <c r="M303" s="101">
        <v>5.3531487451152904</v>
      </c>
      <c r="N303" s="96">
        <v>3.90625E-3</v>
      </c>
      <c r="O303" s="96">
        <f t="shared" si="19"/>
        <v>0.349609375</v>
      </c>
      <c r="Q303" s="96">
        <f t="shared" si="16"/>
        <v>0</v>
      </c>
      <c r="R303" s="96">
        <f t="shared" si="17"/>
        <v>1</v>
      </c>
      <c r="S303" s="96">
        <f t="shared" si="18"/>
        <v>0</v>
      </c>
    </row>
    <row r="304" spans="1:19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15.410326077224246</v>
      </c>
      <c r="H304">
        <v>9.765625E-4</v>
      </c>
      <c r="I304">
        <v>-0.59829129041804607</v>
      </c>
      <c r="J304">
        <v>-5.8426883829887312E-4</v>
      </c>
      <c r="L304" s="101"/>
      <c r="M304" s="101">
        <v>5.3531487451152904</v>
      </c>
      <c r="N304" s="96">
        <v>1.953125E-3</v>
      </c>
      <c r="O304" s="96">
        <f t="shared" si="19"/>
        <v>0.3515625</v>
      </c>
      <c r="Q304" s="96">
        <f t="shared" si="16"/>
        <v>0</v>
      </c>
      <c r="R304" s="96">
        <f t="shared" si="17"/>
        <v>1</v>
      </c>
      <c r="S304" s="96">
        <f t="shared" si="18"/>
        <v>0</v>
      </c>
    </row>
    <row r="305" spans="1:19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0</v>
      </c>
      <c r="H305">
        <v>4.8828125E-4</v>
      </c>
      <c r="I305">
        <v>-1</v>
      </c>
      <c r="J305">
        <v>-4.8828125E-4</v>
      </c>
      <c r="L305" s="101"/>
      <c r="M305" s="101">
        <v>5.3601134181649543</v>
      </c>
      <c r="N305" s="96">
        <v>4.8828125E-4</v>
      </c>
      <c r="O305" s="96">
        <f t="shared" si="19"/>
        <v>0.35205078125</v>
      </c>
      <c r="Q305" s="96">
        <f t="shared" si="16"/>
        <v>0</v>
      </c>
      <c r="R305" s="96">
        <f t="shared" si="17"/>
        <v>1</v>
      </c>
      <c r="S305" s="96">
        <f t="shared" si="18"/>
        <v>0</v>
      </c>
    </row>
    <row r="306" spans="1:19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7.7051630386121257</v>
      </c>
      <c r="H306">
        <v>9.765625E-4</v>
      </c>
      <c r="I306">
        <v>-0.77349291555776134</v>
      </c>
      <c r="J306">
        <v>-7.5536417534937631E-4</v>
      </c>
      <c r="L306" s="101"/>
      <c r="M306" s="101">
        <v>5.3601134181649543</v>
      </c>
      <c r="N306" s="96">
        <v>9.765625E-4</v>
      </c>
      <c r="O306" s="96">
        <f t="shared" si="19"/>
        <v>0.35302734375</v>
      </c>
      <c r="Q306" s="96">
        <f t="shared" si="16"/>
        <v>0</v>
      </c>
      <c r="R306" s="96">
        <f t="shared" si="17"/>
        <v>1</v>
      </c>
      <c r="S306" s="96">
        <f t="shared" si="18"/>
        <v>0</v>
      </c>
    </row>
    <row r="307" spans="1:19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13.484035317571218</v>
      </c>
      <c r="H307">
        <v>4.8828125E-4</v>
      </c>
      <c r="I307">
        <v>-0.63796755962105534</v>
      </c>
      <c r="J307">
        <v>-3.1150759747121843E-4</v>
      </c>
      <c r="L307" s="101"/>
      <c r="M307" s="101">
        <v>5.3601134181649543</v>
      </c>
      <c r="N307" s="96">
        <v>4.8828125E-4</v>
      </c>
      <c r="O307" s="96">
        <f t="shared" si="19"/>
        <v>0.353515625</v>
      </c>
      <c r="Q307" s="96">
        <f t="shared" si="16"/>
        <v>0</v>
      </c>
      <c r="R307" s="96">
        <f t="shared" si="17"/>
        <v>1</v>
      </c>
      <c r="S307" s="96">
        <f t="shared" si="18"/>
        <v>0</v>
      </c>
    </row>
    <row r="308" spans="1:19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3.8525815193060589</v>
      </c>
      <c r="H308">
        <v>9.765625E-4</v>
      </c>
      <c r="I308">
        <v>-0.87948446010021208</v>
      </c>
      <c r="J308">
        <v>-8.5887154306661336E-4</v>
      </c>
      <c r="L308" s="101"/>
      <c r="M308" s="101">
        <v>5.3601134181649543</v>
      </c>
      <c r="N308" s="96">
        <v>4.8828125E-4</v>
      </c>
      <c r="O308" s="96">
        <f t="shared" si="19"/>
        <v>0.35400390625</v>
      </c>
      <c r="Q308" s="96">
        <f t="shared" si="16"/>
        <v>0</v>
      </c>
      <c r="R308" s="96">
        <f t="shared" si="17"/>
        <v>1</v>
      </c>
      <c r="S308" s="96">
        <f t="shared" si="18"/>
        <v>0</v>
      </c>
    </row>
    <row r="309" spans="1:19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11.557744557918184</v>
      </c>
      <c r="H309">
        <v>1.953125E-3</v>
      </c>
      <c r="I309">
        <v>-0.6802749992306566</v>
      </c>
      <c r="J309">
        <v>-1.3286621078723762E-3</v>
      </c>
      <c r="L309" s="101"/>
      <c r="M309" s="101">
        <v>5.3601134181649543</v>
      </c>
      <c r="N309" s="96">
        <v>9.765625E-4</v>
      </c>
      <c r="O309" s="96">
        <f t="shared" si="19"/>
        <v>0.35498046875</v>
      </c>
      <c r="Q309" s="96">
        <f t="shared" si="16"/>
        <v>0</v>
      </c>
      <c r="R309" s="96">
        <f t="shared" si="17"/>
        <v>1</v>
      </c>
      <c r="S309" s="96">
        <f t="shared" si="18"/>
        <v>0</v>
      </c>
    </row>
    <row r="310" spans="1:19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17.336616836877276</v>
      </c>
      <c r="H310">
        <v>9.765625E-4</v>
      </c>
      <c r="I310">
        <v>-0.56108255473477375</v>
      </c>
      <c r="J310">
        <v>-5.4793218235817749E-4</v>
      </c>
      <c r="L310" s="101"/>
      <c r="M310" s="101">
        <v>5.3601134181649543</v>
      </c>
      <c r="N310" s="96">
        <v>4.8828125E-4</v>
      </c>
      <c r="O310" s="96">
        <f t="shared" si="19"/>
        <v>0.35546875</v>
      </c>
      <c r="Q310" s="96">
        <f t="shared" si="16"/>
        <v>0</v>
      </c>
      <c r="R310" s="96">
        <f t="shared" si="17"/>
        <v>1</v>
      </c>
      <c r="S310" s="96">
        <f t="shared" si="18"/>
        <v>0</v>
      </c>
    </row>
    <row r="311" spans="1:19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1.9262907596530294</v>
      </c>
      <c r="H311">
        <v>1.953125E-3</v>
      </c>
      <c r="I311">
        <v>-0.9378083280181575</v>
      </c>
      <c r="J311">
        <v>-1.8316568906604639E-3</v>
      </c>
      <c r="L311" s="101"/>
      <c r="M311" s="101">
        <v>5.4126281756165744</v>
      </c>
      <c r="N311" s="96">
        <v>4.8828125E-4</v>
      </c>
      <c r="O311" s="96">
        <f t="shared" si="19"/>
        <v>0.35595703125</v>
      </c>
      <c r="Q311" s="96">
        <f t="shared" si="16"/>
        <v>0</v>
      </c>
      <c r="R311" s="96">
        <f t="shared" si="17"/>
        <v>1</v>
      </c>
      <c r="S311" s="96">
        <f t="shared" si="18"/>
        <v>0</v>
      </c>
    </row>
    <row r="312" spans="1:19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9.6314537982651522</v>
      </c>
      <c r="H312">
        <v>3.90625E-3</v>
      </c>
      <c r="I312">
        <v>-0.72538809787311409</v>
      </c>
      <c r="J312">
        <v>-2.8335472573168519E-3</v>
      </c>
      <c r="L312" s="101"/>
      <c r="M312" s="101">
        <v>5.4126281756165744</v>
      </c>
      <c r="N312" s="96">
        <v>9.765625E-4</v>
      </c>
      <c r="O312" s="96">
        <f t="shared" si="19"/>
        <v>0.35693359375</v>
      </c>
      <c r="Q312" s="96">
        <f t="shared" si="16"/>
        <v>0</v>
      </c>
      <c r="R312" s="96">
        <f t="shared" si="17"/>
        <v>1</v>
      </c>
      <c r="S312" s="96">
        <f t="shared" si="18"/>
        <v>0</v>
      </c>
    </row>
    <row r="313" spans="1:19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15.410326077224246</v>
      </c>
      <c r="H313">
        <v>1.953125E-3</v>
      </c>
      <c r="I313">
        <v>-0.59829129041804607</v>
      </c>
      <c r="J313">
        <v>-1.1685376765977462E-3</v>
      </c>
      <c r="L313" s="101"/>
      <c r="M313" s="101">
        <v>5.4126281756165744</v>
      </c>
      <c r="N313" s="96">
        <v>4.8828125E-4</v>
      </c>
      <c r="O313" s="96">
        <f t="shared" si="19"/>
        <v>0.357421875</v>
      </c>
      <c r="Q313" s="96">
        <f t="shared" si="16"/>
        <v>0</v>
      </c>
      <c r="R313" s="96">
        <f t="shared" si="17"/>
        <v>1</v>
      </c>
      <c r="S313" s="96">
        <f t="shared" si="18"/>
        <v>0</v>
      </c>
    </row>
    <row r="314" spans="1:19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0</v>
      </c>
      <c r="H314">
        <v>9.765625E-4</v>
      </c>
      <c r="I314">
        <v>-1</v>
      </c>
      <c r="J314">
        <v>-9.765625E-4</v>
      </c>
      <c r="L314" s="101"/>
      <c r="M314" s="101">
        <v>5.7080827324696122</v>
      </c>
      <c r="N314" s="96">
        <v>4.8828125E-4</v>
      </c>
      <c r="O314" s="96">
        <f t="shared" si="19"/>
        <v>0.35791015625</v>
      </c>
      <c r="Q314" s="96">
        <f t="shared" si="16"/>
        <v>0</v>
      </c>
      <c r="R314" s="96">
        <f t="shared" si="17"/>
        <v>1</v>
      </c>
      <c r="S314" s="96">
        <f t="shared" si="18"/>
        <v>0</v>
      </c>
    </row>
    <row r="315" spans="1:19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7.7051630386121257</v>
      </c>
      <c r="H315">
        <v>1.953125E-3</v>
      </c>
      <c r="I315">
        <v>-0.77349291555776134</v>
      </c>
      <c r="J315">
        <v>-1.5107283506987526E-3</v>
      </c>
      <c r="L315" s="101"/>
      <c r="M315" s="101">
        <v>5.7080827324696122</v>
      </c>
      <c r="N315" s="96">
        <v>9.765625E-4</v>
      </c>
      <c r="O315" s="96">
        <f t="shared" si="19"/>
        <v>0.35888671875</v>
      </c>
      <c r="Q315" s="96">
        <f t="shared" si="16"/>
        <v>0</v>
      </c>
      <c r="R315" s="96">
        <f t="shared" si="17"/>
        <v>1</v>
      </c>
      <c r="S315" s="96">
        <f t="shared" si="18"/>
        <v>0</v>
      </c>
    </row>
    <row r="316" spans="1:19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13.484035317571218</v>
      </c>
      <c r="H316">
        <v>9.765625E-4</v>
      </c>
      <c r="I316">
        <v>-0.63796755962105534</v>
      </c>
      <c r="J316">
        <v>-6.2301519494243685E-4</v>
      </c>
      <c r="L316" s="101"/>
      <c r="M316" s="101">
        <v>5.7080827324696122</v>
      </c>
      <c r="N316" s="96">
        <v>4.8828125E-4</v>
      </c>
      <c r="O316" s="96">
        <f t="shared" si="19"/>
        <v>0.359375</v>
      </c>
      <c r="Q316" s="96">
        <f t="shared" si="16"/>
        <v>0</v>
      </c>
      <c r="R316" s="96">
        <f t="shared" si="17"/>
        <v>1</v>
      </c>
      <c r="S316" s="96">
        <f t="shared" si="18"/>
        <v>0</v>
      </c>
    </row>
    <row r="317" spans="1:19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3.8525815193060589</v>
      </c>
      <c r="H317">
        <v>4.8828125E-4</v>
      </c>
      <c r="I317">
        <v>-0.87948446010021208</v>
      </c>
      <c r="J317">
        <v>-4.2943577153330668E-4</v>
      </c>
      <c r="L317" s="101"/>
      <c r="M317" s="101">
        <v>5.7100253281229776</v>
      </c>
      <c r="N317" s="96">
        <v>1.953125E-3</v>
      </c>
      <c r="O317" s="96">
        <f t="shared" si="19"/>
        <v>0.361328125</v>
      </c>
      <c r="Q317" s="96">
        <f t="shared" si="16"/>
        <v>0</v>
      </c>
      <c r="R317" s="96">
        <f t="shared" si="17"/>
        <v>1</v>
      </c>
      <c r="S317" s="96">
        <f t="shared" si="18"/>
        <v>0</v>
      </c>
    </row>
    <row r="318" spans="1:19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11.557744557918184</v>
      </c>
      <c r="H318">
        <v>9.765625E-4</v>
      </c>
      <c r="I318">
        <v>-0.6802749992306566</v>
      </c>
      <c r="J318">
        <v>-6.6433105393618808E-4</v>
      </c>
      <c r="L318" s="101"/>
      <c r="M318" s="101">
        <v>5.7100253281229776</v>
      </c>
      <c r="N318" s="96">
        <v>3.90625E-3</v>
      </c>
      <c r="O318" s="96">
        <f t="shared" si="19"/>
        <v>0.365234375</v>
      </c>
      <c r="Q318" s="96">
        <f t="shared" si="16"/>
        <v>0</v>
      </c>
      <c r="R318" s="96">
        <f t="shared" si="17"/>
        <v>1</v>
      </c>
      <c r="S318" s="96">
        <f t="shared" si="18"/>
        <v>0</v>
      </c>
    </row>
    <row r="319" spans="1:19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17.336616836877276</v>
      </c>
      <c r="H319">
        <v>4.8828125E-4</v>
      </c>
      <c r="I319">
        <v>-0.56108255473477375</v>
      </c>
      <c r="J319">
        <v>-2.7396609117908875E-4</v>
      </c>
      <c r="L319" s="101"/>
      <c r="M319" s="101">
        <v>5.7100253281229776</v>
      </c>
      <c r="N319" s="96">
        <v>1.953125E-3</v>
      </c>
      <c r="O319" s="96">
        <f t="shared" si="19"/>
        <v>0.3671875</v>
      </c>
      <c r="Q319" s="96">
        <f t="shared" si="16"/>
        <v>0</v>
      </c>
      <c r="R319" s="96">
        <f t="shared" si="17"/>
        <v>1</v>
      </c>
      <c r="S319" s="96">
        <f t="shared" si="18"/>
        <v>0</v>
      </c>
    </row>
    <row r="320" spans="1:19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1.9262907596530294</v>
      </c>
      <c r="H320">
        <v>9.765625E-4</v>
      </c>
      <c r="I320">
        <v>-0.9378083280181575</v>
      </c>
      <c r="J320">
        <v>-9.1582844533023193E-4</v>
      </c>
      <c r="L320" s="101"/>
      <c r="M320" s="101">
        <v>5.8183348035897424</v>
      </c>
      <c r="N320" s="96">
        <v>9.765625E-4</v>
      </c>
      <c r="O320" s="96">
        <f t="shared" si="19"/>
        <v>0.3681640625</v>
      </c>
      <c r="Q320" s="96">
        <f t="shared" si="16"/>
        <v>0</v>
      </c>
      <c r="R320" s="96">
        <f t="shared" si="17"/>
        <v>1</v>
      </c>
      <c r="S320" s="96">
        <f t="shared" si="18"/>
        <v>0</v>
      </c>
    </row>
    <row r="321" spans="1:19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9.6314537982651522</v>
      </c>
      <c r="H321">
        <v>1.953125E-3</v>
      </c>
      <c r="I321">
        <v>-0.72538809787311409</v>
      </c>
      <c r="J321">
        <v>-1.416773628658426E-3</v>
      </c>
      <c r="L321" s="101"/>
      <c r="M321" s="101">
        <v>5.8183348035897424</v>
      </c>
      <c r="N321" s="96">
        <v>1.953125E-3</v>
      </c>
      <c r="O321" s="96">
        <f t="shared" si="19"/>
        <v>0.3701171875</v>
      </c>
      <c r="Q321" s="96">
        <f t="shared" si="16"/>
        <v>0</v>
      </c>
      <c r="R321" s="96">
        <f t="shared" si="17"/>
        <v>1</v>
      </c>
      <c r="S321" s="96">
        <f t="shared" si="18"/>
        <v>0</v>
      </c>
    </row>
    <row r="322" spans="1:19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15.410326077224246</v>
      </c>
      <c r="H322">
        <v>9.765625E-4</v>
      </c>
      <c r="I322">
        <v>-0.59829129041804607</v>
      </c>
      <c r="J322">
        <v>-5.8426883829887312E-4</v>
      </c>
      <c r="L322" s="101"/>
      <c r="M322" s="101">
        <v>5.8183348035897424</v>
      </c>
      <c r="N322" s="96">
        <v>9.765625E-4</v>
      </c>
      <c r="O322" s="96">
        <f t="shared" si="19"/>
        <v>0.37109375</v>
      </c>
      <c r="Q322" s="96">
        <f t="shared" si="16"/>
        <v>0</v>
      </c>
      <c r="R322" s="96">
        <f t="shared" si="17"/>
        <v>1</v>
      </c>
      <c r="S322" s="96">
        <f t="shared" si="18"/>
        <v>0</v>
      </c>
    </row>
    <row r="323" spans="1:19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0</v>
      </c>
      <c r="H323">
        <v>4.8828125E-4</v>
      </c>
      <c r="I323">
        <v>-1</v>
      </c>
      <c r="J323">
        <v>-4.8828125E-4</v>
      </c>
      <c r="L323" s="101"/>
      <c r="M323" s="101">
        <v>5.88298296807407</v>
      </c>
      <c r="N323" s="96">
        <v>2.44140625E-4</v>
      </c>
      <c r="O323" s="96">
        <f t="shared" si="19"/>
        <v>0.371337890625</v>
      </c>
      <c r="Q323" s="96">
        <f t="shared" ref="Q323:Q386" si="20">IF(A323=3,1,0)</f>
        <v>0</v>
      </c>
      <c r="R323" s="96">
        <f t="shared" ref="R323:R386" si="21">IF(A323=2,1,0)</f>
        <v>1</v>
      </c>
      <c r="S323" s="96">
        <f t="shared" ref="S323:S386" si="22">IF(A323=1,1,0)</f>
        <v>0</v>
      </c>
    </row>
    <row r="324" spans="1:19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7.7051630386121257</v>
      </c>
      <c r="H324">
        <v>9.765625E-4</v>
      </c>
      <c r="I324">
        <v>-0.77349291555776134</v>
      </c>
      <c r="J324">
        <v>-7.5536417534937631E-4</v>
      </c>
      <c r="L324" s="101"/>
      <c r="M324" s="101">
        <v>5.88298296807407</v>
      </c>
      <c r="N324" s="96">
        <v>4.8828125E-4</v>
      </c>
      <c r="O324" s="96">
        <f t="shared" ref="O324:O387" si="23">N324+O323</f>
        <v>0.371826171875</v>
      </c>
      <c r="Q324" s="96">
        <f t="shared" si="20"/>
        <v>0</v>
      </c>
      <c r="R324" s="96">
        <f t="shared" si="21"/>
        <v>1</v>
      </c>
      <c r="S324" s="96">
        <f t="shared" si="22"/>
        <v>0</v>
      </c>
    </row>
    <row r="325" spans="1:19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13.484035317571218</v>
      </c>
      <c r="H325">
        <v>4.8828125E-4</v>
      </c>
      <c r="I325">
        <v>-0.63796755962105534</v>
      </c>
      <c r="J325">
        <v>-3.1150759747121843E-4</v>
      </c>
      <c r="L325" s="101"/>
      <c r="M325" s="101">
        <v>5.88298296807407</v>
      </c>
      <c r="N325" s="96">
        <v>2.44140625E-4</v>
      </c>
      <c r="O325" s="96">
        <f t="shared" si="23"/>
        <v>0.3720703125</v>
      </c>
      <c r="Q325" s="96">
        <f t="shared" si="20"/>
        <v>0</v>
      </c>
      <c r="R325" s="96">
        <f t="shared" si="21"/>
        <v>1</v>
      </c>
      <c r="S325" s="96">
        <f t="shared" si="22"/>
        <v>0</v>
      </c>
    </row>
    <row r="326" spans="1:19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4.4460874299707509</v>
      </c>
      <c r="H326">
        <v>9.765625E-4</v>
      </c>
      <c r="I326">
        <v>-0.86225613306191795</v>
      </c>
      <c r="J326">
        <v>-8.4204700494327925E-4</v>
      </c>
      <c r="L326" s="101"/>
      <c r="M326" s="101">
        <v>5.9556815757388426</v>
      </c>
      <c r="N326" s="96">
        <v>1.953125E-3</v>
      </c>
      <c r="O326" s="96">
        <f t="shared" si="23"/>
        <v>0.3740234375</v>
      </c>
      <c r="Q326" s="96">
        <f t="shared" si="20"/>
        <v>0</v>
      </c>
      <c r="R326" s="96">
        <f t="shared" si="21"/>
        <v>1</v>
      </c>
      <c r="S326" s="96">
        <f t="shared" si="22"/>
        <v>0</v>
      </c>
    </row>
    <row r="327" spans="1:19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13.338262289912269</v>
      </c>
      <c r="H327">
        <v>1.953125E-3</v>
      </c>
      <c r="I327">
        <v>-0.64107505207370241</v>
      </c>
      <c r="J327">
        <v>-1.25209971108145E-3</v>
      </c>
      <c r="L327" s="101"/>
      <c r="M327" s="101">
        <v>5.9556815757388426</v>
      </c>
      <c r="N327" s="96">
        <v>3.90625E-3</v>
      </c>
      <c r="O327" s="96">
        <f t="shared" si="23"/>
        <v>0.3779296875</v>
      </c>
      <c r="Q327" s="96">
        <f t="shared" si="20"/>
        <v>0</v>
      </c>
      <c r="R327" s="96">
        <f t="shared" si="21"/>
        <v>1</v>
      </c>
      <c r="S327" s="96">
        <f t="shared" si="22"/>
        <v>0</v>
      </c>
    </row>
    <row r="328" spans="1:19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20.007393434868398</v>
      </c>
      <c r="H328">
        <v>9.765625E-4</v>
      </c>
      <c r="I328">
        <v>-0.51329060408856941</v>
      </c>
      <c r="J328">
        <v>-5.0126035555524357E-4</v>
      </c>
      <c r="L328" s="101"/>
      <c r="M328" s="101">
        <v>5.9556815757388426</v>
      </c>
      <c r="N328" s="96">
        <v>1.953125E-3</v>
      </c>
      <c r="O328" s="96">
        <f t="shared" si="23"/>
        <v>0.3798828125</v>
      </c>
      <c r="Q328" s="96">
        <f t="shared" si="20"/>
        <v>0</v>
      </c>
      <c r="R328" s="96">
        <f t="shared" si="21"/>
        <v>1</v>
      </c>
      <c r="S328" s="96">
        <f t="shared" si="22"/>
        <v>0</v>
      </c>
    </row>
    <row r="329" spans="1:19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2.2230437149853763</v>
      </c>
      <c r="H329">
        <v>1.953125E-3</v>
      </c>
      <c r="I329">
        <v>-0.92857747822242487</v>
      </c>
      <c r="J329">
        <v>-1.8136278871531736E-3</v>
      </c>
      <c r="L329" s="101"/>
      <c r="M329" s="101">
        <v>6.0301275954355766</v>
      </c>
      <c r="N329" s="96">
        <v>2.44140625E-4</v>
      </c>
      <c r="O329" s="96">
        <f t="shared" si="23"/>
        <v>0.380126953125</v>
      </c>
      <c r="Q329" s="96">
        <f t="shared" si="20"/>
        <v>0</v>
      </c>
      <c r="R329" s="96">
        <f t="shared" si="21"/>
        <v>1</v>
      </c>
      <c r="S329" s="96">
        <f t="shared" si="22"/>
        <v>0</v>
      </c>
    </row>
    <row r="330" spans="1:19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11.115218574926891</v>
      </c>
      <c r="H330">
        <v>3.90625E-3</v>
      </c>
      <c r="I330">
        <v>-0.69038401975989327</v>
      </c>
      <c r="J330">
        <v>-2.6968125771870831E-3</v>
      </c>
      <c r="L330" s="101"/>
      <c r="M330" s="101">
        <v>6.0301275954355766</v>
      </c>
      <c r="N330" s="96">
        <v>4.8828125E-4</v>
      </c>
      <c r="O330" s="96">
        <f t="shared" si="23"/>
        <v>0.380615234375</v>
      </c>
      <c r="Q330" s="96">
        <f t="shared" si="20"/>
        <v>0</v>
      </c>
      <c r="R330" s="96">
        <f t="shared" si="21"/>
        <v>1</v>
      </c>
      <c r="S330" s="96">
        <f t="shared" si="22"/>
        <v>0</v>
      </c>
    </row>
    <row r="331" spans="1:19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17.784349719883025</v>
      </c>
      <c r="H331">
        <v>1.953125E-3</v>
      </c>
      <c r="I331">
        <v>-0.5527708954035383</v>
      </c>
      <c r="J331">
        <v>-1.0796306550850357E-3</v>
      </c>
      <c r="L331" s="101"/>
      <c r="M331" s="101">
        <v>6.0301275954355766</v>
      </c>
      <c r="N331" s="96">
        <v>2.44140625E-4</v>
      </c>
      <c r="O331" s="96">
        <f t="shared" si="23"/>
        <v>0.380859375</v>
      </c>
      <c r="Q331" s="96">
        <f t="shared" si="20"/>
        <v>0</v>
      </c>
      <c r="R331" s="96">
        <f t="shared" si="21"/>
        <v>1</v>
      </c>
      <c r="S331" s="96">
        <f t="shared" si="22"/>
        <v>0</v>
      </c>
    </row>
    <row r="332" spans="1:19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0</v>
      </c>
      <c r="H332">
        <v>9.765625E-4</v>
      </c>
      <c r="I332">
        <v>-1</v>
      </c>
      <c r="J332">
        <v>-9.765625E-4</v>
      </c>
      <c r="L332" s="101"/>
      <c r="M332" s="101">
        <v>6.0487391003597581</v>
      </c>
      <c r="N332" s="96">
        <v>1.953125E-3</v>
      </c>
      <c r="O332" s="96">
        <f t="shared" si="23"/>
        <v>0.3828125</v>
      </c>
      <c r="Q332" s="96">
        <f t="shared" si="20"/>
        <v>0</v>
      </c>
      <c r="R332" s="96">
        <f t="shared" si="21"/>
        <v>1</v>
      </c>
      <c r="S332" s="96">
        <f t="shared" si="22"/>
        <v>0</v>
      </c>
    </row>
    <row r="333" spans="1:19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8.8921748599415071</v>
      </c>
      <c r="H333">
        <v>1.953125E-3</v>
      </c>
      <c r="I333">
        <v>-0.74348563900289188</v>
      </c>
      <c r="J333">
        <v>-1.4521203886775232E-3</v>
      </c>
      <c r="L333" s="101"/>
      <c r="M333" s="101">
        <v>6.0487391003597581</v>
      </c>
      <c r="N333" s="96">
        <v>3.90625E-3</v>
      </c>
      <c r="O333" s="96">
        <f t="shared" si="23"/>
        <v>0.38671875</v>
      </c>
      <c r="Q333" s="96">
        <f t="shared" si="20"/>
        <v>0</v>
      </c>
      <c r="R333" s="96">
        <f t="shared" si="21"/>
        <v>1</v>
      </c>
      <c r="S333" s="96">
        <f t="shared" si="22"/>
        <v>0</v>
      </c>
    </row>
    <row r="334" spans="1:19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15.561306004897647</v>
      </c>
      <c r="H334">
        <v>9.765625E-4</v>
      </c>
      <c r="I334">
        <v>-0.59528785520590832</v>
      </c>
      <c r="J334">
        <v>-5.8133579609951985E-4</v>
      </c>
      <c r="L334" s="101"/>
      <c r="M334" s="101">
        <v>6.0487391003597581</v>
      </c>
      <c r="N334" s="96">
        <v>1.953125E-3</v>
      </c>
      <c r="O334" s="96">
        <f t="shared" si="23"/>
        <v>0.388671875</v>
      </c>
      <c r="Q334" s="96">
        <f t="shared" si="20"/>
        <v>0</v>
      </c>
      <c r="R334" s="96">
        <f t="shared" si="21"/>
        <v>1</v>
      </c>
      <c r="S334" s="96">
        <f t="shared" si="22"/>
        <v>0</v>
      </c>
    </row>
    <row r="335" spans="1:19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4.4460874299707509</v>
      </c>
      <c r="H335">
        <v>1.953125E-3</v>
      </c>
      <c r="I335">
        <v>-0.86225613306191795</v>
      </c>
      <c r="J335">
        <v>-1.6840940098865585E-3</v>
      </c>
      <c r="L335" s="101"/>
      <c r="M335" s="101">
        <v>6.1858607721332275</v>
      </c>
      <c r="N335" s="96">
        <v>9.765625E-4</v>
      </c>
      <c r="O335" s="96">
        <f t="shared" si="23"/>
        <v>0.3896484375</v>
      </c>
      <c r="Q335" s="96">
        <f t="shared" si="20"/>
        <v>0</v>
      </c>
      <c r="R335" s="96">
        <f t="shared" si="21"/>
        <v>1</v>
      </c>
      <c r="S335" s="96">
        <f t="shared" si="22"/>
        <v>0</v>
      </c>
    </row>
    <row r="336" spans="1:19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13.338262289912269</v>
      </c>
      <c r="H336">
        <v>3.90625E-3</v>
      </c>
      <c r="I336">
        <v>-0.64107505207370241</v>
      </c>
      <c r="J336">
        <v>-2.5041994221629E-3</v>
      </c>
      <c r="L336" s="101"/>
      <c r="M336" s="101">
        <v>6.1858607721332275</v>
      </c>
      <c r="N336" s="96">
        <v>1.953125E-3</v>
      </c>
      <c r="O336" s="96">
        <f t="shared" si="23"/>
        <v>0.3916015625</v>
      </c>
      <c r="Q336" s="96">
        <f t="shared" si="20"/>
        <v>0</v>
      </c>
      <c r="R336" s="96">
        <f t="shared" si="21"/>
        <v>1</v>
      </c>
      <c r="S336" s="96">
        <f t="shared" si="22"/>
        <v>0</v>
      </c>
    </row>
    <row r="337" spans="1:19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20.007393434868398</v>
      </c>
      <c r="H337">
        <v>1.953125E-3</v>
      </c>
      <c r="I337">
        <v>-0.51329060408856941</v>
      </c>
      <c r="J337">
        <v>-1.0025207111104871E-3</v>
      </c>
      <c r="L337" s="101"/>
      <c r="M337" s="101">
        <v>6.1858607721332275</v>
      </c>
      <c r="N337" s="96">
        <v>9.765625E-4</v>
      </c>
      <c r="O337" s="96">
        <f t="shared" si="23"/>
        <v>0.392578125</v>
      </c>
      <c r="Q337" s="96">
        <f t="shared" si="20"/>
        <v>0</v>
      </c>
      <c r="R337" s="96">
        <f t="shared" si="21"/>
        <v>1</v>
      </c>
      <c r="S337" s="96">
        <f t="shared" si="22"/>
        <v>0</v>
      </c>
    </row>
    <row r="338" spans="1:19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2.2230437149853763</v>
      </c>
      <c r="H338">
        <v>3.90625E-3</v>
      </c>
      <c r="I338">
        <v>-0.92857747822242487</v>
      </c>
      <c r="J338">
        <v>-3.6272557743063471E-3</v>
      </c>
      <c r="L338" s="101"/>
      <c r="M338" s="101">
        <v>6.2062237904957227</v>
      </c>
      <c r="N338" s="96">
        <v>9.765625E-4</v>
      </c>
      <c r="O338" s="96">
        <f t="shared" si="23"/>
        <v>0.3935546875</v>
      </c>
      <c r="Q338" s="96">
        <f t="shared" si="20"/>
        <v>0</v>
      </c>
      <c r="R338" s="96">
        <f t="shared" si="21"/>
        <v>1</v>
      </c>
      <c r="S338" s="96">
        <f t="shared" si="22"/>
        <v>0</v>
      </c>
    </row>
    <row r="339" spans="1:19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11.115218574926891</v>
      </c>
      <c r="H339">
        <v>7.8125E-3</v>
      </c>
      <c r="I339">
        <v>-0.69038401975989327</v>
      </c>
      <c r="J339">
        <v>-5.3936251543741662E-3</v>
      </c>
      <c r="L339" s="101"/>
      <c r="M339" s="101">
        <v>6.2062237904957227</v>
      </c>
      <c r="N339" s="96">
        <v>1.953125E-3</v>
      </c>
      <c r="O339" s="96">
        <f t="shared" si="23"/>
        <v>0.3955078125</v>
      </c>
      <c r="Q339" s="96">
        <f t="shared" si="20"/>
        <v>0</v>
      </c>
      <c r="R339" s="96">
        <f t="shared" si="21"/>
        <v>1</v>
      </c>
      <c r="S339" s="96">
        <f t="shared" si="22"/>
        <v>0</v>
      </c>
    </row>
    <row r="340" spans="1:19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17.784349719883025</v>
      </c>
      <c r="H340">
        <v>3.90625E-3</v>
      </c>
      <c r="I340">
        <v>-0.5527708954035383</v>
      </c>
      <c r="J340">
        <v>-2.1592613101700715E-3</v>
      </c>
      <c r="L340" s="101"/>
      <c r="M340" s="101">
        <v>6.2062237904957227</v>
      </c>
      <c r="N340" s="96">
        <v>9.765625E-4</v>
      </c>
      <c r="O340" s="96">
        <f t="shared" si="23"/>
        <v>0.396484375</v>
      </c>
      <c r="Q340" s="96">
        <f t="shared" si="20"/>
        <v>0</v>
      </c>
      <c r="R340" s="96">
        <f t="shared" si="21"/>
        <v>1</v>
      </c>
      <c r="S340" s="96">
        <f t="shared" si="22"/>
        <v>0</v>
      </c>
    </row>
    <row r="341" spans="1:19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0</v>
      </c>
      <c r="H341">
        <v>1.953125E-3</v>
      </c>
      <c r="I341">
        <v>-1</v>
      </c>
      <c r="J341">
        <v>-1.953125E-3</v>
      </c>
      <c r="L341" s="101"/>
      <c r="M341" s="101">
        <v>6.4237784941383476</v>
      </c>
      <c r="N341" s="96">
        <v>9.765625E-4</v>
      </c>
      <c r="O341" s="96">
        <f t="shared" si="23"/>
        <v>0.3974609375</v>
      </c>
      <c r="Q341" s="96">
        <f t="shared" si="20"/>
        <v>0</v>
      </c>
      <c r="R341" s="96">
        <f t="shared" si="21"/>
        <v>1</v>
      </c>
      <c r="S341" s="96">
        <f t="shared" si="22"/>
        <v>0</v>
      </c>
    </row>
    <row r="342" spans="1:19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8.8921748599415071</v>
      </c>
      <c r="H342">
        <v>3.90625E-3</v>
      </c>
      <c r="I342">
        <v>-0.74348563900289188</v>
      </c>
      <c r="J342">
        <v>-2.9042407773550464E-3</v>
      </c>
      <c r="L342" s="101"/>
      <c r="M342" s="101">
        <v>6.4237784941383476</v>
      </c>
      <c r="N342" s="96">
        <v>1.953125E-3</v>
      </c>
      <c r="O342" s="96">
        <f t="shared" si="23"/>
        <v>0.3994140625</v>
      </c>
      <c r="Q342" s="96">
        <f t="shared" si="20"/>
        <v>0</v>
      </c>
      <c r="R342" s="96">
        <f t="shared" si="21"/>
        <v>1</v>
      </c>
      <c r="S342" s="96">
        <f t="shared" si="22"/>
        <v>0</v>
      </c>
    </row>
    <row r="343" spans="1:19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15.561306004897647</v>
      </c>
      <c r="H343">
        <v>1.953125E-3</v>
      </c>
      <c r="I343">
        <v>-0.59528785520590832</v>
      </c>
      <c r="J343">
        <v>-1.1626715921990397E-3</v>
      </c>
      <c r="L343" s="101"/>
      <c r="M343" s="101">
        <v>6.4237784941383476</v>
      </c>
      <c r="N343" s="96">
        <v>9.765625E-4</v>
      </c>
      <c r="O343" s="96">
        <f t="shared" si="23"/>
        <v>0.400390625</v>
      </c>
      <c r="Q343" s="96">
        <f t="shared" si="20"/>
        <v>0</v>
      </c>
      <c r="R343" s="96">
        <f t="shared" si="21"/>
        <v>1</v>
      </c>
      <c r="S343" s="96">
        <f t="shared" si="22"/>
        <v>0</v>
      </c>
    </row>
    <row r="344" spans="1:19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4.4460874299707509</v>
      </c>
      <c r="H344">
        <v>9.765625E-4</v>
      </c>
      <c r="I344">
        <v>-0.86225613306191795</v>
      </c>
      <c r="J344">
        <v>-8.4204700494327925E-4</v>
      </c>
      <c r="L344" s="101"/>
      <c r="M344" s="101">
        <v>6.5140497333127207</v>
      </c>
      <c r="N344" s="96">
        <v>4.8828125E-4</v>
      </c>
      <c r="O344" s="96">
        <f t="shared" si="23"/>
        <v>0.40087890625</v>
      </c>
      <c r="Q344" s="96">
        <f t="shared" si="20"/>
        <v>0</v>
      </c>
      <c r="R344" s="96">
        <f t="shared" si="21"/>
        <v>1</v>
      </c>
      <c r="S344" s="96">
        <f t="shared" si="22"/>
        <v>0</v>
      </c>
    </row>
    <row r="345" spans="1:19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13.338262289912269</v>
      </c>
      <c r="H345">
        <v>1.953125E-3</v>
      </c>
      <c r="I345">
        <v>-0.64107505207370241</v>
      </c>
      <c r="J345">
        <v>-1.25209971108145E-3</v>
      </c>
      <c r="L345" s="101"/>
      <c r="M345" s="101">
        <v>6.5140497333127207</v>
      </c>
      <c r="N345" s="96">
        <v>9.765625E-4</v>
      </c>
      <c r="O345" s="96">
        <f t="shared" si="23"/>
        <v>0.40185546875</v>
      </c>
      <c r="Q345" s="96">
        <f t="shared" si="20"/>
        <v>0</v>
      </c>
      <c r="R345" s="96">
        <f t="shared" si="21"/>
        <v>1</v>
      </c>
      <c r="S345" s="96">
        <f t="shared" si="22"/>
        <v>0</v>
      </c>
    </row>
    <row r="346" spans="1:19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20.007393434868398</v>
      </c>
      <c r="H346">
        <v>9.765625E-4</v>
      </c>
      <c r="I346">
        <v>-0.51329060408856941</v>
      </c>
      <c r="J346">
        <v>-5.0126035555524357E-4</v>
      </c>
      <c r="L346" s="101"/>
      <c r="M346" s="101">
        <v>6.5140497333127207</v>
      </c>
      <c r="N346" s="96">
        <v>4.8828125E-4</v>
      </c>
      <c r="O346" s="96">
        <f t="shared" si="23"/>
        <v>0.40234375</v>
      </c>
      <c r="Q346" s="96">
        <f t="shared" si="20"/>
        <v>0</v>
      </c>
      <c r="R346" s="96">
        <f t="shared" si="21"/>
        <v>1</v>
      </c>
      <c r="S346" s="96">
        <f t="shared" si="22"/>
        <v>0</v>
      </c>
    </row>
    <row r="347" spans="1:19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2.2230437149853763</v>
      </c>
      <c r="H347">
        <v>1.953125E-3</v>
      </c>
      <c r="I347">
        <v>-0.92857747822242487</v>
      </c>
      <c r="J347">
        <v>-1.8136278871531736E-3</v>
      </c>
      <c r="L347" s="101"/>
      <c r="M347" s="101">
        <v>6.6616962161434747</v>
      </c>
      <c r="N347" s="96">
        <v>9.765625E-4</v>
      </c>
      <c r="O347" s="96">
        <f t="shared" si="23"/>
        <v>0.4033203125</v>
      </c>
      <c r="Q347" s="96">
        <f t="shared" si="20"/>
        <v>0</v>
      </c>
      <c r="R347" s="96">
        <f t="shared" si="21"/>
        <v>1</v>
      </c>
      <c r="S347" s="96">
        <f t="shared" si="22"/>
        <v>0</v>
      </c>
    </row>
    <row r="348" spans="1:19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11.115218574926891</v>
      </c>
      <c r="H348">
        <v>3.90625E-3</v>
      </c>
      <c r="I348">
        <v>-0.69038401975989327</v>
      </c>
      <c r="J348">
        <v>-2.6968125771870831E-3</v>
      </c>
      <c r="L348" s="101"/>
      <c r="M348" s="101">
        <v>6.6616962161434747</v>
      </c>
      <c r="N348" s="96">
        <v>1.953125E-3</v>
      </c>
      <c r="O348" s="96">
        <f t="shared" si="23"/>
        <v>0.4052734375</v>
      </c>
      <c r="Q348" s="96">
        <f t="shared" si="20"/>
        <v>0</v>
      </c>
      <c r="R348" s="96">
        <f t="shared" si="21"/>
        <v>1</v>
      </c>
      <c r="S348" s="96">
        <f t="shared" si="22"/>
        <v>0</v>
      </c>
    </row>
    <row r="349" spans="1:19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17.784349719883025</v>
      </c>
      <c r="H349">
        <v>1.953125E-3</v>
      </c>
      <c r="I349">
        <v>-0.5527708954035383</v>
      </c>
      <c r="J349">
        <v>-1.0796306550850357E-3</v>
      </c>
      <c r="L349" s="101"/>
      <c r="M349" s="101">
        <v>6.6616962161434747</v>
      </c>
      <c r="N349" s="96">
        <v>9.765625E-4</v>
      </c>
      <c r="O349" s="96">
        <f t="shared" si="23"/>
        <v>0.40625</v>
      </c>
      <c r="Q349" s="96">
        <f t="shared" si="20"/>
        <v>0</v>
      </c>
      <c r="R349" s="96">
        <f t="shared" si="21"/>
        <v>1</v>
      </c>
      <c r="S349" s="96">
        <f t="shared" si="22"/>
        <v>0</v>
      </c>
    </row>
    <row r="350" spans="1:19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0</v>
      </c>
      <c r="H350">
        <v>9.765625E-4</v>
      </c>
      <c r="I350">
        <v>-1</v>
      </c>
      <c r="J350">
        <v>-9.765625E-4</v>
      </c>
      <c r="L350" s="101"/>
      <c r="M350" s="101">
        <v>6.7001417727061927</v>
      </c>
      <c r="N350" s="96">
        <v>9.765625E-4</v>
      </c>
      <c r="O350" s="96">
        <f t="shared" si="23"/>
        <v>0.4072265625</v>
      </c>
      <c r="Q350" s="96">
        <f t="shared" si="20"/>
        <v>0</v>
      </c>
      <c r="R350" s="96">
        <f t="shared" si="21"/>
        <v>1</v>
      </c>
      <c r="S350" s="96">
        <f t="shared" si="22"/>
        <v>0</v>
      </c>
    </row>
    <row r="351" spans="1:19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8.8921748599415071</v>
      </c>
      <c r="H351">
        <v>1.953125E-3</v>
      </c>
      <c r="I351">
        <v>-0.74348563900289188</v>
      </c>
      <c r="J351">
        <v>-1.4521203886775232E-3</v>
      </c>
      <c r="L351" s="101"/>
      <c r="M351" s="101">
        <v>6.7001417727061927</v>
      </c>
      <c r="N351" s="96">
        <v>1.953125E-3</v>
      </c>
      <c r="O351" s="96">
        <f t="shared" si="23"/>
        <v>0.4091796875</v>
      </c>
      <c r="Q351" s="96">
        <f t="shared" si="20"/>
        <v>0</v>
      </c>
      <c r="R351" s="96">
        <f t="shared" si="21"/>
        <v>1</v>
      </c>
      <c r="S351" s="96">
        <f t="shared" si="22"/>
        <v>0</v>
      </c>
    </row>
    <row r="352" spans="1:19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15.561306004897647</v>
      </c>
      <c r="H352">
        <v>9.765625E-4</v>
      </c>
      <c r="I352">
        <v>-0.59528785520590832</v>
      </c>
      <c r="J352">
        <v>-5.8133579609951985E-4</v>
      </c>
      <c r="L352" s="101"/>
      <c r="M352" s="101">
        <v>6.7001417727061927</v>
      </c>
      <c r="N352" s="96">
        <v>9.765625E-4</v>
      </c>
      <c r="O352" s="96">
        <f t="shared" si="23"/>
        <v>0.41015625</v>
      </c>
      <c r="Q352" s="96">
        <f t="shared" si="20"/>
        <v>0</v>
      </c>
      <c r="R352" s="96">
        <f t="shared" si="21"/>
        <v>1</v>
      </c>
      <c r="S352" s="96">
        <f t="shared" si="22"/>
        <v>0</v>
      </c>
    </row>
    <row r="353" spans="1:19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5.4721076061178566</v>
      </c>
      <c r="H353">
        <v>1.953125E-3</v>
      </c>
      <c r="I353">
        <v>-0.83326497773977848</v>
      </c>
      <c r="J353">
        <v>-1.6274706596480048E-3</v>
      </c>
      <c r="L353" s="101"/>
      <c r="M353" s="101">
        <v>6.7234091063703678</v>
      </c>
      <c r="N353" s="96">
        <v>4.8828125E-4</v>
      </c>
      <c r="O353" s="96">
        <f t="shared" si="23"/>
        <v>0.41064453125</v>
      </c>
      <c r="Q353" s="96">
        <f t="shared" si="20"/>
        <v>0</v>
      </c>
      <c r="R353" s="96">
        <f t="shared" si="21"/>
        <v>1</v>
      </c>
      <c r="S353" s="96">
        <f t="shared" si="22"/>
        <v>0</v>
      </c>
    </row>
    <row r="354" spans="1:19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16.416322818353557</v>
      </c>
      <c r="H354">
        <v>3.90625E-3</v>
      </c>
      <c r="I354">
        <v>-0.57856130789802984</v>
      </c>
      <c r="J354">
        <v>-2.2600051089766791E-3</v>
      </c>
      <c r="L354" s="101"/>
      <c r="M354" s="101">
        <v>6.7234091063703678</v>
      </c>
      <c r="N354" s="96">
        <v>9.765625E-4</v>
      </c>
      <c r="O354" s="96">
        <f t="shared" si="23"/>
        <v>0.41162109375</v>
      </c>
      <c r="Q354" s="96">
        <f t="shared" si="20"/>
        <v>0</v>
      </c>
      <c r="R354" s="96">
        <f t="shared" si="21"/>
        <v>1</v>
      </c>
      <c r="S354" s="96">
        <f t="shared" si="22"/>
        <v>0</v>
      </c>
    </row>
    <row r="355" spans="1:19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24.624484227530335</v>
      </c>
      <c r="H355">
        <v>1.953125E-3</v>
      </c>
      <c r="I355">
        <v>-0.44007234685409891</v>
      </c>
      <c r="J355">
        <v>-8.5951630244941193E-4</v>
      </c>
      <c r="L355" s="101"/>
      <c r="M355" s="101">
        <v>6.7234091063703678</v>
      </c>
      <c r="N355" s="96">
        <v>4.8828125E-4</v>
      </c>
      <c r="O355" s="96">
        <f t="shared" si="23"/>
        <v>0.412109375</v>
      </c>
      <c r="Q355" s="96">
        <f t="shared" si="20"/>
        <v>0</v>
      </c>
      <c r="R355" s="96">
        <f t="shared" si="21"/>
        <v>1</v>
      </c>
      <c r="S355" s="96">
        <f t="shared" si="22"/>
        <v>0</v>
      </c>
    </row>
    <row r="356" spans="1:19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2.736053803058927</v>
      </c>
      <c r="H356">
        <v>3.90625E-3</v>
      </c>
      <c r="I356">
        <v>-0.91283348850695578</v>
      </c>
      <c r="J356">
        <v>-3.565755814480296E-3</v>
      </c>
      <c r="L356" s="101"/>
      <c r="M356" s="101">
        <v>6.9590933686498788</v>
      </c>
      <c r="N356" s="96">
        <v>4.8828125E-4</v>
      </c>
      <c r="O356" s="96">
        <f t="shared" si="23"/>
        <v>0.41259765625</v>
      </c>
      <c r="Q356" s="96">
        <f t="shared" si="20"/>
        <v>0</v>
      </c>
      <c r="R356" s="96">
        <f t="shared" si="21"/>
        <v>1</v>
      </c>
      <c r="S356" s="96">
        <f t="shared" si="22"/>
        <v>0</v>
      </c>
    </row>
    <row r="357" spans="1:19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13.680269015294625</v>
      </c>
      <c r="H357">
        <v>7.8125E-3</v>
      </c>
      <c r="I357">
        <v>-0.63380815360349407</v>
      </c>
      <c r="J357">
        <v>-4.9516262000272974E-3</v>
      </c>
      <c r="L357" s="101"/>
      <c r="M357" s="101">
        <v>6.9590933686498788</v>
      </c>
      <c r="N357" s="96">
        <v>9.765625E-4</v>
      </c>
      <c r="O357" s="96">
        <f t="shared" si="23"/>
        <v>0.41357421875</v>
      </c>
      <c r="Q357" s="96">
        <f t="shared" si="20"/>
        <v>0</v>
      </c>
      <c r="R357" s="96">
        <f t="shared" si="21"/>
        <v>1</v>
      </c>
      <c r="S357" s="96">
        <f t="shared" si="22"/>
        <v>0</v>
      </c>
    </row>
    <row r="358" spans="1:19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21.888430424471412</v>
      </c>
      <c r="H358">
        <v>3.90625E-3</v>
      </c>
      <c r="I358">
        <v>-0.48209487534674894</v>
      </c>
      <c r="J358">
        <v>-1.8831831068232381E-3</v>
      </c>
      <c r="L358" s="101"/>
      <c r="M358" s="101">
        <v>6.9590933686498788</v>
      </c>
      <c r="N358" s="96">
        <v>4.8828125E-4</v>
      </c>
      <c r="O358" s="96">
        <f t="shared" si="23"/>
        <v>0.4140625</v>
      </c>
      <c r="Q358" s="96">
        <f t="shared" si="20"/>
        <v>0</v>
      </c>
      <c r="R358" s="96">
        <f t="shared" si="21"/>
        <v>1</v>
      </c>
      <c r="S358" s="96">
        <f t="shared" si="22"/>
        <v>0</v>
      </c>
    </row>
    <row r="359" spans="1:19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0</v>
      </c>
      <c r="H359">
        <v>1.953125E-3</v>
      </c>
      <c r="I359">
        <v>-1</v>
      </c>
      <c r="J359">
        <v>-1.953125E-3</v>
      </c>
      <c r="L359" s="101"/>
      <c r="M359" s="101">
        <v>6.9820017643076868</v>
      </c>
      <c r="N359" s="96">
        <v>4.8828125E-4</v>
      </c>
      <c r="O359" s="96">
        <f t="shared" si="23"/>
        <v>0.41455078125</v>
      </c>
      <c r="Q359" s="96">
        <f t="shared" si="20"/>
        <v>0</v>
      </c>
      <c r="R359" s="96">
        <f t="shared" si="21"/>
        <v>1</v>
      </c>
      <c r="S359" s="96">
        <f t="shared" si="22"/>
        <v>0</v>
      </c>
    </row>
    <row r="360" spans="1:19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10.944215212235711</v>
      </c>
      <c r="H360">
        <v>3.90625E-3</v>
      </c>
      <c r="I360">
        <v>-0.69433052312767352</v>
      </c>
      <c r="J360">
        <v>-2.7122286059674747E-3</v>
      </c>
      <c r="L360" s="101"/>
      <c r="M360" s="101">
        <v>6.9820017643076868</v>
      </c>
      <c r="N360" s="96">
        <v>9.765625E-4</v>
      </c>
      <c r="O360" s="96">
        <f t="shared" si="23"/>
        <v>0.41552734375</v>
      </c>
      <c r="Q360" s="96">
        <f t="shared" si="20"/>
        <v>0</v>
      </c>
      <c r="R360" s="96">
        <f t="shared" si="21"/>
        <v>1</v>
      </c>
      <c r="S360" s="96">
        <f t="shared" si="22"/>
        <v>0</v>
      </c>
    </row>
    <row r="361" spans="1:19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19.15237662141249</v>
      </c>
      <c r="H361">
        <v>1.953125E-3</v>
      </c>
      <c r="I361">
        <v>-0.52813013700370537</v>
      </c>
      <c r="J361">
        <v>-1.031504173835362E-3</v>
      </c>
      <c r="L361" s="101"/>
      <c r="M361" s="101">
        <v>6.9820017643076868</v>
      </c>
      <c r="N361" s="96">
        <v>4.8828125E-4</v>
      </c>
      <c r="O361" s="96">
        <f t="shared" si="23"/>
        <v>0.416015625</v>
      </c>
      <c r="Q361" s="96">
        <f t="shared" si="20"/>
        <v>0</v>
      </c>
      <c r="R361" s="96">
        <f t="shared" si="21"/>
        <v>1</v>
      </c>
      <c r="S361" s="96">
        <f t="shared" si="22"/>
        <v>0</v>
      </c>
    </row>
    <row r="362" spans="1:19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5.4721076061178566</v>
      </c>
      <c r="H362">
        <v>3.90625E-3</v>
      </c>
      <c r="I362">
        <v>-0.83326497773977848</v>
      </c>
      <c r="J362">
        <v>-3.2549413192960097E-3</v>
      </c>
      <c r="L362" s="101"/>
      <c r="M362" s="101">
        <v>7.0464302641057577</v>
      </c>
      <c r="N362" s="96">
        <v>2.44140625E-4</v>
      </c>
      <c r="O362" s="96">
        <f t="shared" si="23"/>
        <v>0.416259765625</v>
      </c>
      <c r="Q362" s="96">
        <f t="shared" si="20"/>
        <v>0</v>
      </c>
      <c r="R362" s="96">
        <f t="shared" si="21"/>
        <v>1</v>
      </c>
      <c r="S362" s="96">
        <f t="shared" si="22"/>
        <v>0</v>
      </c>
    </row>
    <row r="363" spans="1:19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16.416322818353557</v>
      </c>
      <c r="H363">
        <v>7.8125E-3</v>
      </c>
      <c r="I363">
        <v>-0.57856130789802984</v>
      </c>
      <c r="J363">
        <v>-4.5200102179533581E-3</v>
      </c>
      <c r="L363" s="101"/>
      <c r="M363" s="101">
        <v>7.0464302641057577</v>
      </c>
      <c r="N363" s="96">
        <v>4.8828125E-4</v>
      </c>
      <c r="O363" s="96">
        <f t="shared" si="23"/>
        <v>0.416748046875</v>
      </c>
      <c r="Q363" s="96">
        <f t="shared" si="20"/>
        <v>0</v>
      </c>
      <c r="R363" s="96">
        <f t="shared" si="21"/>
        <v>1</v>
      </c>
      <c r="S363" s="96">
        <f t="shared" si="22"/>
        <v>0</v>
      </c>
    </row>
    <row r="364" spans="1:19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24.624484227530335</v>
      </c>
      <c r="H364">
        <v>3.90625E-3</v>
      </c>
      <c r="I364">
        <v>-0.44007234685409891</v>
      </c>
      <c r="J364">
        <v>-1.7190326048988239E-3</v>
      </c>
      <c r="L364" s="101"/>
      <c r="M364" s="101">
        <v>7.0464302641057577</v>
      </c>
      <c r="N364" s="96">
        <v>2.44140625E-4</v>
      </c>
      <c r="O364" s="96">
        <f t="shared" si="23"/>
        <v>0.4169921875</v>
      </c>
      <c r="Q364" s="96">
        <f t="shared" si="20"/>
        <v>0</v>
      </c>
      <c r="R364" s="96">
        <f t="shared" si="21"/>
        <v>1</v>
      </c>
      <c r="S364" s="96">
        <f t="shared" si="22"/>
        <v>0</v>
      </c>
    </row>
    <row r="365" spans="1:19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2.736053803058927</v>
      </c>
      <c r="H365">
        <v>7.8125E-3</v>
      </c>
      <c r="I365">
        <v>-0.91283348850695578</v>
      </c>
      <c r="J365">
        <v>-7.131511628960592E-3</v>
      </c>
      <c r="L365" s="101"/>
      <c r="M365" s="101">
        <v>7.2405944222450067</v>
      </c>
      <c r="N365" s="96">
        <v>4.8828125E-4</v>
      </c>
      <c r="O365" s="96">
        <f t="shared" si="23"/>
        <v>0.41748046875</v>
      </c>
      <c r="Q365" s="96">
        <f t="shared" si="20"/>
        <v>0</v>
      </c>
      <c r="R365" s="96">
        <f t="shared" si="21"/>
        <v>1</v>
      </c>
      <c r="S365" s="96">
        <f t="shared" si="22"/>
        <v>0</v>
      </c>
    </row>
    <row r="366" spans="1:19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13.680269015294625</v>
      </c>
      <c r="H366">
        <v>1.5625E-2</v>
      </c>
      <c r="I366">
        <v>-0.63380815360349407</v>
      </c>
      <c r="J366">
        <v>-9.9032524000545949E-3</v>
      </c>
      <c r="L366" s="101"/>
      <c r="M366" s="101">
        <v>7.2405944222450067</v>
      </c>
      <c r="N366" s="96">
        <v>9.765625E-4</v>
      </c>
      <c r="O366" s="96">
        <f t="shared" si="23"/>
        <v>0.41845703125</v>
      </c>
      <c r="Q366" s="96">
        <f t="shared" si="20"/>
        <v>0</v>
      </c>
      <c r="R366" s="96">
        <f t="shared" si="21"/>
        <v>1</v>
      </c>
      <c r="S366" s="96">
        <f t="shared" si="22"/>
        <v>0</v>
      </c>
    </row>
    <row r="367" spans="1:19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21.888430424471412</v>
      </c>
      <c r="H367">
        <v>7.8125E-3</v>
      </c>
      <c r="I367">
        <v>-0.48209487534674894</v>
      </c>
      <c r="J367">
        <v>-3.7663662136464761E-3</v>
      </c>
      <c r="L367" s="101"/>
      <c r="M367" s="101">
        <v>7.2405944222450067</v>
      </c>
      <c r="N367" s="96">
        <v>4.8828125E-4</v>
      </c>
      <c r="O367" s="96">
        <f t="shared" si="23"/>
        <v>0.4189453125</v>
      </c>
      <c r="Q367" s="96">
        <f t="shared" si="20"/>
        <v>0</v>
      </c>
      <c r="R367" s="96">
        <f t="shared" si="21"/>
        <v>1</v>
      </c>
      <c r="S367" s="96">
        <f t="shared" si="22"/>
        <v>0</v>
      </c>
    </row>
    <row r="368" spans="1:19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0</v>
      </c>
      <c r="H368">
        <v>3.90625E-3</v>
      </c>
      <c r="I368">
        <v>-1</v>
      </c>
      <c r="J368">
        <v>-3.90625E-3</v>
      </c>
      <c r="L368" s="101"/>
      <c r="M368" s="101">
        <v>7.2584869204317108</v>
      </c>
      <c r="N368" s="96">
        <v>9.765625E-4</v>
      </c>
      <c r="O368" s="96">
        <f t="shared" si="23"/>
        <v>0.419921875</v>
      </c>
      <c r="Q368" s="96">
        <f t="shared" si="20"/>
        <v>0</v>
      </c>
      <c r="R368" s="96">
        <f t="shared" si="21"/>
        <v>1</v>
      </c>
      <c r="S368" s="96">
        <f t="shared" si="22"/>
        <v>0</v>
      </c>
    </row>
    <row r="369" spans="1:19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10.944215212235711</v>
      </c>
      <c r="H369">
        <v>7.8125E-3</v>
      </c>
      <c r="I369">
        <v>-0.69433052312767352</v>
      </c>
      <c r="J369">
        <v>-5.4244572119349493E-3</v>
      </c>
      <c r="L369" s="101"/>
      <c r="M369" s="101">
        <v>7.2584869204317108</v>
      </c>
      <c r="N369" s="96">
        <v>1.953125E-3</v>
      </c>
      <c r="O369" s="96">
        <f t="shared" si="23"/>
        <v>0.421875</v>
      </c>
      <c r="Q369" s="96">
        <f t="shared" si="20"/>
        <v>0</v>
      </c>
      <c r="R369" s="96">
        <f t="shared" si="21"/>
        <v>1</v>
      </c>
      <c r="S369" s="96">
        <f t="shared" si="22"/>
        <v>0</v>
      </c>
    </row>
    <row r="370" spans="1:19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19.15237662141249</v>
      </c>
      <c r="H370">
        <v>3.90625E-3</v>
      </c>
      <c r="I370">
        <v>-0.52813013700370537</v>
      </c>
      <c r="J370">
        <v>-2.0630083476707241E-3</v>
      </c>
      <c r="L370" s="101"/>
      <c r="M370" s="101">
        <v>7.2584869204317108</v>
      </c>
      <c r="N370" s="96">
        <v>9.765625E-4</v>
      </c>
      <c r="O370" s="96">
        <f t="shared" si="23"/>
        <v>0.4228515625</v>
      </c>
      <c r="Q370" s="96">
        <f t="shared" si="20"/>
        <v>0</v>
      </c>
      <c r="R370" s="96">
        <f t="shared" si="21"/>
        <v>1</v>
      </c>
      <c r="S370" s="96">
        <f t="shared" si="22"/>
        <v>0</v>
      </c>
    </row>
    <row r="371" spans="1:19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5.4721076061178566</v>
      </c>
      <c r="H371">
        <v>1.953125E-3</v>
      </c>
      <c r="I371">
        <v>-0.83326497773977848</v>
      </c>
      <c r="J371">
        <v>-1.6274706596480048E-3</v>
      </c>
      <c r="L371" s="101"/>
      <c r="M371" s="101">
        <v>7.3399070494010648</v>
      </c>
      <c r="N371" s="96">
        <v>4.8828125E-4</v>
      </c>
      <c r="O371" s="96">
        <f t="shared" si="23"/>
        <v>0.42333984375</v>
      </c>
      <c r="Q371" s="96">
        <f t="shared" si="20"/>
        <v>0</v>
      </c>
      <c r="R371" s="96">
        <f t="shared" si="21"/>
        <v>1</v>
      </c>
      <c r="S371" s="96">
        <f t="shared" si="22"/>
        <v>0</v>
      </c>
    </row>
    <row r="372" spans="1:19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16.416322818353557</v>
      </c>
      <c r="H372">
        <v>3.90625E-3</v>
      </c>
      <c r="I372">
        <v>-0.57856130789802984</v>
      </c>
      <c r="J372">
        <v>-2.2600051089766791E-3</v>
      </c>
      <c r="L372" s="101"/>
      <c r="M372" s="101">
        <v>7.3399070494010648</v>
      </c>
      <c r="N372" s="96">
        <v>9.765625E-4</v>
      </c>
      <c r="O372" s="96">
        <f t="shared" si="23"/>
        <v>0.42431640625</v>
      </c>
      <c r="Q372" s="96">
        <f t="shared" si="20"/>
        <v>0</v>
      </c>
      <c r="R372" s="96">
        <f t="shared" si="21"/>
        <v>1</v>
      </c>
      <c r="S372" s="96">
        <f t="shared" si="22"/>
        <v>0</v>
      </c>
    </row>
    <row r="373" spans="1:19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24.624484227530335</v>
      </c>
      <c r="H373">
        <v>1.953125E-3</v>
      </c>
      <c r="I373">
        <v>-0.44007234685409891</v>
      </c>
      <c r="J373">
        <v>-8.5951630244941193E-4</v>
      </c>
      <c r="L373" s="101"/>
      <c r="M373" s="101">
        <v>7.3399070494010648</v>
      </c>
      <c r="N373" s="96">
        <v>4.8828125E-4</v>
      </c>
      <c r="O373" s="96">
        <f t="shared" si="23"/>
        <v>0.4248046875</v>
      </c>
      <c r="Q373" s="96">
        <f t="shared" si="20"/>
        <v>0</v>
      </c>
      <c r="R373" s="96">
        <f t="shared" si="21"/>
        <v>1</v>
      </c>
      <c r="S373" s="96">
        <f t="shared" si="22"/>
        <v>0</v>
      </c>
    </row>
    <row r="374" spans="1:19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2.736053803058927</v>
      </c>
      <c r="H374">
        <v>3.90625E-3</v>
      </c>
      <c r="I374">
        <v>-0.91283348850695578</v>
      </c>
      <c r="J374">
        <v>-3.565755814480296E-3</v>
      </c>
      <c r="L374" s="101"/>
      <c r="M374" s="101">
        <v>7.3891626049566161</v>
      </c>
      <c r="N374" s="96">
        <v>2.44140625E-4</v>
      </c>
      <c r="O374" s="96">
        <f t="shared" si="23"/>
        <v>0.425048828125</v>
      </c>
      <c r="Q374" s="96">
        <f t="shared" si="20"/>
        <v>0</v>
      </c>
      <c r="R374" s="96">
        <f t="shared" si="21"/>
        <v>1</v>
      </c>
      <c r="S374" s="96">
        <f t="shared" si="22"/>
        <v>0</v>
      </c>
    </row>
    <row r="375" spans="1:19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13.680269015294625</v>
      </c>
      <c r="H375">
        <v>7.8125E-3</v>
      </c>
      <c r="I375">
        <v>-0.63380815360349407</v>
      </c>
      <c r="J375">
        <v>-4.9516262000272974E-3</v>
      </c>
      <c r="L375" s="101"/>
      <c r="M375" s="101">
        <v>7.3891626049566161</v>
      </c>
      <c r="N375" s="96">
        <v>4.8828125E-4</v>
      </c>
      <c r="O375" s="96">
        <f t="shared" si="23"/>
        <v>0.425537109375</v>
      </c>
      <c r="Q375" s="96">
        <f t="shared" si="20"/>
        <v>0</v>
      </c>
      <c r="R375" s="96">
        <f t="shared" si="21"/>
        <v>1</v>
      </c>
      <c r="S375" s="96">
        <f t="shared" si="22"/>
        <v>0</v>
      </c>
    </row>
    <row r="376" spans="1:19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21.888430424471412</v>
      </c>
      <c r="H376">
        <v>3.90625E-3</v>
      </c>
      <c r="I376">
        <v>-0.48209487534674894</v>
      </c>
      <c r="J376">
        <v>-1.8831831068232381E-3</v>
      </c>
      <c r="L376" s="101"/>
      <c r="M376" s="101">
        <v>7.3891626049566161</v>
      </c>
      <c r="N376" s="96">
        <v>2.44140625E-4</v>
      </c>
      <c r="O376" s="96">
        <f t="shared" si="23"/>
        <v>0.42578125</v>
      </c>
      <c r="Q376" s="96">
        <f t="shared" si="20"/>
        <v>0</v>
      </c>
      <c r="R376" s="96">
        <f t="shared" si="21"/>
        <v>1</v>
      </c>
      <c r="S376" s="96">
        <f t="shared" si="22"/>
        <v>0</v>
      </c>
    </row>
    <row r="377" spans="1:19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0</v>
      </c>
      <c r="H377">
        <v>1.953125E-3</v>
      </c>
      <c r="I377">
        <v>-1</v>
      </c>
      <c r="J377">
        <v>-1.953125E-3</v>
      </c>
      <c r="L377" s="101"/>
      <c r="M377" s="101">
        <v>7.444601969673549</v>
      </c>
      <c r="N377" s="96">
        <v>3.90625E-3</v>
      </c>
      <c r="O377" s="96">
        <f t="shared" si="23"/>
        <v>0.4296875</v>
      </c>
      <c r="Q377" s="96">
        <f t="shared" si="20"/>
        <v>0</v>
      </c>
      <c r="R377" s="96">
        <f t="shared" si="21"/>
        <v>1</v>
      </c>
      <c r="S377" s="96">
        <f t="shared" si="22"/>
        <v>0</v>
      </c>
    </row>
    <row r="378" spans="1:19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10.944215212235711</v>
      </c>
      <c r="H378">
        <v>3.90625E-3</v>
      </c>
      <c r="I378">
        <v>-0.69433052312767352</v>
      </c>
      <c r="J378">
        <v>-2.7122286059674747E-3</v>
      </c>
      <c r="L378" s="101"/>
      <c r="M378" s="101">
        <v>7.444601969673549</v>
      </c>
      <c r="N378" s="96">
        <v>7.8125E-3</v>
      </c>
      <c r="O378" s="96">
        <f t="shared" si="23"/>
        <v>0.4375</v>
      </c>
      <c r="Q378" s="96">
        <f t="shared" si="20"/>
        <v>0</v>
      </c>
      <c r="R378" s="96">
        <f t="shared" si="21"/>
        <v>1</v>
      </c>
      <c r="S378" s="96">
        <f t="shared" si="22"/>
        <v>0</v>
      </c>
    </row>
    <row r="379" spans="1:19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19.15237662141249</v>
      </c>
      <c r="H379">
        <v>1.953125E-3</v>
      </c>
      <c r="I379">
        <v>-0.52813013700370537</v>
      </c>
      <c r="J379">
        <v>-1.031504173835362E-3</v>
      </c>
      <c r="L379" s="101"/>
      <c r="M379" s="101">
        <v>7.444601969673549</v>
      </c>
      <c r="N379" s="96">
        <v>3.90625E-3</v>
      </c>
      <c r="O379" s="96">
        <f t="shared" si="23"/>
        <v>0.44140625</v>
      </c>
      <c r="Q379" s="96">
        <f t="shared" si="20"/>
        <v>0</v>
      </c>
      <c r="R379" s="96">
        <f t="shared" si="21"/>
        <v>1</v>
      </c>
      <c r="S379" s="96">
        <f t="shared" si="22"/>
        <v>0</v>
      </c>
    </row>
    <row r="380" spans="1:19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6.156121056882581</v>
      </c>
      <c r="H380">
        <v>9.765625E-4</v>
      </c>
      <c r="I380">
        <v>-0.81448111661519806</v>
      </c>
      <c r="J380">
        <v>-7.9539171544452936E-4</v>
      </c>
      <c r="L380" s="101"/>
      <c r="M380" s="101">
        <v>7.4944082431614056</v>
      </c>
      <c r="N380" s="96">
        <v>4.8828125E-4</v>
      </c>
      <c r="O380" s="96">
        <f t="shared" si="23"/>
        <v>0.44189453125</v>
      </c>
      <c r="Q380" s="96">
        <f t="shared" si="20"/>
        <v>0</v>
      </c>
      <c r="R380" s="96">
        <f t="shared" si="21"/>
        <v>1</v>
      </c>
      <c r="S380" s="96">
        <f t="shared" si="22"/>
        <v>0</v>
      </c>
    </row>
    <row r="381" spans="1:19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18.468363170647752</v>
      </c>
      <c r="H381">
        <v>1.953125E-3</v>
      </c>
      <c r="I381">
        <v>-0.54031006720320474</v>
      </c>
      <c r="J381">
        <v>-1.0552931000062592E-3</v>
      </c>
      <c r="L381" s="101"/>
      <c r="M381" s="101">
        <v>7.4944082431614056</v>
      </c>
      <c r="N381" s="96">
        <v>9.765625E-4</v>
      </c>
      <c r="O381" s="96">
        <f t="shared" si="23"/>
        <v>0.44287109375</v>
      </c>
      <c r="Q381" s="96">
        <f t="shared" si="20"/>
        <v>0</v>
      </c>
      <c r="R381" s="96">
        <f t="shared" si="21"/>
        <v>1</v>
      </c>
      <c r="S381" s="96">
        <f t="shared" si="22"/>
        <v>0</v>
      </c>
    </row>
    <row r="382" spans="1:19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27.702544755971633</v>
      </c>
      <c r="H382">
        <v>9.765625E-4</v>
      </c>
      <c r="I382">
        <v>-0.39715916528349199</v>
      </c>
      <c r="J382">
        <v>-3.8785074734716014E-4</v>
      </c>
      <c r="L382" s="101"/>
      <c r="M382" s="101">
        <v>7.4944082431614056</v>
      </c>
      <c r="N382" s="96">
        <v>4.8828125E-4</v>
      </c>
      <c r="O382" s="96">
        <f t="shared" si="23"/>
        <v>0.443359375</v>
      </c>
      <c r="Q382" s="96">
        <f t="shared" si="20"/>
        <v>0</v>
      </c>
      <c r="R382" s="96">
        <f t="shared" si="21"/>
        <v>1</v>
      </c>
      <c r="S382" s="96">
        <f t="shared" si="22"/>
        <v>0</v>
      </c>
    </row>
    <row r="383" spans="1:19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3.0780605284412847</v>
      </c>
      <c r="H383">
        <v>1.953125E-3</v>
      </c>
      <c r="I383">
        <v>-0.90248607557967253</v>
      </c>
      <c r="J383">
        <v>-1.7626681163665479E-3</v>
      </c>
      <c r="L383" s="101"/>
      <c r="M383" s="101">
        <v>7.5638352446666604</v>
      </c>
      <c r="N383" s="96">
        <v>2.44140625E-4</v>
      </c>
      <c r="O383" s="96">
        <f t="shared" si="23"/>
        <v>0.443603515625</v>
      </c>
      <c r="Q383" s="96">
        <f t="shared" si="20"/>
        <v>0</v>
      </c>
      <c r="R383" s="96">
        <f t="shared" si="21"/>
        <v>1</v>
      </c>
      <c r="S383" s="96">
        <f t="shared" si="22"/>
        <v>0</v>
      </c>
    </row>
    <row r="384" spans="1:19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15.390302642206462</v>
      </c>
      <c r="H384">
        <v>3.90625E-3</v>
      </c>
      <c r="I384">
        <v>-0.5986907519389264</v>
      </c>
      <c r="J384">
        <v>-2.3386357497614313E-3</v>
      </c>
      <c r="L384" s="101"/>
      <c r="M384" s="101">
        <v>7.5638352446666604</v>
      </c>
      <c r="N384" s="96">
        <v>4.8828125E-4</v>
      </c>
      <c r="O384" s="96">
        <f t="shared" si="23"/>
        <v>0.444091796875</v>
      </c>
      <c r="Q384" s="96">
        <f t="shared" si="20"/>
        <v>0</v>
      </c>
      <c r="R384" s="96">
        <f t="shared" si="21"/>
        <v>1</v>
      </c>
      <c r="S384" s="96">
        <f t="shared" si="22"/>
        <v>0</v>
      </c>
    </row>
    <row r="385" spans="1:19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24.624484227530338</v>
      </c>
      <c r="H385">
        <v>1.953125E-3</v>
      </c>
      <c r="I385">
        <v>-0.44007234685409885</v>
      </c>
      <c r="J385">
        <v>-8.5951630244941182E-4</v>
      </c>
      <c r="L385" s="101"/>
      <c r="M385" s="101">
        <v>7.5638352446666604</v>
      </c>
      <c r="N385" s="96">
        <v>2.44140625E-4</v>
      </c>
      <c r="O385" s="96">
        <f t="shared" si="23"/>
        <v>0.4443359375</v>
      </c>
      <c r="Q385" s="96">
        <f t="shared" si="20"/>
        <v>0</v>
      </c>
      <c r="R385" s="96">
        <f t="shared" si="21"/>
        <v>1</v>
      </c>
      <c r="S385" s="96">
        <f t="shared" si="22"/>
        <v>0</v>
      </c>
    </row>
    <row r="386" spans="1:19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0</v>
      </c>
      <c r="H386">
        <v>9.765625E-4</v>
      </c>
      <c r="I386">
        <v>-1</v>
      </c>
      <c r="J386">
        <v>-9.765625E-4</v>
      </c>
      <c r="L386" s="101"/>
      <c r="M386" s="101">
        <v>7.6133671041639683</v>
      </c>
      <c r="N386" s="96">
        <v>1.953125E-3</v>
      </c>
      <c r="O386" s="96">
        <f t="shared" si="23"/>
        <v>0.4462890625</v>
      </c>
      <c r="Q386" s="96">
        <f t="shared" si="20"/>
        <v>0</v>
      </c>
      <c r="R386" s="96">
        <f t="shared" si="21"/>
        <v>1</v>
      </c>
      <c r="S386" s="96">
        <f t="shared" si="22"/>
        <v>0</v>
      </c>
    </row>
    <row r="387" spans="1:19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12.312242113765171</v>
      </c>
      <c r="H387">
        <v>1.953125E-3</v>
      </c>
      <c r="I387">
        <v>-0.6633794893227396</v>
      </c>
      <c r="J387">
        <v>-1.2956630650834758E-3</v>
      </c>
      <c r="L387" s="101"/>
      <c r="M387" s="101">
        <v>7.6133671041639683</v>
      </c>
      <c r="N387" s="96">
        <v>3.90625E-3</v>
      </c>
      <c r="O387" s="96">
        <f t="shared" si="23"/>
        <v>0.4501953125</v>
      </c>
      <c r="Q387" s="96">
        <f t="shared" ref="Q387:Q450" si="24">IF(A387=3,1,0)</f>
        <v>0</v>
      </c>
      <c r="R387" s="96">
        <f t="shared" ref="R387:R450" si="25">IF(A387=2,1,0)</f>
        <v>1</v>
      </c>
      <c r="S387" s="96">
        <f t="shared" ref="S387:S450" si="26">IF(A387=1,1,0)</f>
        <v>0</v>
      </c>
    </row>
    <row r="388" spans="1:19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21.546423699089051</v>
      </c>
      <c r="H388">
        <v>9.765625E-4</v>
      </c>
      <c r="I388">
        <v>-0.48762231214640922</v>
      </c>
      <c r="J388">
        <v>-4.7619366420547775E-4</v>
      </c>
      <c r="L388" s="101"/>
      <c r="M388" s="101">
        <v>7.6133671041639683</v>
      </c>
      <c r="N388" s="96">
        <v>1.953125E-3</v>
      </c>
      <c r="O388" s="96">
        <f t="shared" ref="O388:O451" si="27">N388+O387</f>
        <v>0.4521484375</v>
      </c>
      <c r="Q388" s="96">
        <f t="shared" si="24"/>
        <v>0</v>
      </c>
      <c r="R388" s="96">
        <f t="shared" si="25"/>
        <v>1</v>
      </c>
      <c r="S388" s="96">
        <f t="shared" si="26"/>
        <v>0</v>
      </c>
    </row>
    <row r="389" spans="1:19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6.156121056882581</v>
      </c>
      <c r="H389">
        <v>1.953125E-3</v>
      </c>
      <c r="I389">
        <v>-0.81448111661519806</v>
      </c>
      <c r="J389">
        <v>-1.5907834308890587E-3</v>
      </c>
      <c r="L389" s="101"/>
      <c r="M389" s="101">
        <v>7.6382198580430352</v>
      </c>
      <c r="N389" s="96">
        <v>9.765625E-4</v>
      </c>
      <c r="O389" s="96">
        <f t="shared" si="27"/>
        <v>0.453125</v>
      </c>
      <c r="Q389" s="96">
        <f t="shared" si="24"/>
        <v>0</v>
      </c>
      <c r="R389" s="96">
        <f t="shared" si="25"/>
        <v>1</v>
      </c>
      <c r="S389" s="96">
        <f t="shared" si="26"/>
        <v>0</v>
      </c>
    </row>
    <row r="390" spans="1:19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18.468363170647752</v>
      </c>
      <c r="H390">
        <v>3.90625E-3</v>
      </c>
      <c r="I390">
        <v>-0.54031006720320474</v>
      </c>
      <c r="J390">
        <v>-2.1105862000125185E-3</v>
      </c>
      <c r="L390" s="101"/>
      <c r="M390" s="101">
        <v>7.6382198580430352</v>
      </c>
      <c r="N390" s="96">
        <v>1.953125E-3</v>
      </c>
      <c r="O390" s="96">
        <f t="shared" si="27"/>
        <v>0.455078125</v>
      </c>
      <c r="Q390" s="96">
        <f t="shared" si="24"/>
        <v>0</v>
      </c>
      <c r="R390" s="96">
        <f t="shared" si="25"/>
        <v>1</v>
      </c>
      <c r="S390" s="96">
        <f t="shared" si="26"/>
        <v>0</v>
      </c>
    </row>
    <row r="391" spans="1:19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27.702544755971633</v>
      </c>
      <c r="H391">
        <v>1.953125E-3</v>
      </c>
      <c r="I391">
        <v>-0.39715916528349199</v>
      </c>
      <c r="J391">
        <v>-7.7570149469432029E-4</v>
      </c>
      <c r="L391" s="101"/>
      <c r="M391" s="101">
        <v>7.6382198580430352</v>
      </c>
      <c r="N391" s="96">
        <v>9.765625E-4</v>
      </c>
      <c r="O391" s="96">
        <f t="shared" si="27"/>
        <v>0.4560546875</v>
      </c>
      <c r="Q391" s="96">
        <f t="shared" si="24"/>
        <v>0</v>
      </c>
      <c r="R391" s="96">
        <f t="shared" si="25"/>
        <v>1</v>
      </c>
      <c r="S391" s="96">
        <f t="shared" si="26"/>
        <v>0</v>
      </c>
    </row>
    <row r="392" spans="1:19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3.0780605284412847</v>
      </c>
      <c r="H392">
        <v>3.90625E-3</v>
      </c>
      <c r="I392">
        <v>-0.90248607557967253</v>
      </c>
      <c r="J392">
        <v>-3.5253362327330958E-3</v>
      </c>
      <c r="L392" s="101"/>
      <c r="M392" s="101">
        <v>7.6382198580430352</v>
      </c>
      <c r="N392" s="96">
        <v>4.8828125E-4</v>
      </c>
      <c r="O392" s="96">
        <f t="shared" si="27"/>
        <v>0.45654296875</v>
      </c>
      <c r="Q392" s="96">
        <f t="shared" si="24"/>
        <v>0</v>
      </c>
      <c r="R392" s="96">
        <f t="shared" si="25"/>
        <v>1</v>
      </c>
      <c r="S392" s="96">
        <f t="shared" si="26"/>
        <v>0</v>
      </c>
    </row>
    <row r="393" spans="1:19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15.390302642206462</v>
      </c>
      <c r="H393">
        <v>7.8125E-3</v>
      </c>
      <c r="I393">
        <v>-0.5986907519389264</v>
      </c>
      <c r="J393">
        <v>-4.6772714995228625E-3</v>
      </c>
      <c r="L393" s="101"/>
      <c r="M393" s="101">
        <v>7.6382198580430352</v>
      </c>
      <c r="N393" s="96">
        <v>9.765625E-4</v>
      </c>
      <c r="O393" s="96">
        <f t="shared" si="27"/>
        <v>0.45751953125</v>
      </c>
      <c r="Q393" s="96">
        <f t="shared" si="24"/>
        <v>0</v>
      </c>
      <c r="R393" s="96">
        <f t="shared" si="25"/>
        <v>1</v>
      </c>
      <c r="S393" s="96">
        <f t="shared" si="26"/>
        <v>0</v>
      </c>
    </row>
    <row r="394" spans="1:19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24.624484227530338</v>
      </c>
      <c r="H394">
        <v>3.90625E-3</v>
      </c>
      <c r="I394">
        <v>-0.44007234685409885</v>
      </c>
      <c r="J394">
        <v>-1.7190326048988236E-3</v>
      </c>
      <c r="L394" s="101"/>
      <c r="M394" s="101">
        <v>7.6382198580430352</v>
      </c>
      <c r="N394" s="96">
        <v>4.8828125E-4</v>
      </c>
      <c r="O394" s="96">
        <f t="shared" si="27"/>
        <v>0.4580078125</v>
      </c>
      <c r="Q394" s="96">
        <f t="shared" si="24"/>
        <v>0</v>
      </c>
      <c r="R394" s="96">
        <f t="shared" si="25"/>
        <v>1</v>
      </c>
      <c r="S394" s="96">
        <f t="shared" si="26"/>
        <v>0</v>
      </c>
    </row>
    <row r="395" spans="1:19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0</v>
      </c>
      <c r="H395">
        <v>1.953125E-3</v>
      </c>
      <c r="I395">
        <v>-1</v>
      </c>
      <c r="J395">
        <v>-1.953125E-3</v>
      </c>
      <c r="L395" s="101"/>
      <c r="M395" s="101">
        <v>7.6382198580430352</v>
      </c>
      <c r="N395" s="96">
        <v>4.8828125E-4</v>
      </c>
      <c r="O395" s="96">
        <f t="shared" si="27"/>
        <v>0.45849609375</v>
      </c>
      <c r="Q395" s="96">
        <f t="shared" si="24"/>
        <v>0</v>
      </c>
      <c r="R395" s="96">
        <f t="shared" si="25"/>
        <v>1</v>
      </c>
      <c r="S395" s="96">
        <f t="shared" si="26"/>
        <v>0</v>
      </c>
    </row>
    <row r="396" spans="1:19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12.312242113765171</v>
      </c>
      <c r="H396">
        <v>3.90625E-3</v>
      </c>
      <c r="I396">
        <v>-0.6633794893227396</v>
      </c>
      <c r="J396">
        <v>-2.5913261301669516E-3</v>
      </c>
      <c r="L396" s="101"/>
      <c r="M396" s="101">
        <v>7.6382198580430352</v>
      </c>
      <c r="N396" s="96">
        <v>9.765625E-4</v>
      </c>
      <c r="O396" s="96">
        <f t="shared" si="27"/>
        <v>0.45947265625</v>
      </c>
      <c r="Q396" s="96">
        <f t="shared" si="24"/>
        <v>0</v>
      </c>
      <c r="R396" s="96">
        <f t="shared" si="25"/>
        <v>1</v>
      </c>
      <c r="S396" s="96">
        <f t="shared" si="26"/>
        <v>0</v>
      </c>
    </row>
    <row r="397" spans="1:19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21.546423699089051</v>
      </c>
      <c r="H397">
        <v>1.953125E-3</v>
      </c>
      <c r="I397">
        <v>-0.48762231214640922</v>
      </c>
      <c r="J397">
        <v>-9.5238732841095551E-4</v>
      </c>
      <c r="L397" s="101"/>
      <c r="M397" s="101">
        <v>7.6382198580430352</v>
      </c>
      <c r="N397" s="96">
        <v>4.8828125E-4</v>
      </c>
      <c r="O397" s="96">
        <f t="shared" si="27"/>
        <v>0.4599609375</v>
      </c>
      <c r="Q397" s="96">
        <f t="shared" si="24"/>
        <v>0</v>
      </c>
      <c r="R397" s="96">
        <f t="shared" si="25"/>
        <v>1</v>
      </c>
      <c r="S397" s="96">
        <f t="shared" si="26"/>
        <v>0</v>
      </c>
    </row>
    <row r="398" spans="1:19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6.156121056882581</v>
      </c>
      <c r="H398">
        <v>9.765625E-4</v>
      </c>
      <c r="I398">
        <v>-0.81448111661519806</v>
      </c>
      <c r="J398">
        <v>-7.9539171544452936E-4</v>
      </c>
      <c r="L398" s="101"/>
      <c r="M398" s="101">
        <v>7.6382198580430352</v>
      </c>
      <c r="N398" s="96">
        <v>2.44140625E-4</v>
      </c>
      <c r="O398" s="96">
        <f t="shared" si="27"/>
        <v>0.460205078125</v>
      </c>
      <c r="Q398" s="96">
        <f t="shared" si="24"/>
        <v>0</v>
      </c>
      <c r="R398" s="96">
        <f t="shared" si="25"/>
        <v>1</v>
      </c>
      <c r="S398" s="96">
        <f t="shared" si="26"/>
        <v>0</v>
      </c>
    </row>
    <row r="399" spans="1:19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18.468363170647752</v>
      </c>
      <c r="H399">
        <v>1.953125E-3</v>
      </c>
      <c r="I399">
        <v>-0.54031006720320474</v>
      </c>
      <c r="J399">
        <v>-1.0552931000062592E-3</v>
      </c>
      <c r="L399" s="101"/>
      <c r="M399" s="101">
        <v>7.6382198580430352</v>
      </c>
      <c r="N399" s="96">
        <v>4.8828125E-4</v>
      </c>
      <c r="O399" s="96">
        <f t="shared" si="27"/>
        <v>0.460693359375</v>
      </c>
      <c r="Q399" s="96">
        <f t="shared" si="24"/>
        <v>0</v>
      </c>
      <c r="R399" s="96">
        <f t="shared" si="25"/>
        <v>1</v>
      </c>
      <c r="S399" s="96">
        <f t="shared" si="26"/>
        <v>0</v>
      </c>
    </row>
    <row r="400" spans="1:19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27.702544755971633</v>
      </c>
      <c r="H400">
        <v>9.765625E-4</v>
      </c>
      <c r="I400">
        <v>-0.39715916528349199</v>
      </c>
      <c r="J400">
        <v>-3.8785074734716014E-4</v>
      </c>
      <c r="L400" s="101"/>
      <c r="M400" s="101">
        <v>7.6382198580430352</v>
      </c>
      <c r="N400" s="96">
        <v>2.44140625E-4</v>
      </c>
      <c r="O400" s="96">
        <f t="shared" si="27"/>
        <v>0.4609375</v>
      </c>
      <c r="Q400" s="96">
        <f t="shared" si="24"/>
        <v>0</v>
      </c>
      <c r="R400" s="96">
        <f t="shared" si="25"/>
        <v>1</v>
      </c>
      <c r="S400" s="96">
        <f t="shared" si="26"/>
        <v>0</v>
      </c>
    </row>
    <row r="401" spans="1:19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3.0780605284412847</v>
      </c>
      <c r="H401">
        <v>1.953125E-3</v>
      </c>
      <c r="I401">
        <v>-0.90248607557967253</v>
      </c>
      <c r="J401">
        <v>-1.7626681163665479E-3</v>
      </c>
      <c r="L401" s="101"/>
      <c r="M401" s="101">
        <v>7.7323259651665301</v>
      </c>
      <c r="N401" s="96">
        <v>1.953125E-3</v>
      </c>
      <c r="O401" s="96">
        <f t="shared" si="27"/>
        <v>0.462890625</v>
      </c>
      <c r="Q401" s="96">
        <f t="shared" si="24"/>
        <v>0</v>
      </c>
      <c r="R401" s="96">
        <f t="shared" si="25"/>
        <v>1</v>
      </c>
      <c r="S401" s="96">
        <f t="shared" si="26"/>
        <v>0</v>
      </c>
    </row>
    <row r="402" spans="1:19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15.390302642206462</v>
      </c>
      <c r="H402">
        <v>3.90625E-3</v>
      </c>
      <c r="I402">
        <v>-0.5986907519389264</v>
      </c>
      <c r="J402">
        <v>-2.3386357497614313E-3</v>
      </c>
      <c r="L402" s="101"/>
      <c r="M402" s="101">
        <v>7.7323259651665301</v>
      </c>
      <c r="N402" s="96">
        <v>3.90625E-3</v>
      </c>
      <c r="O402" s="96">
        <f t="shared" si="27"/>
        <v>0.466796875</v>
      </c>
      <c r="Q402" s="96">
        <f t="shared" si="24"/>
        <v>0</v>
      </c>
      <c r="R402" s="96">
        <f t="shared" si="25"/>
        <v>1</v>
      </c>
      <c r="S402" s="96">
        <f t="shared" si="26"/>
        <v>0</v>
      </c>
    </row>
    <row r="403" spans="1:19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24.624484227530338</v>
      </c>
      <c r="H403">
        <v>1.953125E-3</v>
      </c>
      <c r="I403">
        <v>-0.44007234685409885</v>
      </c>
      <c r="J403">
        <v>-8.5951630244941182E-4</v>
      </c>
      <c r="L403" s="101"/>
      <c r="M403" s="101">
        <v>7.7323259651665301</v>
      </c>
      <c r="N403" s="96">
        <v>1.953125E-3</v>
      </c>
      <c r="O403" s="96">
        <f t="shared" si="27"/>
        <v>0.46875</v>
      </c>
      <c r="Q403" s="96">
        <f t="shared" si="24"/>
        <v>0</v>
      </c>
      <c r="R403" s="96">
        <f t="shared" si="25"/>
        <v>1</v>
      </c>
      <c r="S403" s="96">
        <f t="shared" si="26"/>
        <v>0</v>
      </c>
    </row>
    <row r="404" spans="1:19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0</v>
      </c>
      <c r="H404">
        <v>9.765625E-4</v>
      </c>
      <c r="I404">
        <v>-1</v>
      </c>
      <c r="J404">
        <v>-9.765625E-4</v>
      </c>
      <c r="L404" s="101"/>
      <c r="M404" s="101">
        <v>8.1456687250256294</v>
      </c>
      <c r="N404" s="96">
        <v>2.44140625E-4</v>
      </c>
      <c r="O404" s="96">
        <f t="shared" si="27"/>
        <v>0.468994140625</v>
      </c>
      <c r="Q404" s="96">
        <f t="shared" si="24"/>
        <v>0</v>
      </c>
      <c r="R404" s="96">
        <f t="shared" si="25"/>
        <v>1</v>
      </c>
      <c r="S404" s="96">
        <f t="shared" si="26"/>
        <v>0</v>
      </c>
    </row>
    <row r="405" spans="1:19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12.312242113765171</v>
      </c>
      <c r="H405">
        <v>1.953125E-3</v>
      </c>
      <c r="I405">
        <v>-0.6633794893227396</v>
      </c>
      <c r="J405">
        <v>-1.2956630650834758E-3</v>
      </c>
      <c r="L405" s="101"/>
      <c r="M405" s="101">
        <v>8.1456687250256294</v>
      </c>
      <c r="N405" s="96">
        <v>4.8828125E-4</v>
      </c>
      <c r="O405" s="96">
        <f t="shared" si="27"/>
        <v>0.469482421875</v>
      </c>
      <c r="Q405" s="96">
        <f t="shared" si="24"/>
        <v>0</v>
      </c>
      <c r="R405" s="96">
        <f t="shared" si="25"/>
        <v>1</v>
      </c>
      <c r="S405" s="96">
        <f t="shared" si="26"/>
        <v>0</v>
      </c>
    </row>
    <row r="406" spans="1:19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21.546423699089051</v>
      </c>
      <c r="H406">
        <v>9.765625E-4</v>
      </c>
      <c r="I406">
        <v>-0.48762231214640922</v>
      </c>
      <c r="J406">
        <v>-4.7619366420547775E-4</v>
      </c>
      <c r="L406" s="101"/>
      <c r="M406" s="101">
        <v>8.1456687250256294</v>
      </c>
      <c r="N406" s="96">
        <v>2.44140625E-4</v>
      </c>
      <c r="O406" s="96">
        <f t="shared" si="27"/>
        <v>0.4697265625</v>
      </c>
      <c r="Q406" s="96">
        <f t="shared" si="24"/>
        <v>0</v>
      </c>
      <c r="R406" s="96">
        <f t="shared" si="25"/>
        <v>1</v>
      </c>
      <c r="S406" s="96">
        <f t="shared" si="26"/>
        <v>0</v>
      </c>
    </row>
    <row r="407" spans="1:19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4.832450295203695</v>
      </c>
      <c r="H407">
        <v>4.8828125E-4</v>
      </c>
      <c r="I407">
        <v>-0.85122254338395464</v>
      </c>
      <c r="J407">
        <v>-4.156360075116966E-4</v>
      </c>
      <c r="L407" s="101"/>
      <c r="M407" s="101">
        <v>8.2749650539942952</v>
      </c>
      <c r="N407" s="96">
        <v>9.765625E-4</v>
      </c>
      <c r="O407" s="96">
        <f t="shared" si="27"/>
        <v>0.470703125</v>
      </c>
      <c r="Q407" s="96">
        <f t="shared" si="24"/>
        <v>0</v>
      </c>
      <c r="R407" s="96">
        <f t="shared" si="25"/>
        <v>1</v>
      </c>
      <c r="S407" s="96">
        <f t="shared" si="26"/>
        <v>0</v>
      </c>
    </row>
    <row r="408" spans="1:19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14.497350885611096</v>
      </c>
      <c r="H408">
        <v>9.765625E-4</v>
      </c>
      <c r="I408">
        <v>-0.61677867587338031</v>
      </c>
      <c r="J408">
        <v>-6.0232292565759796E-4</v>
      </c>
      <c r="L408" s="101"/>
      <c r="M408" s="101">
        <v>8.2749650539942952</v>
      </c>
      <c r="N408" s="96">
        <v>1.953125E-3</v>
      </c>
      <c r="O408" s="96">
        <f t="shared" si="27"/>
        <v>0.47265625</v>
      </c>
      <c r="Q408" s="96">
        <f t="shared" si="24"/>
        <v>0</v>
      </c>
      <c r="R408" s="96">
        <f t="shared" si="25"/>
        <v>1</v>
      </c>
      <c r="S408" s="96">
        <f t="shared" si="26"/>
        <v>0</v>
      </c>
    </row>
    <row r="409" spans="1:19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21.74602632841664</v>
      </c>
      <c r="H409">
        <v>4.8828125E-4</v>
      </c>
      <c r="I409">
        <v>-0.48438872476339656</v>
      </c>
      <c r="J409">
        <v>-2.3651793201337723E-4</v>
      </c>
      <c r="L409" s="101"/>
      <c r="M409" s="101">
        <v>8.2749650539942952</v>
      </c>
      <c r="N409" s="96">
        <v>9.765625E-4</v>
      </c>
      <c r="O409" s="96">
        <f t="shared" si="27"/>
        <v>0.4736328125</v>
      </c>
      <c r="Q409" s="96">
        <f t="shared" si="24"/>
        <v>0</v>
      </c>
      <c r="R409" s="96">
        <f t="shared" si="25"/>
        <v>1</v>
      </c>
      <c r="S409" s="96">
        <f t="shared" si="26"/>
        <v>0</v>
      </c>
    </row>
    <row r="410" spans="1:19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2.4162251476018484</v>
      </c>
      <c r="H410">
        <v>9.765625E-4</v>
      </c>
      <c r="I410">
        <v>-0.92261722473838226</v>
      </c>
      <c r="J410">
        <v>-9.0099338353357642E-4</v>
      </c>
      <c r="L410" s="101"/>
      <c r="M410" s="101">
        <v>8.3751772158827436</v>
      </c>
      <c r="N410" s="96">
        <v>1.953125E-3</v>
      </c>
      <c r="O410" s="96">
        <f t="shared" si="27"/>
        <v>0.4755859375</v>
      </c>
      <c r="Q410" s="96">
        <f t="shared" si="24"/>
        <v>0</v>
      </c>
      <c r="R410" s="96">
        <f t="shared" si="25"/>
        <v>1</v>
      </c>
      <c r="S410" s="96">
        <f t="shared" si="26"/>
        <v>0</v>
      </c>
    </row>
    <row r="411" spans="1:19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12.081125738009241</v>
      </c>
      <c r="H411">
        <v>1.953125E-3</v>
      </c>
      <c r="I411">
        <v>-0.66850982112140223</v>
      </c>
      <c r="J411">
        <v>-1.3056832443777387E-3</v>
      </c>
      <c r="L411" s="101"/>
      <c r="M411" s="101">
        <v>8.3751772158827436</v>
      </c>
      <c r="N411" s="96">
        <v>3.90625E-3</v>
      </c>
      <c r="O411" s="96">
        <f t="shared" si="27"/>
        <v>0.4794921875</v>
      </c>
      <c r="Q411" s="96">
        <f t="shared" si="24"/>
        <v>0</v>
      </c>
      <c r="R411" s="96">
        <f t="shared" si="25"/>
        <v>1</v>
      </c>
      <c r="S411" s="96">
        <f t="shared" si="26"/>
        <v>0</v>
      </c>
    </row>
    <row r="412" spans="1:19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19.329801180814798</v>
      </c>
      <c r="H412">
        <v>9.765625E-4</v>
      </c>
      <c r="I412">
        <v>-0.52501591318192653</v>
      </c>
      <c r="J412">
        <v>-5.1271085271672513E-4</v>
      </c>
      <c r="L412" s="101"/>
      <c r="M412" s="101">
        <v>8.3751772158827436</v>
      </c>
      <c r="N412" s="96">
        <v>1.953125E-3</v>
      </c>
      <c r="O412" s="96">
        <f t="shared" si="27"/>
        <v>0.4814453125</v>
      </c>
      <c r="Q412" s="96">
        <f t="shared" si="24"/>
        <v>0</v>
      </c>
      <c r="R412" s="96">
        <f t="shared" si="25"/>
        <v>1</v>
      </c>
      <c r="S412" s="96">
        <f t="shared" si="26"/>
        <v>0</v>
      </c>
    </row>
    <row r="413" spans="1:19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0</v>
      </c>
      <c r="H413">
        <v>4.8828125E-4</v>
      </c>
      <c r="I413">
        <v>-1</v>
      </c>
      <c r="J413">
        <v>-4.8828125E-4</v>
      </c>
      <c r="L413" s="101"/>
      <c r="M413" s="101">
        <v>8.4042613829629573</v>
      </c>
      <c r="N413" s="96">
        <v>9.765625E-4</v>
      </c>
      <c r="O413" s="96">
        <f t="shared" si="27"/>
        <v>0.482421875</v>
      </c>
      <c r="Q413" s="96">
        <f t="shared" si="24"/>
        <v>0</v>
      </c>
      <c r="R413" s="96">
        <f t="shared" si="25"/>
        <v>1</v>
      </c>
      <c r="S413" s="96">
        <f t="shared" si="26"/>
        <v>0</v>
      </c>
    </row>
    <row r="414" spans="1:19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9.6649005904074006</v>
      </c>
      <c r="H414">
        <v>9.765625E-4</v>
      </c>
      <c r="I414">
        <v>-0.72457981836504837</v>
      </c>
      <c r="J414">
        <v>-7.0759747887211755E-4</v>
      </c>
      <c r="L414" s="101"/>
      <c r="M414" s="101">
        <v>8.4042613829629573</v>
      </c>
      <c r="N414" s="96">
        <v>1.953125E-3</v>
      </c>
      <c r="O414" s="96">
        <f t="shared" si="27"/>
        <v>0.484375</v>
      </c>
      <c r="Q414" s="96">
        <f t="shared" si="24"/>
        <v>0</v>
      </c>
      <c r="R414" s="96">
        <f t="shared" si="25"/>
        <v>1</v>
      </c>
      <c r="S414" s="96">
        <f t="shared" si="26"/>
        <v>0</v>
      </c>
    </row>
    <row r="415" spans="1:19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16.913576033212944</v>
      </c>
      <c r="H415">
        <v>4.8828125E-4</v>
      </c>
      <c r="I415">
        <v>-0.56905063021211233</v>
      </c>
      <c r="J415">
        <v>-2.7785675303325797E-4</v>
      </c>
      <c r="L415" s="101"/>
      <c r="M415" s="101">
        <v>8.4042613829629573</v>
      </c>
      <c r="N415" s="96">
        <v>9.765625E-4</v>
      </c>
      <c r="O415" s="96">
        <f t="shared" si="27"/>
        <v>0.4853515625</v>
      </c>
      <c r="Q415" s="96">
        <f t="shared" si="24"/>
        <v>0</v>
      </c>
      <c r="R415" s="96">
        <f t="shared" si="25"/>
        <v>1</v>
      </c>
      <c r="S415" s="96">
        <f t="shared" si="26"/>
        <v>0</v>
      </c>
    </row>
    <row r="416" spans="1:19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4.832450295203695</v>
      </c>
      <c r="H416">
        <v>9.765625E-4</v>
      </c>
      <c r="I416">
        <v>-0.85122254338395464</v>
      </c>
      <c r="J416">
        <v>-8.3127201502339321E-4</v>
      </c>
      <c r="L416" s="101"/>
      <c r="M416" s="101">
        <v>8.4682347405036644</v>
      </c>
      <c r="N416" s="96">
        <v>4.8828125E-4</v>
      </c>
      <c r="O416" s="96">
        <f t="shared" si="27"/>
        <v>0.48583984375</v>
      </c>
      <c r="Q416" s="96">
        <f t="shared" si="24"/>
        <v>0</v>
      </c>
      <c r="R416" s="96">
        <f t="shared" si="25"/>
        <v>1</v>
      </c>
      <c r="S416" s="96">
        <f t="shared" si="26"/>
        <v>0</v>
      </c>
    </row>
    <row r="417" spans="1:19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14.497350885611096</v>
      </c>
      <c r="H417">
        <v>1.953125E-3</v>
      </c>
      <c r="I417">
        <v>-0.61677867587338031</v>
      </c>
      <c r="J417">
        <v>-1.2046458513151959E-3</v>
      </c>
      <c r="L417" s="101"/>
      <c r="M417" s="101">
        <v>8.4682347405036644</v>
      </c>
      <c r="N417" s="96">
        <v>9.765625E-4</v>
      </c>
      <c r="O417" s="96">
        <f t="shared" si="27"/>
        <v>0.48681640625</v>
      </c>
      <c r="Q417" s="96">
        <f t="shared" si="24"/>
        <v>0</v>
      </c>
      <c r="R417" s="96">
        <f t="shared" si="25"/>
        <v>1</v>
      </c>
      <c r="S417" s="96">
        <f t="shared" si="26"/>
        <v>0</v>
      </c>
    </row>
    <row r="418" spans="1:19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21.74602632841664</v>
      </c>
      <c r="H418">
        <v>9.765625E-4</v>
      </c>
      <c r="I418">
        <v>-0.48438872476339656</v>
      </c>
      <c r="J418">
        <v>-4.7303586402675445E-4</v>
      </c>
      <c r="L418" s="101"/>
      <c r="M418" s="101">
        <v>8.4682347405036644</v>
      </c>
      <c r="N418" s="96">
        <v>4.8828125E-4</v>
      </c>
      <c r="O418" s="96">
        <f t="shared" si="27"/>
        <v>0.4873046875</v>
      </c>
      <c r="Q418" s="96">
        <f t="shared" si="24"/>
        <v>0</v>
      </c>
      <c r="R418" s="96">
        <f t="shared" si="25"/>
        <v>1</v>
      </c>
      <c r="S418" s="96">
        <f t="shared" si="26"/>
        <v>0</v>
      </c>
    </row>
    <row r="419" spans="1:19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2.4162251476018484</v>
      </c>
      <c r="H419">
        <v>1.953125E-3</v>
      </c>
      <c r="I419">
        <v>-0.92261722473838226</v>
      </c>
      <c r="J419">
        <v>-1.8019867670671528E-3</v>
      </c>
      <c r="L419" s="101"/>
      <c r="M419" s="101">
        <v>8.5650379921844646</v>
      </c>
      <c r="N419" s="96">
        <v>9.765625E-4</v>
      </c>
      <c r="O419" s="96">
        <f t="shared" si="27"/>
        <v>0.48828125</v>
      </c>
      <c r="Q419" s="96">
        <f t="shared" si="24"/>
        <v>0</v>
      </c>
      <c r="R419" s="96">
        <f t="shared" si="25"/>
        <v>1</v>
      </c>
      <c r="S419" s="96">
        <f t="shared" si="26"/>
        <v>0</v>
      </c>
    </row>
    <row r="420" spans="1:19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12.081125738009241</v>
      </c>
      <c r="H420">
        <v>3.90625E-3</v>
      </c>
      <c r="I420">
        <v>-0.66850982112140223</v>
      </c>
      <c r="J420">
        <v>-2.6113664887554774E-3</v>
      </c>
      <c r="L420" s="101"/>
      <c r="M420" s="101">
        <v>8.5650379921844646</v>
      </c>
      <c r="N420" s="96">
        <v>1.953125E-3</v>
      </c>
      <c r="O420" s="96">
        <f t="shared" si="27"/>
        <v>0.490234375</v>
      </c>
      <c r="Q420" s="96">
        <f t="shared" si="24"/>
        <v>0</v>
      </c>
      <c r="R420" s="96">
        <f t="shared" si="25"/>
        <v>1</v>
      </c>
      <c r="S420" s="96">
        <f t="shared" si="26"/>
        <v>0</v>
      </c>
    </row>
    <row r="421" spans="1:19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19.329801180814798</v>
      </c>
      <c r="H421">
        <v>1.953125E-3</v>
      </c>
      <c r="I421">
        <v>-0.52501591318192653</v>
      </c>
      <c r="J421">
        <v>-1.0254217054334503E-3</v>
      </c>
      <c r="L421" s="101"/>
      <c r="M421" s="101">
        <v>8.5650379921844646</v>
      </c>
      <c r="N421" s="96">
        <v>9.765625E-4</v>
      </c>
      <c r="O421" s="96">
        <f t="shared" si="27"/>
        <v>0.4912109375</v>
      </c>
      <c r="Q421" s="96">
        <f t="shared" si="24"/>
        <v>0</v>
      </c>
      <c r="R421" s="96">
        <f t="shared" si="25"/>
        <v>1</v>
      </c>
      <c r="S421" s="96">
        <f t="shared" si="26"/>
        <v>0</v>
      </c>
    </row>
    <row r="422" spans="1:19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0</v>
      </c>
      <c r="H422">
        <v>9.765625E-4</v>
      </c>
      <c r="I422">
        <v>-1</v>
      </c>
      <c r="J422">
        <v>-9.765625E-4</v>
      </c>
      <c r="L422" s="101"/>
      <c r="M422" s="101">
        <v>8.5650379921844664</v>
      </c>
      <c r="N422" s="96">
        <v>9.765625E-4</v>
      </c>
      <c r="O422" s="96">
        <f t="shared" si="27"/>
        <v>0.4921875</v>
      </c>
      <c r="Q422" s="96">
        <f t="shared" si="24"/>
        <v>0</v>
      </c>
      <c r="R422" s="96">
        <f t="shared" si="25"/>
        <v>1</v>
      </c>
      <c r="S422" s="96">
        <f t="shared" si="26"/>
        <v>0</v>
      </c>
    </row>
    <row r="423" spans="1:19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9.6649005904074006</v>
      </c>
      <c r="H423">
        <v>1.953125E-3</v>
      </c>
      <c r="I423">
        <v>-0.72457981836504837</v>
      </c>
      <c r="J423">
        <v>-1.4151949577442351E-3</v>
      </c>
      <c r="L423" s="101"/>
      <c r="M423" s="101">
        <v>8.5650379921844664</v>
      </c>
      <c r="N423" s="96">
        <v>1.953125E-3</v>
      </c>
      <c r="O423" s="96">
        <f t="shared" si="27"/>
        <v>0.494140625</v>
      </c>
      <c r="Q423" s="96">
        <f t="shared" si="24"/>
        <v>0</v>
      </c>
      <c r="R423" s="96">
        <f t="shared" si="25"/>
        <v>1</v>
      </c>
      <c r="S423" s="96">
        <f t="shared" si="26"/>
        <v>0</v>
      </c>
    </row>
    <row r="424" spans="1:19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16.913576033212944</v>
      </c>
      <c r="H424">
        <v>9.765625E-4</v>
      </c>
      <c r="I424">
        <v>-0.56905063021211233</v>
      </c>
      <c r="J424">
        <v>-5.5571350606651595E-4</v>
      </c>
      <c r="L424" s="101"/>
      <c r="M424" s="101">
        <v>8.5650379921844664</v>
      </c>
      <c r="N424" s="96">
        <v>9.765625E-4</v>
      </c>
      <c r="O424" s="96">
        <f t="shared" si="27"/>
        <v>0.4951171875</v>
      </c>
      <c r="Q424" s="96">
        <f t="shared" si="24"/>
        <v>0</v>
      </c>
      <c r="R424" s="96">
        <f t="shared" si="25"/>
        <v>1</v>
      </c>
      <c r="S424" s="96">
        <f t="shared" si="26"/>
        <v>0</v>
      </c>
    </row>
    <row r="425" spans="1:19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4.832450295203695</v>
      </c>
      <c r="H425">
        <v>4.8828125E-4</v>
      </c>
      <c r="I425">
        <v>-0.85122254338395464</v>
      </c>
      <c r="J425">
        <v>-4.156360075116966E-4</v>
      </c>
      <c r="L425" s="101"/>
      <c r="M425" s="101">
        <v>8.9335223636082564</v>
      </c>
      <c r="N425" s="96">
        <v>1.953125E-3</v>
      </c>
      <c r="O425" s="96">
        <f t="shared" si="27"/>
        <v>0.4970703125</v>
      </c>
      <c r="Q425" s="96">
        <f t="shared" si="24"/>
        <v>0</v>
      </c>
      <c r="R425" s="96">
        <f t="shared" si="25"/>
        <v>1</v>
      </c>
      <c r="S425" s="96">
        <f t="shared" si="26"/>
        <v>0</v>
      </c>
    </row>
    <row r="426" spans="1:19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14.497350885611096</v>
      </c>
      <c r="H426">
        <v>9.765625E-4</v>
      </c>
      <c r="I426">
        <v>-0.61677867587338031</v>
      </c>
      <c r="J426">
        <v>-6.0232292565759796E-4</v>
      </c>
      <c r="L426" s="101"/>
      <c r="M426" s="101">
        <v>8.9335223636082564</v>
      </c>
      <c r="N426" s="96">
        <v>3.90625E-3</v>
      </c>
      <c r="O426" s="96">
        <f t="shared" si="27"/>
        <v>0.5009765625</v>
      </c>
      <c r="Q426" s="96">
        <f t="shared" si="24"/>
        <v>0</v>
      </c>
      <c r="R426" s="96">
        <f t="shared" si="25"/>
        <v>1</v>
      </c>
      <c r="S426" s="96">
        <f t="shared" si="26"/>
        <v>0</v>
      </c>
    </row>
    <row r="427" spans="1:19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21.74602632841664</v>
      </c>
      <c r="H427">
        <v>4.8828125E-4</v>
      </c>
      <c r="I427">
        <v>-0.48438872476339656</v>
      </c>
      <c r="J427">
        <v>-2.3651793201337723E-4</v>
      </c>
      <c r="L427" s="101"/>
      <c r="M427" s="101">
        <v>8.9335223636082564</v>
      </c>
      <c r="N427" s="96">
        <v>1.953125E-3</v>
      </c>
      <c r="O427" s="96">
        <f t="shared" si="27"/>
        <v>0.5029296875</v>
      </c>
      <c r="Q427" s="96">
        <f t="shared" si="24"/>
        <v>0</v>
      </c>
      <c r="R427" s="96">
        <f t="shared" si="25"/>
        <v>1</v>
      </c>
      <c r="S427" s="96">
        <f t="shared" si="26"/>
        <v>0</v>
      </c>
    </row>
    <row r="428" spans="1:19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2.4162251476018484</v>
      </c>
      <c r="H428">
        <v>9.765625E-4</v>
      </c>
      <c r="I428">
        <v>-0.92261722473838226</v>
      </c>
      <c r="J428">
        <v>-9.0099338353357642E-4</v>
      </c>
      <c r="L428" s="101"/>
      <c r="M428" s="101">
        <v>9.3093356857435818</v>
      </c>
      <c r="N428" s="96">
        <v>4.8828125E-4</v>
      </c>
      <c r="O428" s="96">
        <f t="shared" si="27"/>
        <v>0.50341796875</v>
      </c>
      <c r="Q428" s="96">
        <f t="shared" si="24"/>
        <v>0</v>
      </c>
      <c r="R428" s="96">
        <f t="shared" si="25"/>
        <v>1</v>
      </c>
      <c r="S428" s="96">
        <f t="shared" si="26"/>
        <v>0</v>
      </c>
    </row>
    <row r="429" spans="1:19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12.081125738009241</v>
      </c>
      <c r="H429">
        <v>1.953125E-3</v>
      </c>
      <c r="I429">
        <v>-0.66850982112140223</v>
      </c>
      <c r="J429">
        <v>-1.3056832443777387E-3</v>
      </c>
      <c r="L429" s="101"/>
      <c r="M429" s="101">
        <v>9.3093356857435818</v>
      </c>
      <c r="N429" s="96">
        <v>9.765625E-4</v>
      </c>
      <c r="O429" s="96">
        <f t="shared" si="27"/>
        <v>0.50439453125</v>
      </c>
      <c r="Q429" s="96">
        <f t="shared" si="24"/>
        <v>0</v>
      </c>
      <c r="R429" s="96">
        <f t="shared" si="25"/>
        <v>1</v>
      </c>
      <c r="S429" s="96">
        <f t="shared" si="26"/>
        <v>0</v>
      </c>
    </row>
    <row r="430" spans="1:19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19.329801180814798</v>
      </c>
      <c r="H430">
        <v>9.765625E-4</v>
      </c>
      <c r="I430">
        <v>-0.52501591318192653</v>
      </c>
      <c r="J430">
        <v>-5.1271085271672513E-4</v>
      </c>
      <c r="L430" s="101"/>
      <c r="M430" s="101">
        <v>9.3093356857435818</v>
      </c>
      <c r="N430" s="96">
        <v>4.8828125E-4</v>
      </c>
      <c r="O430" s="96">
        <f t="shared" si="27"/>
        <v>0.5048828125</v>
      </c>
      <c r="Q430" s="96">
        <f t="shared" si="24"/>
        <v>0</v>
      </c>
      <c r="R430" s="96">
        <f t="shared" si="25"/>
        <v>1</v>
      </c>
      <c r="S430" s="96">
        <f t="shared" si="26"/>
        <v>0</v>
      </c>
    </row>
    <row r="431" spans="1:19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0</v>
      </c>
      <c r="H431">
        <v>4.8828125E-4</v>
      </c>
      <c r="I431">
        <v>-1</v>
      </c>
      <c r="J431">
        <v>-4.8828125E-4</v>
      </c>
      <c r="L431" s="101"/>
      <c r="M431" s="101">
        <v>9.3093356857435818</v>
      </c>
      <c r="N431" s="96">
        <v>4.8828125E-4</v>
      </c>
      <c r="O431" s="96">
        <f t="shared" si="27"/>
        <v>0.50537109375</v>
      </c>
      <c r="Q431" s="96">
        <f t="shared" si="24"/>
        <v>0</v>
      </c>
      <c r="R431" s="96">
        <f t="shared" si="25"/>
        <v>1</v>
      </c>
      <c r="S431" s="96">
        <f t="shared" si="26"/>
        <v>0</v>
      </c>
    </row>
    <row r="432" spans="1:19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9.6649005904074006</v>
      </c>
      <c r="H432">
        <v>9.765625E-4</v>
      </c>
      <c r="I432">
        <v>-0.72457981836504837</v>
      </c>
      <c r="J432">
        <v>-7.0759747887211755E-4</v>
      </c>
      <c r="L432" s="101"/>
      <c r="M432" s="101">
        <v>9.3093356857435818</v>
      </c>
      <c r="N432" s="96">
        <v>9.765625E-4</v>
      </c>
      <c r="O432" s="96">
        <f t="shared" si="27"/>
        <v>0.50634765625</v>
      </c>
      <c r="Q432" s="96">
        <f t="shared" si="24"/>
        <v>0</v>
      </c>
      <c r="R432" s="96">
        <f t="shared" si="25"/>
        <v>1</v>
      </c>
      <c r="S432" s="96">
        <f t="shared" si="26"/>
        <v>0</v>
      </c>
    </row>
    <row r="433" spans="1:19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16.913576033212944</v>
      </c>
      <c r="H433">
        <v>4.8828125E-4</v>
      </c>
      <c r="I433">
        <v>-0.56905063021211233</v>
      </c>
      <c r="J433">
        <v>-2.7785675303325797E-4</v>
      </c>
      <c r="L433" s="101"/>
      <c r="M433" s="101">
        <v>9.3093356857435818</v>
      </c>
      <c r="N433" s="96">
        <v>4.8828125E-4</v>
      </c>
      <c r="O433" s="96">
        <f t="shared" si="27"/>
        <v>0.5068359375</v>
      </c>
      <c r="Q433" s="96">
        <f t="shared" si="24"/>
        <v>0</v>
      </c>
      <c r="R433" s="96">
        <f t="shared" si="25"/>
        <v>1</v>
      </c>
      <c r="S433" s="96">
        <f t="shared" si="26"/>
        <v>0</v>
      </c>
    </row>
    <row r="434" spans="1:19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5.9342505099068976</v>
      </c>
      <c r="H434">
        <v>9.765625E-4</v>
      </c>
      <c r="I434">
        <v>-0.82052709181616335</v>
      </c>
      <c r="J434">
        <v>-8.0129598810172202E-4</v>
      </c>
      <c r="L434" s="101"/>
      <c r="M434" s="101">
        <v>9.5167088802049662</v>
      </c>
      <c r="N434" s="96">
        <v>3.90625E-3</v>
      </c>
      <c r="O434" s="96">
        <f t="shared" si="27"/>
        <v>0.5107421875</v>
      </c>
      <c r="Q434" s="96">
        <f t="shared" si="24"/>
        <v>0</v>
      </c>
      <c r="R434" s="96">
        <f t="shared" si="25"/>
        <v>1</v>
      </c>
      <c r="S434" s="96">
        <f t="shared" si="26"/>
        <v>0</v>
      </c>
    </row>
    <row r="435" spans="1:19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17.80275152972068</v>
      </c>
      <c r="H435">
        <v>1.953125E-3</v>
      </c>
      <c r="I435">
        <v>-0.55243193320942996</v>
      </c>
      <c r="J435">
        <v>-1.0789686195496679E-3</v>
      </c>
      <c r="L435" s="101"/>
      <c r="M435" s="101">
        <v>9.5167088802049662</v>
      </c>
      <c r="N435" s="96">
        <v>7.8125E-3</v>
      </c>
      <c r="O435" s="96">
        <f t="shared" si="27"/>
        <v>0.5185546875</v>
      </c>
      <c r="Q435" s="96">
        <f t="shared" si="24"/>
        <v>0</v>
      </c>
      <c r="R435" s="96">
        <f t="shared" si="25"/>
        <v>1</v>
      </c>
      <c r="S435" s="96">
        <f t="shared" si="26"/>
        <v>0</v>
      </c>
    </row>
    <row r="436" spans="1:19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26.704127294581031</v>
      </c>
      <c r="H436">
        <v>9.765625E-4</v>
      </c>
      <c r="I436">
        <v>-0.41059926006303393</v>
      </c>
      <c r="J436">
        <v>-4.0097583990530658E-4</v>
      </c>
      <c r="L436" s="101"/>
      <c r="M436" s="101">
        <v>9.5167088802049662</v>
      </c>
      <c r="N436" s="96">
        <v>3.90625E-3</v>
      </c>
      <c r="O436" s="96">
        <f t="shared" si="27"/>
        <v>0.5224609375</v>
      </c>
      <c r="Q436" s="96">
        <f t="shared" si="24"/>
        <v>0</v>
      </c>
      <c r="R436" s="96">
        <f t="shared" si="25"/>
        <v>1</v>
      </c>
      <c r="S436" s="96">
        <f t="shared" si="26"/>
        <v>0</v>
      </c>
    </row>
    <row r="437" spans="1:19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2.967125254953451</v>
      </c>
      <c r="H437">
        <v>1.953125E-3</v>
      </c>
      <c r="I437">
        <v>-0.90582950482757141</v>
      </c>
      <c r="J437">
        <v>-1.7691982516163504E-3</v>
      </c>
      <c r="L437" s="101"/>
      <c r="M437" s="101">
        <v>9.6356677412075218</v>
      </c>
      <c r="N437" s="96">
        <v>4.8828125E-4</v>
      </c>
      <c r="O437" s="96">
        <f t="shared" si="27"/>
        <v>0.52294921875</v>
      </c>
      <c r="Q437" s="96">
        <f t="shared" si="24"/>
        <v>0</v>
      </c>
      <c r="R437" s="96">
        <f t="shared" si="25"/>
        <v>1</v>
      </c>
      <c r="S437" s="96">
        <f t="shared" si="26"/>
        <v>0</v>
      </c>
    </row>
    <row r="438" spans="1:19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14.835626274767234</v>
      </c>
      <c r="H438">
        <v>3.90625E-3</v>
      </c>
      <c r="I438">
        <v>-0.60986303743173798</v>
      </c>
      <c r="J438">
        <v>-2.3822774899677265E-3</v>
      </c>
      <c r="L438" s="101"/>
      <c r="M438" s="101">
        <v>9.6356677412075218</v>
      </c>
      <c r="N438" s="96">
        <v>9.765625E-4</v>
      </c>
      <c r="O438" s="96">
        <f t="shared" si="27"/>
        <v>0.52392578125</v>
      </c>
      <c r="Q438" s="96">
        <f t="shared" si="24"/>
        <v>0</v>
      </c>
      <c r="R438" s="96">
        <f t="shared" si="25"/>
        <v>1</v>
      </c>
      <c r="S438" s="96">
        <f t="shared" si="26"/>
        <v>0</v>
      </c>
    </row>
    <row r="439" spans="1:19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23.737002039627576</v>
      </c>
      <c r="H439">
        <v>1.953125E-3</v>
      </c>
      <c r="I439">
        <v>-0.45328536758271454</v>
      </c>
      <c r="J439">
        <v>-8.8532298355998933E-4</v>
      </c>
      <c r="L439" s="101"/>
      <c r="M439" s="101">
        <v>9.6356677412075218</v>
      </c>
      <c r="N439" s="96">
        <v>4.8828125E-4</v>
      </c>
      <c r="O439" s="96">
        <f t="shared" si="27"/>
        <v>0.5244140625</v>
      </c>
      <c r="Q439" s="96">
        <f t="shared" si="24"/>
        <v>0</v>
      </c>
      <c r="R439" s="96">
        <f t="shared" si="25"/>
        <v>1</v>
      </c>
      <c r="S439" s="96">
        <f t="shared" si="26"/>
        <v>0</v>
      </c>
    </row>
    <row r="440" spans="1:19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0</v>
      </c>
      <c r="H440">
        <v>9.765625E-4</v>
      </c>
      <c r="I440">
        <v>-1</v>
      </c>
      <c r="J440">
        <v>-9.765625E-4</v>
      </c>
      <c r="L440" s="101"/>
      <c r="M440" s="101">
        <v>9.6654074564581656</v>
      </c>
      <c r="N440" s="96">
        <v>3.90625E-3</v>
      </c>
      <c r="O440" s="96">
        <f t="shared" si="27"/>
        <v>0.5283203125</v>
      </c>
      <c r="Q440" s="96">
        <f t="shared" si="24"/>
        <v>0</v>
      </c>
      <c r="R440" s="96">
        <f t="shared" si="25"/>
        <v>1</v>
      </c>
      <c r="S440" s="96">
        <f t="shared" si="26"/>
        <v>0</v>
      </c>
    </row>
    <row r="441" spans="1:19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11.868501019813785</v>
      </c>
      <c r="H441">
        <v>1.953125E-3</v>
      </c>
      <c r="I441">
        <v>-0.67326470840429076</v>
      </c>
      <c r="J441">
        <v>-1.3149701336021304E-3</v>
      </c>
      <c r="L441" s="101"/>
      <c r="M441" s="101">
        <v>9.6654074564581656</v>
      </c>
      <c r="N441" s="96">
        <v>7.8125E-3</v>
      </c>
      <c r="O441" s="96">
        <f t="shared" si="27"/>
        <v>0.5361328125</v>
      </c>
      <c r="Q441" s="96">
        <f t="shared" si="24"/>
        <v>0</v>
      </c>
      <c r="R441" s="96">
        <f t="shared" si="25"/>
        <v>1</v>
      </c>
      <c r="S441" s="96">
        <f t="shared" si="26"/>
        <v>0</v>
      </c>
    </row>
    <row r="442" spans="1:19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20.769876784674132</v>
      </c>
      <c r="H442">
        <v>9.765625E-4</v>
      </c>
      <c r="I442">
        <v>-0.50040914451003593</v>
      </c>
      <c r="J442">
        <v>-4.8868080518558196E-4</v>
      </c>
      <c r="L442" s="101"/>
      <c r="M442" s="101">
        <v>9.6654074564581656</v>
      </c>
      <c r="N442" s="96">
        <v>3.90625E-3</v>
      </c>
      <c r="O442" s="96">
        <f t="shared" si="27"/>
        <v>0.5400390625</v>
      </c>
      <c r="Q442" s="96">
        <f t="shared" si="24"/>
        <v>0</v>
      </c>
      <c r="R442" s="96">
        <f t="shared" si="25"/>
        <v>1</v>
      </c>
      <c r="S442" s="96">
        <f t="shared" si="26"/>
        <v>0</v>
      </c>
    </row>
    <row r="443" spans="1:19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5.9342505099068976</v>
      </c>
      <c r="H443">
        <v>1.953125E-3</v>
      </c>
      <c r="I443">
        <v>-0.82052709181616335</v>
      </c>
      <c r="J443">
        <v>-1.602591976203444E-3</v>
      </c>
      <c r="L443" s="101"/>
      <c r="M443" s="101">
        <v>9.6779825605756198</v>
      </c>
      <c r="N443" s="96">
        <v>9.765625E-4</v>
      </c>
      <c r="O443" s="96">
        <f t="shared" si="27"/>
        <v>0.541015625</v>
      </c>
      <c r="Q443" s="96">
        <f t="shared" si="24"/>
        <v>0</v>
      </c>
      <c r="R443" s="96">
        <f t="shared" si="25"/>
        <v>1</v>
      </c>
      <c r="S443" s="96">
        <f t="shared" si="26"/>
        <v>0</v>
      </c>
    </row>
    <row r="444" spans="1:19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17.80275152972068</v>
      </c>
      <c r="H444">
        <v>3.90625E-3</v>
      </c>
      <c r="I444">
        <v>-0.55243193320942996</v>
      </c>
      <c r="J444">
        <v>-2.1579372390993358E-3</v>
      </c>
      <c r="L444" s="101"/>
      <c r="M444" s="101">
        <v>9.6779825605756198</v>
      </c>
      <c r="N444" s="96">
        <v>1.953125E-3</v>
      </c>
      <c r="O444" s="96">
        <f t="shared" si="27"/>
        <v>0.54296875</v>
      </c>
      <c r="Q444" s="96">
        <f t="shared" si="24"/>
        <v>0</v>
      </c>
      <c r="R444" s="96">
        <f t="shared" si="25"/>
        <v>1</v>
      </c>
      <c r="S444" s="96">
        <f t="shared" si="26"/>
        <v>0</v>
      </c>
    </row>
    <row r="445" spans="1:19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26.704127294581031</v>
      </c>
      <c r="H445">
        <v>1.953125E-3</v>
      </c>
      <c r="I445">
        <v>-0.41059926006303393</v>
      </c>
      <c r="J445">
        <v>-8.0195167981061315E-4</v>
      </c>
      <c r="L445" s="101"/>
      <c r="M445" s="101">
        <v>9.6779825605756198</v>
      </c>
      <c r="N445" s="96">
        <v>9.765625E-4</v>
      </c>
      <c r="O445" s="96">
        <f t="shared" si="27"/>
        <v>0.5439453125</v>
      </c>
      <c r="Q445" s="96">
        <f t="shared" si="24"/>
        <v>0</v>
      </c>
      <c r="R445" s="96">
        <f t="shared" si="25"/>
        <v>1</v>
      </c>
      <c r="S445" s="96">
        <f t="shared" si="26"/>
        <v>0</v>
      </c>
    </row>
    <row r="446" spans="1:19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2.967125254953451</v>
      </c>
      <c r="H446">
        <v>3.90625E-3</v>
      </c>
      <c r="I446">
        <v>-0.90582950482757141</v>
      </c>
      <c r="J446">
        <v>-3.5383965032327008E-3</v>
      </c>
      <c r="L446" s="101"/>
      <c r="M446" s="101">
        <v>10.0502126590593</v>
      </c>
      <c r="N446" s="96">
        <v>9.765625E-4</v>
      </c>
      <c r="O446" s="96">
        <f t="shared" si="27"/>
        <v>0.544921875</v>
      </c>
      <c r="Q446" s="96">
        <f t="shared" si="24"/>
        <v>0</v>
      </c>
      <c r="R446" s="96">
        <f t="shared" si="25"/>
        <v>1</v>
      </c>
      <c r="S446" s="96">
        <f t="shared" si="26"/>
        <v>0</v>
      </c>
    </row>
    <row r="447" spans="1:19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14.835626274767234</v>
      </c>
      <c r="H447">
        <v>7.8125E-3</v>
      </c>
      <c r="I447">
        <v>-0.60986303743173798</v>
      </c>
      <c r="J447">
        <v>-4.7645549799354529E-3</v>
      </c>
      <c r="L447" s="101"/>
      <c r="M447" s="101">
        <v>10.0502126590593</v>
      </c>
      <c r="N447" s="96">
        <v>1.953125E-3</v>
      </c>
      <c r="O447" s="96">
        <f t="shared" si="27"/>
        <v>0.546875</v>
      </c>
      <c r="Q447" s="96">
        <f t="shared" si="24"/>
        <v>0</v>
      </c>
      <c r="R447" s="96">
        <f t="shared" si="25"/>
        <v>1</v>
      </c>
      <c r="S447" s="96">
        <f t="shared" si="26"/>
        <v>0</v>
      </c>
    </row>
    <row r="448" spans="1:19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23.737002039627576</v>
      </c>
      <c r="H448">
        <v>3.90625E-3</v>
      </c>
      <c r="I448">
        <v>-0.45328536758271454</v>
      </c>
      <c r="J448">
        <v>-1.7706459671199787E-3</v>
      </c>
      <c r="L448" s="101"/>
      <c r="M448" s="101">
        <v>10.0502126590593</v>
      </c>
      <c r="N448" s="96">
        <v>9.765625E-4</v>
      </c>
      <c r="O448" s="96">
        <f t="shared" si="27"/>
        <v>0.5478515625</v>
      </c>
      <c r="Q448" s="96">
        <f t="shared" si="24"/>
        <v>0</v>
      </c>
      <c r="R448" s="96">
        <f t="shared" si="25"/>
        <v>1</v>
      </c>
      <c r="S448" s="96">
        <f t="shared" si="26"/>
        <v>0</v>
      </c>
    </row>
    <row r="449" spans="1:19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0</v>
      </c>
      <c r="H449">
        <v>1.953125E-3</v>
      </c>
      <c r="I449">
        <v>-1</v>
      </c>
      <c r="J449">
        <v>-1.953125E-3</v>
      </c>
      <c r="L449" s="101"/>
      <c r="M449" s="101">
        <v>10.320435669403297</v>
      </c>
      <c r="N449" s="96">
        <v>1.953125E-3</v>
      </c>
      <c r="O449" s="96">
        <f t="shared" si="27"/>
        <v>0.5498046875</v>
      </c>
      <c r="Q449" s="96">
        <f t="shared" si="24"/>
        <v>0</v>
      </c>
      <c r="R449" s="96">
        <f t="shared" si="25"/>
        <v>1</v>
      </c>
      <c r="S449" s="96">
        <f t="shared" si="26"/>
        <v>0</v>
      </c>
    </row>
    <row r="450" spans="1:19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11.868501019813785</v>
      </c>
      <c r="H450">
        <v>3.90625E-3</v>
      </c>
      <c r="I450">
        <v>-0.67326470840429076</v>
      </c>
      <c r="J450">
        <v>-2.6299402672042608E-3</v>
      </c>
      <c r="L450" s="101"/>
      <c r="M450" s="101">
        <v>10.320435669403297</v>
      </c>
      <c r="N450" s="96">
        <v>3.90625E-3</v>
      </c>
      <c r="O450" s="96">
        <f t="shared" si="27"/>
        <v>0.5537109375</v>
      </c>
      <c r="Q450" s="96">
        <f t="shared" si="24"/>
        <v>0</v>
      </c>
      <c r="R450" s="96">
        <f t="shared" si="25"/>
        <v>1</v>
      </c>
      <c r="S450" s="96">
        <f t="shared" si="26"/>
        <v>0</v>
      </c>
    </row>
    <row r="451" spans="1:19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20.769876784674132</v>
      </c>
      <c r="H451">
        <v>1.953125E-3</v>
      </c>
      <c r="I451">
        <v>-0.50040914451003593</v>
      </c>
      <c r="J451">
        <v>-9.7736161037116393E-4</v>
      </c>
      <c r="L451" s="101"/>
      <c r="M451" s="101">
        <v>10.320435669403297</v>
      </c>
      <c r="N451" s="96">
        <v>1.953125E-3</v>
      </c>
      <c r="O451" s="96">
        <f t="shared" si="27"/>
        <v>0.5556640625</v>
      </c>
      <c r="Q451" s="96">
        <f t="shared" ref="Q451:Q514" si="28">IF(A451=3,1,0)</f>
        <v>0</v>
      </c>
      <c r="R451" s="96">
        <f t="shared" ref="R451:R514" si="29">IF(A451=2,1,0)</f>
        <v>1</v>
      </c>
      <c r="S451" s="96">
        <f t="shared" ref="S451:S514" si="30">IF(A451=1,1,0)</f>
        <v>0</v>
      </c>
    </row>
    <row r="452" spans="1:19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5.9342505099068976</v>
      </c>
      <c r="H452">
        <v>9.765625E-4</v>
      </c>
      <c r="I452">
        <v>-0.82052709181616335</v>
      </c>
      <c r="J452">
        <v>-8.0129598810172202E-4</v>
      </c>
      <c r="L452" s="101"/>
      <c r="M452" s="101">
        <v>10.422442757542964</v>
      </c>
      <c r="N452" s="96">
        <v>9.765625E-4</v>
      </c>
      <c r="O452" s="96">
        <f t="shared" ref="O452:O515" si="31">N452+O451</f>
        <v>0.556640625</v>
      </c>
      <c r="Q452" s="96">
        <f t="shared" si="28"/>
        <v>0</v>
      </c>
      <c r="R452" s="96">
        <f t="shared" si="29"/>
        <v>1</v>
      </c>
      <c r="S452" s="96">
        <f t="shared" si="30"/>
        <v>0</v>
      </c>
    </row>
    <row r="453" spans="1:19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17.80275152972068</v>
      </c>
      <c r="H453">
        <v>1.953125E-3</v>
      </c>
      <c r="I453">
        <v>-0.55243193320942996</v>
      </c>
      <c r="J453">
        <v>-1.0789686195496679E-3</v>
      </c>
      <c r="L453" s="101"/>
      <c r="M453" s="101">
        <v>10.422442757542964</v>
      </c>
      <c r="N453" s="96">
        <v>1.953125E-3</v>
      </c>
      <c r="O453" s="96">
        <f t="shared" si="31"/>
        <v>0.55859375</v>
      </c>
      <c r="Q453" s="96">
        <f t="shared" si="28"/>
        <v>0</v>
      </c>
      <c r="R453" s="96">
        <f t="shared" si="29"/>
        <v>1</v>
      </c>
      <c r="S453" s="96">
        <f t="shared" si="30"/>
        <v>0</v>
      </c>
    </row>
    <row r="454" spans="1:19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26.704127294581031</v>
      </c>
      <c r="H454">
        <v>9.765625E-4</v>
      </c>
      <c r="I454">
        <v>-0.41059926006303393</v>
      </c>
      <c r="J454">
        <v>-4.0097583990530658E-4</v>
      </c>
      <c r="L454" s="101"/>
      <c r="M454" s="101">
        <v>10.422442757542964</v>
      </c>
      <c r="N454" s="96">
        <v>9.765625E-4</v>
      </c>
      <c r="O454" s="96">
        <f t="shared" si="31"/>
        <v>0.5595703125</v>
      </c>
      <c r="Q454" s="96">
        <f t="shared" si="28"/>
        <v>0</v>
      </c>
      <c r="R454" s="96">
        <f t="shared" si="29"/>
        <v>1</v>
      </c>
      <c r="S454" s="96">
        <f t="shared" si="30"/>
        <v>0</v>
      </c>
    </row>
    <row r="455" spans="1:19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2.967125254953451</v>
      </c>
      <c r="H455">
        <v>1.953125E-3</v>
      </c>
      <c r="I455">
        <v>-0.90582950482757141</v>
      </c>
      <c r="J455">
        <v>-1.7691982516163504E-3</v>
      </c>
      <c r="L455" s="101"/>
      <c r="M455" s="101">
        <v>10.473002646461527</v>
      </c>
      <c r="N455" s="96">
        <v>2.44140625E-4</v>
      </c>
      <c r="O455" s="96">
        <f t="shared" si="31"/>
        <v>0.559814453125</v>
      </c>
      <c r="Q455" s="96">
        <f t="shared" si="28"/>
        <v>0</v>
      </c>
      <c r="R455" s="96">
        <f t="shared" si="29"/>
        <v>1</v>
      </c>
      <c r="S455" s="96">
        <f t="shared" si="30"/>
        <v>0</v>
      </c>
    </row>
    <row r="456" spans="1:19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14.835626274767234</v>
      </c>
      <c r="H456">
        <v>3.90625E-3</v>
      </c>
      <c r="I456">
        <v>-0.60986303743173798</v>
      </c>
      <c r="J456">
        <v>-2.3822774899677265E-3</v>
      </c>
      <c r="L456" s="101"/>
      <c r="M456" s="101">
        <v>10.473002646461527</v>
      </c>
      <c r="N456" s="96">
        <v>4.8828125E-4</v>
      </c>
      <c r="O456" s="96">
        <f t="shared" si="31"/>
        <v>0.560302734375</v>
      </c>
      <c r="Q456" s="96">
        <f t="shared" si="28"/>
        <v>0</v>
      </c>
      <c r="R456" s="96">
        <f t="shared" si="29"/>
        <v>1</v>
      </c>
      <c r="S456" s="96">
        <f t="shared" si="30"/>
        <v>0</v>
      </c>
    </row>
    <row r="457" spans="1:19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23.737002039627576</v>
      </c>
      <c r="H457">
        <v>1.953125E-3</v>
      </c>
      <c r="I457">
        <v>-0.45328536758271454</v>
      </c>
      <c r="J457">
        <v>-8.8532298355998933E-4</v>
      </c>
      <c r="L457" s="101"/>
      <c r="M457" s="101">
        <v>10.473002646461527</v>
      </c>
      <c r="N457" s="96">
        <v>2.44140625E-4</v>
      </c>
      <c r="O457" s="96">
        <f t="shared" si="31"/>
        <v>0.560546875</v>
      </c>
      <c r="Q457" s="96">
        <f t="shared" si="28"/>
        <v>0</v>
      </c>
      <c r="R457" s="96">
        <f t="shared" si="29"/>
        <v>1</v>
      </c>
      <c r="S457" s="96">
        <f t="shared" si="30"/>
        <v>0</v>
      </c>
    </row>
    <row r="458" spans="1:19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0</v>
      </c>
      <c r="H458">
        <v>9.765625E-4</v>
      </c>
      <c r="I458">
        <v>-1</v>
      </c>
      <c r="J458">
        <v>-9.765625E-4</v>
      </c>
      <c r="L458" s="101"/>
      <c r="M458" s="101">
        <v>10.50532672870369</v>
      </c>
      <c r="N458" s="96">
        <v>1.953125E-3</v>
      </c>
      <c r="O458" s="96">
        <f t="shared" si="31"/>
        <v>0.5625</v>
      </c>
      <c r="Q458" s="96">
        <f t="shared" si="28"/>
        <v>0</v>
      </c>
      <c r="R458" s="96">
        <f t="shared" si="29"/>
        <v>1</v>
      </c>
      <c r="S458" s="96">
        <f t="shared" si="30"/>
        <v>0</v>
      </c>
    </row>
    <row r="459" spans="1:19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11.868501019813785</v>
      </c>
      <c r="H459">
        <v>1.953125E-3</v>
      </c>
      <c r="I459">
        <v>-0.67326470840429076</v>
      </c>
      <c r="J459">
        <v>-1.3149701336021304E-3</v>
      </c>
      <c r="L459" s="101"/>
      <c r="M459" s="101">
        <v>10.50532672870369</v>
      </c>
      <c r="N459" s="96">
        <v>3.90625E-3</v>
      </c>
      <c r="O459" s="96">
        <f t="shared" si="31"/>
        <v>0.56640625</v>
      </c>
      <c r="Q459" s="96">
        <f t="shared" si="28"/>
        <v>0</v>
      </c>
      <c r="R459" s="96">
        <f t="shared" si="29"/>
        <v>1</v>
      </c>
      <c r="S459" s="96">
        <f t="shared" si="30"/>
        <v>0</v>
      </c>
    </row>
    <row r="460" spans="1:19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20.769876784674132</v>
      </c>
      <c r="H460">
        <v>9.765625E-4</v>
      </c>
      <c r="I460">
        <v>-0.50040914451003593</v>
      </c>
      <c r="J460">
        <v>-4.8868080518558196E-4</v>
      </c>
      <c r="L460" s="101"/>
      <c r="M460" s="101">
        <v>10.50532672870369</v>
      </c>
      <c r="N460" s="96">
        <v>1.953125E-3</v>
      </c>
      <c r="O460" s="96">
        <f t="shared" si="31"/>
        <v>0.568359375</v>
      </c>
      <c r="Q460" s="96">
        <f t="shared" si="28"/>
        <v>0</v>
      </c>
      <c r="R460" s="96">
        <f t="shared" si="29"/>
        <v>1</v>
      </c>
      <c r="S460" s="96">
        <f t="shared" si="30"/>
        <v>0</v>
      </c>
    </row>
    <row r="461" spans="1:19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6.5642951423400424</v>
      </c>
      <c r="H461">
        <v>4.8828125E-4</v>
      </c>
      <c r="I461">
        <v>-0.80347449388113645</v>
      </c>
      <c r="J461">
        <v>-3.9232153021539866E-4</v>
      </c>
      <c r="L461" s="101"/>
      <c r="M461" s="101">
        <v>10.645780816633172</v>
      </c>
      <c r="N461" s="96">
        <v>4.8828125E-4</v>
      </c>
      <c r="O461" s="96">
        <f t="shared" si="31"/>
        <v>0.56884765625</v>
      </c>
      <c r="Q461" s="96">
        <f t="shared" si="28"/>
        <v>0</v>
      </c>
      <c r="R461" s="96">
        <f t="shared" si="29"/>
        <v>1</v>
      </c>
      <c r="S461" s="96">
        <f t="shared" si="30"/>
        <v>0</v>
      </c>
    </row>
    <row r="462" spans="1:19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19.692885427020148</v>
      </c>
      <c r="H462">
        <v>9.765625E-4</v>
      </c>
      <c r="I462">
        <v>-0.51870004325479813</v>
      </c>
      <c r="J462">
        <v>-5.065430109910138E-4</v>
      </c>
      <c r="L462" s="101"/>
      <c r="M462" s="101">
        <v>10.645780816633172</v>
      </c>
      <c r="N462" s="96">
        <v>9.765625E-4</v>
      </c>
      <c r="O462" s="96">
        <f t="shared" si="31"/>
        <v>0.56982421875</v>
      </c>
      <c r="Q462" s="96">
        <f t="shared" si="28"/>
        <v>0</v>
      </c>
      <c r="R462" s="96">
        <f t="shared" si="29"/>
        <v>1</v>
      </c>
      <c r="S462" s="96">
        <f t="shared" si="30"/>
        <v>0</v>
      </c>
    </row>
    <row r="463" spans="1:19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29.539328140530216</v>
      </c>
      <c r="H463">
        <v>4.8828125E-4</v>
      </c>
      <c r="I463">
        <v>-0.37357209359917809</v>
      </c>
      <c r="J463">
        <v>-1.8240824882772368E-4</v>
      </c>
      <c r="L463" s="101"/>
      <c r="M463" s="101">
        <v>10.645780816633172</v>
      </c>
      <c r="N463" s="96">
        <v>4.8828125E-4</v>
      </c>
      <c r="O463" s="96">
        <f t="shared" si="31"/>
        <v>0.5703125</v>
      </c>
      <c r="Q463" s="96">
        <f t="shared" si="28"/>
        <v>0</v>
      </c>
      <c r="R463" s="96">
        <f t="shared" si="29"/>
        <v>1</v>
      </c>
      <c r="S463" s="96">
        <f t="shared" si="30"/>
        <v>0</v>
      </c>
    </row>
    <row r="464" spans="1:19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3.282147571170031</v>
      </c>
      <c r="H464">
        <v>9.765625E-4</v>
      </c>
      <c r="I464">
        <v>-0.89636738778312097</v>
      </c>
      <c r="J464">
        <v>-8.7535877713195407E-4</v>
      </c>
      <c r="L464" s="101"/>
      <c r="M464" s="101">
        <v>10.706297490230577</v>
      </c>
      <c r="N464" s="96">
        <v>1.953125E-3</v>
      </c>
      <c r="O464" s="96">
        <f t="shared" si="31"/>
        <v>0.572265625</v>
      </c>
      <c r="Q464" s="96">
        <f t="shared" si="28"/>
        <v>0</v>
      </c>
      <c r="R464" s="96">
        <f t="shared" si="29"/>
        <v>1</v>
      </c>
      <c r="S464" s="96">
        <f t="shared" si="30"/>
        <v>0</v>
      </c>
    </row>
    <row r="465" spans="1:19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16.410737855850122</v>
      </c>
      <c r="H465">
        <v>1.953125E-3</v>
      </c>
      <c r="I465">
        <v>-0.57866902603143255</v>
      </c>
      <c r="J465">
        <v>-1.1302129414676417E-3</v>
      </c>
      <c r="L465" s="101"/>
      <c r="M465" s="101">
        <v>10.706297490230577</v>
      </c>
      <c r="N465" s="96">
        <v>3.90625E-3</v>
      </c>
      <c r="O465" s="96">
        <f t="shared" si="31"/>
        <v>0.576171875</v>
      </c>
      <c r="Q465" s="96">
        <f t="shared" si="28"/>
        <v>0</v>
      </c>
      <c r="R465" s="96">
        <f t="shared" si="29"/>
        <v>1</v>
      </c>
      <c r="S465" s="96">
        <f t="shared" si="30"/>
        <v>0</v>
      </c>
    </row>
    <row r="466" spans="1:19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26.257180569360191</v>
      </c>
      <c r="H466">
        <v>9.765625E-4</v>
      </c>
      <c r="I466">
        <v>-0.41676225473027251</v>
      </c>
      <c r="J466">
        <v>-4.0699438938503175E-4</v>
      </c>
      <c r="L466" s="101"/>
      <c r="M466" s="101">
        <v>10.706297490230577</v>
      </c>
      <c r="N466" s="96">
        <v>1.953125E-3</v>
      </c>
      <c r="O466" s="96">
        <f t="shared" si="31"/>
        <v>0.578125</v>
      </c>
      <c r="Q466" s="96">
        <f t="shared" si="28"/>
        <v>0</v>
      </c>
      <c r="R466" s="96">
        <f t="shared" si="29"/>
        <v>1</v>
      </c>
      <c r="S466" s="96">
        <f t="shared" si="30"/>
        <v>0</v>
      </c>
    </row>
    <row r="467" spans="1:19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0</v>
      </c>
      <c r="H467">
        <v>4.8828125E-4</v>
      </c>
      <c r="I467">
        <v>-1</v>
      </c>
      <c r="J467">
        <v>-4.8828125E-4</v>
      </c>
      <c r="L467" s="101"/>
      <c r="M467" s="101">
        <v>10.887730380647568</v>
      </c>
      <c r="N467" s="96">
        <v>4.8828125E-4</v>
      </c>
      <c r="O467" s="96">
        <f t="shared" si="31"/>
        <v>0.57861328125</v>
      </c>
      <c r="Q467" s="96">
        <f t="shared" si="28"/>
        <v>0</v>
      </c>
      <c r="R467" s="96">
        <f t="shared" si="29"/>
        <v>1</v>
      </c>
      <c r="S467" s="96">
        <f t="shared" si="30"/>
        <v>0</v>
      </c>
    </row>
    <row r="468" spans="1:19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13.128590284680099</v>
      </c>
      <c r="H468">
        <v>9.765625E-4</v>
      </c>
      <c r="I468">
        <v>-0.64557126231754802</v>
      </c>
      <c r="J468">
        <v>-6.3044068585698049E-4</v>
      </c>
      <c r="L468" s="101"/>
      <c r="M468" s="101">
        <v>10.887730380647568</v>
      </c>
      <c r="N468" s="96">
        <v>9.765625E-4</v>
      </c>
      <c r="O468" s="96">
        <f t="shared" si="31"/>
        <v>0.57958984375</v>
      </c>
      <c r="Q468" s="96">
        <f t="shared" si="28"/>
        <v>0</v>
      </c>
      <c r="R468" s="96">
        <f t="shared" si="29"/>
        <v>1</v>
      </c>
      <c r="S468" s="96">
        <f t="shared" si="30"/>
        <v>0</v>
      </c>
    </row>
    <row r="469" spans="1:19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22.975032998190173</v>
      </c>
      <c r="H469">
        <v>4.8828125E-4</v>
      </c>
      <c r="I469">
        <v>-0.46494580281529535</v>
      </c>
      <c r="J469">
        <v>-2.2702431778090593E-4</v>
      </c>
      <c r="L469" s="101"/>
      <c r="M469" s="101">
        <v>10.887730380647568</v>
      </c>
      <c r="N469" s="96">
        <v>4.8828125E-4</v>
      </c>
      <c r="O469" s="96">
        <f t="shared" si="31"/>
        <v>0.580078125</v>
      </c>
      <c r="Q469" s="96">
        <f t="shared" si="28"/>
        <v>0</v>
      </c>
      <c r="R469" s="96">
        <f t="shared" si="29"/>
        <v>1</v>
      </c>
      <c r="S469" s="96">
        <f t="shared" si="30"/>
        <v>0</v>
      </c>
    </row>
    <row r="470" spans="1:19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6.5642951423400424</v>
      </c>
      <c r="H470">
        <v>9.765625E-4</v>
      </c>
      <c r="I470">
        <v>-0.80347449388113645</v>
      </c>
      <c r="J470">
        <v>-7.8464306043079732E-4</v>
      </c>
      <c r="L470" s="101"/>
      <c r="M470" s="101">
        <v>11.416165464939224</v>
      </c>
      <c r="N470" s="96">
        <v>9.765625E-4</v>
      </c>
      <c r="O470" s="96">
        <f t="shared" si="31"/>
        <v>0.5810546875</v>
      </c>
      <c r="Q470" s="96">
        <f t="shared" si="28"/>
        <v>0</v>
      </c>
      <c r="R470" s="96">
        <f t="shared" si="29"/>
        <v>1</v>
      </c>
      <c r="S470" s="96">
        <f t="shared" si="30"/>
        <v>0</v>
      </c>
    </row>
    <row r="471" spans="1:19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19.692885427020148</v>
      </c>
      <c r="H471">
        <v>1.953125E-3</v>
      </c>
      <c r="I471">
        <v>-0.51870004325479813</v>
      </c>
      <c r="J471">
        <v>-1.0130860219820276E-3</v>
      </c>
      <c r="L471" s="101"/>
      <c r="M471" s="101">
        <v>11.416165464939224</v>
      </c>
      <c r="N471" s="96">
        <v>1.953125E-3</v>
      </c>
      <c r="O471" s="96">
        <f t="shared" si="31"/>
        <v>0.5830078125</v>
      </c>
      <c r="Q471" s="96">
        <f t="shared" si="28"/>
        <v>0</v>
      </c>
      <c r="R471" s="96">
        <f t="shared" si="29"/>
        <v>1</v>
      </c>
      <c r="S471" s="96">
        <f t="shared" si="30"/>
        <v>0</v>
      </c>
    </row>
    <row r="472" spans="1:19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29.539328140530216</v>
      </c>
      <c r="H472">
        <v>9.765625E-4</v>
      </c>
      <c r="I472">
        <v>-0.37357209359917809</v>
      </c>
      <c r="J472">
        <v>-3.6481649765544735E-4</v>
      </c>
      <c r="L472" s="101"/>
      <c r="M472" s="101">
        <v>11.416165464939224</v>
      </c>
      <c r="N472" s="96">
        <v>9.765625E-4</v>
      </c>
      <c r="O472" s="96">
        <f t="shared" si="31"/>
        <v>0.583984375</v>
      </c>
      <c r="Q472" s="96">
        <f t="shared" si="28"/>
        <v>0</v>
      </c>
      <c r="R472" s="96">
        <f t="shared" si="29"/>
        <v>1</v>
      </c>
      <c r="S472" s="96">
        <f t="shared" si="30"/>
        <v>0</v>
      </c>
    </row>
    <row r="473" spans="1:19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3.282147571170031</v>
      </c>
      <c r="H473">
        <v>1.953125E-3</v>
      </c>
      <c r="I473">
        <v>-0.89636738778312097</v>
      </c>
      <c r="J473">
        <v>-1.7507175542639081E-3</v>
      </c>
      <c r="L473" s="101"/>
      <c r="M473" s="101">
        <v>11.5984889477498</v>
      </c>
      <c r="N473" s="96">
        <v>1.953125E-3</v>
      </c>
      <c r="O473" s="96">
        <f t="shared" si="31"/>
        <v>0.5859375</v>
      </c>
      <c r="Q473" s="96">
        <f t="shared" si="28"/>
        <v>0</v>
      </c>
      <c r="R473" s="96">
        <f t="shared" si="29"/>
        <v>1</v>
      </c>
      <c r="S473" s="96">
        <f t="shared" si="30"/>
        <v>0</v>
      </c>
    </row>
    <row r="474" spans="1:19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16.410737855850122</v>
      </c>
      <c r="H474">
        <v>3.90625E-3</v>
      </c>
      <c r="I474">
        <v>-0.57866902603143255</v>
      </c>
      <c r="J474">
        <v>-2.2604258829352834E-3</v>
      </c>
      <c r="L474" s="101"/>
      <c r="M474" s="101">
        <v>11.5984889477498</v>
      </c>
      <c r="N474" s="96">
        <v>3.90625E-3</v>
      </c>
      <c r="O474" s="96">
        <f t="shared" si="31"/>
        <v>0.58984375</v>
      </c>
      <c r="Q474" s="96">
        <f t="shared" si="28"/>
        <v>0</v>
      </c>
      <c r="R474" s="96">
        <f t="shared" si="29"/>
        <v>1</v>
      </c>
      <c r="S474" s="96">
        <f t="shared" si="30"/>
        <v>0</v>
      </c>
    </row>
    <row r="475" spans="1:19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26.257180569360191</v>
      </c>
      <c r="H475">
        <v>1.953125E-3</v>
      </c>
      <c r="I475">
        <v>-0.41676225473027251</v>
      </c>
      <c r="J475">
        <v>-8.1398877877006349E-4</v>
      </c>
      <c r="L475" s="101"/>
      <c r="M475" s="101">
        <v>11.5984889477498</v>
      </c>
      <c r="N475" s="96">
        <v>1.953125E-3</v>
      </c>
      <c r="O475" s="96">
        <f t="shared" si="31"/>
        <v>0.591796875</v>
      </c>
      <c r="Q475" s="96">
        <f t="shared" si="28"/>
        <v>0</v>
      </c>
      <c r="R475" s="96">
        <f t="shared" si="29"/>
        <v>1</v>
      </c>
      <c r="S475" s="96">
        <f t="shared" si="30"/>
        <v>0</v>
      </c>
    </row>
    <row r="476" spans="1:19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0</v>
      </c>
      <c r="H476">
        <v>9.765625E-4</v>
      </c>
      <c r="I476">
        <v>-1</v>
      </c>
      <c r="J476">
        <v>-9.765625E-4</v>
      </c>
      <c r="L476" s="101"/>
      <c r="M476" s="101">
        <v>11.725248102235838</v>
      </c>
      <c r="N476" s="96">
        <v>4.8828125E-4</v>
      </c>
      <c r="O476" s="96">
        <f t="shared" si="31"/>
        <v>0.59228515625</v>
      </c>
      <c r="Q476" s="96">
        <f t="shared" si="28"/>
        <v>0</v>
      </c>
      <c r="R476" s="96">
        <f t="shared" si="29"/>
        <v>1</v>
      </c>
      <c r="S476" s="96">
        <f t="shared" si="30"/>
        <v>0</v>
      </c>
    </row>
    <row r="477" spans="1:19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13.128590284680099</v>
      </c>
      <c r="H477">
        <v>1.953125E-3</v>
      </c>
      <c r="I477">
        <v>-0.64557126231754802</v>
      </c>
      <c r="J477">
        <v>-1.260881371713961E-3</v>
      </c>
      <c r="L477" s="101"/>
      <c r="M477" s="101">
        <v>11.725248102235838</v>
      </c>
      <c r="N477" s="96">
        <v>9.765625E-4</v>
      </c>
      <c r="O477" s="96">
        <f t="shared" si="31"/>
        <v>0.59326171875</v>
      </c>
      <c r="Q477" s="96">
        <f t="shared" si="28"/>
        <v>0</v>
      </c>
      <c r="R477" s="96">
        <f t="shared" si="29"/>
        <v>1</v>
      </c>
      <c r="S477" s="96">
        <f t="shared" si="30"/>
        <v>0</v>
      </c>
    </row>
    <row r="478" spans="1:19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22.975032998190173</v>
      </c>
      <c r="H478">
        <v>9.765625E-4</v>
      </c>
      <c r="I478">
        <v>-0.46494580281529535</v>
      </c>
      <c r="J478">
        <v>-4.5404863556181187E-4</v>
      </c>
      <c r="L478" s="101"/>
      <c r="M478" s="101">
        <v>11.725248102235838</v>
      </c>
      <c r="N478" s="96">
        <v>4.8828125E-4</v>
      </c>
      <c r="O478" s="96">
        <f t="shared" si="31"/>
        <v>0.59375</v>
      </c>
      <c r="Q478" s="96">
        <f t="shared" si="28"/>
        <v>0</v>
      </c>
      <c r="R478" s="96">
        <f t="shared" si="29"/>
        <v>1</v>
      </c>
      <c r="S478" s="96">
        <f t="shared" si="30"/>
        <v>0</v>
      </c>
    </row>
    <row r="479" spans="1:19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6.5642951423400424</v>
      </c>
      <c r="H479">
        <v>4.8828125E-4</v>
      </c>
      <c r="I479">
        <v>-0.80347449388113645</v>
      </c>
      <c r="J479">
        <v>-3.9232153021539866E-4</v>
      </c>
      <c r="L479" s="101"/>
      <c r="M479" s="101">
        <v>11.895886100256199</v>
      </c>
      <c r="N479" s="96">
        <v>7.8125E-3</v>
      </c>
      <c r="O479" s="96">
        <f t="shared" si="31"/>
        <v>0.6015625</v>
      </c>
      <c r="Q479" s="96">
        <f t="shared" si="28"/>
        <v>0</v>
      </c>
      <c r="R479" s="96">
        <f t="shared" si="29"/>
        <v>1</v>
      </c>
      <c r="S479" s="96">
        <f t="shared" si="30"/>
        <v>0</v>
      </c>
    </row>
    <row r="480" spans="1:19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19.692885427020148</v>
      </c>
      <c r="H480">
        <v>9.765625E-4</v>
      </c>
      <c r="I480">
        <v>-0.51870004325479813</v>
      </c>
      <c r="J480">
        <v>-5.065430109910138E-4</v>
      </c>
      <c r="L480" s="101"/>
      <c r="M480" s="101">
        <v>11.895886100256199</v>
      </c>
      <c r="N480" s="96">
        <v>1.5625E-2</v>
      </c>
      <c r="O480" s="96">
        <f t="shared" si="31"/>
        <v>0.6171875</v>
      </c>
      <c r="Q480" s="96">
        <f t="shared" si="28"/>
        <v>0</v>
      </c>
      <c r="R480" s="96">
        <f t="shared" si="29"/>
        <v>1</v>
      </c>
      <c r="S480" s="96">
        <f t="shared" si="30"/>
        <v>0</v>
      </c>
    </row>
    <row r="481" spans="1:19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29.539328140530216</v>
      </c>
      <c r="H481">
        <v>4.8828125E-4</v>
      </c>
      <c r="I481">
        <v>-0.37357209359917809</v>
      </c>
      <c r="J481">
        <v>-1.8240824882772368E-4</v>
      </c>
      <c r="L481" s="101"/>
      <c r="M481" s="101">
        <v>11.895886100256199</v>
      </c>
      <c r="N481" s="96">
        <v>7.8125E-3</v>
      </c>
      <c r="O481" s="96">
        <f t="shared" si="31"/>
        <v>0.625</v>
      </c>
      <c r="Q481" s="96">
        <f t="shared" si="28"/>
        <v>0</v>
      </c>
      <c r="R481" s="96">
        <f t="shared" si="29"/>
        <v>1</v>
      </c>
      <c r="S481" s="96">
        <f t="shared" si="30"/>
        <v>0</v>
      </c>
    </row>
    <row r="482" spans="1:19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3.282147571170031</v>
      </c>
      <c r="H482">
        <v>9.765625E-4</v>
      </c>
      <c r="I482">
        <v>-0.89636738778312097</v>
      </c>
      <c r="J482">
        <v>-8.7535877713195407E-4</v>
      </c>
      <c r="L482" s="101"/>
      <c r="M482" s="101">
        <v>11.91136315147768</v>
      </c>
      <c r="N482" s="96">
        <v>1.953125E-3</v>
      </c>
      <c r="O482" s="96">
        <f t="shared" si="31"/>
        <v>0.626953125</v>
      </c>
      <c r="Q482" s="96">
        <f t="shared" si="28"/>
        <v>0</v>
      </c>
      <c r="R482" s="96">
        <f t="shared" si="29"/>
        <v>1</v>
      </c>
      <c r="S482" s="96">
        <f t="shared" si="30"/>
        <v>0</v>
      </c>
    </row>
    <row r="483" spans="1:19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16.410737855850122</v>
      </c>
      <c r="H483">
        <v>1.953125E-3</v>
      </c>
      <c r="I483">
        <v>-0.57866902603143255</v>
      </c>
      <c r="J483">
        <v>-1.1302129414676417E-3</v>
      </c>
      <c r="L483" s="101"/>
      <c r="M483" s="101">
        <v>11.91136315147768</v>
      </c>
      <c r="N483" s="96">
        <v>3.90625E-3</v>
      </c>
      <c r="O483" s="96">
        <f t="shared" si="31"/>
        <v>0.630859375</v>
      </c>
      <c r="Q483" s="96">
        <f t="shared" si="28"/>
        <v>0</v>
      </c>
      <c r="R483" s="96">
        <f t="shared" si="29"/>
        <v>1</v>
      </c>
      <c r="S483" s="96">
        <f t="shared" si="30"/>
        <v>0</v>
      </c>
    </row>
    <row r="484" spans="1:19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26.257180569360191</v>
      </c>
      <c r="H484">
        <v>9.765625E-4</v>
      </c>
      <c r="I484">
        <v>-0.41676225473027251</v>
      </c>
      <c r="J484">
        <v>-4.0699438938503175E-4</v>
      </c>
      <c r="L484" s="101"/>
      <c r="M484" s="101">
        <v>11.91136315147768</v>
      </c>
      <c r="N484" s="96">
        <v>1.953125E-3</v>
      </c>
      <c r="O484" s="96">
        <f t="shared" si="31"/>
        <v>0.6328125</v>
      </c>
      <c r="Q484" s="96">
        <f t="shared" si="28"/>
        <v>0</v>
      </c>
      <c r="R484" s="96">
        <f t="shared" si="29"/>
        <v>1</v>
      </c>
      <c r="S484" s="96">
        <f t="shared" si="30"/>
        <v>0</v>
      </c>
    </row>
    <row r="485" spans="1:19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0</v>
      </c>
      <c r="H485">
        <v>4.8828125E-4</v>
      </c>
      <c r="I485">
        <v>-1</v>
      </c>
      <c r="J485">
        <v>-4.8828125E-4</v>
      </c>
      <c r="L485" s="101"/>
      <c r="M485" s="101">
        <v>12.606392074444438</v>
      </c>
      <c r="N485" s="96">
        <v>9.765625E-4</v>
      </c>
      <c r="O485" s="96">
        <f t="shared" si="31"/>
        <v>0.6337890625</v>
      </c>
      <c r="Q485" s="96">
        <f t="shared" si="28"/>
        <v>0</v>
      </c>
      <c r="R485" s="96">
        <f t="shared" si="29"/>
        <v>1</v>
      </c>
      <c r="S485" s="96">
        <f t="shared" si="30"/>
        <v>0</v>
      </c>
    </row>
    <row r="486" spans="1:19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13.128590284680099</v>
      </c>
      <c r="H486">
        <v>9.765625E-4</v>
      </c>
      <c r="I486">
        <v>-0.64557126231754802</v>
      </c>
      <c r="J486">
        <v>-6.3044068585698049E-4</v>
      </c>
      <c r="L486" s="101"/>
      <c r="M486" s="101">
        <v>12.606392074444438</v>
      </c>
      <c r="N486" s="96">
        <v>1.953125E-3</v>
      </c>
      <c r="O486" s="96">
        <f t="shared" si="31"/>
        <v>0.6357421875</v>
      </c>
      <c r="Q486" s="96">
        <f t="shared" si="28"/>
        <v>0</v>
      </c>
      <c r="R486" s="96">
        <f t="shared" si="29"/>
        <v>1</v>
      </c>
      <c r="S486" s="96">
        <f t="shared" si="30"/>
        <v>0</v>
      </c>
    </row>
    <row r="487" spans="1:19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22.975032998190173</v>
      </c>
      <c r="H487">
        <v>4.8828125E-4</v>
      </c>
      <c r="I487">
        <v>-0.46494580281529535</v>
      </c>
      <c r="J487">
        <v>-2.2702431778090593E-4</v>
      </c>
      <c r="L487" s="101"/>
      <c r="M487" s="101">
        <v>12.606392074444438</v>
      </c>
      <c r="N487" s="96">
        <v>9.765625E-4</v>
      </c>
      <c r="O487" s="96">
        <f t="shared" si="31"/>
        <v>0.63671875</v>
      </c>
      <c r="Q487" s="96">
        <f t="shared" si="28"/>
        <v>0</v>
      </c>
      <c r="R487" s="96">
        <f t="shared" si="29"/>
        <v>1</v>
      </c>
      <c r="S487" s="96">
        <f t="shared" si="30"/>
        <v>0</v>
      </c>
    </row>
    <row r="488" spans="1:19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6.1213239695640764</v>
      </c>
      <c r="H488">
        <v>2.44140625E-4</v>
      </c>
      <c r="I488">
        <v>-0.81542638373606657</v>
      </c>
      <c r="J488">
        <v>-1.9907870696681313E-4</v>
      </c>
      <c r="L488" s="101"/>
      <c r="M488" s="101">
        <v>12.900544586754114</v>
      </c>
      <c r="N488" s="96">
        <v>3.90625E-3</v>
      </c>
      <c r="O488" s="96">
        <f t="shared" si="31"/>
        <v>0.640625</v>
      </c>
      <c r="Q488" s="96">
        <f t="shared" si="28"/>
        <v>1</v>
      </c>
      <c r="R488" s="96">
        <f t="shared" si="29"/>
        <v>0</v>
      </c>
      <c r="S488" s="96">
        <f t="shared" si="30"/>
        <v>0</v>
      </c>
    </row>
    <row r="489" spans="1:19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18.363971908692221</v>
      </c>
      <c r="H489">
        <v>4.8828125E-4</v>
      </c>
      <c r="I489">
        <v>-0.54219346379734057</v>
      </c>
      <c r="J489">
        <v>-2.647429022447952E-4</v>
      </c>
      <c r="L489" s="101"/>
      <c r="M489" s="101">
        <v>12.900544586754114</v>
      </c>
      <c r="N489" s="96">
        <v>7.8125E-3</v>
      </c>
      <c r="O489" s="96">
        <f t="shared" si="31"/>
        <v>0.6484375</v>
      </c>
      <c r="Q489" s="96">
        <f t="shared" si="28"/>
        <v>1</v>
      </c>
      <c r="R489" s="96">
        <f t="shared" si="29"/>
        <v>0</v>
      </c>
      <c r="S489" s="96">
        <f t="shared" si="30"/>
        <v>0</v>
      </c>
    </row>
    <row r="490" spans="1:19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27.54595786303835</v>
      </c>
      <c r="H490">
        <v>2.44140625E-4</v>
      </c>
      <c r="I490">
        <v>-0.39923758210174348</v>
      </c>
      <c r="J490">
        <v>-9.7470112817808467E-5</v>
      </c>
      <c r="L490" s="101"/>
      <c r="M490" s="101">
        <v>12.900544586754114</v>
      </c>
      <c r="N490" s="96">
        <v>3.90625E-3</v>
      </c>
      <c r="O490" s="96">
        <f t="shared" si="31"/>
        <v>0.65234375</v>
      </c>
      <c r="Q490" s="96">
        <f t="shared" si="28"/>
        <v>1</v>
      </c>
      <c r="R490" s="96">
        <f t="shared" si="29"/>
        <v>0</v>
      </c>
      <c r="S490" s="96">
        <f t="shared" si="30"/>
        <v>0</v>
      </c>
    </row>
    <row r="491" spans="1:19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3.0606619847820329</v>
      </c>
      <c r="H491">
        <v>4.8828125E-4</v>
      </c>
      <c r="I491">
        <v>-0.90300962549469366</v>
      </c>
      <c r="J491">
        <v>-4.4092266869858089E-4</v>
      </c>
      <c r="L491" s="101"/>
      <c r="M491" s="101">
        <v>13.028099466625456</v>
      </c>
      <c r="N491" s="96">
        <v>9.765625E-4</v>
      </c>
      <c r="O491" s="96">
        <f t="shared" si="31"/>
        <v>0.6533203125</v>
      </c>
      <c r="Q491" s="96">
        <f t="shared" si="28"/>
        <v>1</v>
      </c>
      <c r="R491" s="96">
        <f t="shared" si="29"/>
        <v>0</v>
      </c>
      <c r="S491" s="96">
        <f t="shared" si="30"/>
        <v>0</v>
      </c>
    </row>
    <row r="492" spans="1:19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15.303309923910186</v>
      </c>
      <c r="H492">
        <v>9.765625E-4</v>
      </c>
      <c r="I492">
        <v>-0.60042932931120419</v>
      </c>
      <c r="J492">
        <v>-5.8635676690547284E-4</v>
      </c>
      <c r="L492" s="101"/>
      <c r="M492" s="101">
        <v>13.028099466625456</v>
      </c>
      <c r="N492" s="96">
        <v>1.953125E-3</v>
      </c>
      <c r="O492" s="96">
        <f t="shared" si="31"/>
        <v>0.6552734375</v>
      </c>
      <c r="Q492" s="96">
        <f t="shared" si="28"/>
        <v>1</v>
      </c>
      <c r="R492" s="96">
        <f t="shared" si="29"/>
        <v>0</v>
      </c>
      <c r="S492" s="96">
        <f t="shared" si="30"/>
        <v>0</v>
      </c>
    </row>
    <row r="493" spans="1:19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24.485295878256302</v>
      </c>
      <c r="H493">
        <v>4.8828125E-4</v>
      </c>
      <c r="I493">
        <v>-0.44211885546959728</v>
      </c>
      <c r="J493">
        <v>-2.158783473972643E-4</v>
      </c>
      <c r="L493" s="101"/>
      <c r="M493" s="101">
        <v>13.028099466625456</v>
      </c>
      <c r="N493" s="96">
        <v>9.765625E-4</v>
      </c>
      <c r="O493" s="96">
        <f t="shared" si="31"/>
        <v>0.65625</v>
      </c>
      <c r="Q493" s="96">
        <f t="shared" si="28"/>
        <v>1</v>
      </c>
      <c r="R493" s="96">
        <f t="shared" si="29"/>
        <v>0</v>
      </c>
      <c r="S493" s="96">
        <f t="shared" si="30"/>
        <v>0</v>
      </c>
    </row>
    <row r="494" spans="1:19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0</v>
      </c>
      <c r="H494">
        <v>2.44140625E-4</v>
      </c>
      <c r="I494">
        <v>-1</v>
      </c>
      <c r="J494">
        <v>-2.44140625E-4</v>
      </c>
      <c r="L494" s="101"/>
      <c r="M494" s="101">
        <v>13.307226020791473</v>
      </c>
      <c r="N494" s="96">
        <v>9.765625E-4</v>
      </c>
      <c r="O494" s="96">
        <f t="shared" si="31"/>
        <v>0.6572265625</v>
      </c>
      <c r="Q494" s="96">
        <f t="shared" si="28"/>
        <v>1</v>
      </c>
      <c r="R494" s="96">
        <f t="shared" si="29"/>
        <v>0</v>
      </c>
      <c r="S494" s="96">
        <f t="shared" si="30"/>
        <v>0</v>
      </c>
    </row>
    <row r="495" spans="1:19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12.242647939128153</v>
      </c>
      <c r="H495">
        <v>4.8828125E-4</v>
      </c>
      <c r="I495">
        <v>-0.66492018729287894</v>
      </c>
      <c r="J495">
        <v>-3.2466806020160104E-4</v>
      </c>
      <c r="L495" s="101"/>
      <c r="M495" s="101">
        <v>13.307226020791473</v>
      </c>
      <c r="N495" s="96">
        <v>1.953125E-3</v>
      </c>
      <c r="O495" s="96">
        <f t="shared" si="31"/>
        <v>0.6591796875</v>
      </c>
      <c r="Q495" s="96">
        <f t="shared" si="28"/>
        <v>1</v>
      </c>
      <c r="R495" s="96">
        <f t="shared" si="29"/>
        <v>0</v>
      </c>
      <c r="S495" s="96">
        <f t="shared" si="30"/>
        <v>0</v>
      </c>
    </row>
    <row r="496" spans="1:19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21.424633893474272</v>
      </c>
      <c r="H496">
        <v>2.44140625E-4</v>
      </c>
      <c r="I496">
        <v>-0.48960591668930697</v>
      </c>
      <c r="J496">
        <v>-1.1953269450422534E-4</v>
      </c>
      <c r="L496" s="101"/>
      <c r="M496" s="101">
        <v>13.307226020791473</v>
      </c>
      <c r="N496" s="96">
        <v>9.765625E-4</v>
      </c>
      <c r="O496" s="96">
        <f t="shared" si="31"/>
        <v>0.66015625</v>
      </c>
      <c r="Q496" s="96">
        <f t="shared" si="28"/>
        <v>1</v>
      </c>
      <c r="R496" s="96">
        <f t="shared" si="29"/>
        <v>0</v>
      </c>
      <c r="S496" s="96">
        <f t="shared" si="30"/>
        <v>0</v>
      </c>
    </row>
    <row r="497" spans="1:19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6.1213239695640764</v>
      </c>
      <c r="H497">
        <v>4.8828125E-4</v>
      </c>
      <c r="I497">
        <v>-0.81542638373606657</v>
      </c>
      <c r="J497">
        <v>-3.9815741393362626E-4</v>
      </c>
      <c r="L497" s="101"/>
      <c r="M497" s="101">
        <v>13.382871862788226</v>
      </c>
      <c r="N497" s="96">
        <v>3.90625E-3</v>
      </c>
      <c r="O497" s="96">
        <f t="shared" si="31"/>
        <v>0.6640625</v>
      </c>
      <c r="Q497" s="96">
        <f t="shared" si="28"/>
        <v>1</v>
      </c>
      <c r="R497" s="96">
        <f t="shared" si="29"/>
        <v>0</v>
      </c>
      <c r="S497" s="96">
        <f t="shared" si="30"/>
        <v>0</v>
      </c>
    </row>
    <row r="498" spans="1:19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18.363971908692221</v>
      </c>
      <c r="H498">
        <v>9.765625E-4</v>
      </c>
      <c r="I498">
        <v>-0.54219346379734057</v>
      </c>
      <c r="J498">
        <v>-5.294858044895904E-4</v>
      </c>
      <c r="L498" s="101"/>
      <c r="M498" s="101">
        <v>13.382871862788226</v>
      </c>
      <c r="N498" s="96">
        <v>7.8125E-3</v>
      </c>
      <c r="O498" s="96">
        <f t="shared" si="31"/>
        <v>0.671875</v>
      </c>
      <c r="Q498" s="96">
        <f t="shared" si="28"/>
        <v>1</v>
      </c>
      <c r="R498" s="96">
        <f t="shared" si="29"/>
        <v>0</v>
      </c>
      <c r="S498" s="96">
        <f t="shared" si="30"/>
        <v>0</v>
      </c>
    </row>
    <row r="499" spans="1:19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27.54595786303835</v>
      </c>
      <c r="H499">
        <v>4.8828125E-4</v>
      </c>
      <c r="I499">
        <v>-0.39923758210174348</v>
      </c>
      <c r="J499">
        <v>-1.9494022563561693E-4</v>
      </c>
      <c r="L499" s="101"/>
      <c r="M499" s="101">
        <v>13.382871862788226</v>
      </c>
      <c r="N499" s="96">
        <v>3.90625E-3</v>
      </c>
      <c r="O499" s="96">
        <f t="shared" si="31"/>
        <v>0.67578125</v>
      </c>
      <c r="Q499" s="96">
        <f t="shared" si="28"/>
        <v>1</v>
      </c>
      <c r="R499" s="96">
        <f t="shared" si="29"/>
        <v>0</v>
      </c>
      <c r="S499" s="96">
        <f t="shared" si="30"/>
        <v>0</v>
      </c>
    </row>
    <row r="500" spans="1:19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3.0606619847820329</v>
      </c>
      <c r="H500">
        <v>9.765625E-4</v>
      </c>
      <c r="I500">
        <v>-0.90300962549469366</v>
      </c>
      <c r="J500">
        <v>-8.8184533739716177E-4</v>
      </c>
      <c r="L500" s="101"/>
      <c r="M500" s="101">
        <v>13.400283545412396</v>
      </c>
      <c r="N500" s="96">
        <v>9.765625E-4</v>
      </c>
      <c r="O500" s="96">
        <f t="shared" si="31"/>
        <v>0.6767578125</v>
      </c>
      <c r="Q500" s="96">
        <f t="shared" si="28"/>
        <v>1</v>
      </c>
      <c r="R500" s="96">
        <f t="shared" si="29"/>
        <v>0</v>
      </c>
      <c r="S500" s="96">
        <f t="shared" si="30"/>
        <v>0</v>
      </c>
    </row>
    <row r="501" spans="1:19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15.303309923910186</v>
      </c>
      <c r="H501">
        <v>1.953125E-3</v>
      </c>
      <c r="I501">
        <v>-0.60042932931120419</v>
      </c>
      <c r="J501">
        <v>-1.1727135338109457E-3</v>
      </c>
      <c r="L501" s="101"/>
      <c r="M501" s="101">
        <v>13.400283545412396</v>
      </c>
      <c r="N501" s="96">
        <v>1.953125E-3</v>
      </c>
      <c r="O501" s="96">
        <f t="shared" si="31"/>
        <v>0.6787109375</v>
      </c>
      <c r="Q501" s="96">
        <f t="shared" si="28"/>
        <v>1</v>
      </c>
      <c r="R501" s="96">
        <f t="shared" si="29"/>
        <v>0</v>
      </c>
      <c r="S501" s="96">
        <f t="shared" si="30"/>
        <v>0</v>
      </c>
    </row>
    <row r="502" spans="1:19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24.485295878256302</v>
      </c>
      <c r="H502">
        <v>9.765625E-4</v>
      </c>
      <c r="I502">
        <v>-0.44211885546959728</v>
      </c>
      <c r="J502">
        <v>-4.317566947945286E-4</v>
      </c>
      <c r="L502" s="101"/>
      <c r="M502" s="101">
        <v>13.400283545412396</v>
      </c>
      <c r="N502" s="96">
        <v>9.765625E-4</v>
      </c>
      <c r="O502" s="96">
        <f t="shared" si="31"/>
        <v>0.6796875</v>
      </c>
      <c r="Q502" s="96">
        <f t="shared" si="28"/>
        <v>1</v>
      </c>
      <c r="R502" s="96">
        <f t="shared" si="29"/>
        <v>0</v>
      </c>
      <c r="S502" s="96">
        <f t="shared" si="30"/>
        <v>0</v>
      </c>
    </row>
    <row r="503" spans="1:19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0</v>
      </c>
      <c r="H503">
        <v>4.8828125E-4</v>
      </c>
      <c r="I503">
        <v>-1</v>
      </c>
      <c r="J503">
        <v>-4.8828125E-4</v>
      </c>
      <c r="L503" s="101"/>
      <c r="M503" s="101">
        <v>13.400283545412396</v>
      </c>
      <c r="N503" s="96">
        <v>9.765625E-4</v>
      </c>
      <c r="O503" s="96">
        <f t="shared" si="31"/>
        <v>0.6806640625</v>
      </c>
      <c r="Q503" s="96">
        <f t="shared" si="28"/>
        <v>1</v>
      </c>
      <c r="R503" s="96">
        <f t="shared" si="29"/>
        <v>0</v>
      </c>
      <c r="S503" s="96">
        <f t="shared" si="30"/>
        <v>0</v>
      </c>
    </row>
    <row r="504" spans="1:19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12.242647939128153</v>
      </c>
      <c r="H504">
        <v>9.765625E-4</v>
      </c>
      <c r="I504">
        <v>-0.66492018729287894</v>
      </c>
      <c r="J504">
        <v>-6.4933612040320209E-4</v>
      </c>
      <c r="L504" s="101"/>
      <c r="M504" s="101">
        <v>13.400283545412396</v>
      </c>
      <c r="N504" s="96">
        <v>1.953125E-3</v>
      </c>
      <c r="O504" s="96">
        <f t="shared" si="31"/>
        <v>0.6826171875</v>
      </c>
      <c r="Q504" s="96">
        <f t="shared" si="28"/>
        <v>1</v>
      </c>
      <c r="R504" s="96">
        <f t="shared" si="29"/>
        <v>0</v>
      </c>
      <c r="S504" s="96">
        <f t="shared" si="30"/>
        <v>0</v>
      </c>
    </row>
    <row r="505" spans="1:19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21.424633893474272</v>
      </c>
      <c r="H505">
        <v>4.8828125E-4</v>
      </c>
      <c r="I505">
        <v>-0.48960591668930697</v>
      </c>
      <c r="J505">
        <v>-2.3906538900845067E-4</v>
      </c>
      <c r="L505" s="101"/>
      <c r="M505" s="101">
        <v>13.400283545412396</v>
      </c>
      <c r="N505" s="96">
        <v>9.765625E-4</v>
      </c>
      <c r="O505" s="96">
        <f t="shared" si="31"/>
        <v>0.68359375</v>
      </c>
      <c r="Q505" s="96">
        <f t="shared" si="28"/>
        <v>1</v>
      </c>
      <c r="R505" s="96">
        <f t="shared" si="29"/>
        <v>0</v>
      </c>
      <c r="S505" s="96">
        <f t="shared" si="30"/>
        <v>0</v>
      </c>
    </row>
    <row r="506" spans="1:19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6.1213239695640764</v>
      </c>
      <c r="H506">
        <v>2.44140625E-4</v>
      </c>
      <c r="I506">
        <v>-0.81542638373606657</v>
      </c>
      <c r="J506">
        <v>-1.9907870696681313E-4</v>
      </c>
      <c r="L506" s="101"/>
      <c r="M506" s="101">
        <v>13.531570439041428</v>
      </c>
      <c r="N506" s="96">
        <v>9.765625E-4</v>
      </c>
      <c r="O506" s="96">
        <f t="shared" si="31"/>
        <v>0.6845703125</v>
      </c>
      <c r="Q506" s="96">
        <f t="shared" si="28"/>
        <v>1</v>
      </c>
      <c r="R506" s="96">
        <f t="shared" si="29"/>
        <v>0</v>
      </c>
      <c r="S506" s="96">
        <f t="shared" si="30"/>
        <v>0</v>
      </c>
    </row>
    <row r="507" spans="1:19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18.363971908692221</v>
      </c>
      <c r="H507">
        <v>4.8828125E-4</v>
      </c>
      <c r="I507">
        <v>-0.54219346379734057</v>
      </c>
      <c r="J507">
        <v>-2.647429022447952E-4</v>
      </c>
      <c r="L507" s="101"/>
      <c r="M507" s="101">
        <v>13.531570439041428</v>
      </c>
      <c r="N507" s="96">
        <v>1.953125E-3</v>
      </c>
      <c r="O507" s="96">
        <f t="shared" si="31"/>
        <v>0.6865234375</v>
      </c>
      <c r="Q507" s="96">
        <f t="shared" si="28"/>
        <v>1</v>
      </c>
      <c r="R507" s="96">
        <f t="shared" si="29"/>
        <v>0</v>
      </c>
      <c r="S507" s="96">
        <f t="shared" si="30"/>
        <v>0</v>
      </c>
    </row>
    <row r="508" spans="1:19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27.54595786303835</v>
      </c>
      <c r="H508">
        <v>2.44140625E-4</v>
      </c>
      <c r="I508">
        <v>-0.39923758210174348</v>
      </c>
      <c r="J508">
        <v>-9.7470112817808467E-5</v>
      </c>
      <c r="L508" s="101"/>
      <c r="M508" s="101">
        <v>13.531570439041428</v>
      </c>
      <c r="N508" s="96">
        <v>9.765625E-4</v>
      </c>
      <c r="O508" s="96">
        <f t="shared" si="31"/>
        <v>0.6875</v>
      </c>
      <c r="Q508" s="96">
        <f t="shared" si="28"/>
        <v>1</v>
      </c>
      <c r="R508" s="96">
        <f t="shared" si="29"/>
        <v>0</v>
      </c>
      <c r="S508" s="96">
        <f t="shared" si="30"/>
        <v>0</v>
      </c>
    </row>
    <row r="509" spans="1:19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3.0606619847820329</v>
      </c>
      <c r="H509">
        <v>4.8828125E-4</v>
      </c>
      <c r="I509">
        <v>-0.90300962549469366</v>
      </c>
      <c r="J509">
        <v>-4.4092266869858089E-4</v>
      </c>
      <c r="L509" s="101"/>
      <c r="M509" s="101">
        <v>14.092860528211519</v>
      </c>
      <c r="N509" s="96">
        <v>4.8828125E-4</v>
      </c>
      <c r="O509" s="96">
        <f t="shared" si="31"/>
        <v>0.68798828125</v>
      </c>
      <c r="Q509" s="96">
        <f t="shared" si="28"/>
        <v>1</v>
      </c>
      <c r="R509" s="96">
        <f t="shared" si="29"/>
        <v>0</v>
      </c>
      <c r="S509" s="96">
        <f t="shared" si="30"/>
        <v>0</v>
      </c>
    </row>
    <row r="510" spans="1:19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15.303309923910186</v>
      </c>
      <c r="H510">
        <v>9.765625E-4</v>
      </c>
      <c r="I510">
        <v>-0.60042932931120419</v>
      </c>
      <c r="J510">
        <v>-5.8635676690547284E-4</v>
      </c>
      <c r="L510" s="101"/>
      <c r="M510" s="101">
        <v>14.092860528211519</v>
      </c>
      <c r="N510" s="96">
        <v>9.765625E-4</v>
      </c>
      <c r="O510" s="96">
        <f t="shared" si="31"/>
        <v>0.68896484375</v>
      </c>
      <c r="Q510" s="96">
        <f t="shared" si="28"/>
        <v>1</v>
      </c>
      <c r="R510" s="96">
        <f t="shared" si="29"/>
        <v>0</v>
      </c>
      <c r="S510" s="96">
        <f t="shared" si="30"/>
        <v>0</v>
      </c>
    </row>
    <row r="511" spans="1:19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24.485295878256302</v>
      </c>
      <c r="H511">
        <v>4.8828125E-4</v>
      </c>
      <c r="I511">
        <v>-0.44211885546959728</v>
      </c>
      <c r="J511">
        <v>-2.158783473972643E-4</v>
      </c>
      <c r="L511" s="101"/>
      <c r="M511" s="101">
        <v>14.092860528211519</v>
      </c>
      <c r="N511" s="96">
        <v>4.8828125E-4</v>
      </c>
      <c r="O511" s="96">
        <f t="shared" si="31"/>
        <v>0.689453125</v>
      </c>
      <c r="Q511" s="96">
        <f t="shared" si="28"/>
        <v>1</v>
      </c>
      <c r="R511" s="96">
        <f t="shared" si="29"/>
        <v>0</v>
      </c>
      <c r="S511" s="96">
        <f t="shared" si="30"/>
        <v>0</v>
      </c>
    </row>
    <row r="512" spans="1:19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0</v>
      </c>
      <c r="H512">
        <v>2.44140625E-4</v>
      </c>
      <c r="I512">
        <v>-1</v>
      </c>
      <c r="J512">
        <v>-2.44140625E-4</v>
      </c>
      <c r="L512" s="101"/>
      <c r="M512" s="101">
        <v>14.27020683117402</v>
      </c>
      <c r="N512" s="96">
        <v>1.953125E-3</v>
      </c>
      <c r="O512" s="96">
        <f t="shared" si="31"/>
        <v>0.69140625</v>
      </c>
      <c r="Q512" s="96">
        <f t="shared" si="28"/>
        <v>1</v>
      </c>
      <c r="R512" s="96">
        <f t="shared" si="29"/>
        <v>0</v>
      </c>
      <c r="S512" s="96">
        <f t="shared" si="30"/>
        <v>0</v>
      </c>
    </row>
    <row r="513" spans="1:19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12.242647939128153</v>
      </c>
      <c r="H513">
        <v>4.8828125E-4</v>
      </c>
      <c r="I513">
        <v>-0.66492018729287894</v>
      </c>
      <c r="J513">
        <v>-3.2466806020160104E-4</v>
      </c>
      <c r="L513" s="101"/>
      <c r="M513" s="101">
        <v>14.27020683117402</v>
      </c>
      <c r="N513" s="96">
        <v>3.90625E-3</v>
      </c>
      <c r="O513" s="96">
        <f t="shared" si="31"/>
        <v>0.6953125</v>
      </c>
      <c r="Q513" s="96">
        <f t="shared" si="28"/>
        <v>1</v>
      </c>
      <c r="R513" s="96">
        <f t="shared" si="29"/>
        <v>0</v>
      </c>
      <c r="S513" s="96">
        <f t="shared" si="30"/>
        <v>0</v>
      </c>
    </row>
    <row r="514" spans="1:19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21.424633893474272</v>
      </c>
      <c r="H514">
        <v>2.44140625E-4</v>
      </c>
      <c r="I514">
        <v>-0.48960591668930697</v>
      </c>
      <c r="J514">
        <v>-1.1953269450422534E-4</v>
      </c>
      <c r="L514" s="101"/>
      <c r="M514" s="101">
        <v>14.27020683117402</v>
      </c>
      <c r="N514" s="96">
        <v>1.953125E-3</v>
      </c>
      <c r="O514" s="96">
        <f t="shared" si="31"/>
        <v>0.697265625</v>
      </c>
      <c r="Q514" s="96">
        <f t="shared" si="28"/>
        <v>1</v>
      </c>
      <c r="R514" s="96">
        <f t="shared" si="29"/>
        <v>0</v>
      </c>
      <c r="S514" s="96">
        <f t="shared" si="30"/>
        <v>0</v>
      </c>
    </row>
    <row r="515" spans="1:19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7.4911571933096353</v>
      </c>
      <c r="H515">
        <v>4.8828125E-4</v>
      </c>
      <c r="I515">
        <v>-0.77903037639973305</v>
      </c>
      <c r="J515">
        <v>-3.8038592597643215E-4</v>
      </c>
      <c r="L515" s="101"/>
      <c r="M515" s="101">
        <v>14.275063320307433</v>
      </c>
      <c r="N515" s="96">
        <v>3.90625E-3</v>
      </c>
      <c r="O515" s="96">
        <f t="shared" si="31"/>
        <v>0.701171875</v>
      </c>
      <c r="Q515" s="96">
        <f t="shared" ref="Q515:Q578" si="32">IF(A515=3,1,0)</f>
        <v>1</v>
      </c>
      <c r="R515" s="96">
        <f t="shared" ref="R515:R578" si="33">IF(A515=2,1,0)</f>
        <v>0</v>
      </c>
      <c r="S515" s="96">
        <f t="shared" ref="S515:S578" si="34">IF(A515=1,1,0)</f>
        <v>0</v>
      </c>
    </row>
    <row r="516" spans="1:19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22.473471579928898</v>
      </c>
      <c r="H516">
        <v>9.765625E-4</v>
      </c>
      <c r="I516">
        <v>-0.47278444209080922</v>
      </c>
      <c r="J516">
        <v>-4.6170355672930588E-4</v>
      </c>
      <c r="L516" s="101"/>
      <c r="M516" s="101">
        <v>14.275063320307433</v>
      </c>
      <c r="N516" s="96">
        <v>7.8125E-3</v>
      </c>
      <c r="O516" s="96">
        <f t="shared" ref="O516:O579" si="35">N516+O515</f>
        <v>0.708984375</v>
      </c>
      <c r="Q516" s="96">
        <f t="shared" si="32"/>
        <v>1</v>
      </c>
      <c r="R516" s="96">
        <f t="shared" si="33"/>
        <v>0</v>
      </c>
      <c r="S516" s="96">
        <f t="shared" si="34"/>
        <v>0</v>
      </c>
    </row>
    <row r="517" spans="1:19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33.71020736989334</v>
      </c>
      <c r="H517">
        <v>4.8828125E-4</v>
      </c>
      <c r="I517">
        <v>-0.32508337893181222</v>
      </c>
      <c r="J517">
        <v>-1.5873211861904893E-4</v>
      </c>
      <c r="L517" s="101"/>
      <c r="M517" s="101">
        <v>14.275063320307433</v>
      </c>
      <c r="N517" s="96">
        <v>3.90625E-3</v>
      </c>
      <c r="O517" s="96">
        <f t="shared" si="35"/>
        <v>0.712890625</v>
      </c>
      <c r="Q517" s="96">
        <f t="shared" si="32"/>
        <v>1</v>
      </c>
      <c r="R517" s="96">
        <f t="shared" si="33"/>
        <v>0</v>
      </c>
      <c r="S517" s="96">
        <f t="shared" si="34"/>
        <v>0</v>
      </c>
    </row>
    <row r="518" spans="1:19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3.7455785966548123</v>
      </c>
      <c r="H518">
        <v>9.765625E-4</v>
      </c>
      <c r="I518">
        <v>-0.88262697466128537</v>
      </c>
      <c r="J518">
        <v>-8.6194040494266149E-4</v>
      </c>
      <c r="L518" s="101"/>
      <c r="M518" s="101">
        <v>14.679814098802112</v>
      </c>
      <c r="N518" s="96">
        <v>9.765625E-4</v>
      </c>
      <c r="O518" s="96">
        <f t="shared" si="35"/>
        <v>0.7138671875</v>
      </c>
      <c r="Q518" s="96">
        <f t="shared" si="32"/>
        <v>1</v>
      </c>
      <c r="R518" s="96">
        <f t="shared" si="33"/>
        <v>0</v>
      </c>
      <c r="S518" s="96">
        <f t="shared" si="34"/>
        <v>0</v>
      </c>
    </row>
    <row r="519" spans="1:19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18.727892983274089</v>
      </c>
      <c r="H519">
        <v>1.953125E-3</v>
      </c>
      <c r="I519">
        <v>-0.53565600832927607</v>
      </c>
      <c r="J519">
        <v>-1.0462031412681173E-3</v>
      </c>
      <c r="L519" s="101"/>
      <c r="M519" s="101">
        <v>14.679814098802112</v>
      </c>
      <c r="N519" s="96">
        <v>1.953125E-3</v>
      </c>
      <c r="O519" s="96">
        <f t="shared" si="35"/>
        <v>0.7158203125</v>
      </c>
      <c r="Q519" s="96">
        <f t="shared" si="32"/>
        <v>1</v>
      </c>
      <c r="R519" s="96">
        <f t="shared" si="33"/>
        <v>0</v>
      </c>
      <c r="S519" s="96">
        <f t="shared" si="34"/>
        <v>0</v>
      </c>
    </row>
    <row r="520" spans="1:19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29.96462877323852</v>
      </c>
      <c r="H520">
        <v>9.765625E-4</v>
      </c>
      <c r="I520">
        <v>-0.36831344187794107</v>
      </c>
      <c r="J520">
        <v>-3.5968109558392683E-4</v>
      </c>
      <c r="L520" s="101"/>
      <c r="M520" s="101">
        <v>14.679814098802112</v>
      </c>
      <c r="N520" s="96">
        <v>9.765625E-4</v>
      </c>
      <c r="O520" s="96">
        <f t="shared" si="35"/>
        <v>0.716796875</v>
      </c>
      <c r="Q520" s="96">
        <f t="shared" si="32"/>
        <v>1</v>
      </c>
      <c r="R520" s="96">
        <f t="shared" si="33"/>
        <v>0</v>
      </c>
      <c r="S520" s="96">
        <f t="shared" si="34"/>
        <v>0</v>
      </c>
    </row>
    <row r="521" spans="1:19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0</v>
      </c>
      <c r="H521">
        <v>4.8828125E-4</v>
      </c>
      <c r="I521">
        <v>-1</v>
      </c>
      <c r="J521">
        <v>-4.8828125E-4</v>
      </c>
      <c r="L521" s="101"/>
      <c r="M521" s="101">
        <v>14.707457420185172</v>
      </c>
      <c r="N521" s="96">
        <v>4.8828125E-4</v>
      </c>
      <c r="O521" s="96">
        <f t="shared" si="35"/>
        <v>0.71728515625</v>
      </c>
      <c r="Q521" s="96">
        <f t="shared" si="32"/>
        <v>1</v>
      </c>
      <c r="R521" s="96">
        <f t="shared" si="33"/>
        <v>0</v>
      </c>
      <c r="S521" s="96">
        <f t="shared" si="34"/>
        <v>0</v>
      </c>
    </row>
    <row r="522" spans="1:19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14.982314386619272</v>
      </c>
      <c r="H522">
        <v>9.765625E-4</v>
      </c>
      <c r="I522">
        <v>-0.60688832735350973</v>
      </c>
      <c r="J522">
        <v>-5.9266438218116184E-4</v>
      </c>
      <c r="L522" s="101"/>
      <c r="M522" s="101">
        <v>14.707457420185172</v>
      </c>
      <c r="N522" s="96">
        <v>9.765625E-4</v>
      </c>
      <c r="O522" s="96">
        <f t="shared" si="35"/>
        <v>0.71826171875</v>
      </c>
      <c r="Q522" s="96">
        <f t="shared" si="32"/>
        <v>1</v>
      </c>
      <c r="R522" s="96">
        <f t="shared" si="33"/>
        <v>0</v>
      </c>
      <c r="S522" s="96">
        <f t="shared" si="34"/>
        <v>0</v>
      </c>
    </row>
    <row r="523" spans="1:19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26.219050176583711</v>
      </c>
      <c r="H523">
        <v>4.8828125E-4</v>
      </c>
      <c r="I523">
        <v>-0.41729230178953458</v>
      </c>
      <c r="J523">
        <v>-2.0375600673317118E-4</v>
      </c>
      <c r="L523" s="101"/>
      <c r="M523" s="101">
        <v>14.707457420185172</v>
      </c>
      <c r="N523" s="96">
        <v>4.8828125E-4</v>
      </c>
      <c r="O523" s="96">
        <f t="shared" si="35"/>
        <v>0.71875</v>
      </c>
      <c r="Q523" s="96">
        <f t="shared" si="32"/>
        <v>1</v>
      </c>
      <c r="R523" s="96">
        <f t="shared" si="33"/>
        <v>0</v>
      </c>
      <c r="S523" s="96">
        <f t="shared" si="34"/>
        <v>0</v>
      </c>
    </row>
    <row r="524" spans="1:19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7.4911571933096353</v>
      </c>
      <c r="H524">
        <v>9.765625E-4</v>
      </c>
      <c r="I524">
        <v>-0.77903037639973305</v>
      </c>
      <c r="J524">
        <v>-7.6077185195286431E-4</v>
      </c>
      <c r="L524" s="101"/>
      <c r="M524" s="101">
        <v>14.778325209913223</v>
      </c>
      <c r="N524" s="96">
        <v>4.8828125E-4</v>
      </c>
      <c r="O524" s="96">
        <f t="shared" si="35"/>
        <v>0.71923828125</v>
      </c>
      <c r="Q524" s="96">
        <f t="shared" si="32"/>
        <v>1</v>
      </c>
      <c r="R524" s="96">
        <f t="shared" si="33"/>
        <v>0</v>
      </c>
      <c r="S524" s="96">
        <f t="shared" si="34"/>
        <v>0</v>
      </c>
    </row>
    <row r="525" spans="1:19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22.473471579928898</v>
      </c>
      <c r="H525">
        <v>1.953125E-3</v>
      </c>
      <c r="I525">
        <v>-0.47278444209080922</v>
      </c>
      <c r="J525">
        <v>-9.2340711345861176E-4</v>
      </c>
      <c r="L525" s="101"/>
      <c r="M525" s="101">
        <v>14.778325209913223</v>
      </c>
      <c r="N525" s="96">
        <v>9.765625E-4</v>
      </c>
      <c r="O525" s="96">
        <f t="shared" si="35"/>
        <v>0.72021484375</v>
      </c>
      <c r="Q525" s="96">
        <f t="shared" si="32"/>
        <v>1</v>
      </c>
      <c r="R525" s="96">
        <f t="shared" si="33"/>
        <v>0</v>
      </c>
      <c r="S525" s="96">
        <f t="shared" si="34"/>
        <v>0</v>
      </c>
    </row>
    <row r="526" spans="1:19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33.71020736989334</v>
      </c>
      <c r="H526">
        <v>9.765625E-4</v>
      </c>
      <c r="I526">
        <v>-0.32508337893181222</v>
      </c>
      <c r="J526">
        <v>-3.1746423723809787E-4</v>
      </c>
      <c r="L526" s="101"/>
      <c r="M526" s="101">
        <v>14.778325209913223</v>
      </c>
      <c r="N526" s="96">
        <v>4.8828125E-4</v>
      </c>
      <c r="O526" s="96">
        <f t="shared" si="35"/>
        <v>0.720703125</v>
      </c>
      <c r="Q526" s="96">
        <f t="shared" si="32"/>
        <v>1</v>
      </c>
      <c r="R526" s="96">
        <f t="shared" si="33"/>
        <v>0</v>
      </c>
      <c r="S526" s="96">
        <f t="shared" si="34"/>
        <v>0</v>
      </c>
    </row>
    <row r="527" spans="1:19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3.7455785966548123</v>
      </c>
      <c r="H527">
        <v>1.953125E-3</v>
      </c>
      <c r="I527">
        <v>-0.88262697466128537</v>
      </c>
      <c r="J527">
        <v>-1.723880809885323E-3</v>
      </c>
      <c r="L527" s="101"/>
      <c r="M527" s="101">
        <v>15.075318988588934</v>
      </c>
      <c r="N527" s="96">
        <v>4.8828125E-4</v>
      </c>
      <c r="O527" s="96">
        <f t="shared" si="35"/>
        <v>0.72119140625</v>
      </c>
      <c r="Q527" s="96">
        <f t="shared" si="32"/>
        <v>1</v>
      </c>
      <c r="R527" s="96">
        <f t="shared" si="33"/>
        <v>0</v>
      </c>
      <c r="S527" s="96">
        <f t="shared" si="34"/>
        <v>0</v>
      </c>
    </row>
    <row r="528" spans="1:19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18.727892983274089</v>
      </c>
      <c r="H528">
        <v>3.90625E-3</v>
      </c>
      <c r="I528">
        <v>-0.53565600832927607</v>
      </c>
      <c r="J528">
        <v>-2.0924062825362346E-3</v>
      </c>
      <c r="L528" s="101"/>
      <c r="M528" s="101">
        <v>15.075318988588934</v>
      </c>
      <c r="N528" s="96">
        <v>9.765625E-4</v>
      </c>
      <c r="O528" s="96">
        <f t="shared" si="35"/>
        <v>0.72216796875</v>
      </c>
      <c r="Q528" s="96">
        <f t="shared" si="32"/>
        <v>1</v>
      </c>
      <c r="R528" s="96">
        <f t="shared" si="33"/>
        <v>0</v>
      </c>
      <c r="S528" s="96">
        <f t="shared" si="34"/>
        <v>0</v>
      </c>
    </row>
    <row r="529" spans="1:19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29.96462877323852</v>
      </c>
      <c r="H529">
        <v>1.953125E-3</v>
      </c>
      <c r="I529">
        <v>-0.36831344187794107</v>
      </c>
      <c r="J529">
        <v>-7.1936219116785366E-4</v>
      </c>
      <c r="L529" s="101"/>
      <c r="M529" s="101">
        <v>15.075318988588934</v>
      </c>
      <c r="N529" s="96">
        <v>4.8828125E-4</v>
      </c>
      <c r="O529" s="96">
        <f t="shared" si="35"/>
        <v>0.72265625</v>
      </c>
      <c r="Q529" s="96">
        <f t="shared" si="32"/>
        <v>1</v>
      </c>
      <c r="R529" s="96">
        <f t="shared" si="33"/>
        <v>0</v>
      </c>
      <c r="S529" s="96">
        <f t="shared" si="34"/>
        <v>0</v>
      </c>
    </row>
    <row r="530" spans="1:19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0</v>
      </c>
      <c r="H530">
        <v>9.765625E-4</v>
      </c>
      <c r="I530">
        <v>-1</v>
      </c>
      <c r="J530">
        <v>-9.765625E-4</v>
      </c>
      <c r="L530" s="101"/>
      <c r="M530" s="101">
        <v>15.27643971608607</v>
      </c>
      <c r="N530" s="96">
        <v>1.953125E-3</v>
      </c>
      <c r="O530" s="96">
        <f t="shared" si="35"/>
        <v>0.724609375</v>
      </c>
      <c r="Q530" s="96">
        <f t="shared" si="32"/>
        <v>1</v>
      </c>
      <c r="R530" s="96">
        <f t="shared" si="33"/>
        <v>0</v>
      </c>
      <c r="S530" s="96">
        <f t="shared" si="34"/>
        <v>0</v>
      </c>
    </row>
    <row r="531" spans="1:19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14.982314386619272</v>
      </c>
      <c r="H531">
        <v>1.953125E-3</v>
      </c>
      <c r="I531">
        <v>-0.60688832735350973</v>
      </c>
      <c r="J531">
        <v>-1.1853287643623237E-3</v>
      </c>
      <c r="L531" s="101"/>
      <c r="M531" s="101">
        <v>15.27643971608607</v>
      </c>
      <c r="N531" s="96">
        <v>3.90625E-3</v>
      </c>
      <c r="O531" s="96">
        <f t="shared" si="35"/>
        <v>0.728515625</v>
      </c>
      <c r="Q531" s="96">
        <f t="shared" si="32"/>
        <v>1</v>
      </c>
      <c r="R531" s="96">
        <f t="shared" si="33"/>
        <v>0</v>
      </c>
      <c r="S531" s="96">
        <f t="shared" si="34"/>
        <v>0</v>
      </c>
    </row>
    <row r="532" spans="1:19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26.219050176583711</v>
      </c>
      <c r="H532">
        <v>9.765625E-4</v>
      </c>
      <c r="I532">
        <v>-0.41729230178953458</v>
      </c>
      <c r="J532">
        <v>-4.0751201346634236E-4</v>
      </c>
      <c r="L532" s="101"/>
      <c r="M532" s="101">
        <v>15.27643971608607</v>
      </c>
      <c r="N532" s="96">
        <v>1.953125E-3</v>
      </c>
      <c r="O532" s="96">
        <f t="shared" si="35"/>
        <v>0.73046875</v>
      </c>
      <c r="Q532" s="96">
        <f t="shared" si="32"/>
        <v>1</v>
      </c>
      <c r="R532" s="96">
        <f t="shared" si="33"/>
        <v>0</v>
      </c>
      <c r="S532" s="96">
        <f t="shared" si="34"/>
        <v>0</v>
      </c>
    </row>
    <row r="533" spans="1:19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7.4911571933096353</v>
      </c>
      <c r="H533">
        <v>4.8828125E-4</v>
      </c>
      <c r="I533">
        <v>-0.77903037639973305</v>
      </c>
      <c r="J533">
        <v>-3.8038592597643215E-4</v>
      </c>
      <c r="L533" s="101"/>
      <c r="M533" s="101">
        <v>15.27643971608607</v>
      </c>
      <c r="N533" s="96">
        <v>9.765625E-4</v>
      </c>
      <c r="O533" s="96">
        <f t="shared" si="35"/>
        <v>0.7314453125</v>
      </c>
      <c r="Q533" s="96">
        <f t="shared" si="32"/>
        <v>1</v>
      </c>
      <c r="R533" s="96">
        <f t="shared" si="33"/>
        <v>0</v>
      </c>
      <c r="S533" s="96">
        <f t="shared" si="34"/>
        <v>0</v>
      </c>
    </row>
    <row r="534" spans="1:19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22.473471579928898</v>
      </c>
      <c r="H534">
        <v>9.765625E-4</v>
      </c>
      <c r="I534">
        <v>-0.47278444209080922</v>
      </c>
      <c r="J534">
        <v>-4.6170355672930588E-4</v>
      </c>
      <c r="L534" s="101"/>
      <c r="M534" s="101">
        <v>15.27643971608607</v>
      </c>
      <c r="N534" s="96">
        <v>1.953125E-3</v>
      </c>
      <c r="O534" s="96">
        <f t="shared" si="35"/>
        <v>0.7333984375</v>
      </c>
      <c r="Q534" s="96">
        <f t="shared" si="32"/>
        <v>1</v>
      </c>
      <c r="R534" s="96">
        <f t="shared" si="33"/>
        <v>0</v>
      </c>
      <c r="S534" s="96">
        <f t="shared" si="34"/>
        <v>0</v>
      </c>
    </row>
    <row r="535" spans="1:19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33.71020736989334</v>
      </c>
      <c r="H535">
        <v>4.8828125E-4</v>
      </c>
      <c r="I535">
        <v>-0.32508337893181222</v>
      </c>
      <c r="J535">
        <v>-1.5873211861904893E-4</v>
      </c>
      <c r="L535" s="101"/>
      <c r="M535" s="101">
        <v>15.27643971608607</v>
      </c>
      <c r="N535" s="96">
        <v>9.765625E-4</v>
      </c>
      <c r="O535" s="96">
        <f t="shared" si="35"/>
        <v>0.734375</v>
      </c>
      <c r="Q535" s="96">
        <f t="shared" si="32"/>
        <v>1</v>
      </c>
      <c r="R535" s="96">
        <f t="shared" si="33"/>
        <v>0</v>
      </c>
      <c r="S535" s="96">
        <f t="shared" si="34"/>
        <v>0</v>
      </c>
    </row>
    <row r="536" spans="1:19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3.7455785966548123</v>
      </c>
      <c r="H536">
        <v>9.765625E-4</v>
      </c>
      <c r="I536">
        <v>-0.88262697466128537</v>
      </c>
      <c r="J536">
        <v>-8.6194040494266149E-4</v>
      </c>
      <c r="L536" s="101"/>
      <c r="M536" s="101">
        <v>15.27643971608607</v>
      </c>
      <c r="N536" s="96">
        <v>9.765625E-4</v>
      </c>
      <c r="O536" s="96">
        <f t="shared" si="35"/>
        <v>0.7353515625</v>
      </c>
      <c r="Q536" s="96">
        <f t="shared" si="32"/>
        <v>1</v>
      </c>
      <c r="R536" s="96">
        <f t="shared" si="33"/>
        <v>0</v>
      </c>
      <c r="S536" s="96">
        <f t="shared" si="34"/>
        <v>0</v>
      </c>
    </row>
    <row r="537" spans="1:19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18.727892983274089</v>
      </c>
      <c r="H537">
        <v>1.953125E-3</v>
      </c>
      <c r="I537">
        <v>-0.53565600832927607</v>
      </c>
      <c r="J537">
        <v>-1.0462031412681173E-3</v>
      </c>
      <c r="L537" s="101"/>
      <c r="M537" s="101">
        <v>15.27643971608607</v>
      </c>
      <c r="N537" s="96">
        <v>1.953125E-3</v>
      </c>
      <c r="O537" s="96">
        <f t="shared" si="35"/>
        <v>0.7373046875</v>
      </c>
      <c r="Q537" s="96">
        <f t="shared" si="32"/>
        <v>1</v>
      </c>
      <c r="R537" s="96">
        <f t="shared" si="33"/>
        <v>0</v>
      </c>
      <c r="S537" s="96">
        <f t="shared" si="34"/>
        <v>0</v>
      </c>
    </row>
    <row r="538" spans="1:19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29.96462877323852</v>
      </c>
      <c r="H538">
        <v>9.765625E-4</v>
      </c>
      <c r="I538">
        <v>-0.36831344187794107</v>
      </c>
      <c r="J538">
        <v>-3.5968109558392683E-4</v>
      </c>
      <c r="L538" s="101"/>
      <c r="M538" s="101">
        <v>15.27643971608607</v>
      </c>
      <c r="N538" s="96">
        <v>9.765625E-4</v>
      </c>
      <c r="O538" s="96">
        <f t="shared" si="35"/>
        <v>0.73828125</v>
      </c>
      <c r="Q538" s="96">
        <f t="shared" si="32"/>
        <v>1</v>
      </c>
      <c r="R538" s="96">
        <f t="shared" si="33"/>
        <v>0</v>
      </c>
      <c r="S538" s="96">
        <f t="shared" si="34"/>
        <v>0</v>
      </c>
    </row>
    <row r="539" spans="1:19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0</v>
      </c>
      <c r="H539">
        <v>4.8828125E-4</v>
      </c>
      <c r="I539">
        <v>-1</v>
      </c>
      <c r="J539">
        <v>-4.8828125E-4</v>
      </c>
      <c r="L539" s="101"/>
      <c r="M539" s="101">
        <v>15.27643971608607</v>
      </c>
      <c r="N539" s="96">
        <v>4.8828125E-4</v>
      </c>
      <c r="O539" s="96">
        <f t="shared" si="35"/>
        <v>0.73876953125</v>
      </c>
      <c r="Q539" s="96">
        <f t="shared" si="32"/>
        <v>1</v>
      </c>
      <c r="R539" s="96">
        <f t="shared" si="33"/>
        <v>0</v>
      </c>
      <c r="S539" s="96">
        <f t="shared" si="34"/>
        <v>0</v>
      </c>
    </row>
    <row r="540" spans="1:19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14.982314386619272</v>
      </c>
      <c r="H540">
        <v>9.765625E-4</v>
      </c>
      <c r="I540">
        <v>-0.60688832735350973</v>
      </c>
      <c r="J540">
        <v>-5.9266438218116184E-4</v>
      </c>
      <c r="L540" s="101"/>
      <c r="M540" s="101">
        <v>15.27643971608607</v>
      </c>
      <c r="N540" s="96">
        <v>9.765625E-4</v>
      </c>
      <c r="O540" s="96">
        <f t="shared" si="35"/>
        <v>0.73974609375</v>
      </c>
      <c r="Q540" s="96">
        <f t="shared" si="32"/>
        <v>1</v>
      </c>
      <c r="R540" s="96">
        <f t="shared" si="33"/>
        <v>0</v>
      </c>
      <c r="S540" s="96">
        <f t="shared" si="34"/>
        <v>0</v>
      </c>
    </row>
    <row r="541" spans="1:19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26.219050176583711</v>
      </c>
      <c r="H541">
        <v>4.8828125E-4</v>
      </c>
      <c r="I541">
        <v>-0.41729230178953458</v>
      </c>
      <c r="J541">
        <v>-2.0375600673317118E-4</v>
      </c>
      <c r="L541" s="101"/>
      <c r="M541" s="101">
        <v>15.27643971608607</v>
      </c>
      <c r="N541" s="96">
        <v>4.8828125E-4</v>
      </c>
      <c r="O541" s="96">
        <f t="shared" si="35"/>
        <v>0.740234375</v>
      </c>
      <c r="Q541" s="96">
        <f t="shared" si="32"/>
        <v>1</v>
      </c>
      <c r="R541" s="96">
        <f t="shared" si="33"/>
        <v>0</v>
      </c>
      <c r="S541" s="96">
        <f t="shared" si="34"/>
        <v>0</v>
      </c>
    </row>
    <row r="542" spans="1:19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8.1033948037216188</v>
      </c>
      <c r="H542">
        <v>2.44140625E-4</v>
      </c>
      <c r="I542">
        <v>-0.76329311510600817</v>
      </c>
      <c r="J542">
        <v>-1.8635085818017778E-4</v>
      </c>
      <c r="L542" s="101"/>
      <c r="M542" s="101">
        <v>15.464651930333066</v>
      </c>
      <c r="N542" s="96">
        <v>1.953125E-3</v>
      </c>
      <c r="O542" s="96">
        <f t="shared" si="35"/>
        <v>0.7421875</v>
      </c>
      <c r="Q542" s="96">
        <f t="shared" si="32"/>
        <v>1</v>
      </c>
      <c r="R542" s="96">
        <f t="shared" si="33"/>
        <v>0</v>
      </c>
      <c r="S542" s="96">
        <f t="shared" si="34"/>
        <v>0</v>
      </c>
    </row>
    <row r="543" spans="1:19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24.310184411164855</v>
      </c>
      <c r="H543">
        <v>4.8828125E-4</v>
      </c>
      <c r="I543">
        <v>-0.44470707127242171</v>
      </c>
      <c r="J543">
        <v>-2.1714212464473716E-4</v>
      </c>
      <c r="L543" s="101"/>
      <c r="M543" s="101">
        <v>15.464651930333066</v>
      </c>
      <c r="N543" s="96">
        <v>3.90625E-3</v>
      </c>
      <c r="O543" s="96">
        <f t="shared" si="35"/>
        <v>0.74609375</v>
      </c>
      <c r="Q543" s="96">
        <f t="shared" si="32"/>
        <v>1</v>
      </c>
      <c r="R543" s="96">
        <f t="shared" si="33"/>
        <v>0</v>
      </c>
      <c r="S543" s="96">
        <f t="shared" si="34"/>
        <v>0</v>
      </c>
    </row>
    <row r="544" spans="1:19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36.465276616747282</v>
      </c>
      <c r="H544">
        <v>2.44140625E-4</v>
      </c>
      <c r="I544">
        <v>-0.29655896191768205</v>
      </c>
      <c r="J544">
        <v>-7.2402090311934095E-5</v>
      </c>
      <c r="L544" s="101"/>
      <c r="M544" s="101">
        <v>15.464651930333066</v>
      </c>
      <c r="N544" s="96">
        <v>1.953125E-3</v>
      </c>
      <c r="O544" s="96">
        <f t="shared" si="35"/>
        <v>0.748046875</v>
      </c>
      <c r="Q544" s="96">
        <f t="shared" si="32"/>
        <v>1</v>
      </c>
      <c r="R544" s="96">
        <f t="shared" si="33"/>
        <v>0</v>
      </c>
      <c r="S544" s="96">
        <f t="shared" si="34"/>
        <v>0</v>
      </c>
    </row>
    <row r="545" spans="1:19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4.0516974018608192</v>
      </c>
      <c r="H545">
        <v>4.8828125E-4</v>
      </c>
      <c r="I545">
        <v>-0.87366647818604537</v>
      </c>
      <c r="J545">
        <v>-4.2659496005177997E-4</v>
      </c>
      <c r="L545" s="101"/>
      <c r="M545" s="101">
        <v>15.480653504104936</v>
      </c>
      <c r="N545" s="96">
        <v>1.953125E-3</v>
      </c>
      <c r="O545" s="96">
        <f t="shared" si="35"/>
        <v>0.75</v>
      </c>
      <c r="Q545" s="96">
        <f t="shared" si="32"/>
        <v>1</v>
      </c>
      <c r="R545" s="96">
        <f t="shared" si="33"/>
        <v>0</v>
      </c>
      <c r="S545" s="96">
        <f t="shared" si="34"/>
        <v>0</v>
      </c>
    </row>
    <row r="546" spans="1:19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20.258487009304055</v>
      </c>
      <c r="H546">
        <v>9.765625E-4</v>
      </c>
      <c r="I546">
        <v>-0.50901240047088314</v>
      </c>
      <c r="J546">
        <v>-4.9708242233484682E-4</v>
      </c>
      <c r="L546" s="101"/>
      <c r="M546" s="101">
        <v>15.480653504104936</v>
      </c>
      <c r="N546" s="96">
        <v>3.90625E-3</v>
      </c>
      <c r="O546" s="96">
        <f t="shared" si="35"/>
        <v>0.75390625</v>
      </c>
      <c r="Q546" s="96">
        <f t="shared" si="32"/>
        <v>1</v>
      </c>
      <c r="R546" s="96">
        <f t="shared" si="33"/>
        <v>0</v>
      </c>
      <c r="S546" s="96">
        <f t="shared" si="34"/>
        <v>0</v>
      </c>
    </row>
    <row r="547" spans="1:19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32.413579214886468</v>
      </c>
      <c r="H547">
        <v>4.8828125E-4</v>
      </c>
      <c r="I547">
        <v>-0.33944184574119646</v>
      </c>
      <c r="J547">
        <v>-1.6574308874081858E-4</v>
      </c>
      <c r="L547" s="101"/>
      <c r="M547" s="101">
        <v>15.480653504104936</v>
      </c>
      <c r="N547" s="96">
        <v>1.953125E-3</v>
      </c>
      <c r="O547" s="96">
        <f t="shared" si="35"/>
        <v>0.755859375</v>
      </c>
      <c r="Q547" s="96">
        <f t="shared" si="32"/>
        <v>1</v>
      </c>
      <c r="R547" s="96">
        <f t="shared" si="33"/>
        <v>0</v>
      </c>
      <c r="S547" s="96">
        <f t="shared" si="34"/>
        <v>0</v>
      </c>
    </row>
    <row r="548" spans="1:19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0</v>
      </c>
      <c r="H548">
        <v>2.44140625E-4</v>
      </c>
      <c r="I548">
        <v>-1</v>
      </c>
      <c r="J548">
        <v>-2.44140625E-4</v>
      </c>
      <c r="L548" s="101"/>
      <c r="M548" s="101">
        <v>15.968671224949766</v>
      </c>
      <c r="N548" s="96">
        <v>4.8828125E-4</v>
      </c>
      <c r="O548" s="96">
        <f t="shared" si="35"/>
        <v>0.75634765625</v>
      </c>
      <c r="Q548" s="96">
        <f t="shared" si="32"/>
        <v>1</v>
      </c>
      <c r="R548" s="96">
        <f t="shared" si="33"/>
        <v>0</v>
      </c>
      <c r="S548" s="96">
        <f t="shared" si="34"/>
        <v>0</v>
      </c>
    </row>
    <row r="549" spans="1:19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16.20678960744323</v>
      </c>
      <c r="H549">
        <v>4.8828125E-4</v>
      </c>
      <c r="I549">
        <v>-0.58261637956823398</v>
      </c>
      <c r="J549">
        <v>-2.8448065408605175E-4</v>
      </c>
      <c r="L549" s="101"/>
      <c r="M549" s="101">
        <v>15.968671224949766</v>
      </c>
      <c r="N549" s="96">
        <v>9.765625E-4</v>
      </c>
      <c r="O549" s="96">
        <f t="shared" si="35"/>
        <v>0.75732421875</v>
      </c>
      <c r="Q549" s="96">
        <f t="shared" si="32"/>
        <v>1</v>
      </c>
      <c r="R549" s="96">
        <f t="shared" si="33"/>
        <v>0</v>
      </c>
      <c r="S549" s="96">
        <f t="shared" si="34"/>
        <v>0</v>
      </c>
    </row>
    <row r="550" spans="1:19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28.361881813025679</v>
      </c>
      <c r="H550">
        <v>2.44140625E-4</v>
      </c>
      <c r="I550">
        <v>-0.38852566078300727</v>
      </c>
      <c r="J550">
        <v>-9.4854897652101383E-5</v>
      </c>
      <c r="L550" s="101"/>
      <c r="M550" s="101">
        <v>15.968671224949766</v>
      </c>
      <c r="N550" s="96">
        <v>4.8828125E-4</v>
      </c>
      <c r="O550" s="96">
        <f t="shared" si="35"/>
        <v>0.7578125</v>
      </c>
      <c r="Q550" s="96">
        <f t="shared" si="32"/>
        <v>1</v>
      </c>
      <c r="R550" s="96">
        <f t="shared" si="33"/>
        <v>0</v>
      </c>
      <c r="S550" s="96">
        <f t="shared" si="34"/>
        <v>0</v>
      </c>
    </row>
    <row r="551" spans="1:19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8.1033948037216188</v>
      </c>
      <c r="H551">
        <v>4.8828125E-4</v>
      </c>
      <c r="I551">
        <v>-0.76329311510600817</v>
      </c>
      <c r="J551">
        <v>-3.7270171636035555E-4</v>
      </c>
      <c r="L551" s="101"/>
      <c r="M551" s="101">
        <v>16.059446235345884</v>
      </c>
      <c r="N551" s="96">
        <v>1.953125E-3</v>
      </c>
      <c r="O551" s="96">
        <f t="shared" si="35"/>
        <v>0.759765625</v>
      </c>
      <c r="Q551" s="96">
        <f t="shared" si="32"/>
        <v>1</v>
      </c>
      <c r="R551" s="96">
        <f t="shared" si="33"/>
        <v>0</v>
      </c>
      <c r="S551" s="96">
        <f t="shared" si="34"/>
        <v>0</v>
      </c>
    </row>
    <row r="552" spans="1:19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24.310184411164855</v>
      </c>
      <c r="H552">
        <v>9.765625E-4</v>
      </c>
      <c r="I552">
        <v>-0.44470707127242171</v>
      </c>
      <c r="J552">
        <v>-4.3428424928947432E-4</v>
      </c>
      <c r="L552" s="101"/>
      <c r="M552" s="101">
        <v>16.059446235345884</v>
      </c>
      <c r="N552" s="96">
        <v>3.90625E-3</v>
      </c>
      <c r="O552" s="96">
        <f t="shared" si="35"/>
        <v>0.763671875</v>
      </c>
      <c r="Q552" s="96">
        <f t="shared" si="32"/>
        <v>1</v>
      </c>
      <c r="R552" s="96">
        <f t="shared" si="33"/>
        <v>0</v>
      </c>
      <c r="S552" s="96">
        <f t="shared" si="34"/>
        <v>0</v>
      </c>
    </row>
    <row r="553" spans="1:19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36.465276616747282</v>
      </c>
      <c r="H553">
        <v>4.8828125E-4</v>
      </c>
      <c r="I553">
        <v>-0.29655896191768205</v>
      </c>
      <c r="J553">
        <v>-1.4480418062386819E-4</v>
      </c>
      <c r="L553" s="101"/>
      <c r="M553" s="101">
        <v>16.059446235345884</v>
      </c>
      <c r="N553" s="96">
        <v>1.953125E-3</v>
      </c>
      <c r="O553" s="96">
        <f t="shared" si="35"/>
        <v>0.765625</v>
      </c>
      <c r="Q553" s="96">
        <f t="shared" si="32"/>
        <v>1</v>
      </c>
      <c r="R553" s="96">
        <f t="shared" si="33"/>
        <v>0</v>
      </c>
      <c r="S553" s="96">
        <f t="shared" si="34"/>
        <v>0</v>
      </c>
    </row>
    <row r="554" spans="1:19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4.0516974018608192</v>
      </c>
      <c r="H554">
        <v>9.765625E-4</v>
      </c>
      <c r="I554">
        <v>-0.87366647818604537</v>
      </c>
      <c r="J554">
        <v>-8.5318992010355993E-4</v>
      </c>
      <c r="L554" s="101"/>
      <c r="M554" s="101">
        <v>16.285124333281807</v>
      </c>
      <c r="N554" s="96">
        <v>1.953125E-3</v>
      </c>
      <c r="O554" s="96">
        <f t="shared" si="35"/>
        <v>0.767578125</v>
      </c>
      <c r="Q554" s="96">
        <f t="shared" si="32"/>
        <v>1</v>
      </c>
      <c r="R554" s="96">
        <f t="shared" si="33"/>
        <v>0</v>
      </c>
      <c r="S554" s="96">
        <f t="shared" si="34"/>
        <v>0</v>
      </c>
    </row>
    <row r="555" spans="1:19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20.258487009304055</v>
      </c>
      <c r="H555">
        <v>1.953125E-3</v>
      </c>
      <c r="I555">
        <v>-0.50901240047088314</v>
      </c>
      <c r="J555">
        <v>-9.9416484466969364E-4</v>
      </c>
      <c r="L555" s="101"/>
      <c r="M555" s="101">
        <v>16.285124333281807</v>
      </c>
      <c r="N555" s="96">
        <v>3.90625E-3</v>
      </c>
      <c r="O555" s="96">
        <f t="shared" si="35"/>
        <v>0.771484375</v>
      </c>
      <c r="Q555" s="96">
        <f t="shared" si="32"/>
        <v>1</v>
      </c>
      <c r="R555" s="96">
        <f t="shared" si="33"/>
        <v>0</v>
      </c>
      <c r="S555" s="96">
        <f t="shared" si="34"/>
        <v>0</v>
      </c>
    </row>
    <row r="556" spans="1:19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32.413579214886468</v>
      </c>
      <c r="H556">
        <v>9.765625E-4</v>
      </c>
      <c r="I556">
        <v>-0.33944184574119646</v>
      </c>
      <c r="J556">
        <v>-3.3148617748163717E-4</v>
      </c>
      <c r="L556" s="101"/>
      <c r="M556" s="101">
        <v>16.285124333281807</v>
      </c>
      <c r="N556" s="96">
        <v>1.953125E-3</v>
      </c>
      <c r="O556" s="96">
        <f t="shared" si="35"/>
        <v>0.7734375</v>
      </c>
      <c r="Q556" s="96">
        <f t="shared" si="32"/>
        <v>1</v>
      </c>
      <c r="R556" s="96">
        <f t="shared" si="33"/>
        <v>0</v>
      </c>
      <c r="S556" s="96">
        <f t="shared" si="34"/>
        <v>0</v>
      </c>
    </row>
    <row r="557" spans="1:19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0</v>
      </c>
      <c r="H557">
        <v>4.8828125E-4</v>
      </c>
      <c r="I557">
        <v>-1</v>
      </c>
      <c r="J557">
        <v>-4.8828125E-4</v>
      </c>
      <c r="L557" s="101"/>
      <c r="M557" s="101">
        <v>16.654240540358682</v>
      </c>
      <c r="N557" s="96">
        <v>1.953125E-3</v>
      </c>
      <c r="O557" s="96">
        <f t="shared" si="35"/>
        <v>0.775390625</v>
      </c>
      <c r="Q557" s="96">
        <f t="shared" si="32"/>
        <v>1</v>
      </c>
      <c r="R557" s="96">
        <f t="shared" si="33"/>
        <v>0</v>
      </c>
      <c r="S557" s="96">
        <f t="shared" si="34"/>
        <v>0</v>
      </c>
    </row>
    <row r="558" spans="1:19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16.20678960744323</v>
      </c>
      <c r="H558">
        <v>9.765625E-4</v>
      </c>
      <c r="I558">
        <v>-0.58261637956823398</v>
      </c>
      <c r="J558">
        <v>-5.6896130817210349E-4</v>
      </c>
      <c r="L558" s="101"/>
      <c r="M558" s="101">
        <v>16.654240540358682</v>
      </c>
      <c r="N558" s="96">
        <v>3.90625E-3</v>
      </c>
      <c r="O558" s="96">
        <f t="shared" si="35"/>
        <v>0.779296875</v>
      </c>
      <c r="Q558" s="96">
        <f t="shared" si="32"/>
        <v>1</v>
      </c>
      <c r="R558" s="96">
        <f t="shared" si="33"/>
        <v>0</v>
      </c>
      <c r="S558" s="96">
        <f t="shared" si="34"/>
        <v>0</v>
      </c>
    </row>
    <row r="559" spans="1:19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28.361881813025679</v>
      </c>
      <c r="H559">
        <v>4.8828125E-4</v>
      </c>
      <c r="I559">
        <v>-0.38852566078300727</v>
      </c>
      <c r="J559">
        <v>-1.8970979530420277E-4</v>
      </c>
      <c r="L559" s="101"/>
      <c r="M559" s="101">
        <v>16.654240540358682</v>
      </c>
      <c r="N559" s="96">
        <v>1.953125E-3</v>
      </c>
      <c r="O559" s="96">
        <f t="shared" si="35"/>
        <v>0.78125</v>
      </c>
      <c r="Q559" s="96">
        <f t="shared" si="32"/>
        <v>1</v>
      </c>
      <c r="R559" s="96">
        <f t="shared" si="33"/>
        <v>0</v>
      </c>
      <c r="S559" s="96">
        <f t="shared" si="34"/>
        <v>0</v>
      </c>
    </row>
    <row r="560" spans="1:19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8.1033948037216188</v>
      </c>
      <c r="H560">
        <v>2.44140625E-4</v>
      </c>
      <c r="I560">
        <v>-0.76329311510600817</v>
      </c>
      <c r="J560">
        <v>-1.8635085818017778E-4</v>
      </c>
      <c r="L560" s="101"/>
      <c r="M560" s="101">
        <v>16.808522765925922</v>
      </c>
      <c r="N560" s="96">
        <v>9.765625E-4</v>
      </c>
      <c r="O560" s="96">
        <f t="shared" si="35"/>
        <v>0.7822265625</v>
      </c>
      <c r="Q560" s="96">
        <f t="shared" si="32"/>
        <v>1</v>
      </c>
      <c r="R560" s="96">
        <f t="shared" si="33"/>
        <v>0</v>
      </c>
      <c r="S560" s="96">
        <f t="shared" si="34"/>
        <v>0</v>
      </c>
    </row>
    <row r="561" spans="1:19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24.310184411164855</v>
      </c>
      <c r="H561">
        <v>4.8828125E-4</v>
      </c>
      <c r="I561">
        <v>-0.44470707127242171</v>
      </c>
      <c r="J561">
        <v>-2.1714212464473716E-4</v>
      </c>
      <c r="L561" s="101"/>
      <c r="M561" s="101">
        <v>16.808522765925922</v>
      </c>
      <c r="N561" s="96">
        <v>1.953125E-3</v>
      </c>
      <c r="O561" s="96">
        <f t="shared" si="35"/>
        <v>0.7841796875</v>
      </c>
      <c r="Q561" s="96">
        <f t="shared" si="32"/>
        <v>1</v>
      </c>
      <c r="R561" s="96">
        <f t="shared" si="33"/>
        <v>0</v>
      </c>
      <c r="S561" s="96">
        <f t="shared" si="34"/>
        <v>0</v>
      </c>
    </row>
    <row r="562" spans="1:19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36.465276616747282</v>
      </c>
      <c r="H562">
        <v>2.44140625E-4</v>
      </c>
      <c r="I562">
        <v>-0.29655896191768205</v>
      </c>
      <c r="J562">
        <v>-7.2402090311934095E-5</v>
      </c>
      <c r="L562" s="101"/>
      <c r="M562" s="101">
        <v>16.808522765925922</v>
      </c>
      <c r="N562" s="96">
        <v>9.765625E-4</v>
      </c>
      <c r="O562" s="96">
        <f t="shared" si="35"/>
        <v>0.78515625</v>
      </c>
      <c r="Q562" s="96">
        <f t="shared" si="32"/>
        <v>1</v>
      </c>
      <c r="R562" s="96">
        <f t="shared" si="33"/>
        <v>0</v>
      </c>
      <c r="S562" s="96">
        <f t="shared" si="34"/>
        <v>0</v>
      </c>
    </row>
    <row r="563" spans="1:19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4.0516974018608192</v>
      </c>
      <c r="H563">
        <v>4.8828125E-4</v>
      </c>
      <c r="I563">
        <v>-0.87366647818604537</v>
      </c>
      <c r="J563">
        <v>-4.2659496005177997E-4</v>
      </c>
      <c r="L563" s="101"/>
      <c r="M563" s="101">
        <v>17.124248197408818</v>
      </c>
      <c r="N563" s="96">
        <v>9.765625E-4</v>
      </c>
      <c r="O563" s="96">
        <f t="shared" si="35"/>
        <v>0.7861328125</v>
      </c>
      <c r="Q563" s="96">
        <f t="shared" si="32"/>
        <v>1</v>
      </c>
      <c r="R563" s="96">
        <f t="shared" si="33"/>
        <v>0</v>
      </c>
      <c r="S563" s="96">
        <f t="shared" si="34"/>
        <v>0</v>
      </c>
    </row>
    <row r="564" spans="1:19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20.258487009304055</v>
      </c>
      <c r="H564">
        <v>9.765625E-4</v>
      </c>
      <c r="I564">
        <v>-0.50901240047088314</v>
      </c>
      <c r="J564">
        <v>-4.9708242233484682E-4</v>
      </c>
      <c r="L564" s="101"/>
      <c r="M564" s="101">
        <v>17.124248197408818</v>
      </c>
      <c r="N564" s="96">
        <v>1.953125E-3</v>
      </c>
      <c r="O564" s="96">
        <f t="shared" si="35"/>
        <v>0.7880859375</v>
      </c>
      <c r="Q564" s="96">
        <f t="shared" si="32"/>
        <v>1</v>
      </c>
      <c r="R564" s="96">
        <f t="shared" si="33"/>
        <v>0</v>
      </c>
      <c r="S564" s="96">
        <f t="shared" si="34"/>
        <v>0</v>
      </c>
    </row>
    <row r="565" spans="1:19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32.413579214886468</v>
      </c>
      <c r="H565">
        <v>4.8828125E-4</v>
      </c>
      <c r="I565">
        <v>-0.33944184574119646</v>
      </c>
      <c r="J565">
        <v>-1.6574308874081858E-4</v>
      </c>
      <c r="L565" s="101"/>
      <c r="M565" s="101">
        <v>17.124248197408818</v>
      </c>
      <c r="N565" s="96">
        <v>9.765625E-4</v>
      </c>
      <c r="O565" s="96">
        <f t="shared" si="35"/>
        <v>0.7890625</v>
      </c>
      <c r="Q565" s="96">
        <f t="shared" si="32"/>
        <v>1</v>
      </c>
      <c r="R565" s="96">
        <f t="shared" si="33"/>
        <v>0</v>
      </c>
      <c r="S565" s="96">
        <f t="shared" si="34"/>
        <v>0</v>
      </c>
    </row>
    <row r="566" spans="1:19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0</v>
      </c>
      <c r="H566">
        <v>2.44140625E-4</v>
      </c>
      <c r="I566">
        <v>-1</v>
      </c>
      <c r="J566">
        <v>-2.44140625E-4</v>
      </c>
      <c r="L566" s="101"/>
      <c r="M566" s="101">
        <v>17.397733421624689</v>
      </c>
      <c r="N566" s="96">
        <v>9.765625E-4</v>
      </c>
      <c r="O566" s="96">
        <f t="shared" si="35"/>
        <v>0.7900390625</v>
      </c>
      <c r="Q566" s="96">
        <f t="shared" si="32"/>
        <v>1</v>
      </c>
      <c r="R566" s="96">
        <f t="shared" si="33"/>
        <v>0</v>
      </c>
      <c r="S566" s="96">
        <f t="shared" si="34"/>
        <v>0</v>
      </c>
    </row>
    <row r="567" spans="1:19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16.20678960744323</v>
      </c>
      <c r="H567">
        <v>4.8828125E-4</v>
      </c>
      <c r="I567">
        <v>-0.58261637956823398</v>
      </c>
      <c r="J567">
        <v>-2.8448065408605175E-4</v>
      </c>
      <c r="L567" s="101"/>
      <c r="M567" s="101">
        <v>17.397733421624689</v>
      </c>
      <c r="N567" s="96">
        <v>1.953125E-3</v>
      </c>
      <c r="O567" s="96">
        <f t="shared" si="35"/>
        <v>0.7919921875</v>
      </c>
      <c r="Q567" s="96">
        <f t="shared" si="32"/>
        <v>1</v>
      </c>
      <c r="R567" s="96">
        <f t="shared" si="33"/>
        <v>0</v>
      </c>
      <c r="S567" s="96">
        <f t="shared" si="34"/>
        <v>0</v>
      </c>
    </row>
    <row r="568" spans="1:19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28.361881813025679</v>
      </c>
      <c r="H568">
        <v>2.44140625E-4</v>
      </c>
      <c r="I568">
        <v>-0.38852566078300727</v>
      </c>
      <c r="J568">
        <v>-9.4854897652101383E-5</v>
      </c>
      <c r="L568" s="101"/>
      <c r="M568" s="101">
        <v>17.397733421624689</v>
      </c>
      <c r="N568" s="96">
        <v>9.765625E-4</v>
      </c>
      <c r="O568" s="96">
        <f t="shared" si="35"/>
        <v>0.79296875</v>
      </c>
      <c r="Q568" s="96">
        <f t="shared" si="32"/>
        <v>1</v>
      </c>
      <c r="R568" s="96">
        <f t="shared" si="33"/>
        <v>0</v>
      </c>
      <c r="S568" s="96">
        <f t="shared" si="34"/>
        <v>0</v>
      </c>
    </row>
    <row r="569" spans="1:19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8.4408931068112061</v>
      </c>
      <c r="H569">
        <v>4.8828125E-4</v>
      </c>
      <c r="I569">
        <v>-0.75475423177044032</v>
      </c>
      <c r="J569">
        <v>-3.6853233973166031E-4</v>
      </c>
      <c r="L569" s="101"/>
      <c r="M569" s="101">
        <v>17.616075660264386</v>
      </c>
      <c r="N569" s="96">
        <v>9.765625E-4</v>
      </c>
      <c r="O569" s="96">
        <f t="shared" si="35"/>
        <v>0.7939453125</v>
      </c>
      <c r="Q569" s="96">
        <f t="shared" si="32"/>
        <v>1</v>
      </c>
      <c r="R569" s="96">
        <f t="shared" si="33"/>
        <v>0</v>
      </c>
      <c r="S569" s="96">
        <f t="shared" si="34"/>
        <v>0</v>
      </c>
    </row>
    <row r="570" spans="1:19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25.322679320433597</v>
      </c>
      <c r="H570">
        <v>9.765625E-4</v>
      </c>
      <c r="I570">
        <v>-0.42994872969057241</v>
      </c>
      <c r="J570">
        <v>-4.1987180633844962E-4</v>
      </c>
      <c r="L570" s="101"/>
      <c r="M570" s="101">
        <v>17.616075660264386</v>
      </c>
      <c r="N570" s="96">
        <v>1.953125E-3</v>
      </c>
      <c r="O570" s="96">
        <f t="shared" si="35"/>
        <v>0.7958984375</v>
      </c>
      <c r="Q570" s="96">
        <f t="shared" si="32"/>
        <v>1</v>
      </c>
      <c r="R570" s="96">
        <f t="shared" si="33"/>
        <v>0</v>
      </c>
      <c r="S570" s="96">
        <f t="shared" si="34"/>
        <v>0</v>
      </c>
    </row>
    <row r="571" spans="1:19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37.984018980650426</v>
      </c>
      <c r="H571">
        <v>4.8828125E-4</v>
      </c>
      <c r="I571">
        <v>-0.28191942776292866</v>
      </c>
      <c r="J571">
        <v>-1.3765597058736751E-4</v>
      </c>
      <c r="L571" s="101"/>
      <c r="M571" s="101">
        <v>17.616075660264386</v>
      </c>
      <c r="N571" s="96">
        <v>9.765625E-4</v>
      </c>
      <c r="O571" s="96">
        <f t="shared" si="35"/>
        <v>0.796875</v>
      </c>
      <c r="Q571" s="96">
        <f t="shared" si="32"/>
        <v>1</v>
      </c>
      <c r="R571" s="96">
        <f t="shared" si="33"/>
        <v>0</v>
      </c>
      <c r="S571" s="96">
        <f t="shared" si="34"/>
        <v>0</v>
      </c>
    </row>
    <row r="572" spans="1:19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4.2204465534056137</v>
      </c>
      <c r="H572">
        <v>9.765625E-4</v>
      </c>
      <c r="I572">
        <v>-0.86876592461401236</v>
      </c>
      <c r="J572">
        <v>-8.4840422325587145E-4</v>
      </c>
      <c r="L572" s="101"/>
      <c r="M572" s="101">
        <v>18.060762421455756</v>
      </c>
      <c r="N572" s="96">
        <v>9.765625E-4</v>
      </c>
      <c r="O572" s="96">
        <f t="shared" si="35"/>
        <v>0.7978515625</v>
      </c>
      <c r="Q572" s="96">
        <f t="shared" si="32"/>
        <v>1</v>
      </c>
      <c r="R572" s="96">
        <f t="shared" si="33"/>
        <v>0</v>
      </c>
      <c r="S572" s="96">
        <f t="shared" si="34"/>
        <v>0</v>
      </c>
    </row>
    <row r="573" spans="1:19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21.102232767028021</v>
      </c>
      <c r="H573">
        <v>1.953125E-3</v>
      </c>
      <c r="I573">
        <v>-0.49489594090789829</v>
      </c>
      <c r="J573">
        <v>-9.6659363458573885E-4</v>
      </c>
      <c r="L573" s="101"/>
      <c r="M573" s="101">
        <v>18.060762421455756</v>
      </c>
      <c r="N573" s="96">
        <v>1.953125E-3</v>
      </c>
      <c r="O573" s="96">
        <f t="shared" si="35"/>
        <v>0.7998046875</v>
      </c>
      <c r="Q573" s="96">
        <f t="shared" si="32"/>
        <v>1</v>
      </c>
      <c r="R573" s="96">
        <f t="shared" si="33"/>
        <v>0</v>
      </c>
      <c r="S573" s="96">
        <f t="shared" si="34"/>
        <v>0</v>
      </c>
    </row>
    <row r="574" spans="1:19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33.76357242724481</v>
      </c>
      <c r="H574">
        <v>9.765625E-4</v>
      </c>
      <c r="I574">
        <v>-0.32450562317828457</v>
      </c>
      <c r="J574">
        <v>-3.1690002263504353E-4</v>
      </c>
      <c r="L574" s="101"/>
      <c r="M574" s="101">
        <v>18.060762421455756</v>
      </c>
      <c r="N574" s="96">
        <v>9.765625E-4</v>
      </c>
      <c r="O574" s="96">
        <f t="shared" si="35"/>
        <v>0.80078125</v>
      </c>
      <c r="Q574" s="96">
        <f t="shared" si="32"/>
        <v>1</v>
      </c>
      <c r="R574" s="96">
        <f t="shared" si="33"/>
        <v>0</v>
      </c>
      <c r="S574" s="96">
        <f t="shared" si="34"/>
        <v>0</v>
      </c>
    </row>
    <row r="575" spans="1:19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0</v>
      </c>
      <c r="H575">
        <v>4.8828125E-4</v>
      </c>
      <c r="I575">
        <v>-1</v>
      </c>
      <c r="J575">
        <v>-4.8828125E-4</v>
      </c>
      <c r="L575" s="101"/>
      <c r="M575" s="101">
        <v>18.349767623502622</v>
      </c>
      <c r="N575" s="96">
        <v>1.953125E-3</v>
      </c>
      <c r="O575" s="96">
        <f t="shared" si="35"/>
        <v>0.802734375</v>
      </c>
      <c r="Q575" s="96">
        <f t="shared" si="32"/>
        <v>1</v>
      </c>
      <c r="R575" s="96">
        <f t="shared" si="33"/>
        <v>0</v>
      </c>
      <c r="S575" s="96">
        <f t="shared" si="34"/>
        <v>0</v>
      </c>
    </row>
    <row r="576" spans="1:19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16.881786213622405</v>
      </c>
      <c r="H576">
        <v>9.765625E-4</v>
      </c>
      <c r="I576">
        <v>-0.56965395037538757</v>
      </c>
      <c r="J576">
        <v>-5.5630268591346443E-4</v>
      </c>
      <c r="L576" s="101"/>
      <c r="M576" s="101">
        <v>18.349767623502622</v>
      </c>
      <c r="N576" s="96">
        <v>3.90625E-3</v>
      </c>
      <c r="O576" s="96">
        <f t="shared" si="35"/>
        <v>0.806640625</v>
      </c>
      <c r="Q576" s="96">
        <f t="shared" si="32"/>
        <v>1</v>
      </c>
      <c r="R576" s="96">
        <f t="shared" si="33"/>
        <v>0</v>
      </c>
      <c r="S576" s="96">
        <f t="shared" si="34"/>
        <v>0</v>
      </c>
    </row>
    <row r="577" spans="1:19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29.543125873839223</v>
      </c>
      <c r="H577">
        <v>4.8828125E-4</v>
      </c>
      <c r="I577">
        <v>-0.37352480568625002</v>
      </c>
      <c r="J577">
        <v>-1.8238515902648927E-4</v>
      </c>
      <c r="L577" s="101"/>
      <c r="M577" s="101">
        <v>18.349767623502622</v>
      </c>
      <c r="N577" s="96">
        <v>1.953125E-3</v>
      </c>
      <c r="O577" s="96">
        <f t="shared" si="35"/>
        <v>0.80859375</v>
      </c>
      <c r="Q577" s="96">
        <f t="shared" si="32"/>
        <v>1</v>
      </c>
      <c r="R577" s="96">
        <f t="shared" si="33"/>
        <v>0</v>
      </c>
      <c r="S577" s="96">
        <f t="shared" si="34"/>
        <v>0</v>
      </c>
    </row>
    <row r="578" spans="1:19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8.4408931068112061</v>
      </c>
      <c r="H578">
        <v>9.765625E-4</v>
      </c>
      <c r="I578">
        <v>-0.75475423177044032</v>
      </c>
      <c r="J578">
        <v>-7.3706467946332063E-4</v>
      </c>
      <c r="L578" s="101"/>
      <c r="M578" s="101">
        <v>18.472906512391507</v>
      </c>
      <c r="N578" s="96">
        <v>9.765625E-4</v>
      </c>
      <c r="O578" s="96">
        <f t="shared" si="35"/>
        <v>0.8095703125</v>
      </c>
      <c r="Q578" s="96">
        <f t="shared" si="32"/>
        <v>1</v>
      </c>
      <c r="R578" s="96">
        <f t="shared" si="33"/>
        <v>0</v>
      </c>
      <c r="S578" s="96">
        <f t="shared" si="34"/>
        <v>0</v>
      </c>
    </row>
    <row r="579" spans="1:19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25.322679320433597</v>
      </c>
      <c r="H579">
        <v>1.953125E-3</v>
      </c>
      <c r="I579">
        <v>-0.42994872969057241</v>
      </c>
      <c r="J579">
        <v>-8.3974361267689923E-4</v>
      </c>
      <c r="L579" s="101"/>
      <c r="M579" s="101">
        <v>18.472906512391507</v>
      </c>
      <c r="N579" s="96">
        <v>1.953125E-3</v>
      </c>
      <c r="O579" s="96">
        <f t="shared" si="35"/>
        <v>0.8115234375</v>
      </c>
      <c r="Q579" s="96">
        <f t="shared" ref="Q579:Q642" si="36">IF(A579=3,1,0)</f>
        <v>1</v>
      </c>
      <c r="R579" s="96">
        <f t="shared" ref="R579:R642" si="37">IF(A579=2,1,0)</f>
        <v>0</v>
      </c>
      <c r="S579" s="96">
        <f t="shared" ref="S579:S642" si="38">IF(A579=1,1,0)</f>
        <v>0</v>
      </c>
    </row>
    <row r="580" spans="1:19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37.984018980650426</v>
      </c>
      <c r="H580">
        <v>9.765625E-4</v>
      </c>
      <c r="I580">
        <v>-0.28191942776292866</v>
      </c>
      <c r="J580">
        <v>-2.7531194117473502E-4</v>
      </c>
      <c r="L580" s="101"/>
      <c r="M580" s="101">
        <v>18.472906512391507</v>
      </c>
      <c r="N580" s="96">
        <v>9.765625E-4</v>
      </c>
      <c r="O580" s="96">
        <f t="shared" ref="O580:O643" si="39">N580+O579</f>
        <v>0.8125</v>
      </c>
      <c r="Q580" s="96">
        <f t="shared" si="36"/>
        <v>1</v>
      </c>
      <c r="R580" s="96">
        <f t="shared" si="37"/>
        <v>0</v>
      </c>
      <c r="S580" s="96">
        <f t="shared" si="38"/>
        <v>0</v>
      </c>
    </row>
    <row r="581" spans="1:19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4.2204465534056137</v>
      </c>
      <c r="H581">
        <v>1.953125E-3</v>
      </c>
      <c r="I581">
        <v>-0.86876592461401236</v>
      </c>
      <c r="J581">
        <v>-1.6968084465117429E-3</v>
      </c>
      <c r="L581" s="101"/>
      <c r="M581" s="101">
        <v>18.63011642910806</v>
      </c>
      <c r="N581" s="96">
        <v>2.44140625E-4</v>
      </c>
      <c r="O581" s="96">
        <f t="shared" si="39"/>
        <v>0.812744140625</v>
      </c>
      <c r="Q581" s="96">
        <f t="shared" si="36"/>
        <v>1</v>
      </c>
      <c r="R581" s="96">
        <f t="shared" si="37"/>
        <v>0</v>
      </c>
      <c r="S581" s="96">
        <f t="shared" si="38"/>
        <v>0</v>
      </c>
    </row>
    <row r="582" spans="1:19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21.102232767028021</v>
      </c>
      <c r="H582">
        <v>3.90625E-3</v>
      </c>
      <c r="I582">
        <v>-0.49489594090789829</v>
      </c>
      <c r="J582">
        <v>-1.9331872691714777E-3</v>
      </c>
      <c r="L582" s="101"/>
      <c r="M582" s="101">
        <v>18.63011642910806</v>
      </c>
      <c r="N582" s="96">
        <v>4.8828125E-4</v>
      </c>
      <c r="O582" s="96">
        <f t="shared" si="39"/>
        <v>0.813232421875</v>
      </c>
      <c r="Q582" s="96">
        <f t="shared" si="36"/>
        <v>1</v>
      </c>
      <c r="R582" s="96">
        <f t="shared" si="37"/>
        <v>0</v>
      </c>
      <c r="S582" s="96">
        <f t="shared" si="38"/>
        <v>0</v>
      </c>
    </row>
    <row r="583" spans="1:19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33.76357242724481</v>
      </c>
      <c r="H583">
        <v>1.953125E-3</v>
      </c>
      <c r="I583">
        <v>-0.32450562317828457</v>
      </c>
      <c r="J583">
        <v>-6.3380004527008706E-4</v>
      </c>
      <c r="L583" s="101"/>
      <c r="M583" s="101">
        <v>18.63011642910806</v>
      </c>
      <c r="N583" s="96">
        <v>2.44140625E-4</v>
      </c>
      <c r="O583" s="96">
        <f t="shared" si="39"/>
        <v>0.8134765625</v>
      </c>
      <c r="Q583" s="96">
        <f t="shared" si="36"/>
        <v>1</v>
      </c>
      <c r="R583" s="96">
        <f t="shared" si="37"/>
        <v>0</v>
      </c>
      <c r="S583" s="96">
        <f t="shared" si="38"/>
        <v>0</v>
      </c>
    </row>
    <row r="584" spans="1:19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0</v>
      </c>
      <c r="H584">
        <v>9.765625E-4</v>
      </c>
      <c r="I584">
        <v>-1</v>
      </c>
      <c r="J584">
        <v>-9.765625E-4</v>
      </c>
      <c r="L584" s="101"/>
      <c r="M584" s="101">
        <v>18.736020607903523</v>
      </c>
      <c r="N584" s="96">
        <v>9.765625E-4</v>
      </c>
      <c r="O584" s="96">
        <f t="shared" si="39"/>
        <v>0.814453125</v>
      </c>
      <c r="Q584" s="96">
        <f t="shared" si="36"/>
        <v>1</v>
      </c>
      <c r="R584" s="96">
        <f t="shared" si="37"/>
        <v>0</v>
      </c>
      <c r="S584" s="96">
        <f t="shared" si="38"/>
        <v>0</v>
      </c>
    </row>
    <row r="585" spans="1:19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16.881786213622405</v>
      </c>
      <c r="H585">
        <v>1.953125E-3</v>
      </c>
      <c r="I585">
        <v>-0.56965395037538757</v>
      </c>
      <c r="J585">
        <v>-1.1126053718269289E-3</v>
      </c>
      <c r="L585" s="101"/>
      <c r="M585" s="101">
        <v>18.736020607903523</v>
      </c>
      <c r="N585" s="96">
        <v>1.953125E-3</v>
      </c>
      <c r="O585" s="96">
        <f t="shared" si="39"/>
        <v>0.81640625</v>
      </c>
      <c r="Q585" s="96">
        <f t="shared" si="36"/>
        <v>1</v>
      </c>
      <c r="R585" s="96">
        <f t="shared" si="37"/>
        <v>0</v>
      </c>
      <c r="S585" s="96">
        <f t="shared" si="38"/>
        <v>0</v>
      </c>
    </row>
    <row r="586" spans="1:19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29.543125873839223</v>
      </c>
      <c r="H586">
        <v>9.765625E-4</v>
      </c>
      <c r="I586">
        <v>-0.37352480568625002</v>
      </c>
      <c r="J586">
        <v>-3.6477031805297853E-4</v>
      </c>
      <c r="L586" s="101"/>
      <c r="M586" s="101">
        <v>18.736020607903523</v>
      </c>
      <c r="N586" s="96">
        <v>9.765625E-4</v>
      </c>
      <c r="O586" s="96">
        <f t="shared" si="39"/>
        <v>0.8173828125</v>
      </c>
      <c r="Q586" s="96">
        <f t="shared" si="36"/>
        <v>1</v>
      </c>
      <c r="R586" s="96">
        <f t="shared" si="37"/>
        <v>0</v>
      </c>
      <c r="S586" s="96">
        <f t="shared" si="38"/>
        <v>0</v>
      </c>
    </row>
    <row r="587" spans="1:19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8.4408931068112061</v>
      </c>
      <c r="H587">
        <v>4.8828125E-4</v>
      </c>
      <c r="I587">
        <v>-0.75475423177044032</v>
      </c>
      <c r="J587">
        <v>-3.6853233973166031E-4</v>
      </c>
      <c r="L587" s="101"/>
      <c r="M587" s="101">
        <v>18.909588111666647</v>
      </c>
      <c r="N587" s="96">
        <v>4.8828125E-4</v>
      </c>
      <c r="O587" s="96">
        <f t="shared" si="39"/>
        <v>0.81787109375</v>
      </c>
      <c r="Q587" s="96">
        <f t="shared" si="36"/>
        <v>1</v>
      </c>
      <c r="R587" s="96">
        <f t="shared" si="37"/>
        <v>0</v>
      </c>
      <c r="S587" s="96">
        <f t="shared" si="38"/>
        <v>0</v>
      </c>
    </row>
    <row r="588" spans="1:19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25.322679320433597</v>
      </c>
      <c r="H588">
        <v>9.765625E-4</v>
      </c>
      <c r="I588">
        <v>-0.42994872969057241</v>
      </c>
      <c r="J588">
        <v>-4.1987180633844962E-4</v>
      </c>
      <c r="L588" s="101"/>
      <c r="M588" s="101">
        <v>18.909588111666647</v>
      </c>
      <c r="N588" s="96">
        <v>9.765625E-4</v>
      </c>
      <c r="O588" s="96">
        <f t="shared" si="39"/>
        <v>0.81884765625</v>
      </c>
      <c r="Q588" s="96">
        <f t="shared" si="36"/>
        <v>1</v>
      </c>
      <c r="R588" s="96">
        <f t="shared" si="37"/>
        <v>0</v>
      </c>
      <c r="S588" s="96">
        <f t="shared" si="38"/>
        <v>0</v>
      </c>
    </row>
    <row r="589" spans="1:19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37.984018980650426</v>
      </c>
      <c r="H589">
        <v>4.8828125E-4</v>
      </c>
      <c r="I589">
        <v>-0.28191942776292866</v>
      </c>
      <c r="J589">
        <v>-1.3765597058736751E-4</v>
      </c>
      <c r="L589" s="101"/>
      <c r="M589" s="101">
        <v>18.909588111666647</v>
      </c>
      <c r="N589" s="96">
        <v>4.8828125E-4</v>
      </c>
      <c r="O589" s="96">
        <f t="shared" si="39"/>
        <v>0.8193359375</v>
      </c>
      <c r="Q589" s="96">
        <f t="shared" si="36"/>
        <v>1</v>
      </c>
      <c r="R589" s="96">
        <f t="shared" si="37"/>
        <v>0</v>
      </c>
      <c r="S589" s="96">
        <f t="shared" si="38"/>
        <v>0</v>
      </c>
    </row>
    <row r="590" spans="1:19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4.2204465534056137</v>
      </c>
      <c r="H590">
        <v>9.765625E-4</v>
      </c>
      <c r="I590">
        <v>-0.86876592461401236</v>
      </c>
      <c r="J590">
        <v>-8.4840422325587145E-4</v>
      </c>
      <c r="L590" s="101"/>
      <c r="M590" s="101">
        <v>19.033417760409929</v>
      </c>
      <c r="N590" s="96">
        <v>3.90625E-3</v>
      </c>
      <c r="O590" s="96">
        <f t="shared" si="39"/>
        <v>0.8232421875</v>
      </c>
      <c r="Q590" s="96">
        <f t="shared" si="36"/>
        <v>1</v>
      </c>
      <c r="R590" s="96">
        <f t="shared" si="37"/>
        <v>0</v>
      </c>
      <c r="S590" s="96">
        <f t="shared" si="38"/>
        <v>0</v>
      </c>
    </row>
    <row r="591" spans="1:19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21.102232767028021</v>
      </c>
      <c r="H591">
        <v>1.953125E-3</v>
      </c>
      <c r="I591">
        <v>-0.49489594090789829</v>
      </c>
      <c r="J591">
        <v>-9.6659363458573885E-4</v>
      </c>
      <c r="L591" s="101"/>
      <c r="M591" s="101">
        <v>19.033417760409929</v>
      </c>
      <c r="N591" s="96">
        <v>7.8125E-3</v>
      </c>
      <c r="O591" s="96">
        <f t="shared" si="39"/>
        <v>0.8310546875</v>
      </c>
      <c r="Q591" s="96">
        <f t="shared" si="36"/>
        <v>1</v>
      </c>
      <c r="R591" s="96">
        <f t="shared" si="37"/>
        <v>0</v>
      </c>
      <c r="S591" s="96">
        <f t="shared" si="38"/>
        <v>0</v>
      </c>
    </row>
    <row r="592" spans="1:19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33.76357242724481</v>
      </c>
      <c r="H592">
        <v>9.765625E-4</v>
      </c>
      <c r="I592">
        <v>-0.32450562317828457</v>
      </c>
      <c r="J592">
        <v>-3.1690002263504353E-4</v>
      </c>
      <c r="L592" s="101"/>
      <c r="M592" s="101">
        <v>19.033417760409929</v>
      </c>
      <c r="N592" s="96">
        <v>3.90625E-3</v>
      </c>
      <c r="O592" s="96">
        <f t="shared" si="39"/>
        <v>0.8349609375</v>
      </c>
      <c r="Q592" s="96">
        <f t="shared" si="36"/>
        <v>1</v>
      </c>
      <c r="R592" s="96">
        <f t="shared" si="37"/>
        <v>0</v>
      </c>
      <c r="S592" s="96">
        <f t="shared" si="38"/>
        <v>0</v>
      </c>
    </row>
    <row r="593" spans="1:19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0</v>
      </c>
      <c r="H593">
        <v>4.8828125E-4</v>
      </c>
      <c r="I593">
        <v>-1</v>
      </c>
      <c r="J593">
        <v>-4.8828125E-4</v>
      </c>
      <c r="L593" s="101"/>
      <c r="M593" s="101">
        <v>19.09554964510756</v>
      </c>
      <c r="N593" s="96">
        <v>3.90625E-3</v>
      </c>
      <c r="O593" s="96">
        <f t="shared" si="39"/>
        <v>0.8388671875</v>
      </c>
      <c r="Q593" s="96">
        <f t="shared" si="36"/>
        <v>1</v>
      </c>
      <c r="R593" s="96">
        <f t="shared" si="37"/>
        <v>0</v>
      </c>
      <c r="S593" s="96">
        <f t="shared" si="38"/>
        <v>0</v>
      </c>
    </row>
    <row r="594" spans="1:19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16.881786213622405</v>
      </c>
      <c r="H594">
        <v>9.765625E-4</v>
      </c>
      <c r="I594">
        <v>-0.56965395037538757</v>
      </c>
      <c r="J594">
        <v>-5.5630268591346443E-4</v>
      </c>
      <c r="L594" s="101"/>
      <c r="M594" s="101">
        <v>19.09554964510756</v>
      </c>
      <c r="N594" s="96">
        <v>7.8125E-3</v>
      </c>
      <c r="O594" s="96">
        <f t="shared" si="39"/>
        <v>0.8466796875</v>
      </c>
      <c r="Q594" s="96">
        <f t="shared" si="36"/>
        <v>1</v>
      </c>
      <c r="R594" s="96">
        <f t="shared" si="37"/>
        <v>0</v>
      </c>
      <c r="S594" s="96">
        <f t="shared" si="38"/>
        <v>0</v>
      </c>
    </row>
    <row r="595" spans="1:19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29.543125873839223</v>
      </c>
      <c r="H595">
        <v>4.8828125E-4</v>
      </c>
      <c r="I595">
        <v>-0.37352480568625002</v>
      </c>
      <c r="J595">
        <v>-1.8238515902648927E-4</v>
      </c>
      <c r="L595" s="101"/>
      <c r="M595" s="101">
        <v>19.09554964510756</v>
      </c>
      <c r="N595" s="96">
        <v>3.90625E-3</v>
      </c>
      <c r="O595" s="96">
        <f t="shared" si="39"/>
        <v>0.8505859375</v>
      </c>
      <c r="Q595" s="96">
        <f t="shared" si="36"/>
        <v>1</v>
      </c>
      <c r="R595" s="96">
        <f t="shared" si="37"/>
        <v>0</v>
      </c>
      <c r="S595" s="96">
        <f t="shared" si="38"/>
        <v>0</v>
      </c>
    </row>
    <row r="596" spans="1:19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8.783952836749469</v>
      </c>
      <c r="H596">
        <v>9.765625E-4</v>
      </c>
      <c r="I596">
        <v>-0.74617253310994702</v>
      </c>
      <c r="J596">
        <v>-7.2868411436518264E-4</v>
      </c>
      <c r="L596" s="101"/>
      <c r="M596" s="101">
        <v>19.09554964510756</v>
      </c>
      <c r="N596" s="96">
        <v>1.953125E-3</v>
      </c>
      <c r="O596" s="96">
        <f t="shared" si="39"/>
        <v>0.8525390625</v>
      </c>
      <c r="Q596" s="96">
        <f t="shared" si="36"/>
        <v>1</v>
      </c>
      <c r="R596" s="96">
        <f t="shared" si="37"/>
        <v>0</v>
      </c>
      <c r="S596" s="96">
        <f t="shared" si="38"/>
        <v>0</v>
      </c>
    </row>
    <row r="597" spans="1:19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26.351858510248409</v>
      </c>
      <c r="H597">
        <v>1.953125E-3</v>
      </c>
      <c r="I597">
        <v>-0.4154490549338361</v>
      </c>
      <c r="J597">
        <v>-8.1142393541764864E-4</v>
      </c>
      <c r="L597" s="101"/>
      <c r="M597" s="101">
        <v>19.09554964510756</v>
      </c>
      <c r="N597" s="96">
        <v>3.90625E-3</v>
      </c>
      <c r="O597" s="96">
        <f t="shared" si="39"/>
        <v>0.8564453125</v>
      </c>
      <c r="Q597" s="96">
        <f t="shared" si="36"/>
        <v>1</v>
      </c>
      <c r="R597" s="96">
        <f t="shared" si="37"/>
        <v>0</v>
      </c>
      <c r="S597" s="96">
        <f t="shared" si="38"/>
        <v>0</v>
      </c>
    </row>
    <row r="598" spans="1:19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39.527787765372643</v>
      </c>
      <c r="H598">
        <v>9.765625E-4</v>
      </c>
      <c r="I598">
        <v>-0.26777909104923975</v>
      </c>
      <c r="J598">
        <v>-2.6150301860277319E-4</v>
      </c>
      <c r="L598" s="101"/>
      <c r="M598" s="101">
        <v>19.09554964510756</v>
      </c>
      <c r="N598" s="96">
        <v>1.953125E-3</v>
      </c>
      <c r="O598" s="96">
        <f t="shared" si="39"/>
        <v>0.8583984375</v>
      </c>
      <c r="Q598" s="96">
        <f t="shared" si="36"/>
        <v>1</v>
      </c>
      <c r="R598" s="96">
        <f t="shared" si="37"/>
        <v>0</v>
      </c>
      <c r="S598" s="96">
        <f t="shared" si="38"/>
        <v>0</v>
      </c>
    </row>
    <row r="599" spans="1:19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4.3919764183747665</v>
      </c>
      <c r="H599">
        <v>1.953125E-3</v>
      </c>
      <c r="I599">
        <v>-0.86381278823014962</v>
      </c>
      <c r="J599">
        <v>-1.687134352012011E-3</v>
      </c>
      <c r="L599" s="101"/>
      <c r="M599" s="101">
        <v>19.09554964510756</v>
      </c>
      <c r="N599" s="96">
        <v>1.953125E-3</v>
      </c>
      <c r="O599" s="96">
        <f t="shared" si="39"/>
        <v>0.8603515625</v>
      </c>
      <c r="Q599" s="96">
        <f t="shared" si="36"/>
        <v>1</v>
      </c>
      <c r="R599" s="96">
        <f t="shared" si="37"/>
        <v>0</v>
      </c>
      <c r="S599" s="96">
        <f t="shared" si="38"/>
        <v>0</v>
      </c>
    </row>
    <row r="600" spans="1:19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21.959882091873702</v>
      </c>
      <c r="H600">
        <v>3.90625E-3</v>
      </c>
      <c r="I600">
        <v>-0.48094802553808136</v>
      </c>
      <c r="J600">
        <v>-1.8787032247581303E-3</v>
      </c>
      <c r="L600" s="101"/>
      <c r="M600" s="101">
        <v>19.09554964510756</v>
      </c>
      <c r="N600" s="96">
        <v>3.90625E-3</v>
      </c>
      <c r="O600" s="96">
        <f t="shared" si="39"/>
        <v>0.8642578125</v>
      </c>
      <c r="Q600" s="96">
        <f t="shared" si="36"/>
        <v>1</v>
      </c>
      <c r="R600" s="96">
        <f t="shared" si="37"/>
        <v>0</v>
      </c>
      <c r="S600" s="96">
        <f t="shared" si="38"/>
        <v>0</v>
      </c>
    </row>
    <row r="601" spans="1:19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35.135811346997876</v>
      </c>
      <c r="H601">
        <v>1.953125E-3</v>
      </c>
      <c r="I601">
        <v>-0.30999667369811401</v>
      </c>
      <c r="J601">
        <v>-6.0546225331662893E-4</v>
      </c>
      <c r="L601" s="101"/>
      <c r="M601" s="101">
        <v>19.09554964510756</v>
      </c>
      <c r="N601" s="96">
        <v>1.953125E-3</v>
      </c>
      <c r="O601" s="96">
        <f t="shared" si="39"/>
        <v>0.8662109375</v>
      </c>
      <c r="Q601" s="96">
        <f t="shared" si="36"/>
        <v>1</v>
      </c>
      <c r="R601" s="96">
        <f t="shared" si="37"/>
        <v>0</v>
      </c>
      <c r="S601" s="96">
        <f t="shared" si="38"/>
        <v>0</v>
      </c>
    </row>
    <row r="602" spans="1:19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0</v>
      </c>
      <c r="H602">
        <v>9.765625E-4</v>
      </c>
      <c r="I602">
        <v>-1</v>
      </c>
      <c r="J602">
        <v>-9.765625E-4</v>
      </c>
      <c r="L602" s="101"/>
      <c r="M602" s="101">
        <v>19.09554964510756</v>
      </c>
      <c r="N602" s="96">
        <v>9.765625E-4</v>
      </c>
      <c r="O602" s="96">
        <f t="shared" si="39"/>
        <v>0.8671875</v>
      </c>
      <c r="Q602" s="96">
        <f t="shared" si="36"/>
        <v>1</v>
      </c>
      <c r="R602" s="96">
        <f t="shared" si="37"/>
        <v>0</v>
      </c>
      <c r="S602" s="96">
        <f t="shared" si="38"/>
        <v>0</v>
      </c>
    </row>
    <row r="603" spans="1:19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17.567905673498938</v>
      </c>
      <c r="H603">
        <v>1.953125E-3</v>
      </c>
      <c r="I603">
        <v>-0.55677344916771487</v>
      </c>
      <c r="J603">
        <v>-1.0874481429056931E-3</v>
      </c>
      <c r="L603" s="101"/>
      <c r="M603" s="101">
        <v>19.09554964510756</v>
      </c>
      <c r="N603" s="96">
        <v>1.953125E-3</v>
      </c>
      <c r="O603" s="96">
        <f t="shared" si="39"/>
        <v>0.869140625</v>
      </c>
      <c r="Q603" s="96">
        <f t="shared" si="36"/>
        <v>1</v>
      </c>
      <c r="R603" s="96">
        <f t="shared" si="37"/>
        <v>0</v>
      </c>
      <c r="S603" s="96">
        <f t="shared" si="38"/>
        <v>0</v>
      </c>
    </row>
    <row r="604" spans="1:19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30.743834928623173</v>
      </c>
      <c r="H604">
        <v>9.765625E-4</v>
      </c>
      <c r="I604">
        <v>-0.35887020650997764</v>
      </c>
      <c r="J604">
        <v>-3.5045918604490004E-4</v>
      </c>
      <c r="L604" s="101"/>
      <c r="M604" s="101">
        <v>19.09554964510756</v>
      </c>
      <c r="N604" s="96">
        <v>9.765625E-4</v>
      </c>
      <c r="O604" s="96">
        <f t="shared" si="39"/>
        <v>0.8701171875</v>
      </c>
      <c r="Q604" s="96">
        <f t="shared" si="36"/>
        <v>1</v>
      </c>
      <c r="R604" s="96">
        <f t="shared" si="37"/>
        <v>0</v>
      </c>
      <c r="S604" s="96">
        <f t="shared" si="38"/>
        <v>0</v>
      </c>
    </row>
    <row r="605" spans="1:19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8.783952836749469</v>
      </c>
      <c r="H605">
        <v>1.953125E-3</v>
      </c>
      <c r="I605">
        <v>-0.74617253310994702</v>
      </c>
      <c r="J605">
        <v>-1.4573682287303653E-3</v>
      </c>
      <c r="L605" s="101"/>
      <c r="M605" s="101">
        <v>19.542149199938162</v>
      </c>
      <c r="N605" s="96">
        <v>9.765625E-4</v>
      </c>
      <c r="O605" s="96">
        <f t="shared" si="39"/>
        <v>0.87109375</v>
      </c>
      <c r="Q605" s="96">
        <f t="shared" si="36"/>
        <v>1</v>
      </c>
      <c r="R605" s="96">
        <f t="shared" si="37"/>
        <v>0</v>
      </c>
      <c r="S605" s="96">
        <f t="shared" si="38"/>
        <v>0</v>
      </c>
    </row>
    <row r="606" spans="1:19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26.351858510248409</v>
      </c>
      <c r="H606">
        <v>3.90625E-3</v>
      </c>
      <c r="I606">
        <v>-0.4154490549338361</v>
      </c>
      <c r="J606">
        <v>-1.6228478708352973E-3</v>
      </c>
      <c r="L606" s="101"/>
      <c r="M606" s="101">
        <v>19.542149199938162</v>
      </c>
      <c r="N606" s="96">
        <v>1.953125E-3</v>
      </c>
      <c r="O606" s="96">
        <f t="shared" si="39"/>
        <v>0.873046875</v>
      </c>
      <c r="Q606" s="96">
        <f t="shared" si="36"/>
        <v>1</v>
      </c>
      <c r="R606" s="96">
        <f t="shared" si="37"/>
        <v>0</v>
      </c>
      <c r="S606" s="96">
        <f t="shared" si="38"/>
        <v>0</v>
      </c>
    </row>
    <row r="607" spans="1:19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39.527787765372643</v>
      </c>
      <c r="H607">
        <v>1.953125E-3</v>
      </c>
      <c r="I607">
        <v>-0.26777909104923975</v>
      </c>
      <c r="J607">
        <v>-5.2300603720554638E-4</v>
      </c>
      <c r="L607" s="101"/>
      <c r="M607" s="101">
        <v>19.542149199938162</v>
      </c>
      <c r="N607" s="96">
        <v>9.765625E-4</v>
      </c>
      <c r="O607" s="96">
        <f t="shared" si="39"/>
        <v>0.8740234375</v>
      </c>
      <c r="Q607" s="96">
        <f t="shared" si="36"/>
        <v>1</v>
      </c>
      <c r="R607" s="96">
        <f t="shared" si="37"/>
        <v>0</v>
      </c>
      <c r="S607" s="96">
        <f t="shared" si="38"/>
        <v>0</v>
      </c>
    </row>
    <row r="608" spans="1:19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4.3919764183747665</v>
      </c>
      <c r="H608">
        <v>3.90625E-3</v>
      </c>
      <c r="I608">
        <v>-0.86381278823014962</v>
      </c>
      <c r="J608">
        <v>-3.374268704024022E-3</v>
      </c>
      <c r="L608" s="101"/>
      <c r="M608" s="101">
        <v>19.978289563643632</v>
      </c>
      <c r="N608" s="96">
        <v>4.8828125E-4</v>
      </c>
      <c r="O608" s="96">
        <f t="shared" si="39"/>
        <v>0.87451171875</v>
      </c>
      <c r="Q608" s="96">
        <f t="shared" si="36"/>
        <v>1</v>
      </c>
      <c r="R608" s="96">
        <f t="shared" si="37"/>
        <v>0</v>
      </c>
      <c r="S608" s="96">
        <f t="shared" si="38"/>
        <v>0</v>
      </c>
    </row>
    <row r="609" spans="1:19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21.959882091873702</v>
      </c>
      <c r="H609">
        <v>7.8125E-3</v>
      </c>
      <c r="I609">
        <v>-0.48094802553808136</v>
      </c>
      <c r="J609">
        <v>-3.7574064495162606E-3</v>
      </c>
      <c r="L609" s="101"/>
      <c r="M609" s="101">
        <v>19.978289563643632</v>
      </c>
      <c r="N609" s="96">
        <v>9.765625E-4</v>
      </c>
      <c r="O609" s="96">
        <f t="shared" si="39"/>
        <v>0.87548828125</v>
      </c>
      <c r="Q609" s="96">
        <f t="shared" si="36"/>
        <v>1</v>
      </c>
      <c r="R609" s="96">
        <f t="shared" si="37"/>
        <v>0</v>
      </c>
      <c r="S609" s="96">
        <f t="shared" si="38"/>
        <v>0</v>
      </c>
    </row>
    <row r="610" spans="1:19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35.135811346997876</v>
      </c>
      <c r="H610">
        <v>3.90625E-3</v>
      </c>
      <c r="I610">
        <v>-0.30999667369811401</v>
      </c>
      <c r="J610">
        <v>-1.2109245066332579E-3</v>
      </c>
      <c r="L610" s="101"/>
      <c r="M610" s="101">
        <v>19.978289563643632</v>
      </c>
      <c r="N610" s="96">
        <v>4.8828125E-4</v>
      </c>
      <c r="O610" s="96">
        <f t="shared" si="39"/>
        <v>0.8759765625</v>
      </c>
      <c r="Q610" s="96">
        <f t="shared" si="36"/>
        <v>1</v>
      </c>
      <c r="R610" s="96">
        <f t="shared" si="37"/>
        <v>0</v>
      </c>
      <c r="S610" s="96">
        <f t="shared" si="38"/>
        <v>0</v>
      </c>
    </row>
    <row r="611" spans="1:19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0</v>
      </c>
      <c r="H611">
        <v>1.953125E-3</v>
      </c>
      <c r="I611">
        <v>-1</v>
      </c>
      <c r="J611">
        <v>-1.953125E-3</v>
      </c>
      <c r="L611" s="101"/>
      <c r="M611" s="101">
        <v>20.640871338806591</v>
      </c>
      <c r="N611" s="96">
        <v>1.953125E-3</v>
      </c>
      <c r="O611" s="96">
        <f t="shared" si="39"/>
        <v>0.8779296875</v>
      </c>
      <c r="Q611" s="96">
        <f t="shared" si="36"/>
        <v>1</v>
      </c>
      <c r="R611" s="96">
        <f t="shared" si="37"/>
        <v>0</v>
      </c>
      <c r="S611" s="96">
        <f t="shared" si="38"/>
        <v>0</v>
      </c>
    </row>
    <row r="612" spans="1:19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17.567905673498938</v>
      </c>
      <c r="H612">
        <v>3.90625E-3</v>
      </c>
      <c r="I612">
        <v>-0.55677344916771487</v>
      </c>
      <c r="J612">
        <v>-2.1748962858113862E-3</v>
      </c>
      <c r="L612" s="101"/>
      <c r="M612" s="101">
        <v>20.640871338806591</v>
      </c>
      <c r="N612" s="96">
        <v>3.90625E-3</v>
      </c>
      <c r="O612" s="96">
        <f t="shared" si="39"/>
        <v>0.8818359375</v>
      </c>
      <c r="Q612" s="96">
        <f t="shared" si="36"/>
        <v>1</v>
      </c>
      <c r="R612" s="96">
        <f t="shared" si="37"/>
        <v>0</v>
      </c>
      <c r="S612" s="96">
        <f t="shared" si="38"/>
        <v>0</v>
      </c>
    </row>
    <row r="613" spans="1:19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30.743834928623173</v>
      </c>
      <c r="H613">
        <v>1.953125E-3</v>
      </c>
      <c r="I613">
        <v>-0.35887020650997764</v>
      </c>
      <c r="J613">
        <v>-7.0091837208980008E-4</v>
      </c>
      <c r="L613" s="101"/>
      <c r="M613" s="101">
        <v>20.640871338806591</v>
      </c>
      <c r="N613" s="96">
        <v>1.953125E-3</v>
      </c>
      <c r="O613" s="96">
        <f t="shared" si="39"/>
        <v>0.8837890625</v>
      </c>
      <c r="Q613" s="96">
        <f t="shared" si="36"/>
        <v>1</v>
      </c>
      <c r="R613" s="96">
        <f t="shared" si="37"/>
        <v>0</v>
      </c>
      <c r="S613" s="96">
        <f t="shared" si="38"/>
        <v>0</v>
      </c>
    </row>
    <row r="614" spans="1:19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8.783952836749469</v>
      </c>
      <c r="H614">
        <v>9.765625E-4</v>
      </c>
      <c r="I614">
        <v>-0.74617253310994702</v>
      </c>
      <c r="J614">
        <v>-7.2868411436518264E-4</v>
      </c>
      <c r="L614" s="101"/>
      <c r="M614" s="101">
        <v>21.139290792317265</v>
      </c>
      <c r="N614" s="96">
        <v>4.8828125E-4</v>
      </c>
      <c r="O614" s="96">
        <f t="shared" si="39"/>
        <v>0.88427734375</v>
      </c>
      <c r="Q614" s="96">
        <f t="shared" si="36"/>
        <v>1</v>
      </c>
      <c r="R614" s="96">
        <f t="shared" si="37"/>
        <v>0</v>
      </c>
      <c r="S614" s="96">
        <f t="shared" si="38"/>
        <v>0</v>
      </c>
    </row>
    <row r="615" spans="1:19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26.351858510248409</v>
      </c>
      <c r="H615">
        <v>1.953125E-3</v>
      </c>
      <c r="I615">
        <v>-0.4154490549338361</v>
      </c>
      <c r="J615">
        <v>-8.1142393541764864E-4</v>
      </c>
      <c r="L615" s="101"/>
      <c r="M615" s="101">
        <v>21.139290792317265</v>
      </c>
      <c r="N615" s="96">
        <v>9.765625E-4</v>
      </c>
      <c r="O615" s="96">
        <f t="shared" si="39"/>
        <v>0.88525390625</v>
      </c>
      <c r="Q615" s="96">
        <f t="shared" si="36"/>
        <v>1</v>
      </c>
      <c r="R615" s="96">
        <f t="shared" si="37"/>
        <v>0</v>
      </c>
      <c r="S615" s="96">
        <f t="shared" si="38"/>
        <v>0</v>
      </c>
    </row>
    <row r="616" spans="1:19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39.527787765372643</v>
      </c>
      <c r="H616">
        <v>9.765625E-4</v>
      </c>
      <c r="I616">
        <v>-0.26777909104923975</v>
      </c>
      <c r="J616">
        <v>-2.6150301860277319E-4</v>
      </c>
      <c r="L616" s="101"/>
      <c r="M616" s="101">
        <v>21.139290792317265</v>
      </c>
      <c r="N616" s="96">
        <v>4.8828125E-4</v>
      </c>
      <c r="O616" s="96">
        <f t="shared" si="39"/>
        <v>0.8857421875</v>
      </c>
      <c r="Q616" s="96">
        <f t="shared" si="36"/>
        <v>1</v>
      </c>
      <c r="R616" s="96">
        <f t="shared" si="37"/>
        <v>0</v>
      </c>
      <c r="S616" s="96">
        <f t="shared" si="38"/>
        <v>0</v>
      </c>
    </row>
    <row r="617" spans="1:19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4.3919764183747665</v>
      </c>
      <c r="H617">
        <v>1.953125E-3</v>
      </c>
      <c r="I617">
        <v>-0.86381278823014962</v>
      </c>
      <c r="J617">
        <v>-1.687134352012011E-3</v>
      </c>
      <c r="L617" s="101"/>
      <c r="M617" s="101">
        <v>21.291561633266344</v>
      </c>
      <c r="N617" s="96">
        <v>4.8828125E-4</v>
      </c>
      <c r="O617" s="96">
        <f t="shared" si="39"/>
        <v>0.88623046875</v>
      </c>
      <c r="Q617" s="96">
        <f t="shared" si="36"/>
        <v>1</v>
      </c>
      <c r="R617" s="96">
        <f t="shared" si="37"/>
        <v>0</v>
      </c>
      <c r="S617" s="96">
        <f t="shared" si="38"/>
        <v>0</v>
      </c>
    </row>
    <row r="618" spans="1:19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21.959882091873702</v>
      </c>
      <c r="H618">
        <v>3.90625E-3</v>
      </c>
      <c r="I618">
        <v>-0.48094802553808136</v>
      </c>
      <c r="J618">
        <v>-1.8787032247581303E-3</v>
      </c>
      <c r="L618" s="101"/>
      <c r="M618" s="101">
        <v>21.291561633266344</v>
      </c>
      <c r="N618" s="96">
        <v>9.765625E-4</v>
      </c>
      <c r="O618" s="96">
        <f t="shared" si="39"/>
        <v>0.88720703125</v>
      </c>
      <c r="Q618" s="96">
        <f t="shared" si="36"/>
        <v>1</v>
      </c>
      <c r="R618" s="96">
        <f t="shared" si="37"/>
        <v>0</v>
      </c>
      <c r="S618" s="96">
        <f t="shared" si="38"/>
        <v>0</v>
      </c>
    </row>
    <row r="619" spans="1:19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35.135811346997876</v>
      </c>
      <c r="H619">
        <v>1.953125E-3</v>
      </c>
      <c r="I619">
        <v>-0.30999667369811401</v>
      </c>
      <c r="J619">
        <v>-6.0546225331662893E-4</v>
      </c>
      <c r="L619" s="101"/>
      <c r="M619" s="101">
        <v>21.291561633266344</v>
      </c>
      <c r="N619" s="96">
        <v>4.8828125E-4</v>
      </c>
      <c r="O619" s="96">
        <f t="shared" si="39"/>
        <v>0.8876953125</v>
      </c>
      <c r="Q619" s="96">
        <f t="shared" si="36"/>
        <v>1</v>
      </c>
      <c r="R619" s="96">
        <f t="shared" si="37"/>
        <v>0</v>
      </c>
      <c r="S619" s="96">
        <f t="shared" si="38"/>
        <v>0</v>
      </c>
    </row>
    <row r="620" spans="1:19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0</v>
      </c>
      <c r="H620">
        <v>9.765625E-4</v>
      </c>
      <c r="I620">
        <v>-1</v>
      </c>
      <c r="J620">
        <v>-9.765625E-4</v>
      </c>
      <c r="L620" s="101"/>
      <c r="M620" s="101">
        <v>21.412594980461172</v>
      </c>
      <c r="N620" s="96">
        <v>1.953125E-3</v>
      </c>
      <c r="O620" s="96">
        <f t="shared" si="39"/>
        <v>0.8896484375</v>
      </c>
      <c r="Q620" s="96">
        <f t="shared" si="36"/>
        <v>1</v>
      </c>
      <c r="R620" s="96">
        <f t="shared" si="37"/>
        <v>0</v>
      </c>
      <c r="S620" s="96">
        <f t="shared" si="38"/>
        <v>0</v>
      </c>
    </row>
    <row r="621" spans="1:19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17.567905673498938</v>
      </c>
      <c r="H621">
        <v>1.953125E-3</v>
      </c>
      <c r="I621">
        <v>-0.55677344916771487</v>
      </c>
      <c r="J621">
        <v>-1.0874481429056931E-3</v>
      </c>
      <c r="L621" s="101"/>
      <c r="M621" s="101">
        <v>21.412594980461172</v>
      </c>
      <c r="N621" s="96">
        <v>3.90625E-3</v>
      </c>
      <c r="O621" s="96">
        <f t="shared" si="39"/>
        <v>0.8935546875</v>
      </c>
      <c r="Q621" s="96">
        <f t="shared" si="36"/>
        <v>1</v>
      </c>
      <c r="R621" s="96">
        <f t="shared" si="37"/>
        <v>0</v>
      </c>
      <c r="S621" s="96">
        <f t="shared" si="38"/>
        <v>0</v>
      </c>
    </row>
    <row r="622" spans="1:19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30.743834928623173</v>
      </c>
      <c r="H622">
        <v>9.765625E-4</v>
      </c>
      <c r="I622">
        <v>-0.35887020650997764</v>
      </c>
      <c r="J622">
        <v>-3.5045918604490004E-4</v>
      </c>
      <c r="L622" s="101"/>
      <c r="M622" s="101">
        <v>21.412594980461172</v>
      </c>
      <c r="N622" s="96">
        <v>1.953125E-3</v>
      </c>
      <c r="O622" s="96">
        <f t="shared" si="39"/>
        <v>0.8955078125</v>
      </c>
      <c r="Q622" s="96">
        <f t="shared" si="36"/>
        <v>1</v>
      </c>
      <c r="R622" s="96">
        <f t="shared" si="37"/>
        <v>0</v>
      </c>
      <c r="S622" s="96">
        <f t="shared" si="38"/>
        <v>0</v>
      </c>
    </row>
    <row r="623" spans="1:19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8.783952836749469</v>
      </c>
      <c r="H623">
        <v>4.8828125E-4</v>
      </c>
      <c r="I623">
        <v>-0.74617253310994702</v>
      </c>
      <c r="J623">
        <v>-3.6434205718259132E-4</v>
      </c>
      <c r="L623" s="101"/>
      <c r="M623" s="101">
        <v>21.412594980461172</v>
      </c>
      <c r="N623" s="96">
        <v>1.953125E-3</v>
      </c>
      <c r="O623" s="96">
        <f t="shared" si="39"/>
        <v>0.8974609375</v>
      </c>
      <c r="Q623" s="96">
        <f t="shared" si="36"/>
        <v>1</v>
      </c>
      <c r="R623" s="96">
        <f t="shared" si="37"/>
        <v>0</v>
      </c>
      <c r="S623" s="96">
        <f t="shared" si="38"/>
        <v>0</v>
      </c>
    </row>
    <row r="624" spans="1:19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26.351858510248409</v>
      </c>
      <c r="H624">
        <v>9.765625E-4</v>
      </c>
      <c r="I624">
        <v>-0.4154490549338361</v>
      </c>
      <c r="J624">
        <v>-4.0571196770882432E-4</v>
      </c>
      <c r="L624" s="101"/>
      <c r="M624" s="101">
        <v>21.412594980461172</v>
      </c>
      <c r="N624" s="96">
        <v>3.90625E-3</v>
      </c>
      <c r="O624" s="96">
        <f t="shared" si="39"/>
        <v>0.9013671875</v>
      </c>
      <c r="Q624" s="96">
        <f t="shared" si="36"/>
        <v>1</v>
      </c>
      <c r="R624" s="96">
        <f t="shared" si="37"/>
        <v>0</v>
      </c>
      <c r="S624" s="96">
        <f t="shared" si="38"/>
        <v>0</v>
      </c>
    </row>
    <row r="625" spans="1:19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39.527787765372643</v>
      </c>
      <c r="H625">
        <v>4.8828125E-4</v>
      </c>
      <c r="I625">
        <v>-0.26777909104923975</v>
      </c>
      <c r="J625">
        <v>-1.307515093013866E-4</v>
      </c>
      <c r="L625" s="101"/>
      <c r="M625" s="101">
        <v>21.412594980461172</v>
      </c>
      <c r="N625" s="96">
        <v>1.953125E-3</v>
      </c>
      <c r="O625" s="96">
        <f t="shared" si="39"/>
        <v>0.9033203125</v>
      </c>
      <c r="Q625" s="96">
        <f t="shared" si="36"/>
        <v>1</v>
      </c>
      <c r="R625" s="96">
        <f t="shared" si="37"/>
        <v>0</v>
      </c>
      <c r="S625" s="96">
        <f t="shared" si="38"/>
        <v>0</v>
      </c>
    </row>
    <row r="626" spans="1:19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4.3919764183747665</v>
      </c>
      <c r="H626">
        <v>9.765625E-4</v>
      </c>
      <c r="I626">
        <v>-0.86381278823014962</v>
      </c>
      <c r="J626">
        <v>-8.4356717600600549E-4</v>
      </c>
      <c r="L626" s="101"/>
      <c r="M626" s="101">
        <v>22.019721148203125</v>
      </c>
      <c r="N626" s="96">
        <v>9.765625E-4</v>
      </c>
      <c r="O626" s="96">
        <f t="shared" si="39"/>
        <v>0.904296875</v>
      </c>
      <c r="Q626" s="96">
        <f t="shared" si="36"/>
        <v>1</v>
      </c>
      <c r="R626" s="96">
        <f t="shared" si="37"/>
        <v>0</v>
      </c>
      <c r="S626" s="96">
        <f t="shared" si="38"/>
        <v>0</v>
      </c>
    </row>
    <row r="627" spans="1:19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21.959882091873702</v>
      </c>
      <c r="H627">
        <v>1.953125E-3</v>
      </c>
      <c r="I627">
        <v>-0.48094802553808136</v>
      </c>
      <c r="J627">
        <v>-9.3935161237906515E-4</v>
      </c>
      <c r="L627" s="101"/>
      <c r="M627" s="101">
        <v>22.019721148203125</v>
      </c>
      <c r="N627" s="96">
        <v>1.953125E-3</v>
      </c>
      <c r="O627" s="96">
        <f t="shared" si="39"/>
        <v>0.90625</v>
      </c>
      <c r="Q627" s="96">
        <f t="shared" si="36"/>
        <v>1</v>
      </c>
      <c r="R627" s="96">
        <f t="shared" si="37"/>
        <v>0</v>
      </c>
      <c r="S627" s="96">
        <f t="shared" si="38"/>
        <v>0</v>
      </c>
    </row>
    <row r="628" spans="1:19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35.135811346997876</v>
      </c>
      <c r="H628">
        <v>9.765625E-4</v>
      </c>
      <c r="I628">
        <v>-0.30999667369811401</v>
      </c>
      <c r="J628">
        <v>-3.0273112665831446E-4</v>
      </c>
      <c r="L628" s="101"/>
      <c r="M628" s="101">
        <v>22.019721148203125</v>
      </c>
      <c r="N628" s="96">
        <v>9.765625E-4</v>
      </c>
      <c r="O628" s="96">
        <f t="shared" si="39"/>
        <v>0.9072265625</v>
      </c>
      <c r="Q628" s="96">
        <f t="shared" si="36"/>
        <v>1</v>
      </c>
      <c r="R628" s="96">
        <f t="shared" si="37"/>
        <v>0</v>
      </c>
      <c r="S628" s="96">
        <f t="shared" si="38"/>
        <v>0</v>
      </c>
    </row>
    <row r="629" spans="1:19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0</v>
      </c>
      <c r="H629">
        <v>4.8828125E-4</v>
      </c>
      <c r="I629">
        <v>-1</v>
      </c>
      <c r="J629">
        <v>-4.8828125E-4</v>
      </c>
      <c r="L629" s="101"/>
      <c r="M629" s="101">
        <v>22.167487814869794</v>
      </c>
      <c r="N629" s="96">
        <v>4.8828125E-4</v>
      </c>
      <c r="O629" s="96">
        <f t="shared" si="39"/>
        <v>0.90771484375</v>
      </c>
      <c r="Q629" s="96">
        <f t="shared" si="36"/>
        <v>1</v>
      </c>
      <c r="R629" s="96">
        <f t="shared" si="37"/>
        <v>0</v>
      </c>
      <c r="S629" s="96">
        <f t="shared" si="38"/>
        <v>0</v>
      </c>
    </row>
    <row r="630" spans="1:19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17.567905673498938</v>
      </c>
      <c r="H630">
        <v>9.765625E-4</v>
      </c>
      <c r="I630">
        <v>-0.55677344916771487</v>
      </c>
      <c r="J630">
        <v>-5.4372407145284656E-4</v>
      </c>
      <c r="L630" s="101"/>
      <c r="M630" s="101">
        <v>22.167487814869794</v>
      </c>
      <c r="N630" s="96">
        <v>9.765625E-4</v>
      </c>
      <c r="O630" s="96">
        <f t="shared" si="39"/>
        <v>0.90869140625</v>
      </c>
      <c r="Q630" s="96">
        <f t="shared" si="36"/>
        <v>1</v>
      </c>
      <c r="R630" s="96">
        <f t="shared" si="37"/>
        <v>0</v>
      </c>
      <c r="S630" s="96">
        <f t="shared" si="38"/>
        <v>0</v>
      </c>
    </row>
    <row r="631" spans="1:19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30.743834928623173</v>
      </c>
      <c r="H631">
        <v>4.8828125E-4</v>
      </c>
      <c r="I631">
        <v>-0.35887020650997764</v>
      </c>
      <c r="J631">
        <v>-1.7522959302245002E-4</v>
      </c>
      <c r="L631" s="101"/>
      <c r="M631" s="101">
        <v>22.167487814869794</v>
      </c>
      <c r="N631" s="96">
        <v>4.8828125E-4</v>
      </c>
      <c r="O631" s="96">
        <f t="shared" si="39"/>
        <v>0.9091796875</v>
      </c>
      <c r="Q631" s="96">
        <f t="shared" si="36"/>
        <v>1</v>
      </c>
      <c r="R631" s="96">
        <f t="shared" si="37"/>
        <v>0</v>
      </c>
      <c r="S631" s="96">
        <f t="shared" si="38"/>
        <v>0</v>
      </c>
    </row>
    <row r="632" spans="1:19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8.783952836749469</v>
      </c>
      <c r="H632">
        <v>9.765625E-4</v>
      </c>
      <c r="I632">
        <v>-0.74617253310994702</v>
      </c>
      <c r="J632">
        <v>-7.2868411436518264E-4</v>
      </c>
      <c r="L632" s="101"/>
      <c r="M632" s="101">
        <v>22.799174066594546</v>
      </c>
      <c r="N632" s="96">
        <v>4.8828125E-4</v>
      </c>
      <c r="O632" s="96">
        <f t="shared" si="39"/>
        <v>0.90966796875</v>
      </c>
      <c r="Q632" s="96">
        <f t="shared" si="36"/>
        <v>1</v>
      </c>
      <c r="R632" s="96">
        <f t="shared" si="37"/>
        <v>0</v>
      </c>
      <c r="S632" s="96">
        <f t="shared" si="38"/>
        <v>0</v>
      </c>
    </row>
    <row r="633" spans="1:19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26.351858510248409</v>
      </c>
      <c r="H633">
        <v>1.953125E-3</v>
      </c>
      <c r="I633">
        <v>-0.4154490549338361</v>
      </c>
      <c r="J633">
        <v>-8.1142393541764864E-4</v>
      </c>
      <c r="L633" s="101"/>
      <c r="M633" s="101">
        <v>22.799174066594546</v>
      </c>
      <c r="N633" s="96">
        <v>9.765625E-4</v>
      </c>
      <c r="O633" s="96">
        <f t="shared" si="39"/>
        <v>0.91064453125</v>
      </c>
      <c r="Q633" s="96">
        <f t="shared" si="36"/>
        <v>1</v>
      </c>
      <c r="R633" s="96">
        <f t="shared" si="37"/>
        <v>0</v>
      </c>
      <c r="S633" s="96">
        <f t="shared" si="38"/>
        <v>0</v>
      </c>
    </row>
    <row r="634" spans="1:19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39.527787765372643</v>
      </c>
      <c r="H634">
        <v>9.765625E-4</v>
      </c>
      <c r="I634">
        <v>-0.26777909104923975</v>
      </c>
      <c r="J634">
        <v>-2.6150301860277319E-4</v>
      </c>
      <c r="L634" s="101"/>
      <c r="M634" s="101">
        <v>22.799174066594546</v>
      </c>
      <c r="N634" s="96">
        <v>4.8828125E-4</v>
      </c>
      <c r="O634" s="96">
        <f t="shared" si="39"/>
        <v>0.9111328125</v>
      </c>
      <c r="Q634" s="96">
        <f t="shared" si="36"/>
        <v>1</v>
      </c>
      <c r="R634" s="96">
        <f t="shared" si="37"/>
        <v>0</v>
      </c>
      <c r="S634" s="96">
        <f t="shared" si="38"/>
        <v>0</v>
      </c>
    </row>
    <row r="635" spans="1:19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4.3919764183747665</v>
      </c>
      <c r="H635">
        <v>1.953125E-3</v>
      </c>
      <c r="I635">
        <v>-0.86381278823014962</v>
      </c>
      <c r="J635">
        <v>-1.687134352012011E-3</v>
      </c>
      <c r="L635" s="101"/>
      <c r="M635" s="101">
        <v>22.832330929878431</v>
      </c>
      <c r="N635" s="96">
        <v>9.765625E-4</v>
      </c>
      <c r="O635" s="96">
        <f t="shared" si="39"/>
        <v>0.912109375</v>
      </c>
      <c r="Q635" s="96">
        <f t="shared" si="36"/>
        <v>1</v>
      </c>
      <c r="R635" s="96">
        <f t="shared" si="37"/>
        <v>0</v>
      </c>
      <c r="S635" s="96">
        <f t="shared" si="38"/>
        <v>0</v>
      </c>
    </row>
    <row r="636" spans="1:19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21.959882091873702</v>
      </c>
      <c r="H636">
        <v>3.90625E-3</v>
      </c>
      <c r="I636">
        <v>-0.48094802553808136</v>
      </c>
      <c r="J636">
        <v>-1.8787032247581303E-3</v>
      </c>
      <c r="L636" s="101"/>
      <c r="M636" s="101">
        <v>22.832330929878431</v>
      </c>
      <c r="N636" s="96">
        <v>1.953125E-3</v>
      </c>
      <c r="O636" s="96">
        <f t="shared" si="39"/>
        <v>0.9140625</v>
      </c>
      <c r="Q636" s="96">
        <f t="shared" si="36"/>
        <v>1</v>
      </c>
      <c r="R636" s="96">
        <f t="shared" si="37"/>
        <v>0</v>
      </c>
      <c r="S636" s="96">
        <f t="shared" si="38"/>
        <v>0</v>
      </c>
    </row>
    <row r="637" spans="1:19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35.135811346997876</v>
      </c>
      <c r="H637">
        <v>1.953125E-3</v>
      </c>
      <c r="I637">
        <v>-0.30999667369811401</v>
      </c>
      <c r="J637">
        <v>-6.0546225331662893E-4</v>
      </c>
      <c r="L637" s="101"/>
      <c r="M637" s="101">
        <v>22.832330929878431</v>
      </c>
      <c r="N637" s="96">
        <v>9.765625E-4</v>
      </c>
      <c r="O637" s="96">
        <f t="shared" si="39"/>
        <v>0.9150390625</v>
      </c>
      <c r="Q637" s="96">
        <f t="shared" si="36"/>
        <v>1</v>
      </c>
      <c r="R637" s="96">
        <f t="shared" si="37"/>
        <v>0</v>
      </c>
      <c r="S637" s="96">
        <f t="shared" si="38"/>
        <v>0</v>
      </c>
    </row>
    <row r="638" spans="1:19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0</v>
      </c>
      <c r="H638">
        <v>9.765625E-4</v>
      </c>
      <c r="I638">
        <v>-1</v>
      </c>
      <c r="J638">
        <v>-9.765625E-4</v>
      </c>
      <c r="L638" s="101"/>
      <c r="M638" s="101">
        <v>22.914659574129047</v>
      </c>
      <c r="N638" s="96">
        <v>1.953125E-3</v>
      </c>
      <c r="O638" s="96">
        <f t="shared" si="39"/>
        <v>0.9169921875</v>
      </c>
      <c r="Q638" s="96">
        <f t="shared" si="36"/>
        <v>1</v>
      </c>
      <c r="R638" s="96">
        <f t="shared" si="37"/>
        <v>0</v>
      </c>
      <c r="S638" s="96">
        <f t="shared" si="38"/>
        <v>0</v>
      </c>
    </row>
    <row r="639" spans="1:19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17.567905673498938</v>
      </c>
      <c r="H639">
        <v>1.953125E-3</v>
      </c>
      <c r="I639">
        <v>-0.55677344916771487</v>
      </c>
      <c r="J639">
        <v>-1.0874481429056931E-3</v>
      </c>
      <c r="L639" s="101"/>
      <c r="M639" s="101">
        <v>22.914659574129047</v>
      </c>
      <c r="N639" s="96">
        <v>3.90625E-3</v>
      </c>
      <c r="O639" s="96">
        <f t="shared" si="39"/>
        <v>0.9208984375</v>
      </c>
      <c r="Q639" s="96">
        <f t="shared" si="36"/>
        <v>1</v>
      </c>
      <c r="R639" s="96">
        <f t="shared" si="37"/>
        <v>0</v>
      </c>
      <c r="S639" s="96">
        <f t="shared" si="38"/>
        <v>0</v>
      </c>
    </row>
    <row r="640" spans="1:19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30.743834928623173</v>
      </c>
      <c r="H640">
        <v>9.765625E-4</v>
      </c>
      <c r="I640">
        <v>-0.35887020650997764</v>
      </c>
      <c r="J640">
        <v>-3.5045918604490004E-4</v>
      </c>
      <c r="L640" s="101"/>
      <c r="M640" s="101">
        <v>22.914659574129047</v>
      </c>
      <c r="N640" s="96">
        <v>1.953125E-3</v>
      </c>
      <c r="O640" s="96">
        <f t="shared" si="39"/>
        <v>0.9228515625</v>
      </c>
      <c r="Q640" s="96">
        <f t="shared" si="36"/>
        <v>1</v>
      </c>
      <c r="R640" s="96">
        <f t="shared" si="37"/>
        <v>0</v>
      </c>
      <c r="S640" s="96">
        <f t="shared" si="38"/>
        <v>0</v>
      </c>
    </row>
    <row r="641" spans="1:19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8.783952836749469</v>
      </c>
      <c r="H641">
        <v>4.8828125E-4</v>
      </c>
      <c r="I641">
        <v>-0.74617253310994702</v>
      </c>
      <c r="J641">
        <v>-3.6434205718259132E-4</v>
      </c>
      <c r="L641" s="101"/>
      <c r="M641" s="101">
        <v>22.914659574129047</v>
      </c>
      <c r="N641" s="96">
        <v>9.765625E-4</v>
      </c>
      <c r="O641" s="96">
        <f t="shared" si="39"/>
        <v>0.923828125</v>
      </c>
      <c r="Q641" s="96">
        <f t="shared" si="36"/>
        <v>1</v>
      </c>
      <c r="R641" s="96">
        <f t="shared" si="37"/>
        <v>0</v>
      </c>
      <c r="S641" s="96">
        <f t="shared" si="38"/>
        <v>0</v>
      </c>
    </row>
    <row r="642" spans="1:19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26.351858510248409</v>
      </c>
      <c r="H642">
        <v>9.765625E-4</v>
      </c>
      <c r="I642">
        <v>-0.4154490549338361</v>
      </c>
      <c r="J642">
        <v>-4.0571196770882432E-4</v>
      </c>
      <c r="L642" s="101"/>
      <c r="M642" s="101">
        <v>22.914659574129047</v>
      </c>
      <c r="N642" s="96">
        <v>1.953125E-3</v>
      </c>
      <c r="O642" s="96">
        <f t="shared" si="39"/>
        <v>0.92578125</v>
      </c>
      <c r="Q642" s="96">
        <f t="shared" si="36"/>
        <v>1</v>
      </c>
      <c r="R642" s="96">
        <f t="shared" si="37"/>
        <v>0</v>
      </c>
      <c r="S642" s="96">
        <f t="shared" si="38"/>
        <v>0</v>
      </c>
    </row>
    <row r="643" spans="1:19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39.527787765372643</v>
      </c>
      <c r="H643">
        <v>4.8828125E-4</v>
      </c>
      <c r="I643">
        <v>-0.26777909104923975</v>
      </c>
      <c r="J643">
        <v>-1.307515093013866E-4</v>
      </c>
      <c r="L643" s="101"/>
      <c r="M643" s="101">
        <v>22.914659574129047</v>
      </c>
      <c r="N643" s="96">
        <v>9.765625E-4</v>
      </c>
      <c r="O643" s="96">
        <f t="shared" si="39"/>
        <v>0.9267578125</v>
      </c>
      <c r="Q643" s="96">
        <f t="shared" ref="Q643:Q706" si="40">IF(A643=3,1,0)</f>
        <v>1</v>
      </c>
      <c r="R643" s="96">
        <f t="shared" ref="R643:R706" si="41">IF(A643=2,1,0)</f>
        <v>0</v>
      </c>
      <c r="S643" s="96">
        <f t="shared" ref="S643:S706" si="42">IF(A643=1,1,0)</f>
        <v>0</v>
      </c>
    </row>
    <row r="644" spans="1:19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4.3919764183747665</v>
      </c>
      <c r="H644">
        <v>9.765625E-4</v>
      </c>
      <c r="I644">
        <v>-0.86381278823014962</v>
      </c>
      <c r="J644">
        <v>-8.4356717600600549E-4</v>
      </c>
      <c r="L644" s="101"/>
      <c r="M644" s="101">
        <v>22.914659574129047</v>
      </c>
      <c r="N644" s="96">
        <v>9.765625E-4</v>
      </c>
      <c r="O644" s="96">
        <f t="shared" ref="O644:O707" si="43">N644+O643</f>
        <v>0.927734375</v>
      </c>
      <c r="Q644" s="96">
        <f t="shared" si="40"/>
        <v>1</v>
      </c>
      <c r="R644" s="96">
        <f t="shared" si="41"/>
        <v>0</v>
      </c>
      <c r="S644" s="96">
        <f t="shared" si="42"/>
        <v>0</v>
      </c>
    </row>
    <row r="645" spans="1:19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21.959882091873702</v>
      </c>
      <c r="H645">
        <v>1.953125E-3</v>
      </c>
      <c r="I645">
        <v>-0.48094802553808136</v>
      </c>
      <c r="J645">
        <v>-9.3935161237906515E-4</v>
      </c>
      <c r="L645" s="101"/>
      <c r="M645" s="101">
        <v>22.914659574129047</v>
      </c>
      <c r="N645" s="96">
        <v>1.953125E-3</v>
      </c>
      <c r="O645" s="96">
        <f t="shared" si="43"/>
        <v>0.9296875</v>
      </c>
      <c r="Q645" s="96">
        <f t="shared" si="40"/>
        <v>1</v>
      </c>
      <c r="R645" s="96">
        <f t="shared" si="41"/>
        <v>0</v>
      </c>
      <c r="S645" s="96">
        <f t="shared" si="42"/>
        <v>0</v>
      </c>
    </row>
    <row r="646" spans="1:19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35.135811346997876</v>
      </c>
      <c r="H646">
        <v>9.765625E-4</v>
      </c>
      <c r="I646">
        <v>-0.30999667369811401</v>
      </c>
      <c r="J646">
        <v>-3.0273112665831446E-4</v>
      </c>
      <c r="L646" s="101"/>
      <c r="M646" s="101">
        <v>22.914659574129047</v>
      </c>
      <c r="N646" s="96">
        <v>9.765625E-4</v>
      </c>
      <c r="O646" s="96">
        <f t="shared" si="43"/>
        <v>0.9306640625</v>
      </c>
      <c r="Q646" s="96">
        <f t="shared" si="40"/>
        <v>1</v>
      </c>
      <c r="R646" s="96">
        <f t="shared" si="41"/>
        <v>0</v>
      </c>
      <c r="S646" s="96">
        <f t="shared" si="42"/>
        <v>0</v>
      </c>
    </row>
    <row r="647" spans="1:19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0</v>
      </c>
      <c r="H647">
        <v>4.8828125E-4</v>
      </c>
      <c r="I647">
        <v>-1</v>
      </c>
      <c r="J647">
        <v>-4.8828125E-4</v>
      </c>
      <c r="L647" s="101"/>
      <c r="M647" s="101">
        <v>22.914659574129047</v>
      </c>
      <c r="N647" s="96">
        <v>4.8828125E-4</v>
      </c>
      <c r="O647" s="96">
        <f t="shared" si="43"/>
        <v>0.93115234375</v>
      </c>
      <c r="Q647" s="96">
        <f t="shared" si="40"/>
        <v>1</v>
      </c>
      <c r="R647" s="96">
        <f t="shared" si="41"/>
        <v>0</v>
      </c>
      <c r="S647" s="96">
        <f t="shared" si="42"/>
        <v>0</v>
      </c>
    </row>
    <row r="648" spans="1:19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17.567905673498938</v>
      </c>
      <c r="H648">
        <v>9.765625E-4</v>
      </c>
      <c r="I648">
        <v>-0.55677344916771487</v>
      </c>
      <c r="J648">
        <v>-5.4372407145284656E-4</v>
      </c>
      <c r="L648" s="101"/>
      <c r="M648" s="101">
        <v>22.914659574129047</v>
      </c>
      <c r="N648" s="96">
        <v>9.765625E-4</v>
      </c>
      <c r="O648" s="96">
        <f t="shared" si="43"/>
        <v>0.93212890625</v>
      </c>
      <c r="Q648" s="96">
        <f t="shared" si="40"/>
        <v>1</v>
      </c>
      <c r="R648" s="96">
        <f t="shared" si="41"/>
        <v>0</v>
      </c>
      <c r="S648" s="96">
        <f t="shared" si="42"/>
        <v>0</v>
      </c>
    </row>
    <row r="649" spans="1:19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30.743834928623173</v>
      </c>
      <c r="H649">
        <v>4.8828125E-4</v>
      </c>
      <c r="I649">
        <v>-0.35887020650997764</v>
      </c>
      <c r="J649">
        <v>-1.7522959302245002E-4</v>
      </c>
      <c r="L649" s="101"/>
      <c r="M649" s="101">
        <v>22.914659574129047</v>
      </c>
      <c r="N649" s="96">
        <v>4.8828125E-4</v>
      </c>
      <c r="O649" s="96">
        <f t="shared" si="43"/>
        <v>0.9326171875</v>
      </c>
      <c r="Q649" s="96">
        <f t="shared" si="40"/>
        <v>1</v>
      </c>
      <c r="R649" s="96">
        <f t="shared" si="41"/>
        <v>0</v>
      </c>
      <c r="S649" s="96">
        <f t="shared" si="42"/>
        <v>0</v>
      </c>
    </row>
    <row r="650" spans="1:19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8.497536995700095</v>
      </c>
      <c r="H650">
        <v>2.44140625E-4</v>
      </c>
      <c r="I650">
        <v>-0.75333050245806599</v>
      </c>
      <c r="J650">
        <v>-1.8391857970167627E-4</v>
      </c>
      <c r="L650" s="101"/>
      <c r="M650" s="101">
        <v>23.220980256157414</v>
      </c>
      <c r="N650" s="96">
        <v>9.765625E-4</v>
      </c>
      <c r="O650" s="96">
        <f t="shared" si="43"/>
        <v>0.93359375</v>
      </c>
      <c r="Q650" s="96">
        <f t="shared" si="40"/>
        <v>1</v>
      </c>
      <c r="R650" s="96">
        <f t="shared" si="41"/>
        <v>0</v>
      </c>
      <c r="S650" s="96">
        <f t="shared" si="42"/>
        <v>0</v>
      </c>
    </row>
    <row r="651" spans="1:19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25.492610987100264</v>
      </c>
      <c r="H651">
        <v>4.8828125E-4</v>
      </c>
      <c r="I651">
        <v>-0.4275202173956435</v>
      </c>
      <c r="J651">
        <v>-2.0875010615021655E-4</v>
      </c>
      <c r="L651" s="101"/>
      <c r="M651" s="101">
        <v>23.220980256157414</v>
      </c>
      <c r="N651" s="96">
        <v>1.953125E-3</v>
      </c>
      <c r="O651" s="96">
        <f t="shared" si="43"/>
        <v>0.935546875</v>
      </c>
      <c r="Q651" s="96">
        <f t="shared" si="40"/>
        <v>1</v>
      </c>
      <c r="R651" s="96">
        <f t="shared" si="41"/>
        <v>0</v>
      </c>
      <c r="S651" s="96">
        <f t="shared" si="42"/>
        <v>0</v>
      </c>
    </row>
    <row r="652" spans="1:19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38.238916480650417</v>
      </c>
      <c r="H652">
        <v>2.44140625E-4</v>
      </c>
      <c r="I652">
        <v>-0.27953422324548899</v>
      </c>
      <c r="J652">
        <v>-6.824565997204321E-5</v>
      </c>
      <c r="L652" s="101"/>
      <c r="M652" s="101">
        <v>23.220980256157414</v>
      </c>
      <c r="N652" s="96">
        <v>9.765625E-4</v>
      </c>
      <c r="O652" s="96">
        <f t="shared" si="43"/>
        <v>0.9365234375</v>
      </c>
      <c r="Q652" s="96">
        <f t="shared" si="40"/>
        <v>1</v>
      </c>
      <c r="R652" s="96">
        <f t="shared" si="41"/>
        <v>0</v>
      </c>
      <c r="S652" s="96">
        <f t="shared" si="42"/>
        <v>0</v>
      </c>
    </row>
    <row r="653" spans="1:19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4.2487684978500635</v>
      </c>
      <c r="H653">
        <v>4.8828125E-4</v>
      </c>
      <c r="I653">
        <v>-0.86794614029792494</v>
      </c>
      <c r="J653">
        <v>-4.2380182631734616E-4</v>
      </c>
      <c r="L653" s="101"/>
      <c r="M653" s="101">
        <v>23.953006837424645</v>
      </c>
      <c r="N653" s="96">
        <v>2.44140625E-4</v>
      </c>
      <c r="O653" s="96">
        <f t="shared" si="43"/>
        <v>0.936767578125</v>
      </c>
      <c r="Q653" s="96">
        <f t="shared" si="40"/>
        <v>1</v>
      </c>
      <c r="R653" s="96">
        <f t="shared" si="41"/>
        <v>0</v>
      </c>
      <c r="S653" s="96">
        <f t="shared" si="42"/>
        <v>0</v>
      </c>
    </row>
    <row r="654" spans="1:19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21.243842489250238</v>
      </c>
      <c r="H654">
        <v>9.765625E-4</v>
      </c>
      <c r="I654">
        <v>-0.49256537652082355</v>
      </c>
      <c r="J654">
        <v>-4.8102087550861675E-4</v>
      </c>
      <c r="L654" s="101"/>
      <c r="M654" s="101">
        <v>23.953006837424645</v>
      </c>
      <c r="N654" s="96">
        <v>4.8828125E-4</v>
      </c>
      <c r="O654" s="96">
        <f t="shared" si="43"/>
        <v>0.937255859375</v>
      </c>
      <c r="Q654" s="96">
        <f t="shared" si="40"/>
        <v>1</v>
      </c>
      <c r="R654" s="96">
        <f t="shared" si="41"/>
        <v>0</v>
      </c>
      <c r="S654" s="96">
        <f t="shared" si="42"/>
        <v>0</v>
      </c>
    </row>
    <row r="655" spans="1:19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33.990147982800366</v>
      </c>
      <c r="H655">
        <v>4.8828125E-4</v>
      </c>
      <c r="I655">
        <v>-0.3220640201816416</v>
      </c>
      <c r="J655">
        <v>-1.5725782235431719E-4</v>
      </c>
      <c r="L655" s="101"/>
      <c r="M655" s="101">
        <v>23.953006837424645</v>
      </c>
      <c r="N655" s="96">
        <v>2.44140625E-4</v>
      </c>
      <c r="O655" s="96">
        <f t="shared" si="43"/>
        <v>0.9375</v>
      </c>
      <c r="Q655" s="96">
        <f t="shared" si="40"/>
        <v>1</v>
      </c>
      <c r="R655" s="96">
        <f t="shared" si="41"/>
        <v>0</v>
      </c>
      <c r="S655" s="96">
        <f t="shared" si="42"/>
        <v>0</v>
      </c>
    </row>
    <row r="656" spans="1:19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0</v>
      </c>
      <c r="H656">
        <v>2.44140625E-4</v>
      </c>
      <c r="I656">
        <v>-1</v>
      </c>
      <c r="J656">
        <v>-2.44140625E-4</v>
      </c>
      <c r="L656" s="101"/>
      <c r="M656" s="101">
        <v>24.089169353018811</v>
      </c>
      <c r="N656" s="96">
        <v>9.765625E-4</v>
      </c>
      <c r="O656" s="96">
        <f t="shared" si="43"/>
        <v>0.9384765625</v>
      </c>
      <c r="Q656" s="96">
        <f t="shared" si="40"/>
        <v>1</v>
      </c>
      <c r="R656" s="96">
        <f t="shared" si="41"/>
        <v>0</v>
      </c>
      <c r="S656" s="96">
        <f t="shared" si="42"/>
        <v>0</v>
      </c>
    </row>
    <row r="657" spans="1:19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16.995073991400176</v>
      </c>
      <c r="H657">
        <v>4.8828125E-4</v>
      </c>
      <c r="I657">
        <v>-0.56750684593372247</v>
      </c>
      <c r="J657">
        <v>-2.7710295211607542E-4</v>
      </c>
      <c r="L657" s="101"/>
      <c r="M657" s="101">
        <v>24.089169353018811</v>
      </c>
      <c r="N657" s="96">
        <v>1.953125E-3</v>
      </c>
      <c r="O657" s="96">
        <f t="shared" si="43"/>
        <v>0.9404296875</v>
      </c>
      <c r="Q657" s="96">
        <f t="shared" si="40"/>
        <v>1</v>
      </c>
      <c r="R657" s="96">
        <f t="shared" si="41"/>
        <v>0</v>
      </c>
      <c r="S657" s="96">
        <f t="shared" si="42"/>
        <v>0</v>
      </c>
    </row>
    <row r="658" spans="1:19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29.741379484950336</v>
      </c>
      <c r="H658">
        <v>2.44140625E-4</v>
      </c>
      <c r="I658">
        <v>-0.37106452258787842</v>
      </c>
      <c r="J658">
        <v>-9.0591924459931255E-5</v>
      </c>
      <c r="L658" s="101"/>
      <c r="M658" s="101">
        <v>24.089169353018811</v>
      </c>
      <c r="N658" s="96">
        <v>9.765625E-4</v>
      </c>
      <c r="O658" s="96">
        <f t="shared" si="43"/>
        <v>0.94140625</v>
      </c>
      <c r="Q658" s="96">
        <f t="shared" si="40"/>
        <v>1</v>
      </c>
      <c r="R658" s="96">
        <f t="shared" si="41"/>
        <v>0</v>
      </c>
      <c r="S658" s="96">
        <f t="shared" si="42"/>
        <v>0</v>
      </c>
    </row>
    <row r="659" spans="1:19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8.497536995700095</v>
      </c>
      <c r="H659">
        <v>4.8828125E-4</v>
      </c>
      <c r="I659">
        <v>-0.75333050245806599</v>
      </c>
      <c r="J659">
        <v>-3.6783715940335253E-4</v>
      </c>
      <c r="L659" s="101"/>
      <c r="M659" s="101">
        <v>24.662505924370151</v>
      </c>
      <c r="N659" s="96">
        <v>2.44140625E-4</v>
      </c>
      <c r="O659" s="96">
        <f t="shared" si="43"/>
        <v>0.941650390625</v>
      </c>
      <c r="Q659" s="96">
        <f t="shared" si="40"/>
        <v>1</v>
      </c>
      <c r="R659" s="96">
        <f t="shared" si="41"/>
        <v>0</v>
      </c>
      <c r="S659" s="96">
        <f t="shared" si="42"/>
        <v>0</v>
      </c>
    </row>
    <row r="660" spans="1:19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25.492610987100264</v>
      </c>
      <c r="H660">
        <v>9.765625E-4</v>
      </c>
      <c r="I660">
        <v>-0.4275202173956435</v>
      </c>
      <c r="J660">
        <v>-4.175002123004331E-4</v>
      </c>
      <c r="L660" s="101"/>
      <c r="M660" s="101">
        <v>24.662505924370151</v>
      </c>
      <c r="N660" s="96">
        <v>4.8828125E-4</v>
      </c>
      <c r="O660" s="96">
        <f t="shared" si="43"/>
        <v>0.942138671875</v>
      </c>
      <c r="Q660" s="96">
        <f t="shared" si="40"/>
        <v>1</v>
      </c>
      <c r="R660" s="96">
        <f t="shared" si="41"/>
        <v>0</v>
      </c>
      <c r="S660" s="96">
        <f t="shared" si="42"/>
        <v>0</v>
      </c>
    </row>
    <row r="661" spans="1:19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38.238916480650417</v>
      </c>
      <c r="H661">
        <v>4.8828125E-4</v>
      </c>
      <c r="I661">
        <v>-0.27953422324548899</v>
      </c>
      <c r="J661">
        <v>-1.3649131994408642E-4</v>
      </c>
      <c r="L661" s="101"/>
      <c r="M661" s="101">
        <v>24.662505924370151</v>
      </c>
      <c r="N661" s="96">
        <v>2.44140625E-4</v>
      </c>
      <c r="O661" s="96">
        <f t="shared" si="43"/>
        <v>0.9423828125</v>
      </c>
      <c r="Q661" s="96">
        <f t="shared" si="40"/>
        <v>1</v>
      </c>
      <c r="R661" s="96">
        <f t="shared" si="41"/>
        <v>0</v>
      </c>
      <c r="S661" s="96">
        <f t="shared" si="42"/>
        <v>0</v>
      </c>
    </row>
    <row r="662" spans="1:19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4.2487684978500635</v>
      </c>
      <c r="H662">
        <v>9.765625E-4</v>
      </c>
      <c r="I662">
        <v>-0.86794614029792494</v>
      </c>
      <c r="J662">
        <v>-8.4760365263469232E-4</v>
      </c>
      <c r="L662" s="101"/>
      <c r="M662" s="101">
        <v>25.686372296113241</v>
      </c>
      <c r="N662" s="96">
        <v>4.8828125E-4</v>
      </c>
      <c r="O662" s="96">
        <f t="shared" si="43"/>
        <v>0.94287109375</v>
      </c>
      <c r="Q662" s="96">
        <f t="shared" si="40"/>
        <v>1</v>
      </c>
      <c r="R662" s="96">
        <f t="shared" si="41"/>
        <v>0</v>
      </c>
      <c r="S662" s="96">
        <f t="shared" si="42"/>
        <v>0</v>
      </c>
    </row>
    <row r="663" spans="1:19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21.243842489250238</v>
      </c>
      <c r="H663">
        <v>1.953125E-3</v>
      </c>
      <c r="I663">
        <v>-0.49256537652082355</v>
      </c>
      <c r="J663">
        <v>-9.620417510172335E-4</v>
      </c>
      <c r="L663" s="101"/>
      <c r="M663" s="101">
        <v>25.686372296113241</v>
      </c>
      <c r="N663" s="96">
        <v>9.765625E-4</v>
      </c>
      <c r="O663" s="96">
        <f t="shared" si="43"/>
        <v>0.94384765625</v>
      </c>
      <c r="Q663" s="96">
        <f t="shared" si="40"/>
        <v>1</v>
      </c>
      <c r="R663" s="96">
        <f t="shared" si="41"/>
        <v>0</v>
      </c>
      <c r="S663" s="96">
        <f t="shared" si="42"/>
        <v>0</v>
      </c>
    </row>
    <row r="664" spans="1:19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33.990147982800366</v>
      </c>
      <c r="H664">
        <v>9.765625E-4</v>
      </c>
      <c r="I664">
        <v>-0.3220640201816416</v>
      </c>
      <c r="J664">
        <v>-3.1451564470863437E-4</v>
      </c>
      <c r="L664" s="101"/>
      <c r="M664" s="101">
        <v>25.686372296113241</v>
      </c>
      <c r="N664" s="96">
        <v>4.8828125E-4</v>
      </c>
      <c r="O664" s="96">
        <f t="shared" si="43"/>
        <v>0.9443359375</v>
      </c>
      <c r="Q664" s="96">
        <f t="shared" si="40"/>
        <v>1</v>
      </c>
      <c r="R664" s="96">
        <f t="shared" si="41"/>
        <v>0</v>
      </c>
      <c r="S664" s="96">
        <f t="shared" si="42"/>
        <v>0</v>
      </c>
    </row>
    <row r="665" spans="1:19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0</v>
      </c>
      <c r="H665">
        <v>4.8828125E-4</v>
      </c>
      <c r="I665">
        <v>-1</v>
      </c>
      <c r="J665">
        <v>-4.8828125E-4</v>
      </c>
      <c r="L665" s="101"/>
      <c r="M665" s="101">
        <v>25.689674672903667</v>
      </c>
      <c r="N665" s="96">
        <v>4.8828125E-4</v>
      </c>
      <c r="O665" s="96">
        <f t="shared" si="43"/>
        <v>0.94482421875</v>
      </c>
      <c r="Q665" s="96">
        <f t="shared" si="40"/>
        <v>1</v>
      </c>
      <c r="R665" s="96">
        <f t="shared" si="41"/>
        <v>0</v>
      </c>
      <c r="S665" s="96">
        <f t="shared" si="42"/>
        <v>0</v>
      </c>
    </row>
    <row r="666" spans="1:19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16.995073991400176</v>
      </c>
      <c r="H666">
        <v>9.765625E-4</v>
      </c>
      <c r="I666">
        <v>-0.56750684593372247</v>
      </c>
      <c r="J666">
        <v>-5.5420590423215085E-4</v>
      </c>
      <c r="L666" s="101"/>
      <c r="M666" s="101">
        <v>25.689674672903667</v>
      </c>
      <c r="N666" s="96">
        <v>9.765625E-4</v>
      </c>
      <c r="O666" s="96">
        <f t="shared" si="43"/>
        <v>0.94580078125</v>
      </c>
      <c r="Q666" s="96">
        <f t="shared" si="40"/>
        <v>1</v>
      </c>
      <c r="R666" s="96">
        <f t="shared" si="41"/>
        <v>0</v>
      </c>
      <c r="S666" s="96">
        <f t="shared" si="42"/>
        <v>0</v>
      </c>
    </row>
    <row r="667" spans="1:19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29.741379484950336</v>
      </c>
      <c r="H667">
        <v>4.8828125E-4</v>
      </c>
      <c r="I667">
        <v>-0.37106452258787842</v>
      </c>
      <c r="J667">
        <v>-1.8118384891986251E-4</v>
      </c>
      <c r="L667" s="101"/>
      <c r="M667" s="101">
        <v>25.689674672903667</v>
      </c>
      <c r="N667" s="96">
        <v>4.8828125E-4</v>
      </c>
      <c r="O667" s="96">
        <f t="shared" si="43"/>
        <v>0.9462890625</v>
      </c>
      <c r="Q667" s="96">
        <f t="shared" si="40"/>
        <v>1</v>
      </c>
      <c r="R667" s="96">
        <f t="shared" si="41"/>
        <v>0</v>
      </c>
      <c r="S667" s="96">
        <f t="shared" si="42"/>
        <v>0</v>
      </c>
    </row>
    <row r="668" spans="1:19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8.497536995700095</v>
      </c>
      <c r="H668">
        <v>2.44140625E-4</v>
      </c>
      <c r="I668">
        <v>-0.75333050245806599</v>
      </c>
      <c r="J668">
        <v>-1.8391857970167627E-4</v>
      </c>
      <c r="L668" s="101"/>
      <c r="M668" s="101">
        <v>25.862069117348113</v>
      </c>
      <c r="N668" s="96">
        <v>2.44140625E-4</v>
      </c>
      <c r="O668" s="96">
        <f t="shared" si="43"/>
        <v>0.946533203125</v>
      </c>
      <c r="Q668" s="96">
        <f t="shared" si="40"/>
        <v>1</v>
      </c>
      <c r="R668" s="96">
        <f t="shared" si="41"/>
        <v>0</v>
      </c>
      <c r="S668" s="96">
        <f t="shared" si="42"/>
        <v>0</v>
      </c>
    </row>
    <row r="669" spans="1:19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25.492610987100264</v>
      </c>
      <c r="H669">
        <v>4.8828125E-4</v>
      </c>
      <c r="I669">
        <v>-0.4275202173956435</v>
      </c>
      <c r="J669">
        <v>-2.0875010615021655E-4</v>
      </c>
      <c r="L669" s="101"/>
      <c r="M669" s="101">
        <v>25.862069117348113</v>
      </c>
      <c r="N669" s="96">
        <v>4.8828125E-4</v>
      </c>
      <c r="O669" s="96">
        <f t="shared" si="43"/>
        <v>0.947021484375</v>
      </c>
      <c r="Q669" s="96">
        <f t="shared" si="40"/>
        <v>1</v>
      </c>
      <c r="R669" s="96">
        <f t="shared" si="41"/>
        <v>0</v>
      </c>
      <c r="S669" s="96">
        <f t="shared" si="42"/>
        <v>0</v>
      </c>
    </row>
    <row r="670" spans="1:19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38.238916480650417</v>
      </c>
      <c r="H670">
        <v>2.44140625E-4</v>
      </c>
      <c r="I670">
        <v>-0.27953422324548899</v>
      </c>
      <c r="J670">
        <v>-6.824565997204321E-5</v>
      </c>
      <c r="L670" s="101"/>
      <c r="M670" s="101">
        <v>25.862069117348113</v>
      </c>
      <c r="N670" s="96">
        <v>2.44140625E-4</v>
      </c>
      <c r="O670" s="96">
        <f t="shared" si="43"/>
        <v>0.947265625</v>
      </c>
      <c r="Q670" s="96">
        <f t="shared" si="40"/>
        <v>1</v>
      </c>
      <c r="R670" s="96">
        <f t="shared" si="41"/>
        <v>0</v>
      </c>
      <c r="S670" s="96">
        <f t="shared" si="42"/>
        <v>0</v>
      </c>
    </row>
    <row r="671" spans="1:19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4.2487684978500635</v>
      </c>
      <c r="H671">
        <v>4.8828125E-4</v>
      </c>
      <c r="I671">
        <v>-0.86794614029792494</v>
      </c>
      <c r="J671">
        <v>-4.2380182631734616E-4</v>
      </c>
      <c r="L671" s="101"/>
      <c r="M671" s="101">
        <v>26.056198933250901</v>
      </c>
      <c r="N671" s="96">
        <v>9.765625E-4</v>
      </c>
      <c r="O671" s="96">
        <f t="shared" si="43"/>
        <v>0.9482421875</v>
      </c>
      <c r="Q671" s="96">
        <f t="shared" si="40"/>
        <v>1</v>
      </c>
      <c r="R671" s="96">
        <f t="shared" si="41"/>
        <v>0</v>
      </c>
      <c r="S671" s="96">
        <f t="shared" si="42"/>
        <v>0</v>
      </c>
    </row>
    <row r="672" spans="1:19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21.243842489250238</v>
      </c>
      <c r="H672">
        <v>9.765625E-4</v>
      </c>
      <c r="I672">
        <v>-0.49256537652082355</v>
      </c>
      <c r="J672">
        <v>-4.8102087550861675E-4</v>
      </c>
      <c r="L672" s="101"/>
      <c r="M672" s="101">
        <v>26.056198933250901</v>
      </c>
      <c r="N672" s="96">
        <v>1.953125E-3</v>
      </c>
      <c r="O672" s="96">
        <f t="shared" si="43"/>
        <v>0.9501953125</v>
      </c>
      <c r="Q672" s="96">
        <f t="shared" si="40"/>
        <v>1</v>
      </c>
      <c r="R672" s="96">
        <f t="shared" si="41"/>
        <v>0</v>
      </c>
      <c r="S672" s="96">
        <f t="shared" si="42"/>
        <v>0</v>
      </c>
    </row>
    <row r="673" spans="1:19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33.990147982800366</v>
      </c>
      <c r="H673">
        <v>4.8828125E-4</v>
      </c>
      <c r="I673">
        <v>-0.3220640201816416</v>
      </c>
      <c r="J673">
        <v>-1.5725782235431719E-4</v>
      </c>
      <c r="L673" s="101"/>
      <c r="M673" s="101">
        <v>26.056198933250901</v>
      </c>
      <c r="N673" s="96">
        <v>9.765625E-4</v>
      </c>
      <c r="O673" s="96">
        <f t="shared" si="43"/>
        <v>0.951171875</v>
      </c>
      <c r="Q673" s="96">
        <f t="shared" si="40"/>
        <v>1</v>
      </c>
      <c r="R673" s="96">
        <f t="shared" si="41"/>
        <v>0</v>
      </c>
      <c r="S673" s="96">
        <f t="shared" si="42"/>
        <v>0</v>
      </c>
    </row>
    <row r="674" spans="1:19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0</v>
      </c>
      <c r="H674">
        <v>2.44140625E-4</v>
      </c>
      <c r="I674">
        <v>-1</v>
      </c>
      <c r="J674">
        <v>-2.44140625E-4</v>
      </c>
      <c r="L674" s="101"/>
      <c r="M674" s="101">
        <v>26.733769503150594</v>
      </c>
      <c r="N674" s="96">
        <v>9.765625E-4</v>
      </c>
      <c r="O674" s="96">
        <f t="shared" si="43"/>
        <v>0.9521484375</v>
      </c>
      <c r="Q674" s="96">
        <f t="shared" si="40"/>
        <v>1</v>
      </c>
      <c r="R674" s="96">
        <f t="shared" si="41"/>
        <v>0</v>
      </c>
      <c r="S674" s="96">
        <f t="shared" si="42"/>
        <v>0</v>
      </c>
    </row>
    <row r="675" spans="1:19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16.995073991400176</v>
      </c>
      <c r="H675">
        <v>4.8828125E-4</v>
      </c>
      <c r="I675">
        <v>-0.56750684593372247</v>
      </c>
      <c r="J675">
        <v>-2.7710295211607542E-4</v>
      </c>
      <c r="L675" s="101"/>
      <c r="M675" s="101">
        <v>26.733769503150594</v>
      </c>
      <c r="N675" s="96">
        <v>1.953125E-3</v>
      </c>
      <c r="O675" s="96">
        <f t="shared" si="43"/>
        <v>0.9541015625</v>
      </c>
      <c r="Q675" s="96">
        <f t="shared" si="40"/>
        <v>1</v>
      </c>
      <c r="R675" s="96">
        <f t="shared" si="41"/>
        <v>0</v>
      </c>
      <c r="S675" s="96">
        <f t="shared" si="42"/>
        <v>0</v>
      </c>
    </row>
    <row r="676" spans="1:19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29.741379484950336</v>
      </c>
      <c r="H676">
        <v>2.44140625E-4</v>
      </c>
      <c r="I676">
        <v>-0.37106452258787842</v>
      </c>
      <c r="J676">
        <v>-9.0591924459931255E-5</v>
      </c>
      <c r="L676" s="101"/>
      <c r="M676" s="101">
        <v>26.733769503150594</v>
      </c>
      <c r="N676" s="96">
        <v>9.765625E-4</v>
      </c>
      <c r="O676" s="96">
        <f t="shared" si="43"/>
        <v>0.955078125</v>
      </c>
      <c r="Q676" s="96">
        <f t="shared" si="40"/>
        <v>1</v>
      </c>
      <c r="R676" s="96">
        <f t="shared" si="41"/>
        <v>0</v>
      </c>
      <c r="S676" s="96">
        <f t="shared" si="42"/>
        <v>0</v>
      </c>
    </row>
    <row r="677" spans="1:19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8.783952836749469</v>
      </c>
      <c r="H677">
        <v>4.8828125E-4</v>
      </c>
      <c r="I677">
        <v>-0.74617253310994702</v>
      </c>
      <c r="J677">
        <v>-3.6434205718259132E-4</v>
      </c>
      <c r="L677" s="101"/>
      <c r="M677" s="101">
        <v>26.733769503150594</v>
      </c>
      <c r="N677" s="96">
        <v>4.8828125E-4</v>
      </c>
      <c r="O677" s="96">
        <f t="shared" si="43"/>
        <v>0.95556640625</v>
      </c>
      <c r="Q677" s="96">
        <f t="shared" si="40"/>
        <v>1</v>
      </c>
      <c r="R677" s="96">
        <f t="shared" si="41"/>
        <v>0</v>
      </c>
      <c r="S677" s="96">
        <f t="shared" si="42"/>
        <v>0</v>
      </c>
    </row>
    <row r="678" spans="1:19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26.351858510248409</v>
      </c>
      <c r="H678">
        <v>9.765625E-4</v>
      </c>
      <c r="I678">
        <v>-0.4154490549338361</v>
      </c>
      <c r="J678">
        <v>-4.0571196770882432E-4</v>
      </c>
      <c r="L678" s="101"/>
      <c r="M678" s="101">
        <v>26.733769503150594</v>
      </c>
      <c r="N678" s="96">
        <v>9.765625E-4</v>
      </c>
      <c r="O678" s="96">
        <f t="shared" si="43"/>
        <v>0.95654296875</v>
      </c>
      <c r="Q678" s="96">
        <f t="shared" si="40"/>
        <v>1</v>
      </c>
      <c r="R678" s="96">
        <f t="shared" si="41"/>
        <v>0</v>
      </c>
      <c r="S678" s="96">
        <f t="shared" si="42"/>
        <v>0</v>
      </c>
    </row>
    <row r="679" spans="1:19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39.527787765372643</v>
      </c>
      <c r="H679">
        <v>4.8828125E-4</v>
      </c>
      <c r="I679">
        <v>-0.26777909104923975</v>
      </c>
      <c r="J679">
        <v>-1.307515093013866E-4</v>
      </c>
      <c r="L679" s="101"/>
      <c r="M679" s="101">
        <v>26.733769503150594</v>
      </c>
      <c r="N679" s="96">
        <v>4.8828125E-4</v>
      </c>
      <c r="O679" s="96">
        <f t="shared" si="43"/>
        <v>0.95703125</v>
      </c>
      <c r="Q679" s="96">
        <f t="shared" si="40"/>
        <v>1</v>
      </c>
      <c r="R679" s="96">
        <f t="shared" si="41"/>
        <v>0</v>
      </c>
      <c r="S679" s="96">
        <f t="shared" si="42"/>
        <v>0</v>
      </c>
    </row>
    <row r="680" spans="1:19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4.3919764183747665</v>
      </c>
      <c r="H680">
        <v>9.765625E-4</v>
      </c>
      <c r="I680">
        <v>-0.86381278823014962</v>
      </c>
      <c r="J680">
        <v>-8.4356717600600549E-4</v>
      </c>
      <c r="L680" s="101"/>
      <c r="M680" s="101">
        <v>26.733769503150594</v>
      </c>
      <c r="N680" s="96">
        <v>4.8828125E-4</v>
      </c>
      <c r="O680" s="96">
        <f t="shared" si="43"/>
        <v>0.95751953125</v>
      </c>
      <c r="Q680" s="96">
        <f t="shared" si="40"/>
        <v>1</v>
      </c>
      <c r="R680" s="96">
        <f t="shared" si="41"/>
        <v>0</v>
      </c>
      <c r="S680" s="96">
        <f t="shared" si="42"/>
        <v>0</v>
      </c>
    </row>
    <row r="681" spans="1:19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21.959882091873702</v>
      </c>
      <c r="H681">
        <v>1.953125E-3</v>
      </c>
      <c r="I681">
        <v>-0.48094802553808136</v>
      </c>
      <c r="J681">
        <v>-9.3935161237906515E-4</v>
      </c>
      <c r="L681" s="101"/>
      <c r="M681" s="101">
        <v>26.733769503150594</v>
      </c>
      <c r="N681" s="96">
        <v>9.765625E-4</v>
      </c>
      <c r="O681" s="96">
        <f t="shared" si="43"/>
        <v>0.95849609375</v>
      </c>
      <c r="Q681" s="96">
        <f t="shared" si="40"/>
        <v>1</v>
      </c>
      <c r="R681" s="96">
        <f t="shared" si="41"/>
        <v>0</v>
      </c>
      <c r="S681" s="96">
        <f t="shared" si="42"/>
        <v>0</v>
      </c>
    </row>
    <row r="682" spans="1:19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35.135811346997876</v>
      </c>
      <c r="H682">
        <v>9.765625E-4</v>
      </c>
      <c r="I682">
        <v>-0.30999667369811401</v>
      </c>
      <c r="J682">
        <v>-3.0273112665831446E-4</v>
      </c>
      <c r="L682" s="101"/>
      <c r="M682" s="101">
        <v>26.733769503150594</v>
      </c>
      <c r="N682" s="96">
        <v>4.8828125E-4</v>
      </c>
      <c r="O682" s="96">
        <f t="shared" si="43"/>
        <v>0.958984375</v>
      </c>
      <c r="Q682" s="96">
        <f t="shared" si="40"/>
        <v>1</v>
      </c>
      <c r="R682" s="96">
        <f t="shared" si="41"/>
        <v>0</v>
      </c>
      <c r="S682" s="96">
        <f t="shared" si="42"/>
        <v>0</v>
      </c>
    </row>
    <row r="683" spans="1:19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0</v>
      </c>
      <c r="H683">
        <v>4.8828125E-4</v>
      </c>
      <c r="I683">
        <v>-1</v>
      </c>
      <c r="J683">
        <v>-4.8828125E-4</v>
      </c>
      <c r="L683" s="101"/>
      <c r="M683" s="101">
        <v>26.733769503150594</v>
      </c>
      <c r="N683" s="96">
        <v>2.44140625E-4</v>
      </c>
      <c r="O683" s="96">
        <f t="shared" si="43"/>
        <v>0.959228515625</v>
      </c>
      <c r="Q683" s="96">
        <f t="shared" si="40"/>
        <v>1</v>
      </c>
      <c r="R683" s="96">
        <f t="shared" si="41"/>
        <v>0</v>
      </c>
      <c r="S683" s="96">
        <f t="shared" si="42"/>
        <v>0</v>
      </c>
    </row>
    <row r="684" spans="1:19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17.567905673498938</v>
      </c>
      <c r="H684">
        <v>9.765625E-4</v>
      </c>
      <c r="I684">
        <v>-0.55677344916771487</v>
      </c>
      <c r="J684">
        <v>-5.4372407145284656E-4</v>
      </c>
      <c r="L684" s="101"/>
      <c r="M684" s="101">
        <v>26.733769503150594</v>
      </c>
      <c r="N684" s="96">
        <v>4.8828125E-4</v>
      </c>
      <c r="O684" s="96">
        <f t="shared" si="43"/>
        <v>0.959716796875</v>
      </c>
      <c r="Q684" s="96">
        <f t="shared" si="40"/>
        <v>1</v>
      </c>
      <c r="R684" s="96">
        <f t="shared" si="41"/>
        <v>0</v>
      </c>
      <c r="S684" s="96">
        <f t="shared" si="42"/>
        <v>0</v>
      </c>
    </row>
    <row r="685" spans="1:19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30.743834928623173</v>
      </c>
      <c r="H685">
        <v>4.8828125E-4</v>
      </c>
      <c r="I685">
        <v>-0.35887020650997764</v>
      </c>
      <c r="J685">
        <v>-1.7522959302245002E-4</v>
      </c>
      <c r="L685" s="101"/>
      <c r="M685" s="101">
        <v>26.733769503150594</v>
      </c>
      <c r="N685" s="96">
        <v>2.44140625E-4</v>
      </c>
      <c r="O685" s="96">
        <f t="shared" si="43"/>
        <v>0.9599609375</v>
      </c>
      <c r="Q685" s="96">
        <f t="shared" si="40"/>
        <v>1</v>
      </c>
      <c r="R685" s="96">
        <f t="shared" si="41"/>
        <v>0</v>
      </c>
      <c r="S685" s="96">
        <f t="shared" si="42"/>
        <v>0</v>
      </c>
    </row>
    <row r="686" spans="1:19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8.783952836749469</v>
      </c>
      <c r="H686">
        <v>9.765625E-4</v>
      </c>
      <c r="I686">
        <v>-0.74617253310994702</v>
      </c>
      <c r="J686">
        <v>-7.2868411436518264E-4</v>
      </c>
      <c r="L686" s="101"/>
      <c r="M686" s="101">
        <v>28.185721056423024</v>
      </c>
      <c r="N686" s="96">
        <v>4.8828125E-4</v>
      </c>
      <c r="O686" s="96">
        <f t="shared" si="43"/>
        <v>0.96044921875</v>
      </c>
      <c r="Q686" s="96">
        <f t="shared" si="40"/>
        <v>1</v>
      </c>
      <c r="R686" s="96">
        <f t="shared" si="41"/>
        <v>0</v>
      </c>
      <c r="S686" s="96">
        <f t="shared" si="42"/>
        <v>0</v>
      </c>
    </row>
    <row r="687" spans="1:19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26.351858510248409</v>
      </c>
      <c r="H687">
        <v>1.953125E-3</v>
      </c>
      <c r="I687">
        <v>-0.4154490549338361</v>
      </c>
      <c r="J687">
        <v>-8.1142393541764864E-4</v>
      </c>
      <c r="L687" s="101"/>
      <c r="M687" s="101">
        <v>28.185721056423024</v>
      </c>
      <c r="N687" s="96">
        <v>9.765625E-4</v>
      </c>
      <c r="O687" s="96">
        <f t="shared" si="43"/>
        <v>0.96142578125</v>
      </c>
      <c r="Q687" s="96">
        <f t="shared" si="40"/>
        <v>1</v>
      </c>
      <c r="R687" s="96">
        <f t="shared" si="41"/>
        <v>0</v>
      </c>
      <c r="S687" s="96">
        <f t="shared" si="42"/>
        <v>0</v>
      </c>
    </row>
    <row r="688" spans="1:19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39.527787765372643</v>
      </c>
      <c r="H688">
        <v>9.765625E-4</v>
      </c>
      <c r="I688">
        <v>-0.26777909104923975</v>
      </c>
      <c r="J688">
        <v>-2.6150301860277319E-4</v>
      </c>
      <c r="L688" s="101"/>
      <c r="M688" s="101">
        <v>28.185721056423024</v>
      </c>
      <c r="N688" s="96">
        <v>4.8828125E-4</v>
      </c>
      <c r="O688" s="96">
        <f t="shared" si="43"/>
        <v>0.9619140625</v>
      </c>
      <c r="Q688" s="96">
        <f t="shared" si="40"/>
        <v>1</v>
      </c>
      <c r="R688" s="96">
        <f t="shared" si="41"/>
        <v>0</v>
      </c>
      <c r="S688" s="96">
        <f t="shared" si="42"/>
        <v>0</v>
      </c>
    </row>
    <row r="689" spans="1:19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4.3919764183747665</v>
      </c>
      <c r="H689">
        <v>1.953125E-3</v>
      </c>
      <c r="I689">
        <v>-0.86381278823014962</v>
      </c>
      <c r="J689">
        <v>-1.687134352012011E-3</v>
      </c>
      <c r="L689" s="101"/>
      <c r="M689" s="101">
        <v>29.313223799907266</v>
      </c>
      <c r="N689" s="96">
        <v>4.8828125E-4</v>
      </c>
      <c r="O689" s="96">
        <f t="shared" si="43"/>
        <v>0.96240234375</v>
      </c>
      <c r="Q689" s="96">
        <f t="shared" si="40"/>
        <v>1</v>
      </c>
      <c r="R689" s="96">
        <f t="shared" si="41"/>
        <v>0</v>
      </c>
      <c r="S689" s="96">
        <f t="shared" si="42"/>
        <v>0</v>
      </c>
    </row>
    <row r="690" spans="1:19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21.959882091873702</v>
      </c>
      <c r="H690">
        <v>3.90625E-3</v>
      </c>
      <c r="I690">
        <v>-0.48094802553808136</v>
      </c>
      <c r="J690">
        <v>-1.8787032247581303E-3</v>
      </c>
      <c r="L690" s="101"/>
      <c r="M690" s="101">
        <v>29.313223799907266</v>
      </c>
      <c r="N690" s="96">
        <v>9.765625E-4</v>
      </c>
      <c r="O690" s="96">
        <f t="shared" si="43"/>
        <v>0.96337890625</v>
      </c>
      <c r="Q690" s="96">
        <f t="shared" si="40"/>
        <v>1</v>
      </c>
      <c r="R690" s="96">
        <f t="shared" si="41"/>
        <v>0</v>
      </c>
      <c r="S690" s="96">
        <f t="shared" si="42"/>
        <v>0</v>
      </c>
    </row>
    <row r="691" spans="1:19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35.135811346997876</v>
      </c>
      <c r="H691">
        <v>1.953125E-3</v>
      </c>
      <c r="I691">
        <v>-0.30999667369811401</v>
      </c>
      <c r="J691">
        <v>-6.0546225331662893E-4</v>
      </c>
      <c r="L691" s="101"/>
      <c r="M691" s="101">
        <v>29.313223799907266</v>
      </c>
      <c r="N691" s="96">
        <v>4.8828125E-4</v>
      </c>
      <c r="O691" s="96">
        <f t="shared" si="43"/>
        <v>0.9638671875</v>
      </c>
      <c r="Q691" s="96">
        <f t="shared" si="40"/>
        <v>1</v>
      </c>
      <c r="R691" s="96">
        <f t="shared" si="41"/>
        <v>0</v>
      </c>
      <c r="S691" s="96">
        <f t="shared" si="42"/>
        <v>0</v>
      </c>
    </row>
    <row r="692" spans="1:19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0</v>
      </c>
      <c r="H692">
        <v>9.765625E-4</v>
      </c>
      <c r="I692">
        <v>-1</v>
      </c>
      <c r="J692">
        <v>-9.765625E-4</v>
      </c>
      <c r="L692" s="101"/>
      <c r="M692" s="101">
        <v>29.359628197604181</v>
      </c>
      <c r="N692" s="96">
        <v>9.765625E-4</v>
      </c>
      <c r="O692" s="96">
        <f t="shared" si="43"/>
        <v>0.96484375</v>
      </c>
      <c r="Q692" s="96">
        <f t="shared" si="40"/>
        <v>1</v>
      </c>
      <c r="R692" s="96">
        <f t="shared" si="41"/>
        <v>0</v>
      </c>
      <c r="S692" s="96">
        <f t="shared" si="42"/>
        <v>0</v>
      </c>
    </row>
    <row r="693" spans="1:19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17.567905673498938</v>
      </c>
      <c r="H693">
        <v>1.953125E-3</v>
      </c>
      <c r="I693">
        <v>-0.55677344916771487</v>
      </c>
      <c r="J693">
        <v>-1.0874481429056931E-3</v>
      </c>
      <c r="L693" s="101"/>
      <c r="M693" s="101">
        <v>29.359628197604181</v>
      </c>
      <c r="N693" s="96">
        <v>1.953125E-3</v>
      </c>
      <c r="O693" s="96">
        <f t="shared" si="43"/>
        <v>0.966796875</v>
      </c>
      <c r="Q693" s="96">
        <f t="shared" si="40"/>
        <v>1</v>
      </c>
      <c r="R693" s="96">
        <f t="shared" si="41"/>
        <v>0</v>
      </c>
      <c r="S693" s="96">
        <f t="shared" si="42"/>
        <v>0</v>
      </c>
    </row>
    <row r="694" spans="1:19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30.743834928623173</v>
      </c>
      <c r="H694">
        <v>9.765625E-4</v>
      </c>
      <c r="I694">
        <v>-0.35887020650997764</v>
      </c>
      <c r="J694">
        <v>-3.5045918604490004E-4</v>
      </c>
      <c r="L694" s="101"/>
      <c r="M694" s="101">
        <v>29.359628197604181</v>
      </c>
      <c r="N694" s="96">
        <v>9.765625E-4</v>
      </c>
      <c r="O694" s="96">
        <f t="shared" si="43"/>
        <v>0.9677734375</v>
      </c>
      <c r="Q694" s="96">
        <f t="shared" si="40"/>
        <v>1</v>
      </c>
      <c r="R694" s="96">
        <f t="shared" si="41"/>
        <v>0</v>
      </c>
      <c r="S694" s="96">
        <f t="shared" si="42"/>
        <v>0</v>
      </c>
    </row>
    <row r="695" spans="1:19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8.783952836749469</v>
      </c>
      <c r="H695">
        <v>4.8828125E-4</v>
      </c>
      <c r="I695">
        <v>-0.74617253310994702</v>
      </c>
      <c r="J695">
        <v>-3.6434205718259132E-4</v>
      </c>
      <c r="L695" s="101"/>
      <c r="M695" s="101">
        <v>29.556650419826404</v>
      </c>
      <c r="N695" s="96">
        <v>4.8828125E-4</v>
      </c>
      <c r="O695" s="96">
        <f t="shared" si="43"/>
        <v>0.96826171875</v>
      </c>
      <c r="Q695" s="96">
        <f t="shared" si="40"/>
        <v>1</v>
      </c>
      <c r="R695" s="96">
        <f t="shared" si="41"/>
        <v>0</v>
      </c>
      <c r="S695" s="96">
        <f t="shared" si="42"/>
        <v>0</v>
      </c>
    </row>
    <row r="696" spans="1:19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26.351858510248409</v>
      </c>
      <c r="H696">
        <v>9.765625E-4</v>
      </c>
      <c r="I696">
        <v>-0.4154490549338361</v>
      </c>
      <c r="J696">
        <v>-4.0571196770882432E-4</v>
      </c>
      <c r="L696" s="101"/>
      <c r="M696" s="101">
        <v>29.556650419826404</v>
      </c>
      <c r="N696" s="96">
        <v>9.765625E-4</v>
      </c>
      <c r="O696" s="96">
        <f t="shared" si="43"/>
        <v>0.96923828125</v>
      </c>
      <c r="Q696" s="96">
        <f t="shared" si="40"/>
        <v>1</v>
      </c>
      <c r="R696" s="96">
        <f t="shared" si="41"/>
        <v>0</v>
      </c>
      <c r="S696" s="96">
        <f t="shared" si="42"/>
        <v>0</v>
      </c>
    </row>
    <row r="697" spans="1:19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39.527787765372643</v>
      </c>
      <c r="H697">
        <v>4.8828125E-4</v>
      </c>
      <c r="I697">
        <v>-0.26777909104923975</v>
      </c>
      <c r="J697">
        <v>-1.307515093013866E-4</v>
      </c>
      <c r="L697" s="101"/>
      <c r="M697" s="101">
        <v>29.556650419826404</v>
      </c>
      <c r="N697" s="96">
        <v>4.8828125E-4</v>
      </c>
      <c r="O697" s="96">
        <f t="shared" si="43"/>
        <v>0.9697265625</v>
      </c>
      <c r="Q697" s="96">
        <f t="shared" si="40"/>
        <v>1</v>
      </c>
      <c r="R697" s="96">
        <f t="shared" si="41"/>
        <v>0</v>
      </c>
      <c r="S697" s="96">
        <f t="shared" si="42"/>
        <v>0</v>
      </c>
    </row>
    <row r="698" spans="1:19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4.3919764183747665</v>
      </c>
      <c r="H698">
        <v>9.765625E-4</v>
      </c>
      <c r="I698">
        <v>-0.86381278823014962</v>
      </c>
      <c r="J698">
        <v>-8.4356717600600549E-4</v>
      </c>
      <c r="L698" s="101"/>
      <c r="M698" s="101">
        <v>30.552879432172077</v>
      </c>
      <c r="N698" s="96">
        <v>1.953125E-3</v>
      </c>
      <c r="O698" s="96">
        <f t="shared" si="43"/>
        <v>0.9716796875</v>
      </c>
      <c r="Q698" s="96">
        <f t="shared" si="40"/>
        <v>1</v>
      </c>
      <c r="R698" s="96">
        <f t="shared" si="41"/>
        <v>0</v>
      </c>
      <c r="S698" s="96">
        <f t="shared" si="42"/>
        <v>0</v>
      </c>
    </row>
    <row r="699" spans="1:19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21.959882091873702</v>
      </c>
      <c r="H699">
        <v>1.953125E-3</v>
      </c>
      <c r="I699">
        <v>-0.48094802553808136</v>
      </c>
      <c r="J699">
        <v>-9.3935161237906515E-4</v>
      </c>
      <c r="L699" s="101"/>
      <c r="M699" s="101">
        <v>30.552879432172077</v>
      </c>
      <c r="N699" s="96">
        <v>3.90625E-3</v>
      </c>
      <c r="O699" s="96">
        <f t="shared" si="43"/>
        <v>0.9755859375</v>
      </c>
      <c r="Q699" s="96">
        <f t="shared" si="40"/>
        <v>1</v>
      </c>
      <c r="R699" s="96">
        <f t="shared" si="41"/>
        <v>0</v>
      </c>
      <c r="S699" s="96">
        <f t="shared" si="42"/>
        <v>0</v>
      </c>
    </row>
    <row r="700" spans="1:19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35.135811346997876</v>
      </c>
      <c r="H700">
        <v>9.765625E-4</v>
      </c>
      <c r="I700">
        <v>-0.30999667369811401</v>
      </c>
      <c r="J700">
        <v>-3.0273112665831446E-4</v>
      </c>
      <c r="L700" s="101"/>
      <c r="M700" s="101">
        <v>30.552879432172077</v>
      </c>
      <c r="N700" s="96">
        <v>1.953125E-3</v>
      </c>
      <c r="O700" s="96">
        <f t="shared" si="43"/>
        <v>0.9775390625</v>
      </c>
      <c r="Q700" s="96">
        <f t="shared" si="40"/>
        <v>1</v>
      </c>
      <c r="R700" s="96">
        <f t="shared" si="41"/>
        <v>0</v>
      </c>
      <c r="S700" s="96">
        <f t="shared" si="42"/>
        <v>0</v>
      </c>
    </row>
    <row r="701" spans="1:19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0</v>
      </c>
      <c r="H701">
        <v>4.8828125E-4</v>
      </c>
      <c r="I701">
        <v>-1</v>
      </c>
      <c r="J701">
        <v>-4.8828125E-4</v>
      </c>
      <c r="L701" s="101"/>
      <c r="M701" s="101">
        <v>30.552879432172077</v>
      </c>
      <c r="N701" s="96">
        <v>9.765625E-4</v>
      </c>
      <c r="O701" s="96">
        <f t="shared" si="43"/>
        <v>0.978515625</v>
      </c>
      <c r="Q701" s="96">
        <f t="shared" si="40"/>
        <v>1</v>
      </c>
      <c r="R701" s="96">
        <f t="shared" si="41"/>
        <v>0</v>
      </c>
      <c r="S701" s="96">
        <f t="shared" si="42"/>
        <v>0</v>
      </c>
    </row>
    <row r="702" spans="1:19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17.567905673498938</v>
      </c>
      <c r="H702">
        <v>9.765625E-4</v>
      </c>
      <c r="I702">
        <v>-0.55677344916771487</v>
      </c>
      <c r="J702">
        <v>-5.4372407145284656E-4</v>
      </c>
      <c r="L702" s="101"/>
      <c r="M702" s="101">
        <v>30.552879432172077</v>
      </c>
      <c r="N702" s="96">
        <v>1.953125E-3</v>
      </c>
      <c r="O702" s="96">
        <f t="shared" si="43"/>
        <v>0.98046875</v>
      </c>
      <c r="Q702" s="96">
        <f t="shared" si="40"/>
        <v>1</v>
      </c>
      <c r="R702" s="96">
        <f t="shared" si="41"/>
        <v>0</v>
      </c>
      <c r="S702" s="96">
        <f t="shared" si="42"/>
        <v>0</v>
      </c>
    </row>
    <row r="703" spans="1:19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30.743834928623173</v>
      </c>
      <c r="H703">
        <v>4.8828125E-4</v>
      </c>
      <c r="I703">
        <v>-0.35887020650997764</v>
      </c>
      <c r="J703">
        <v>-1.7522959302245002E-4</v>
      </c>
      <c r="L703" s="101"/>
      <c r="M703" s="101">
        <v>30.552879432172077</v>
      </c>
      <c r="N703" s="96">
        <v>9.765625E-4</v>
      </c>
      <c r="O703" s="96">
        <f t="shared" si="43"/>
        <v>0.9814453125</v>
      </c>
      <c r="Q703" s="96">
        <f t="shared" si="40"/>
        <v>1</v>
      </c>
      <c r="R703" s="96">
        <f t="shared" si="41"/>
        <v>0</v>
      </c>
      <c r="S703" s="96">
        <f t="shared" si="42"/>
        <v>0</v>
      </c>
    </row>
    <row r="704" spans="1:19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8.783952836749469</v>
      </c>
      <c r="H704">
        <v>2.44140625E-4</v>
      </c>
      <c r="I704">
        <v>-0.74617253310994702</v>
      </c>
      <c r="J704">
        <v>-1.8217102859129566E-4</v>
      </c>
      <c r="L704" s="101"/>
      <c r="M704" s="101">
        <v>30.552879432172077</v>
      </c>
      <c r="N704" s="96">
        <v>9.765625E-4</v>
      </c>
      <c r="O704" s="96">
        <f t="shared" si="43"/>
        <v>0.982421875</v>
      </c>
      <c r="Q704" s="96">
        <f t="shared" si="40"/>
        <v>1</v>
      </c>
      <c r="R704" s="96">
        <f t="shared" si="41"/>
        <v>0</v>
      </c>
      <c r="S704" s="96">
        <f t="shared" si="42"/>
        <v>0</v>
      </c>
    </row>
    <row r="705" spans="1:19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26.351858510248409</v>
      </c>
      <c r="H705">
        <v>4.8828125E-4</v>
      </c>
      <c r="I705">
        <v>-0.4154490549338361</v>
      </c>
      <c r="J705">
        <v>-2.0285598385441216E-4</v>
      </c>
      <c r="L705" s="101"/>
      <c r="M705" s="101">
        <v>30.552879432172077</v>
      </c>
      <c r="N705" s="96">
        <v>1.953125E-3</v>
      </c>
      <c r="O705" s="96">
        <f t="shared" si="43"/>
        <v>0.984375</v>
      </c>
      <c r="Q705" s="96">
        <f t="shared" si="40"/>
        <v>1</v>
      </c>
      <c r="R705" s="96">
        <f t="shared" si="41"/>
        <v>0</v>
      </c>
      <c r="S705" s="96">
        <f t="shared" si="42"/>
        <v>0</v>
      </c>
    </row>
    <row r="706" spans="1:19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39.527787765372643</v>
      </c>
      <c r="H706">
        <v>2.44140625E-4</v>
      </c>
      <c r="I706">
        <v>-0.26777909104923975</v>
      </c>
      <c r="J706">
        <v>-6.5375754650693298E-5</v>
      </c>
      <c r="L706" s="101"/>
      <c r="M706" s="101">
        <v>30.552879432172077</v>
      </c>
      <c r="N706" s="96">
        <v>9.765625E-4</v>
      </c>
      <c r="O706" s="96">
        <f t="shared" si="43"/>
        <v>0.9853515625</v>
      </c>
      <c r="Q706" s="96">
        <f t="shared" si="40"/>
        <v>1</v>
      </c>
      <c r="R706" s="96">
        <f t="shared" si="41"/>
        <v>0</v>
      </c>
      <c r="S706" s="96">
        <f t="shared" si="42"/>
        <v>0</v>
      </c>
    </row>
    <row r="707" spans="1:19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4.3919764183747665</v>
      </c>
      <c r="H707">
        <v>4.8828125E-4</v>
      </c>
      <c r="I707">
        <v>-0.86381278823014962</v>
      </c>
      <c r="J707">
        <v>-4.2178358800300274E-4</v>
      </c>
      <c r="L707" s="101"/>
      <c r="M707" s="101">
        <v>30.552879432172077</v>
      </c>
      <c r="N707" s="96">
        <v>4.8828125E-4</v>
      </c>
      <c r="O707" s="96">
        <f t="shared" si="43"/>
        <v>0.98583984375</v>
      </c>
      <c r="Q707" s="96">
        <f t="shared" ref="Q707:Q730" si="44">IF(A707=3,1,0)</f>
        <v>1</v>
      </c>
      <c r="R707" s="96">
        <f t="shared" ref="R707:R730" si="45">IF(A707=2,1,0)</f>
        <v>0</v>
      </c>
      <c r="S707" s="96">
        <f t="shared" ref="S707:S730" si="46">IF(A707=1,1,0)</f>
        <v>0</v>
      </c>
    </row>
    <row r="708" spans="1:19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21.959882091873702</v>
      </c>
      <c r="H708">
        <v>9.765625E-4</v>
      </c>
      <c r="I708">
        <v>-0.48094802553808136</v>
      </c>
      <c r="J708">
        <v>-4.6967580618953258E-4</v>
      </c>
      <c r="L708" s="101"/>
      <c r="M708" s="101">
        <v>30.552879432172077</v>
      </c>
      <c r="N708" s="96">
        <v>9.765625E-4</v>
      </c>
      <c r="O708" s="96">
        <f t="shared" ref="O708:O730" si="47">N708+O707</f>
        <v>0.98681640625</v>
      </c>
      <c r="Q708" s="96">
        <f t="shared" si="44"/>
        <v>1</v>
      </c>
      <c r="R708" s="96">
        <f t="shared" si="45"/>
        <v>0</v>
      </c>
      <c r="S708" s="96">
        <f t="shared" si="46"/>
        <v>0</v>
      </c>
    </row>
    <row r="709" spans="1:19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35.135811346997876</v>
      </c>
      <c r="H709">
        <v>4.8828125E-4</v>
      </c>
      <c r="I709">
        <v>-0.30999667369811401</v>
      </c>
      <c r="J709">
        <v>-1.5136556332915723E-4</v>
      </c>
      <c r="L709" s="101"/>
      <c r="M709" s="101">
        <v>30.552879432172077</v>
      </c>
      <c r="N709" s="96">
        <v>4.8828125E-4</v>
      </c>
      <c r="O709" s="96">
        <f t="shared" si="47"/>
        <v>0.9873046875</v>
      </c>
      <c r="Q709" s="96">
        <f t="shared" si="44"/>
        <v>1</v>
      </c>
      <c r="R709" s="96">
        <f t="shared" si="45"/>
        <v>0</v>
      </c>
      <c r="S709" s="96">
        <f t="shared" si="46"/>
        <v>0</v>
      </c>
    </row>
    <row r="710" spans="1:19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0</v>
      </c>
      <c r="H710">
        <v>2.44140625E-4</v>
      </c>
      <c r="I710">
        <v>-1</v>
      </c>
      <c r="J710">
        <v>-2.44140625E-4</v>
      </c>
      <c r="L710" s="101"/>
      <c r="M710" s="101">
        <v>31.708936188475928</v>
      </c>
      <c r="N710" s="96">
        <v>2.44140625E-4</v>
      </c>
      <c r="O710" s="96">
        <f t="shared" si="47"/>
        <v>0.987548828125</v>
      </c>
      <c r="Q710" s="96">
        <f t="shared" si="44"/>
        <v>1</v>
      </c>
      <c r="R710" s="96">
        <f t="shared" si="45"/>
        <v>0</v>
      </c>
      <c r="S710" s="96">
        <f t="shared" si="46"/>
        <v>0</v>
      </c>
    </row>
    <row r="711" spans="1:19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17.567905673498938</v>
      </c>
      <c r="H711">
        <v>4.8828125E-4</v>
      </c>
      <c r="I711">
        <v>-0.55677344916771487</v>
      </c>
      <c r="J711">
        <v>-2.7186203572642328E-4</v>
      </c>
      <c r="L711" s="101"/>
      <c r="M711" s="101">
        <v>31.708936188475928</v>
      </c>
      <c r="N711" s="96">
        <v>4.8828125E-4</v>
      </c>
      <c r="O711" s="96">
        <f t="shared" si="47"/>
        <v>0.988037109375</v>
      </c>
      <c r="Q711" s="96">
        <f t="shared" si="44"/>
        <v>1</v>
      </c>
      <c r="R711" s="96">
        <f t="shared" si="45"/>
        <v>0</v>
      </c>
      <c r="S711" s="96">
        <f t="shared" si="46"/>
        <v>0</v>
      </c>
    </row>
    <row r="712" spans="1:19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30.743834928623173</v>
      </c>
      <c r="H712">
        <v>2.44140625E-4</v>
      </c>
      <c r="I712">
        <v>-0.35887020650997764</v>
      </c>
      <c r="J712">
        <v>-8.761479651122501E-5</v>
      </c>
      <c r="L712" s="101"/>
      <c r="M712" s="101">
        <v>31.708936188475928</v>
      </c>
      <c r="N712" s="96">
        <v>2.44140625E-4</v>
      </c>
      <c r="O712" s="96">
        <f t="shared" si="47"/>
        <v>0.98828125</v>
      </c>
      <c r="Q712" s="96">
        <f t="shared" si="44"/>
        <v>1</v>
      </c>
      <c r="R712" s="96">
        <f t="shared" si="45"/>
        <v>0</v>
      </c>
      <c r="S712" s="96">
        <f t="shared" si="46"/>
        <v>0</v>
      </c>
    </row>
    <row r="713" spans="1:19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8.783952836749469</v>
      </c>
      <c r="H713">
        <v>4.8828125E-4</v>
      </c>
      <c r="I713">
        <v>-0.74617253310994702</v>
      </c>
      <c r="J713">
        <v>-3.6434205718259132E-4</v>
      </c>
      <c r="L713" s="101"/>
      <c r="M713" s="101">
        <v>33.029581722304734</v>
      </c>
      <c r="N713" s="96">
        <v>4.8828125E-4</v>
      </c>
      <c r="O713" s="96">
        <f t="shared" si="47"/>
        <v>0.98876953125</v>
      </c>
      <c r="Q713" s="96">
        <f t="shared" si="44"/>
        <v>1</v>
      </c>
      <c r="R713" s="96">
        <f t="shared" si="45"/>
        <v>0</v>
      </c>
      <c r="S713" s="96">
        <f t="shared" si="46"/>
        <v>0</v>
      </c>
    </row>
    <row r="714" spans="1:19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26.351858510248409</v>
      </c>
      <c r="H714">
        <v>9.765625E-4</v>
      </c>
      <c r="I714">
        <v>-0.4154490549338361</v>
      </c>
      <c r="J714">
        <v>-4.0571196770882432E-4</v>
      </c>
      <c r="L714" s="101"/>
      <c r="M714" s="101">
        <v>33.029581722304734</v>
      </c>
      <c r="N714" s="96">
        <v>9.765625E-4</v>
      </c>
      <c r="O714" s="96">
        <f t="shared" si="47"/>
        <v>0.98974609375</v>
      </c>
      <c r="Q714" s="96">
        <f t="shared" si="44"/>
        <v>1</v>
      </c>
      <c r="R714" s="96">
        <f t="shared" si="45"/>
        <v>0</v>
      </c>
      <c r="S714" s="96">
        <f t="shared" si="46"/>
        <v>0</v>
      </c>
    </row>
    <row r="715" spans="1:19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39.527787765372643</v>
      </c>
      <c r="H715">
        <v>4.8828125E-4</v>
      </c>
      <c r="I715">
        <v>-0.26777909104923975</v>
      </c>
      <c r="J715">
        <v>-1.307515093013866E-4</v>
      </c>
      <c r="L715" s="101"/>
      <c r="M715" s="101">
        <v>33.029581722304734</v>
      </c>
      <c r="N715" s="96">
        <v>4.8828125E-4</v>
      </c>
      <c r="O715" s="96">
        <f t="shared" si="47"/>
        <v>0.990234375</v>
      </c>
      <c r="Q715" s="96">
        <f t="shared" si="44"/>
        <v>1</v>
      </c>
      <c r="R715" s="96">
        <f t="shared" si="45"/>
        <v>0</v>
      </c>
      <c r="S715" s="96">
        <f t="shared" si="46"/>
        <v>0</v>
      </c>
    </row>
    <row r="716" spans="1:19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4.3919764183747665</v>
      </c>
      <c r="H716">
        <v>9.765625E-4</v>
      </c>
      <c r="I716">
        <v>-0.86381278823014962</v>
      </c>
      <c r="J716">
        <v>-8.4356717600600549E-4</v>
      </c>
      <c r="L716" s="101"/>
      <c r="M716" s="101">
        <v>33.25123172230473</v>
      </c>
      <c r="N716" s="96">
        <v>2.44140625E-4</v>
      </c>
      <c r="O716" s="96">
        <f t="shared" si="47"/>
        <v>0.990478515625</v>
      </c>
      <c r="Q716" s="96">
        <f t="shared" si="44"/>
        <v>1</v>
      </c>
      <c r="R716" s="96">
        <f t="shared" si="45"/>
        <v>0</v>
      </c>
      <c r="S716" s="96">
        <f t="shared" si="46"/>
        <v>0</v>
      </c>
    </row>
    <row r="717" spans="1:19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21.959882091873702</v>
      </c>
      <c r="H717">
        <v>1.953125E-3</v>
      </c>
      <c r="I717">
        <v>-0.48094802553808136</v>
      </c>
      <c r="J717">
        <v>-9.3935161237906515E-4</v>
      </c>
      <c r="L717" s="101"/>
      <c r="M717" s="101">
        <v>33.25123172230473</v>
      </c>
      <c r="N717" s="96">
        <v>4.8828125E-4</v>
      </c>
      <c r="O717" s="96">
        <f t="shared" si="47"/>
        <v>0.990966796875</v>
      </c>
      <c r="Q717" s="96">
        <f t="shared" si="44"/>
        <v>1</v>
      </c>
      <c r="R717" s="96">
        <f t="shared" si="45"/>
        <v>0</v>
      </c>
      <c r="S717" s="96">
        <f t="shared" si="46"/>
        <v>0</v>
      </c>
    </row>
    <row r="718" spans="1:19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35.135811346997876</v>
      </c>
      <c r="H718">
        <v>9.765625E-4</v>
      </c>
      <c r="I718">
        <v>-0.30999667369811401</v>
      </c>
      <c r="J718">
        <v>-3.0273112665831446E-4</v>
      </c>
      <c r="L718" s="101"/>
      <c r="M718" s="101">
        <v>33.25123172230473</v>
      </c>
      <c r="N718" s="96">
        <v>2.44140625E-4</v>
      </c>
      <c r="O718" s="96">
        <f t="shared" si="47"/>
        <v>0.9912109375</v>
      </c>
      <c r="Q718" s="96">
        <f t="shared" si="44"/>
        <v>1</v>
      </c>
      <c r="R718" s="96">
        <f t="shared" si="45"/>
        <v>0</v>
      </c>
      <c r="S718" s="96">
        <f t="shared" si="46"/>
        <v>0</v>
      </c>
    </row>
    <row r="719" spans="1:19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0</v>
      </c>
      <c r="H719">
        <v>4.8828125E-4</v>
      </c>
      <c r="I719">
        <v>-1</v>
      </c>
      <c r="J719">
        <v>-4.8828125E-4</v>
      </c>
      <c r="L719" s="101"/>
      <c r="M719" s="101">
        <v>34.371989361193634</v>
      </c>
      <c r="N719" s="96">
        <v>9.765625E-4</v>
      </c>
      <c r="O719" s="96">
        <f t="shared" si="47"/>
        <v>0.9921875</v>
      </c>
      <c r="Q719" s="96">
        <f t="shared" si="44"/>
        <v>1</v>
      </c>
      <c r="R719" s="96">
        <f t="shared" si="45"/>
        <v>0</v>
      </c>
      <c r="S719" s="96">
        <f t="shared" si="46"/>
        <v>0</v>
      </c>
    </row>
    <row r="720" spans="1:19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17.567905673498938</v>
      </c>
      <c r="H720">
        <v>9.765625E-4</v>
      </c>
      <c r="I720">
        <v>-0.55677344916771487</v>
      </c>
      <c r="J720">
        <v>-5.4372407145284656E-4</v>
      </c>
      <c r="L720" s="101"/>
      <c r="M720" s="101">
        <v>34.371989361193634</v>
      </c>
      <c r="N720" s="96">
        <v>1.953125E-3</v>
      </c>
      <c r="O720" s="96">
        <f t="shared" si="47"/>
        <v>0.994140625</v>
      </c>
      <c r="Q720" s="96">
        <f t="shared" si="44"/>
        <v>1</v>
      </c>
      <c r="R720" s="96">
        <f t="shared" si="45"/>
        <v>0</v>
      </c>
      <c r="S720" s="96">
        <f t="shared" si="46"/>
        <v>0</v>
      </c>
    </row>
    <row r="721" spans="1:19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30.743834928623173</v>
      </c>
      <c r="H721">
        <v>4.8828125E-4</v>
      </c>
      <c r="I721">
        <v>-0.35887020650997764</v>
      </c>
      <c r="J721">
        <v>-1.7522959302245002E-4</v>
      </c>
      <c r="L721" s="101"/>
      <c r="M721" s="101">
        <v>34.371989361193634</v>
      </c>
      <c r="N721" s="96">
        <v>9.765625E-4</v>
      </c>
      <c r="O721" s="96">
        <f t="shared" si="47"/>
        <v>0.9951171875</v>
      </c>
      <c r="Q721" s="96">
        <f t="shared" si="44"/>
        <v>1</v>
      </c>
      <c r="R721" s="96">
        <f t="shared" si="45"/>
        <v>0</v>
      </c>
      <c r="S721" s="96">
        <f t="shared" si="46"/>
        <v>0</v>
      </c>
    </row>
    <row r="722" spans="1:19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8.783952836749469</v>
      </c>
      <c r="H722">
        <v>2.44140625E-4</v>
      </c>
      <c r="I722">
        <v>-0.74617253310994702</v>
      </c>
      <c r="J722">
        <v>-1.8217102859129566E-4</v>
      </c>
      <c r="L722" s="101"/>
      <c r="M722" s="101">
        <v>34.371989361193634</v>
      </c>
      <c r="N722" s="96">
        <v>4.8828125E-4</v>
      </c>
      <c r="O722" s="96">
        <f t="shared" si="47"/>
        <v>0.99560546875</v>
      </c>
      <c r="Q722" s="96">
        <f t="shared" si="44"/>
        <v>1</v>
      </c>
      <c r="R722" s="96">
        <f t="shared" si="45"/>
        <v>0</v>
      </c>
      <c r="S722" s="96">
        <f t="shared" si="46"/>
        <v>0</v>
      </c>
    </row>
    <row r="723" spans="1:19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26.351858510248409</v>
      </c>
      <c r="H723">
        <v>4.8828125E-4</v>
      </c>
      <c r="I723">
        <v>-0.4154490549338361</v>
      </c>
      <c r="J723">
        <v>-2.0285598385441216E-4</v>
      </c>
      <c r="L723" s="101"/>
      <c r="M723" s="101">
        <v>34.371989361193634</v>
      </c>
      <c r="N723" s="96">
        <v>9.765625E-4</v>
      </c>
      <c r="O723" s="96">
        <f t="shared" si="47"/>
        <v>0.99658203125</v>
      </c>
      <c r="Q723" s="96">
        <f t="shared" si="44"/>
        <v>1</v>
      </c>
      <c r="R723" s="96">
        <f t="shared" si="45"/>
        <v>0</v>
      </c>
      <c r="S723" s="96">
        <f t="shared" si="46"/>
        <v>0</v>
      </c>
    </row>
    <row r="724" spans="1:19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39.527787765372643</v>
      </c>
      <c r="H724">
        <v>2.44140625E-4</v>
      </c>
      <c r="I724">
        <v>-0.26777909104923975</v>
      </c>
      <c r="J724">
        <v>-6.5375754650693298E-5</v>
      </c>
      <c r="L724" s="101"/>
      <c r="M724" s="101">
        <v>34.371989361193634</v>
      </c>
      <c r="N724" s="96">
        <v>4.8828125E-4</v>
      </c>
      <c r="O724" s="96">
        <f t="shared" si="47"/>
        <v>0.9970703125</v>
      </c>
      <c r="Q724" s="96">
        <f t="shared" si="44"/>
        <v>1</v>
      </c>
      <c r="R724" s="96">
        <f t="shared" si="45"/>
        <v>0</v>
      </c>
      <c r="S724" s="96">
        <f t="shared" si="46"/>
        <v>0</v>
      </c>
    </row>
    <row r="725" spans="1:19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4.3919764183747665</v>
      </c>
      <c r="H725">
        <v>4.8828125E-4</v>
      </c>
      <c r="I725">
        <v>-0.86381278823014962</v>
      </c>
      <c r="J725">
        <v>-4.2178358800300274E-4</v>
      </c>
      <c r="L725" s="101"/>
      <c r="M725" s="101">
        <v>34.371989361193634</v>
      </c>
      <c r="N725" s="96">
        <v>4.8828125E-4</v>
      </c>
      <c r="O725" s="96">
        <f t="shared" si="47"/>
        <v>0.99755859375</v>
      </c>
      <c r="Q725" s="96">
        <f t="shared" si="44"/>
        <v>1</v>
      </c>
      <c r="R725" s="96">
        <f t="shared" si="45"/>
        <v>0</v>
      </c>
      <c r="S725" s="96">
        <f t="shared" si="46"/>
        <v>0</v>
      </c>
    </row>
    <row r="726" spans="1:19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21.959882091873702</v>
      </c>
      <c r="H726">
        <v>9.765625E-4</v>
      </c>
      <c r="I726">
        <v>-0.48094802553808136</v>
      </c>
      <c r="J726">
        <v>-4.6967580618953258E-4</v>
      </c>
      <c r="L726" s="101"/>
      <c r="M726" s="101">
        <v>34.371989361193634</v>
      </c>
      <c r="N726" s="96">
        <v>9.765625E-4</v>
      </c>
      <c r="O726" s="96">
        <f t="shared" si="47"/>
        <v>0.99853515625</v>
      </c>
      <c r="Q726" s="96">
        <f t="shared" si="44"/>
        <v>1</v>
      </c>
      <c r="R726" s="96">
        <f t="shared" si="45"/>
        <v>0</v>
      </c>
      <c r="S726" s="96">
        <f t="shared" si="46"/>
        <v>0</v>
      </c>
    </row>
    <row r="727" spans="1:19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35.135811346997876</v>
      </c>
      <c r="H727">
        <v>4.8828125E-4</v>
      </c>
      <c r="I727">
        <v>-0.30999667369811401</v>
      </c>
      <c r="J727">
        <v>-1.5136556332915723E-4</v>
      </c>
      <c r="L727" s="101"/>
      <c r="M727" s="101">
        <v>34.371989361193634</v>
      </c>
      <c r="N727" s="96">
        <v>4.8828125E-4</v>
      </c>
      <c r="O727" s="96">
        <f t="shared" si="47"/>
        <v>0.9990234375</v>
      </c>
      <c r="Q727" s="96">
        <f t="shared" si="44"/>
        <v>1</v>
      </c>
      <c r="R727" s="96">
        <f t="shared" si="45"/>
        <v>0</v>
      </c>
      <c r="S727" s="96">
        <f t="shared" si="46"/>
        <v>0</v>
      </c>
    </row>
    <row r="728" spans="1:19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0</v>
      </c>
      <c r="H728">
        <v>2.44140625E-4</v>
      </c>
      <c r="I728">
        <v>-1</v>
      </c>
      <c r="J728">
        <v>-2.44140625E-4</v>
      </c>
      <c r="L728" s="101"/>
      <c r="M728" s="101">
        <v>34.371989361193634</v>
      </c>
      <c r="N728" s="96">
        <v>2.44140625E-4</v>
      </c>
      <c r="O728" s="96">
        <f t="shared" si="47"/>
        <v>0.999267578125</v>
      </c>
      <c r="Q728" s="96">
        <f t="shared" si="44"/>
        <v>1</v>
      </c>
      <c r="R728" s="96">
        <f t="shared" si="45"/>
        <v>0</v>
      </c>
      <c r="S728" s="96">
        <f t="shared" si="46"/>
        <v>0</v>
      </c>
    </row>
    <row r="729" spans="1:19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17.567905673498938</v>
      </c>
      <c r="H729">
        <v>4.8828125E-4</v>
      </c>
      <c r="I729">
        <v>-0.55677344916771487</v>
      </c>
      <c r="J729">
        <v>-2.7186203572642328E-4</v>
      </c>
      <c r="L729" s="101"/>
      <c r="M729" s="101">
        <v>34.371989361193634</v>
      </c>
      <c r="N729" s="96">
        <v>4.8828125E-4</v>
      </c>
      <c r="O729" s="96">
        <f t="shared" si="47"/>
        <v>0.999755859375</v>
      </c>
      <c r="Q729" s="96">
        <f t="shared" si="44"/>
        <v>1</v>
      </c>
      <c r="R729" s="96">
        <f t="shared" si="45"/>
        <v>0</v>
      </c>
      <c r="S729" s="96">
        <f t="shared" si="46"/>
        <v>0</v>
      </c>
    </row>
    <row r="730" spans="1:19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30.743834928623173</v>
      </c>
      <c r="H730">
        <v>2.44140625E-4</v>
      </c>
      <c r="I730">
        <v>-0.35887020650997764</v>
      </c>
      <c r="J730">
        <v>-8.761479651122501E-5</v>
      </c>
      <c r="L730" s="101"/>
      <c r="M730" s="101">
        <v>34.371989361193634</v>
      </c>
      <c r="N730" s="96">
        <v>2.44140625E-4</v>
      </c>
      <c r="O730" s="96">
        <f t="shared" si="47"/>
        <v>1</v>
      </c>
      <c r="Q730" s="96">
        <f t="shared" si="44"/>
        <v>1</v>
      </c>
      <c r="R730" s="96">
        <f t="shared" si="45"/>
        <v>0</v>
      </c>
      <c r="S730" s="96">
        <f t="shared" si="46"/>
        <v>0</v>
      </c>
    </row>
  </sheetData>
  <sortState ref="M2:N731">
    <sortCondition ref="M2:M7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30"/>
  <sheetViews>
    <sheetView workbookViewId="0">
      <selection activeCell="G19" sqref="G19"/>
    </sheetView>
  </sheetViews>
  <sheetFormatPr defaultRowHeight="14.25" x14ac:dyDescent="0.45"/>
  <sheetData>
    <row r="1" spans="1:15" x14ac:dyDescent="0.45">
      <c r="G1" t="s">
        <v>84</v>
      </c>
      <c r="H1" t="s">
        <v>75</v>
      </c>
      <c r="L1" s="96"/>
      <c r="M1" t="s">
        <v>84</v>
      </c>
      <c r="N1" t="s">
        <v>75</v>
      </c>
      <c r="O1" t="s">
        <v>83</v>
      </c>
    </row>
    <row r="2" spans="1:15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2.0051570117692603</v>
      </c>
      <c r="H2">
        <v>2.44140625E-4</v>
      </c>
      <c r="I2">
        <v>-0.93534618483508769</v>
      </c>
      <c r="J2">
        <v>-2.2835600215700383E-4</v>
      </c>
      <c r="K2" s="97" t="s">
        <v>86</v>
      </c>
      <c r="L2" s="97">
        <f>SUM(J:J)</f>
        <v>-0.7030388325063891</v>
      </c>
      <c r="M2">
        <v>1.4154049494841852</v>
      </c>
      <c r="N2">
        <v>2.44140625E-4</v>
      </c>
      <c r="O2">
        <f>N2</f>
        <v>2.44140625E-4</v>
      </c>
    </row>
    <row r="3" spans="1:15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2.2108141411814906</v>
      </c>
      <c r="H3">
        <v>4.8828125E-4</v>
      </c>
      <c r="I3">
        <v>-0.92895609228207632</v>
      </c>
      <c r="J3">
        <v>-4.5359184193460758E-4</v>
      </c>
      <c r="K3" s="97"/>
      <c r="L3" s="97"/>
      <c r="M3">
        <v>1.4154049494841852</v>
      </c>
      <c r="N3">
        <v>4.8828125E-4</v>
      </c>
      <c r="O3">
        <f>N3+O2</f>
        <v>7.32421875E-4</v>
      </c>
    </row>
    <row r="4" spans="1:15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2.3650569882406645</v>
      </c>
      <c r="H4">
        <v>2.44140625E-4</v>
      </c>
      <c r="I4">
        <v>-0.92419218832919936</v>
      </c>
      <c r="J4">
        <v>-2.2563285847880844E-4</v>
      </c>
      <c r="K4" s="97" t="s">
        <v>92</v>
      </c>
      <c r="L4" s="97">
        <f>-LN(-1*L2)/(1/risk_tol)</f>
        <v>10.570294512701421</v>
      </c>
      <c r="M4">
        <v>1.4154049494841852</v>
      </c>
      <c r="N4">
        <v>2.44140625E-4</v>
      </c>
      <c r="O4">
        <f t="shared" ref="O4:O67" si="0">N4+O3</f>
        <v>9.765625E-4</v>
      </c>
    </row>
    <row r="5" spans="1:15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2.0051570117692603</v>
      </c>
      <c r="H5">
        <v>4.8828125E-4</v>
      </c>
      <c r="I5">
        <v>-0.93534618483508769</v>
      </c>
      <c r="J5">
        <v>-4.5671200431400766E-4</v>
      </c>
      <c r="K5" s="97"/>
      <c r="L5" s="97"/>
      <c r="M5">
        <v>1.4154049494841852</v>
      </c>
      <c r="N5">
        <v>4.8828125E-4</v>
      </c>
      <c r="O5">
        <f t="shared" si="0"/>
        <v>1.46484375E-3</v>
      </c>
    </row>
    <row r="6" spans="1:15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2.2108141411814906</v>
      </c>
      <c r="H6">
        <v>9.765625E-4</v>
      </c>
      <c r="I6">
        <v>-0.92895609228207632</v>
      </c>
      <c r="J6">
        <v>-9.0718368386921515E-4</v>
      </c>
      <c r="K6" s="97" t="s">
        <v>83</v>
      </c>
      <c r="L6" s="97">
        <f>SUMPRODUCT(G2:G730,H2:H730)</f>
        <v>11.354855597298622</v>
      </c>
      <c r="M6">
        <v>1.4154049494841852</v>
      </c>
      <c r="N6">
        <v>9.765625E-4</v>
      </c>
      <c r="O6">
        <f t="shared" si="0"/>
        <v>2.44140625E-3</v>
      </c>
    </row>
    <row r="7" spans="1:15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2.3650569882406645</v>
      </c>
      <c r="H7">
        <v>4.8828125E-4</v>
      </c>
      <c r="I7">
        <v>-0.92419218832919936</v>
      </c>
      <c r="J7">
        <v>-4.5126571695761688E-4</v>
      </c>
      <c r="M7">
        <v>1.4154049494841852</v>
      </c>
      <c r="N7">
        <v>4.8828125E-4</v>
      </c>
      <c r="O7">
        <f t="shared" si="0"/>
        <v>2.9296875E-3</v>
      </c>
    </row>
    <row r="8" spans="1:15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2.0051570117692603</v>
      </c>
      <c r="H8">
        <v>2.44140625E-4</v>
      </c>
      <c r="I8">
        <v>-0.93534618483508769</v>
      </c>
      <c r="J8">
        <v>-2.2835600215700383E-4</v>
      </c>
      <c r="M8">
        <v>1.4154049494841852</v>
      </c>
      <c r="N8">
        <v>2.44140625E-4</v>
      </c>
      <c r="O8">
        <f t="shared" si="0"/>
        <v>3.173828125E-3</v>
      </c>
    </row>
    <row r="9" spans="1:15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2.2108141411814906</v>
      </c>
      <c r="H9">
        <v>4.8828125E-4</v>
      </c>
      <c r="I9">
        <v>-0.92895609228207632</v>
      </c>
      <c r="J9">
        <v>-4.5359184193460758E-4</v>
      </c>
      <c r="M9">
        <v>1.4154049494841852</v>
      </c>
      <c r="N9">
        <v>4.8828125E-4</v>
      </c>
      <c r="O9">
        <f t="shared" si="0"/>
        <v>3.662109375E-3</v>
      </c>
    </row>
    <row r="10" spans="1:15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2.3650569882406645</v>
      </c>
      <c r="H10">
        <v>2.44140625E-4</v>
      </c>
      <c r="I10">
        <v>-0.92419218832919936</v>
      </c>
      <c r="J10">
        <v>-2.2563285847880844E-4</v>
      </c>
      <c r="M10">
        <v>1.4154049494841852</v>
      </c>
      <c r="N10">
        <v>2.44140625E-4</v>
      </c>
      <c r="O10">
        <f t="shared" si="0"/>
        <v>3.90625E-3</v>
      </c>
    </row>
    <row r="11" spans="1:15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2.0051570117692603</v>
      </c>
      <c r="H11">
        <v>4.8828125E-4</v>
      </c>
      <c r="I11">
        <v>-0.93534618483508769</v>
      </c>
      <c r="J11">
        <v>-4.5671200431400766E-4</v>
      </c>
      <c r="M11">
        <v>1.5605746878928177</v>
      </c>
      <c r="N11">
        <v>4.8828125E-4</v>
      </c>
      <c r="O11">
        <f t="shared" si="0"/>
        <v>4.39453125E-3</v>
      </c>
    </row>
    <row r="12" spans="1:15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2.2108141411814906</v>
      </c>
      <c r="H12">
        <v>9.765625E-4</v>
      </c>
      <c r="I12">
        <v>-0.92895609228207632</v>
      </c>
      <c r="J12">
        <v>-9.0718368386921515E-4</v>
      </c>
      <c r="M12">
        <v>1.5605746878928177</v>
      </c>
      <c r="N12">
        <v>9.765625E-4</v>
      </c>
      <c r="O12">
        <f t="shared" si="0"/>
        <v>5.37109375E-3</v>
      </c>
    </row>
    <row r="13" spans="1:15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2.3650569882406645</v>
      </c>
      <c r="H13">
        <v>4.8828125E-4</v>
      </c>
      <c r="I13">
        <v>-0.92419218832919936</v>
      </c>
      <c r="J13">
        <v>-4.5126571695761688E-4</v>
      </c>
      <c r="M13">
        <v>1.5605746878928177</v>
      </c>
      <c r="N13">
        <v>4.8828125E-4</v>
      </c>
      <c r="O13">
        <f t="shared" si="0"/>
        <v>5.859375E-3</v>
      </c>
    </row>
    <row r="14" spans="1:15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2.0051570117692603</v>
      </c>
      <c r="H14">
        <v>9.765625E-4</v>
      </c>
      <c r="I14">
        <v>-0.93534618483508769</v>
      </c>
      <c r="J14">
        <v>-9.1342400862801532E-4</v>
      </c>
      <c r="M14">
        <v>1.5605746878928177</v>
      </c>
      <c r="N14">
        <v>9.765625E-4</v>
      </c>
      <c r="O14">
        <f t="shared" si="0"/>
        <v>6.8359375E-3</v>
      </c>
    </row>
    <row r="15" spans="1:15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2.2108141411814906</v>
      </c>
      <c r="H15">
        <v>1.953125E-3</v>
      </c>
      <c r="I15">
        <v>-0.92895609228207632</v>
      </c>
      <c r="J15">
        <v>-1.8143673677384303E-3</v>
      </c>
      <c r="M15">
        <v>1.5605746878928177</v>
      </c>
      <c r="N15">
        <v>1.953125E-3</v>
      </c>
      <c r="O15">
        <f t="shared" si="0"/>
        <v>8.7890625E-3</v>
      </c>
    </row>
    <row r="16" spans="1:15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2.3650569882406645</v>
      </c>
      <c r="H16">
        <v>9.765625E-4</v>
      </c>
      <c r="I16">
        <v>-0.92419218832919936</v>
      </c>
      <c r="J16">
        <v>-9.0253143391523375E-4</v>
      </c>
      <c r="M16">
        <v>1.5605746878928177</v>
      </c>
      <c r="N16">
        <v>9.765625E-4</v>
      </c>
      <c r="O16">
        <f t="shared" si="0"/>
        <v>9.765625E-3</v>
      </c>
    </row>
    <row r="17" spans="1:15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2.0051570117692603</v>
      </c>
      <c r="H17">
        <v>4.8828125E-4</v>
      </c>
      <c r="I17">
        <v>-0.93534618483508769</v>
      </c>
      <c r="J17">
        <v>-4.5671200431400766E-4</v>
      </c>
      <c r="M17">
        <v>1.5605746878928177</v>
      </c>
      <c r="N17">
        <v>4.8828125E-4</v>
      </c>
      <c r="O17">
        <f t="shared" si="0"/>
        <v>1.025390625E-2</v>
      </c>
    </row>
    <row r="18" spans="1:15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2.2108141411814906</v>
      </c>
      <c r="H18">
        <v>9.765625E-4</v>
      </c>
      <c r="I18">
        <v>-0.92895609228207632</v>
      </c>
      <c r="J18">
        <v>-9.0718368386921515E-4</v>
      </c>
      <c r="M18">
        <v>1.5605746878928177</v>
      </c>
      <c r="N18">
        <v>9.765625E-4</v>
      </c>
      <c r="O18">
        <f t="shared" si="0"/>
        <v>1.123046875E-2</v>
      </c>
    </row>
    <row r="19" spans="1:15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2.3650569882406645</v>
      </c>
      <c r="H19">
        <v>4.8828125E-4</v>
      </c>
      <c r="I19">
        <v>-0.92419218832919936</v>
      </c>
      <c r="J19">
        <v>-4.5126571695761688E-4</v>
      </c>
      <c r="M19">
        <v>1.5605746878928177</v>
      </c>
      <c r="N19">
        <v>4.8828125E-4</v>
      </c>
      <c r="O19">
        <f t="shared" si="0"/>
        <v>1.171875E-2</v>
      </c>
    </row>
    <row r="20" spans="1:15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2.0051570117692603</v>
      </c>
      <c r="H20">
        <v>2.44140625E-4</v>
      </c>
      <c r="I20">
        <v>-0.93534618483508769</v>
      </c>
      <c r="J20">
        <v>-2.2835600215700383E-4</v>
      </c>
      <c r="M20">
        <v>1.6694519916992943</v>
      </c>
      <c r="N20">
        <v>2.44140625E-4</v>
      </c>
      <c r="O20">
        <f t="shared" si="0"/>
        <v>1.1962890625E-2</v>
      </c>
    </row>
    <row r="21" spans="1:15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2.2108141411814906</v>
      </c>
      <c r="H21">
        <v>4.8828125E-4</v>
      </c>
      <c r="I21">
        <v>-0.92895609228207632</v>
      </c>
      <c r="J21">
        <v>-4.5359184193460758E-4</v>
      </c>
      <c r="M21">
        <v>1.6694519916992943</v>
      </c>
      <c r="N21">
        <v>4.8828125E-4</v>
      </c>
      <c r="O21">
        <f t="shared" si="0"/>
        <v>1.2451171875E-2</v>
      </c>
    </row>
    <row r="22" spans="1:15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2.3650569882406645</v>
      </c>
      <c r="H22">
        <v>2.44140625E-4</v>
      </c>
      <c r="I22">
        <v>-0.92419218832919936</v>
      </c>
      <c r="J22">
        <v>-2.2563285847880844E-4</v>
      </c>
      <c r="M22">
        <v>1.6694519916992943</v>
      </c>
      <c r="N22">
        <v>2.44140625E-4</v>
      </c>
      <c r="O22">
        <f t="shared" si="0"/>
        <v>1.26953125E-2</v>
      </c>
    </row>
    <row r="23" spans="1:15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2.0051570117692603</v>
      </c>
      <c r="H23">
        <v>4.8828125E-4</v>
      </c>
      <c r="I23">
        <v>-0.93534618483508769</v>
      </c>
      <c r="J23">
        <v>-4.5671200431400766E-4</v>
      </c>
      <c r="M23">
        <v>1.6694519916992943</v>
      </c>
      <c r="N23">
        <v>4.8828125E-4</v>
      </c>
      <c r="O23">
        <f t="shared" si="0"/>
        <v>1.318359375E-2</v>
      </c>
    </row>
    <row r="24" spans="1:15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2.2108141411814906</v>
      </c>
      <c r="H24">
        <v>9.765625E-4</v>
      </c>
      <c r="I24">
        <v>-0.92895609228207632</v>
      </c>
      <c r="J24">
        <v>-9.0718368386921515E-4</v>
      </c>
      <c r="M24">
        <v>1.6694519916992943</v>
      </c>
      <c r="N24">
        <v>9.765625E-4</v>
      </c>
      <c r="O24">
        <f t="shared" si="0"/>
        <v>1.416015625E-2</v>
      </c>
    </row>
    <row r="25" spans="1:15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2.3650569882406645</v>
      </c>
      <c r="H25">
        <v>4.8828125E-4</v>
      </c>
      <c r="I25">
        <v>-0.92419218832919936</v>
      </c>
      <c r="J25">
        <v>-4.5126571695761688E-4</v>
      </c>
      <c r="M25">
        <v>1.6694519916992943</v>
      </c>
      <c r="N25">
        <v>4.8828125E-4</v>
      </c>
      <c r="O25">
        <f t="shared" si="0"/>
        <v>1.46484375E-2</v>
      </c>
    </row>
    <row r="26" spans="1:15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2.0051570117692603</v>
      </c>
      <c r="H26">
        <v>2.44140625E-4</v>
      </c>
      <c r="I26">
        <v>-0.93534618483508769</v>
      </c>
      <c r="J26">
        <v>-2.2835600215700383E-4</v>
      </c>
      <c r="M26">
        <v>1.6694519916992943</v>
      </c>
      <c r="N26">
        <v>2.44140625E-4</v>
      </c>
      <c r="O26">
        <f t="shared" si="0"/>
        <v>1.4892578125E-2</v>
      </c>
    </row>
    <row r="27" spans="1:15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2.2108141411814906</v>
      </c>
      <c r="H27">
        <v>4.8828125E-4</v>
      </c>
      <c r="I27">
        <v>-0.92895609228207632</v>
      </c>
      <c r="J27">
        <v>-4.5359184193460758E-4</v>
      </c>
      <c r="M27">
        <v>1.6694519916992943</v>
      </c>
      <c r="N27">
        <v>4.8828125E-4</v>
      </c>
      <c r="O27">
        <f t="shared" si="0"/>
        <v>1.5380859375E-2</v>
      </c>
    </row>
    <row r="28" spans="1:15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2.3650569882406645</v>
      </c>
      <c r="H28">
        <v>2.44140625E-4</v>
      </c>
      <c r="I28">
        <v>-0.92419218832919936</v>
      </c>
      <c r="J28">
        <v>-2.2563285847880844E-4</v>
      </c>
      <c r="M28">
        <v>1.6694519916992943</v>
      </c>
      <c r="N28">
        <v>2.44140625E-4</v>
      </c>
      <c r="O28">
        <f t="shared" si="0"/>
        <v>1.5625E-2</v>
      </c>
    </row>
    <row r="29" spans="1:15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2.4678855529467811</v>
      </c>
      <c r="H29">
        <v>4.8828125E-4</v>
      </c>
      <c r="I29">
        <v>-0.92102983255909443</v>
      </c>
      <c r="J29">
        <v>-4.4972159792924533E-4</v>
      </c>
      <c r="M29">
        <v>1.7420368609036128</v>
      </c>
      <c r="N29">
        <v>4.8828125E-4</v>
      </c>
      <c r="O29">
        <f t="shared" si="0"/>
        <v>1.611328125E-2</v>
      </c>
    </row>
    <row r="30" spans="1:15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2.7210020199156797</v>
      </c>
      <c r="H30">
        <v>9.765625E-4</v>
      </c>
      <c r="I30">
        <v>-0.91329159581003894</v>
      </c>
      <c r="J30">
        <v>-8.9188632403324115E-4</v>
      </c>
      <c r="M30">
        <v>1.7420368609036128</v>
      </c>
      <c r="N30">
        <v>9.765625E-4</v>
      </c>
      <c r="O30">
        <f t="shared" si="0"/>
        <v>1.708984375E-2</v>
      </c>
    </row>
    <row r="31" spans="1:15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2.9108393701423565</v>
      </c>
      <c r="H31">
        <v>4.8828125E-4</v>
      </c>
      <c r="I31">
        <v>-0.90753061397469581</v>
      </c>
      <c r="J31">
        <v>-4.4313018260483194E-4</v>
      </c>
      <c r="M31">
        <v>1.7420368609036128</v>
      </c>
      <c r="N31">
        <v>4.8828125E-4</v>
      </c>
      <c r="O31">
        <f t="shared" si="0"/>
        <v>1.7578125E-2</v>
      </c>
    </row>
    <row r="32" spans="1:15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2.4678855529467811</v>
      </c>
      <c r="H32">
        <v>9.765625E-4</v>
      </c>
      <c r="I32">
        <v>-0.92102983255909443</v>
      </c>
      <c r="J32">
        <v>-8.9944319585849065E-4</v>
      </c>
      <c r="M32">
        <v>1.7420368609036128</v>
      </c>
      <c r="N32">
        <v>9.765625E-4</v>
      </c>
      <c r="O32">
        <f t="shared" si="0"/>
        <v>1.85546875E-2</v>
      </c>
    </row>
    <row r="33" spans="1:15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2.7210020199156797</v>
      </c>
      <c r="H33">
        <v>1.953125E-3</v>
      </c>
      <c r="I33">
        <v>-0.91329159581003894</v>
      </c>
      <c r="J33">
        <v>-1.7837726480664823E-3</v>
      </c>
      <c r="M33">
        <v>1.7420368609036128</v>
      </c>
      <c r="N33">
        <v>1.953125E-3</v>
      </c>
      <c r="O33">
        <f t="shared" si="0"/>
        <v>2.05078125E-2</v>
      </c>
    </row>
    <row r="34" spans="1:15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2.9108393701423565</v>
      </c>
      <c r="H34">
        <v>9.765625E-4</v>
      </c>
      <c r="I34">
        <v>-0.90753061397469581</v>
      </c>
      <c r="J34">
        <v>-8.8626036520966388E-4</v>
      </c>
      <c r="M34">
        <v>1.7420368609036128</v>
      </c>
      <c r="N34">
        <v>9.765625E-4</v>
      </c>
      <c r="O34">
        <f t="shared" si="0"/>
        <v>2.1484375E-2</v>
      </c>
    </row>
    <row r="35" spans="1:15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2.4678855529467811</v>
      </c>
      <c r="H35">
        <v>4.8828125E-4</v>
      </c>
      <c r="I35">
        <v>-0.92102983255909443</v>
      </c>
      <c r="J35">
        <v>-4.4972159792924533E-4</v>
      </c>
      <c r="M35">
        <v>1.7420368609036128</v>
      </c>
      <c r="N35">
        <v>4.8828125E-4</v>
      </c>
      <c r="O35">
        <f t="shared" si="0"/>
        <v>2.197265625E-2</v>
      </c>
    </row>
    <row r="36" spans="1:15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2.7210020199156797</v>
      </c>
      <c r="H36">
        <v>9.765625E-4</v>
      </c>
      <c r="I36">
        <v>-0.91329159581003894</v>
      </c>
      <c r="J36">
        <v>-8.9188632403324115E-4</v>
      </c>
      <c r="M36">
        <v>1.7420368609036128</v>
      </c>
      <c r="N36">
        <v>9.765625E-4</v>
      </c>
      <c r="O36">
        <f t="shared" si="0"/>
        <v>2.294921875E-2</v>
      </c>
    </row>
    <row r="37" spans="1:15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2.9108393701423565</v>
      </c>
      <c r="H37">
        <v>4.8828125E-4</v>
      </c>
      <c r="I37">
        <v>-0.90753061397469581</v>
      </c>
      <c r="J37">
        <v>-4.4313018260483194E-4</v>
      </c>
      <c r="M37">
        <v>1.7420368609036128</v>
      </c>
      <c r="N37">
        <v>4.8828125E-4</v>
      </c>
      <c r="O37">
        <f t="shared" si="0"/>
        <v>2.34375E-2</v>
      </c>
    </row>
    <row r="38" spans="1:15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2.4678855529467811</v>
      </c>
      <c r="H38">
        <v>9.765625E-4</v>
      </c>
      <c r="I38">
        <v>-0.92102983255909443</v>
      </c>
      <c r="J38">
        <v>-8.9944319585849065E-4</v>
      </c>
      <c r="M38">
        <v>1.9207073081757775</v>
      </c>
      <c r="N38">
        <v>9.765625E-4</v>
      </c>
      <c r="O38">
        <f t="shared" si="0"/>
        <v>2.44140625E-2</v>
      </c>
    </row>
    <row r="39" spans="1:15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2.7210020199156797</v>
      </c>
      <c r="H39">
        <v>1.953125E-3</v>
      </c>
      <c r="I39">
        <v>-0.91329159581003894</v>
      </c>
      <c r="J39">
        <v>-1.7837726480664823E-3</v>
      </c>
      <c r="M39">
        <v>1.9207073081757775</v>
      </c>
      <c r="N39">
        <v>1.953125E-3</v>
      </c>
      <c r="O39">
        <f t="shared" si="0"/>
        <v>2.63671875E-2</v>
      </c>
    </row>
    <row r="40" spans="1:15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2.9108393701423565</v>
      </c>
      <c r="H40">
        <v>9.765625E-4</v>
      </c>
      <c r="I40">
        <v>-0.90753061397469581</v>
      </c>
      <c r="J40">
        <v>-8.8626036520966388E-4</v>
      </c>
      <c r="M40">
        <v>1.9207073081757775</v>
      </c>
      <c r="N40">
        <v>9.765625E-4</v>
      </c>
      <c r="O40">
        <f t="shared" si="0"/>
        <v>2.734375E-2</v>
      </c>
    </row>
    <row r="41" spans="1:15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2.4678855529467811</v>
      </c>
      <c r="H41">
        <v>1.953125E-3</v>
      </c>
      <c r="I41">
        <v>-0.92102983255909443</v>
      </c>
      <c r="J41">
        <v>-1.7988863917169813E-3</v>
      </c>
      <c r="M41">
        <v>1.9207073081757775</v>
      </c>
      <c r="N41">
        <v>1.953125E-3</v>
      </c>
      <c r="O41">
        <f t="shared" si="0"/>
        <v>2.9296875E-2</v>
      </c>
    </row>
    <row r="42" spans="1:15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2.7210020199156797</v>
      </c>
      <c r="H42">
        <v>3.90625E-3</v>
      </c>
      <c r="I42">
        <v>-0.91329159581003894</v>
      </c>
      <c r="J42">
        <v>-3.5675452961329646E-3</v>
      </c>
      <c r="M42">
        <v>1.9207073081757775</v>
      </c>
      <c r="N42">
        <v>3.90625E-3</v>
      </c>
      <c r="O42">
        <f t="shared" si="0"/>
        <v>3.3203125E-2</v>
      </c>
    </row>
    <row r="43" spans="1:15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2.9108393701423565</v>
      </c>
      <c r="H43">
        <v>1.953125E-3</v>
      </c>
      <c r="I43">
        <v>-0.90753061397469581</v>
      </c>
      <c r="J43">
        <v>-1.7725207304193278E-3</v>
      </c>
      <c r="M43">
        <v>1.9207073081757775</v>
      </c>
      <c r="N43">
        <v>1.953125E-3</v>
      </c>
      <c r="O43">
        <f t="shared" si="0"/>
        <v>3.515625E-2</v>
      </c>
    </row>
    <row r="44" spans="1:15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2.4678855529467811</v>
      </c>
      <c r="H44">
        <v>9.765625E-4</v>
      </c>
      <c r="I44">
        <v>-0.92102983255909443</v>
      </c>
      <c r="J44">
        <v>-8.9944319585849065E-4</v>
      </c>
      <c r="M44">
        <v>1.9207073081757775</v>
      </c>
      <c r="N44">
        <v>9.765625E-4</v>
      </c>
      <c r="O44">
        <f t="shared" si="0"/>
        <v>3.61328125E-2</v>
      </c>
    </row>
    <row r="45" spans="1:15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2.7210020199156797</v>
      </c>
      <c r="H45">
        <v>1.953125E-3</v>
      </c>
      <c r="I45">
        <v>-0.91329159581003894</v>
      </c>
      <c r="J45">
        <v>-1.7837726480664823E-3</v>
      </c>
      <c r="M45">
        <v>1.9207073081757775</v>
      </c>
      <c r="N45">
        <v>1.953125E-3</v>
      </c>
      <c r="O45">
        <f t="shared" si="0"/>
        <v>3.80859375E-2</v>
      </c>
    </row>
    <row r="46" spans="1:15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2.9108393701423565</v>
      </c>
      <c r="H46">
        <v>9.765625E-4</v>
      </c>
      <c r="I46">
        <v>-0.90753061397469581</v>
      </c>
      <c r="J46">
        <v>-8.8626036520966388E-4</v>
      </c>
      <c r="M46">
        <v>1.9207073081757775</v>
      </c>
      <c r="N46">
        <v>9.765625E-4</v>
      </c>
      <c r="O46">
        <f t="shared" si="0"/>
        <v>3.90625E-2</v>
      </c>
    </row>
    <row r="47" spans="1:15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2.4678855529467811</v>
      </c>
      <c r="H47">
        <v>4.8828125E-4</v>
      </c>
      <c r="I47">
        <v>-0.92102983255909443</v>
      </c>
      <c r="J47">
        <v>-4.4972159792924533E-4</v>
      </c>
      <c r="M47">
        <v>1.9597914685165641</v>
      </c>
      <c r="N47">
        <v>2.44140625E-4</v>
      </c>
      <c r="O47">
        <f t="shared" si="0"/>
        <v>3.9306640625E-2</v>
      </c>
    </row>
    <row r="48" spans="1:15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2.7210020199156797</v>
      </c>
      <c r="H48">
        <v>9.765625E-4</v>
      </c>
      <c r="I48">
        <v>-0.91329159581003894</v>
      </c>
      <c r="J48">
        <v>-8.9188632403324115E-4</v>
      </c>
      <c r="M48">
        <v>1.9597914685165641</v>
      </c>
      <c r="N48">
        <v>4.8828125E-4</v>
      </c>
      <c r="O48">
        <f t="shared" si="0"/>
        <v>3.9794921875E-2</v>
      </c>
    </row>
    <row r="49" spans="1:15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2.9108393701423565</v>
      </c>
      <c r="H49">
        <v>4.8828125E-4</v>
      </c>
      <c r="I49">
        <v>-0.90753061397469581</v>
      </c>
      <c r="J49">
        <v>-4.4313018260483194E-4</v>
      </c>
      <c r="M49">
        <v>1.9597914685165641</v>
      </c>
      <c r="N49">
        <v>2.44140625E-4</v>
      </c>
      <c r="O49">
        <f t="shared" si="0"/>
        <v>4.00390625E-2</v>
      </c>
    </row>
    <row r="50" spans="1:15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2.4678855529467811</v>
      </c>
      <c r="H50">
        <v>9.765625E-4</v>
      </c>
      <c r="I50">
        <v>-0.92102983255909443</v>
      </c>
      <c r="J50">
        <v>-8.9944319585849065E-4</v>
      </c>
      <c r="M50">
        <v>1.9597914685165641</v>
      </c>
      <c r="N50">
        <v>4.8828125E-4</v>
      </c>
      <c r="O50">
        <f t="shared" si="0"/>
        <v>4.052734375E-2</v>
      </c>
    </row>
    <row r="51" spans="1:15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2.7210020199156797</v>
      </c>
      <c r="H51">
        <v>1.953125E-3</v>
      </c>
      <c r="I51">
        <v>-0.91329159581003894</v>
      </c>
      <c r="J51">
        <v>-1.7837726480664823E-3</v>
      </c>
      <c r="M51">
        <v>1.9597914685165641</v>
      </c>
      <c r="N51">
        <v>9.765625E-4</v>
      </c>
      <c r="O51">
        <f t="shared" si="0"/>
        <v>4.150390625E-2</v>
      </c>
    </row>
    <row r="52" spans="1:15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2.9108393701423565</v>
      </c>
      <c r="H52">
        <v>9.765625E-4</v>
      </c>
      <c r="I52">
        <v>-0.90753061397469581</v>
      </c>
      <c r="J52">
        <v>-8.8626036520966388E-4</v>
      </c>
      <c r="M52">
        <v>1.9597914685165641</v>
      </c>
      <c r="N52">
        <v>4.8828125E-4</v>
      </c>
      <c r="O52">
        <f t="shared" si="0"/>
        <v>4.19921875E-2</v>
      </c>
    </row>
    <row r="53" spans="1:15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2.4678855529467811</v>
      </c>
      <c r="H53">
        <v>4.8828125E-4</v>
      </c>
      <c r="I53">
        <v>-0.92102983255909443</v>
      </c>
      <c r="J53">
        <v>-4.4972159792924533E-4</v>
      </c>
      <c r="M53">
        <v>1.9597914685165641</v>
      </c>
      <c r="N53">
        <v>2.44140625E-4</v>
      </c>
      <c r="O53">
        <f t="shared" si="0"/>
        <v>4.2236328125E-2</v>
      </c>
    </row>
    <row r="54" spans="1:15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2.7210020199156797</v>
      </c>
      <c r="H54">
        <v>9.765625E-4</v>
      </c>
      <c r="I54">
        <v>-0.91329159581003894</v>
      </c>
      <c r="J54">
        <v>-8.9188632403324115E-4</v>
      </c>
      <c r="M54">
        <v>1.9597914685165641</v>
      </c>
      <c r="N54">
        <v>4.8828125E-4</v>
      </c>
      <c r="O54">
        <f t="shared" si="0"/>
        <v>4.2724609375E-2</v>
      </c>
    </row>
    <row r="55" spans="1:15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2.9108393701423565</v>
      </c>
      <c r="H55">
        <v>4.8828125E-4</v>
      </c>
      <c r="I55">
        <v>-0.90753061397469581</v>
      </c>
      <c r="J55">
        <v>-4.4313018260483194E-4</v>
      </c>
      <c r="M55">
        <v>1.9597914685165641</v>
      </c>
      <c r="N55">
        <v>2.44140625E-4</v>
      </c>
      <c r="O55">
        <f t="shared" si="0"/>
        <v>4.296875E-2</v>
      </c>
    </row>
    <row r="56" spans="1:15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2.7763712470651272</v>
      </c>
      <c r="H56">
        <v>2.44140625E-4</v>
      </c>
      <c r="I56">
        <v>-0.91160754203994343</v>
      </c>
      <c r="J56">
        <v>-2.2256043506834556E-4</v>
      </c>
      <c r="M56">
        <v>2.0547101436299009</v>
      </c>
      <c r="N56">
        <v>4.8828125E-4</v>
      </c>
      <c r="O56">
        <f t="shared" si="0"/>
        <v>4.345703125E-2</v>
      </c>
    </row>
    <row r="57" spans="1:15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3.0611272724051419</v>
      </c>
      <c r="H57">
        <v>4.8828125E-4</v>
      </c>
      <c r="I57">
        <v>-0.90299562029655833</v>
      </c>
      <c r="J57">
        <v>-4.4091583022292887E-4</v>
      </c>
      <c r="M57">
        <v>2.0547101436299009</v>
      </c>
      <c r="N57">
        <v>9.765625E-4</v>
      </c>
      <c r="O57">
        <f t="shared" si="0"/>
        <v>4.443359375E-2</v>
      </c>
    </row>
    <row r="58" spans="1:15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3.2746942914101527</v>
      </c>
      <c r="H58">
        <v>2.44140625E-4</v>
      </c>
      <c r="I58">
        <v>-0.89659011134595168</v>
      </c>
      <c r="J58">
        <v>-2.1889407015282023E-4</v>
      </c>
      <c r="M58">
        <v>2.0547101436299009</v>
      </c>
      <c r="N58">
        <v>4.8828125E-4</v>
      </c>
      <c r="O58">
        <f t="shared" si="0"/>
        <v>4.4921875E-2</v>
      </c>
    </row>
    <row r="59" spans="1:15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2.7763712470651272</v>
      </c>
      <c r="H59">
        <v>4.8828125E-4</v>
      </c>
      <c r="I59">
        <v>-0.91160754203994343</v>
      </c>
      <c r="J59">
        <v>-4.4512087013669113E-4</v>
      </c>
      <c r="M59">
        <v>2.0547101436299009</v>
      </c>
      <c r="N59">
        <v>9.765625E-4</v>
      </c>
      <c r="O59">
        <f t="shared" si="0"/>
        <v>4.58984375E-2</v>
      </c>
    </row>
    <row r="60" spans="1:15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3.0611272724051419</v>
      </c>
      <c r="H60">
        <v>9.765625E-4</v>
      </c>
      <c r="I60">
        <v>-0.90299562029655833</v>
      </c>
      <c r="J60">
        <v>-8.8183166044585775E-4</v>
      </c>
      <c r="M60">
        <v>2.0547101436299009</v>
      </c>
      <c r="N60">
        <v>1.953125E-3</v>
      </c>
      <c r="O60">
        <f t="shared" si="0"/>
        <v>4.78515625E-2</v>
      </c>
    </row>
    <row r="61" spans="1:15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3.2746942914101527</v>
      </c>
      <c r="H61">
        <v>4.8828125E-4</v>
      </c>
      <c r="I61">
        <v>-0.89659011134595168</v>
      </c>
      <c r="J61">
        <v>-4.3778814030564047E-4</v>
      </c>
      <c r="M61">
        <v>2.0547101436299009</v>
      </c>
      <c r="N61">
        <v>9.765625E-4</v>
      </c>
      <c r="O61">
        <f t="shared" si="0"/>
        <v>4.8828125E-2</v>
      </c>
    </row>
    <row r="62" spans="1:15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2.7763712470651272</v>
      </c>
      <c r="H62">
        <v>2.44140625E-4</v>
      </c>
      <c r="I62">
        <v>-0.91160754203994343</v>
      </c>
      <c r="J62">
        <v>-2.2256043506834556E-4</v>
      </c>
      <c r="M62">
        <v>2.0547101436299009</v>
      </c>
      <c r="N62">
        <v>4.8828125E-4</v>
      </c>
      <c r="O62">
        <f t="shared" si="0"/>
        <v>4.931640625E-2</v>
      </c>
    </row>
    <row r="63" spans="1:15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3.0611272724051419</v>
      </c>
      <c r="H63">
        <v>4.8828125E-4</v>
      </c>
      <c r="I63">
        <v>-0.90299562029655833</v>
      </c>
      <c r="J63">
        <v>-4.4091583022292887E-4</v>
      </c>
      <c r="M63">
        <v>2.0547101436299009</v>
      </c>
      <c r="N63">
        <v>9.765625E-4</v>
      </c>
      <c r="O63">
        <f t="shared" si="0"/>
        <v>5.029296875E-2</v>
      </c>
    </row>
    <row r="64" spans="1:15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3.2746942914101527</v>
      </c>
      <c r="H64">
        <v>2.44140625E-4</v>
      </c>
      <c r="I64">
        <v>-0.89659011134595168</v>
      </c>
      <c r="J64">
        <v>-2.1889407015282023E-4</v>
      </c>
      <c r="M64">
        <v>2.0547101436299009</v>
      </c>
      <c r="N64">
        <v>4.8828125E-4</v>
      </c>
      <c r="O64">
        <f t="shared" si="0"/>
        <v>5.078125E-2</v>
      </c>
    </row>
    <row r="65" spans="1:15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2.7763712470651272</v>
      </c>
      <c r="H65">
        <v>4.8828125E-4</v>
      </c>
      <c r="I65">
        <v>-0.91160754203994343</v>
      </c>
      <c r="J65">
        <v>-4.4512087013669113E-4</v>
      </c>
      <c r="M65">
        <v>2.1607957216977498</v>
      </c>
      <c r="N65">
        <v>4.8828125E-4</v>
      </c>
      <c r="O65">
        <f t="shared" si="0"/>
        <v>5.126953125E-2</v>
      </c>
    </row>
    <row r="66" spans="1:15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3.0611272724051419</v>
      </c>
      <c r="H66">
        <v>9.765625E-4</v>
      </c>
      <c r="I66">
        <v>-0.90299562029655833</v>
      </c>
      <c r="J66">
        <v>-8.8183166044585775E-4</v>
      </c>
      <c r="M66">
        <v>2.1607957216977498</v>
      </c>
      <c r="N66">
        <v>9.765625E-4</v>
      </c>
      <c r="O66">
        <f t="shared" si="0"/>
        <v>5.224609375E-2</v>
      </c>
    </row>
    <row r="67" spans="1:15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3.2746942914101527</v>
      </c>
      <c r="H67">
        <v>4.8828125E-4</v>
      </c>
      <c r="I67">
        <v>-0.89659011134595168</v>
      </c>
      <c r="J67">
        <v>-4.3778814030564047E-4</v>
      </c>
      <c r="M67">
        <v>2.1607957216977498</v>
      </c>
      <c r="N67">
        <v>4.8828125E-4</v>
      </c>
      <c r="O67">
        <f t="shared" si="0"/>
        <v>5.2734375E-2</v>
      </c>
    </row>
    <row r="68" spans="1:15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2.7763712470651272</v>
      </c>
      <c r="H68">
        <v>9.765625E-4</v>
      </c>
      <c r="I68">
        <v>-0.91160754203994343</v>
      </c>
      <c r="J68">
        <v>-8.9024174027338226E-4</v>
      </c>
      <c r="M68">
        <v>2.1607957216977498</v>
      </c>
      <c r="N68">
        <v>9.765625E-4</v>
      </c>
      <c r="O68">
        <f t="shared" ref="O68:O131" si="1">N68+O67</f>
        <v>5.37109375E-2</v>
      </c>
    </row>
    <row r="69" spans="1:15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3.0611272724051419</v>
      </c>
      <c r="H69">
        <v>1.953125E-3</v>
      </c>
      <c r="I69">
        <v>-0.90299562029655833</v>
      </c>
      <c r="J69">
        <v>-1.7636633208917155E-3</v>
      </c>
      <c r="M69">
        <v>2.1607957216977498</v>
      </c>
      <c r="N69">
        <v>1.953125E-3</v>
      </c>
      <c r="O69">
        <f t="shared" si="1"/>
        <v>5.56640625E-2</v>
      </c>
    </row>
    <row r="70" spans="1:15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3.2746942914101527</v>
      </c>
      <c r="H70">
        <v>9.765625E-4</v>
      </c>
      <c r="I70">
        <v>-0.89659011134595168</v>
      </c>
      <c r="J70">
        <v>-8.7557628061128094E-4</v>
      </c>
      <c r="M70">
        <v>2.1607957216977498</v>
      </c>
      <c r="N70">
        <v>9.765625E-4</v>
      </c>
      <c r="O70">
        <f t="shared" si="1"/>
        <v>5.6640625E-2</v>
      </c>
    </row>
    <row r="71" spans="1:15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2.7763712470651272</v>
      </c>
      <c r="H71">
        <v>4.8828125E-4</v>
      </c>
      <c r="I71">
        <v>-0.91160754203994343</v>
      </c>
      <c r="J71">
        <v>-4.4512087013669113E-4</v>
      </c>
      <c r="M71">
        <v>2.1607957216977498</v>
      </c>
      <c r="N71">
        <v>4.8828125E-4</v>
      </c>
      <c r="O71">
        <f t="shared" si="1"/>
        <v>5.712890625E-2</v>
      </c>
    </row>
    <row r="72" spans="1:15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3.0611272724051419</v>
      </c>
      <c r="H72">
        <v>9.765625E-4</v>
      </c>
      <c r="I72">
        <v>-0.90299562029655833</v>
      </c>
      <c r="J72">
        <v>-8.8183166044585775E-4</v>
      </c>
      <c r="M72">
        <v>2.1607957216977498</v>
      </c>
      <c r="N72">
        <v>9.765625E-4</v>
      </c>
      <c r="O72">
        <f t="shared" si="1"/>
        <v>5.810546875E-2</v>
      </c>
    </row>
    <row r="73" spans="1:15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3.2746942914101527</v>
      </c>
      <c r="H73">
        <v>4.8828125E-4</v>
      </c>
      <c r="I73">
        <v>-0.89659011134595168</v>
      </c>
      <c r="J73">
        <v>-4.3778814030564047E-4</v>
      </c>
      <c r="M73">
        <v>2.1607957216977498</v>
      </c>
      <c r="N73">
        <v>4.8828125E-4</v>
      </c>
      <c r="O73">
        <f t="shared" si="1"/>
        <v>5.859375E-2</v>
      </c>
    </row>
    <row r="74" spans="1:15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2.7763712470651272</v>
      </c>
      <c r="H74">
        <v>2.44140625E-4</v>
      </c>
      <c r="I74">
        <v>-0.91160754203994343</v>
      </c>
      <c r="J74">
        <v>-2.2256043506834556E-4</v>
      </c>
      <c r="M74">
        <v>2.2617053448112117</v>
      </c>
      <c r="N74">
        <v>4.8828125E-4</v>
      </c>
      <c r="O74">
        <f t="shared" si="1"/>
        <v>5.908203125E-2</v>
      </c>
    </row>
    <row r="75" spans="1:15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3.0611272724051419</v>
      </c>
      <c r="H75">
        <v>4.8828125E-4</v>
      </c>
      <c r="I75">
        <v>-0.90299562029655833</v>
      </c>
      <c r="J75">
        <v>-4.4091583022292887E-4</v>
      </c>
      <c r="M75">
        <v>2.2617053448112117</v>
      </c>
      <c r="N75">
        <v>9.765625E-4</v>
      </c>
      <c r="O75">
        <f t="shared" si="1"/>
        <v>6.005859375E-2</v>
      </c>
    </row>
    <row r="76" spans="1:15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3.2746942914101527</v>
      </c>
      <c r="H76">
        <v>2.44140625E-4</v>
      </c>
      <c r="I76">
        <v>-0.89659011134595168</v>
      </c>
      <c r="J76">
        <v>-2.1889407015282023E-4</v>
      </c>
      <c r="M76">
        <v>2.2617053448112117</v>
      </c>
      <c r="N76">
        <v>4.8828125E-4</v>
      </c>
      <c r="O76">
        <f t="shared" si="1"/>
        <v>6.0546875E-2</v>
      </c>
    </row>
    <row r="77" spans="1:15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2.7763712470651272</v>
      </c>
      <c r="H77">
        <v>4.8828125E-4</v>
      </c>
      <c r="I77">
        <v>-0.91160754203994343</v>
      </c>
      <c r="J77">
        <v>-4.4512087013669113E-4</v>
      </c>
      <c r="M77">
        <v>2.2617053448112117</v>
      </c>
      <c r="N77">
        <v>9.765625E-4</v>
      </c>
      <c r="O77">
        <f t="shared" si="1"/>
        <v>6.15234375E-2</v>
      </c>
    </row>
    <row r="78" spans="1:15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3.0611272724051419</v>
      </c>
      <c r="H78">
        <v>9.765625E-4</v>
      </c>
      <c r="I78">
        <v>-0.90299562029655833</v>
      </c>
      <c r="J78">
        <v>-8.8183166044585775E-4</v>
      </c>
      <c r="M78">
        <v>2.2617053448112117</v>
      </c>
      <c r="N78">
        <v>1.953125E-3</v>
      </c>
      <c r="O78">
        <f t="shared" si="1"/>
        <v>6.34765625E-2</v>
      </c>
    </row>
    <row r="79" spans="1:15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3.2746942914101527</v>
      </c>
      <c r="H79">
        <v>4.8828125E-4</v>
      </c>
      <c r="I79">
        <v>-0.89659011134595168</v>
      </c>
      <c r="J79">
        <v>-4.3778814030564047E-4</v>
      </c>
      <c r="M79">
        <v>2.2617053448112117</v>
      </c>
      <c r="N79">
        <v>9.765625E-4</v>
      </c>
      <c r="O79">
        <f t="shared" si="1"/>
        <v>6.4453125E-2</v>
      </c>
    </row>
    <row r="80" spans="1:15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2.7763712470651272</v>
      </c>
      <c r="H80">
        <v>2.44140625E-4</v>
      </c>
      <c r="I80">
        <v>-0.91160754203994343</v>
      </c>
      <c r="J80">
        <v>-2.2256043506834556E-4</v>
      </c>
      <c r="M80">
        <v>2.2617053448112117</v>
      </c>
      <c r="N80">
        <v>4.8828125E-4</v>
      </c>
      <c r="O80">
        <f t="shared" si="1"/>
        <v>6.494140625E-2</v>
      </c>
    </row>
    <row r="81" spans="1:15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3.0611272724051419</v>
      </c>
      <c r="H81">
        <v>4.8828125E-4</v>
      </c>
      <c r="I81">
        <v>-0.90299562029655833</v>
      </c>
      <c r="J81">
        <v>-4.4091583022292887E-4</v>
      </c>
      <c r="M81">
        <v>2.2617053448112117</v>
      </c>
      <c r="N81">
        <v>9.765625E-4</v>
      </c>
      <c r="O81">
        <f t="shared" si="1"/>
        <v>6.591796875E-2</v>
      </c>
    </row>
    <row r="82" spans="1:15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3.2746942914101527</v>
      </c>
      <c r="H82">
        <v>2.44140625E-4</v>
      </c>
      <c r="I82">
        <v>-0.89659011134595168</v>
      </c>
      <c r="J82">
        <v>-2.1889407015282023E-4</v>
      </c>
      <c r="M82">
        <v>2.2617053448112117</v>
      </c>
      <c r="N82">
        <v>4.8828125E-4</v>
      </c>
      <c r="O82">
        <f t="shared" si="1"/>
        <v>6.640625E-2</v>
      </c>
    </row>
    <row r="83" spans="1:15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3.2040825718158819</v>
      </c>
      <c r="H83">
        <v>4.8828125E-4</v>
      </c>
      <c r="I83">
        <v>-0.89870292250880268</v>
      </c>
      <c r="J83">
        <v>-4.3881978638125131E-4</v>
      </c>
      <c r="M83">
        <v>2.3115489115836398</v>
      </c>
      <c r="N83">
        <v>2.44140625E-4</v>
      </c>
      <c r="O83">
        <f t="shared" si="1"/>
        <v>6.6650390625E-2</v>
      </c>
    </row>
    <row r="84" spans="1:15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3.5327064253354585</v>
      </c>
      <c r="H84">
        <v>9.765625E-4</v>
      </c>
      <c r="I84">
        <v>-0.88891213791458512</v>
      </c>
      <c r="J84">
        <v>-8.6807825968221203E-4</v>
      </c>
      <c r="M84">
        <v>2.3115489115836398</v>
      </c>
      <c r="N84">
        <v>4.8828125E-4</v>
      </c>
      <c r="O84">
        <f t="shared" si="1"/>
        <v>6.7138671875E-2</v>
      </c>
    </row>
    <row r="85" spans="1:15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3.7791743154751427</v>
      </c>
      <c r="H85">
        <v>4.8828125E-4</v>
      </c>
      <c r="I85">
        <v>-0.88163911164186226</v>
      </c>
      <c r="J85">
        <v>-4.3048784748137806E-4</v>
      </c>
      <c r="M85">
        <v>2.3115489115836398</v>
      </c>
      <c r="N85">
        <v>2.44140625E-4</v>
      </c>
      <c r="O85">
        <f t="shared" si="1"/>
        <v>6.73828125E-2</v>
      </c>
    </row>
    <row r="86" spans="1:15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3.2040825718158819</v>
      </c>
      <c r="H86">
        <v>9.765625E-4</v>
      </c>
      <c r="I86">
        <v>-0.89870292250880268</v>
      </c>
      <c r="J86">
        <v>-8.7763957276250262E-4</v>
      </c>
      <c r="M86">
        <v>2.3115489115836398</v>
      </c>
      <c r="N86">
        <v>4.8828125E-4</v>
      </c>
      <c r="O86">
        <f t="shared" si="1"/>
        <v>6.787109375E-2</v>
      </c>
    </row>
    <row r="87" spans="1:15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3.5327064253354585</v>
      </c>
      <c r="H87">
        <v>1.953125E-3</v>
      </c>
      <c r="I87">
        <v>-0.88891213791458512</v>
      </c>
      <c r="J87">
        <v>-1.7361565193644241E-3</v>
      </c>
      <c r="M87">
        <v>2.3115489115836398</v>
      </c>
      <c r="N87">
        <v>9.765625E-4</v>
      </c>
      <c r="O87">
        <f t="shared" si="1"/>
        <v>6.884765625E-2</v>
      </c>
    </row>
    <row r="88" spans="1:15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3.7791743154751427</v>
      </c>
      <c r="H88">
        <v>9.765625E-4</v>
      </c>
      <c r="I88">
        <v>-0.88163911164186226</v>
      </c>
      <c r="J88">
        <v>-8.6097569496275611E-4</v>
      </c>
      <c r="M88">
        <v>2.3115489115836398</v>
      </c>
      <c r="N88">
        <v>4.8828125E-4</v>
      </c>
      <c r="O88">
        <f t="shared" si="1"/>
        <v>6.93359375E-2</v>
      </c>
    </row>
    <row r="89" spans="1:15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3.2040825718158819</v>
      </c>
      <c r="H89">
        <v>4.8828125E-4</v>
      </c>
      <c r="I89">
        <v>-0.89870292250880268</v>
      </c>
      <c r="J89">
        <v>-4.3881978638125131E-4</v>
      </c>
      <c r="M89">
        <v>2.3115489115836398</v>
      </c>
      <c r="N89">
        <v>2.44140625E-4</v>
      </c>
      <c r="O89">
        <f t="shared" si="1"/>
        <v>6.9580078125E-2</v>
      </c>
    </row>
    <row r="90" spans="1:15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3.5327064253354585</v>
      </c>
      <c r="H90">
        <v>9.765625E-4</v>
      </c>
      <c r="I90">
        <v>-0.88891213791458512</v>
      </c>
      <c r="J90">
        <v>-8.6807825968221203E-4</v>
      </c>
      <c r="M90">
        <v>2.3115489115836398</v>
      </c>
      <c r="N90">
        <v>4.8828125E-4</v>
      </c>
      <c r="O90">
        <f t="shared" si="1"/>
        <v>7.0068359375E-2</v>
      </c>
    </row>
    <row r="91" spans="1:15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3.7791743154751427</v>
      </c>
      <c r="H91">
        <v>4.8828125E-4</v>
      </c>
      <c r="I91">
        <v>-0.88163911164186226</v>
      </c>
      <c r="J91">
        <v>-4.3048784748137806E-4</v>
      </c>
      <c r="M91">
        <v>2.3115489115836398</v>
      </c>
      <c r="N91">
        <v>2.44140625E-4</v>
      </c>
      <c r="O91">
        <f t="shared" si="1"/>
        <v>7.03125E-2</v>
      </c>
    </row>
    <row r="92" spans="1:15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3.2040825718158819</v>
      </c>
      <c r="H92">
        <v>9.765625E-4</v>
      </c>
      <c r="I92">
        <v>-0.89870292250880268</v>
      </c>
      <c r="J92">
        <v>-8.7763957276250262E-4</v>
      </c>
      <c r="M92">
        <v>2.4582464545166651</v>
      </c>
      <c r="N92">
        <v>2.44140625E-4</v>
      </c>
      <c r="O92">
        <f t="shared" si="1"/>
        <v>7.0556640625E-2</v>
      </c>
    </row>
    <row r="93" spans="1:15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3.5327064253354585</v>
      </c>
      <c r="H93">
        <v>1.953125E-3</v>
      </c>
      <c r="I93">
        <v>-0.88891213791458512</v>
      </c>
      <c r="J93">
        <v>-1.7361565193644241E-3</v>
      </c>
      <c r="M93">
        <v>2.4582464545166651</v>
      </c>
      <c r="N93">
        <v>4.8828125E-4</v>
      </c>
      <c r="O93">
        <f t="shared" si="1"/>
        <v>7.1044921875E-2</v>
      </c>
    </row>
    <row r="94" spans="1:15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3.7791743154751427</v>
      </c>
      <c r="H94">
        <v>9.765625E-4</v>
      </c>
      <c r="I94">
        <v>-0.88163911164186226</v>
      </c>
      <c r="J94">
        <v>-8.6097569496275611E-4</v>
      </c>
      <c r="M94">
        <v>2.4582464545166651</v>
      </c>
      <c r="N94">
        <v>2.44140625E-4</v>
      </c>
      <c r="O94">
        <f t="shared" si="1"/>
        <v>7.12890625E-2</v>
      </c>
    </row>
    <row r="95" spans="1:15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3.2040825718158819</v>
      </c>
      <c r="H95">
        <v>1.953125E-3</v>
      </c>
      <c r="I95">
        <v>-0.89870292250880268</v>
      </c>
      <c r="J95">
        <v>-1.7552791455250052E-3</v>
      </c>
      <c r="M95">
        <v>2.4582464545166651</v>
      </c>
      <c r="N95">
        <v>4.8828125E-4</v>
      </c>
      <c r="O95">
        <f t="shared" si="1"/>
        <v>7.177734375E-2</v>
      </c>
    </row>
    <row r="96" spans="1:15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3.5327064253354585</v>
      </c>
      <c r="H96">
        <v>3.90625E-3</v>
      </c>
      <c r="I96">
        <v>-0.88891213791458512</v>
      </c>
      <c r="J96">
        <v>-3.4723130387288481E-3</v>
      </c>
      <c r="M96">
        <v>2.4582464545166651</v>
      </c>
      <c r="N96">
        <v>9.765625E-4</v>
      </c>
      <c r="O96">
        <f t="shared" si="1"/>
        <v>7.275390625E-2</v>
      </c>
    </row>
    <row r="97" spans="1:15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3.7791743154751427</v>
      </c>
      <c r="H97">
        <v>1.953125E-3</v>
      </c>
      <c r="I97">
        <v>-0.88163911164186226</v>
      </c>
      <c r="J97">
        <v>-1.7219513899255122E-3</v>
      </c>
      <c r="M97">
        <v>2.4582464545166651</v>
      </c>
      <c r="N97">
        <v>4.8828125E-4</v>
      </c>
      <c r="O97">
        <f t="shared" si="1"/>
        <v>7.32421875E-2</v>
      </c>
    </row>
    <row r="98" spans="1:15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3.2040825718158819</v>
      </c>
      <c r="H98">
        <v>9.765625E-4</v>
      </c>
      <c r="I98">
        <v>-0.89870292250880268</v>
      </c>
      <c r="J98">
        <v>-8.7763957276250262E-4</v>
      </c>
      <c r="M98">
        <v>2.4582464545166651</v>
      </c>
      <c r="N98">
        <v>2.44140625E-4</v>
      </c>
      <c r="O98">
        <f t="shared" si="1"/>
        <v>7.3486328125E-2</v>
      </c>
    </row>
    <row r="99" spans="1:15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3.5327064253354585</v>
      </c>
      <c r="H99">
        <v>1.953125E-3</v>
      </c>
      <c r="I99">
        <v>-0.88891213791458512</v>
      </c>
      <c r="J99">
        <v>-1.7361565193644241E-3</v>
      </c>
      <c r="M99">
        <v>2.4582464545166651</v>
      </c>
      <c r="N99">
        <v>4.8828125E-4</v>
      </c>
      <c r="O99">
        <f t="shared" si="1"/>
        <v>7.3974609375E-2</v>
      </c>
    </row>
    <row r="100" spans="1:15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3.7791743154751427</v>
      </c>
      <c r="H100">
        <v>9.765625E-4</v>
      </c>
      <c r="I100">
        <v>-0.88163911164186226</v>
      </c>
      <c r="J100">
        <v>-8.6097569496275611E-4</v>
      </c>
      <c r="M100">
        <v>2.4582464545166651</v>
      </c>
      <c r="N100">
        <v>2.44140625E-4</v>
      </c>
      <c r="O100">
        <f t="shared" si="1"/>
        <v>7.421875E-2</v>
      </c>
    </row>
    <row r="101" spans="1:15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3.2040825718158819</v>
      </c>
      <c r="H101">
        <v>4.8828125E-4</v>
      </c>
      <c r="I101">
        <v>-0.89870292250880268</v>
      </c>
      <c r="J101">
        <v>-4.3881978638125131E-4</v>
      </c>
      <c r="M101">
        <v>2.4936751237662054</v>
      </c>
      <c r="N101">
        <v>9.765625E-4</v>
      </c>
      <c r="O101">
        <f t="shared" si="1"/>
        <v>7.51953125E-2</v>
      </c>
    </row>
    <row r="102" spans="1:15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3.5327064253354585</v>
      </c>
      <c r="H102">
        <v>9.765625E-4</v>
      </c>
      <c r="I102">
        <v>-0.88891213791458512</v>
      </c>
      <c r="J102">
        <v>-8.6807825968221203E-4</v>
      </c>
      <c r="M102">
        <v>2.4936751237662054</v>
      </c>
      <c r="N102">
        <v>1.953125E-3</v>
      </c>
      <c r="O102">
        <f t="shared" si="1"/>
        <v>7.71484375E-2</v>
      </c>
    </row>
    <row r="103" spans="1:15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3.7791743154751427</v>
      </c>
      <c r="H103">
        <v>4.8828125E-4</v>
      </c>
      <c r="I103">
        <v>-0.88163911164186226</v>
      </c>
      <c r="J103">
        <v>-4.3048784748137806E-4</v>
      </c>
      <c r="M103">
        <v>2.4936751237662054</v>
      </c>
      <c r="N103">
        <v>9.765625E-4</v>
      </c>
      <c r="O103">
        <f t="shared" si="1"/>
        <v>7.8125E-2</v>
      </c>
    </row>
    <row r="104" spans="1:15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3.2040825718158819</v>
      </c>
      <c r="H104">
        <v>9.765625E-4</v>
      </c>
      <c r="I104">
        <v>-0.89870292250880268</v>
      </c>
      <c r="J104">
        <v>-8.7763957276250262E-4</v>
      </c>
      <c r="M104">
        <v>2.4936751237662054</v>
      </c>
      <c r="N104">
        <v>1.953125E-3</v>
      </c>
      <c r="O104">
        <f t="shared" si="1"/>
        <v>8.0078125E-2</v>
      </c>
    </row>
    <row r="105" spans="1:15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3.5327064253354585</v>
      </c>
      <c r="H105">
        <v>1.953125E-3</v>
      </c>
      <c r="I105">
        <v>-0.88891213791458512</v>
      </c>
      <c r="J105">
        <v>-1.7361565193644241E-3</v>
      </c>
      <c r="M105">
        <v>2.4936751237662054</v>
      </c>
      <c r="N105">
        <v>3.90625E-3</v>
      </c>
      <c r="O105">
        <f t="shared" si="1"/>
        <v>8.3984375E-2</v>
      </c>
    </row>
    <row r="106" spans="1:15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3.7791743154751427</v>
      </c>
      <c r="H106">
        <v>9.765625E-4</v>
      </c>
      <c r="I106">
        <v>-0.88163911164186226</v>
      </c>
      <c r="J106">
        <v>-8.6097569496275611E-4</v>
      </c>
      <c r="M106">
        <v>2.4936751237662054</v>
      </c>
      <c r="N106">
        <v>1.953125E-3</v>
      </c>
      <c r="O106">
        <f t="shared" si="1"/>
        <v>8.59375E-2</v>
      </c>
    </row>
    <row r="107" spans="1:15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3.2040825718158819</v>
      </c>
      <c r="H107">
        <v>4.8828125E-4</v>
      </c>
      <c r="I107">
        <v>-0.89870292250880268</v>
      </c>
      <c r="J107">
        <v>-4.3881978638125131E-4</v>
      </c>
      <c r="M107">
        <v>2.4936751237662054</v>
      </c>
      <c r="N107">
        <v>9.765625E-4</v>
      </c>
      <c r="O107">
        <f t="shared" si="1"/>
        <v>8.69140625E-2</v>
      </c>
    </row>
    <row r="108" spans="1:15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3.5327064253354585</v>
      </c>
      <c r="H108">
        <v>9.765625E-4</v>
      </c>
      <c r="I108">
        <v>-0.88891213791458512</v>
      </c>
      <c r="J108">
        <v>-8.6807825968221203E-4</v>
      </c>
      <c r="M108">
        <v>2.4936751237662054</v>
      </c>
      <c r="N108">
        <v>1.953125E-3</v>
      </c>
      <c r="O108">
        <f t="shared" si="1"/>
        <v>8.88671875E-2</v>
      </c>
    </row>
    <row r="109" spans="1:15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3.7791743154751427</v>
      </c>
      <c r="H109">
        <v>4.8828125E-4</v>
      </c>
      <c r="I109">
        <v>-0.88163911164186226</v>
      </c>
      <c r="J109">
        <v>-4.3048784748137806E-4</v>
      </c>
      <c r="M109">
        <v>2.4936751237662054</v>
      </c>
      <c r="N109">
        <v>9.765625E-4</v>
      </c>
      <c r="O109">
        <f t="shared" si="1"/>
        <v>8.984375E-2</v>
      </c>
    </row>
    <row r="110" spans="1:15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3.9434862422349299</v>
      </c>
      <c r="H110">
        <v>9.765625E-4</v>
      </c>
      <c r="I110">
        <v>-0.87682351730185248</v>
      </c>
      <c r="J110">
        <v>-8.5627296611509032E-4</v>
      </c>
      <c r="M110">
        <v>2.6676524579824568</v>
      </c>
      <c r="N110">
        <v>4.8828125E-4</v>
      </c>
      <c r="O110">
        <f t="shared" si="1"/>
        <v>9.033203125E-2</v>
      </c>
    </row>
    <row r="111" spans="1:15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4.3479463696436405</v>
      </c>
      <c r="H111">
        <v>1.953125E-3</v>
      </c>
      <c r="I111">
        <v>-0.86508150967220232</v>
      </c>
      <c r="J111">
        <v>-1.6896123235785202E-3</v>
      </c>
      <c r="M111">
        <v>2.6676524579824568</v>
      </c>
      <c r="N111">
        <v>9.765625E-4</v>
      </c>
      <c r="O111">
        <f t="shared" si="1"/>
        <v>9.130859375E-2</v>
      </c>
    </row>
    <row r="112" spans="1:15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4.6512914652001704</v>
      </c>
      <c r="H112">
        <v>9.765625E-4</v>
      </c>
      <c r="I112">
        <v>-0.8563783105972036</v>
      </c>
      <c r="J112">
        <v>-8.3630694394258164E-4</v>
      </c>
      <c r="M112">
        <v>2.6676524579824568</v>
      </c>
      <c r="N112">
        <v>4.8828125E-4</v>
      </c>
      <c r="O112">
        <f t="shared" si="1"/>
        <v>9.1796875E-2</v>
      </c>
    </row>
    <row r="113" spans="1:15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3.9434862422349299</v>
      </c>
      <c r="H113">
        <v>1.953125E-3</v>
      </c>
      <c r="I113">
        <v>-0.87682351730185248</v>
      </c>
      <c r="J113">
        <v>-1.7125459322301806E-3</v>
      </c>
      <c r="M113">
        <v>2.6676524579824568</v>
      </c>
      <c r="N113">
        <v>9.765625E-4</v>
      </c>
      <c r="O113">
        <f t="shared" si="1"/>
        <v>9.27734375E-2</v>
      </c>
    </row>
    <row r="114" spans="1:15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4.3479463696436405</v>
      </c>
      <c r="H114">
        <v>3.90625E-3</v>
      </c>
      <c r="I114">
        <v>-0.86508150967220232</v>
      </c>
      <c r="J114">
        <v>-3.3792246471570403E-3</v>
      </c>
      <c r="M114">
        <v>2.6676524579824568</v>
      </c>
      <c r="N114">
        <v>1.953125E-3</v>
      </c>
      <c r="O114">
        <f t="shared" si="1"/>
        <v>9.47265625E-2</v>
      </c>
    </row>
    <row r="115" spans="1:15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4.6512914652001704</v>
      </c>
      <c r="H115">
        <v>1.953125E-3</v>
      </c>
      <c r="I115">
        <v>-0.8563783105972036</v>
      </c>
      <c r="J115">
        <v>-1.6726138878851633E-3</v>
      </c>
      <c r="M115">
        <v>2.6676524579824568</v>
      </c>
      <c r="N115">
        <v>9.765625E-4</v>
      </c>
      <c r="O115">
        <f t="shared" si="1"/>
        <v>9.5703125E-2</v>
      </c>
    </row>
    <row r="116" spans="1:15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3.9434862422349299</v>
      </c>
      <c r="H116">
        <v>9.765625E-4</v>
      </c>
      <c r="I116">
        <v>-0.87682351730185248</v>
      </c>
      <c r="J116">
        <v>-8.5627296611509032E-4</v>
      </c>
      <c r="M116">
        <v>2.6676524579824568</v>
      </c>
      <c r="N116">
        <v>4.8828125E-4</v>
      </c>
      <c r="O116">
        <f t="shared" si="1"/>
        <v>9.619140625E-2</v>
      </c>
    </row>
    <row r="117" spans="1:15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4.3479463696436405</v>
      </c>
      <c r="H117">
        <v>1.953125E-3</v>
      </c>
      <c r="I117">
        <v>-0.86508150967220232</v>
      </c>
      <c r="J117">
        <v>-1.6896123235785202E-3</v>
      </c>
      <c r="M117">
        <v>2.6676524579824568</v>
      </c>
      <c r="N117">
        <v>9.765625E-4</v>
      </c>
      <c r="O117">
        <f t="shared" si="1"/>
        <v>9.716796875E-2</v>
      </c>
    </row>
    <row r="118" spans="1:15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4.6512914652001704</v>
      </c>
      <c r="H118">
        <v>9.765625E-4</v>
      </c>
      <c r="I118">
        <v>-0.8563783105972036</v>
      </c>
      <c r="J118">
        <v>-8.3630694394258164E-4</v>
      </c>
      <c r="M118">
        <v>2.6676524579824568</v>
      </c>
      <c r="N118">
        <v>4.8828125E-4</v>
      </c>
      <c r="O118">
        <f t="shared" si="1"/>
        <v>9.765625E-2</v>
      </c>
    </row>
    <row r="119" spans="1:15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3.9434862422349299</v>
      </c>
      <c r="H119">
        <v>1.953125E-3</v>
      </c>
      <c r="I119">
        <v>-0.87682351730185248</v>
      </c>
      <c r="J119">
        <v>-1.7125459322301806E-3</v>
      </c>
      <c r="M119">
        <v>2.7103742960055541</v>
      </c>
      <c r="N119">
        <v>4.8828125E-4</v>
      </c>
      <c r="O119">
        <f t="shared" si="1"/>
        <v>9.814453125E-2</v>
      </c>
    </row>
    <row r="120" spans="1:15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4.3479463696436405</v>
      </c>
      <c r="H120">
        <v>3.90625E-3</v>
      </c>
      <c r="I120">
        <v>-0.86508150967220232</v>
      </c>
      <c r="J120">
        <v>-3.3792246471570403E-3</v>
      </c>
      <c r="M120">
        <v>2.7103742960055541</v>
      </c>
      <c r="N120">
        <v>9.765625E-4</v>
      </c>
      <c r="O120">
        <f t="shared" si="1"/>
        <v>9.912109375E-2</v>
      </c>
    </row>
    <row r="121" spans="1:15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4.6512914652001704</v>
      </c>
      <c r="H121">
        <v>1.953125E-3</v>
      </c>
      <c r="I121">
        <v>-0.8563783105972036</v>
      </c>
      <c r="J121">
        <v>-1.6726138878851633E-3</v>
      </c>
      <c r="M121">
        <v>2.7103742960055541</v>
      </c>
      <c r="N121">
        <v>4.8828125E-4</v>
      </c>
      <c r="O121">
        <f t="shared" si="1"/>
        <v>9.9609375E-2</v>
      </c>
    </row>
    <row r="122" spans="1:15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3.9434862422349299</v>
      </c>
      <c r="H122">
        <v>3.90625E-3</v>
      </c>
      <c r="I122">
        <v>-0.87682351730185248</v>
      </c>
      <c r="J122">
        <v>-3.4250918644603613E-3</v>
      </c>
      <c r="M122">
        <v>2.7103742960055541</v>
      </c>
      <c r="N122">
        <v>9.765625E-4</v>
      </c>
      <c r="O122">
        <f t="shared" si="1"/>
        <v>0.1005859375</v>
      </c>
    </row>
    <row r="123" spans="1:15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4.3479463696436405</v>
      </c>
      <c r="H123">
        <v>7.8125E-3</v>
      </c>
      <c r="I123">
        <v>-0.86508150967220232</v>
      </c>
      <c r="J123">
        <v>-6.7584492943140806E-3</v>
      </c>
      <c r="M123">
        <v>2.7103742960055541</v>
      </c>
      <c r="N123">
        <v>1.953125E-3</v>
      </c>
      <c r="O123">
        <f t="shared" si="1"/>
        <v>0.1025390625</v>
      </c>
    </row>
    <row r="124" spans="1:15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4.6512914652001704</v>
      </c>
      <c r="H124">
        <v>3.90625E-3</v>
      </c>
      <c r="I124">
        <v>-0.8563783105972036</v>
      </c>
      <c r="J124">
        <v>-3.3452277757703265E-3</v>
      </c>
      <c r="M124">
        <v>2.7103742960055541</v>
      </c>
      <c r="N124">
        <v>9.765625E-4</v>
      </c>
      <c r="O124">
        <f t="shared" si="1"/>
        <v>0.103515625</v>
      </c>
    </row>
    <row r="125" spans="1:15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3.9434862422349299</v>
      </c>
      <c r="H125">
        <v>1.953125E-3</v>
      </c>
      <c r="I125">
        <v>-0.87682351730185248</v>
      </c>
      <c r="J125">
        <v>-1.7125459322301806E-3</v>
      </c>
      <c r="M125">
        <v>2.7103742960055541</v>
      </c>
      <c r="N125">
        <v>4.8828125E-4</v>
      </c>
      <c r="O125">
        <f t="shared" si="1"/>
        <v>0.10400390625</v>
      </c>
    </row>
    <row r="126" spans="1:15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4.3479463696436405</v>
      </c>
      <c r="H126">
        <v>3.90625E-3</v>
      </c>
      <c r="I126">
        <v>-0.86508150967220232</v>
      </c>
      <c r="J126">
        <v>-3.3792246471570403E-3</v>
      </c>
      <c r="M126">
        <v>2.7103742960055541</v>
      </c>
      <c r="N126">
        <v>9.765625E-4</v>
      </c>
      <c r="O126">
        <f t="shared" si="1"/>
        <v>0.10498046875</v>
      </c>
    </row>
    <row r="127" spans="1:15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4.6512914652001704</v>
      </c>
      <c r="H127">
        <v>1.953125E-3</v>
      </c>
      <c r="I127">
        <v>-0.8563783105972036</v>
      </c>
      <c r="J127">
        <v>-1.6726138878851633E-3</v>
      </c>
      <c r="M127">
        <v>2.7103742960055541</v>
      </c>
      <c r="N127">
        <v>4.8828125E-4</v>
      </c>
      <c r="O127">
        <f t="shared" si="1"/>
        <v>0.10546875</v>
      </c>
    </row>
    <row r="128" spans="1:15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3.9434862422349299</v>
      </c>
      <c r="H128">
        <v>9.765625E-4</v>
      </c>
      <c r="I128">
        <v>-0.87682351730185248</v>
      </c>
      <c r="J128">
        <v>-8.5627296611509032E-4</v>
      </c>
      <c r="M128">
        <v>2.7836373474599538</v>
      </c>
      <c r="N128">
        <v>9.765625E-4</v>
      </c>
      <c r="O128">
        <f t="shared" si="1"/>
        <v>0.1064453125</v>
      </c>
    </row>
    <row r="129" spans="1:15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4.3479463696436405</v>
      </c>
      <c r="H129">
        <v>1.953125E-3</v>
      </c>
      <c r="I129">
        <v>-0.86508150967220232</v>
      </c>
      <c r="J129">
        <v>-1.6896123235785202E-3</v>
      </c>
      <c r="M129">
        <v>2.7836373474599538</v>
      </c>
      <c r="N129">
        <v>1.953125E-3</v>
      </c>
      <c r="O129">
        <f t="shared" si="1"/>
        <v>0.1083984375</v>
      </c>
    </row>
    <row r="130" spans="1:15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4.6512914652001704</v>
      </c>
      <c r="H130">
        <v>9.765625E-4</v>
      </c>
      <c r="I130">
        <v>-0.8563783105972036</v>
      </c>
      <c r="J130">
        <v>-8.3630694394258164E-4</v>
      </c>
      <c r="M130">
        <v>2.7836373474599538</v>
      </c>
      <c r="N130">
        <v>9.765625E-4</v>
      </c>
      <c r="O130">
        <f t="shared" si="1"/>
        <v>0.109375</v>
      </c>
    </row>
    <row r="131" spans="1:15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3.9434862422349299</v>
      </c>
      <c r="H131">
        <v>1.953125E-3</v>
      </c>
      <c r="I131">
        <v>-0.87682351730185248</v>
      </c>
      <c r="J131">
        <v>-1.7125459322301806E-3</v>
      </c>
      <c r="M131">
        <v>2.7836373474599538</v>
      </c>
      <c r="N131">
        <v>1.953125E-3</v>
      </c>
      <c r="O131">
        <f t="shared" si="1"/>
        <v>0.111328125</v>
      </c>
    </row>
    <row r="132" spans="1:15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4.3479463696436405</v>
      </c>
      <c r="H132">
        <v>3.90625E-3</v>
      </c>
      <c r="I132">
        <v>-0.86508150967220232</v>
      </c>
      <c r="J132">
        <v>-3.3792246471570403E-3</v>
      </c>
      <c r="M132">
        <v>2.7836373474599538</v>
      </c>
      <c r="N132">
        <v>3.90625E-3</v>
      </c>
      <c r="O132">
        <f t="shared" ref="O132:O195" si="2">N132+O131</f>
        <v>0.115234375</v>
      </c>
    </row>
    <row r="133" spans="1:15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4.6512914652001704</v>
      </c>
      <c r="H133">
        <v>1.953125E-3</v>
      </c>
      <c r="I133">
        <v>-0.8563783105972036</v>
      </c>
      <c r="J133">
        <v>-1.6726138878851633E-3</v>
      </c>
      <c r="M133">
        <v>2.7836373474599538</v>
      </c>
      <c r="N133">
        <v>1.953125E-3</v>
      </c>
      <c r="O133">
        <f t="shared" si="2"/>
        <v>0.1171875</v>
      </c>
    </row>
    <row r="134" spans="1:15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3.9434862422349299</v>
      </c>
      <c r="H134">
        <v>9.765625E-4</v>
      </c>
      <c r="I134">
        <v>-0.87682351730185248</v>
      </c>
      <c r="J134">
        <v>-8.5627296611509032E-4</v>
      </c>
      <c r="M134">
        <v>2.7836373474599538</v>
      </c>
      <c r="N134">
        <v>9.765625E-4</v>
      </c>
      <c r="O134">
        <f t="shared" si="2"/>
        <v>0.1181640625</v>
      </c>
    </row>
    <row r="135" spans="1:15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4.3479463696436405</v>
      </c>
      <c r="H135">
        <v>1.953125E-3</v>
      </c>
      <c r="I135">
        <v>-0.86508150967220232</v>
      </c>
      <c r="J135">
        <v>-1.6896123235785202E-3</v>
      </c>
      <c r="M135">
        <v>2.7836373474599538</v>
      </c>
      <c r="N135">
        <v>1.953125E-3</v>
      </c>
      <c r="O135">
        <f t="shared" si="2"/>
        <v>0.1201171875</v>
      </c>
    </row>
    <row r="136" spans="1:15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4.6512914652001704</v>
      </c>
      <c r="H136">
        <v>9.765625E-4</v>
      </c>
      <c r="I136">
        <v>-0.8563783105972036</v>
      </c>
      <c r="J136">
        <v>-8.3630694394258164E-4</v>
      </c>
      <c r="M136">
        <v>2.7836373474599538</v>
      </c>
      <c r="N136">
        <v>9.765625E-4</v>
      </c>
      <c r="O136">
        <f t="shared" si="2"/>
        <v>0.12109375</v>
      </c>
    </row>
    <row r="137" spans="1:15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4.4364220225142974</v>
      </c>
      <c r="H137">
        <v>4.8828125E-4</v>
      </c>
      <c r="I137">
        <v>-0.86253397971312851</v>
      </c>
      <c r="J137">
        <v>-4.2115916978180103E-4</v>
      </c>
      <c r="M137">
        <v>2.8994701771222213</v>
      </c>
      <c r="N137">
        <v>2.44140625E-4</v>
      </c>
      <c r="O137">
        <f t="shared" si="2"/>
        <v>0.121337890625</v>
      </c>
    </row>
    <row r="138" spans="1:15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4.8914396658490951</v>
      </c>
      <c r="H138">
        <v>9.765625E-4</v>
      </c>
      <c r="I138">
        <v>-0.84955041847886104</v>
      </c>
      <c r="J138">
        <v>-8.2963908054576273E-4</v>
      </c>
      <c r="M138">
        <v>2.8994701771222213</v>
      </c>
      <c r="N138">
        <v>4.8828125E-4</v>
      </c>
      <c r="O138">
        <f t="shared" si="2"/>
        <v>0.121826171875</v>
      </c>
    </row>
    <row r="139" spans="1:15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5.232702898350194</v>
      </c>
      <c r="H139">
        <v>4.8828125E-4</v>
      </c>
      <c r="I139">
        <v>-0.83994116610827718</v>
      </c>
      <c r="J139">
        <v>-4.1012752251380722E-4</v>
      </c>
      <c r="M139">
        <v>2.8994701771222213</v>
      </c>
      <c r="N139">
        <v>2.44140625E-4</v>
      </c>
      <c r="O139">
        <f t="shared" si="2"/>
        <v>0.1220703125</v>
      </c>
    </row>
    <row r="140" spans="1:15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4.4364220225142974</v>
      </c>
      <c r="H140">
        <v>9.765625E-4</v>
      </c>
      <c r="I140">
        <v>-0.86253397971312851</v>
      </c>
      <c r="J140">
        <v>-8.4231833956360206E-4</v>
      </c>
      <c r="M140">
        <v>2.8994701771222213</v>
      </c>
      <c r="N140">
        <v>4.8828125E-4</v>
      </c>
      <c r="O140">
        <f t="shared" si="2"/>
        <v>0.12255859375</v>
      </c>
    </row>
    <row r="141" spans="1:15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4.8914396658490951</v>
      </c>
      <c r="H141">
        <v>1.953125E-3</v>
      </c>
      <c r="I141">
        <v>-0.84955041847886104</v>
      </c>
      <c r="J141">
        <v>-1.6592781610915255E-3</v>
      </c>
      <c r="M141">
        <v>2.8994701771222213</v>
      </c>
      <c r="N141">
        <v>9.765625E-4</v>
      </c>
      <c r="O141">
        <f t="shared" si="2"/>
        <v>0.12353515625</v>
      </c>
    </row>
    <row r="142" spans="1:15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5.232702898350194</v>
      </c>
      <c r="H142">
        <v>9.765625E-4</v>
      </c>
      <c r="I142">
        <v>-0.83994116610827718</v>
      </c>
      <c r="J142">
        <v>-8.2025504502761444E-4</v>
      </c>
      <c r="M142">
        <v>2.8994701771222213</v>
      </c>
      <c r="N142">
        <v>4.8828125E-4</v>
      </c>
      <c r="O142">
        <f t="shared" si="2"/>
        <v>0.1240234375</v>
      </c>
    </row>
    <row r="143" spans="1:15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4.4364220225142974</v>
      </c>
      <c r="H143">
        <v>4.8828125E-4</v>
      </c>
      <c r="I143">
        <v>-0.86253397971312851</v>
      </c>
      <c r="J143">
        <v>-4.2115916978180103E-4</v>
      </c>
      <c r="M143">
        <v>2.8994701771222213</v>
      </c>
      <c r="N143">
        <v>2.44140625E-4</v>
      </c>
      <c r="O143">
        <f t="shared" si="2"/>
        <v>0.124267578125</v>
      </c>
    </row>
    <row r="144" spans="1:15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4.8914396658490951</v>
      </c>
      <c r="H144">
        <v>9.765625E-4</v>
      </c>
      <c r="I144">
        <v>-0.84955041847886104</v>
      </c>
      <c r="J144">
        <v>-8.2963908054576273E-4</v>
      </c>
      <c r="M144">
        <v>2.8994701771222213</v>
      </c>
      <c r="N144">
        <v>4.8828125E-4</v>
      </c>
      <c r="O144">
        <f t="shared" si="2"/>
        <v>0.124755859375</v>
      </c>
    </row>
    <row r="145" spans="1:15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5.232702898350194</v>
      </c>
      <c r="H145">
        <v>4.8828125E-4</v>
      </c>
      <c r="I145">
        <v>-0.83994116610827718</v>
      </c>
      <c r="J145">
        <v>-4.1012752251380722E-4</v>
      </c>
      <c r="M145">
        <v>2.8994701771222213</v>
      </c>
      <c r="N145">
        <v>2.44140625E-4</v>
      </c>
      <c r="O145">
        <f t="shared" si="2"/>
        <v>0.125</v>
      </c>
    </row>
    <row r="146" spans="1:15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4.4364220225142974</v>
      </c>
      <c r="H146">
        <v>9.765625E-4</v>
      </c>
      <c r="I146">
        <v>-0.86253397971312851</v>
      </c>
      <c r="J146">
        <v>-8.4231833956360206E-4</v>
      </c>
      <c r="M146">
        <v>3.0255340978666676</v>
      </c>
      <c r="N146">
        <v>4.8828125E-4</v>
      </c>
      <c r="O146">
        <f t="shared" si="2"/>
        <v>0.12548828125</v>
      </c>
    </row>
    <row r="147" spans="1:15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4.8914396658490951</v>
      </c>
      <c r="H147">
        <v>1.953125E-3</v>
      </c>
      <c r="I147">
        <v>-0.84955041847886104</v>
      </c>
      <c r="J147">
        <v>-1.6592781610915255E-3</v>
      </c>
      <c r="M147">
        <v>3.0255340978666676</v>
      </c>
      <c r="N147">
        <v>9.765625E-4</v>
      </c>
      <c r="O147">
        <f t="shared" si="2"/>
        <v>0.12646484375</v>
      </c>
    </row>
    <row r="148" spans="1:15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5.232702898350194</v>
      </c>
      <c r="H148">
        <v>9.765625E-4</v>
      </c>
      <c r="I148">
        <v>-0.83994116610827718</v>
      </c>
      <c r="J148">
        <v>-8.2025504502761444E-4</v>
      </c>
      <c r="M148">
        <v>3.0255340978666676</v>
      </c>
      <c r="N148">
        <v>4.8828125E-4</v>
      </c>
      <c r="O148">
        <f t="shared" si="2"/>
        <v>0.126953125</v>
      </c>
    </row>
    <row r="149" spans="1:15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4.4364220225142974</v>
      </c>
      <c r="H149">
        <v>1.953125E-3</v>
      </c>
      <c r="I149">
        <v>-0.86253397971312851</v>
      </c>
      <c r="J149">
        <v>-1.6846366791272041E-3</v>
      </c>
      <c r="M149">
        <v>3.0255340978666676</v>
      </c>
      <c r="N149">
        <v>9.765625E-4</v>
      </c>
      <c r="O149">
        <f t="shared" si="2"/>
        <v>0.1279296875</v>
      </c>
    </row>
    <row r="150" spans="1:15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4.8914396658490951</v>
      </c>
      <c r="H150">
        <v>3.90625E-3</v>
      </c>
      <c r="I150">
        <v>-0.84955041847886104</v>
      </c>
      <c r="J150">
        <v>-3.3185563221830509E-3</v>
      </c>
      <c r="M150">
        <v>3.0255340978666676</v>
      </c>
      <c r="N150">
        <v>1.953125E-3</v>
      </c>
      <c r="O150">
        <f t="shared" si="2"/>
        <v>0.1298828125</v>
      </c>
    </row>
    <row r="151" spans="1:15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5.232702898350194</v>
      </c>
      <c r="H151">
        <v>1.953125E-3</v>
      </c>
      <c r="I151">
        <v>-0.83994116610827718</v>
      </c>
      <c r="J151">
        <v>-1.6405100900552289E-3</v>
      </c>
      <c r="M151">
        <v>3.0255340978666676</v>
      </c>
      <c r="N151">
        <v>9.765625E-4</v>
      </c>
      <c r="O151">
        <f t="shared" si="2"/>
        <v>0.130859375</v>
      </c>
    </row>
    <row r="152" spans="1:15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4.4364220225142974</v>
      </c>
      <c r="H152">
        <v>9.765625E-4</v>
      </c>
      <c r="I152">
        <v>-0.86253397971312851</v>
      </c>
      <c r="J152">
        <v>-8.4231833956360206E-4</v>
      </c>
      <c r="M152">
        <v>3.0255340978666676</v>
      </c>
      <c r="N152">
        <v>4.8828125E-4</v>
      </c>
      <c r="O152">
        <f t="shared" si="2"/>
        <v>0.13134765625</v>
      </c>
    </row>
    <row r="153" spans="1:15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4.8914396658490951</v>
      </c>
      <c r="H153">
        <v>1.953125E-3</v>
      </c>
      <c r="I153">
        <v>-0.84955041847886104</v>
      </c>
      <c r="J153">
        <v>-1.6592781610915255E-3</v>
      </c>
      <c r="M153">
        <v>3.0255340978666676</v>
      </c>
      <c r="N153">
        <v>9.765625E-4</v>
      </c>
      <c r="O153">
        <f t="shared" si="2"/>
        <v>0.13232421875</v>
      </c>
    </row>
    <row r="154" spans="1:15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5.232702898350194</v>
      </c>
      <c r="H154">
        <v>9.765625E-4</v>
      </c>
      <c r="I154">
        <v>-0.83994116610827718</v>
      </c>
      <c r="J154">
        <v>-8.2025504502761444E-4</v>
      </c>
      <c r="M154">
        <v>3.0255340978666676</v>
      </c>
      <c r="N154">
        <v>4.8828125E-4</v>
      </c>
      <c r="O154">
        <f t="shared" si="2"/>
        <v>0.1328125</v>
      </c>
    </row>
    <row r="155" spans="1:15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4.4364220225142974</v>
      </c>
      <c r="H155">
        <v>4.8828125E-4</v>
      </c>
      <c r="I155">
        <v>-0.86253397971312851</v>
      </c>
      <c r="J155">
        <v>-4.2115916978180103E-4</v>
      </c>
      <c r="M155">
        <v>3.0691386138661052</v>
      </c>
      <c r="N155">
        <v>1.953125E-3</v>
      </c>
      <c r="O155">
        <f t="shared" si="2"/>
        <v>0.134765625</v>
      </c>
    </row>
    <row r="156" spans="1:15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4.8914396658490951</v>
      </c>
      <c r="H156">
        <v>9.765625E-4</v>
      </c>
      <c r="I156">
        <v>-0.84955041847886104</v>
      </c>
      <c r="J156">
        <v>-8.2963908054576273E-4</v>
      </c>
      <c r="M156">
        <v>3.0691386138661052</v>
      </c>
      <c r="N156">
        <v>3.90625E-3</v>
      </c>
      <c r="O156">
        <f t="shared" si="2"/>
        <v>0.138671875</v>
      </c>
    </row>
    <row r="157" spans="1:15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5.232702898350194</v>
      </c>
      <c r="H157">
        <v>4.8828125E-4</v>
      </c>
      <c r="I157">
        <v>-0.83994116610827718</v>
      </c>
      <c r="J157">
        <v>-4.1012752251380722E-4</v>
      </c>
      <c r="M157">
        <v>3.0691386138661052</v>
      </c>
      <c r="N157">
        <v>1.953125E-3</v>
      </c>
      <c r="O157">
        <f t="shared" si="2"/>
        <v>0.140625</v>
      </c>
    </row>
    <row r="158" spans="1:15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4.4364220225142974</v>
      </c>
      <c r="H158">
        <v>9.765625E-4</v>
      </c>
      <c r="I158">
        <v>-0.86253397971312851</v>
      </c>
      <c r="J158">
        <v>-8.4231833956360206E-4</v>
      </c>
      <c r="M158">
        <v>3.0691386138661052</v>
      </c>
      <c r="N158">
        <v>3.90625E-3</v>
      </c>
      <c r="O158">
        <f t="shared" si="2"/>
        <v>0.14453125</v>
      </c>
    </row>
    <row r="159" spans="1:15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4.8914396658490951</v>
      </c>
      <c r="H159">
        <v>1.953125E-3</v>
      </c>
      <c r="I159">
        <v>-0.84955041847886104</v>
      </c>
      <c r="J159">
        <v>-1.6592781610915255E-3</v>
      </c>
      <c r="M159">
        <v>3.0691386138661052</v>
      </c>
      <c r="N159">
        <v>7.8125E-3</v>
      </c>
      <c r="O159">
        <f t="shared" si="2"/>
        <v>0.15234375</v>
      </c>
    </row>
    <row r="160" spans="1:15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5.232702898350194</v>
      </c>
      <c r="H160">
        <v>9.765625E-4</v>
      </c>
      <c r="I160">
        <v>-0.83994116610827718</v>
      </c>
      <c r="J160">
        <v>-8.2025504502761444E-4</v>
      </c>
      <c r="M160">
        <v>3.0691386138661052</v>
      </c>
      <c r="N160">
        <v>3.90625E-3</v>
      </c>
      <c r="O160">
        <f t="shared" si="2"/>
        <v>0.15625</v>
      </c>
    </row>
    <row r="161" spans="1:15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4.4364220225142974</v>
      </c>
      <c r="H161">
        <v>4.8828125E-4</v>
      </c>
      <c r="I161">
        <v>-0.86253397971312851</v>
      </c>
      <c r="J161">
        <v>-4.2115916978180103E-4</v>
      </c>
      <c r="M161">
        <v>3.0691386138661052</v>
      </c>
      <c r="N161">
        <v>1.953125E-3</v>
      </c>
      <c r="O161">
        <f t="shared" si="2"/>
        <v>0.158203125</v>
      </c>
    </row>
    <row r="162" spans="1:15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4.8914396658490951</v>
      </c>
      <c r="H162">
        <v>9.765625E-4</v>
      </c>
      <c r="I162">
        <v>-0.84955041847886104</v>
      </c>
      <c r="J162">
        <v>-8.2963908054576273E-4</v>
      </c>
      <c r="M162">
        <v>3.0691386138661052</v>
      </c>
      <c r="N162">
        <v>3.90625E-3</v>
      </c>
      <c r="O162">
        <f t="shared" si="2"/>
        <v>0.162109375</v>
      </c>
    </row>
    <row r="163" spans="1:15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5.232702898350194</v>
      </c>
      <c r="H163">
        <v>4.8828125E-4</v>
      </c>
      <c r="I163">
        <v>-0.83994116610827718</v>
      </c>
      <c r="J163">
        <v>-4.1012752251380722E-4</v>
      </c>
      <c r="M163">
        <v>3.0691386138661052</v>
      </c>
      <c r="N163">
        <v>1.953125E-3</v>
      </c>
      <c r="O163">
        <f t="shared" si="2"/>
        <v>0.1640625</v>
      </c>
    </row>
    <row r="164" spans="1:15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3.4825158105652734</v>
      </c>
      <c r="H164">
        <v>2.44140625E-4</v>
      </c>
      <c r="I164">
        <v>-0.89040055086271519</v>
      </c>
      <c r="J164">
        <v>-2.1738294698796758E-4</v>
      </c>
      <c r="M164">
        <v>3.1315920158924504</v>
      </c>
      <c r="N164">
        <v>4.8828125E-4</v>
      </c>
      <c r="O164">
        <f t="shared" si="2"/>
        <v>0.16455078125</v>
      </c>
    </row>
    <row r="165" spans="1:15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3.8396969193411978</v>
      </c>
      <c r="H165">
        <v>4.8828125E-4</v>
      </c>
      <c r="I165">
        <v>-0.87986226807427148</v>
      </c>
      <c r="J165">
        <v>-4.2962024808314037E-4</v>
      </c>
      <c r="M165">
        <v>3.1315920158924504</v>
      </c>
      <c r="N165">
        <v>9.765625E-4</v>
      </c>
      <c r="O165">
        <f t="shared" si="2"/>
        <v>0.16552734375</v>
      </c>
    </row>
    <row r="166" spans="1:15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4.1075827509231431</v>
      </c>
      <c r="H166">
        <v>2.44140625E-4</v>
      </c>
      <c r="I166">
        <v>-0.8720404879368816</v>
      </c>
      <c r="J166">
        <v>-2.1290050975021524E-4</v>
      </c>
      <c r="M166">
        <v>3.1315920158924504</v>
      </c>
      <c r="N166">
        <v>4.8828125E-4</v>
      </c>
      <c r="O166">
        <f t="shared" si="2"/>
        <v>0.166015625</v>
      </c>
    </row>
    <row r="167" spans="1:15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3.4825158105652734</v>
      </c>
      <c r="H167">
        <v>4.8828125E-4</v>
      </c>
      <c r="I167">
        <v>-0.89040055086271519</v>
      </c>
      <c r="J167">
        <v>-4.3476589397593515E-4</v>
      </c>
      <c r="M167">
        <v>3.1315920158924504</v>
      </c>
      <c r="N167">
        <v>9.765625E-4</v>
      </c>
      <c r="O167">
        <f t="shared" si="2"/>
        <v>0.1669921875</v>
      </c>
    </row>
    <row r="168" spans="1:15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3.8396969193411978</v>
      </c>
      <c r="H168">
        <v>9.765625E-4</v>
      </c>
      <c r="I168">
        <v>-0.87986226807427148</v>
      </c>
      <c r="J168">
        <v>-8.5924049616628074E-4</v>
      </c>
      <c r="M168">
        <v>3.1315920158924504</v>
      </c>
      <c r="N168">
        <v>1.953125E-3</v>
      </c>
      <c r="O168">
        <f t="shared" si="2"/>
        <v>0.1689453125</v>
      </c>
    </row>
    <row r="169" spans="1:15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4.1075827509231431</v>
      </c>
      <c r="H169">
        <v>4.8828125E-4</v>
      </c>
      <c r="I169">
        <v>-0.8720404879368816</v>
      </c>
      <c r="J169">
        <v>-4.2580101950043047E-4</v>
      </c>
      <c r="M169">
        <v>3.1315920158924504</v>
      </c>
      <c r="N169">
        <v>9.765625E-4</v>
      </c>
      <c r="O169">
        <f t="shared" si="2"/>
        <v>0.169921875</v>
      </c>
    </row>
    <row r="170" spans="1:15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3.4825158105652734</v>
      </c>
      <c r="H170">
        <v>2.44140625E-4</v>
      </c>
      <c r="I170">
        <v>-0.89040055086271519</v>
      </c>
      <c r="J170">
        <v>-2.1738294698796758E-4</v>
      </c>
      <c r="M170">
        <v>3.1315920158924504</v>
      </c>
      <c r="N170">
        <v>4.8828125E-4</v>
      </c>
      <c r="O170">
        <f t="shared" si="2"/>
        <v>0.17041015625</v>
      </c>
    </row>
    <row r="171" spans="1:15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3.8396969193411978</v>
      </c>
      <c r="H171">
        <v>4.8828125E-4</v>
      </c>
      <c r="I171">
        <v>-0.87986226807427148</v>
      </c>
      <c r="J171">
        <v>-4.2962024808314037E-4</v>
      </c>
      <c r="M171">
        <v>3.1315920158924504</v>
      </c>
      <c r="N171">
        <v>9.765625E-4</v>
      </c>
      <c r="O171">
        <f t="shared" si="2"/>
        <v>0.17138671875</v>
      </c>
    </row>
    <row r="172" spans="1:15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4.1075827509231431</v>
      </c>
      <c r="H172">
        <v>2.44140625E-4</v>
      </c>
      <c r="I172">
        <v>-0.8720404879368816</v>
      </c>
      <c r="J172">
        <v>-2.1290050975021524E-4</v>
      </c>
      <c r="M172">
        <v>3.1315920158924504</v>
      </c>
      <c r="N172">
        <v>4.8828125E-4</v>
      </c>
      <c r="O172">
        <f t="shared" si="2"/>
        <v>0.171875</v>
      </c>
    </row>
    <row r="173" spans="1:15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3.4825158105652734</v>
      </c>
      <c r="H173">
        <v>4.8828125E-4</v>
      </c>
      <c r="I173">
        <v>-0.89040055086271519</v>
      </c>
      <c r="J173">
        <v>-4.3476589397593515E-4</v>
      </c>
      <c r="M173">
        <v>3.2832645636707141</v>
      </c>
      <c r="N173">
        <v>9.765625E-4</v>
      </c>
      <c r="O173">
        <f t="shared" si="2"/>
        <v>0.1728515625</v>
      </c>
    </row>
    <row r="174" spans="1:15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3.8396969193411978</v>
      </c>
      <c r="H174">
        <v>9.765625E-4</v>
      </c>
      <c r="I174">
        <v>-0.87986226807427148</v>
      </c>
      <c r="J174">
        <v>-8.5924049616628074E-4</v>
      </c>
      <c r="M174">
        <v>3.2832645636707141</v>
      </c>
      <c r="N174">
        <v>1.953125E-3</v>
      </c>
      <c r="O174">
        <f t="shared" si="2"/>
        <v>0.1748046875</v>
      </c>
    </row>
    <row r="175" spans="1:15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4.1075827509231431</v>
      </c>
      <c r="H175">
        <v>4.8828125E-4</v>
      </c>
      <c r="I175">
        <v>-0.8720404879368816</v>
      </c>
      <c r="J175">
        <v>-4.2580101950043047E-4</v>
      </c>
      <c r="M175">
        <v>3.2832645636707141</v>
      </c>
      <c r="N175">
        <v>9.765625E-4</v>
      </c>
      <c r="O175">
        <f t="shared" si="2"/>
        <v>0.17578125</v>
      </c>
    </row>
    <row r="176" spans="1:15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3.4825158105652734</v>
      </c>
      <c r="H176">
        <v>9.765625E-4</v>
      </c>
      <c r="I176">
        <v>-0.89040055086271519</v>
      </c>
      <c r="J176">
        <v>-8.695317879518703E-4</v>
      </c>
      <c r="M176">
        <v>3.2832645636707141</v>
      </c>
      <c r="N176">
        <v>1.953125E-3</v>
      </c>
      <c r="O176">
        <f t="shared" si="2"/>
        <v>0.177734375</v>
      </c>
    </row>
    <row r="177" spans="1:15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3.8396969193411978</v>
      </c>
      <c r="H177">
        <v>1.953125E-3</v>
      </c>
      <c r="I177">
        <v>-0.87986226807427148</v>
      </c>
      <c r="J177">
        <v>-1.7184809923325615E-3</v>
      </c>
      <c r="M177">
        <v>3.2832645636707141</v>
      </c>
      <c r="N177">
        <v>3.90625E-3</v>
      </c>
      <c r="O177">
        <f t="shared" si="2"/>
        <v>0.181640625</v>
      </c>
    </row>
    <row r="178" spans="1:15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4.1075827509231431</v>
      </c>
      <c r="H178">
        <v>9.765625E-4</v>
      </c>
      <c r="I178">
        <v>-0.8720404879368816</v>
      </c>
      <c r="J178">
        <v>-8.5160203900086094E-4</v>
      </c>
      <c r="M178">
        <v>3.2832645636707141</v>
      </c>
      <c r="N178">
        <v>1.953125E-3</v>
      </c>
      <c r="O178">
        <f t="shared" si="2"/>
        <v>0.18359375</v>
      </c>
    </row>
    <row r="179" spans="1:15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3.4825158105652734</v>
      </c>
      <c r="H179">
        <v>4.8828125E-4</v>
      </c>
      <c r="I179">
        <v>-0.89040055086271519</v>
      </c>
      <c r="J179">
        <v>-4.3476589397593515E-4</v>
      </c>
      <c r="M179">
        <v>3.2832645636707141</v>
      </c>
      <c r="N179">
        <v>9.765625E-4</v>
      </c>
      <c r="O179">
        <f t="shared" si="2"/>
        <v>0.1845703125</v>
      </c>
    </row>
    <row r="180" spans="1:15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3.8396969193411978</v>
      </c>
      <c r="H180">
        <v>9.765625E-4</v>
      </c>
      <c r="I180">
        <v>-0.87986226807427148</v>
      </c>
      <c r="J180">
        <v>-8.5924049616628074E-4</v>
      </c>
      <c r="M180">
        <v>3.2832645636707141</v>
      </c>
      <c r="N180">
        <v>1.953125E-3</v>
      </c>
      <c r="O180">
        <f t="shared" si="2"/>
        <v>0.1865234375</v>
      </c>
    </row>
    <row r="181" spans="1:15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4.1075827509231431</v>
      </c>
      <c r="H181">
        <v>4.8828125E-4</v>
      </c>
      <c r="I181">
        <v>-0.8720404879368816</v>
      </c>
      <c r="J181">
        <v>-4.2580101950043047E-4</v>
      </c>
      <c r="M181">
        <v>3.2832645636707141</v>
      </c>
      <c r="N181">
        <v>9.765625E-4</v>
      </c>
      <c r="O181">
        <f t="shared" si="2"/>
        <v>0.1875</v>
      </c>
    </row>
    <row r="182" spans="1:15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3.4825158105652734</v>
      </c>
      <c r="H182">
        <v>2.44140625E-4</v>
      </c>
      <c r="I182">
        <v>-0.89040055086271519</v>
      </c>
      <c r="J182">
        <v>-2.1738294698796758E-4</v>
      </c>
      <c r="M182">
        <v>3.3358452873914528</v>
      </c>
      <c r="N182">
        <v>9.765625E-4</v>
      </c>
      <c r="O182">
        <f t="shared" si="2"/>
        <v>0.1884765625</v>
      </c>
    </row>
    <row r="183" spans="1:15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3.8396969193411978</v>
      </c>
      <c r="H183">
        <v>4.8828125E-4</v>
      </c>
      <c r="I183">
        <v>-0.87986226807427148</v>
      </c>
      <c r="J183">
        <v>-4.2962024808314037E-4</v>
      </c>
      <c r="M183">
        <v>3.3358452873914528</v>
      </c>
      <c r="N183">
        <v>1.953125E-3</v>
      </c>
      <c r="O183">
        <f t="shared" si="2"/>
        <v>0.1904296875</v>
      </c>
    </row>
    <row r="184" spans="1:15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4.1075827509231431</v>
      </c>
      <c r="H184">
        <v>2.44140625E-4</v>
      </c>
      <c r="I184">
        <v>-0.8720404879368816</v>
      </c>
      <c r="J184">
        <v>-2.1290050975021524E-4</v>
      </c>
      <c r="M184">
        <v>3.3358452873914528</v>
      </c>
      <c r="N184">
        <v>9.765625E-4</v>
      </c>
      <c r="O184">
        <f t="shared" si="2"/>
        <v>0.19140625</v>
      </c>
    </row>
    <row r="185" spans="1:15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3.4825158105652734</v>
      </c>
      <c r="H185">
        <v>4.8828125E-4</v>
      </c>
      <c r="I185">
        <v>-0.89040055086271519</v>
      </c>
      <c r="J185">
        <v>-4.3476589397593515E-4</v>
      </c>
      <c r="M185">
        <v>3.3358452873914528</v>
      </c>
      <c r="N185">
        <v>1.953125E-3</v>
      </c>
      <c r="O185">
        <f t="shared" si="2"/>
        <v>0.193359375</v>
      </c>
    </row>
    <row r="186" spans="1:15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3.8396969193411978</v>
      </c>
      <c r="H186">
        <v>9.765625E-4</v>
      </c>
      <c r="I186">
        <v>-0.87986226807427148</v>
      </c>
      <c r="J186">
        <v>-8.5924049616628074E-4</v>
      </c>
      <c r="M186">
        <v>3.3358452873914528</v>
      </c>
      <c r="N186">
        <v>3.90625E-3</v>
      </c>
      <c r="O186">
        <f t="shared" si="2"/>
        <v>0.197265625</v>
      </c>
    </row>
    <row r="187" spans="1:15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4.1075827509231431</v>
      </c>
      <c r="H187">
        <v>4.8828125E-4</v>
      </c>
      <c r="I187">
        <v>-0.8720404879368816</v>
      </c>
      <c r="J187">
        <v>-4.2580101950043047E-4</v>
      </c>
      <c r="M187">
        <v>3.3358452873914528</v>
      </c>
      <c r="N187">
        <v>1.953125E-3</v>
      </c>
      <c r="O187">
        <f t="shared" si="2"/>
        <v>0.19921875</v>
      </c>
    </row>
    <row r="188" spans="1:15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3.4825158105652734</v>
      </c>
      <c r="H188">
        <v>2.44140625E-4</v>
      </c>
      <c r="I188">
        <v>-0.89040055086271519</v>
      </c>
      <c r="J188">
        <v>-2.1738294698796758E-4</v>
      </c>
      <c r="M188">
        <v>3.3358452873914528</v>
      </c>
      <c r="N188">
        <v>9.765625E-4</v>
      </c>
      <c r="O188">
        <f t="shared" si="2"/>
        <v>0.2001953125</v>
      </c>
    </row>
    <row r="189" spans="1:15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3.8396969193411978</v>
      </c>
      <c r="H189">
        <v>4.8828125E-4</v>
      </c>
      <c r="I189">
        <v>-0.87986226807427148</v>
      </c>
      <c r="J189">
        <v>-4.2962024808314037E-4</v>
      </c>
      <c r="M189">
        <v>3.3358452873914528</v>
      </c>
      <c r="N189">
        <v>1.953125E-3</v>
      </c>
      <c r="O189">
        <f t="shared" si="2"/>
        <v>0.2021484375</v>
      </c>
    </row>
    <row r="190" spans="1:15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4.1075827509231431</v>
      </c>
      <c r="H190">
        <v>2.44140625E-4</v>
      </c>
      <c r="I190">
        <v>-0.8720404879368816</v>
      </c>
      <c r="J190">
        <v>-2.1290050975021524E-4</v>
      </c>
      <c r="M190">
        <v>3.3358452873914528</v>
      </c>
      <c r="N190">
        <v>9.765625E-4</v>
      </c>
      <c r="O190">
        <f t="shared" si="2"/>
        <v>0.203125</v>
      </c>
    </row>
    <row r="191" spans="1:15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4.2861733053111069</v>
      </c>
      <c r="H191">
        <v>4.8828125E-4</v>
      </c>
      <c r="I191">
        <v>-0.86686463605351893</v>
      </c>
      <c r="J191">
        <v>-4.2327374807300729E-4</v>
      </c>
      <c r="M191">
        <v>3.403725860100002</v>
      </c>
      <c r="N191">
        <v>2.44140625E-4</v>
      </c>
      <c r="O191">
        <f t="shared" si="2"/>
        <v>0.203369140625</v>
      </c>
    </row>
    <row r="192" spans="1:15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4.725780823804552</v>
      </c>
      <c r="H192">
        <v>9.765625E-4</v>
      </c>
      <c r="I192">
        <v>-0.85425457924210801</v>
      </c>
      <c r="J192">
        <v>-8.3423298754112111E-4</v>
      </c>
      <c r="M192">
        <v>3.403725860100002</v>
      </c>
      <c r="N192">
        <v>4.8828125E-4</v>
      </c>
      <c r="O192">
        <f t="shared" si="2"/>
        <v>0.203857421875</v>
      </c>
    </row>
    <row r="193" spans="1:15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5.0554864626746392</v>
      </c>
      <c r="H193">
        <v>4.8828125E-4</v>
      </c>
      <c r="I193">
        <v>-0.8449175626126092</v>
      </c>
      <c r="J193">
        <v>-4.1255740361943808E-4</v>
      </c>
      <c r="M193">
        <v>3.403725860100002</v>
      </c>
      <c r="N193">
        <v>2.44140625E-4</v>
      </c>
      <c r="O193">
        <f t="shared" si="2"/>
        <v>0.2041015625</v>
      </c>
    </row>
    <row r="194" spans="1:15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4.2861733053111069</v>
      </c>
      <c r="H194">
        <v>9.765625E-4</v>
      </c>
      <c r="I194">
        <v>-0.86686463605351893</v>
      </c>
      <c r="J194">
        <v>-8.4654749614601458E-4</v>
      </c>
      <c r="M194">
        <v>3.403725860100002</v>
      </c>
      <c r="N194">
        <v>4.8828125E-4</v>
      </c>
      <c r="O194">
        <f t="shared" si="2"/>
        <v>0.20458984375</v>
      </c>
    </row>
    <row r="195" spans="1:15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4.725780823804552</v>
      </c>
      <c r="H195">
        <v>1.953125E-3</v>
      </c>
      <c r="I195">
        <v>-0.85425457924210801</v>
      </c>
      <c r="J195">
        <v>-1.6684659750822422E-3</v>
      </c>
      <c r="M195">
        <v>3.403725860100002</v>
      </c>
      <c r="N195">
        <v>9.765625E-4</v>
      </c>
      <c r="O195">
        <f t="shared" si="2"/>
        <v>0.20556640625</v>
      </c>
    </row>
    <row r="196" spans="1:15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5.0554864626746392</v>
      </c>
      <c r="H196">
        <v>9.765625E-4</v>
      </c>
      <c r="I196">
        <v>-0.8449175626126092</v>
      </c>
      <c r="J196">
        <v>-8.2511480723887617E-4</v>
      </c>
      <c r="M196">
        <v>3.403725860100002</v>
      </c>
      <c r="N196">
        <v>4.8828125E-4</v>
      </c>
      <c r="O196">
        <f t="shared" ref="O196:O259" si="3">N196+O195</f>
        <v>0.2060546875</v>
      </c>
    </row>
    <row r="197" spans="1:15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4.2861733053111069</v>
      </c>
      <c r="H197">
        <v>4.8828125E-4</v>
      </c>
      <c r="I197">
        <v>-0.86686463605351893</v>
      </c>
      <c r="J197">
        <v>-4.2327374807300729E-4</v>
      </c>
      <c r="M197">
        <v>3.403725860100002</v>
      </c>
      <c r="N197">
        <v>2.44140625E-4</v>
      </c>
      <c r="O197">
        <f t="shared" si="3"/>
        <v>0.206298828125</v>
      </c>
    </row>
    <row r="198" spans="1:15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4.725780823804552</v>
      </c>
      <c r="H198">
        <v>9.765625E-4</v>
      </c>
      <c r="I198">
        <v>-0.85425457924210801</v>
      </c>
      <c r="J198">
        <v>-8.3423298754112111E-4</v>
      </c>
      <c r="M198">
        <v>3.403725860100002</v>
      </c>
      <c r="N198">
        <v>4.8828125E-4</v>
      </c>
      <c r="O198">
        <f t="shared" si="3"/>
        <v>0.206787109375</v>
      </c>
    </row>
    <row r="199" spans="1:15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5.0554864626746392</v>
      </c>
      <c r="H199">
        <v>4.8828125E-4</v>
      </c>
      <c r="I199">
        <v>-0.8449175626126092</v>
      </c>
      <c r="J199">
        <v>-4.1255740361943808E-4</v>
      </c>
      <c r="M199">
        <v>3.403725860100002</v>
      </c>
      <c r="N199">
        <v>2.44140625E-4</v>
      </c>
      <c r="O199">
        <f t="shared" si="3"/>
        <v>0.20703125</v>
      </c>
    </row>
    <row r="200" spans="1:15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4.2861733053111069</v>
      </c>
      <c r="H200">
        <v>9.765625E-4</v>
      </c>
      <c r="I200">
        <v>-0.86686463605351893</v>
      </c>
      <c r="J200">
        <v>-8.4654749614601458E-4</v>
      </c>
      <c r="M200">
        <v>3.4527809405993679</v>
      </c>
      <c r="N200">
        <v>9.765625E-4</v>
      </c>
      <c r="O200">
        <f t="shared" si="3"/>
        <v>0.2080078125</v>
      </c>
    </row>
    <row r="201" spans="1:15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4.725780823804552</v>
      </c>
      <c r="H201">
        <v>1.953125E-3</v>
      </c>
      <c r="I201">
        <v>-0.85425457924210801</v>
      </c>
      <c r="J201">
        <v>-1.6684659750822422E-3</v>
      </c>
      <c r="M201">
        <v>3.4527809405993679</v>
      </c>
      <c r="N201">
        <v>1.953125E-3</v>
      </c>
      <c r="O201">
        <f t="shared" si="3"/>
        <v>0.2099609375</v>
      </c>
    </row>
    <row r="202" spans="1:15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5.0554864626746392</v>
      </c>
      <c r="H202">
        <v>9.765625E-4</v>
      </c>
      <c r="I202">
        <v>-0.8449175626126092</v>
      </c>
      <c r="J202">
        <v>-8.2511480723887617E-4</v>
      </c>
      <c r="M202">
        <v>3.4527809405993679</v>
      </c>
      <c r="N202">
        <v>9.765625E-4</v>
      </c>
      <c r="O202">
        <f t="shared" si="3"/>
        <v>0.2109375</v>
      </c>
    </row>
    <row r="203" spans="1:15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4.2861733053111069</v>
      </c>
      <c r="H203">
        <v>1.953125E-3</v>
      </c>
      <c r="I203">
        <v>-0.86686463605351893</v>
      </c>
      <c r="J203">
        <v>-1.6930949922920292E-3</v>
      </c>
      <c r="M203">
        <v>3.4527809405993679</v>
      </c>
      <c r="N203">
        <v>1.953125E-3</v>
      </c>
      <c r="O203">
        <f t="shared" si="3"/>
        <v>0.212890625</v>
      </c>
    </row>
    <row r="204" spans="1:15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4.725780823804552</v>
      </c>
      <c r="H204">
        <v>3.90625E-3</v>
      </c>
      <c r="I204">
        <v>-0.85425457924210801</v>
      </c>
      <c r="J204">
        <v>-3.3369319501644844E-3</v>
      </c>
      <c r="M204">
        <v>3.4527809405993679</v>
      </c>
      <c r="N204">
        <v>3.90625E-3</v>
      </c>
      <c r="O204">
        <f t="shared" si="3"/>
        <v>0.216796875</v>
      </c>
    </row>
    <row r="205" spans="1:15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5.0554864626746392</v>
      </c>
      <c r="H205">
        <v>1.953125E-3</v>
      </c>
      <c r="I205">
        <v>-0.8449175626126092</v>
      </c>
      <c r="J205">
        <v>-1.6502296144777523E-3</v>
      </c>
      <c r="M205">
        <v>3.4527809405993679</v>
      </c>
      <c r="N205">
        <v>1.953125E-3</v>
      </c>
      <c r="O205">
        <f t="shared" si="3"/>
        <v>0.21875</v>
      </c>
    </row>
    <row r="206" spans="1:15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4.2861733053111069</v>
      </c>
      <c r="H206">
        <v>9.765625E-4</v>
      </c>
      <c r="I206">
        <v>-0.86686463605351893</v>
      </c>
      <c r="J206">
        <v>-8.4654749614601458E-4</v>
      </c>
      <c r="M206">
        <v>3.4527809405993679</v>
      </c>
      <c r="N206">
        <v>9.765625E-4</v>
      </c>
      <c r="O206">
        <f t="shared" si="3"/>
        <v>0.2197265625</v>
      </c>
    </row>
    <row r="207" spans="1:15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4.725780823804552</v>
      </c>
      <c r="H207">
        <v>1.953125E-3</v>
      </c>
      <c r="I207">
        <v>-0.85425457924210801</v>
      </c>
      <c r="J207">
        <v>-1.6684659750822422E-3</v>
      </c>
      <c r="M207">
        <v>3.4527809405993679</v>
      </c>
      <c r="N207">
        <v>1.953125E-3</v>
      </c>
      <c r="O207">
        <f t="shared" si="3"/>
        <v>0.2216796875</v>
      </c>
    </row>
    <row r="208" spans="1:15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5.0554864626746392</v>
      </c>
      <c r="H208">
        <v>9.765625E-4</v>
      </c>
      <c r="I208">
        <v>-0.8449175626126092</v>
      </c>
      <c r="J208">
        <v>-8.2511480723887617E-4</v>
      </c>
      <c r="M208">
        <v>3.4527809405993679</v>
      </c>
      <c r="N208">
        <v>9.765625E-4</v>
      </c>
      <c r="O208">
        <f t="shared" si="3"/>
        <v>0.22265625</v>
      </c>
    </row>
    <row r="209" spans="1:15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4.2861733053111069</v>
      </c>
      <c r="H209">
        <v>4.8828125E-4</v>
      </c>
      <c r="I209">
        <v>-0.86686463605351893</v>
      </c>
      <c r="J209">
        <v>-4.2327374807300729E-4</v>
      </c>
      <c r="M209">
        <v>3.5385123737104625</v>
      </c>
      <c r="N209">
        <v>4.8828125E-4</v>
      </c>
      <c r="O209">
        <f t="shared" si="3"/>
        <v>0.22314453125</v>
      </c>
    </row>
    <row r="210" spans="1:15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4.725780823804552</v>
      </c>
      <c r="H210">
        <v>9.765625E-4</v>
      </c>
      <c r="I210">
        <v>-0.85425457924210801</v>
      </c>
      <c r="J210">
        <v>-8.3423298754112111E-4</v>
      </c>
      <c r="M210">
        <v>3.5385123737104625</v>
      </c>
      <c r="N210">
        <v>9.765625E-4</v>
      </c>
      <c r="O210">
        <f t="shared" si="3"/>
        <v>0.22412109375</v>
      </c>
    </row>
    <row r="211" spans="1:15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5.0554864626746392</v>
      </c>
      <c r="H211">
        <v>4.8828125E-4</v>
      </c>
      <c r="I211">
        <v>-0.8449175626126092</v>
      </c>
      <c r="J211">
        <v>-4.1255740361943808E-4</v>
      </c>
      <c r="M211">
        <v>3.5385123737104625</v>
      </c>
      <c r="N211">
        <v>4.8828125E-4</v>
      </c>
      <c r="O211">
        <f t="shared" si="3"/>
        <v>0.224609375</v>
      </c>
    </row>
    <row r="212" spans="1:15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4.2861733053111069</v>
      </c>
      <c r="H212">
        <v>9.765625E-4</v>
      </c>
      <c r="I212">
        <v>-0.86686463605351893</v>
      </c>
      <c r="J212">
        <v>-8.4654749614601458E-4</v>
      </c>
      <c r="M212">
        <v>3.5385123737104625</v>
      </c>
      <c r="N212">
        <v>9.765625E-4</v>
      </c>
      <c r="O212">
        <f t="shared" si="3"/>
        <v>0.2255859375</v>
      </c>
    </row>
    <row r="213" spans="1:15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4.725780823804552</v>
      </c>
      <c r="H213">
        <v>1.953125E-3</v>
      </c>
      <c r="I213">
        <v>-0.85425457924210801</v>
      </c>
      <c r="J213">
        <v>-1.6684659750822422E-3</v>
      </c>
      <c r="M213">
        <v>3.5385123737104625</v>
      </c>
      <c r="N213">
        <v>1.953125E-3</v>
      </c>
      <c r="O213">
        <f t="shared" si="3"/>
        <v>0.2275390625</v>
      </c>
    </row>
    <row r="214" spans="1:15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5.0554864626746392</v>
      </c>
      <c r="H214">
        <v>9.765625E-4</v>
      </c>
      <c r="I214">
        <v>-0.8449175626126092</v>
      </c>
      <c r="J214">
        <v>-8.2511480723887617E-4</v>
      </c>
      <c r="M214">
        <v>3.5385123737104625</v>
      </c>
      <c r="N214">
        <v>9.765625E-4</v>
      </c>
      <c r="O214">
        <f t="shared" si="3"/>
        <v>0.228515625</v>
      </c>
    </row>
    <row r="215" spans="1:15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4.2861733053111069</v>
      </c>
      <c r="H215">
        <v>4.8828125E-4</v>
      </c>
      <c r="I215">
        <v>-0.86686463605351893</v>
      </c>
      <c r="J215">
        <v>-4.2327374807300729E-4</v>
      </c>
      <c r="M215">
        <v>3.5385123737104625</v>
      </c>
      <c r="N215">
        <v>4.8828125E-4</v>
      </c>
      <c r="O215">
        <f t="shared" si="3"/>
        <v>0.22900390625</v>
      </c>
    </row>
    <row r="216" spans="1:15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4.725780823804552</v>
      </c>
      <c r="H216">
        <v>9.765625E-4</v>
      </c>
      <c r="I216">
        <v>-0.85425457924210801</v>
      </c>
      <c r="J216">
        <v>-8.3423298754112111E-4</v>
      </c>
      <c r="M216">
        <v>3.5385123737104625</v>
      </c>
      <c r="N216">
        <v>9.765625E-4</v>
      </c>
      <c r="O216">
        <f t="shared" si="3"/>
        <v>0.22998046875</v>
      </c>
    </row>
    <row r="217" spans="1:15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5.0554864626746392</v>
      </c>
      <c r="H217">
        <v>4.8828125E-4</v>
      </c>
      <c r="I217">
        <v>-0.8449175626126092</v>
      </c>
      <c r="J217">
        <v>-4.1255740361943808E-4</v>
      </c>
      <c r="M217">
        <v>3.5385123737104625</v>
      </c>
      <c r="N217">
        <v>4.8828125E-4</v>
      </c>
      <c r="O217">
        <f t="shared" si="3"/>
        <v>0.23046875</v>
      </c>
    </row>
    <row r="218" spans="1:15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4.821944968474992</v>
      </c>
      <c r="H218">
        <v>2.44140625E-4</v>
      </c>
      <c r="I218">
        <v>-0.85152067461157688</v>
      </c>
      <c r="J218">
        <v>-2.0789078970009201E-4</v>
      </c>
      <c r="M218">
        <v>3.5685786795350425</v>
      </c>
      <c r="N218">
        <v>4.8828125E-4</v>
      </c>
      <c r="O218">
        <f t="shared" si="3"/>
        <v>0.23095703125</v>
      </c>
    </row>
    <row r="219" spans="1:15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5.3165034267801188</v>
      </c>
      <c r="H219">
        <v>4.8828125E-4</v>
      </c>
      <c r="I219">
        <v>-0.83759818955731413</v>
      </c>
      <c r="J219">
        <v>-4.0898349099478229E-4</v>
      </c>
      <c r="M219">
        <v>3.5685786795350425</v>
      </c>
      <c r="N219">
        <v>9.765625E-4</v>
      </c>
      <c r="O219">
        <f t="shared" si="3"/>
        <v>0.23193359375</v>
      </c>
    </row>
    <row r="220" spans="1:15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5.6874222705089643</v>
      </c>
      <c r="H220">
        <v>2.44140625E-4</v>
      </c>
      <c r="I220">
        <v>-0.82730591557660493</v>
      </c>
      <c r="J220">
        <v>-2.0197898329506956E-4</v>
      </c>
      <c r="M220">
        <v>3.5685786795350425</v>
      </c>
      <c r="N220">
        <v>4.8828125E-4</v>
      </c>
      <c r="O220">
        <f t="shared" si="3"/>
        <v>0.232421875</v>
      </c>
    </row>
    <row r="221" spans="1:15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4.821944968474992</v>
      </c>
      <c r="H221">
        <v>4.8828125E-4</v>
      </c>
      <c r="I221">
        <v>-0.85152067461157688</v>
      </c>
      <c r="J221">
        <v>-4.1578157940018402E-4</v>
      </c>
      <c r="M221">
        <v>3.5685786795350425</v>
      </c>
      <c r="N221">
        <v>9.765625E-4</v>
      </c>
      <c r="O221">
        <f t="shared" si="3"/>
        <v>0.2333984375</v>
      </c>
    </row>
    <row r="222" spans="1:15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5.3165034267801188</v>
      </c>
      <c r="H222">
        <v>9.765625E-4</v>
      </c>
      <c r="I222">
        <v>-0.83759818955731413</v>
      </c>
      <c r="J222">
        <v>-8.1796698198956458E-4</v>
      </c>
      <c r="M222">
        <v>3.5685786795350425</v>
      </c>
      <c r="N222">
        <v>1.953125E-3</v>
      </c>
      <c r="O222">
        <f t="shared" si="3"/>
        <v>0.2353515625</v>
      </c>
    </row>
    <row r="223" spans="1:15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5.6874222705089643</v>
      </c>
      <c r="H223">
        <v>4.8828125E-4</v>
      </c>
      <c r="I223">
        <v>-0.82730591557660493</v>
      </c>
      <c r="J223">
        <v>-4.0395796659013913E-4</v>
      </c>
      <c r="M223">
        <v>3.5685786795350425</v>
      </c>
      <c r="N223">
        <v>9.765625E-4</v>
      </c>
      <c r="O223">
        <f t="shared" si="3"/>
        <v>0.236328125</v>
      </c>
    </row>
    <row r="224" spans="1:15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4.821944968474992</v>
      </c>
      <c r="H224">
        <v>2.44140625E-4</v>
      </c>
      <c r="I224">
        <v>-0.85152067461157688</v>
      </c>
      <c r="J224">
        <v>-2.0789078970009201E-4</v>
      </c>
      <c r="M224">
        <v>3.5685786795350425</v>
      </c>
      <c r="N224">
        <v>4.8828125E-4</v>
      </c>
      <c r="O224">
        <f t="shared" si="3"/>
        <v>0.23681640625</v>
      </c>
    </row>
    <row r="225" spans="1:15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5.3165034267801188</v>
      </c>
      <c r="H225">
        <v>4.8828125E-4</v>
      </c>
      <c r="I225">
        <v>-0.83759818955731413</v>
      </c>
      <c r="J225">
        <v>-4.0898349099478229E-4</v>
      </c>
      <c r="M225">
        <v>3.5685786795350425</v>
      </c>
      <c r="N225">
        <v>9.765625E-4</v>
      </c>
      <c r="O225">
        <f t="shared" si="3"/>
        <v>0.23779296875</v>
      </c>
    </row>
    <row r="226" spans="1:15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5.6874222705089643</v>
      </c>
      <c r="H226">
        <v>2.44140625E-4</v>
      </c>
      <c r="I226">
        <v>-0.82730591557660493</v>
      </c>
      <c r="J226">
        <v>-2.0197898329506956E-4</v>
      </c>
      <c r="M226">
        <v>3.5685786795350425</v>
      </c>
      <c r="N226">
        <v>4.8828125E-4</v>
      </c>
      <c r="O226">
        <f t="shared" si="3"/>
        <v>0.23828125</v>
      </c>
    </row>
    <row r="227" spans="1:15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4.821944968474992</v>
      </c>
      <c r="H227">
        <v>4.8828125E-4</v>
      </c>
      <c r="I227">
        <v>-0.85152067461157688</v>
      </c>
      <c r="J227">
        <v>-4.1578157940018402E-4</v>
      </c>
      <c r="M227">
        <v>3.6936726341295558</v>
      </c>
      <c r="N227">
        <v>4.8828125E-4</v>
      </c>
      <c r="O227">
        <f t="shared" si="3"/>
        <v>0.23876953125</v>
      </c>
    </row>
    <row r="228" spans="1:15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5.3165034267801188</v>
      </c>
      <c r="H228">
        <v>9.765625E-4</v>
      </c>
      <c r="I228">
        <v>-0.83759818955731413</v>
      </c>
      <c r="J228">
        <v>-8.1796698198956458E-4</v>
      </c>
      <c r="M228">
        <v>3.6936726341295558</v>
      </c>
      <c r="N228">
        <v>9.765625E-4</v>
      </c>
      <c r="O228">
        <f t="shared" si="3"/>
        <v>0.23974609375</v>
      </c>
    </row>
    <row r="229" spans="1:15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5.6874222705089643</v>
      </c>
      <c r="H229">
        <v>4.8828125E-4</v>
      </c>
      <c r="I229">
        <v>-0.82730591557660493</v>
      </c>
      <c r="J229">
        <v>-4.0395796659013913E-4</v>
      </c>
      <c r="M229">
        <v>3.6936726341295558</v>
      </c>
      <c r="N229">
        <v>4.8828125E-4</v>
      </c>
      <c r="O229">
        <f t="shared" si="3"/>
        <v>0.240234375</v>
      </c>
    </row>
    <row r="230" spans="1:15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4.821944968474992</v>
      </c>
      <c r="H230">
        <v>9.765625E-4</v>
      </c>
      <c r="I230">
        <v>-0.85152067461157688</v>
      </c>
      <c r="J230">
        <v>-8.3156315880036804E-4</v>
      </c>
      <c r="M230">
        <v>3.6936726341295558</v>
      </c>
      <c r="N230">
        <v>9.765625E-4</v>
      </c>
      <c r="O230">
        <f t="shared" si="3"/>
        <v>0.2412109375</v>
      </c>
    </row>
    <row r="231" spans="1:15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5.3165034267801188</v>
      </c>
      <c r="H231">
        <v>1.953125E-3</v>
      </c>
      <c r="I231">
        <v>-0.83759818955731413</v>
      </c>
      <c r="J231">
        <v>-1.6359339639791292E-3</v>
      </c>
      <c r="M231">
        <v>3.6936726341295558</v>
      </c>
      <c r="N231">
        <v>1.953125E-3</v>
      </c>
      <c r="O231">
        <f t="shared" si="3"/>
        <v>0.2431640625</v>
      </c>
    </row>
    <row r="232" spans="1:15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5.6874222705089643</v>
      </c>
      <c r="H232">
        <v>9.765625E-4</v>
      </c>
      <c r="I232">
        <v>-0.82730591557660493</v>
      </c>
      <c r="J232">
        <v>-8.0791593318027826E-4</v>
      </c>
      <c r="M232">
        <v>3.6936726341295558</v>
      </c>
      <c r="N232">
        <v>9.765625E-4</v>
      </c>
      <c r="O232">
        <f t="shared" si="3"/>
        <v>0.244140625</v>
      </c>
    </row>
    <row r="233" spans="1:15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4.821944968474992</v>
      </c>
      <c r="H233">
        <v>4.8828125E-4</v>
      </c>
      <c r="I233">
        <v>-0.85152067461157688</v>
      </c>
      <c r="J233">
        <v>-4.1578157940018402E-4</v>
      </c>
      <c r="M233">
        <v>3.6936726341295558</v>
      </c>
      <c r="N233">
        <v>4.8828125E-4</v>
      </c>
      <c r="O233">
        <f t="shared" si="3"/>
        <v>0.24462890625</v>
      </c>
    </row>
    <row r="234" spans="1:15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5.3165034267801188</v>
      </c>
      <c r="H234">
        <v>9.765625E-4</v>
      </c>
      <c r="I234">
        <v>-0.83759818955731413</v>
      </c>
      <c r="J234">
        <v>-8.1796698198956458E-4</v>
      </c>
      <c r="M234">
        <v>3.6936726341295558</v>
      </c>
      <c r="N234">
        <v>9.765625E-4</v>
      </c>
      <c r="O234">
        <f t="shared" si="3"/>
        <v>0.24560546875</v>
      </c>
    </row>
    <row r="235" spans="1:15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5.6874222705089643</v>
      </c>
      <c r="H235">
        <v>4.8828125E-4</v>
      </c>
      <c r="I235">
        <v>-0.82730591557660493</v>
      </c>
      <c r="J235">
        <v>-4.0395796659013913E-4</v>
      </c>
      <c r="M235">
        <v>3.6936726341295558</v>
      </c>
      <c r="N235">
        <v>4.8828125E-4</v>
      </c>
      <c r="O235">
        <f t="shared" si="3"/>
        <v>0.24609375</v>
      </c>
    </row>
    <row r="236" spans="1:15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4.821944968474992</v>
      </c>
      <c r="H236">
        <v>2.44140625E-4</v>
      </c>
      <c r="I236">
        <v>-0.85152067461157688</v>
      </c>
      <c r="J236">
        <v>-2.0789078970009201E-4</v>
      </c>
      <c r="M236">
        <v>3.7528259483153876</v>
      </c>
      <c r="N236">
        <v>4.8828125E-4</v>
      </c>
      <c r="O236">
        <f t="shared" si="3"/>
        <v>0.24658203125</v>
      </c>
    </row>
    <row r="237" spans="1:15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5.3165034267801188</v>
      </c>
      <c r="H237">
        <v>4.8828125E-4</v>
      </c>
      <c r="I237">
        <v>-0.83759818955731413</v>
      </c>
      <c r="J237">
        <v>-4.0898349099478229E-4</v>
      </c>
      <c r="M237">
        <v>3.7528259483153876</v>
      </c>
      <c r="N237">
        <v>9.765625E-4</v>
      </c>
      <c r="O237">
        <f t="shared" si="3"/>
        <v>0.24755859375</v>
      </c>
    </row>
    <row r="238" spans="1:15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5.6874222705089643</v>
      </c>
      <c r="H238">
        <v>2.44140625E-4</v>
      </c>
      <c r="I238">
        <v>-0.82730591557660493</v>
      </c>
      <c r="J238">
        <v>-2.0197898329506956E-4</v>
      </c>
      <c r="M238">
        <v>3.7528259483153876</v>
      </c>
      <c r="N238">
        <v>4.8828125E-4</v>
      </c>
      <c r="O238">
        <f t="shared" si="3"/>
        <v>0.248046875</v>
      </c>
    </row>
    <row r="239" spans="1:15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4.821944968474992</v>
      </c>
      <c r="H239">
        <v>4.8828125E-4</v>
      </c>
      <c r="I239">
        <v>-0.85152067461157688</v>
      </c>
      <c r="J239">
        <v>-4.1578157940018402E-4</v>
      </c>
      <c r="M239">
        <v>3.7528259483153876</v>
      </c>
      <c r="N239">
        <v>9.765625E-4</v>
      </c>
      <c r="O239">
        <f t="shared" si="3"/>
        <v>0.2490234375</v>
      </c>
    </row>
    <row r="240" spans="1:15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5.3165034267801188</v>
      </c>
      <c r="H240">
        <v>9.765625E-4</v>
      </c>
      <c r="I240">
        <v>-0.83759818955731413</v>
      </c>
      <c r="J240">
        <v>-8.1796698198956458E-4</v>
      </c>
      <c r="M240">
        <v>3.7528259483153876</v>
      </c>
      <c r="N240">
        <v>1.953125E-3</v>
      </c>
      <c r="O240">
        <f t="shared" si="3"/>
        <v>0.2509765625</v>
      </c>
    </row>
    <row r="241" spans="1:15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5.6874222705089643</v>
      </c>
      <c r="H241">
        <v>4.8828125E-4</v>
      </c>
      <c r="I241">
        <v>-0.82730591557660493</v>
      </c>
      <c r="J241">
        <v>-4.0395796659013913E-4</v>
      </c>
      <c r="M241">
        <v>3.7528259483153876</v>
      </c>
      <c r="N241">
        <v>9.765625E-4</v>
      </c>
      <c r="O241">
        <f t="shared" si="3"/>
        <v>0.251953125</v>
      </c>
    </row>
    <row r="242" spans="1:15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4.821944968474992</v>
      </c>
      <c r="H242">
        <v>2.44140625E-4</v>
      </c>
      <c r="I242">
        <v>-0.85152067461157688</v>
      </c>
      <c r="J242">
        <v>-2.0789078970009201E-4</v>
      </c>
      <c r="M242">
        <v>3.7528259483153876</v>
      </c>
      <c r="N242">
        <v>4.8828125E-4</v>
      </c>
      <c r="O242">
        <f t="shared" si="3"/>
        <v>0.25244140625</v>
      </c>
    </row>
    <row r="243" spans="1:15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5.3165034267801188</v>
      </c>
      <c r="H243">
        <v>4.8828125E-4</v>
      </c>
      <c r="I243">
        <v>-0.83759818955731413</v>
      </c>
      <c r="J243">
        <v>-4.0898349099478229E-4</v>
      </c>
      <c r="M243">
        <v>3.7528259483153876</v>
      </c>
      <c r="N243">
        <v>9.765625E-4</v>
      </c>
      <c r="O243">
        <f t="shared" si="3"/>
        <v>0.25341796875</v>
      </c>
    </row>
    <row r="244" spans="1:15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5.6874222705089643</v>
      </c>
      <c r="H244">
        <v>2.44140625E-4</v>
      </c>
      <c r="I244">
        <v>-0.82730591557660493</v>
      </c>
      <c r="J244">
        <v>-2.0197898329506956E-4</v>
      </c>
      <c r="M244">
        <v>3.7528259483153876</v>
      </c>
      <c r="N244">
        <v>4.8828125E-4</v>
      </c>
      <c r="O244">
        <f t="shared" si="3"/>
        <v>0.25390625</v>
      </c>
    </row>
    <row r="245" spans="1:15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5.0128925294231461</v>
      </c>
      <c r="H245">
        <v>4.8828125E-4</v>
      </c>
      <c r="I245">
        <v>-0.84611802669456282</v>
      </c>
      <c r="J245">
        <v>-4.131435677219545E-4</v>
      </c>
      <c r="M245">
        <v>3.901436719732045</v>
      </c>
      <c r="N245">
        <v>9.765625E-4</v>
      </c>
      <c r="O245">
        <f t="shared" si="3"/>
        <v>0.2548828125</v>
      </c>
    </row>
    <row r="246" spans="1:15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5.5270353529537237</v>
      </c>
      <c r="H246">
        <v>9.765625E-4</v>
      </c>
      <c r="I246">
        <v>-0.8317407279675324</v>
      </c>
      <c r="J246">
        <v>-8.1224680465579336E-4</v>
      </c>
      <c r="M246">
        <v>3.901436719732045</v>
      </c>
      <c r="N246">
        <v>1.953125E-3</v>
      </c>
      <c r="O246">
        <f t="shared" si="3"/>
        <v>0.2568359375</v>
      </c>
    </row>
    <row r="247" spans="1:15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5.9126424706016598</v>
      </c>
      <c r="H247">
        <v>4.8828125E-4</v>
      </c>
      <c r="I247">
        <v>-0.82111830409460562</v>
      </c>
      <c r="J247">
        <v>-4.0093667192119415E-4</v>
      </c>
      <c r="M247">
        <v>3.901436719732045</v>
      </c>
      <c r="N247">
        <v>9.765625E-4</v>
      </c>
      <c r="O247">
        <f t="shared" si="3"/>
        <v>0.2578125</v>
      </c>
    </row>
    <row r="248" spans="1:15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5.0128925294231461</v>
      </c>
      <c r="H248">
        <v>9.765625E-4</v>
      </c>
      <c r="I248">
        <v>-0.84611802669456282</v>
      </c>
      <c r="J248">
        <v>-8.26287135443909E-4</v>
      </c>
      <c r="M248">
        <v>3.901436719732045</v>
      </c>
      <c r="N248">
        <v>1.953125E-3</v>
      </c>
      <c r="O248">
        <f t="shared" si="3"/>
        <v>0.259765625</v>
      </c>
    </row>
    <row r="249" spans="1:15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5.5270353529537237</v>
      </c>
      <c r="H249">
        <v>1.953125E-3</v>
      </c>
      <c r="I249">
        <v>-0.8317407279675324</v>
      </c>
      <c r="J249">
        <v>-1.6244936093115867E-3</v>
      </c>
      <c r="M249">
        <v>3.901436719732045</v>
      </c>
      <c r="N249">
        <v>3.90625E-3</v>
      </c>
      <c r="O249">
        <f t="shared" si="3"/>
        <v>0.263671875</v>
      </c>
    </row>
    <row r="250" spans="1:15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5.9126424706016598</v>
      </c>
      <c r="H250">
        <v>9.765625E-4</v>
      </c>
      <c r="I250">
        <v>-0.82111830409460562</v>
      </c>
      <c r="J250">
        <v>-8.018733438423883E-4</v>
      </c>
      <c r="M250">
        <v>3.901436719732045</v>
      </c>
      <c r="N250">
        <v>1.953125E-3</v>
      </c>
      <c r="O250">
        <f t="shared" si="3"/>
        <v>0.265625</v>
      </c>
    </row>
    <row r="251" spans="1:15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5.0128925294231461</v>
      </c>
      <c r="H251">
        <v>4.8828125E-4</v>
      </c>
      <c r="I251">
        <v>-0.84611802669456282</v>
      </c>
      <c r="J251">
        <v>-4.131435677219545E-4</v>
      </c>
      <c r="M251">
        <v>3.901436719732045</v>
      </c>
      <c r="N251">
        <v>9.765625E-4</v>
      </c>
      <c r="O251">
        <f t="shared" si="3"/>
        <v>0.2666015625</v>
      </c>
    </row>
    <row r="252" spans="1:15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5.5270353529537237</v>
      </c>
      <c r="H252">
        <v>9.765625E-4</v>
      </c>
      <c r="I252">
        <v>-0.8317407279675324</v>
      </c>
      <c r="J252">
        <v>-8.1224680465579336E-4</v>
      </c>
      <c r="M252">
        <v>3.901436719732045</v>
      </c>
      <c r="N252">
        <v>1.953125E-3</v>
      </c>
      <c r="O252">
        <f t="shared" si="3"/>
        <v>0.2685546875</v>
      </c>
    </row>
    <row r="253" spans="1:15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5.9126424706016598</v>
      </c>
      <c r="H253">
        <v>4.8828125E-4</v>
      </c>
      <c r="I253">
        <v>-0.82111830409460562</v>
      </c>
      <c r="J253">
        <v>-4.0093667192119415E-4</v>
      </c>
      <c r="M253">
        <v>3.901436719732045</v>
      </c>
      <c r="N253">
        <v>9.765625E-4</v>
      </c>
      <c r="O253">
        <f t="shared" si="3"/>
        <v>0.26953125</v>
      </c>
    </row>
    <row r="254" spans="1:15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5.0128925294231461</v>
      </c>
      <c r="H254">
        <v>9.765625E-4</v>
      </c>
      <c r="I254">
        <v>-0.84611802669456282</v>
      </c>
      <c r="J254">
        <v>-8.26287135443909E-4</v>
      </c>
      <c r="M254">
        <v>4.0146510144769225</v>
      </c>
      <c r="N254">
        <v>2.44140625E-4</v>
      </c>
      <c r="O254">
        <f t="shared" si="3"/>
        <v>0.269775390625</v>
      </c>
    </row>
    <row r="255" spans="1:15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5.5270353529537237</v>
      </c>
      <c r="H255">
        <v>1.953125E-3</v>
      </c>
      <c r="I255">
        <v>-0.8317407279675324</v>
      </c>
      <c r="J255">
        <v>-1.6244936093115867E-3</v>
      </c>
      <c r="M255">
        <v>4.0146510144769225</v>
      </c>
      <c r="N255">
        <v>4.8828125E-4</v>
      </c>
      <c r="O255">
        <f t="shared" si="3"/>
        <v>0.270263671875</v>
      </c>
    </row>
    <row r="256" spans="1:15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5.9126424706016598</v>
      </c>
      <c r="H256">
        <v>9.765625E-4</v>
      </c>
      <c r="I256">
        <v>-0.82111830409460562</v>
      </c>
      <c r="J256">
        <v>-8.018733438423883E-4</v>
      </c>
      <c r="M256">
        <v>4.0146510144769225</v>
      </c>
      <c r="N256">
        <v>2.44140625E-4</v>
      </c>
      <c r="O256">
        <f t="shared" si="3"/>
        <v>0.2705078125</v>
      </c>
    </row>
    <row r="257" spans="1:15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5.0128925294231461</v>
      </c>
      <c r="H257">
        <v>1.953125E-3</v>
      </c>
      <c r="I257">
        <v>-0.84611802669456282</v>
      </c>
      <c r="J257">
        <v>-1.652574270887818E-3</v>
      </c>
      <c r="M257">
        <v>4.0146510144769225</v>
      </c>
      <c r="N257">
        <v>4.8828125E-4</v>
      </c>
      <c r="O257">
        <f t="shared" si="3"/>
        <v>0.27099609375</v>
      </c>
    </row>
    <row r="258" spans="1:15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5.5270353529537237</v>
      </c>
      <c r="H258">
        <v>3.90625E-3</v>
      </c>
      <c r="I258">
        <v>-0.8317407279675324</v>
      </c>
      <c r="J258">
        <v>-3.2489872186231734E-3</v>
      </c>
      <c r="M258">
        <v>4.0146510144769225</v>
      </c>
      <c r="N258">
        <v>9.765625E-4</v>
      </c>
      <c r="O258">
        <f t="shared" si="3"/>
        <v>0.27197265625</v>
      </c>
    </row>
    <row r="259" spans="1:15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5.9126424706016598</v>
      </c>
      <c r="H259">
        <v>1.953125E-3</v>
      </c>
      <c r="I259">
        <v>-0.82111830409460562</v>
      </c>
      <c r="J259">
        <v>-1.6037466876847766E-3</v>
      </c>
      <c r="M259">
        <v>4.0146510144769225</v>
      </c>
      <c r="N259">
        <v>4.8828125E-4</v>
      </c>
      <c r="O259">
        <f t="shared" si="3"/>
        <v>0.2724609375</v>
      </c>
    </row>
    <row r="260" spans="1:15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5.0128925294231461</v>
      </c>
      <c r="H260">
        <v>9.765625E-4</v>
      </c>
      <c r="I260">
        <v>-0.84611802669456282</v>
      </c>
      <c r="J260">
        <v>-8.26287135443909E-4</v>
      </c>
      <c r="M260">
        <v>4.0146510144769225</v>
      </c>
      <c r="N260">
        <v>2.44140625E-4</v>
      </c>
      <c r="O260">
        <f t="shared" ref="O260:O323" si="4">N260+O259</f>
        <v>0.272705078125</v>
      </c>
    </row>
    <row r="261" spans="1:15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5.5270353529537237</v>
      </c>
      <c r="H261">
        <v>1.953125E-3</v>
      </c>
      <c r="I261">
        <v>-0.8317407279675324</v>
      </c>
      <c r="J261">
        <v>-1.6244936093115867E-3</v>
      </c>
      <c r="M261">
        <v>4.0146510144769225</v>
      </c>
      <c r="N261">
        <v>4.8828125E-4</v>
      </c>
      <c r="O261">
        <f t="shared" si="4"/>
        <v>0.273193359375</v>
      </c>
    </row>
    <row r="262" spans="1:15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5.9126424706016598</v>
      </c>
      <c r="H262">
        <v>9.765625E-4</v>
      </c>
      <c r="I262">
        <v>-0.82111830409460562</v>
      </c>
      <c r="J262">
        <v>-8.018733438423883E-4</v>
      </c>
      <c r="M262">
        <v>4.0146510144769225</v>
      </c>
      <c r="N262">
        <v>2.44140625E-4</v>
      </c>
      <c r="O262">
        <f t="shared" si="4"/>
        <v>0.2734375</v>
      </c>
    </row>
    <row r="263" spans="1:15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5.0128925294231461</v>
      </c>
      <c r="H263">
        <v>4.8828125E-4</v>
      </c>
      <c r="I263">
        <v>-0.84611802669456282</v>
      </c>
      <c r="J263">
        <v>-4.131435677219545E-4</v>
      </c>
      <c r="M263">
        <v>4.173629979248239</v>
      </c>
      <c r="N263">
        <v>4.8828125E-4</v>
      </c>
      <c r="O263">
        <f t="shared" si="4"/>
        <v>0.27392578125</v>
      </c>
    </row>
    <row r="264" spans="1:15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5.5270353529537237</v>
      </c>
      <c r="H264">
        <v>9.765625E-4</v>
      </c>
      <c r="I264">
        <v>-0.8317407279675324</v>
      </c>
      <c r="J264">
        <v>-8.1224680465579336E-4</v>
      </c>
      <c r="M264">
        <v>4.173629979248239</v>
      </c>
      <c r="N264">
        <v>9.765625E-4</v>
      </c>
      <c r="O264">
        <f t="shared" si="4"/>
        <v>0.27490234375</v>
      </c>
    </row>
    <row r="265" spans="1:15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5.9126424706016598</v>
      </c>
      <c r="H265">
        <v>4.8828125E-4</v>
      </c>
      <c r="I265">
        <v>-0.82111830409460562</v>
      </c>
      <c r="J265">
        <v>-4.0093667192119415E-4</v>
      </c>
      <c r="M265">
        <v>4.173629979248239</v>
      </c>
      <c r="N265">
        <v>4.8828125E-4</v>
      </c>
      <c r="O265">
        <f t="shared" si="4"/>
        <v>0.275390625</v>
      </c>
    </row>
    <row r="266" spans="1:15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5.0128925294231461</v>
      </c>
      <c r="H266">
        <v>9.765625E-4</v>
      </c>
      <c r="I266">
        <v>-0.84611802669456282</v>
      </c>
      <c r="J266">
        <v>-8.26287135443909E-4</v>
      </c>
      <c r="M266">
        <v>4.173629979248239</v>
      </c>
      <c r="N266">
        <v>9.765625E-4</v>
      </c>
      <c r="O266">
        <f t="shared" si="4"/>
        <v>0.2763671875</v>
      </c>
    </row>
    <row r="267" spans="1:15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5.5270353529537237</v>
      </c>
      <c r="H267">
        <v>1.953125E-3</v>
      </c>
      <c r="I267">
        <v>-0.8317407279675324</v>
      </c>
      <c r="J267">
        <v>-1.6244936093115867E-3</v>
      </c>
      <c r="M267">
        <v>4.173629979248239</v>
      </c>
      <c r="N267">
        <v>1.953125E-3</v>
      </c>
      <c r="O267">
        <f t="shared" si="4"/>
        <v>0.2783203125</v>
      </c>
    </row>
    <row r="268" spans="1:15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5.9126424706016598</v>
      </c>
      <c r="H268">
        <v>9.765625E-4</v>
      </c>
      <c r="I268">
        <v>-0.82111830409460562</v>
      </c>
      <c r="J268">
        <v>-8.018733438423883E-4</v>
      </c>
      <c r="M268">
        <v>4.173629979248239</v>
      </c>
      <c r="N268">
        <v>9.765625E-4</v>
      </c>
      <c r="O268">
        <f t="shared" si="4"/>
        <v>0.279296875</v>
      </c>
    </row>
    <row r="269" spans="1:15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5.0128925294231461</v>
      </c>
      <c r="H269">
        <v>4.8828125E-4</v>
      </c>
      <c r="I269">
        <v>-0.84611802669456282</v>
      </c>
      <c r="J269">
        <v>-4.131435677219545E-4</v>
      </c>
      <c r="M269">
        <v>4.173629979248239</v>
      </c>
      <c r="N269">
        <v>4.8828125E-4</v>
      </c>
      <c r="O269">
        <f t="shared" si="4"/>
        <v>0.27978515625</v>
      </c>
    </row>
    <row r="270" spans="1:15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5.5270353529537237</v>
      </c>
      <c r="H270">
        <v>9.765625E-4</v>
      </c>
      <c r="I270">
        <v>-0.8317407279675324</v>
      </c>
      <c r="J270">
        <v>-8.1224680465579336E-4</v>
      </c>
      <c r="M270">
        <v>4.173629979248239</v>
      </c>
      <c r="N270">
        <v>9.765625E-4</v>
      </c>
      <c r="O270">
        <f t="shared" si="4"/>
        <v>0.28076171875</v>
      </c>
    </row>
    <row r="271" spans="1:15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5.9126424706016598</v>
      </c>
      <c r="H271">
        <v>4.8828125E-4</v>
      </c>
      <c r="I271">
        <v>-0.82111830409460562</v>
      </c>
      <c r="J271">
        <v>-4.0093667192119415E-4</v>
      </c>
      <c r="M271">
        <v>4.173629979248239</v>
      </c>
      <c r="N271">
        <v>4.8828125E-4</v>
      </c>
      <c r="O271">
        <f t="shared" si="4"/>
        <v>0.28125</v>
      </c>
    </row>
    <row r="272" spans="1:15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6.1697138823669491</v>
      </c>
      <c r="H272">
        <v>9.765625E-4</v>
      </c>
      <c r="I272">
        <v>-0.81411216355080485</v>
      </c>
      <c r="J272">
        <v>-7.9503140971758286E-4</v>
      </c>
      <c r="M272">
        <v>4.3550921522590311</v>
      </c>
      <c r="N272">
        <v>9.765625E-4</v>
      </c>
      <c r="O272">
        <f t="shared" si="4"/>
        <v>0.2822265625</v>
      </c>
    </row>
    <row r="273" spans="1:15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6.8025050497892066</v>
      </c>
      <c r="H273">
        <v>1.953125E-3</v>
      </c>
      <c r="I273">
        <v>-0.79711990321530135</v>
      </c>
      <c r="J273">
        <v>-1.5568748109673855E-3</v>
      </c>
      <c r="M273">
        <v>4.3550921522590311</v>
      </c>
      <c r="N273">
        <v>1.953125E-3</v>
      </c>
      <c r="O273">
        <f t="shared" si="4"/>
        <v>0.2841796875</v>
      </c>
    </row>
    <row r="274" spans="1:15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7.2770984253558888</v>
      </c>
      <c r="H274">
        <v>9.765625E-4</v>
      </c>
      <c r="I274">
        <v>-0.78460886422142984</v>
      </c>
      <c r="J274">
        <v>-7.6621959396624007E-4</v>
      </c>
      <c r="M274">
        <v>4.3550921522590311</v>
      </c>
      <c r="N274">
        <v>9.765625E-4</v>
      </c>
      <c r="O274">
        <f t="shared" si="4"/>
        <v>0.28515625</v>
      </c>
    </row>
    <row r="275" spans="1:15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6.1697138823669491</v>
      </c>
      <c r="H275">
        <v>1.953125E-3</v>
      </c>
      <c r="I275">
        <v>-0.81411216355080485</v>
      </c>
      <c r="J275">
        <v>-1.5900628194351657E-3</v>
      </c>
      <c r="M275">
        <v>4.3550921522590311</v>
      </c>
      <c r="N275">
        <v>1.953125E-3</v>
      </c>
      <c r="O275">
        <f t="shared" si="4"/>
        <v>0.287109375</v>
      </c>
    </row>
    <row r="276" spans="1:15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6.8025050497892066</v>
      </c>
      <c r="H276">
        <v>3.90625E-3</v>
      </c>
      <c r="I276">
        <v>-0.79711990321530135</v>
      </c>
      <c r="J276">
        <v>-3.1137496219347709E-3</v>
      </c>
      <c r="M276">
        <v>4.3550921522590311</v>
      </c>
      <c r="N276">
        <v>3.90625E-3</v>
      </c>
      <c r="O276">
        <f t="shared" si="4"/>
        <v>0.291015625</v>
      </c>
    </row>
    <row r="277" spans="1:15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7.2770984253558888</v>
      </c>
      <c r="H277">
        <v>1.953125E-3</v>
      </c>
      <c r="I277">
        <v>-0.78460886422142984</v>
      </c>
      <c r="J277">
        <v>-1.5324391879324801E-3</v>
      </c>
      <c r="M277">
        <v>4.3550921522590311</v>
      </c>
      <c r="N277">
        <v>1.953125E-3</v>
      </c>
      <c r="O277">
        <f t="shared" si="4"/>
        <v>0.29296875</v>
      </c>
    </row>
    <row r="278" spans="1:15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6.1697138823669491</v>
      </c>
      <c r="H278">
        <v>9.765625E-4</v>
      </c>
      <c r="I278">
        <v>-0.81411216355080485</v>
      </c>
      <c r="J278">
        <v>-7.9503140971758286E-4</v>
      </c>
      <c r="M278">
        <v>4.3550921522590311</v>
      </c>
      <c r="N278">
        <v>9.765625E-4</v>
      </c>
      <c r="O278">
        <f t="shared" si="4"/>
        <v>0.2939453125</v>
      </c>
    </row>
    <row r="279" spans="1:15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6.8025050497892066</v>
      </c>
      <c r="H279">
        <v>1.953125E-3</v>
      </c>
      <c r="I279">
        <v>-0.79711990321530135</v>
      </c>
      <c r="J279">
        <v>-1.5568748109673855E-3</v>
      </c>
      <c r="M279">
        <v>4.3550921522590311</v>
      </c>
      <c r="N279">
        <v>1.953125E-3</v>
      </c>
      <c r="O279">
        <f t="shared" si="4"/>
        <v>0.2958984375</v>
      </c>
    </row>
    <row r="280" spans="1:15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7.2770984253558888</v>
      </c>
      <c r="H280">
        <v>9.765625E-4</v>
      </c>
      <c r="I280">
        <v>-0.78460886422142984</v>
      </c>
      <c r="J280">
        <v>-7.6621959396624007E-4</v>
      </c>
      <c r="M280">
        <v>4.3550921522590311</v>
      </c>
      <c r="N280">
        <v>9.765625E-4</v>
      </c>
      <c r="O280">
        <f t="shared" si="4"/>
        <v>0.296875</v>
      </c>
    </row>
    <row r="281" spans="1:15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6.1697138823669491</v>
      </c>
      <c r="H281">
        <v>1.953125E-3</v>
      </c>
      <c r="I281">
        <v>-0.81411216355080485</v>
      </c>
      <c r="J281">
        <v>-1.5900628194351657E-3</v>
      </c>
      <c r="M281">
        <v>4.8017682704394451</v>
      </c>
      <c r="N281">
        <v>1.953125E-3</v>
      </c>
      <c r="O281">
        <f t="shared" si="4"/>
        <v>0.298828125</v>
      </c>
    </row>
    <row r="282" spans="1:15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6.8025050497892066</v>
      </c>
      <c r="H282">
        <v>3.90625E-3</v>
      </c>
      <c r="I282">
        <v>-0.79711990321530135</v>
      </c>
      <c r="J282">
        <v>-3.1137496219347709E-3</v>
      </c>
      <c r="M282">
        <v>4.8017682704394451</v>
      </c>
      <c r="N282">
        <v>3.90625E-3</v>
      </c>
      <c r="O282">
        <f t="shared" si="4"/>
        <v>0.302734375</v>
      </c>
    </row>
    <row r="283" spans="1:15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7.2770984253558888</v>
      </c>
      <c r="H283">
        <v>1.953125E-3</v>
      </c>
      <c r="I283">
        <v>-0.78460886422142984</v>
      </c>
      <c r="J283">
        <v>-1.5324391879324801E-3</v>
      </c>
      <c r="M283">
        <v>4.8017682704394451</v>
      </c>
      <c r="N283">
        <v>1.953125E-3</v>
      </c>
      <c r="O283">
        <f t="shared" si="4"/>
        <v>0.3046875</v>
      </c>
    </row>
    <row r="284" spans="1:15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6.1697138823669491</v>
      </c>
      <c r="H284">
        <v>3.90625E-3</v>
      </c>
      <c r="I284">
        <v>-0.81411216355080485</v>
      </c>
      <c r="J284">
        <v>-3.1801256388703314E-3</v>
      </c>
      <c r="M284">
        <v>4.8017682704394451</v>
      </c>
      <c r="N284">
        <v>3.90625E-3</v>
      </c>
      <c r="O284">
        <f t="shared" si="4"/>
        <v>0.30859375</v>
      </c>
    </row>
    <row r="285" spans="1:15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6.8025050497892066</v>
      </c>
      <c r="H285">
        <v>7.8125E-3</v>
      </c>
      <c r="I285">
        <v>-0.79711990321530135</v>
      </c>
      <c r="J285">
        <v>-6.2274992438695418E-3</v>
      </c>
      <c r="M285">
        <v>4.8017682704394451</v>
      </c>
      <c r="N285">
        <v>7.8125E-3</v>
      </c>
      <c r="O285">
        <f t="shared" si="4"/>
        <v>0.31640625</v>
      </c>
    </row>
    <row r="286" spans="1:15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7.2770984253558888</v>
      </c>
      <c r="H286">
        <v>3.90625E-3</v>
      </c>
      <c r="I286">
        <v>-0.78460886422142984</v>
      </c>
      <c r="J286">
        <v>-3.0648783758649603E-3</v>
      </c>
      <c r="M286">
        <v>4.8017682704394451</v>
      </c>
      <c r="N286">
        <v>3.90625E-3</v>
      </c>
      <c r="O286">
        <f t="shared" si="4"/>
        <v>0.3203125</v>
      </c>
    </row>
    <row r="287" spans="1:15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6.1697138823669491</v>
      </c>
      <c r="H287">
        <v>1.953125E-3</v>
      </c>
      <c r="I287">
        <v>-0.81411216355080485</v>
      </c>
      <c r="J287">
        <v>-1.5900628194351657E-3</v>
      </c>
      <c r="M287">
        <v>4.8017682704394451</v>
      </c>
      <c r="N287">
        <v>1.953125E-3</v>
      </c>
      <c r="O287">
        <f t="shared" si="4"/>
        <v>0.322265625</v>
      </c>
    </row>
    <row r="288" spans="1:15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6.8025050497892066</v>
      </c>
      <c r="H288">
        <v>3.90625E-3</v>
      </c>
      <c r="I288">
        <v>-0.79711990321530135</v>
      </c>
      <c r="J288">
        <v>-3.1137496219347709E-3</v>
      </c>
      <c r="M288">
        <v>4.8017682704394451</v>
      </c>
      <c r="N288">
        <v>3.90625E-3</v>
      </c>
      <c r="O288">
        <f t="shared" si="4"/>
        <v>0.326171875</v>
      </c>
    </row>
    <row r="289" spans="1:15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7.2770984253558888</v>
      </c>
      <c r="H289">
        <v>1.953125E-3</v>
      </c>
      <c r="I289">
        <v>-0.78460886422142984</v>
      </c>
      <c r="J289">
        <v>-1.5324391879324801E-3</v>
      </c>
      <c r="M289">
        <v>4.8017682704394451</v>
      </c>
      <c r="N289">
        <v>1.953125E-3</v>
      </c>
      <c r="O289">
        <f t="shared" si="4"/>
        <v>0.328125</v>
      </c>
    </row>
    <row r="290" spans="1:15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6.1697138823669491</v>
      </c>
      <c r="H290">
        <v>9.765625E-4</v>
      </c>
      <c r="I290">
        <v>-0.81411216355080485</v>
      </c>
      <c r="J290">
        <v>-7.9503140971758286E-4</v>
      </c>
      <c r="M290">
        <v>4.8994786712914102</v>
      </c>
      <c r="N290">
        <v>4.8828125E-4</v>
      </c>
      <c r="O290">
        <f t="shared" si="4"/>
        <v>0.32861328125</v>
      </c>
    </row>
    <row r="291" spans="1:15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6.8025050497892066</v>
      </c>
      <c r="H291">
        <v>1.953125E-3</v>
      </c>
      <c r="I291">
        <v>-0.79711990321530135</v>
      </c>
      <c r="J291">
        <v>-1.5568748109673855E-3</v>
      </c>
      <c r="M291">
        <v>4.8994786712914102</v>
      </c>
      <c r="N291">
        <v>9.765625E-4</v>
      </c>
      <c r="O291">
        <f t="shared" si="4"/>
        <v>0.32958984375</v>
      </c>
    </row>
    <row r="292" spans="1:15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7.2770984253558888</v>
      </c>
      <c r="H292">
        <v>9.765625E-4</v>
      </c>
      <c r="I292">
        <v>-0.78460886422142984</v>
      </c>
      <c r="J292">
        <v>-7.6621959396624007E-4</v>
      </c>
      <c r="M292">
        <v>4.8994786712914102</v>
      </c>
      <c r="N292">
        <v>4.8828125E-4</v>
      </c>
      <c r="O292">
        <f t="shared" si="4"/>
        <v>0.330078125</v>
      </c>
    </row>
    <row r="293" spans="1:15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6.1697138823669491</v>
      </c>
      <c r="H293">
        <v>1.953125E-3</v>
      </c>
      <c r="I293">
        <v>-0.81411216355080485</v>
      </c>
      <c r="J293">
        <v>-1.5900628194351657E-3</v>
      </c>
      <c r="M293">
        <v>4.8994786712914102</v>
      </c>
      <c r="N293">
        <v>9.765625E-4</v>
      </c>
      <c r="O293">
        <f t="shared" si="4"/>
        <v>0.3310546875</v>
      </c>
    </row>
    <row r="294" spans="1:15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6.8025050497892066</v>
      </c>
      <c r="H294">
        <v>3.90625E-3</v>
      </c>
      <c r="I294">
        <v>-0.79711990321530135</v>
      </c>
      <c r="J294">
        <v>-3.1137496219347709E-3</v>
      </c>
      <c r="M294">
        <v>4.8994786712914102</v>
      </c>
      <c r="N294">
        <v>1.953125E-3</v>
      </c>
      <c r="O294">
        <f t="shared" si="4"/>
        <v>0.3330078125</v>
      </c>
    </row>
    <row r="295" spans="1:15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7.2770984253558888</v>
      </c>
      <c r="H295">
        <v>1.953125E-3</v>
      </c>
      <c r="I295">
        <v>-0.78460886422142984</v>
      </c>
      <c r="J295">
        <v>-1.5324391879324801E-3</v>
      </c>
      <c r="M295">
        <v>4.8994786712914102</v>
      </c>
      <c r="N295">
        <v>9.765625E-4</v>
      </c>
      <c r="O295">
        <f t="shared" si="4"/>
        <v>0.333984375</v>
      </c>
    </row>
    <row r="296" spans="1:15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6.1697138823669491</v>
      </c>
      <c r="H296">
        <v>9.765625E-4</v>
      </c>
      <c r="I296">
        <v>-0.81411216355080485</v>
      </c>
      <c r="J296">
        <v>-7.9503140971758286E-4</v>
      </c>
      <c r="M296">
        <v>4.8994786712914102</v>
      </c>
      <c r="N296">
        <v>4.8828125E-4</v>
      </c>
      <c r="O296">
        <f t="shared" si="4"/>
        <v>0.33447265625</v>
      </c>
    </row>
    <row r="297" spans="1:15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6.8025050497892066</v>
      </c>
      <c r="H297">
        <v>1.953125E-3</v>
      </c>
      <c r="I297">
        <v>-0.79711990321530135</v>
      </c>
      <c r="J297">
        <v>-1.5568748109673855E-3</v>
      </c>
      <c r="M297">
        <v>4.8994786712914102</v>
      </c>
      <c r="N297">
        <v>9.765625E-4</v>
      </c>
      <c r="O297">
        <f t="shared" si="4"/>
        <v>0.33544921875</v>
      </c>
    </row>
    <row r="298" spans="1:15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7.2770984253558888</v>
      </c>
      <c r="H298">
        <v>9.765625E-4</v>
      </c>
      <c r="I298">
        <v>-0.78460886422142984</v>
      </c>
      <c r="J298">
        <v>-7.6621959396624007E-4</v>
      </c>
      <c r="M298">
        <v>4.8994786712914102</v>
      </c>
      <c r="N298">
        <v>4.8828125E-4</v>
      </c>
      <c r="O298">
        <f t="shared" si="4"/>
        <v>0.3359375</v>
      </c>
    </row>
    <row r="299" spans="1:15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6.9409281176628204</v>
      </c>
      <c r="H299">
        <v>4.8828125E-4</v>
      </c>
      <c r="I299">
        <v>-0.79345038274809376</v>
      </c>
      <c r="J299">
        <v>-3.8742694470121766E-4</v>
      </c>
      <c r="M299">
        <v>5.1367753590747496</v>
      </c>
      <c r="N299">
        <v>9.765625E-4</v>
      </c>
      <c r="O299">
        <f t="shared" si="4"/>
        <v>0.3369140625</v>
      </c>
    </row>
    <row r="300" spans="1:15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7.6528181810128526</v>
      </c>
      <c r="H300">
        <v>9.765625E-4</v>
      </c>
      <c r="I300">
        <v>-0.77484370621476972</v>
      </c>
      <c r="J300">
        <v>-7.5668330685036106E-4</v>
      </c>
      <c r="M300">
        <v>5.1367753590747496</v>
      </c>
      <c r="N300">
        <v>1.953125E-3</v>
      </c>
      <c r="O300">
        <f t="shared" si="4"/>
        <v>0.3388671875</v>
      </c>
    </row>
    <row r="301" spans="1:15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8.1867357285253739</v>
      </c>
      <c r="H301">
        <v>4.8828125E-4</v>
      </c>
      <c r="I301">
        <v>-0.76117560591708222</v>
      </c>
      <c r="J301">
        <v>-3.716677763267003E-4</v>
      </c>
      <c r="M301">
        <v>5.1367753590747496</v>
      </c>
      <c r="N301">
        <v>9.765625E-4</v>
      </c>
      <c r="O301">
        <f t="shared" si="4"/>
        <v>0.33984375</v>
      </c>
    </row>
    <row r="302" spans="1:15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6.9409281176628204</v>
      </c>
      <c r="H302">
        <v>9.765625E-4</v>
      </c>
      <c r="I302">
        <v>-0.79345038274809376</v>
      </c>
      <c r="J302">
        <v>-7.7485388940243532E-4</v>
      </c>
      <c r="M302">
        <v>5.1367753590747496</v>
      </c>
      <c r="N302">
        <v>1.953125E-3</v>
      </c>
      <c r="O302">
        <f t="shared" si="4"/>
        <v>0.341796875</v>
      </c>
    </row>
    <row r="303" spans="1:15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7.6528181810128526</v>
      </c>
      <c r="H303">
        <v>1.953125E-3</v>
      </c>
      <c r="I303">
        <v>-0.77484370621476972</v>
      </c>
      <c r="J303">
        <v>-1.5133666137007221E-3</v>
      </c>
      <c r="M303">
        <v>5.1367753590747496</v>
      </c>
      <c r="N303">
        <v>3.90625E-3</v>
      </c>
      <c r="O303">
        <f t="shared" si="4"/>
        <v>0.345703125</v>
      </c>
    </row>
    <row r="304" spans="1:15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8.1867357285253739</v>
      </c>
      <c r="H304">
        <v>9.765625E-4</v>
      </c>
      <c r="I304">
        <v>-0.76117560591708222</v>
      </c>
      <c r="J304">
        <v>-7.4333555265340061E-4</v>
      </c>
      <c r="M304">
        <v>5.1367753590747496</v>
      </c>
      <c r="N304">
        <v>1.953125E-3</v>
      </c>
      <c r="O304">
        <f t="shared" si="4"/>
        <v>0.34765625</v>
      </c>
    </row>
    <row r="305" spans="1:15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6.9409281176628204</v>
      </c>
      <c r="H305">
        <v>4.8828125E-4</v>
      </c>
      <c r="I305">
        <v>-0.79345038274809376</v>
      </c>
      <c r="J305">
        <v>-3.8742694470121766E-4</v>
      </c>
      <c r="M305">
        <v>5.1367753590747496</v>
      </c>
      <c r="N305">
        <v>9.765625E-4</v>
      </c>
      <c r="O305">
        <f t="shared" si="4"/>
        <v>0.3486328125</v>
      </c>
    </row>
    <row r="306" spans="1:15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7.6528181810128526</v>
      </c>
      <c r="H306">
        <v>9.765625E-4</v>
      </c>
      <c r="I306">
        <v>-0.77484370621476972</v>
      </c>
      <c r="J306">
        <v>-7.5668330685036106E-4</v>
      </c>
      <c r="M306">
        <v>5.1367753590747496</v>
      </c>
      <c r="N306">
        <v>1.953125E-3</v>
      </c>
      <c r="O306">
        <f t="shared" si="4"/>
        <v>0.3505859375</v>
      </c>
    </row>
    <row r="307" spans="1:15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8.1867357285253739</v>
      </c>
      <c r="H307">
        <v>4.8828125E-4</v>
      </c>
      <c r="I307">
        <v>-0.76117560591708222</v>
      </c>
      <c r="J307">
        <v>-3.716677763267003E-4</v>
      </c>
      <c r="M307">
        <v>5.1367753590747496</v>
      </c>
      <c r="N307">
        <v>9.765625E-4</v>
      </c>
      <c r="O307">
        <f t="shared" si="4"/>
        <v>0.3515625</v>
      </c>
    </row>
    <row r="308" spans="1:15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6.9409281176628204</v>
      </c>
      <c r="H308">
        <v>9.765625E-4</v>
      </c>
      <c r="I308">
        <v>-0.79345038274809376</v>
      </c>
      <c r="J308">
        <v>-7.7485388940243532E-4</v>
      </c>
      <c r="M308">
        <v>5.4019893042443732</v>
      </c>
      <c r="N308">
        <v>9.765625E-4</v>
      </c>
      <c r="O308">
        <f t="shared" si="4"/>
        <v>0.3525390625</v>
      </c>
    </row>
    <row r="309" spans="1:15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7.6528181810128526</v>
      </c>
      <c r="H309">
        <v>1.953125E-3</v>
      </c>
      <c r="I309">
        <v>-0.77484370621476972</v>
      </c>
      <c r="J309">
        <v>-1.5133666137007221E-3</v>
      </c>
      <c r="M309">
        <v>5.4019893042443732</v>
      </c>
      <c r="N309">
        <v>1.953125E-3</v>
      </c>
      <c r="O309">
        <f t="shared" si="4"/>
        <v>0.3544921875</v>
      </c>
    </row>
    <row r="310" spans="1:15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8.1867357285253739</v>
      </c>
      <c r="H310">
        <v>9.765625E-4</v>
      </c>
      <c r="I310">
        <v>-0.76117560591708222</v>
      </c>
      <c r="J310">
        <v>-7.4333555265340061E-4</v>
      </c>
      <c r="M310">
        <v>5.4019893042443732</v>
      </c>
      <c r="N310">
        <v>9.765625E-4</v>
      </c>
      <c r="O310">
        <f t="shared" si="4"/>
        <v>0.35546875</v>
      </c>
    </row>
    <row r="311" spans="1:15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6.9409281176628204</v>
      </c>
      <c r="H311">
        <v>1.953125E-3</v>
      </c>
      <c r="I311">
        <v>-0.79345038274809376</v>
      </c>
      <c r="J311">
        <v>-1.5497077788048706E-3</v>
      </c>
      <c r="M311">
        <v>5.4019893042443732</v>
      </c>
      <c r="N311">
        <v>1.953125E-3</v>
      </c>
      <c r="O311">
        <f t="shared" si="4"/>
        <v>0.357421875</v>
      </c>
    </row>
    <row r="312" spans="1:15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7.6528181810128526</v>
      </c>
      <c r="H312">
        <v>3.90625E-3</v>
      </c>
      <c r="I312">
        <v>-0.77484370621476972</v>
      </c>
      <c r="J312">
        <v>-3.0267332274014442E-3</v>
      </c>
      <c r="M312">
        <v>5.4019893042443732</v>
      </c>
      <c r="N312">
        <v>3.90625E-3</v>
      </c>
      <c r="O312">
        <f t="shared" si="4"/>
        <v>0.361328125</v>
      </c>
    </row>
    <row r="313" spans="1:15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8.1867357285253739</v>
      </c>
      <c r="H313">
        <v>1.953125E-3</v>
      </c>
      <c r="I313">
        <v>-0.76117560591708222</v>
      </c>
      <c r="J313">
        <v>-1.4866711053068012E-3</v>
      </c>
      <c r="M313">
        <v>5.4019893042443732</v>
      </c>
      <c r="N313">
        <v>1.953125E-3</v>
      </c>
      <c r="O313">
        <f t="shared" si="4"/>
        <v>0.36328125</v>
      </c>
    </row>
    <row r="314" spans="1:15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6.9409281176628204</v>
      </c>
      <c r="H314">
        <v>9.765625E-4</v>
      </c>
      <c r="I314">
        <v>-0.79345038274809376</v>
      </c>
      <c r="J314">
        <v>-7.7485388940243532E-4</v>
      </c>
      <c r="M314">
        <v>5.4019893042443732</v>
      </c>
      <c r="N314">
        <v>9.765625E-4</v>
      </c>
      <c r="O314">
        <f t="shared" si="4"/>
        <v>0.3642578125</v>
      </c>
    </row>
    <row r="315" spans="1:15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7.6528181810128526</v>
      </c>
      <c r="H315">
        <v>1.953125E-3</v>
      </c>
      <c r="I315">
        <v>-0.77484370621476972</v>
      </c>
      <c r="J315">
        <v>-1.5133666137007221E-3</v>
      </c>
      <c r="M315">
        <v>5.4019893042443732</v>
      </c>
      <c r="N315">
        <v>1.953125E-3</v>
      </c>
      <c r="O315">
        <f t="shared" si="4"/>
        <v>0.3662109375</v>
      </c>
    </row>
    <row r="316" spans="1:15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8.1867357285253739</v>
      </c>
      <c r="H316">
        <v>9.765625E-4</v>
      </c>
      <c r="I316">
        <v>-0.76117560591708222</v>
      </c>
      <c r="J316">
        <v>-7.4333555265340061E-4</v>
      </c>
      <c r="M316">
        <v>5.4019893042443732</v>
      </c>
      <c r="N316">
        <v>9.765625E-4</v>
      </c>
      <c r="O316">
        <f t="shared" si="4"/>
        <v>0.3671875</v>
      </c>
    </row>
    <row r="317" spans="1:15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6.9409281176628204</v>
      </c>
      <c r="H317">
        <v>4.8828125E-4</v>
      </c>
      <c r="I317">
        <v>-0.79345038274809376</v>
      </c>
      <c r="J317">
        <v>-3.8742694470121766E-4</v>
      </c>
      <c r="M317">
        <v>5.6542633620280318</v>
      </c>
      <c r="N317">
        <v>9.765625E-4</v>
      </c>
      <c r="O317">
        <f t="shared" si="4"/>
        <v>0.3681640625</v>
      </c>
    </row>
    <row r="318" spans="1:15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7.6528181810128526</v>
      </c>
      <c r="H318">
        <v>9.765625E-4</v>
      </c>
      <c r="I318">
        <v>-0.77484370621476972</v>
      </c>
      <c r="J318">
        <v>-7.5668330685036106E-4</v>
      </c>
      <c r="M318">
        <v>5.6542633620280318</v>
      </c>
      <c r="N318">
        <v>1.953125E-3</v>
      </c>
      <c r="O318">
        <f t="shared" si="4"/>
        <v>0.3701171875</v>
      </c>
    </row>
    <row r="319" spans="1:15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8.1867357285253739</v>
      </c>
      <c r="H319">
        <v>4.8828125E-4</v>
      </c>
      <c r="I319">
        <v>-0.76117560591708222</v>
      </c>
      <c r="J319">
        <v>-3.716677763267003E-4</v>
      </c>
      <c r="M319">
        <v>5.6542633620280318</v>
      </c>
      <c r="N319">
        <v>9.765625E-4</v>
      </c>
      <c r="O319">
        <f t="shared" si="4"/>
        <v>0.37109375</v>
      </c>
    </row>
    <row r="320" spans="1:15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6.9409281176628204</v>
      </c>
      <c r="H320">
        <v>9.765625E-4</v>
      </c>
      <c r="I320">
        <v>-0.79345038274809376</v>
      </c>
      <c r="J320">
        <v>-7.7485388940243532E-4</v>
      </c>
      <c r="M320">
        <v>5.6542633620280318</v>
      </c>
      <c r="N320">
        <v>1.953125E-3</v>
      </c>
      <c r="O320">
        <f t="shared" si="4"/>
        <v>0.373046875</v>
      </c>
    </row>
    <row r="321" spans="1:15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7.6528181810128526</v>
      </c>
      <c r="H321">
        <v>1.953125E-3</v>
      </c>
      <c r="I321">
        <v>-0.77484370621476972</v>
      </c>
      <c r="J321">
        <v>-1.5133666137007221E-3</v>
      </c>
      <c r="M321">
        <v>5.6542633620280318</v>
      </c>
      <c r="N321">
        <v>3.90625E-3</v>
      </c>
      <c r="O321">
        <f t="shared" si="4"/>
        <v>0.376953125</v>
      </c>
    </row>
    <row r="322" spans="1:15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8.1867357285253739</v>
      </c>
      <c r="H322">
        <v>9.765625E-4</v>
      </c>
      <c r="I322">
        <v>-0.76117560591708222</v>
      </c>
      <c r="J322">
        <v>-7.4333555265340061E-4</v>
      </c>
      <c r="M322">
        <v>5.6542633620280318</v>
      </c>
      <c r="N322">
        <v>1.953125E-3</v>
      </c>
      <c r="O322">
        <f t="shared" si="4"/>
        <v>0.37890625</v>
      </c>
    </row>
    <row r="323" spans="1:15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6.9409281176628204</v>
      </c>
      <c r="H323">
        <v>4.8828125E-4</v>
      </c>
      <c r="I323">
        <v>-0.79345038274809376</v>
      </c>
      <c r="J323">
        <v>-3.8742694470121766E-4</v>
      </c>
      <c r="M323">
        <v>5.6542633620280318</v>
      </c>
      <c r="N323">
        <v>9.765625E-4</v>
      </c>
      <c r="O323">
        <f t="shared" si="4"/>
        <v>0.3798828125</v>
      </c>
    </row>
    <row r="324" spans="1:15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7.6528181810128526</v>
      </c>
      <c r="H324">
        <v>9.765625E-4</v>
      </c>
      <c r="I324">
        <v>-0.77484370621476972</v>
      </c>
      <c r="J324">
        <v>-7.5668330685036106E-4</v>
      </c>
      <c r="M324">
        <v>5.6542633620280318</v>
      </c>
      <c r="N324">
        <v>1.953125E-3</v>
      </c>
      <c r="O324">
        <f t="shared" ref="O324:O387" si="5">N324+O323</f>
        <v>0.3818359375</v>
      </c>
    </row>
    <row r="325" spans="1:15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8.1867357285253739</v>
      </c>
      <c r="H325">
        <v>4.8828125E-4</v>
      </c>
      <c r="I325">
        <v>-0.76117560591708222</v>
      </c>
      <c r="J325">
        <v>-3.716677763267003E-4</v>
      </c>
      <c r="M325">
        <v>5.6542633620280318</v>
      </c>
      <c r="N325">
        <v>9.765625E-4</v>
      </c>
      <c r="O325">
        <f t="shared" si="5"/>
        <v>0.3828125</v>
      </c>
    </row>
    <row r="326" spans="1:15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8.0102064295397035</v>
      </c>
      <c r="H326">
        <v>9.765625E-4</v>
      </c>
      <c r="I326">
        <v>-0.76566780289884351</v>
      </c>
      <c r="J326">
        <v>-7.4772246376840186E-4</v>
      </c>
      <c r="M326">
        <v>5.7788722789590938</v>
      </c>
      <c r="N326">
        <v>4.8828125E-4</v>
      </c>
      <c r="O326">
        <f t="shared" si="5"/>
        <v>0.38330078125</v>
      </c>
    </row>
    <row r="327" spans="1:15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8.8317660633386428</v>
      </c>
      <c r="H327">
        <v>1.953125E-3</v>
      </c>
      <c r="I327">
        <v>-0.74498424974250332</v>
      </c>
      <c r="J327">
        <v>-1.4550473627783268E-3</v>
      </c>
      <c r="M327">
        <v>5.7788722789590938</v>
      </c>
      <c r="N327">
        <v>9.765625E-4</v>
      </c>
      <c r="O327">
        <f t="shared" si="5"/>
        <v>0.38427734375</v>
      </c>
    </row>
    <row r="328" spans="1:15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9.4479357886878486</v>
      </c>
      <c r="H328">
        <v>9.765625E-4</v>
      </c>
      <c r="I328">
        <v>-0.72983909061164765</v>
      </c>
      <c r="J328">
        <v>-7.1273348692543715E-4</v>
      </c>
      <c r="M328">
        <v>5.7788722789590938</v>
      </c>
      <c r="N328">
        <v>4.8828125E-4</v>
      </c>
      <c r="O328">
        <f t="shared" si="5"/>
        <v>0.384765625</v>
      </c>
    </row>
    <row r="329" spans="1:15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8.0102064295397035</v>
      </c>
      <c r="H329">
        <v>1.953125E-3</v>
      </c>
      <c r="I329">
        <v>-0.76566780289884351</v>
      </c>
      <c r="J329">
        <v>-1.4954449275368037E-3</v>
      </c>
      <c r="M329">
        <v>5.7788722789590938</v>
      </c>
      <c r="N329">
        <v>9.765625E-4</v>
      </c>
      <c r="O329">
        <f t="shared" si="5"/>
        <v>0.3857421875</v>
      </c>
    </row>
    <row r="330" spans="1:15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8.8317660633386428</v>
      </c>
      <c r="H330">
        <v>3.90625E-3</v>
      </c>
      <c r="I330">
        <v>-0.74498424974250332</v>
      </c>
      <c r="J330">
        <v>-2.9100947255566536E-3</v>
      </c>
      <c r="M330">
        <v>5.7788722789590938</v>
      </c>
      <c r="N330">
        <v>1.953125E-3</v>
      </c>
      <c r="O330">
        <f t="shared" si="5"/>
        <v>0.3876953125</v>
      </c>
    </row>
    <row r="331" spans="1:15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9.4479357886878486</v>
      </c>
      <c r="H331">
        <v>1.953125E-3</v>
      </c>
      <c r="I331">
        <v>-0.72983909061164765</v>
      </c>
      <c r="J331">
        <v>-1.4254669738508743E-3</v>
      </c>
      <c r="M331">
        <v>5.7788722789590938</v>
      </c>
      <c r="N331">
        <v>9.765625E-4</v>
      </c>
      <c r="O331">
        <f t="shared" si="5"/>
        <v>0.388671875</v>
      </c>
    </row>
    <row r="332" spans="1:15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8.0102064295397035</v>
      </c>
      <c r="H332">
        <v>9.765625E-4</v>
      </c>
      <c r="I332">
        <v>-0.76566780289884351</v>
      </c>
      <c r="J332">
        <v>-7.4772246376840186E-4</v>
      </c>
      <c r="M332">
        <v>5.7788722789590938</v>
      </c>
      <c r="N332">
        <v>4.8828125E-4</v>
      </c>
      <c r="O332">
        <f t="shared" si="5"/>
        <v>0.38916015625</v>
      </c>
    </row>
    <row r="333" spans="1:15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8.8317660633386428</v>
      </c>
      <c r="H333">
        <v>1.953125E-3</v>
      </c>
      <c r="I333">
        <v>-0.74498424974250332</v>
      </c>
      <c r="J333">
        <v>-1.4550473627783268E-3</v>
      </c>
      <c r="M333">
        <v>5.7788722789590938</v>
      </c>
      <c r="N333">
        <v>9.765625E-4</v>
      </c>
      <c r="O333">
        <f t="shared" si="5"/>
        <v>0.39013671875</v>
      </c>
    </row>
    <row r="334" spans="1:15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9.4479357886878486</v>
      </c>
      <c r="H334">
        <v>9.765625E-4</v>
      </c>
      <c r="I334">
        <v>-0.72983909061164765</v>
      </c>
      <c r="J334">
        <v>-7.1273348692543715E-4</v>
      </c>
      <c r="M334">
        <v>5.7788722789590938</v>
      </c>
      <c r="N334">
        <v>4.8828125E-4</v>
      </c>
      <c r="O334">
        <f t="shared" si="5"/>
        <v>0.390625</v>
      </c>
    </row>
    <row r="335" spans="1:15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8.0102064295397035</v>
      </c>
      <c r="H335">
        <v>1.953125E-3</v>
      </c>
      <c r="I335">
        <v>-0.76566780289884351</v>
      </c>
      <c r="J335">
        <v>-1.4954449275368037E-3</v>
      </c>
      <c r="M335">
        <v>6.1456161362916664</v>
      </c>
      <c r="N335">
        <v>4.8828125E-4</v>
      </c>
      <c r="O335">
        <f t="shared" si="5"/>
        <v>0.39111328125</v>
      </c>
    </row>
    <row r="336" spans="1:15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8.8317660633386428</v>
      </c>
      <c r="H336">
        <v>3.90625E-3</v>
      </c>
      <c r="I336">
        <v>-0.74498424974250332</v>
      </c>
      <c r="J336">
        <v>-2.9100947255566536E-3</v>
      </c>
      <c r="M336">
        <v>6.1456161362916664</v>
      </c>
      <c r="N336">
        <v>9.765625E-4</v>
      </c>
      <c r="O336">
        <f t="shared" si="5"/>
        <v>0.39208984375</v>
      </c>
    </row>
    <row r="337" spans="1:15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9.4479357886878486</v>
      </c>
      <c r="H337">
        <v>1.953125E-3</v>
      </c>
      <c r="I337">
        <v>-0.72983909061164765</v>
      </c>
      <c r="J337">
        <v>-1.4254669738508743E-3</v>
      </c>
      <c r="M337">
        <v>6.1456161362916664</v>
      </c>
      <c r="N337">
        <v>4.8828125E-4</v>
      </c>
      <c r="O337">
        <f t="shared" si="5"/>
        <v>0.392578125</v>
      </c>
    </row>
    <row r="338" spans="1:15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8.0102064295397035</v>
      </c>
      <c r="H338">
        <v>3.90625E-3</v>
      </c>
      <c r="I338">
        <v>-0.76566780289884351</v>
      </c>
      <c r="J338">
        <v>-2.9908898550736075E-3</v>
      </c>
      <c r="M338">
        <v>6.1456161362916664</v>
      </c>
      <c r="N338">
        <v>9.765625E-4</v>
      </c>
      <c r="O338">
        <f t="shared" si="5"/>
        <v>0.3935546875</v>
      </c>
    </row>
    <row r="339" spans="1:15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8.8317660633386428</v>
      </c>
      <c r="H339">
        <v>7.8125E-3</v>
      </c>
      <c r="I339">
        <v>-0.74498424974250332</v>
      </c>
      <c r="J339">
        <v>-5.8201894511133072E-3</v>
      </c>
      <c r="M339">
        <v>6.1456161362916664</v>
      </c>
      <c r="N339">
        <v>1.953125E-3</v>
      </c>
      <c r="O339">
        <f t="shared" si="5"/>
        <v>0.3955078125</v>
      </c>
    </row>
    <row r="340" spans="1:15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9.4479357886878486</v>
      </c>
      <c r="H340">
        <v>3.90625E-3</v>
      </c>
      <c r="I340">
        <v>-0.72983909061164765</v>
      </c>
      <c r="J340">
        <v>-2.8509339477017486E-3</v>
      </c>
      <c r="M340">
        <v>6.1456161362916664</v>
      </c>
      <c r="N340">
        <v>9.765625E-4</v>
      </c>
      <c r="O340">
        <f t="shared" si="5"/>
        <v>0.396484375</v>
      </c>
    </row>
    <row r="341" spans="1:15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8.0102064295397035</v>
      </c>
      <c r="H341">
        <v>1.953125E-3</v>
      </c>
      <c r="I341">
        <v>-0.76566780289884351</v>
      </c>
      <c r="J341">
        <v>-1.4954449275368037E-3</v>
      </c>
      <c r="M341">
        <v>6.1456161362916664</v>
      </c>
      <c r="N341">
        <v>4.8828125E-4</v>
      </c>
      <c r="O341">
        <f t="shared" si="5"/>
        <v>0.39697265625</v>
      </c>
    </row>
    <row r="342" spans="1:15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8.8317660633386428</v>
      </c>
      <c r="H342">
        <v>3.90625E-3</v>
      </c>
      <c r="I342">
        <v>-0.74498424974250332</v>
      </c>
      <c r="J342">
        <v>-2.9100947255566536E-3</v>
      </c>
      <c r="M342">
        <v>6.1456161362916664</v>
      </c>
      <c r="N342">
        <v>9.765625E-4</v>
      </c>
      <c r="O342">
        <f t="shared" si="5"/>
        <v>0.39794921875</v>
      </c>
    </row>
    <row r="343" spans="1:15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9.4479357886878486</v>
      </c>
      <c r="H343">
        <v>1.953125E-3</v>
      </c>
      <c r="I343">
        <v>-0.72983909061164765</v>
      </c>
      <c r="J343">
        <v>-1.4254669738508743E-3</v>
      </c>
      <c r="M343">
        <v>6.1456161362916664</v>
      </c>
      <c r="N343">
        <v>4.8828125E-4</v>
      </c>
      <c r="O343">
        <f t="shared" si="5"/>
        <v>0.3984375</v>
      </c>
    </row>
    <row r="344" spans="1:15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8.0102064295397035</v>
      </c>
      <c r="H344">
        <v>9.765625E-4</v>
      </c>
      <c r="I344">
        <v>-0.76566780289884351</v>
      </c>
      <c r="J344">
        <v>-7.4772246376840186E-4</v>
      </c>
      <c r="M344">
        <v>6.2341878094155181</v>
      </c>
      <c r="N344">
        <v>1.953125E-3</v>
      </c>
      <c r="O344">
        <f t="shared" si="5"/>
        <v>0.400390625</v>
      </c>
    </row>
    <row r="345" spans="1:15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8.8317660633386428</v>
      </c>
      <c r="H345">
        <v>1.953125E-3</v>
      </c>
      <c r="I345">
        <v>-0.74498424974250332</v>
      </c>
      <c r="J345">
        <v>-1.4550473627783268E-3</v>
      </c>
      <c r="M345">
        <v>6.2341878094155181</v>
      </c>
      <c r="N345">
        <v>3.90625E-3</v>
      </c>
      <c r="O345">
        <f t="shared" si="5"/>
        <v>0.404296875</v>
      </c>
    </row>
    <row r="346" spans="1:15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9.4479357886878486</v>
      </c>
      <c r="H346">
        <v>9.765625E-4</v>
      </c>
      <c r="I346">
        <v>-0.72983909061164765</v>
      </c>
      <c r="J346">
        <v>-7.1273348692543715E-4</v>
      </c>
      <c r="M346">
        <v>6.2341878094155181</v>
      </c>
      <c r="N346">
        <v>1.953125E-3</v>
      </c>
      <c r="O346">
        <f t="shared" si="5"/>
        <v>0.40625</v>
      </c>
    </row>
    <row r="347" spans="1:15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8.0102064295397035</v>
      </c>
      <c r="H347">
        <v>1.953125E-3</v>
      </c>
      <c r="I347">
        <v>-0.76566780289884351</v>
      </c>
      <c r="J347">
        <v>-1.4954449275368037E-3</v>
      </c>
      <c r="M347">
        <v>6.2341878094155181</v>
      </c>
      <c r="N347">
        <v>3.90625E-3</v>
      </c>
      <c r="O347">
        <f t="shared" si="5"/>
        <v>0.41015625</v>
      </c>
    </row>
    <row r="348" spans="1:15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8.8317660633386428</v>
      </c>
      <c r="H348">
        <v>3.90625E-3</v>
      </c>
      <c r="I348">
        <v>-0.74498424974250332</v>
      </c>
      <c r="J348">
        <v>-2.9100947255566536E-3</v>
      </c>
      <c r="M348">
        <v>6.2341878094155181</v>
      </c>
      <c r="N348">
        <v>7.8125E-3</v>
      </c>
      <c r="O348">
        <f t="shared" si="5"/>
        <v>0.41796875</v>
      </c>
    </row>
    <row r="349" spans="1:15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9.4479357886878486</v>
      </c>
      <c r="H349">
        <v>1.953125E-3</v>
      </c>
      <c r="I349">
        <v>-0.72983909061164765</v>
      </c>
      <c r="J349">
        <v>-1.4254669738508743E-3</v>
      </c>
      <c r="M349">
        <v>6.2341878094155181</v>
      </c>
      <c r="N349">
        <v>3.90625E-3</v>
      </c>
      <c r="O349">
        <f t="shared" si="5"/>
        <v>0.421875</v>
      </c>
    </row>
    <row r="350" spans="1:15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8.0102064295397035</v>
      </c>
      <c r="H350">
        <v>9.765625E-4</v>
      </c>
      <c r="I350">
        <v>-0.76566780289884351</v>
      </c>
      <c r="J350">
        <v>-7.4772246376840186E-4</v>
      </c>
      <c r="M350">
        <v>6.2341878094155181</v>
      </c>
      <c r="N350">
        <v>1.953125E-3</v>
      </c>
      <c r="O350">
        <f t="shared" si="5"/>
        <v>0.423828125</v>
      </c>
    </row>
    <row r="351" spans="1:15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8.8317660633386428</v>
      </c>
      <c r="H351">
        <v>1.953125E-3</v>
      </c>
      <c r="I351">
        <v>-0.74498424974250332</v>
      </c>
      <c r="J351">
        <v>-1.4550473627783268E-3</v>
      </c>
      <c r="M351">
        <v>6.2341878094155181</v>
      </c>
      <c r="N351">
        <v>3.90625E-3</v>
      </c>
      <c r="O351">
        <f t="shared" si="5"/>
        <v>0.427734375</v>
      </c>
    </row>
    <row r="352" spans="1:15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9.4479357886878486</v>
      </c>
      <c r="H352">
        <v>9.765625E-4</v>
      </c>
      <c r="I352">
        <v>-0.72983909061164765</v>
      </c>
      <c r="J352">
        <v>-7.1273348692543715E-4</v>
      </c>
      <c r="M352">
        <v>6.2341878094155181</v>
      </c>
      <c r="N352">
        <v>1.953125E-3</v>
      </c>
      <c r="O352">
        <f t="shared" si="5"/>
        <v>0.4296875</v>
      </c>
    </row>
    <row r="353" spans="1:15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9.8587156055873209</v>
      </c>
      <c r="H353">
        <v>1.953125E-3</v>
      </c>
      <c r="I353">
        <v>-0.71991375885113817</v>
      </c>
      <c r="J353">
        <v>-1.4060815602561292E-3</v>
      </c>
      <c r="M353">
        <v>6.6691311449561415</v>
      </c>
      <c r="N353">
        <v>9.765625E-4</v>
      </c>
      <c r="O353">
        <f t="shared" si="5"/>
        <v>0.4306640625</v>
      </c>
    </row>
    <row r="354" spans="1:15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10.869865924109094</v>
      </c>
      <c r="H354">
        <v>3.90625E-3</v>
      </c>
      <c r="I354">
        <v>-0.69605342318968955</v>
      </c>
      <c r="J354">
        <v>-2.7189586843347248E-3</v>
      </c>
      <c r="M354">
        <v>6.6691311449561415</v>
      </c>
      <c r="N354">
        <v>1.953125E-3</v>
      </c>
      <c r="O354">
        <f t="shared" si="5"/>
        <v>0.4326171875</v>
      </c>
    </row>
    <row r="355" spans="1:15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11.628228663000435</v>
      </c>
      <c r="H355">
        <v>1.953125E-3</v>
      </c>
      <c r="I355">
        <v>-0.67867858950583293</v>
      </c>
      <c r="J355">
        <v>-1.3255441201285799E-3</v>
      </c>
      <c r="M355">
        <v>6.6691311449561415</v>
      </c>
      <c r="N355">
        <v>9.765625E-4</v>
      </c>
      <c r="O355">
        <f t="shared" si="5"/>
        <v>0.43359375</v>
      </c>
    </row>
    <row r="356" spans="1:15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9.8587156055873209</v>
      </c>
      <c r="H356">
        <v>3.90625E-3</v>
      </c>
      <c r="I356">
        <v>-0.71991375885113817</v>
      </c>
      <c r="J356">
        <v>-2.8121631205122585E-3</v>
      </c>
      <c r="M356">
        <v>6.6691311449561415</v>
      </c>
      <c r="N356">
        <v>1.953125E-3</v>
      </c>
      <c r="O356">
        <f t="shared" si="5"/>
        <v>0.435546875</v>
      </c>
    </row>
    <row r="357" spans="1:15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10.869865924109094</v>
      </c>
      <c r="H357">
        <v>7.8125E-3</v>
      </c>
      <c r="I357">
        <v>-0.69605342318968955</v>
      </c>
      <c r="J357">
        <v>-5.4379173686694496E-3</v>
      </c>
      <c r="M357">
        <v>6.6691311449561415</v>
      </c>
      <c r="N357">
        <v>3.90625E-3</v>
      </c>
      <c r="O357">
        <f t="shared" si="5"/>
        <v>0.439453125</v>
      </c>
    </row>
    <row r="358" spans="1:15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11.628228663000435</v>
      </c>
      <c r="H358">
        <v>3.90625E-3</v>
      </c>
      <c r="I358">
        <v>-0.67867858950583293</v>
      </c>
      <c r="J358">
        <v>-2.6510882402571599E-3</v>
      </c>
      <c r="M358">
        <v>6.6691311449561415</v>
      </c>
      <c r="N358">
        <v>1.953125E-3</v>
      </c>
      <c r="O358">
        <f t="shared" si="5"/>
        <v>0.44140625</v>
      </c>
    </row>
    <row r="359" spans="1:15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9.8587156055873209</v>
      </c>
      <c r="H359">
        <v>1.953125E-3</v>
      </c>
      <c r="I359">
        <v>-0.71991375885113817</v>
      </c>
      <c r="J359">
        <v>-1.4060815602561292E-3</v>
      </c>
      <c r="M359">
        <v>6.6691311449561415</v>
      </c>
      <c r="N359">
        <v>9.765625E-4</v>
      </c>
      <c r="O359">
        <f t="shared" si="5"/>
        <v>0.4423828125</v>
      </c>
    </row>
    <row r="360" spans="1:15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10.869865924109094</v>
      </c>
      <c r="H360">
        <v>3.90625E-3</v>
      </c>
      <c r="I360">
        <v>-0.69605342318968955</v>
      </c>
      <c r="J360">
        <v>-2.7189586843347248E-3</v>
      </c>
      <c r="M360">
        <v>6.6691311449561415</v>
      </c>
      <c r="N360">
        <v>1.953125E-3</v>
      </c>
      <c r="O360">
        <f t="shared" si="5"/>
        <v>0.4443359375</v>
      </c>
    </row>
    <row r="361" spans="1:15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11.628228663000435</v>
      </c>
      <c r="H361">
        <v>1.953125E-3</v>
      </c>
      <c r="I361">
        <v>-0.67867858950583293</v>
      </c>
      <c r="J361">
        <v>-1.3255441201285799E-3</v>
      </c>
      <c r="M361">
        <v>6.6691311449561415</v>
      </c>
      <c r="N361">
        <v>9.765625E-4</v>
      </c>
      <c r="O361">
        <f t="shared" si="5"/>
        <v>0.4453125</v>
      </c>
    </row>
    <row r="362" spans="1:15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9.8587156055873209</v>
      </c>
      <c r="H362">
        <v>3.90625E-3</v>
      </c>
      <c r="I362">
        <v>-0.71991375885113817</v>
      </c>
      <c r="J362">
        <v>-2.8121631205122585E-3</v>
      </c>
      <c r="M362">
        <v>6.7759357400138889</v>
      </c>
      <c r="N362">
        <v>9.765625E-4</v>
      </c>
      <c r="O362">
        <f t="shared" si="5"/>
        <v>0.4462890625</v>
      </c>
    </row>
    <row r="363" spans="1:15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10.869865924109094</v>
      </c>
      <c r="H363">
        <v>7.8125E-3</v>
      </c>
      <c r="I363">
        <v>-0.69605342318968955</v>
      </c>
      <c r="J363">
        <v>-5.4379173686694496E-3</v>
      </c>
      <c r="M363">
        <v>6.7759357400138889</v>
      </c>
      <c r="N363">
        <v>1.953125E-3</v>
      </c>
      <c r="O363">
        <f t="shared" si="5"/>
        <v>0.4482421875</v>
      </c>
    </row>
    <row r="364" spans="1:15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11.628228663000435</v>
      </c>
      <c r="H364">
        <v>3.90625E-3</v>
      </c>
      <c r="I364">
        <v>-0.67867858950583293</v>
      </c>
      <c r="J364">
        <v>-2.6510882402571599E-3</v>
      </c>
      <c r="M364">
        <v>6.7759357400138889</v>
      </c>
      <c r="N364">
        <v>9.765625E-4</v>
      </c>
      <c r="O364">
        <f t="shared" si="5"/>
        <v>0.44921875</v>
      </c>
    </row>
    <row r="365" spans="1:15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9.8587156055873209</v>
      </c>
      <c r="H365">
        <v>7.8125E-3</v>
      </c>
      <c r="I365">
        <v>-0.71991375885113817</v>
      </c>
      <c r="J365">
        <v>-5.624326241024517E-3</v>
      </c>
      <c r="M365">
        <v>6.7759357400138889</v>
      </c>
      <c r="N365">
        <v>1.953125E-3</v>
      </c>
      <c r="O365">
        <f t="shared" si="5"/>
        <v>0.451171875</v>
      </c>
    </row>
    <row r="366" spans="1:15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10.869865924109094</v>
      </c>
      <c r="H366">
        <v>1.5625E-2</v>
      </c>
      <c r="I366">
        <v>-0.69605342318968955</v>
      </c>
      <c r="J366">
        <v>-1.0875834737338899E-2</v>
      </c>
      <c r="M366">
        <v>6.7759357400138889</v>
      </c>
      <c r="N366">
        <v>3.90625E-3</v>
      </c>
      <c r="O366">
        <f t="shared" si="5"/>
        <v>0.455078125</v>
      </c>
    </row>
    <row r="367" spans="1:15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11.628228663000435</v>
      </c>
      <c r="H367">
        <v>7.8125E-3</v>
      </c>
      <c r="I367">
        <v>-0.67867858950583293</v>
      </c>
      <c r="J367">
        <v>-5.3021764805143198E-3</v>
      </c>
      <c r="M367">
        <v>6.7759357400138889</v>
      </c>
      <c r="N367">
        <v>1.953125E-3</v>
      </c>
      <c r="O367">
        <f t="shared" si="5"/>
        <v>0.45703125</v>
      </c>
    </row>
    <row r="368" spans="1:15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9.8587156055873209</v>
      </c>
      <c r="H368">
        <v>3.90625E-3</v>
      </c>
      <c r="I368">
        <v>-0.71991375885113817</v>
      </c>
      <c r="J368">
        <v>-2.8121631205122585E-3</v>
      </c>
      <c r="M368">
        <v>6.7759357400138889</v>
      </c>
      <c r="N368">
        <v>9.765625E-4</v>
      </c>
      <c r="O368">
        <f t="shared" si="5"/>
        <v>0.4580078125</v>
      </c>
    </row>
    <row r="369" spans="1:15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10.869865924109094</v>
      </c>
      <c r="H369">
        <v>7.8125E-3</v>
      </c>
      <c r="I369">
        <v>-0.69605342318968955</v>
      </c>
      <c r="J369">
        <v>-5.4379173686694496E-3</v>
      </c>
      <c r="M369">
        <v>6.7759357400138889</v>
      </c>
      <c r="N369">
        <v>1.953125E-3</v>
      </c>
      <c r="O369">
        <f t="shared" si="5"/>
        <v>0.4599609375</v>
      </c>
    </row>
    <row r="370" spans="1:15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11.628228663000435</v>
      </c>
      <c r="H370">
        <v>3.90625E-3</v>
      </c>
      <c r="I370">
        <v>-0.67867858950583293</v>
      </c>
      <c r="J370">
        <v>-2.6510882402571599E-3</v>
      </c>
      <c r="M370">
        <v>6.7759357400138889</v>
      </c>
      <c r="N370">
        <v>9.765625E-4</v>
      </c>
      <c r="O370">
        <f t="shared" si="5"/>
        <v>0.4609375</v>
      </c>
    </row>
    <row r="371" spans="1:15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9.8587156055873209</v>
      </c>
      <c r="H371">
        <v>1.953125E-3</v>
      </c>
      <c r="I371">
        <v>-0.71991375885113817</v>
      </c>
      <c r="J371">
        <v>-1.4060815602561292E-3</v>
      </c>
      <c r="M371">
        <v>6.9590933686498833</v>
      </c>
      <c r="N371">
        <v>1.953125E-3</v>
      </c>
      <c r="O371">
        <f t="shared" si="5"/>
        <v>0.462890625</v>
      </c>
    </row>
    <row r="372" spans="1:15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10.869865924109094</v>
      </c>
      <c r="H372">
        <v>3.90625E-3</v>
      </c>
      <c r="I372">
        <v>-0.69605342318968955</v>
      </c>
      <c r="J372">
        <v>-2.7189586843347248E-3</v>
      </c>
      <c r="M372">
        <v>6.9590933686498833</v>
      </c>
      <c r="N372">
        <v>3.90625E-3</v>
      </c>
      <c r="O372">
        <f t="shared" si="5"/>
        <v>0.466796875</v>
      </c>
    </row>
    <row r="373" spans="1:15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11.628228663000435</v>
      </c>
      <c r="H373">
        <v>1.953125E-3</v>
      </c>
      <c r="I373">
        <v>-0.67867858950583293</v>
      </c>
      <c r="J373">
        <v>-1.3255441201285799E-3</v>
      </c>
      <c r="M373">
        <v>6.9590933686498833</v>
      </c>
      <c r="N373">
        <v>1.953125E-3</v>
      </c>
      <c r="O373">
        <f t="shared" si="5"/>
        <v>0.46875</v>
      </c>
    </row>
    <row r="374" spans="1:15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9.8587156055873209</v>
      </c>
      <c r="H374">
        <v>3.90625E-3</v>
      </c>
      <c r="I374">
        <v>-0.71991375885113817</v>
      </c>
      <c r="J374">
        <v>-2.8121631205122585E-3</v>
      </c>
      <c r="M374">
        <v>6.9590933686498833</v>
      </c>
      <c r="N374">
        <v>3.90625E-3</v>
      </c>
      <c r="O374">
        <f t="shared" si="5"/>
        <v>0.47265625</v>
      </c>
    </row>
    <row r="375" spans="1:15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10.869865924109094</v>
      </c>
      <c r="H375">
        <v>7.8125E-3</v>
      </c>
      <c r="I375">
        <v>-0.69605342318968955</v>
      </c>
      <c r="J375">
        <v>-5.4379173686694496E-3</v>
      </c>
      <c r="M375">
        <v>6.9590933686498833</v>
      </c>
      <c r="N375">
        <v>7.8125E-3</v>
      </c>
      <c r="O375">
        <f t="shared" si="5"/>
        <v>0.48046875</v>
      </c>
    </row>
    <row r="376" spans="1:15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11.628228663000435</v>
      </c>
      <c r="H376">
        <v>3.90625E-3</v>
      </c>
      <c r="I376">
        <v>-0.67867858950583293</v>
      </c>
      <c r="J376">
        <v>-2.6510882402571599E-3</v>
      </c>
      <c r="M376">
        <v>6.9590933686498833</v>
      </c>
      <c r="N376">
        <v>3.90625E-3</v>
      </c>
      <c r="O376">
        <f t="shared" si="5"/>
        <v>0.484375</v>
      </c>
    </row>
    <row r="377" spans="1:15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9.8587156055873209</v>
      </c>
      <c r="H377">
        <v>1.953125E-3</v>
      </c>
      <c r="I377">
        <v>-0.71991375885113817</v>
      </c>
      <c r="J377">
        <v>-1.4060815602561292E-3</v>
      </c>
      <c r="M377">
        <v>6.9590933686498833</v>
      </c>
      <c r="N377">
        <v>1.953125E-3</v>
      </c>
      <c r="O377">
        <f t="shared" si="5"/>
        <v>0.486328125</v>
      </c>
    </row>
    <row r="378" spans="1:15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10.869865924109094</v>
      </c>
      <c r="H378">
        <v>3.90625E-3</v>
      </c>
      <c r="I378">
        <v>-0.69605342318968955</v>
      </c>
      <c r="J378">
        <v>-2.7189586843347248E-3</v>
      </c>
      <c r="M378">
        <v>6.9590933686498833</v>
      </c>
      <c r="N378">
        <v>3.90625E-3</v>
      </c>
      <c r="O378">
        <f t="shared" si="5"/>
        <v>0.490234375</v>
      </c>
    </row>
    <row r="379" spans="1:15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11.628228663000435</v>
      </c>
      <c r="H379">
        <v>1.953125E-3</v>
      </c>
      <c r="I379">
        <v>-0.67867858950583293</v>
      </c>
      <c r="J379">
        <v>-1.3255441201285799E-3</v>
      </c>
      <c r="M379">
        <v>6.9590933686498833</v>
      </c>
      <c r="N379">
        <v>1.953125E-3</v>
      </c>
      <c r="O379">
        <f t="shared" si="5"/>
        <v>0.4921875</v>
      </c>
    </row>
    <row r="380" spans="1:15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11.091055056285738</v>
      </c>
      <c r="H380">
        <v>9.765625E-4</v>
      </c>
      <c r="I380">
        <v>-0.69094031400129052</v>
      </c>
      <c r="J380">
        <v>-6.7474640039188528E-4</v>
      </c>
      <c r="M380">
        <v>7.2486754428055598</v>
      </c>
      <c r="N380">
        <v>4.8828125E-4</v>
      </c>
      <c r="O380">
        <f t="shared" si="5"/>
        <v>0.49267578125</v>
      </c>
    </row>
    <row r="381" spans="1:15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12.228599164622732</v>
      </c>
      <c r="H381">
        <v>1.953125E-3</v>
      </c>
      <c r="I381">
        <v>-0.66523163733789081</v>
      </c>
      <c r="J381">
        <v>-1.299280541675568E-3</v>
      </c>
      <c r="M381">
        <v>7.2486754428055598</v>
      </c>
      <c r="N381">
        <v>9.765625E-4</v>
      </c>
      <c r="O381">
        <f t="shared" si="5"/>
        <v>0.49365234375</v>
      </c>
    </row>
    <row r="382" spans="1:15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13.081757245875485</v>
      </c>
      <c r="H382">
        <v>9.765625E-4</v>
      </c>
      <c r="I382">
        <v>-0.64657985150029818</v>
      </c>
      <c r="J382">
        <v>-6.3142563623075994E-4</v>
      </c>
      <c r="M382">
        <v>7.2486754428055598</v>
      </c>
      <c r="N382">
        <v>4.8828125E-4</v>
      </c>
      <c r="O382">
        <f t="shared" si="5"/>
        <v>0.494140625</v>
      </c>
    </row>
    <row r="383" spans="1:15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11.091055056285738</v>
      </c>
      <c r="H383">
        <v>1.953125E-3</v>
      </c>
      <c r="I383">
        <v>-0.69094031400129052</v>
      </c>
      <c r="J383">
        <v>-1.3494928007837706E-3</v>
      </c>
      <c r="M383">
        <v>7.2486754428055598</v>
      </c>
      <c r="N383">
        <v>9.765625E-4</v>
      </c>
      <c r="O383">
        <f t="shared" si="5"/>
        <v>0.4951171875</v>
      </c>
    </row>
    <row r="384" spans="1:15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12.228599164622732</v>
      </c>
      <c r="H384">
        <v>3.90625E-3</v>
      </c>
      <c r="I384">
        <v>-0.66523163733789081</v>
      </c>
      <c r="J384">
        <v>-2.598561083351136E-3</v>
      </c>
      <c r="M384">
        <v>7.2486754428055598</v>
      </c>
      <c r="N384">
        <v>1.953125E-3</v>
      </c>
      <c r="O384">
        <f t="shared" si="5"/>
        <v>0.4970703125</v>
      </c>
    </row>
    <row r="385" spans="1:15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13.081757245875485</v>
      </c>
      <c r="H385">
        <v>1.953125E-3</v>
      </c>
      <c r="I385">
        <v>-0.64657985150029818</v>
      </c>
      <c r="J385">
        <v>-1.2628512724615199E-3</v>
      </c>
      <c r="M385">
        <v>7.2486754428055598</v>
      </c>
      <c r="N385">
        <v>9.765625E-4</v>
      </c>
      <c r="O385">
        <f t="shared" si="5"/>
        <v>0.498046875</v>
      </c>
    </row>
    <row r="386" spans="1:15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11.091055056285738</v>
      </c>
      <c r="H386">
        <v>9.765625E-4</v>
      </c>
      <c r="I386">
        <v>-0.69094031400129052</v>
      </c>
      <c r="J386">
        <v>-6.7474640039188528E-4</v>
      </c>
      <c r="M386">
        <v>7.2486754428055598</v>
      </c>
      <c r="N386">
        <v>4.8828125E-4</v>
      </c>
      <c r="O386">
        <f t="shared" si="5"/>
        <v>0.49853515625</v>
      </c>
    </row>
    <row r="387" spans="1:15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12.228599164622732</v>
      </c>
      <c r="H387">
        <v>1.953125E-3</v>
      </c>
      <c r="I387">
        <v>-0.66523163733789081</v>
      </c>
      <c r="J387">
        <v>-1.299280541675568E-3</v>
      </c>
      <c r="M387">
        <v>7.2486754428055598</v>
      </c>
      <c r="N387">
        <v>9.765625E-4</v>
      </c>
      <c r="O387">
        <f t="shared" si="5"/>
        <v>0.49951171875</v>
      </c>
    </row>
    <row r="388" spans="1:15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13.081757245875485</v>
      </c>
      <c r="H388">
        <v>9.765625E-4</v>
      </c>
      <c r="I388">
        <v>-0.64657985150029818</v>
      </c>
      <c r="J388">
        <v>-6.3142563623075994E-4</v>
      </c>
      <c r="M388">
        <v>7.2486754428055598</v>
      </c>
      <c r="N388">
        <v>4.8828125E-4</v>
      </c>
      <c r="O388">
        <f t="shared" ref="O388:O451" si="6">N388+O387</f>
        <v>0.5</v>
      </c>
    </row>
    <row r="389" spans="1:15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11.091055056285738</v>
      </c>
      <c r="H389">
        <v>1.953125E-3</v>
      </c>
      <c r="I389">
        <v>-0.69094031400129052</v>
      </c>
      <c r="J389">
        <v>-1.3494928007837706E-3</v>
      </c>
      <c r="M389">
        <v>7.5638352446666657</v>
      </c>
      <c r="N389">
        <v>9.765625E-4</v>
      </c>
      <c r="O389">
        <f t="shared" si="6"/>
        <v>0.5009765625</v>
      </c>
    </row>
    <row r="390" spans="1:15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12.228599164622732</v>
      </c>
      <c r="H390">
        <v>3.90625E-3</v>
      </c>
      <c r="I390">
        <v>-0.66523163733789081</v>
      </c>
      <c r="J390">
        <v>-2.598561083351136E-3</v>
      </c>
      <c r="M390">
        <v>7.5638352446666657</v>
      </c>
      <c r="N390">
        <v>1.953125E-3</v>
      </c>
      <c r="O390">
        <f t="shared" si="6"/>
        <v>0.5029296875</v>
      </c>
    </row>
    <row r="391" spans="1:15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13.081757245875485</v>
      </c>
      <c r="H391">
        <v>1.953125E-3</v>
      </c>
      <c r="I391">
        <v>-0.64657985150029818</v>
      </c>
      <c r="J391">
        <v>-1.2628512724615199E-3</v>
      </c>
      <c r="M391">
        <v>7.5638352446666657</v>
      </c>
      <c r="N391">
        <v>9.765625E-4</v>
      </c>
      <c r="O391">
        <f t="shared" si="6"/>
        <v>0.50390625</v>
      </c>
    </row>
    <row r="392" spans="1:15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11.091055056285738</v>
      </c>
      <c r="H392">
        <v>3.90625E-3</v>
      </c>
      <c r="I392">
        <v>-0.69094031400129052</v>
      </c>
      <c r="J392">
        <v>-2.6989856015675411E-3</v>
      </c>
      <c r="M392">
        <v>7.5638352446666657</v>
      </c>
      <c r="N392">
        <v>1.953125E-3</v>
      </c>
      <c r="O392">
        <f t="shared" si="6"/>
        <v>0.505859375</v>
      </c>
    </row>
    <row r="393" spans="1:15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12.228599164622732</v>
      </c>
      <c r="H393">
        <v>7.8125E-3</v>
      </c>
      <c r="I393">
        <v>-0.66523163733789081</v>
      </c>
      <c r="J393">
        <v>-5.197122166702272E-3</v>
      </c>
      <c r="M393">
        <v>7.5638352446666657</v>
      </c>
      <c r="N393">
        <v>3.90625E-3</v>
      </c>
      <c r="O393">
        <f t="shared" si="6"/>
        <v>0.509765625</v>
      </c>
    </row>
    <row r="394" spans="1:15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13.081757245875485</v>
      </c>
      <c r="H394">
        <v>3.90625E-3</v>
      </c>
      <c r="I394">
        <v>-0.64657985150029818</v>
      </c>
      <c r="J394">
        <v>-2.5257025449230397E-3</v>
      </c>
      <c r="M394">
        <v>7.5638352446666657</v>
      </c>
      <c r="N394">
        <v>1.953125E-3</v>
      </c>
      <c r="O394">
        <f t="shared" si="6"/>
        <v>0.51171875</v>
      </c>
    </row>
    <row r="395" spans="1:15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11.091055056285738</v>
      </c>
      <c r="H395">
        <v>1.953125E-3</v>
      </c>
      <c r="I395">
        <v>-0.69094031400129052</v>
      </c>
      <c r="J395">
        <v>-1.3494928007837706E-3</v>
      </c>
      <c r="M395">
        <v>7.5638352446666657</v>
      </c>
      <c r="N395">
        <v>9.765625E-4</v>
      </c>
      <c r="O395">
        <f t="shared" si="6"/>
        <v>0.5126953125</v>
      </c>
    </row>
    <row r="396" spans="1:15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12.228599164622732</v>
      </c>
      <c r="H396">
        <v>3.90625E-3</v>
      </c>
      <c r="I396">
        <v>-0.66523163733789081</v>
      </c>
      <c r="J396">
        <v>-2.598561083351136E-3</v>
      </c>
      <c r="M396">
        <v>7.5638352446666657</v>
      </c>
      <c r="N396">
        <v>1.953125E-3</v>
      </c>
      <c r="O396">
        <f t="shared" si="6"/>
        <v>0.5146484375</v>
      </c>
    </row>
    <row r="397" spans="1:15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13.081757245875485</v>
      </c>
      <c r="H397">
        <v>1.953125E-3</v>
      </c>
      <c r="I397">
        <v>-0.64657985150029818</v>
      </c>
      <c r="J397">
        <v>-1.2628512724615199E-3</v>
      </c>
      <c r="M397">
        <v>7.5638352446666657</v>
      </c>
      <c r="N397">
        <v>9.765625E-4</v>
      </c>
      <c r="O397">
        <f t="shared" si="6"/>
        <v>0.515625</v>
      </c>
    </row>
    <row r="398" spans="1:15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11.091055056285738</v>
      </c>
      <c r="H398">
        <v>9.765625E-4</v>
      </c>
      <c r="I398">
        <v>-0.69094031400129052</v>
      </c>
      <c r="J398">
        <v>-6.7474640039188528E-4</v>
      </c>
      <c r="M398">
        <v>7.6728465346652532</v>
      </c>
      <c r="N398">
        <v>3.90625E-3</v>
      </c>
      <c r="O398">
        <f t="shared" si="6"/>
        <v>0.51953125</v>
      </c>
    </row>
    <row r="399" spans="1:15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12.228599164622732</v>
      </c>
      <c r="H399">
        <v>1.953125E-3</v>
      </c>
      <c r="I399">
        <v>-0.66523163733789081</v>
      </c>
      <c r="J399">
        <v>-1.299280541675568E-3</v>
      </c>
      <c r="M399">
        <v>7.6728465346652532</v>
      </c>
      <c r="N399">
        <v>7.8125E-3</v>
      </c>
      <c r="O399">
        <f t="shared" si="6"/>
        <v>0.52734375</v>
      </c>
    </row>
    <row r="400" spans="1:15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13.081757245875485</v>
      </c>
      <c r="H400">
        <v>9.765625E-4</v>
      </c>
      <c r="I400">
        <v>-0.64657985150029818</v>
      </c>
      <c r="J400">
        <v>-6.3142563623075994E-4</v>
      </c>
      <c r="M400">
        <v>7.6728465346652532</v>
      </c>
      <c r="N400">
        <v>3.90625E-3</v>
      </c>
      <c r="O400">
        <f t="shared" si="6"/>
        <v>0.53125</v>
      </c>
    </row>
    <row r="401" spans="1:15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11.091055056285738</v>
      </c>
      <c r="H401">
        <v>1.953125E-3</v>
      </c>
      <c r="I401">
        <v>-0.69094031400129052</v>
      </c>
      <c r="J401">
        <v>-1.3494928007837706E-3</v>
      </c>
      <c r="M401">
        <v>7.6728465346652532</v>
      </c>
      <c r="N401">
        <v>7.8125E-3</v>
      </c>
      <c r="O401">
        <f t="shared" si="6"/>
        <v>0.5390625</v>
      </c>
    </row>
    <row r="402" spans="1:15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12.228599164622732</v>
      </c>
      <c r="H402">
        <v>3.90625E-3</v>
      </c>
      <c r="I402">
        <v>-0.66523163733789081</v>
      </c>
      <c r="J402">
        <v>-2.598561083351136E-3</v>
      </c>
      <c r="M402">
        <v>7.6728465346652532</v>
      </c>
      <c r="N402">
        <v>1.5625E-2</v>
      </c>
      <c r="O402">
        <f t="shared" si="6"/>
        <v>0.5546875</v>
      </c>
    </row>
    <row r="403" spans="1:15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13.081757245875485</v>
      </c>
      <c r="H403">
        <v>1.953125E-3</v>
      </c>
      <c r="I403">
        <v>-0.64657985150029818</v>
      </c>
      <c r="J403">
        <v>-1.2628512724615199E-3</v>
      </c>
      <c r="M403">
        <v>7.6728465346652532</v>
      </c>
      <c r="N403">
        <v>7.8125E-3</v>
      </c>
      <c r="O403">
        <f t="shared" si="6"/>
        <v>0.5625</v>
      </c>
    </row>
    <row r="404" spans="1:15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11.091055056285738</v>
      </c>
      <c r="H404">
        <v>9.765625E-4</v>
      </c>
      <c r="I404">
        <v>-0.69094031400129052</v>
      </c>
      <c r="J404">
        <v>-6.7474640039188528E-4</v>
      </c>
      <c r="M404">
        <v>7.6728465346652532</v>
      </c>
      <c r="N404">
        <v>3.90625E-3</v>
      </c>
      <c r="O404">
        <f t="shared" si="6"/>
        <v>0.56640625</v>
      </c>
    </row>
    <row r="405" spans="1:15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12.228599164622732</v>
      </c>
      <c r="H405">
        <v>1.953125E-3</v>
      </c>
      <c r="I405">
        <v>-0.66523163733789081</v>
      </c>
      <c r="J405">
        <v>-1.299280541675568E-3</v>
      </c>
      <c r="M405">
        <v>7.6728465346652532</v>
      </c>
      <c r="N405">
        <v>7.8125E-3</v>
      </c>
      <c r="O405">
        <f t="shared" si="6"/>
        <v>0.57421875</v>
      </c>
    </row>
    <row r="406" spans="1:15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13.081757245875485</v>
      </c>
      <c r="H406">
        <v>9.765625E-4</v>
      </c>
      <c r="I406">
        <v>-0.64657985150029818</v>
      </c>
      <c r="J406">
        <v>-6.3142563623075994E-4</v>
      </c>
      <c r="M406">
        <v>7.6728465346652532</v>
      </c>
      <c r="N406">
        <v>3.90625E-3</v>
      </c>
      <c r="O406">
        <f t="shared" si="6"/>
        <v>0.578125</v>
      </c>
    </row>
    <row r="407" spans="1:15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8.7062895264131779</v>
      </c>
      <c r="H407">
        <v>4.8828125E-4</v>
      </c>
      <c r="I407">
        <v>-0.74810670990607087</v>
      </c>
      <c r="J407">
        <v>-3.6528647944632366E-4</v>
      </c>
      <c r="M407">
        <v>7.7847272221630144</v>
      </c>
      <c r="N407">
        <v>2.44140625E-4</v>
      </c>
      <c r="O407">
        <f t="shared" si="6"/>
        <v>0.578369140625</v>
      </c>
    </row>
    <row r="408" spans="1:15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9.5992422983529924</v>
      </c>
      <c r="H408">
        <v>9.765625E-4</v>
      </c>
      <c r="I408">
        <v>-0.72616737744934434</v>
      </c>
      <c r="J408">
        <v>-7.0914782954037533E-4</v>
      </c>
      <c r="M408">
        <v>7.7847272221630144</v>
      </c>
      <c r="N408">
        <v>4.8828125E-4</v>
      </c>
      <c r="O408">
        <f t="shared" si="6"/>
        <v>0.578857421875</v>
      </c>
    </row>
    <row r="409" spans="1:15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10.268956877307854</v>
      </c>
      <c r="H409">
        <v>4.8828125E-4</v>
      </c>
      <c r="I409">
        <v>-0.71013615297559396</v>
      </c>
      <c r="J409">
        <v>-3.4674616844511424E-4</v>
      </c>
      <c r="M409">
        <v>7.7847272221630144</v>
      </c>
      <c r="N409">
        <v>2.44140625E-4</v>
      </c>
      <c r="O409">
        <f t="shared" si="6"/>
        <v>0.5791015625</v>
      </c>
    </row>
    <row r="410" spans="1:15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8.7062895264131779</v>
      </c>
      <c r="H410">
        <v>9.765625E-4</v>
      </c>
      <c r="I410">
        <v>-0.74810670990607087</v>
      </c>
      <c r="J410">
        <v>-7.3057295889264733E-4</v>
      </c>
      <c r="M410">
        <v>7.7847272221630144</v>
      </c>
      <c r="N410">
        <v>4.8828125E-4</v>
      </c>
      <c r="O410">
        <f t="shared" si="6"/>
        <v>0.57958984375</v>
      </c>
    </row>
    <row r="411" spans="1:15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9.5992422983529924</v>
      </c>
      <c r="H411">
        <v>1.953125E-3</v>
      </c>
      <c r="I411">
        <v>-0.72616737744934434</v>
      </c>
      <c r="J411">
        <v>-1.4182956590807507E-3</v>
      </c>
      <c r="M411">
        <v>7.7847272221630144</v>
      </c>
      <c r="N411">
        <v>9.765625E-4</v>
      </c>
      <c r="O411">
        <f t="shared" si="6"/>
        <v>0.58056640625</v>
      </c>
    </row>
    <row r="412" spans="1:15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10.268956877307854</v>
      </c>
      <c r="H412">
        <v>9.765625E-4</v>
      </c>
      <c r="I412">
        <v>-0.71013615297559396</v>
      </c>
      <c r="J412">
        <v>-6.9349233689022848E-4</v>
      </c>
      <c r="M412">
        <v>7.7847272221630144</v>
      </c>
      <c r="N412">
        <v>4.8828125E-4</v>
      </c>
      <c r="O412">
        <f t="shared" si="6"/>
        <v>0.5810546875</v>
      </c>
    </row>
    <row r="413" spans="1:15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8.7062895264131779</v>
      </c>
      <c r="H413">
        <v>4.8828125E-4</v>
      </c>
      <c r="I413">
        <v>-0.74810670990607087</v>
      </c>
      <c r="J413">
        <v>-3.6528647944632366E-4</v>
      </c>
      <c r="M413">
        <v>7.7847272221630144</v>
      </c>
      <c r="N413">
        <v>2.44140625E-4</v>
      </c>
      <c r="O413">
        <f t="shared" si="6"/>
        <v>0.581298828125</v>
      </c>
    </row>
    <row r="414" spans="1:15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9.5992422983529924</v>
      </c>
      <c r="H414">
        <v>9.765625E-4</v>
      </c>
      <c r="I414">
        <v>-0.72616737744934434</v>
      </c>
      <c r="J414">
        <v>-7.0914782954037533E-4</v>
      </c>
      <c r="M414">
        <v>7.7847272221630144</v>
      </c>
      <c r="N414">
        <v>4.8828125E-4</v>
      </c>
      <c r="O414">
        <f t="shared" si="6"/>
        <v>0.581787109375</v>
      </c>
    </row>
    <row r="415" spans="1:15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10.268956877307854</v>
      </c>
      <c r="H415">
        <v>4.8828125E-4</v>
      </c>
      <c r="I415">
        <v>-0.71013615297559396</v>
      </c>
      <c r="J415">
        <v>-3.4674616844511424E-4</v>
      </c>
      <c r="M415">
        <v>7.7847272221630144</v>
      </c>
      <c r="N415">
        <v>2.44140625E-4</v>
      </c>
      <c r="O415">
        <f t="shared" si="6"/>
        <v>0.58203125</v>
      </c>
    </row>
    <row r="416" spans="1:15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8.7062895264131779</v>
      </c>
      <c r="H416">
        <v>9.765625E-4</v>
      </c>
      <c r="I416">
        <v>-0.74810670990607087</v>
      </c>
      <c r="J416">
        <v>-7.3057295889264733E-4</v>
      </c>
      <c r="M416">
        <v>7.8289800397311256</v>
      </c>
      <c r="N416">
        <v>9.765625E-4</v>
      </c>
      <c r="O416">
        <f t="shared" si="6"/>
        <v>0.5830078125</v>
      </c>
    </row>
    <row r="417" spans="1:15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9.5992422983529924</v>
      </c>
      <c r="H417">
        <v>1.953125E-3</v>
      </c>
      <c r="I417">
        <v>-0.72616737744934434</v>
      </c>
      <c r="J417">
        <v>-1.4182956590807507E-3</v>
      </c>
      <c r="M417">
        <v>7.8289800397311256</v>
      </c>
      <c r="N417">
        <v>1.953125E-3</v>
      </c>
      <c r="O417">
        <f t="shared" si="6"/>
        <v>0.5849609375</v>
      </c>
    </row>
    <row r="418" spans="1:15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10.268956877307854</v>
      </c>
      <c r="H418">
        <v>9.765625E-4</v>
      </c>
      <c r="I418">
        <v>-0.71013615297559396</v>
      </c>
      <c r="J418">
        <v>-6.9349233689022848E-4</v>
      </c>
      <c r="M418">
        <v>7.8289800397311256</v>
      </c>
      <c r="N418">
        <v>9.765625E-4</v>
      </c>
      <c r="O418">
        <f t="shared" si="6"/>
        <v>0.5859375</v>
      </c>
    </row>
    <row r="419" spans="1:15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8.7062895264131779</v>
      </c>
      <c r="H419">
        <v>1.953125E-3</v>
      </c>
      <c r="I419">
        <v>-0.74810670990607087</v>
      </c>
      <c r="J419">
        <v>-1.4611459177852947E-3</v>
      </c>
      <c r="M419">
        <v>7.8289800397311256</v>
      </c>
      <c r="N419">
        <v>1.953125E-3</v>
      </c>
      <c r="O419">
        <f t="shared" si="6"/>
        <v>0.587890625</v>
      </c>
    </row>
    <row r="420" spans="1:15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9.5992422983529924</v>
      </c>
      <c r="H420">
        <v>3.90625E-3</v>
      </c>
      <c r="I420">
        <v>-0.72616737744934434</v>
      </c>
      <c r="J420">
        <v>-2.8365913181615013E-3</v>
      </c>
      <c r="M420">
        <v>7.8289800397311256</v>
      </c>
      <c r="N420">
        <v>3.90625E-3</v>
      </c>
      <c r="O420">
        <f t="shared" si="6"/>
        <v>0.591796875</v>
      </c>
    </row>
    <row r="421" spans="1:15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10.268956877307854</v>
      </c>
      <c r="H421">
        <v>1.953125E-3</v>
      </c>
      <c r="I421">
        <v>-0.71013615297559396</v>
      </c>
      <c r="J421">
        <v>-1.386984673780457E-3</v>
      </c>
      <c r="M421">
        <v>7.8289800397311256</v>
      </c>
      <c r="N421">
        <v>1.953125E-3</v>
      </c>
      <c r="O421">
        <f t="shared" si="6"/>
        <v>0.59375</v>
      </c>
    </row>
    <row r="422" spans="1:15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8.7062895264131779</v>
      </c>
      <c r="H422">
        <v>9.765625E-4</v>
      </c>
      <c r="I422">
        <v>-0.74810670990607087</v>
      </c>
      <c r="J422">
        <v>-7.3057295889264733E-4</v>
      </c>
      <c r="M422">
        <v>7.8289800397311256</v>
      </c>
      <c r="N422">
        <v>9.765625E-4</v>
      </c>
      <c r="O422">
        <f t="shared" si="6"/>
        <v>0.5947265625</v>
      </c>
    </row>
    <row r="423" spans="1:15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9.5992422983529924</v>
      </c>
      <c r="H423">
        <v>1.953125E-3</v>
      </c>
      <c r="I423">
        <v>-0.72616737744934434</v>
      </c>
      <c r="J423">
        <v>-1.4182956590807507E-3</v>
      </c>
      <c r="M423">
        <v>7.8289800397311256</v>
      </c>
      <c r="N423">
        <v>1.953125E-3</v>
      </c>
      <c r="O423">
        <f t="shared" si="6"/>
        <v>0.5966796875</v>
      </c>
    </row>
    <row r="424" spans="1:15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10.268956877307854</v>
      </c>
      <c r="H424">
        <v>9.765625E-4</v>
      </c>
      <c r="I424">
        <v>-0.71013615297559396</v>
      </c>
      <c r="J424">
        <v>-6.9349233689022848E-4</v>
      </c>
      <c r="M424">
        <v>7.8289800397311256</v>
      </c>
      <c r="N424">
        <v>9.765625E-4</v>
      </c>
      <c r="O424">
        <f t="shared" si="6"/>
        <v>0.59765625</v>
      </c>
    </row>
    <row r="425" spans="1:15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8.7062895264131779</v>
      </c>
      <c r="H425">
        <v>4.8828125E-4</v>
      </c>
      <c r="I425">
        <v>-0.74810670990607087</v>
      </c>
      <c r="J425">
        <v>-3.6528647944632366E-4</v>
      </c>
      <c r="M425">
        <v>8.2081614091767889</v>
      </c>
      <c r="N425">
        <v>1.953125E-3</v>
      </c>
      <c r="O425">
        <f t="shared" si="6"/>
        <v>0.599609375</v>
      </c>
    </row>
    <row r="426" spans="1:15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9.5992422983529924</v>
      </c>
      <c r="H426">
        <v>9.765625E-4</v>
      </c>
      <c r="I426">
        <v>-0.72616737744934434</v>
      </c>
      <c r="J426">
        <v>-7.0914782954037533E-4</v>
      </c>
      <c r="M426">
        <v>8.2081614091767889</v>
      </c>
      <c r="N426">
        <v>3.90625E-3</v>
      </c>
      <c r="O426">
        <f t="shared" si="6"/>
        <v>0.603515625</v>
      </c>
    </row>
    <row r="427" spans="1:15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10.268956877307854</v>
      </c>
      <c r="H427">
        <v>4.8828125E-4</v>
      </c>
      <c r="I427">
        <v>-0.71013615297559396</v>
      </c>
      <c r="J427">
        <v>-3.4674616844511424E-4</v>
      </c>
      <c r="M427">
        <v>8.2081614091767889</v>
      </c>
      <c r="N427">
        <v>1.953125E-3</v>
      </c>
      <c r="O427">
        <f t="shared" si="6"/>
        <v>0.60546875</v>
      </c>
    </row>
    <row r="428" spans="1:15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8.7062895264131779</v>
      </c>
      <c r="H428">
        <v>9.765625E-4</v>
      </c>
      <c r="I428">
        <v>-0.74810670990607087</v>
      </c>
      <c r="J428">
        <v>-7.3057295889264733E-4</v>
      </c>
      <c r="M428">
        <v>8.2081614091767889</v>
      </c>
      <c r="N428">
        <v>3.90625E-3</v>
      </c>
      <c r="O428">
        <f t="shared" si="6"/>
        <v>0.609375</v>
      </c>
    </row>
    <row r="429" spans="1:15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9.5992422983529924</v>
      </c>
      <c r="H429">
        <v>1.953125E-3</v>
      </c>
      <c r="I429">
        <v>-0.72616737744934434</v>
      </c>
      <c r="J429">
        <v>-1.4182956590807507E-3</v>
      </c>
      <c r="M429">
        <v>8.2081614091767889</v>
      </c>
      <c r="N429">
        <v>7.8125E-3</v>
      </c>
      <c r="O429">
        <f t="shared" si="6"/>
        <v>0.6171875</v>
      </c>
    </row>
    <row r="430" spans="1:15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10.268956877307854</v>
      </c>
      <c r="H430">
        <v>9.765625E-4</v>
      </c>
      <c r="I430">
        <v>-0.71013615297559396</v>
      </c>
      <c r="J430">
        <v>-6.9349233689022848E-4</v>
      </c>
      <c r="M430">
        <v>8.2081614091767889</v>
      </c>
      <c r="N430">
        <v>3.90625E-3</v>
      </c>
      <c r="O430">
        <f t="shared" si="6"/>
        <v>0.62109375</v>
      </c>
    </row>
    <row r="431" spans="1:15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8.7062895264131779</v>
      </c>
      <c r="H431">
        <v>4.8828125E-4</v>
      </c>
      <c r="I431">
        <v>-0.74810670990607087</v>
      </c>
      <c r="J431">
        <v>-3.6528647944632366E-4</v>
      </c>
      <c r="M431">
        <v>8.2081614091767889</v>
      </c>
      <c r="N431">
        <v>1.953125E-3</v>
      </c>
      <c r="O431">
        <f t="shared" si="6"/>
        <v>0.623046875</v>
      </c>
    </row>
    <row r="432" spans="1:15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9.5992422983529924</v>
      </c>
      <c r="H432">
        <v>9.765625E-4</v>
      </c>
      <c r="I432">
        <v>-0.72616737744934434</v>
      </c>
      <c r="J432">
        <v>-7.0914782954037533E-4</v>
      </c>
      <c r="M432">
        <v>8.2081614091767889</v>
      </c>
      <c r="N432">
        <v>3.90625E-3</v>
      </c>
      <c r="O432">
        <f t="shared" si="6"/>
        <v>0.626953125</v>
      </c>
    </row>
    <row r="433" spans="1:15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10.268956877307854</v>
      </c>
      <c r="H433">
        <v>4.8828125E-4</v>
      </c>
      <c r="I433">
        <v>-0.71013615297559396</v>
      </c>
      <c r="J433">
        <v>-3.4674616844511424E-4</v>
      </c>
      <c r="M433">
        <v>8.2081614091767889</v>
      </c>
      <c r="N433">
        <v>1.953125E-3</v>
      </c>
      <c r="O433">
        <f t="shared" si="6"/>
        <v>0.62890625</v>
      </c>
    </row>
    <row r="434" spans="1:15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10.715433263277761</v>
      </c>
      <c r="H434">
        <v>9.765625E-4</v>
      </c>
      <c r="I434">
        <v>-0.69964577426983221</v>
      </c>
      <c r="J434">
        <v>-6.8324782643538302E-4</v>
      </c>
      <c r="M434">
        <v>8.3396132184786271</v>
      </c>
      <c r="N434">
        <v>1.953125E-3</v>
      </c>
      <c r="O434">
        <f t="shared" si="6"/>
        <v>0.630859375</v>
      </c>
    </row>
    <row r="435" spans="1:15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11.814452059511384</v>
      </c>
      <c r="H435">
        <v>1.953125E-3</v>
      </c>
      <c r="I435">
        <v>-0.67447877697821856</v>
      </c>
      <c r="J435">
        <v>-1.3173413612855831E-3</v>
      </c>
      <c r="M435">
        <v>8.3396132184786271</v>
      </c>
      <c r="N435">
        <v>3.90625E-3</v>
      </c>
      <c r="O435">
        <f t="shared" si="6"/>
        <v>0.634765625</v>
      </c>
    </row>
    <row r="436" spans="1:15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12.638716156686591</v>
      </c>
      <c r="H436">
        <v>9.765625E-4</v>
      </c>
      <c r="I436">
        <v>-0.65619942247792284</v>
      </c>
      <c r="J436">
        <v>-6.4081974851359653E-4</v>
      </c>
      <c r="M436">
        <v>8.3396132184786271</v>
      </c>
      <c r="N436">
        <v>1.953125E-3</v>
      </c>
      <c r="O436">
        <f t="shared" si="6"/>
        <v>0.63671875</v>
      </c>
    </row>
    <row r="437" spans="1:15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10.715433263277761</v>
      </c>
      <c r="H437">
        <v>1.953125E-3</v>
      </c>
      <c r="I437">
        <v>-0.69964577426983221</v>
      </c>
      <c r="J437">
        <v>-1.366495652870766E-3</v>
      </c>
      <c r="M437">
        <v>8.3396132184786271</v>
      </c>
      <c r="N437">
        <v>3.90625E-3</v>
      </c>
      <c r="O437">
        <f t="shared" si="6"/>
        <v>0.640625</v>
      </c>
    </row>
    <row r="438" spans="1:15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11.814452059511384</v>
      </c>
      <c r="H438">
        <v>3.90625E-3</v>
      </c>
      <c r="I438">
        <v>-0.67447877697821856</v>
      </c>
      <c r="J438">
        <v>-2.6346827225711663E-3</v>
      </c>
      <c r="M438">
        <v>8.3396132184786271</v>
      </c>
      <c r="N438">
        <v>7.8125E-3</v>
      </c>
      <c r="O438">
        <f t="shared" si="6"/>
        <v>0.6484375</v>
      </c>
    </row>
    <row r="439" spans="1:15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12.638716156686591</v>
      </c>
      <c r="H439">
        <v>1.953125E-3</v>
      </c>
      <c r="I439">
        <v>-0.65619942247792284</v>
      </c>
      <c r="J439">
        <v>-1.2816394970271931E-3</v>
      </c>
      <c r="M439">
        <v>8.3396132184786271</v>
      </c>
      <c r="N439">
        <v>3.90625E-3</v>
      </c>
      <c r="O439">
        <f t="shared" si="6"/>
        <v>0.65234375</v>
      </c>
    </row>
    <row r="440" spans="1:15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10.715433263277761</v>
      </c>
      <c r="H440">
        <v>9.765625E-4</v>
      </c>
      <c r="I440">
        <v>-0.69964577426983221</v>
      </c>
      <c r="J440">
        <v>-6.8324782643538302E-4</v>
      </c>
      <c r="M440">
        <v>8.3396132184786271</v>
      </c>
      <c r="N440">
        <v>1.953125E-3</v>
      </c>
      <c r="O440">
        <f t="shared" si="6"/>
        <v>0.654296875</v>
      </c>
    </row>
    <row r="441" spans="1:15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11.814452059511384</v>
      </c>
      <c r="H441">
        <v>1.953125E-3</v>
      </c>
      <c r="I441">
        <v>-0.67447877697821856</v>
      </c>
      <c r="J441">
        <v>-1.3173413612855831E-3</v>
      </c>
      <c r="M441">
        <v>8.3396132184786271</v>
      </c>
      <c r="N441">
        <v>3.90625E-3</v>
      </c>
      <c r="O441">
        <f t="shared" si="6"/>
        <v>0.658203125</v>
      </c>
    </row>
    <row r="442" spans="1:15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12.638716156686591</v>
      </c>
      <c r="H442">
        <v>9.765625E-4</v>
      </c>
      <c r="I442">
        <v>-0.65619942247792284</v>
      </c>
      <c r="J442">
        <v>-6.4081974851359653E-4</v>
      </c>
      <c r="M442">
        <v>8.3396132184786271</v>
      </c>
      <c r="N442">
        <v>1.953125E-3</v>
      </c>
      <c r="O442">
        <f t="shared" si="6"/>
        <v>0.66015625</v>
      </c>
    </row>
    <row r="443" spans="1:15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10.715433263277761</v>
      </c>
      <c r="H443">
        <v>1.953125E-3</v>
      </c>
      <c r="I443">
        <v>-0.69964577426983221</v>
      </c>
      <c r="J443">
        <v>-1.366495652870766E-3</v>
      </c>
      <c r="M443">
        <v>8.5093146502500066</v>
      </c>
      <c r="N443">
        <v>4.8828125E-4</v>
      </c>
      <c r="O443">
        <f t="shared" si="6"/>
        <v>0.66064453125</v>
      </c>
    </row>
    <row r="444" spans="1:15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11.814452059511384</v>
      </c>
      <c r="H444">
        <v>3.90625E-3</v>
      </c>
      <c r="I444">
        <v>-0.67447877697821856</v>
      </c>
      <c r="J444">
        <v>-2.6346827225711663E-3</v>
      </c>
      <c r="M444">
        <v>8.5093146502500066</v>
      </c>
      <c r="N444">
        <v>9.765625E-4</v>
      </c>
      <c r="O444">
        <f t="shared" si="6"/>
        <v>0.66162109375</v>
      </c>
    </row>
    <row r="445" spans="1:15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12.638716156686591</v>
      </c>
      <c r="H445">
        <v>1.953125E-3</v>
      </c>
      <c r="I445">
        <v>-0.65619942247792284</v>
      </c>
      <c r="J445">
        <v>-1.2816394970271931E-3</v>
      </c>
      <c r="M445">
        <v>8.5093146502500066</v>
      </c>
      <c r="N445">
        <v>4.8828125E-4</v>
      </c>
      <c r="O445">
        <f t="shared" si="6"/>
        <v>0.662109375</v>
      </c>
    </row>
    <row r="446" spans="1:15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10.715433263277761</v>
      </c>
      <c r="H446">
        <v>3.90625E-3</v>
      </c>
      <c r="I446">
        <v>-0.69964577426983221</v>
      </c>
      <c r="J446">
        <v>-2.7329913057415321E-3</v>
      </c>
      <c r="M446">
        <v>8.5093146502500066</v>
      </c>
      <c r="N446">
        <v>9.765625E-4</v>
      </c>
      <c r="O446">
        <f t="shared" si="6"/>
        <v>0.6630859375</v>
      </c>
    </row>
    <row r="447" spans="1:15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11.814452059511384</v>
      </c>
      <c r="H447">
        <v>7.8125E-3</v>
      </c>
      <c r="I447">
        <v>-0.67447877697821856</v>
      </c>
      <c r="J447">
        <v>-5.2693654451423325E-3</v>
      </c>
      <c r="M447">
        <v>8.5093146502500066</v>
      </c>
      <c r="N447">
        <v>1.953125E-3</v>
      </c>
      <c r="O447">
        <f t="shared" si="6"/>
        <v>0.6650390625</v>
      </c>
    </row>
    <row r="448" spans="1:15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12.638716156686591</v>
      </c>
      <c r="H448">
        <v>3.90625E-3</v>
      </c>
      <c r="I448">
        <v>-0.65619942247792284</v>
      </c>
      <c r="J448">
        <v>-2.5632789940543861E-3</v>
      </c>
      <c r="M448">
        <v>8.5093146502500066</v>
      </c>
      <c r="N448">
        <v>9.765625E-4</v>
      </c>
      <c r="O448">
        <f t="shared" si="6"/>
        <v>0.666015625</v>
      </c>
    </row>
    <row r="449" spans="1:15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10.715433263277761</v>
      </c>
      <c r="H449">
        <v>1.953125E-3</v>
      </c>
      <c r="I449">
        <v>-0.69964577426983221</v>
      </c>
      <c r="J449">
        <v>-1.366495652870766E-3</v>
      </c>
      <c r="M449">
        <v>8.5093146502500066</v>
      </c>
      <c r="N449">
        <v>4.8828125E-4</v>
      </c>
      <c r="O449">
        <f t="shared" si="6"/>
        <v>0.66650390625</v>
      </c>
    </row>
    <row r="450" spans="1:15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11.814452059511384</v>
      </c>
      <c r="H450">
        <v>3.90625E-3</v>
      </c>
      <c r="I450">
        <v>-0.67447877697821856</v>
      </c>
      <c r="J450">
        <v>-2.6346827225711663E-3</v>
      </c>
      <c r="M450">
        <v>8.5093146502500066</v>
      </c>
      <c r="N450">
        <v>9.765625E-4</v>
      </c>
      <c r="O450">
        <f t="shared" si="6"/>
        <v>0.66748046875</v>
      </c>
    </row>
    <row r="451" spans="1:15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12.638716156686591</v>
      </c>
      <c r="H451">
        <v>1.953125E-3</v>
      </c>
      <c r="I451">
        <v>-0.65619942247792284</v>
      </c>
      <c r="J451">
        <v>-1.2816394970271931E-3</v>
      </c>
      <c r="M451">
        <v>8.5093146502500066</v>
      </c>
      <c r="N451">
        <v>4.8828125E-4</v>
      </c>
      <c r="O451">
        <f t="shared" si="6"/>
        <v>0.66796875</v>
      </c>
    </row>
    <row r="452" spans="1:15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10.715433263277761</v>
      </c>
      <c r="H452">
        <v>9.765625E-4</v>
      </c>
      <c r="I452">
        <v>-0.69964577426983221</v>
      </c>
      <c r="J452">
        <v>-6.8324782643538302E-4</v>
      </c>
      <c r="M452">
        <v>8.5831607834105093</v>
      </c>
      <c r="N452">
        <v>4.8828125E-4</v>
      </c>
      <c r="O452">
        <f t="shared" ref="O452:O515" si="7">N452+O451</f>
        <v>0.66845703125</v>
      </c>
    </row>
    <row r="453" spans="1:15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11.814452059511384</v>
      </c>
      <c r="H453">
        <v>1.953125E-3</v>
      </c>
      <c r="I453">
        <v>-0.67447877697821856</v>
      </c>
      <c r="J453">
        <v>-1.3173413612855831E-3</v>
      </c>
      <c r="M453">
        <v>8.5831607834105093</v>
      </c>
      <c r="N453">
        <v>9.765625E-4</v>
      </c>
      <c r="O453">
        <f t="shared" si="7"/>
        <v>0.66943359375</v>
      </c>
    </row>
    <row r="454" spans="1:15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12.638716156686591</v>
      </c>
      <c r="H454">
        <v>9.765625E-4</v>
      </c>
      <c r="I454">
        <v>-0.65619942247792284</v>
      </c>
      <c r="J454">
        <v>-6.4081974851359653E-4</v>
      </c>
      <c r="M454">
        <v>8.5831607834105093</v>
      </c>
      <c r="N454">
        <v>4.8828125E-4</v>
      </c>
      <c r="O454">
        <f t="shared" si="7"/>
        <v>0.669921875</v>
      </c>
    </row>
    <row r="455" spans="1:15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10.715433263277761</v>
      </c>
      <c r="H455">
        <v>1.953125E-3</v>
      </c>
      <c r="I455">
        <v>-0.69964577426983221</v>
      </c>
      <c r="J455">
        <v>-1.366495652870766E-3</v>
      </c>
      <c r="M455">
        <v>8.5831607834105093</v>
      </c>
      <c r="N455">
        <v>9.765625E-4</v>
      </c>
      <c r="O455">
        <f t="shared" si="7"/>
        <v>0.6708984375</v>
      </c>
    </row>
    <row r="456" spans="1:15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11.814452059511384</v>
      </c>
      <c r="H456">
        <v>3.90625E-3</v>
      </c>
      <c r="I456">
        <v>-0.67447877697821856</v>
      </c>
      <c r="J456">
        <v>-2.6346827225711663E-3</v>
      </c>
      <c r="M456">
        <v>8.5831607834105093</v>
      </c>
      <c r="N456">
        <v>1.953125E-3</v>
      </c>
      <c r="O456">
        <f t="shared" si="7"/>
        <v>0.6728515625</v>
      </c>
    </row>
    <row r="457" spans="1:15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12.638716156686591</v>
      </c>
      <c r="H457">
        <v>1.953125E-3</v>
      </c>
      <c r="I457">
        <v>-0.65619942247792284</v>
      </c>
      <c r="J457">
        <v>-1.2816394970271931E-3</v>
      </c>
      <c r="M457">
        <v>8.5831607834105093</v>
      </c>
      <c r="N457">
        <v>9.765625E-4</v>
      </c>
      <c r="O457">
        <f t="shared" si="7"/>
        <v>0.673828125</v>
      </c>
    </row>
    <row r="458" spans="1:15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10.715433263277761</v>
      </c>
      <c r="H458">
        <v>9.765625E-4</v>
      </c>
      <c r="I458">
        <v>-0.69964577426983221</v>
      </c>
      <c r="J458">
        <v>-6.8324782643538302E-4</v>
      </c>
      <c r="M458">
        <v>8.5831607834105093</v>
      </c>
      <c r="N458">
        <v>4.8828125E-4</v>
      </c>
      <c r="O458">
        <f t="shared" si="7"/>
        <v>0.67431640625</v>
      </c>
    </row>
    <row r="459" spans="1:15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11.814452059511384</v>
      </c>
      <c r="H459">
        <v>1.953125E-3</v>
      </c>
      <c r="I459">
        <v>-0.67447877697821856</v>
      </c>
      <c r="J459">
        <v>-1.3173413612855831E-3</v>
      </c>
      <c r="M459">
        <v>8.5831607834105093</v>
      </c>
      <c r="N459">
        <v>9.765625E-4</v>
      </c>
      <c r="O459">
        <f t="shared" si="7"/>
        <v>0.67529296875</v>
      </c>
    </row>
    <row r="460" spans="1:15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12.638716156686591</v>
      </c>
      <c r="H460">
        <v>9.765625E-4</v>
      </c>
      <c r="I460">
        <v>-0.65619942247792284</v>
      </c>
      <c r="J460">
        <v>-6.4081974851359653E-4</v>
      </c>
      <c r="M460">
        <v>8.5831607834105093</v>
      </c>
      <c r="N460">
        <v>4.8828125E-4</v>
      </c>
      <c r="O460">
        <f t="shared" si="7"/>
        <v>0.67578125</v>
      </c>
    </row>
    <row r="461" spans="1:15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12.05486242118749</v>
      </c>
      <c r="H461">
        <v>4.8828125E-4</v>
      </c>
      <c r="I461">
        <v>-0.6690953202108284</v>
      </c>
      <c r="J461">
        <v>-3.2670669932169356E-4</v>
      </c>
      <c r="M461">
        <v>8.631952351498418</v>
      </c>
      <c r="N461">
        <v>1.953125E-3</v>
      </c>
      <c r="O461">
        <f t="shared" si="7"/>
        <v>0.677734375</v>
      </c>
    </row>
    <row r="462" spans="1:15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13.291258566950303</v>
      </c>
      <c r="H462">
        <v>9.765625E-4</v>
      </c>
      <c r="I462">
        <v>-0.64208026982252531</v>
      </c>
      <c r="J462">
        <v>-6.2703151349855987E-4</v>
      </c>
      <c r="M462">
        <v>8.631952351498418</v>
      </c>
      <c r="N462">
        <v>3.90625E-3</v>
      </c>
      <c r="O462">
        <f t="shared" si="7"/>
        <v>0.681640625</v>
      </c>
    </row>
    <row r="463" spans="1:15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14.218555676272414</v>
      </c>
      <c r="H463">
        <v>4.8828125E-4</v>
      </c>
      <c r="I463">
        <v>-0.62253722335565553</v>
      </c>
      <c r="J463">
        <v>-3.0397325359162868E-4</v>
      </c>
      <c r="M463">
        <v>8.631952351498418</v>
      </c>
      <c r="N463">
        <v>1.953125E-3</v>
      </c>
      <c r="O463">
        <f t="shared" si="7"/>
        <v>0.68359375</v>
      </c>
    </row>
    <row r="464" spans="1:15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12.05486242118749</v>
      </c>
      <c r="H464">
        <v>9.765625E-4</v>
      </c>
      <c r="I464">
        <v>-0.6690953202108284</v>
      </c>
      <c r="J464">
        <v>-6.5341339864338711E-4</v>
      </c>
      <c r="M464">
        <v>8.631952351498418</v>
      </c>
      <c r="N464">
        <v>3.90625E-3</v>
      </c>
      <c r="O464">
        <f t="shared" si="7"/>
        <v>0.6875</v>
      </c>
    </row>
    <row r="465" spans="1:15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13.291258566950303</v>
      </c>
      <c r="H465">
        <v>1.953125E-3</v>
      </c>
      <c r="I465">
        <v>-0.64208026982252531</v>
      </c>
      <c r="J465">
        <v>-1.2540630269971197E-3</v>
      </c>
      <c r="M465">
        <v>8.631952351498418</v>
      </c>
      <c r="N465">
        <v>7.8125E-3</v>
      </c>
      <c r="O465">
        <f t="shared" si="7"/>
        <v>0.6953125</v>
      </c>
    </row>
    <row r="466" spans="1:15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14.218555676272414</v>
      </c>
      <c r="H466">
        <v>9.765625E-4</v>
      </c>
      <c r="I466">
        <v>-0.62253722335565553</v>
      </c>
      <c r="J466">
        <v>-6.0794650718325736E-4</v>
      </c>
      <c r="M466">
        <v>8.631952351498418</v>
      </c>
      <c r="N466">
        <v>3.90625E-3</v>
      </c>
      <c r="O466">
        <f t="shared" si="7"/>
        <v>0.69921875</v>
      </c>
    </row>
    <row r="467" spans="1:15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12.05486242118749</v>
      </c>
      <c r="H467">
        <v>4.8828125E-4</v>
      </c>
      <c r="I467">
        <v>-0.6690953202108284</v>
      </c>
      <c r="J467">
        <v>-3.2670669932169356E-4</v>
      </c>
      <c r="M467">
        <v>8.631952351498418</v>
      </c>
      <c r="N467">
        <v>1.953125E-3</v>
      </c>
      <c r="O467">
        <f t="shared" si="7"/>
        <v>0.701171875</v>
      </c>
    </row>
    <row r="468" spans="1:15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13.291258566950303</v>
      </c>
      <c r="H468">
        <v>9.765625E-4</v>
      </c>
      <c r="I468">
        <v>-0.64208026982252531</v>
      </c>
      <c r="J468">
        <v>-6.2703151349855987E-4</v>
      </c>
      <c r="M468">
        <v>8.631952351498418</v>
      </c>
      <c r="N468">
        <v>3.90625E-3</v>
      </c>
      <c r="O468">
        <f t="shared" si="7"/>
        <v>0.705078125</v>
      </c>
    </row>
    <row r="469" spans="1:15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14.218555676272414</v>
      </c>
      <c r="H469">
        <v>4.8828125E-4</v>
      </c>
      <c r="I469">
        <v>-0.62253722335565553</v>
      </c>
      <c r="J469">
        <v>-3.0397325359162868E-4</v>
      </c>
      <c r="M469">
        <v>8.631952351498418</v>
      </c>
      <c r="N469">
        <v>1.953125E-3</v>
      </c>
      <c r="O469">
        <f t="shared" si="7"/>
        <v>0.70703125</v>
      </c>
    </row>
    <row r="470" spans="1:15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12.05486242118749</v>
      </c>
      <c r="H470">
        <v>9.765625E-4</v>
      </c>
      <c r="I470">
        <v>-0.6690953202108284</v>
      </c>
      <c r="J470">
        <v>-6.5341339864338711E-4</v>
      </c>
      <c r="M470">
        <v>8.9214466988376042</v>
      </c>
      <c r="N470">
        <v>9.765625E-4</v>
      </c>
      <c r="O470">
        <f t="shared" si="7"/>
        <v>0.7080078125</v>
      </c>
    </row>
    <row r="471" spans="1:15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13.291258566950303</v>
      </c>
      <c r="H471">
        <v>1.953125E-3</v>
      </c>
      <c r="I471">
        <v>-0.64208026982252531</v>
      </c>
      <c r="J471">
        <v>-1.2540630269971197E-3</v>
      </c>
      <c r="M471">
        <v>8.9214466988376042</v>
      </c>
      <c r="N471">
        <v>1.953125E-3</v>
      </c>
      <c r="O471">
        <f t="shared" si="7"/>
        <v>0.7099609375</v>
      </c>
    </row>
    <row r="472" spans="1:15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14.218555676272414</v>
      </c>
      <c r="H472">
        <v>9.765625E-4</v>
      </c>
      <c r="I472">
        <v>-0.62253722335565553</v>
      </c>
      <c r="J472">
        <v>-6.0794650718325736E-4</v>
      </c>
      <c r="M472">
        <v>8.9214466988376042</v>
      </c>
      <c r="N472">
        <v>9.765625E-4</v>
      </c>
      <c r="O472">
        <f t="shared" si="7"/>
        <v>0.7109375</v>
      </c>
    </row>
    <row r="473" spans="1:15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12.05486242118749</v>
      </c>
      <c r="H473">
        <v>1.953125E-3</v>
      </c>
      <c r="I473">
        <v>-0.6690953202108284</v>
      </c>
      <c r="J473">
        <v>-1.3068267972867742E-3</v>
      </c>
      <c r="M473">
        <v>8.9214466988376042</v>
      </c>
      <c r="N473">
        <v>1.953125E-3</v>
      </c>
      <c r="O473">
        <f t="shared" si="7"/>
        <v>0.712890625</v>
      </c>
    </row>
    <row r="474" spans="1:15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13.291258566950303</v>
      </c>
      <c r="H474">
        <v>3.90625E-3</v>
      </c>
      <c r="I474">
        <v>-0.64208026982252531</v>
      </c>
      <c r="J474">
        <v>-2.5081260539942395E-3</v>
      </c>
      <c r="M474">
        <v>8.9214466988376042</v>
      </c>
      <c r="N474">
        <v>3.90625E-3</v>
      </c>
      <c r="O474">
        <f t="shared" si="7"/>
        <v>0.716796875</v>
      </c>
    </row>
    <row r="475" spans="1:15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14.218555676272414</v>
      </c>
      <c r="H475">
        <v>1.953125E-3</v>
      </c>
      <c r="I475">
        <v>-0.62253722335565553</v>
      </c>
      <c r="J475">
        <v>-1.2158930143665147E-3</v>
      </c>
      <c r="M475">
        <v>8.9214466988376042</v>
      </c>
      <c r="N475">
        <v>1.953125E-3</v>
      </c>
      <c r="O475">
        <f t="shared" si="7"/>
        <v>0.71875</v>
      </c>
    </row>
    <row r="476" spans="1:15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12.05486242118749</v>
      </c>
      <c r="H476">
        <v>9.765625E-4</v>
      </c>
      <c r="I476">
        <v>-0.6690953202108284</v>
      </c>
      <c r="J476">
        <v>-6.5341339864338711E-4</v>
      </c>
      <c r="M476">
        <v>8.9214466988376042</v>
      </c>
      <c r="N476">
        <v>9.765625E-4</v>
      </c>
      <c r="O476">
        <f t="shared" si="7"/>
        <v>0.7197265625</v>
      </c>
    </row>
    <row r="477" spans="1:15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13.291258566950303</v>
      </c>
      <c r="H477">
        <v>1.953125E-3</v>
      </c>
      <c r="I477">
        <v>-0.64208026982252531</v>
      </c>
      <c r="J477">
        <v>-1.2540630269971197E-3</v>
      </c>
      <c r="M477">
        <v>8.9214466988376042</v>
      </c>
      <c r="N477">
        <v>1.953125E-3</v>
      </c>
      <c r="O477">
        <f t="shared" si="7"/>
        <v>0.7216796875</v>
      </c>
    </row>
    <row r="478" spans="1:15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14.218555676272414</v>
      </c>
      <c r="H478">
        <v>9.765625E-4</v>
      </c>
      <c r="I478">
        <v>-0.62253722335565553</v>
      </c>
      <c r="J478">
        <v>-6.0794650718325736E-4</v>
      </c>
      <c r="M478">
        <v>8.9214466988376042</v>
      </c>
      <c r="N478">
        <v>9.765625E-4</v>
      </c>
      <c r="O478">
        <f t="shared" si="7"/>
        <v>0.72265625</v>
      </c>
    </row>
    <row r="479" spans="1:15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12.05486242118749</v>
      </c>
      <c r="H479">
        <v>4.8828125E-4</v>
      </c>
      <c r="I479">
        <v>-0.6690953202108284</v>
      </c>
      <c r="J479">
        <v>-3.2670669932169356E-4</v>
      </c>
      <c r="M479">
        <v>9.1819859543461195</v>
      </c>
      <c r="N479">
        <v>2.44140625E-4</v>
      </c>
      <c r="O479">
        <f t="shared" si="7"/>
        <v>0.722900390625</v>
      </c>
    </row>
    <row r="480" spans="1:15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13.291258566950303</v>
      </c>
      <c r="H480">
        <v>9.765625E-4</v>
      </c>
      <c r="I480">
        <v>-0.64208026982252531</v>
      </c>
      <c r="J480">
        <v>-6.2703151349855987E-4</v>
      </c>
      <c r="M480">
        <v>9.1819859543461195</v>
      </c>
      <c r="N480">
        <v>4.8828125E-4</v>
      </c>
      <c r="O480">
        <f t="shared" si="7"/>
        <v>0.723388671875</v>
      </c>
    </row>
    <row r="481" spans="1:15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14.218555676272414</v>
      </c>
      <c r="H481">
        <v>4.8828125E-4</v>
      </c>
      <c r="I481">
        <v>-0.62253722335565553</v>
      </c>
      <c r="J481">
        <v>-3.0397325359162868E-4</v>
      </c>
      <c r="M481">
        <v>9.1819859543461195</v>
      </c>
      <c r="N481">
        <v>2.44140625E-4</v>
      </c>
      <c r="O481">
        <f t="shared" si="7"/>
        <v>0.7236328125</v>
      </c>
    </row>
    <row r="482" spans="1:15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12.05486242118749</v>
      </c>
      <c r="H482">
        <v>9.765625E-4</v>
      </c>
      <c r="I482">
        <v>-0.6690953202108284</v>
      </c>
      <c r="J482">
        <v>-6.5341339864338711E-4</v>
      </c>
      <c r="M482">
        <v>9.1819859543461195</v>
      </c>
      <c r="N482">
        <v>4.8828125E-4</v>
      </c>
      <c r="O482">
        <f t="shared" si="7"/>
        <v>0.72412109375</v>
      </c>
    </row>
    <row r="483" spans="1:15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13.291258566950303</v>
      </c>
      <c r="H483">
        <v>1.953125E-3</v>
      </c>
      <c r="I483">
        <v>-0.64208026982252531</v>
      </c>
      <c r="J483">
        <v>-1.2540630269971197E-3</v>
      </c>
      <c r="M483">
        <v>9.1819859543461195</v>
      </c>
      <c r="N483">
        <v>9.765625E-4</v>
      </c>
      <c r="O483">
        <f t="shared" si="7"/>
        <v>0.72509765625</v>
      </c>
    </row>
    <row r="484" spans="1:15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14.218555676272414</v>
      </c>
      <c r="H484">
        <v>9.765625E-4</v>
      </c>
      <c r="I484">
        <v>-0.62253722335565553</v>
      </c>
      <c r="J484">
        <v>-6.0794650718325736E-4</v>
      </c>
      <c r="M484">
        <v>9.1819859543461195</v>
      </c>
      <c r="N484">
        <v>4.8828125E-4</v>
      </c>
      <c r="O484">
        <f t="shared" si="7"/>
        <v>0.7255859375</v>
      </c>
    </row>
    <row r="485" spans="1:15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12.05486242118749</v>
      </c>
      <c r="H485">
        <v>4.8828125E-4</v>
      </c>
      <c r="I485">
        <v>-0.6690953202108284</v>
      </c>
      <c r="J485">
        <v>-3.2670669932169356E-4</v>
      </c>
      <c r="M485">
        <v>9.1819859543461195</v>
      </c>
      <c r="N485">
        <v>2.44140625E-4</v>
      </c>
      <c r="O485">
        <f t="shared" si="7"/>
        <v>0.725830078125</v>
      </c>
    </row>
    <row r="486" spans="1:15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13.291258566950303</v>
      </c>
      <c r="H486">
        <v>9.765625E-4</v>
      </c>
      <c r="I486">
        <v>-0.64208026982252531</v>
      </c>
      <c r="J486">
        <v>-6.2703151349855987E-4</v>
      </c>
      <c r="M486">
        <v>9.1819859543461195</v>
      </c>
      <c r="N486">
        <v>4.8828125E-4</v>
      </c>
      <c r="O486">
        <f t="shared" si="7"/>
        <v>0.726318359375</v>
      </c>
    </row>
    <row r="487" spans="1:15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14.218555676272414</v>
      </c>
      <c r="H487">
        <v>4.8828125E-4</v>
      </c>
      <c r="I487">
        <v>-0.62253722335565553</v>
      </c>
      <c r="J487">
        <v>-3.0397325359162868E-4</v>
      </c>
      <c r="M487">
        <v>9.1819859543461195</v>
      </c>
      <c r="N487">
        <v>2.44140625E-4</v>
      </c>
      <c r="O487">
        <f t="shared" si="7"/>
        <v>0.7265625</v>
      </c>
    </row>
    <row r="488" spans="1:15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11.028363564730922</v>
      </c>
      <c r="H488">
        <v>2.44140625E-4</v>
      </c>
      <c r="I488">
        <v>-0.69238569298671415</v>
      </c>
      <c r="J488">
        <v>-1.6903947582683451E-4</v>
      </c>
      <c r="M488">
        <v>9.2341815853238813</v>
      </c>
      <c r="N488">
        <v>9.765625E-4</v>
      </c>
      <c r="O488">
        <f t="shared" si="7"/>
        <v>0.7275390625</v>
      </c>
    </row>
    <row r="489" spans="1:15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12.159477776498198</v>
      </c>
      <c r="H489">
        <v>4.8828125E-4</v>
      </c>
      <c r="I489">
        <v>-0.66676612890207509</v>
      </c>
      <c r="J489">
        <v>-3.2556939887796635E-4</v>
      </c>
      <c r="M489">
        <v>9.2341815853238813</v>
      </c>
      <c r="N489">
        <v>1.953125E-3</v>
      </c>
      <c r="O489">
        <f t="shared" si="7"/>
        <v>0.7294921875</v>
      </c>
    </row>
    <row r="490" spans="1:15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13.007813435323648</v>
      </c>
      <c r="H490">
        <v>2.44140625E-4</v>
      </c>
      <c r="I490">
        <v>-0.64817550310333516</v>
      </c>
      <c r="J490">
        <v>-1.5824597243733769E-4</v>
      </c>
      <c r="M490">
        <v>9.2341815853238813</v>
      </c>
      <c r="N490">
        <v>9.765625E-4</v>
      </c>
      <c r="O490">
        <f t="shared" si="7"/>
        <v>0.73046875</v>
      </c>
    </row>
    <row r="491" spans="1:15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11.028363564730922</v>
      </c>
      <c r="H491">
        <v>4.8828125E-4</v>
      </c>
      <c r="I491">
        <v>-0.69238569298671415</v>
      </c>
      <c r="J491">
        <v>-3.3807895165366902E-4</v>
      </c>
      <c r="M491">
        <v>9.2341815853238813</v>
      </c>
      <c r="N491">
        <v>1.953125E-3</v>
      </c>
      <c r="O491">
        <f t="shared" si="7"/>
        <v>0.732421875</v>
      </c>
    </row>
    <row r="492" spans="1:15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12.159477776498198</v>
      </c>
      <c r="H492">
        <v>9.765625E-4</v>
      </c>
      <c r="I492">
        <v>-0.66676612890207509</v>
      </c>
      <c r="J492">
        <v>-6.5113879775593271E-4</v>
      </c>
      <c r="M492">
        <v>9.2341815853238813</v>
      </c>
      <c r="N492">
        <v>3.90625E-3</v>
      </c>
      <c r="O492">
        <f t="shared" si="7"/>
        <v>0.736328125</v>
      </c>
    </row>
    <row r="493" spans="1:15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13.007813435323648</v>
      </c>
      <c r="H493">
        <v>4.8828125E-4</v>
      </c>
      <c r="I493">
        <v>-0.64817550310333516</v>
      </c>
      <c r="J493">
        <v>-3.1649194487467537E-4</v>
      </c>
      <c r="M493">
        <v>9.2341815853238813</v>
      </c>
      <c r="N493">
        <v>1.953125E-3</v>
      </c>
      <c r="O493">
        <f t="shared" si="7"/>
        <v>0.73828125</v>
      </c>
    </row>
    <row r="494" spans="1:15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11.028363564730922</v>
      </c>
      <c r="H494">
        <v>2.44140625E-4</v>
      </c>
      <c r="I494">
        <v>-0.69238569298671415</v>
      </c>
      <c r="J494">
        <v>-1.6903947582683451E-4</v>
      </c>
      <c r="M494">
        <v>9.2341815853238813</v>
      </c>
      <c r="N494">
        <v>9.765625E-4</v>
      </c>
      <c r="O494">
        <f t="shared" si="7"/>
        <v>0.7392578125</v>
      </c>
    </row>
    <row r="495" spans="1:15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12.159477776498198</v>
      </c>
      <c r="H495">
        <v>4.8828125E-4</v>
      </c>
      <c r="I495">
        <v>-0.66676612890207509</v>
      </c>
      <c r="J495">
        <v>-3.2556939887796635E-4</v>
      </c>
      <c r="M495">
        <v>9.2341815853238813</v>
      </c>
      <c r="N495">
        <v>1.953125E-3</v>
      </c>
      <c r="O495">
        <f t="shared" si="7"/>
        <v>0.7412109375</v>
      </c>
    </row>
    <row r="496" spans="1:15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13.007813435323648</v>
      </c>
      <c r="H496">
        <v>2.44140625E-4</v>
      </c>
      <c r="I496">
        <v>-0.64817550310333516</v>
      </c>
      <c r="J496">
        <v>-1.5824597243733769E-4</v>
      </c>
      <c r="M496">
        <v>9.2341815853238813</v>
      </c>
      <c r="N496">
        <v>9.765625E-4</v>
      </c>
      <c r="O496">
        <f t="shared" si="7"/>
        <v>0.7421875</v>
      </c>
    </row>
    <row r="497" spans="1:15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11.028363564730922</v>
      </c>
      <c r="H497">
        <v>4.8828125E-4</v>
      </c>
      <c r="I497">
        <v>-0.69238569298671415</v>
      </c>
      <c r="J497">
        <v>-3.3807895165366902E-4</v>
      </c>
      <c r="M497">
        <v>9.3820648707884615</v>
      </c>
      <c r="N497">
        <v>9.765625E-4</v>
      </c>
      <c r="O497">
        <f t="shared" si="7"/>
        <v>0.7431640625</v>
      </c>
    </row>
    <row r="498" spans="1:15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12.159477776498198</v>
      </c>
      <c r="H498">
        <v>9.765625E-4</v>
      </c>
      <c r="I498">
        <v>-0.66676612890207509</v>
      </c>
      <c r="J498">
        <v>-6.5113879775593271E-4</v>
      </c>
      <c r="M498">
        <v>9.3820648707884615</v>
      </c>
      <c r="N498">
        <v>1.953125E-3</v>
      </c>
      <c r="O498">
        <f t="shared" si="7"/>
        <v>0.7451171875</v>
      </c>
    </row>
    <row r="499" spans="1:15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13.007813435323648</v>
      </c>
      <c r="H499">
        <v>4.8828125E-4</v>
      </c>
      <c r="I499">
        <v>-0.64817550310333516</v>
      </c>
      <c r="J499">
        <v>-3.1649194487467537E-4</v>
      </c>
      <c r="M499">
        <v>9.3820648707884615</v>
      </c>
      <c r="N499">
        <v>9.765625E-4</v>
      </c>
      <c r="O499">
        <f t="shared" si="7"/>
        <v>0.74609375</v>
      </c>
    </row>
    <row r="500" spans="1:15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11.028363564730922</v>
      </c>
      <c r="H500">
        <v>9.765625E-4</v>
      </c>
      <c r="I500">
        <v>-0.69238569298671415</v>
      </c>
      <c r="J500">
        <v>-6.7615790330733804E-4</v>
      </c>
      <c r="M500">
        <v>9.3820648707884615</v>
      </c>
      <c r="N500">
        <v>1.953125E-3</v>
      </c>
      <c r="O500">
        <f t="shared" si="7"/>
        <v>0.748046875</v>
      </c>
    </row>
    <row r="501" spans="1:15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12.159477776498198</v>
      </c>
      <c r="H501">
        <v>1.953125E-3</v>
      </c>
      <c r="I501">
        <v>-0.66676612890207509</v>
      </c>
      <c r="J501">
        <v>-1.3022775955118654E-3</v>
      </c>
      <c r="M501">
        <v>9.3820648707884615</v>
      </c>
      <c r="N501">
        <v>3.90625E-3</v>
      </c>
      <c r="O501">
        <f t="shared" si="7"/>
        <v>0.751953125</v>
      </c>
    </row>
    <row r="502" spans="1:15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13.007813435323648</v>
      </c>
      <c r="H502">
        <v>9.765625E-4</v>
      </c>
      <c r="I502">
        <v>-0.64817550310333516</v>
      </c>
      <c r="J502">
        <v>-6.3298388974935074E-4</v>
      </c>
      <c r="M502">
        <v>9.3820648707884615</v>
      </c>
      <c r="N502">
        <v>1.953125E-3</v>
      </c>
      <c r="O502">
        <f t="shared" si="7"/>
        <v>0.75390625</v>
      </c>
    </row>
    <row r="503" spans="1:15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11.028363564730922</v>
      </c>
      <c r="H503">
        <v>4.8828125E-4</v>
      </c>
      <c r="I503">
        <v>-0.69238569298671415</v>
      </c>
      <c r="J503">
        <v>-3.3807895165366902E-4</v>
      </c>
      <c r="M503">
        <v>9.3820648707884615</v>
      </c>
      <c r="N503">
        <v>9.765625E-4</v>
      </c>
      <c r="O503">
        <f t="shared" si="7"/>
        <v>0.7548828125</v>
      </c>
    </row>
    <row r="504" spans="1:15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12.159477776498198</v>
      </c>
      <c r="H504">
        <v>9.765625E-4</v>
      </c>
      <c r="I504">
        <v>-0.66676612890207509</v>
      </c>
      <c r="J504">
        <v>-6.5113879775593271E-4</v>
      </c>
      <c r="M504">
        <v>9.3820648707884615</v>
      </c>
      <c r="N504">
        <v>1.953125E-3</v>
      </c>
      <c r="O504">
        <f t="shared" si="7"/>
        <v>0.7568359375</v>
      </c>
    </row>
    <row r="505" spans="1:15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13.007813435323648</v>
      </c>
      <c r="H505">
        <v>4.8828125E-4</v>
      </c>
      <c r="I505">
        <v>-0.64817550310333516</v>
      </c>
      <c r="J505">
        <v>-3.1649194487467537E-4</v>
      </c>
      <c r="M505">
        <v>9.3820648707884615</v>
      </c>
      <c r="N505">
        <v>9.765625E-4</v>
      </c>
      <c r="O505">
        <f t="shared" si="7"/>
        <v>0.7578125</v>
      </c>
    </row>
    <row r="506" spans="1:15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11.028363564730922</v>
      </c>
      <c r="H506">
        <v>2.44140625E-4</v>
      </c>
      <c r="I506">
        <v>-0.69238569298671415</v>
      </c>
      <c r="J506">
        <v>-1.6903947582683451E-4</v>
      </c>
      <c r="M506">
        <v>9.5812027349698674</v>
      </c>
      <c r="N506">
        <v>4.8828125E-4</v>
      </c>
      <c r="O506">
        <f t="shared" si="7"/>
        <v>0.75830078125</v>
      </c>
    </row>
    <row r="507" spans="1:15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12.159477776498198</v>
      </c>
      <c r="H507">
        <v>4.8828125E-4</v>
      </c>
      <c r="I507">
        <v>-0.66676612890207509</v>
      </c>
      <c r="J507">
        <v>-3.2556939887796635E-4</v>
      </c>
      <c r="M507">
        <v>9.5812027349698674</v>
      </c>
      <c r="N507">
        <v>9.765625E-4</v>
      </c>
      <c r="O507">
        <f t="shared" si="7"/>
        <v>0.75927734375</v>
      </c>
    </row>
    <row r="508" spans="1:15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13.007813435323648</v>
      </c>
      <c r="H508">
        <v>2.44140625E-4</v>
      </c>
      <c r="I508">
        <v>-0.64817550310333516</v>
      </c>
      <c r="J508">
        <v>-1.5824597243733769E-4</v>
      </c>
      <c r="M508">
        <v>9.5812027349698674</v>
      </c>
      <c r="N508">
        <v>4.8828125E-4</v>
      </c>
      <c r="O508">
        <f t="shared" si="7"/>
        <v>0.759765625</v>
      </c>
    </row>
    <row r="509" spans="1:15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11.028363564730922</v>
      </c>
      <c r="H509">
        <v>4.8828125E-4</v>
      </c>
      <c r="I509">
        <v>-0.69238569298671415</v>
      </c>
      <c r="J509">
        <v>-3.3807895165366902E-4</v>
      </c>
      <c r="M509">
        <v>9.5812027349698674</v>
      </c>
      <c r="N509">
        <v>9.765625E-4</v>
      </c>
      <c r="O509">
        <f t="shared" si="7"/>
        <v>0.7607421875</v>
      </c>
    </row>
    <row r="510" spans="1:15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12.159477776498198</v>
      </c>
      <c r="H510">
        <v>9.765625E-4</v>
      </c>
      <c r="I510">
        <v>-0.66676612890207509</v>
      </c>
      <c r="J510">
        <v>-6.5113879775593271E-4</v>
      </c>
      <c r="M510">
        <v>9.5812027349698674</v>
      </c>
      <c r="N510">
        <v>1.953125E-3</v>
      </c>
      <c r="O510">
        <f t="shared" si="7"/>
        <v>0.7626953125</v>
      </c>
    </row>
    <row r="511" spans="1:15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13.007813435323648</v>
      </c>
      <c r="H511">
        <v>4.8828125E-4</v>
      </c>
      <c r="I511">
        <v>-0.64817550310333516</v>
      </c>
      <c r="J511">
        <v>-3.1649194487467537E-4</v>
      </c>
      <c r="M511">
        <v>9.5812027349698674</v>
      </c>
      <c r="N511">
        <v>9.765625E-4</v>
      </c>
      <c r="O511">
        <f t="shared" si="7"/>
        <v>0.763671875</v>
      </c>
    </row>
    <row r="512" spans="1:15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11.028363564730922</v>
      </c>
      <c r="H512">
        <v>2.44140625E-4</v>
      </c>
      <c r="I512">
        <v>-0.69238569298671415</v>
      </c>
      <c r="J512">
        <v>-1.6903947582683451E-4</v>
      </c>
      <c r="M512">
        <v>9.5812027349698674</v>
      </c>
      <c r="N512">
        <v>4.8828125E-4</v>
      </c>
      <c r="O512">
        <f t="shared" si="7"/>
        <v>0.76416015625</v>
      </c>
    </row>
    <row r="513" spans="1:15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12.159477776498198</v>
      </c>
      <c r="H513">
        <v>4.8828125E-4</v>
      </c>
      <c r="I513">
        <v>-0.66676612890207509</v>
      </c>
      <c r="J513">
        <v>-3.2556939887796635E-4</v>
      </c>
      <c r="M513">
        <v>9.5812027349698674</v>
      </c>
      <c r="N513">
        <v>9.765625E-4</v>
      </c>
      <c r="O513">
        <f t="shared" si="7"/>
        <v>0.76513671875</v>
      </c>
    </row>
    <row r="514" spans="1:15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13.007813435323648</v>
      </c>
      <c r="H514">
        <v>2.44140625E-4</v>
      </c>
      <c r="I514">
        <v>-0.64817550310333516</v>
      </c>
      <c r="J514">
        <v>-1.5824597243733769E-4</v>
      </c>
      <c r="M514">
        <v>9.5812027349698674</v>
      </c>
      <c r="N514">
        <v>4.8828125E-4</v>
      </c>
      <c r="O514">
        <f t="shared" si="7"/>
        <v>0.765625</v>
      </c>
    </row>
    <row r="515" spans="1:15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13.573370541207288</v>
      </c>
      <c r="H515">
        <v>4.8828125E-4</v>
      </c>
      <c r="I515">
        <v>-0.63607061959513422</v>
      </c>
      <c r="J515">
        <v>-3.1058135722418663E-4</v>
      </c>
      <c r="M515">
        <v>10.036627536192313</v>
      </c>
      <c r="N515">
        <v>4.8828125E-4</v>
      </c>
      <c r="O515">
        <f t="shared" si="7"/>
        <v>0.76611328125</v>
      </c>
    </row>
    <row r="516" spans="1:15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14.965511109536251</v>
      </c>
      <c r="H516">
        <v>9.765625E-4</v>
      </c>
      <c r="I516">
        <v>-0.60722834632593625</v>
      </c>
      <c r="J516">
        <v>-5.9299643195892212E-4</v>
      </c>
      <c r="M516">
        <v>10.036627536192313</v>
      </c>
      <c r="N516">
        <v>9.765625E-4</v>
      </c>
      <c r="O516">
        <f t="shared" ref="O516:O579" si="8">N516+O515</f>
        <v>0.76708984375</v>
      </c>
    </row>
    <row r="517" spans="1:15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16.009616535782964</v>
      </c>
      <c r="H517">
        <v>4.8828125E-4</v>
      </c>
      <c r="I517">
        <v>-0.58645819950126543</v>
      </c>
      <c r="J517">
        <v>-2.8635654272522726E-4</v>
      </c>
      <c r="M517">
        <v>10.036627536192313</v>
      </c>
      <c r="N517">
        <v>4.8828125E-4</v>
      </c>
      <c r="O517">
        <f t="shared" si="8"/>
        <v>0.767578125</v>
      </c>
    </row>
    <row r="518" spans="1:15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13.573370541207288</v>
      </c>
      <c r="H518">
        <v>9.765625E-4</v>
      </c>
      <c r="I518">
        <v>-0.63607061959513422</v>
      </c>
      <c r="J518">
        <v>-6.2116271444837327E-4</v>
      </c>
      <c r="M518">
        <v>10.036627536192313</v>
      </c>
      <c r="N518">
        <v>9.765625E-4</v>
      </c>
      <c r="O518">
        <f t="shared" si="8"/>
        <v>0.7685546875</v>
      </c>
    </row>
    <row r="519" spans="1:15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14.965511109536251</v>
      </c>
      <c r="H519">
        <v>1.953125E-3</v>
      </c>
      <c r="I519">
        <v>-0.60722834632593625</v>
      </c>
      <c r="J519">
        <v>-1.1859928639178442E-3</v>
      </c>
      <c r="M519">
        <v>10.036627536192313</v>
      </c>
      <c r="N519">
        <v>1.953125E-3</v>
      </c>
      <c r="O519">
        <f t="shared" si="8"/>
        <v>0.7705078125</v>
      </c>
    </row>
    <row r="520" spans="1:15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16.009616535782964</v>
      </c>
      <c r="H520">
        <v>9.765625E-4</v>
      </c>
      <c r="I520">
        <v>-0.58645819950126543</v>
      </c>
      <c r="J520">
        <v>-5.7271308545045452E-4</v>
      </c>
      <c r="M520">
        <v>10.036627536192313</v>
      </c>
      <c r="N520">
        <v>9.765625E-4</v>
      </c>
      <c r="O520">
        <f t="shared" si="8"/>
        <v>0.771484375</v>
      </c>
    </row>
    <row r="521" spans="1:15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13.573370541207288</v>
      </c>
      <c r="H521">
        <v>4.8828125E-4</v>
      </c>
      <c r="I521">
        <v>-0.63607061959513422</v>
      </c>
      <c r="J521">
        <v>-3.1058135722418663E-4</v>
      </c>
      <c r="M521">
        <v>10.036627536192313</v>
      </c>
      <c r="N521">
        <v>4.8828125E-4</v>
      </c>
      <c r="O521">
        <f t="shared" si="8"/>
        <v>0.77197265625</v>
      </c>
    </row>
    <row r="522" spans="1:15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14.965511109536251</v>
      </c>
      <c r="H522">
        <v>9.765625E-4</v>
      </c>
      <c r="I522">
        <v>-0.60722834632593625</v>
      </c>
      <c r="J522">
        <v>-5.9299643195892212E-4</v>
      </c>
      <c r="M522">
        <v>10.036627536192313</v>
      </c>
      <c r="N522">
        <v>9.765625E-4</v>
      </c>
      <c r="O522">
        <f t="shared" si="8"/>
        <v>0.77294921875</v>
      </c>
    </row>
    <row r="523" spans="1:15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16.009616535782964</v>
      </c>
      <c r="H523">
        <v>4.8828125E-4</v>
      </c>
      <c r="I523">
        <v>-0.58645819950126543</v>
      </c>
      <c r="J523">
        <v>-2.8635654272522726E-4</v>
      </c>
      <c r="M523">
        <v>10.036627536192313</v>
      </c>
      <c r="N523">
        <v>4.8828125E-4</v>
      </c>
      <c r="O523">
        <f t="shared" si="8"/>
        <v>0.7734375</v>
      </c>
    </row>
    <row r="524" spans="1:15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13.573370541207288</v>
      </c>
      <c r="H524">
        <v>9.765625E-4</v>
      </c>
      <c r="I524">
        <v>-0.63607061959513422</v>
      </c>
      <c r="J524">
        <v>-6.2116271444837327E-4</v>
      </c>
      <c r="M524">
        <v>10.563890194966778</v>
      </c>
      <c r="N524">
        <v>9.765625E-4</v>
      </c>
      <c r="O524">
        <f t="shared" si="8"/>
        <v>0.7744140625</v>
      </c>
    </row>
    <row r="525" spans="1:15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14.965511109536251</v>
      </c>
      <c r="H525">
        <v>1.953125E-3</v>
      </c>
      <c r="I525">
        <v>-0.60722834632593625</v>
      </c>
      <c r="J525">
        <v>-1.1859928639178442E-3</v>
      </c>
      <c r="M525">
        <v>10.563890194966778</v>
      </c>
      <c r="N525">
        <v>1.953125E-3</v>
      </c>
      <c r="O525">
        <f t="shared" si="8"/>
        <v>0.7763671875</v>
      </c>
    </row>
    <row r="526" spans="1:15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16.009616535782964</v>
      </c>
      <c r="H526">
        <v>9.765625E-4</v>
      </c>
      <c r="I526">
        <v>-0.58645819950126543</v>
      </c>
      <c r="J526">
        <v>-5.7271308545045452E-4</v>
      </c>
      <c r="M526">
        <v>10.563890194966778</v>
      </c>
      <c r="N526">
        <v>9.765625E-4</v>
      </c>
      <c r="O526">
        <f t="shared" si="8"/>
        <v>0.77734375</v>
      </c>
    </row>
    <row r="527" spans="1:15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13.573370541207288</v>
      </c>
      <c r="H527">
        <v>1.953125E-3</v>
      </c>
      <c r="I527">
        <v>-0.63607061959513422</v>
      </c>
      <c r="J527">
        <v>-1.2423254288967465E-3</v>
      </c>
      <c r="M527">
        <v>10.563890194966778</v>
      </c>
      <c r="N527">
        <v>1.953125E-3</v>
      </c>
      <c r="O527">
        <f t="shared" si="8"/>
        <v>0.779296875</v>
      </c>
    </row>
    <row r="528" spans="1:15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14.965511109536251</v>
      </c>
      <c r="H528">
        <v>3.90625E-3</v>
      </c>
      <c r="I528">
        <v>-0.60722834632593625</v>
      </c>
      <c r="J528">
        <v>-2.3719857278356885E-3</v>
      </c>
      <c r="M528">
        <v>10.563890194966778</v>
      </c>
      <c r="N528">
        <v>3.90625E-3</v>
      </c>
      <c r="O528">
        <f t="shared" si="8"/>
        <v>0.783203125</v>
      </c>
    </row>
    <row r="529" spans="1:15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16.009616535782964</v>
      </c>
      <c r="H529">
        <v>1.953125E-3</v>
      </c>
      <c r="I529">
        <v>-0.58645819950126543</v>
      </c>
      <c r="J529">
        <v>-1.145426170900909E-3</v>
      </c>
      <c r="M529">
        <v>10.563890194966778</v>
      </c>
      <c r="N529">
        <v>1.953125E-3</v>
      </c>
      <c r="O529">
        <f t="shared" si="8"/>
        <v>0.78515625</v>
      </c>
    </row>
    <row r="530" spans="1:15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13.573370541207288</v>
      </c>
      <c r="H530">
        <v>9.765625E-4</v>
      </c>
      <c r="I530">
        <v>-0.63607061959513422</v>
      </c>
      <c r="J530">
        <v>-6.2116271444837327E-4</v>
      </c>
      <c r="M530">
        <v>10.563890194966778</v>
      </c>
      <c r="N530">
        <v>9.765625E-4</v>
      </c>
      <c r="O530">
        <f t="shared" si="8"/>
        <v>0.7861328125</v>
      </c>
    </row>
    <row r="531" spans="1:15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14.965511109536251</v>
      </c>
      <c r="H531">
        <v>1.953125E-3</v>
      </c>
      <c r="I531">
        <v>-0.60722834632593625</v>
      </c>
      <c r="J531">
        <v>-1.1859928639178442E-3</v>
      </c>
      <c r="M531">
        <v>10.563890194966778</v>
      </c>
      <c r="N531">
        <v>1.953125E-3</v>
      </c>
      <c r="O531">
        <f t="shared" si="8"/>
        <v>0.7880859375</v>
      </c>
    </row>
    <row r="532" spans="1:15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16.009616535782964</v>
      </c>
      <c r="H532">
        <v>9.765625E-4</v>
      </c>
      <c r="I532">
        <v>-0.58645819950126543</v>
      </c>
      <c r="J532">
        <v>-5.7271308545045452E-4</v>
      </c>
      <c r="M532">
        <v>10.563890194966778</v>
      </c>
      <c r="N532">
        <v>9.765625E-4</v>
      </c>
      <c r="O532">
        <f t="shared" si="8"/>
        <v>0.7890625</v>
      </c>
    </row>
    <row r="533" spans="1:15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13.573370541207288</v>
      </c>
      <c r="H533">
        <v>4.8828125E-4</v>
      </c>
      <c r="I533">
        <v>-0.63607061959513422</v>
      </c>
      <c r="J533">
        <v>-3.1058135722418663E-4</v>
      </c>
      <c r="M533">
        <v>10.778853076841109</v>
      </c>
      <c r="N533">
        <v>2.44140625E-4</v>
      </c>
      <c r="O533">
        <f t="shared" si="8"/>
        <v>0.789306640625</v>
      </c>
    </row>
    <row r="534" spans="1:15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14.965511109536251</v>
      </c>
      <c r="H534">
        <v>9.765625E-4</v>
      </c>
      <c r="I534">
        <v>-0.60722834632593625</v>
      </c>
      <c r="J534">
        <v>-5.9299643195892212E-4</v>
      </c>
      <c r="M534">
        <v>10.778853076841109</v>
      </c>
      <c r="N534">
        <v>4.8828125E-4</v>
      </c>
      <c r="O534">
        <f t="shared" si="8"/>
        <v>0.789794921875</v>
      </c>
    </row>
    <row r="535" spans="1:15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16.009616535782964</v>
      </c>
      <c r="H535">
        <v>4.8828125E-4</v>
      </c>
      <c r="I535">
        <v>-0.58645819950126543</v>
      </c>
      <c r="J535">
        <v>-2.8635654272522726E-4</v>
      </c>
      <c r="M535">
        <v>10.778853076841109</v>
      </c>
      <c r="N535">
        <v>2.44140625E-4</v>
      </c>
      <c r="O535">
        <f t="shared" si="8"/>
        <v>0.7900390625</v>
      </c>
    </row>
    <row r="536" spans="1:15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13.573370541207288</v>
      </c>
      <c r="H536">
        <v>9.765625E-4</v>
      </c>
      <c r="I536">
        <v>-0.63607061959513422</v>
      </c>
      <c r="J536">
        <v>-6.2116271444837327E-4</v>
      </c>
      <c r="M536">
        <v>10.778853076841109</v>
      </c>
      <c r="N536">
        <v>4.8828125E-4</v>
      </c>
      <c r="O536">
        <f t="shared" si="8"/>
        <v>0.79052734375</v>
      </c>
    </row>
    <row r="537" spans="1:15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14.965511109536251</v>
      </c>
      <c r="H537">
        <v>1.953125E-3</v>
      </c>
      <c r="I537">
        <v>-0.60722834632593625</v>
      </c>
      <c r="J537">
        <v>-1.1859928639178442E-3</v>
      </c>
      <c r="M537">
        <v>10.778853076841109</v>
      </c>
      <c r="N537">
        <v>9.765625E-4</v>
      </c>
      <c r="O537">
        <f t="shared" si="8"/>
        <v>0.79150390625</v>
      </c>
    </row>
    <row r="538" spans="1:15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16.009616535782964</v>
      </c>
      <c r="H538">
        <v>9.765625E-4</v>
      </c>
      <c r="I538">
        <v>-0.58645819950126543</v>
      </c>
      <c r="J538">
        <v>-5.7271308545045452E-4</v>
      </c>
      <c r="M538">
        <v>10.778853076841109</v>
      </c>
      <c r="N538">
        <v>4.8828125E-4</v>
      </c>
      <c r="O538">
        <f t="shared" si="8"/>
        <v>0.7919921875</v>
      </c>
    </row>
    <row r="539" spans="1:15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13.573370541207288</v>
      </c>
      <c r="H539">
        <v>4.8828125E-4</v>
      </c>
      <c r="I539">
        <v>-0.63607061959513422</v>
      </c>
      <c r="J539">
        <v>-3.1058135722418663E-4</v>
      </c>
      <c r="M539">
        <v>10.778853076841109</v>
      </c>
      <c r="N539">
        <v>2.44140625E-4</v>
      </c>
      <c r="O539">
        <f t="shared" si="8"/>
        <v>0.792236328125</v>
      </c>
    </row>
    <row r="540" spans="1:15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14.965511109536251</v>
      </c>
      <c r="H540">
        <v>9.765625E-4</v>
      </c>
      <c r="I540">
        <v>-0.60722834632593625</v>
      </c>
      <c r="J540">
        <v>-5.9299643195892212E-4</v>
      </c>
      <c r="M540">
        <v>10.778853076841109</v>
      </c>
      <c r="N540">
        <v>4.8828125E-4</v>
      </c>
      <c r="O540">
        <f t="shared" si="8"/>
        <v>0.792724609375</v>
      </c>
    </row>
    <row r="541" spans="1:15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16.009616535782964</v>
      </c>
      <c r="H541">
        <v>4.8828125E-4</v>
      </c>
      <c r="I541">
        <v>-0.58645819950126543</v>
      </c>
      <c r="J541">
        <v>-2.8635654272522726E-4</v>
      </c>
      <c r="M541">
        <v>10.778853076841109</v>
      </c>
      <c r="N541">
        <v>2.44140625E-4</v>
      </c>
      <c r="O541">
        <f t="shared" si="8"/>
        <v>0.79296875</v>
      </c>
    </row>
    <row r="542" spans="1:15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15.270041858858203</v>
      </c>
      <c r="H542">
        <v>2.44140625E-4</v>
      </c>
      <c r="I542">
        <v>-0.60109553603262977</v>
      </c>
      <c r="J542">
        <v>-1.4675183985171625E-4</v>
      </c>
      <c r="M542">
        <v>11.300905789964462</v>
      </c>
      <c r="N542">
        <v>4.8828125E-4</v>
      </c>
      <c r="O542">
        <f t="shared" si="8"/>
        <v>0.79345703125</v>
      </c>
    </row>
    <row r="543" spans="1:15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16.83619999822827</v>
      </c>
      <c r="H543">
        <v>4.8828125E-4</v>
      </c>
      <c r="I543">
        <v>-0.57052022063114149</v>
      </c>
      <c r="J543">
        <v>-2.7857432648004956E-4</v>
      </c>
      <c r="M543">
        <v>11.300905789964462</v>
      </c>
      <c r="N543">
        <v>9.765625E-4</v>
      </c>
      <c r="O543">
        <f t="shared" si="8"/>
        <v>0.79443359375</v>
      </c>
    </row>
    <row r="544" spans="1:15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18.010818602755826</v>
      </c>
      <c r="H544">
        <v>2.44140625E-4</v>
      </c>
      <c r="I544">
        <v>-0.54861375927272704</v>
      </c>
      <c r="J544">
        <v>-1.3393890607244313E-4</v>
      </c>
      <c r="M544">
        <v>11.300905789964462</v>
      </c>
      <c r="N544">
        <v>4.8828125E-4</v>
      </c>
      <c r="O544">
        <f t="shared" si="8"/>
        <v>0.794921875</v>
      </c>
    </row>
    <row r="545" spans="1:15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15.270041858858203</v>
      </c>
      <c r="H545">
        <v>4.8828125E-4</v>
      </c>
      <c r="I545">
        <v>-0.60109553603262977</v>
      </c>
      <c r="J545">
        <v>-2.9350367970343251E-4</v>
      </c>
      <c r="M545">
        <v>11.300905789964462</v>
      </c>
      <c r="N545">
        <v>9.765625E-4</v>
      </c>
      <c r="O545">
        <f t="shared" si="8"/>
        <v>0.7958984375</v>
      </c>
    </row>
    <row r="546" spans="1:15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16.83619999822827</v>
      </c>
      <c r="H546">
        <v>9.765625E-4</v>
      </c>
      <c r="I546">
        <v>-0.57052022063114149</v>
      </c>
      <c r="J546">
        <v>-5.5714865296009912E-4</v>
      </c>
      <c r="M546">
        <v>11.300905789964462</v>
      </c>
      <c r="N546">
        <v>1.953125E-3</v>
      </c>
      <c r="O546">
        <f t="shared" si="8"/>
        <v>0.7978515625</v>
      </c>
    </row>
    <row r="547" spans="1:15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18.010818602755826</v>
      </c>
      <c r="H547">
        <v>4.8828125E-4</v>
      </c>
      <c r="I547">
        <v>-0.54861375927272704</v>
      </c>
      <c r="J547">
        <v>-2.6787781214488625E-4</v>
      </c>
      <c r="M547">
        <v>11.300905789964462</v>
      </c>
      <c r="N547">
        <v>9.765625E-4</v>
      </c>
      <c r="O547">
        <f t="shared" si="8"/>
        <v>0.798828125</v>
      </c>
    </row>
    <row r="548" spans="1:15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15.270041858858203</v>
      </c>
      <c r="H548">
        <v>2.44140625E-4</v>
      </c>
      <c r="I548">
        <v>-0.60109553603262977</v>
      </c>
      <c r="J548">
        <v>-1.4675183985171625E-4</v>
      </c>
      <c r="M548">
        <v>11.300905789964462</v>
      </c>
      <c r="N548">
        <v>4.8828125E-4</v>
      </c>
      <c r="O548">
        <f t="shared" si="8"/>
        <v>0.79931640625</v>
      </c>
    </row>
    <row r="549" spans="1:15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16.83619999822827</v>
      </c>
      <c r="H549">
        <v>4.8828125E-4</v>
      </c>
      <c r="I549">
        <v>-0.57052022063114149</v>
      </c>
      <c r="J549">
        <v>-2.7857432648004956E-4</v>
      </c>
      <c r="M549">
        <v>11.300905789964462</v>
      </c>
      <c r="N549">
        <v>9.765625E-4</v>
      </c>
      <c r="O549">
        <f t="shared" si="8"/>
        <v>0.80029296875</v>
      </c>
    </row>
    <row r="550" spans="1:15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18.010818602755826</v>
      </c>
      <c r="H550">
        <v>2.44140625E-4</v>
      </c>
      <c r="I550">
        <v>-0.54861375927272704</v>
      </c>
      <c r="J550">
        <v>-1.3393890607244313E-4</v>
      </c>
      <c r="M550">
        <v>11.300905789964462</v>
      </c>
      <c r="N550">
        <v>4.8828125E-4</v>
      </c>
      <c r="O550">
        <f t="shared" si="8"/>
        <v>0.80078125</v>
      </c>
    </row>
    <row r="551" spans="1:15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15.270041858858203</v>
      </c>
      <c r="H551">
        <v>4.8828125E-4</v>
      </c>
      <c r="I551">
        <v>-0.60109553603262977</v>
      </c>
      <c r="J551">
        <v>-2.9350367970343251E-4</v>
      </c>
      <c r="M551">
        <v>11.884376469337615</v>
      </c>
      <c r="N551">
        <v>4.8828125E-4</v>
      </c>
      <c r="O551">
        <f t="shared" si="8"/>
        <v>0.80126953125</v>
      </c>
    </row>
    <row r="552" spans="1:15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16.83619999822827</v>
      </c>
      <c r="H552">
        <v>9.765625E-4</v>
      </c>
      <c r="I552">
        <v>-0.57052022063114149</v>
      </c>
      <c r="J552">
        <v>-5.5714865296009912E-4</v>
      </c>
      <c r="M552">
        <v>11.884376469337615</v>
      </c>
      <c r="N552">
        <v>9.765625E-4</v>
      </c>
      <c r="O552">
        <f t="shared" si="8"/>
        <v>0.80224609375</v>
      </c>
    </row>
    <row r="553" spans="1:15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18.010818602755826</v>
      </c>
      <c r="H553">
        <v>4.8828125E-4</v>
      </c>
      <c r="I553">
        <v>-0.54861375927272704</v>
      </c>
      <c r="J553">
        <v>-2.6787781214488625E-4</v>
      </c>
      <c r="M553">
        <v>11.884376469337615</v>
      </c>
      <c r="N553">
        <v>4.8828125E-4</v>
      </c>
      <c r="O553">
        <f t="shared" si="8"/>
        <v>0.802734375</v>
      </c>
    </row>
    <row r="554" spans="1:15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15.270041858858203</v>
      </c>
      <c r="H554">
        <v>9.765625E-4</v>
      </c>
      <c r="I554">
        <v>-0.60109553603262977</v>
      </c>
      <c r="J554">
        <v>-5.8700735940686501E-4</v>
      </c>
      <c r="M554">
        <v>11.884376469337615</v>
      </c>
      <c r="N554">
        <v>9.765625E-4</v>
      </c>
      <c r="O554">
        <f t="shared" si="8"/>
        <v>0.8037109375</v>
      </c>
    </row>
    <row r="555" spans="1:15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16.83619999822827</v>
      </c>
      <c r="H555">
        <v>1.953125E-3</v>
      </c>
      <c r="I555">
        <v>-0.57052022063114149</v>
      </c>
      <c r="J555">
        <v>-1.1142973059201982E-3</v>
      </c>
      <c r="M555">
        <v>11.884376469337615</v>
      </c>
      <c r="N555">
        <v>1.953125E-3</v>
      </c>
      <c r="O555">
        <f t="shared" si="8"/>
        <v>0.8056640625</v>
      </c>
    </row>
    <row r="556" spans="1:15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18.010818602755826</v>
      </c>
      <c r="H556">
        <v>9.765625E-4</v>
      </c>
      <c r="I556">
        <v>-0.54861375927272704</v>
      </c>
      <c r="J556">
        <v>-5.357556242897725E-4</v>
      </c>
      <c r="M556">
        <v>11.884376469337615</v>
      </c>
      <c r="N556">
        <v>9.765625E-4</v>
      </c>
      <c r="O556">
        <f t="shared" si="8"/>
        <v>0.806640625</v>
      </c>
    </row>
    <row r="557" spans="1:15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15.270041858858203</v>
      </c>
      <c r="H557">
        <v>4.8828125E-4</v>
      </c>
      <c r="I557">
        <v>-0.60109553603262977</v>
      </c>
      <c r="J557">
        <v>-2.9350367970343251E-4</v>
      </c>
      <c r="M557">
        <v>11.884376469337615</v>
      </c>
      <c r="N557">
        <v>4.8828125E-4</v>
      </c>
      <c r="O557">
        <f t="shared" si="8"/>
        <v>0.80712890625</v>
      </c>
    </row>
    <row r="558" spans="1:15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16.83619999822827</v>
      </c>
      <c r="H558">
        <v>9.765625E-4</v>
      </c>
      <c r="I558">
        <v>-0.57052022063114149</v>
      </c>
      <c r="J558">
        <v>-5.5714865296009912E-4</v>
      </c>
      <c r="M558">
        <v>11.884376469337615</v>
      </c>
      <c r="N558">
        <v>9.765625E-4</v>
      </c>
      <c r="O558">
        <f t="shared" si="8"/>
        <v>0.80810546875</v>
      </c>
    </row>
    <row r="559" spans="1:15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18.010818602755826</v>
      </c>
      <c r="H559">
        <v>4.8828125E-4</v>
      </c>
      <c r="I559">
        <v>-0.54861375927272704</v>
      </c>
      <c r="J559">
        <v>-2.6787781214488625E-4</v>
      </c>
      <c r="M559">
        <v>11.884376469337615</v>
      </c>
      <c r="N559">
        <v>4.8828125E-4</v>
      </c>
      <c r="O559">
        <f t="shared" si="8"/>
        <v>0.80859375</v>
      </c>
    </row>
    <row r="560" spans="1:15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15.270041858858203</v>
      </c>
      <c r="H560">
        <v>2.44140625E-4</v>
      </c>
      <c r="I560">
        <v>-0.60109553603262977</v>
      </c>
      <c r="J560">
        <v>-1.4675183985171625E-4</v>
      </c>
      <c r="M560">
        <v>12.439379396461669</v>
      </c>
      <c r="N560">
        <v>4.8828125E-4</v>
      </c>
      <c r="O560">
        <f t="shared" si="8"/>
        <v>0.80908203125</v>
      </c>
    </row>
    <row r="561" spans="1:15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16.83619999822827</v>
      </c>
      <c r="H561">
        <v>4.8828125E-4</v>
      </c>
      <c r="I561">
        <v>-0.57052022063114149</v>
      </c>
      <c r="J561">
        <v>-2.7857432648004956E-4</v>
      </c>
      <c r="M561">
        <v>12.439379396461669</v>
      </c>
      <c r="N561">
        <v>9.765625E-4</v>
      </c>
      <c r="O561">
        <f t="shared" si="8"/>
        <v>0.81005859375</v>
      </c>
    </row>
    <row r="562" spans="1:15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18.010818602755826</v>
      </c>
      <c r="H562">
        <v>2.44140625E-4</v>
      </c>
      <c r="I562">
        <v>-0.54861375927272704</v>
      </c>
      <c r="J562">
        <v>-1.3393890607244313E-4</v>
      </c>
      <c r="M562">
        <v>12.439379396461669</v>
      </c>
      <c r="N562">
        <v>4.8828125E-4</v>
      </c>
      <c r="O562">
        <f t="shared" si="8"/>
        <v>0.810546875</v>
      </c>
    </row>
    <row r="563" spans="1:15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15.270041858858203</v>
      </c>
      <c r="H563">
        <v>4.8828125E-4</v>
      </c>
      <c r="I563">
        <v>-0.60109553603262977</v>
      </c>
      <c r="J563">
        <v>-2.9350367970343251E-4</v>
      </c>
      <c r="M563">
        <v>12.439379396461669</v>
      </c>
      <c r="N563">
        <v>9.765625E-4</v>
      </c>
      <c r="O563">
        <f t="shared" si="8"/>
        <v>0.8115234375</v>
      </c>
    </row>
    <row r="564" spans="1:15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16.83619999822827</v>
      </c>
      <c r="H564">
        <v>9.765625E-4</v>
      </c>
      <c r="I564">
        <v>-0.57052022063114149</v>
      </c>
      <c r="J564">
        <v>-5.5714865296009912E-4</v>
      </c>
      <c r="M564">
        <v>12.439379396461669</v>
      </c>
      <c r="N564">
        <v>1.953125E-3</v>
      </c>
      <c r="O564">
        <f t="shared" si="8"/>
        <v>0.8134765625</v>
      </c>
    </row>
    <row r="565" spans="1:15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18.010818602755826</v>
      </c>
      <c r="H565">
        <v>4.8828125E-4</v>
      </c>
      <c r="I565">
        <v>-0.54861375927272704</v>
      </c>
      <c r="J565">
        <v>-2.6787781214488625E-4</v>
      </c>
      <c r="M565">
        <v>12.439379396461669</v>
      </c>
      <c r="N565">
        <v>9.765625E-4</v>
      </c>
      <c r="O565">
        <f t="shared" si="8"/>
        <v>0.814453125</v>
      </c>
    </row>
    <row r="566" spans="1:15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15.270041858858203</v>
      </c>
      <c r="H566">
        <v>2.44140625E-4</v>
      </c>
      <c r="I566">
        <v>-0.60109553603262977</v>
      </c>
      <c r="J566">
        <v>-1.4675183985171625E-4</v>
      </c>
      <c r="M566">
        <v>12.439379396461669</v>
      </c>
      <c r="N566">
        <v>4.8828125E-4</v>
      </c>
      <c r="O566">
        <f t="shared" si="8"/>
        <v>0.81494140625</v>
      </c>
    </row>
    <row r="567" spans="1:15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16.83619999822827</v>
      </c>
      <c r="H567">
        <v>4.8828125E-4</v>
      </c>
      <c r="I567">
        <v>-0.57052022063114149</v>
      </c>
      <c r="J567">
        <v>-2.7857432648004956E-4</v>
      </c>
      <c r="M567">
        <v>12.439379396461669</v>
      </c>
      <c r="N567">
        <v>9.765625E-4</v>
      </c>
      <c r="O567">
        <f t="shared" si="8"/>
        <v>0.81591796875</v>
      </c>
    </row>
    <row r="568" spans="1:15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18.010818602755826</v>
      </c>
      <c r="H568">
        <v>2.44140625E-4</v>
      </c>
      <c r="I568">
        <v>-0.54861375927272704</v>
      </c>
      <c r="J568">
        <v>-1.3393890607244313E-4</v>
      </c>
      <c r="M568">
        <v>12.439379396461669</v>
      </c>
      <c r="N568">
        <v>4.8828125E-4</v>
      </c>
      <c r="O568">
        <f t="shared" si="8"/>
        <v>0.81640625</v>
      </c>
    </row>
    <row r="569" spans="1:15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17.622454144987348</v>
      </c>
      <c r="H569">
        <v>4.8828125E-4</v>
      </c>
      <c r="I569">
        <v>-0.55576199764471101</v>
      </c>
      <c r="J569">
        <v>-2.7136816291245655E-4</v>
      </c>
      <c r="M569">
        <v>12.713519013710021</v>
      </c>
      <c r="N569">
        <v>2.44140625E-4</v>
      </c>
      <c r="O569">
        <f t="shared" si="8"/>
        <v>0.816650390625</v>
      </c>
    </row>
    <row r="570" spans="1:15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19.429885339345013</v>
      </c>
      <c r="H570">
        <v>9.765625E-4</v>
      </c>
      <c r="I570">
        <v>-0.52326730573928215</v>
      </c>
      <c r="J570">
        <v>-5.1100322826101773E-4</v>
      </c>
      <c r="M570">
        <v>12.713519013710021</v>
      </c>
      <c r="N570">
        <v>4.8828125E-4</v>
      </c>
      <c r="O570">
        <f t="shared" si="8"/>
        <v>0.817138671875</v>
      </c>
    </row>
    <row r="571" spans="1:15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20.785458735113281</v>
      </c>
      <c r="H571">
        <v>4.8828125E-4</v>
      </c>
      <c r="I571">
        <v>-0.5001493003142321</v>
      </c>
      <c r="J571">
        <v>-2.4421352554405864E-4</v>
      </c>
      <c r="M571">
        <v>12.713519013710021</v>
      </c>
      <c r="N571">
        <v>2.44140625E-4</v>
      </c>
      <c r="O571">
        <f t="shared" si="8"/>
        <v>0.8173828125</v>
      </c>
    </row>
    <row r="572" spans="1:15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17.622454144987348</v>
      </c>
      <c r="H572">
        <v>9.765625E-4</v>
      </c>
      <c r="I572">
        <v>-0.55576199764471101</v>
      </c>
      <c r="J572">
        <v>-5.427363258249131E-4</v>
      </c>
      <c r="M572">
        <v>12.713519013710021</v>
      </c>
      <c r="N572">
        <v>4.8828125E-4</v>
      </c>
      <c r="O572">
        <f t="shared" si="8"/>
        <v>0.81787109375</v>
      </c>
    </row>
    <row r="573" spans="1:15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19.429885339345013</v>
      </c>
      <c r="H573">
        <v>1.953125E-3</v>
      </c>
      <c r="I573">
        <v>-0.52326730573928215</v>
      </c>
      <c r="J573">
        <v>-1.0220064565220355E-3</v>
      </c>
      <c r="M573">
        <v>12.713519013710021</v>
      </c>
      <c r="N573">
        <v>9.765625E-4</v>
      </c>
      <c r="O573">
        <f t="shared" si="8"/>
        <v>0.81884765625</v>
      </c>
    </row>
    <row r="574" spans="1:15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20.785458735113281</v>
      </c>
      <c r="H574">
        <v>9.765625E-4</v>
      </c>
      <c r="I574">
        <v>-0.5001493003142321</v>
      </c>
      <c r="J574">
        <v>-4.8842705108811729E-4</v>
      </c>
      <c r="M574">
        <v>12.713519013710021</v>
      </c>
      <c r="N574">
        <v>4.8828125E-4</v>
      </c>
      <c r="O574">
        <f t="shared" si="8"/>
        <v>0.8193359375</v>
      </c>
    </row>
    <row r="575" spans="1:15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17.622454144987348</v>
      </c>
      <c r="H575">
        <v>4.8828125E-4</v>
      </c>
      <c r="I575">
        <v>-0.55576199764471101</v>
      </c>
      <c r="J575">
        <v>-2.7136816291245655E-4</v>
      </c>
      <c r="M575">
        <v>12.713519013710021</v>
      </c>
      <c r="N575">
        <v>2.44140625E-4</v>
      </c>
      <c r="O575">
        <f t="shared" si="8"/>
        <v>0.819580078125</v>
      </c>
    </row>
    <row r="576" spans="1:15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19.429885339345013</v>
      </c>
      <c r="H576">
        <v>9.765625E-4</v>
      </c>
      <c r="I576">
        <v>-0.52326730573928215</v>
      </c>
      <c r="J576">
        <v>-5.1100322826101773E-4</v>
      </c>
      <c r="M576">
        <v>12.713519013710021</v>
      </c>
      <c r="N576">
        <v>4.8828125E-4</v>
      </c>
      <c r="O576">
        <f t="shared" si="8"/>
        <v>0.820068359375</v>
      </c>
    </row>
    <row r="577" spans="1:15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20.785458735113281</v>
      </c>
      <c r="H577">
        <v>4.8828125E-4</v>
      </c>
      <c r="I577">
        <v>-0.5001493003142321</v>
      </c>
      <c r="J577">
        <v>-2.4421352554405864E-4</v>
      </c>
      <c r="M577">
        <v>12.713519013710021</v>
      </c>
      <c r="N577">
        <v>2.44140625E-4</v>
      </c>
      <c r="O577">
        <f t="shared" si="8"/>
        <v>0.8203125</v>
      </c>
    </row>
    <row r="578" spans="1:15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17.622454144987348</v>
      </c>
      <c r="H578">
        <v>9.765625E-4</v>
      </c>
      <c r="I578">
        <v>-0.55576199764471101</v>
      </c>
      <c r="J578">
        <v>-5.427363258249131E-4</v>
      </c>
      <c r="M578">
        <v>13.520355499841669</v>
      </c>
      <c r="N578">
        <v>2.44140625E-4</v>
      </c>
      <c r="O578">
        <f t="shared" si="8"/>
        <v>0.820556640625</v>
      </c>
    </row>
    <row r="579" spans="1:15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19.429885339345013</v>
      </c>
      <c r="H579">
        <v>1.953125E-3</v>
      </c>
      <c r="I579">
        <v>-0.52326730573928215</v>
      </c>
      <c r="J579">
        <v>-1.0220064565220355E-3</v>
      </c>
      <c r="M579">
        <v>13.520355499841669</v>
      </c>
      <c r="N579">
        <v>4.8828125E-4</v>
      </c>
      <c r="O579">
        <f t="shared" si="8"/>
        <v>0.821044921875</v>
      </c>
    </row>
    <row r="580" spans="1:15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20.785458735113281</v>
      </c>
      <c r="H580">
        <v>9.765625E-4</v>
      </c>
      <c r="I580">
        <v>-0.5001493003142321</v>
      </c>
      <c r="J580">
        <v>-4.8842705108811729E-4</v>
      </c>
      <c r="M580">
        <v>13.520355499841669</v>
      </c>
      <c r="N580">
        <v>2.44140625E-4</v>
      </c>
      <c r="O580">
        <f t="shared" ref="O580:O643" si="9">N580+O579</f>
        <v>0.8212890625</v>
      </c>
    </row>
    <row r="581" spans="1:15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17.622454144987348</v>
      </c>
      <c r="H581">
        <v>1.953125E-3</v>
      </c>
      <c r="I581">
        <v>-0.55576199764471101</v>
      </c>
      <c r="J581">
        <v>-1.0854726516498262E-3</v>
      </c>
      <c r="M581">
        <v>13.520355499841669</v>
      </c>
      <c r="N581">
        <v>4.8828125E-4</v>
      </c>
      <c r="O581">
        <f t="shared" si="9"/>
        <v>0.82177734375</v>
      </c>
    </row>
    <row r="582" spans="1:15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19.429885339345013</v>
      </c>
      <c r="H582">
        <v>3.90625E-3</v>
      </c>
      <c r="I582">
        <v>-0.52326730573928215</v>
      </c>
      <c r="J582">
        <v>-2.0440129130440709E-3</v>
      </c>
      <c r="M582">
        <v>13.520355499841669</v>
      </c>
      <c r="N582">
        <v>9.765625E-4</v>
      </c>
      <c r="O582">
        <f t="shared" si="9"/>
        <v>0.82275390625</v>
      </c>
    </row>
    <row r="583" spans="1:15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20.785458735113281</v>
      </c>
      <c r="H583">
        <v>1.953125E-3</v>
      </c>
      <c r="I583">
        <v>-0.5001493003142321</v>
      </c>
      <c r="J583">
        <v>-9.7685410217623458E-4</v>
      </c>
      <c r="M583">
        <v>13.520355499841669</v>
      </c>
      <c r="N583">
        <v>4.8828125E-4</v>
      </c>
      <c r="O583">
        <f t="shared" si="9"/>
        <v>0.8232421875</v>
      </c>
    </row>
    <row r="584" spans="1:15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17.622454144987348</v>
      </c>
      <c r="H584">
        <v>9.765625E-4</v>
      </c>
      <c r="I584">
        <v>-0.55576199764471101</v>
      </c>
      <c r="J584">
        <v>-5.427363258249131E-4</v>
      </c>
      <c r="M584">
        <v>13.520355499841669</v>
      </c>
      <c r="N584">
        <v>2.44140625E-4</v>
      </c>
      <c r="O584">
        <f t="shared" si="9"/>
        <v>0.823486328125</v>
      </c>
    </row>
    <row r="585" spans="1:15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19.429885339345013</v>
      </c>
      <c r="H585">
        <v>1.953125E-3</v>
      </c>
      <c r="I585">
        <v>-0.52326730573928215</v>
      </c>
      <c r="J585">
        <v>-1.0220064565220355E-3</v>
      </c>
      <c r="M585">
        <v>13.520355499841669</v>
      </c>
      <c r="N585">
        <v>4.8828125E-4</v>
      </c>
      <c r="O585">
        <f t="shared" si="9"/>
        <v>0.823974609375</v>
      </c>
    </row>
    <row r="586" spans="1:15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20.785458735113281</v>
      </c>
      <c r="H586">
        <v>9.765625E-4</v>
      </c>
      <c r="I586">
        <v>-0.5001493003142321</v>
      </c>
      <c r="J586">
        <v>-4.8842705108811729E-4</v>
      </c>
      <c r="M586">
        <v>13.520355499841669</v>
      </c>
      <c r="N586">
        <v>2.44140625E-4</v>
      </c>
      <c r="O586">
        <f t="shared" si="9"/>
        <v>0.82421875</v>
      </c>
    </row>
    <row r="587" spans="1:15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17.622454144987348</v>
      </c>
      <c r="H587">
        <v>4.8828125E-4</v>
      </c>
      <c r="I587">
        <v>-0.55576199764471101</v>
      </c>
      <c r="J587">
        <v>-2.7136816291245655E-4</v>
      </c>
      <c r="M587">
        <v>13.715213180714144</v>
      </c>
      <c r="N587">
        <v>9.765625E-4</v>
      </c>
      <c r="O587">
        <f t="shared" si="9"/>
        <v>0.8251953125</v>
      </c>
    </row>
    <row r="588" spans="1:15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19.429885339345013</v>
      </c>
      <c r="H588">
        <v>9.765625E-4</v>
      </c>
      <c r="I588">
        <v>-0.52326730573928215</v>
      </c>
      <c r="J588">
        <v>-5.1100322826101773E-4</v>
      </c>
      <c r="M588">
        <v>13.715213180714144</v>
      </c>
      <c r="N588">
        <v>1.953125E-3</v>
      </c>
      <c r="O588">
        <f t="shared" si="9"/>
        <v>0.8271484375</v>
      </c>
    </row>
    <row r="589" spans="1:15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20.785458735113281</v>
      </c>
      <c r="H589">
        <v>4.8828125E-4</v>
      </c>
      <c r="I589">
        <v>-0.5001493003142321</v>
      </c>
      <c r="J589">
        <v>-2.4421352554405864E-4</v>
      </c>
      <c r="M589">
        <v>13.715213180714144</v>
      </c>
      <c r="N589">
        <v>9.765625E-4</v>
      </c>
      <c r="O589">
        <f t="shared" si="9"/>
        <v>0.828125</v>
      </c>
    </row>
    <row r="590" spans="1:15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17.622454144987348</v>
      </c>
      <c r="H590">
        <v>9.765625E-4</v>
      </c>
      <c r="I590">
        <v>-0.55576199764471101</v>
      </c>
      <c r="J590">
        <v>-5.427363258249131E-4</v>
      </c>
      <c r="M590">
        <v>13.715213180714144</v>
      </c>
      <c r="N590">
        <v>1.953125E-3</v>
      </c>
      <c r="O590">
        <f t="shared" si="9"/>
        <v>0.830078125</v>
      </c>
    </row>
    <row r="591" spans="1:15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19.429885339345013</v>
      </c>
      <c r="H591">
        <v>1.953125E-3</v>
      </c>
      <c r="I591">
        <v>-0.52326730573928215</v>
      </c>
      <c r="J591">
        <v>-1.0220064565220355E-3</v>
      </c>
      <c r="M591">
        <v>13.715213180714144</v>
      </c>
      <c r="N591">
        <v>3.90625E-3</v>
      </c>
      <c r="O591">
        <f t="shared" si="9"/>
        <v>0.833984375</v>
      </c>
    </row>
    <row r="592" spans="1:15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20.785458735113281</v>
      </c>
      <c r="H592">
        <v>9.765625E-4</v>
      </c>
      <c r="I592">
        <v>-0.5001493003142321</v>
      </c>
      <c r="J592">
        <v>-4.8842705108811729E-4</v>
      </c>
      <c r="M592">
        <v>13.715213180714144</v>
      </c>
      <c r="N592">
        <v>1.953125E-3</v>
      </c>
      <c r="O592">
        <f t="shared" si="9"/>
        <v>0.8359375</v>
      </c>
    </row>
    <row r="593" spans="1:15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17.622454144987348</v>
      </c>
      <c r="H593">
        <v>4.8828125E-4</v>
      </c>
      <c r="I593">
        <v>-0.55576199764471101</v>
      </c>
      <c r="J593">
        <v>-2.7136816291245655E-4</v>
      </c>
      <c r="M593">
        <v>13.715213180714144</v>
      </c>
      <c r="N593">
        <v>9.765625E-4</v>
      </c>
      <c r="O593">
        <f t="shared" si="9"/>
        <v>0.8369140625</v>
      </c>
    </row>
    <row r="594" spans="1:15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19.429885339345013</v>
      </c>
      <c r="H594">
        <v>9.765625E-4</v>
      </c>
      <c r="I594">
        <v>-0.52326730573928215</v>
      </c>
      <c r="J594">
        <v>-5.1100322826101773E-4</v>
      </c>
      <c r="M594">
        <v>13.715213180714144</v>
      </c>
      <c r="N594">
        <v>1.953125E-3</v>
      </c>
      <c r="O594">
        <f t="shared" si="9"/>
        <v>0.8388671875</v>
      </c>
    </row>
    <row r="595" spans="1:15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20.785458735113281</v>
      </c>
      <c r="H595">
        <v>4.8828125E-4</v>
      </c>
      <c r="I595">
        <v>-0.5001493003142321</v>
      </c>
      <c r="J595">
        <v>-2.4421352554405864E-4</v>
      </c>
      <c r="M595">
        <v>13.715213180714144</v>
      </c>
      <c r="N595">
        <v>9.765625E-4</v>
      </c>
      <c r="O595">
        <f t="shared" si="9"/>
        <v>0.83984375</v>
      </c>
    </row>
    <row r="596" spans="1:15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21.689174332292104</v>
      </c>
      <c r="H596">
        <v>9.765625E-4</v>
      </c>
      <c r="I596">
        <v>-0.48530754396361275</v>
      </c>
      <c r="J596">
        <v>-4.7393314840196558E-4</v>
      </c>
      <c r="M596">
        <v>14.672088518903514</v>
      </c>
      <c r="N596">
        <v>4.8828125E-4</v>
      </c>
      <c r="O596">
        <f t="shared" si="9"/>
        <v>0.84033203125</v>
      </c>
    </row>
    <row r="597" spans="1:15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23.913705033040038</v>
      </c>
      <c r="H597">
        <v>1.953125E-3</v>
      </c>
      <c r="I597">
        <v>-0.45062331910050102</v>
      </c>
      <c r="J597">
        <v>-8.8012367011816605E-4</v>
      </c>
      <c r="M597">
        <v>14.672088518903514</v>
      </c>
      <c r="N597">
        <v>9.765625E-4</v>
      </c>
      <c r="O597">
        <f t="shared" si="9"/>
        <v>0.84130859375</v>
      </c>
    </row>
    <row r="598" spans="1:15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25.58210305860095</v>
      </c>
      <c r="H598">
        <v>9.765625E-4</v>
      </c>
      <c r="I598">
        <v>-0.42624679536411308</v>
      </c>
      <c r="J598">
        <v>-4.1625663609776668E-4</v>
      </c>
      <c r="M598">
        <v>14.672088518903514</v>
      </c>
      <c r="N598">
        <v>4.8828125E-4</v>
      </c>
      <c r="O598">
        <f t="shared" si="9"/>
        <v>0.841796875</v>
      </c>
    </row>
    <row r="599" spans="1:15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21.689174332292104</v>
      </c>
      <c r="H599">
        <v>1.953125E-3</v>
      </c>
      <c r="I599">
        <v>-0.48530754396361275</v>
      </c>
      <c r="J599">
        <v>-9.4786629680393116E-4</v>
      </c>
      <c r="M599">
        <v>14.672088518903514</v>
      </c>
      <c r="N599">
        <v>9.765625E-4</v>
      </c>
      <c r="O599">
        <f t="shared" si="9"/>
        <v>0.8427734375</v>
      </c>
    </row>
    <row r="600" spans="1:15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23.913705033040038</v>
      </c>
      <c r="H600">
        <v>3.90625E-3</v>
      </c>
      <c r="I600">
        <v>-0.45062331910050102</v>
      </c>
      <c r="J600">
        <v>-1.7602473402363321E-3</v>
      </c>
      <c r="M600">
        <v>14.672088518903514</v>
      </c>
      <c r="N600">
        <v>1.953125E-3</v>
      </c>
      <c r="O600">
        <f t="shared" si="9"/>
        <v>0.8447265625</v>
      </c>
    </row>
    <row r="601" spans="1:15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25.58210305860095</v>
      </c>
      <c r="H601">
        <v>1.953125E-3</v>
      </c>
      <c r="I601">
        <v>-0.42624679536411308</v>
      </c>
      <c r="J601">
        <v>-8.3251327219553337E-4</v>
      </c>
      <c r="M601">
        <v>14.672088518903514</v>
      </c>
      <c r="N601">
        <v>9.765625E-4</v>
      </c>
      <c r="O601">
        <f t="shared" si="9"/>
        <v>0.845703125</v>
      </c>
    </row>
    <row r="602" spans="1:15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21.689174332292104</v>
      </c>
      <c r="H602">
        <v>9.765625E-4</v>
      </c>
      <c r="I602">
        <v>-0.48530754396361275</v>
      </c>
      <c r="J602">
        <v>-4.7393314840196558E-4</v>
      </c>
      <c r="M602">
        <v>14.672088518903514</v>
      </c>
      <c r="N602">
        <v>4.8828125E-4</v>
      </c>
      <c r="O602">
        <f t="shared" si="9"/>
        <v>0.84619140625</v>
      </c>
    </row>
    <row r="603" spans="1:15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23.913705033040038</v>
      </c>
      <c r="H603">
        <v>1.953125E-3</v>
      </c>
      <c r="I603">
        <v>-0.45062331910050102</v>
      </c>
      <c r="J603">
        <v>-8.8012367011816605E-4</v>
      </c>
      <c r="M603">
        <v>14.672088518903514</v>
      </c>
      <c r="N603">
        <v>9.765625E-4</v>
      </c>
      <c r="O603">
        <f t="shared" si="9"/>
        <v>0.84716796875</v>
      </c>
    </row>
    <row r="604" spans="1:15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25.58210305860095</v>
      </c>
      <c r="H604">
        <v>9.765625E-4</v>
      </c>
      <c r="I604">
        <v>-0.42624679536411308</v>
      </c>
      <c r="J604">
        <v>-4.1625663609776668E-4</v>
      </c>
      <c r="M604">
        <v>14.672088518903514</v>
      </c>
      <c r="N604">
        <v>4.8828125E-4</v>
      </c>
      <c r="O604">
        <f t="shared" si="9"/>
        <v>0.84765625</v>
      </c>
    </row>
    <row r="605" spans="1:15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21.689174332292104</v>
      </c>
      <c r="H605">
        <v>1.953125E-3</v>
      </c>
      <c r="I605">
        <v>-0.48530754396361275</v>
      </c>
      <c r="J605">
        <v>-9.4786629680393116E-4</v>
      </c>
      <c r="M605">
        <v>14.907058628030558</v>
      </c>
      <c r="N605">
        <v>4.8828125E-4</v>
      </c>
      <c r="O605">
        <f t="shared" si="9"/>
        <v>0.84814453125</v>
      </c>
    </row>
    <row r="606" spans="1:15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23.913705033040038</v>
      </c>
      <c r="H606">
        <v>3.90625E-3</v>
      </c>
      <c r="I606">
        <v>-0.45062331910050102</v>
      </c>
      <c r="J606">
        <v>-1.7602473402363321E-3</v>
      </c>
      <c r="M606">
        <v>14.907058628030558</v>
      </c>
      <c r="N606">
        <v>9.765625E-4</v>
      </c>
      <c r="O606">
        <f t="shared" si="9"/>
        <v>0.84912109375</v>
      </c>
    </row>
    <row r="607" spans="1:15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25.58210305860095</v>
      </c>
      <c r="H607">
        <v>1.953125E-3</v>
      </c>
      <c r="I607">
        <v>-0.42624679536411308</v>
      </c>
      <c r="J607">
        <v>-8.3251327219553337E-4</v>
      </c>
      <c r="M607">
        <v>14.907058628030558</v>
      </c>
      <c r="N607">
        <v>4.8828125E-4</v>
      </c>
      <c r="O607">
        <f t="shared" si="9"/>
        <v>0.849609375</v>
      </c>
    </row>
    <row r="608" spans="1:15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21.689174332292104</v>
      </c>
      <c r="H608">
        <v>3.90625E-3</v>
      </c>
      <c r="I608">
        <v>-0.48530754396361275</v>
      </c>
      <c r="J608">
        <v>-1.8957325936078623E-3</v>
      </c>
      <c r="M608">
        <v>14.907058628030558</v>
      </c>
      <c r="N608">
        <v>9.765625E-4</v>
      </c>
      <c r="O608">
        <f t="shared" si="9"/>
        <v>0.8505859375</v>
      </c>
    </row>
    <row r="609" spans="1:15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23.913705033040038</v>
      </c>
      <c r="H609">
        <v>7.8125E-3</v>
      </c>
      <c r="I609">
        <v>-0.45062331910050102</v>
      </c>
      <c r="J609">
        <v>-3.5204946804726642E-3</v>
      </c>
      <c r="M609">
        <v>14.907058628030558</v>
      </c>
      <c r="N609">
        <v>1.953125E-3</v>
      </c>
      <c r="O609">
        <f t="shared" si="9"/>
        <v>0.8525390625</v>
      </c>
    </row>
    <row r="610" spans="1:15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25.58210305860095</v>
      </c>
      <c r="H610">
        <v>3.90625E-3</v>
      </c>
      <c r="I610">
        <v>-0.42624679536411308</v>
      </c>
      <c r="J610">
        <v>-1.6650265443910667E-3</v>
      </c>
      <c r="M610">
        <v>14.907058628030558</v>
      </c>
      <c r="N610">
        <v>9.765625E-4</v>
      </c>
      <c r="O610">
        <f t="shared" si="9"/>
        <v>0.853515625</v>
      </c>
    </row>
    <row r="611" spans="1:15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21.689174332292104</v>
      </c>
      <c r="H611">
        <v>1.953125E-3</v>
      </c>
      <c r="I611">
        <v>-0.48530754396361275</v>
      </c>
      <c r="J611">
        <v>-9.4786629680393116E-4</v>
      </c>
      <c r="M611">
        <v>14.907058628030558</v>
      </c>
      <c r="N611">
        <v>4.8828125E-4</v>
      </c>
      <c r="O611">
        <f t="shared" si="9"/>
        <v>0.85400390625</v>
      </c>
    </row>
    <row r="612" spans="1:15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23.913705033040038</v>
      </c>
      <c r="H612">
        <v>3.90625E-3</v>
      </c>
      <c r="I612">
        <v>-0.45062331910050102</v>
      </c>
      <c r="J612">
        <v>-1.7602473402363321E-3</v>
      </c>
      <c r="M612">
        <v>14.907058628030558</v>
      </c>
      <c r="N612">
        <v>9.765625E-4</v>
      </c>
      <c r="O612">
        <f t="shared" si="9"/>
        <v>0.85498046875</v>
      </c>
    </row>
    <row r="613" spans="1:15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25.58210305860095</v>
      </c>
      <c r="H613">
        <v>1.953125E-3</v>
      </c>
      <c r="I613">
        <v>-0.42624679536411308</v>
      </c>
      <c r="J613">
        <v>-8.3251327219553337E-4</v>
      </c>
      <c r="M613">
        <v>14.907058628030558</v>
      </c>
      <c r="N613">
        <v>4.8828125E-4</v>
      </c>
      <c r="O613">
        <f t="shared" si="9"/>
        <v>0.85546875</v>
      </c>
    </row>
    <row r="614" spans="1:15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21.689174332292104</v>
      </c>
      <c r="H614">
        <v>9.765625E-4</v>
      </c>
      <c r="I614">
        <v>-0.48530754396361275</v>
      </c>
      <c r="J614">
        <v>-4.7393314840196558E-4</v>
      </c>
      <c r="M614">
        <v>15.310005411029751</v>
      </c>
      <c r="N614">
        <v>9.765625E-4</v>
      </c>
      <c r="O614">
        <f t="shared" si="9"/>
        <v>0.8564453125</v>
      </c>
    </row>
    <row r="615" spans="1:15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23.913705033040038</v>
      </c>
      <c r="H615">
        <v>1.953125E-3</v>
      </c>
      <c r="I615">
        <v>-0.45062331910050102</v>
      </c>
      <c r="J615">
        <v>-8.8012367011816605E-4</v>
      </c>
      <c r="M615">
        <v>15.310005411029751</v>
      </c>
      <c r="N615">
        <v>1.953125E-3</v>
      </c>
      <c r="O615">
        <f t="shared" si="9"/>
        <v>0.8583984375</v>
      </c>
    </row>
    <row r="616" spans="1:15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25.58210305860095</v>
      </c>
      <c r="H616">
        <v>9.765625E-4</v>
      </c>
      <c r="I616">
        <v>-0.42624679536411308</v>
      </c>
      <c r="J616">
        <v>-4.1625663609776668E-4</v>
      </c>
      <c r="M616">
        <v>15.310005411029751</v>
      </c>
      <c r="N616">
        <v>9.765625E-4</v>
      </c>
      <c r="O616">
        <f t="shared" si="9"/>
        <v>0.859375</v>
      </c>
    </row>
    <row r="617" spans="1:15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21.689174332292104</v>
      </c>
      <c r="H617">
        <v>1.953125E-3</v>
      </c>
      <c r="I617">
        <v>-0.48530754396361275</v>
      </c>
      <c r="J617">
        <v>-9.4786629680393116E-4</v>
      </c>
      <c r="M617">
        <v>15.310005411029751</v>
      </c>
      <c r="N617">
        <v>1.953125E-3</v>
      </c>
      <c r="O617">
        <f t="shared" si="9"/>
        <v>0.861328125</v>
      </c>
    </row>
    <row r="618" spans="1:15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23.913705033040038</v>
      </c>
      <c r="H618">
        <v>3.90625E-3</v>
      </c>
      <c r="I618">
        <v>-0.45062331910050102</v>
      </c>
      <c r="J618">
        <v>-1.7602473402363321E-3</v>
      </c>
      <c r="M618">
        <v>15.310005411029751</v>
      </c>
      <c r="N618">
        <v>3.90625E-3</v>
      </c>
      <c r="O618">
        <f t="shared" si="9"/>
        <v>0.865234375</v>
      </c>
    </row>
    <row r="619" spans="1:15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25.58210305860095</v>
      </c>
      <c r="H619">
        <v>1.953125E-3</v>
      </c>
      <c r="I619">
        <v>-0.42624679536411308</v>
      </c>
      <c r="J619">
        <v>-8.3251327219553337E-4</v>
      </c>
      <c r="M619">
        <v>15.310005411029751</v>
      </c>
      <c r="N619">
        <v>1.953125E-3</v>
      </c>
      <c r="O619">
        <f t="shared" si="9"/>
        <v>0.8671875</v>
      </c>
    </row>
    <row r="620" spans="1:15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21.689174332292104</v>
      </c>
      <c r="H620">
        <v>9.765625E-4</v>
      </c>
      <c r="I620">
        <v>-0.48530754396361275</v>
      </c>
      <c r="J620">
        <v>-4.7393314840196558E-4</v>
      </c>
      <c r="M620">
        <v>15.310005411029751</v>
      </c>
      <c r="N620">
        <v>9.765625E-4</v>
      </c>
      <c r="O620">
        <f t="shared" si="9"/>
        <v>0.8681640625</v>
      </c>
    </row>
    <row r="621" spans="1:15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23.913705033040038</v>
      </c>
      <c r="H621">
        <v>1.953125E-3</v>
      </c>
      <c r="I621">
        <v>-0.45062331910050102</v>
      </c>
      <c r="J621">
        <v>-8.8012367011816605E-4</v>
      </c>
      <c r="M621">
        <v>15.310005411029751</v>
      </c>
      <c r="N621">
        <v>1.953125E-3</v>
      </c>
      <c r="O621">
        <f t="shared" si="9"/>
        <v>0.8701171875</v>
      </c>
    </row>
    <row r="622" spans="1:15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25.58210305860095</v>
      </c>
      <c r="H622">
        <v>9.765625E-4</v>
      </c>
      <c r="I622">
        <v>-0.42624679536411308</v>
      </c>
      <c r="J622">
        <v>-4.1625663609776668E-4</v>
      </c>
      <c r="M622">
        <v>15.310005411029751</v>
      </c>
      <c r="N622">
        <v>9.765625E-4</v>
      </c>
      <c r="O622">
        <f t="shared" si="9"/>
        <v>0.87109375</v>
      </c>
    </row>
    <row r="623" spans="1:15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24.400321123828622</v>
      </c>
      <c r="H623">
        <v>4.8828125E-4</v>
      </c>
      <c r="I623">
        <v>-0.44337292874633522</v>
      </c>
      <c r="J623">
        <v>-2.1649068786442149E-4</v>
      </c>
      <c r="M623">
        <v>15.947085974172223</v>
      </c>
      <c r="N623">
        <v>2.44140625E-4</v>
      </c>
      <c r="O623">
        <f t="shared" si="9"/>
        <v>0.871337890625</v>
      </c>
    </row>
    <row r="624" spans="1:15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26.902918162170025</v>
      </c>
      <c r="H624">
        <v>9.765625E-4</v>
      </c>
      <c r="I624">
        <v>-0.40788747518210944</v>
      </c>
      <c r="J624">
        <v>-3.9832761248252875E-4</v>
      </c>
      <c r="M624">
        <v>15.947085974172223</v>
      </c>
      <c r="N624">
        <v>4.8828125E-4</v>
      </c>
      <c r="O624">
        <f t="shared" si="9"/>
        <v>0.871826171875</v>
      </c>
    </row>
    <row r="625" spans="1:15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28.779865940926083</v>
      </c>
      <c r="H625">
        <v>4.8828125E-4</v>
      </c>
      <c r="I625">
        <v>-0.38314994515905004</v>
      </c>
      <c r="J625">
        <v>-1.870849341596924E-4</v>
      </c>
      <c r="M625">
        <v>15.947085974172223</v>
      </c>
      <c r="N625">
        <v>2.44140625E-4</v>
      </c>
      <c r="O625">
        <f t="shared" si="9"/>
        <v>0.8720703125</v>
      </c>
    </row>
    <row r="626" spans="1:15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24.400321123828622</v>
      </c>
      <c r="H626">
        <v>9.765625E-4</v>
      </c>
      <c r="I626">
        <v>-0.44337292874633522</v>
      </c>
      <c r="J626">
        <v>-4.3298137572884298E-4</v>
      </c>
      <c r="M626">
        <v>15.947085974172223</v>
      </c>
      <c r="N626">
        <v>4.8828125E-4</v>
      </c>
      <c r="O626">
        <f t="shared" si="9"/>
        <v>0.87255859375</v>
      </c>
    </row>
    <row r="627" spans="1:15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26.902918162170025</v>
      </c>
      <c r="H627">
        <v>1.953125E-3</v>
      </c>
      <c r="I627">
        <v>-0.40788747518210944</v>
      </c>
      <c r="J627">
        <v>-7.966552249650575E-4</v>
      </c>
      <c r="M627">
        <v>15.947085974172223</v>
      </c>
      <c r="N627">
        <v>9.765625E-4</v>
      </c>
      <c r="O627">
        <f t="shared" si="9"/>
        <v>0.87353515625</v>
      </c>
    </row>
    <row r="628" spans="1:15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28.779865940926083</v>
      </c>
      <c r="H628">
        <v>9.765625E-4</v>
      </c>
      <c r="I628">
        <v>-0.38314994515905004</v>
      </c>
      <c r="J628">
        <v>-3.7416986831938481E-4</v>
      </c>
      <c r="M628">
        <v>15.947085974172223</v>
      </c>
      <c r="N628">
        <v>4.8828125E-4</v>
      </c>
      <c r="O628">
        <f t="shared" si="9"/>
        <v>0.8740234375</v>
      </c>
    </row>
    <row r="629" spans="1:15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24.400321123828622</v>
      </c>
      <c r="H629">
        <v>4.8828125E-4</v>
      </c>
      <c r="I629">
        <v>-0.44337292874633522</v>
      </c>
      <c r="J629">
        <v>-2.1649068786442149E-4</v>
      </c>
      <c r="M629">
        <v>15.947085974172223</v>
      </c>
      <c r="N629">
        <v>2.44140625E-4</v>
      </c>
      <c r="O629">
        <f t="shared" si="9"/>
        <v>0.874267578125</v>
      </c>
    </row>
    <row r="630" spans="1:15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26.902918162170025</v>
      </c>
      <c r="H630">
        <v>9.765625E-4</v>
      </c>
      <c r="I630">
        <v>-0.40788747518210944</v>
      </c>
      <c r="J630">
        <v>-3.9832761248252875E-4</v>
      </c>
      <c r="M630">
        <v>15.947085974172223</v>
      </c>
      <c r="N630">
        <v>4.8828125E-4</v>
      </c>
      <c r="O630">
        <f t="shared" si="9"/>
        <v>0.874755859375</v>
      </c>
    </row>
    <row r="631" spans="1:15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28.779865940926083</v>
      </c>
      <c r="H631">
        <v>4.8828125E-4</v>
      </c>
      <c r="I631">
        <v>-0.38314994515905004</v>
      </c>
      <c r="J631">
        <v>-1.870849341596924E-4</v>
      </c>
      <c r="M631">
        <v>15.947085974172223</v>
      </c>
      <c r="N631">
        <v>2.44140625E-4</v>
      </c>
      <c r="O631">
        <f t="shared" si="9"/>
        <v>0.875</v>
      </c>
    </row>
    <row r="632" spans="1:15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24.400321123828622</v>
      </c>
      <c r="H632">
        <v>9.765625E-4</v>
      </c>
      <c r="I632">
        <v>-0.44337292874633522</v>
      </c>
      <c r="J632">
        <v>-4.3298137572884298E-4</v>
      </c>
      <c r="M632">
        <v>16.64043753826666</v>
      </c>
      <c r="N632">
        <v>4.8828125E-4</v>
      </c>
      <c r="O632">
        <f t="shared" si="9"/>
        <v>0.87548828125</v>
      </c>
    </row>
    <row r="633" spans="1:15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26.902918162170025</v>
      </c>
      <c r="H633">
        <v>1.953125E-3</v>
      </c>
      <c r="I633">
        <v>-0.40788747518210944</v>
      </c>
      <c r="J633">
        <v>-7.966552249650575E-4</v>
      </c>
      <c r="M633">
        <v>16.64043753826666</v>
      </c>
      <c r="N633">
        <v>9.765625E-4</v>
      </c>
      <c r="O633">
        <f t="shared" si="9"/>
        <v>0.87646484375</v>
      </c>
    </row>
    <row r="634" spans="1:15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28.779865940926083</v>
      </c>
      <c r="H634">
        <v>9.765625E-4</v>
      </c>
      <c r="I634">
        <v>-0.38314994515905004</v>
      </c>
      <c r="J634">
        <v>-3.7416986831938481E-4</v>
      </c>
      <c r="M634">
        <v>16.64043753826666</v>
      </c>
      <c r="N634">
        <v>4.8828125E-4</v>
      </c>
      <c r="O634">
        <f t="shared" si="9"/>
        <v>0.876953125</v>
      </c>
    </row>
    <row r="635" spans="1:15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24.400321123828622</v>
      </c>
      <c r="H635">
        <v>1.953125E-3</v>
      </c>
      <c r="I635">
        <v>-0.44337292874633522</v>
      </c>
      <c r="J635">
        <v>-8.6596275145768597E-4</v>
      </c>
      <c r="M635">
        <v>16.64043753826666</v>
      </c>
      <c r="N635">
        <v>9.765625E-4</v>
      </c>
      <c r="O635">
        <f t="shared" si="9"/>
        <v>0.8779296875</v>
      </c>
    </row>
    <row r="636" spans="1:15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26.902918162170025</v>
      </c>
      <c r="H636">
        <v>3.90625E-3</v>
      </c>
      <c r="I636">
        <v>-0.40788747518210944</v>
      </c>
      <c r="J636">
        <v>-1.593310449930115E-3</v>
      </c>
      <c r="M636">
        <v>16.64043753826666</v>
      </c>
      <c r="N636">
        <v>1.953125E-3</v>
      </c>
      <c r="O636">
        <f t="shared" si="9"/>
        <v>0.8798828125</v>
      </c>
    </row>
    <row r="637" spans="1:15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28.779865940926083</v>
      </c>
      <c r="H637">
        <v>1.953125E-3</v>
      </c>
      <c r="I637">
        <v>-0.38314994515905004</v>
      </c>
      <c r="J637">
        <v>-7.4833973663876961E-4</v>
      </c>
      <c r="M637">
        <v>16.64043753826666</v>
      </c>
      <c r="N637">
        <v>9.765625E-4</v>
      </c>
      <c r="O637">
        <f t="shared" si="9"/>
        <v>0.880859375</v>
      </c>
    </row>
    <row r="638" spans="1:15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24.400321123828622</v>
      </c>
      <c r="H638">
        <v>9.765625E-4</v>
      </c>
      <c r="I638">
        <v>-0.44337292874633522</v>
      </c>
      <c r="J638">
        <v>-4.3298137572884298E-4</v>
      </c>
      <c r="M638">
        <v>16.64043753826666</v>
      </c>
      <c r="N638">
        <v>4.8828125E-4</v>
      </c>
      <c r="O638">
        <f t="shared" si="9"/>
        <v>0.88134765625</v>
      </c>
    </row>
    <row r="639" spans="1:15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26.902918162170025</v>
      </c>
      <c r="H639">
        <v>1.953125E-3</v>
      </c>
      <c r="I639">
        <v>-0.40788747518210944</v>
      </c>
      <c r="J639">
        <v>-7.966552249650575E-4</v>
      </c>
      <c r="M639">
        <v>16.64043753826666</v>
      </c>
      <c r="N639">
        <v>9.765625E-4</v>
      </c>
      <c r="O639">
        <f t="shared" si="9"/>
        <v>0.88232421875</v>
      </c>
    </row>
    <row r="640" spans="1:15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28.779865940926083</v>
      </c>
      <c r="H640">
        <v>9.765625E-4</v>
      </c>
      <c r="I640">
        <v>-0.38314994515905004</v>
      </c>
      <c r="J640">
        <v>-3.7416986831938481E-4</v>
      </c>
      <c r="M640">
        <v>16.64043753826666</v>
      </c>
      <c r="N640">
        <v>4.8828125E-4</v>
      </c>
      <c r="O640">
        <f t="shared" si="9"/>
        <v>0.8828125</v>
      </c>
    </row>
    <row r="641" spans="1:15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24.400321123828622</v>
      </c>
      <c r="H641">
        <v>4.8828125E-4</v>
      </c>
      <c r="I641">
        <v>-0.44337292874633522</v>
      </c>
      <c r="J641">
        <v>-2.1649068786442149E-4</v>
      </c>
      <c r="M641">
        <v>16.880262376263577</v>
      </c>
      <c r="N641">
        <v>1.953125E-3</v>
      </c>
      <c r="O641">
        <f t="shared" si="9"/>
        <v>0.884765625</v>
      </c>
    </row>
    <row r="642" spans="1:15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26.902918162170025</v>
      </c>
      <c r="H642">
        <v>9.765625E-4</v>
      </c>
      <c r="I642">
        <v>-0.40788747518210944</v>
      </c>
      <c r="J642">
        <v>-3.9832761248252875E-4</v>
      </c>
      <c r="M642">
        <v>16.880262376263577</v>
      </c>
      <c r="N642">
        <v>3.90625E-3</v>
      </c>
      <c r="O642">
        <f t="shared" si="9"/>
        <v>0.888671875</v>
      </c>
    </row>
    <row r="643" spans="1:15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28.779865940926083</v>
      </c>
      <c r="H643">
        <v>4.8828125E-4</v>
      </c>
      <c r="I643">
        <v>-0.38314994515905004</v>
      </c>
      <c r="J643">
        <v>-1.870849341596924E-4</v>
      </c>
      <c r="M643">
        <v>16.880262376263577</v>
      </c>
      <c r="N643">
        <v>1.953125E-3</v>
      </c>
      <c r="O643">
        <f t="shared" si="9"/>
        <v>0.890625</v>
      </c>
    </row>
    <row r="644" spans="1:15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24.400321123828622</v>
      </c>
      <c r="H644">
        <v>9.765625E-4</v>
      </c>
      <c r="I644">
        <v>-0.44337292874633522</v>
      </c>
      <c r="J644">
        <v>-4.3298137572884298E-4</v>
      </c>
      <c r="M644">
        <v>16.880262376263577</v>
      </c>
      <c r="N644">
        <v>3.90625E-3</v>
      </c>
      <c r="O644">
        <f t="shared" ref="O644:O707" si="10">N644+O643</f>
        <v>0.89453125</v>
      </c>
    </row>
    <row r="645" spans="1:15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26.902918162170025</v>
      </c>
      <c r="H645">
        <v>1.953125E-3</v>
      </c>
      <c r="I645">
        <v>-0.40788747518210944</v>
      </c>
      <c r="J645">
        <v>-7.966552249650575E-4</v>
      </c>
      <c r="M645">
        <v>16.880262376263577</v>
      </c>
      <c r="N645">
        <v>7.8125E-3</v>
      </c>
      <c r="O645">
        <f t="shared" si="10"/>
        <v>0.90234375</v>
      </c>
    </row>
    <row r="646" spans="1:15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28.779865940926083</v>
      </c>
      <c r="H646">
        <v>9.765625E-4</v>
      </c>
      <c r="I646">
        <v>-0.38314994515905004</v>
      </c>
      <c r="J646">
        <v>-3.7416986831938481E-4</v>
      </c>
      <c r="M646">
        <v>16.880262376263577</v>
      </c>
      <c r="N646">
        <v>3.90625E-3</v>
      </c>
      <c r="O646">
        <f t="shared" si="10"/>
        <v>0.90625</v>
      </c>
    </row>
    <row r="647" spans="1:15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24.400321123828622</v>
      </c>
      <c r="H647">
        <v>4.8828125E-4</v>
      </c>
      <c r="I647">
        <v>-0.44337292874633522</v>
      </c>
      <c r="J647">
        <v>-2.1649068786442149E-4</v>
      </c>
      <c r="M647">
        <v>16.880262376263577</v>
      </c>
      <c r="N647">
        <v>1.953125E-3</v>
      </c>
      <c r="O647">
        <f t="shared" si="10"/>
        <v>0.908203125</v>
      </c>
    </row>
    <row r="648" spans="1:15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26.902918162170025</v>
      </c>
      <c r="H648">
        <v>9.765625E-4</v>
      </c>
      <c r="I648">
        <v>-0.40788747518210944</v>
      </c>
      <c r="J648">
        <v>-3.9832761248252875E-4</v>
      </c>
      <c r="M648">
        <v>16.880262376263577</v>
      </c>
      <c r="N648">
        <v>3.90625E-3</v>
      </c>
      <c r="O648">
        <f t="shared" si="10"/>
        <v>0.912109375</v>
      </c>
    </row>
    <row r="649" spans="1:15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28.779865940926083</v>
      </c>
      <c r="H649">
        <v>4.8828125E-4</v>
      </c>
      <c r="I649">
        <v>-0.38314994515905004</v>
      </c>
      <c r="J649">
        <v>-1.870849341596924E-4</v>
      </c>
      <c r="M649">
        <v>16.880262376263577</v>
      </c>
      <c r="N649">
        <v>1.953125E-3</v>
      </c>
      <c r="O649">
        <f t="shared" si="10"/>
        <v>0.9140625</v>
      </c>
    </row>
    <row r="650" spans="1:15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19.153836958108986</v>
      </c>
      <c r="H650">
        <v>2.44140625E-4</v>
      </c>
      <c r="I650">
        <v>-0.52810442936875412</v>
      </c>
      <c r="J650">
        <v>-1.2893174545135599E-4</v>
      </c>
      <c r="M650">
        <v>17.223756087408475</v>
      </c>
      <c r="N650">
        <v>4.8828125E-4</v>
      </c>
      <c r="O650">
        <f t="shared" si="10"/>
        <v>0.91455078125</v>
      </c>
    </row>
    <row r="651" spans="1:15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21.118333056376585</v>
      </c>
      <c r="H651">
        <v>4.8828125E-4</v>
      </c>
      <c r="I651">
        <v>-0.4946304132372753</v>
      </c>
      <c r="J651">
        <v>-2.4151875646351333E-4</v>
      </c>
      <c r="M651">
        <v>17.223756087408475</v>
      </c>
      <c r="N651">
        <v>9.765625E-4</v>
      </c>
      <c r="O651">
        <f t="shared" si="10"/>
        <v>0.91552734375</v>
      </c>
    </row>
    <row r="652" spans="1:15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22.59170513007728</v>
      </c>
      <c r="H652">
        <v>2.44140625E-4</v>
      </c>
      <c r="I652">
        <v>-0.4709248095789772</v>
      </c>
      <c r="J652">
        <v>-1.1497187733861748E-4</v>
      </c>
      <c r="M652">
        <v>17.223756087408475</v>
      </c>
      <c r="N652">
        <v>4.8828125E-4</v>
      </c>
      <c r="O652">
        <f t="shared" si="10"/>
        <v>0.916015625</v>
      </c>
    </row>
    <row r="653" spans="1:15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19.153836958108986</v>
      </c>
      <c r="H653">
        <v>4.8828125E-4</v>
      </c>
      <c r="I653">
        <v>-0.52810442936875412</v>
      </c>
      <c r="J653">
        <v>-2.5786349090271197E-4</v>
      </c>
      <c r="M653">
        <v>17.223756087408475</v>
      </c>
      <c r="N653">
        <v>9.765625E-4</v>
      </c>
      <c r="O653">
        <f t="shared" si="10"/>
        <v>0.9169921875</v>
      </c>
    </row>
    <row r="654" spans="1:15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21.118333056376585</v>
      </c>
      <c r="H654">
        <v>9.765625E-4</v>
      </c>
      <c r="I654">
        <v>-0.4946304132372753</v>
      </c>
      <c r="J654">
        <v>-4.8303751292702666E-4</v>
      </c>
      <c r="M654">
        <v>17.223756087408475</v>
      </c>
      <c r="N654">
        <v>1.953125E-3</v>
      </c>
      <c r="O654">
        <f t="shared" si="10"/>
        <v>0.9189453125</v>
      </c>
    </row>
    <row r="655" spans="1:15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22.59170513007728</v>
      </c>
      <c r="H655">
        <v>4.8828125E-4</v>
      </c>
      <c r="I655">
        <v>-0.4709248095789772</v>
      </c>
      <c r="J655">
        <v>-2.2994375467723496E-4</v>
      </c>
      <c r="M655">
        <v>17.223756087408475</v>
      </c>
      <c r="N655">
        <v>9.765625E-4</v>
      </c>
      <c r="O655">
        <f t="shared" si="10"/>
        <v>0.919921875</v>
      </c>
    </row>
    <row r="656" spans="1:15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19.153836958108986</v>
      </c>
      <c r="H656">
        <v>2.44140625E-4</v>
      </c>
      <c r="I656">
        <v>-0.52810442936875412</v>
      </c>
      <c r="J656">
        <v>-1.2893174545135599E-4</v>
      </c>
      <c r="M656">
        <v>17.223756087408475</v>
      </c>
      <c r="N656">
        <v>4.8828125E-4</v>
      </c>
      <c r="O656">
        <f t="shared" si="10"/>
        <v>0.92041015625</v>
      </c>
    </row>
    <row r="657" spans="1:15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21.118333056376585</v>
      </c>
      <c r="H657">
        <v>4.8828125E-4</v>
      </c>
      <c r="I657">
        <v>-0.4946304132372753</v>
      </c>
      <c r="J657">
        <v>-2.4151875646351333E-4</v>
      </c>
      <c r="M657">
        <v>17.223756087408475</v>
      </c>
      <c r="N657">
        <v>9.765625E-4</v>
      </c>
      <c r="O657">
        <f t="shared" si="10"/>
        <v>0.92138671875</v>
      </c>
    </row>
    <row r="658" spans="1:15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22.59170513007728</v>
      </c>
      <c r="H658">
        <v>2.44140625E-4</v>
      </c>
      <c r="I658">
        <v>-0.4709248095789772</v>
      </c>
      <c r="J658">
        <v>-1.1497187733861748E-4</v>
      </c>
      <c r="M658">
        <v>17.223756087408475</v>
      </c>
      <c r="N658">
        <v>4.8828125E-4</v>
      </c>
      <c r="O658">
        <f t="shared" si="10"/>
        <v>0.921875</v>
      </c>
    </row>
    <row r="659" spans="1:15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19.153836958108986</v>
      </c>
      <c r="H659">
        <v>4.8828125E-4</v>
      </c>
      <c r="I659">
        <v>-0.52810442936875412</v>
      </c>
      <c r="J659">
        <v>-2.5786349090271197E-4</v>
      </c>
      <c r="M659">
        <v>18.057955100188927</v>
      </c>
      <c r="N659">
        <v>9.765625E-4</v>
      </c>
      <c r="O659">
        <f t="shared" si="10"/>
        <v>0.9228515625</v>
      </c>
    </row>
    <row r="660" spans="1:15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21.118333056376585</v>
      </c>
      <c r="H660">
        <v>9.765625E-4</v>
      </c>
      <c r="I660">
        <v>-0.4946304132372753</v>
      </c>
      <c r="J660">
        <v>-4.8303751292702666E-4</v>
      </c>
      <c r="M660">
        <v>18.057955100188927</v>
      </c>
      <c r="N660">
        <v>1.953125E-3</v>
      </c>
      <c r="O660">
        <f t="shared" si="10"/>
        <v>0.9248046875</v>
      </c>
    </row>
    <row r="661" spans="1:15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22.59170513007728</v>
      </c>
      <c r="H661">
        <v>4.8828125E-4</v>
      </c>
      <c r="I661">
        <v>-0.4709248095789772</v>
      </c>
      <c r="J661">
        <v>-2.2994375467723496E-4</v>
      </c>
      <c r="M661">
        <v>18.057955100188927</v>
      </c>
      <c r="N661">
        <v>9.765625E-4</v>
      </c>
      <c r="O661">
        <f t="shared" si="10"/>
        <v>0.92578125</v>
      </c>
    </row>
    <row r="662" spans="1:15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19.153836958108986</v>
      </c>
      <c r="H662">
        <v>9.765625E-4</v>
      </c>
      <c r="I662">
        <v>-0.52810442936875412</v>
      </c>
      <c r="J662">
        <v>-5.1572698180542395E-4</v>
      </c>
      <c r="M662">
        <v>18.057955100188927</v>
      </c>
      <c r="N662">
        <v>1.953125E-3</v>
      </c>
      <c r="O662">
        <f t="shared" si="10"/>
        <v>0.927734375</v>
      </c>
    </row>
    <row r="663" spans="1:15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21.118333056376585</v>
      </c>
      <c r="H663">
        <v>1.953125E-3</v>
      </c>
      <c r="I663">
        <v>-0.4946304132372753</v>
      </c>
      <c r="J663">
        <v>-9.6607502585405332E-4</v>
      </c>
      <c r="M663">
        <v>18.057955100188927</v>
      </c>
      <c r="N663">
        <v>3.90625E-3</v>
      </c>
      <c r="O663">
        <f t="shared" si="10"/>
        <v>0.931640625</v>
      </c>
    </row>
    <row r="664" spans="1:15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22.59170513007728</v>
      </c>
      <c r="H664">
        <v>9.765625E-4</v>
      </c>
      <c r="I664">
        <v>-0.4709248095789772</v>
      </c>
      <c r="J664">
        <v>-4.5988750935446992E-4</v>
      </c>
      <c r="M664">
        <v>18.057955100188927</v>
      </c>
      <c r="N664">
        <v>1.953125E-3</v>
      </c>
      <c r="O664">
        <f t="shared" si="10"/>
        <v>0.93359375</v>
      </c>
    </row>
    <row r="665" spans="1:15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19.153836958108986</v>
      </c>
      <c r="H665">
        <v>4.8828125E-4</v>
      </c>
      <c r="I665">
        <v>-0.52810442936875412</v>
      </c>
      <c r="J665">
        <v>-2.5786349090271197E-4</v>
      </c>
      <c r="M665">
        <v>18.057955100188927</v>
      </c>
      <c r="N665">
        <v>9.765625E-4</v>
      </c>
      <c r="O665">
        <f t="shared" si="10"/>
        <v>0.9345703125</v>
      </c>
    </row>
    <row r="666" spans="1:15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21.118333056376585</v>
      </c>
      <c r="H666">
        <v>9.765625E-4</v>
      </c>
      <c r="I666">
        <v>-0.4946304132372753</v>
      </c>
      <c r="J666">
        <v>-4.8303751292702666E-4</v>
      </c>
      <c r="M666">
        <v>18.057955100188927</v>
      </c>
      <c r="N666">
        <v>1.953125E-3</v>
      </c>
      <c r="O666">
        <f t="shared" si="10"/>
        <v>0.9365234375</v>
      </c>
    </row>
    <row r="667" spans="1:15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22.59170513007728</v>
      </c>
      <c r="H667">
        <v>4.8828125E-4</v>
      </c>
      <c r="I667">
        <v>-0.4709248095789772</v>
      </c>
      <c r="J667">
        <v>-2.2994375467723496E-4</v>
      </c>
      <c r="M667">
        <v>18.057955100188927</v>
      </c>
      <c r="N667">
        <v>9.765625E-4</v>
      </c>
      <c r="O667">
        <f t="shared" si="10"/>
        <v>0.9375</v>
      </c>
    </row>
    <row r="668" spans="1:15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19.153836958108986</v>
      </c>
      <c r="H668">
        <v>2.44140625E-4</v>
      </c>
      <c r="I668">
        <v>-0.52810442936875412</v>
      </c>
      <c r="J668">
        <v>-1.2893174545135599E-4</v>
      </c>
      <c r="M668">
        <v>18.34714908065299</v>
      </c>
      <c r="N668">
        <v>9.765625E-4</v>
      </c>
      <c r="O668">
        <f t="shared" si="10"/>
        <v>0.9384765625</v>
      </c>
    </row>
    <row r="669" spans="1:15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21.118333056376585</v>
      </c>
      <c r="H669">
        <v>4.8828125E-4</v>
      </c>
      <c r="I669">
        <v>-0.4946304132372753</v>
      </c>
      <c r="J669">
        <v>-2.4151875646351333E-4</v>
      </c>
      <c r="M669">
        <v>18.34714908065299</v>
      </c>
      <c r="N669">
        <v>1.953125E-3</v>
      </c>
      <c r="O669">
        <f t="shared" si="10"/>
        <v>0.9404296875</v>
      </c>
    </row>
    <row r="670" spans="1:15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22.59170513007728</v>
      </c>
      <c r="H670">
        <v>2.44140625E-4</v>
      </c>
      <c r="I670">
        <v>-0.4709248095789772</v>
      </c>
      <c r="J670">
        <v>-1.1497187733861748E-4</v>
      </c>
      <c r="M670">
        <v>18.34714908065299</v>
      </c>
      <c r="N670">
        <v>9.765625E-4</v>
      </c>
      <c r="O670">
        <f t="shared" si="10"/>
        <v>0.94140625</v>
      </c>
    </row>
    <row r="671" spans="1:15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19.153836958108986</v>
      </c>
      <c r="H671">
        <v>4.8828125E-4</v>
      </c>
      <c r="I671">
        <v>-0.52810442936875412</v>
      </c>
      <c r="J671">
        <v>-2.5786349090271197E-4</v>
      </c>
      <c r="M671">
        <v>18.34714908065299</v>
      </c>
      <c r="N671">
        <v>1.953125E-3</v>
      </c>
      <c r="O671">
        <f t="shared" si="10"/>
        <v>0.943359375</v>
      </c>
    </row>
    <row r="672" spans="1:15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21.118333056376585</v>
      </c>
      <c r="H672">
        <v>9.765625E-4</v>
      </c>
      <c r="I672">
        <v>-0.4946304132372753</v>
      </c>
      <c r="J672">
        <v>-4.8303751292702666E-4</v>
      </c>
      <c r="M672">
        <v>18.34714908065299</v>
      </c>
      <c r="N672">
        <v>3.90625E-3</v>
      </c>
      <c r="O672">
        <f t="shared" si="10"/>
        <v>0.947265625</v>
      </c>
    </row>
    <row r="673" spans="1:15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22.59170513007728</v>
      </c>
      <c r="H673">
        <v>4.8828125E-4</v>
      </c>
      <c r="I673">
        <v>-0.4709248095789772</v>
      </c>
      <c r="J673">
        <v>-2.2994375467723496E-4</v>
      </c>
      <c r="M673">
        <v>18.34714908065299</v>
      </c>
      <c r="N673">
        <v>1.953125E-3</v>
      </c>
      <c r="O673">
        <f t="shared" si="10"/>
        <v>0.94921875</v>
      </c>
    </row>
    <row r="674" spans="1:15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19.153836958108986</v>
      </c>
      <c r="H674">
        <v>2.44140625E-4</v>
      </c>
      <c r="I674">
        <v>-0.52810442936875412</v>
      </c>
      <c r="J674">
        <v>-1.2893174545135599E-4</v>
      </c>
      <c r="M674">
        <v>18.34714908065299</v>
      </c>
      <c r="N674">
        <v>9.765625E-4</v>
      </c>
      <c r="O674">
        <f t="shared" si="10"/>
        <v>0.9501953125</v>
      </c>
    </row>
    <row r="675" spans="1:15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21.118333056376585</v>
      </c>
      <c r="H675">
        <v>4.8828125E-4</v>
      </c>
      <c r="I675">
        <v>-0.4946304132372753</v>
      </c>
      <c r="J675">
        <v>-2.4151875646351333E-4</v>
      </c>
      <c r="M675">
        <v>18.34714908065299</v>
      </c>
      <c r="N675">
        <v>1.953125E-3</v>
      </c>
      <c r="O675">
        <f t="shared" si="10"/>
        <v>0.9521484375</v>
      </c>
    </row>
    <row r="676" spans="1:15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22.59170513007728</v>
      </c>
      <c r="H676">
        <v>2.44140625E-4</v>
      </c>
      <c r="I676">
        <v>-0.4709248095789772</v>
      </c>
      <c r="J676">
        <v>-1.1497187733861748E-4</v>
      </c>
      <c r="M676">
        <v>18.34714908065299</v>
      </c>
      <c r="N676">
        <v>9.765625E-4</v>
      </c>
      <c r="O676">
        <f t="shared" si="10"/>
        <v>0.953125</v>
      </c>
    </row>
    <row r="677" spans="1:15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23.573953179211081</v>
      </c>
      <c r="H677">
        <v>4.8828125E-4</v>
      </c>
      <c r="I677">
        <v>-0.45575566323770267</v>
      </c>
      <c r="J677">
        <v>-2.2253694494028451E-4</v>
      </c>
      <c r="M677">
        <v>18.720492230550001</v>
      </c>
      <c r="N677">
        <v>2.44140625E-4</v>
      </c>
      <c r="O677">
        <f t="shared" si="10"/>
        <v>0.953369140625</v>
      </c>
    </row>
    <row r="678" spans="1:15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25.991794530925048</v>
      </c>
      <c r="H678">
        <v>9.765625E-4</v>
      </c>
      <c r="I678">
        <v>-0.4204653726361815</v>
      </c>
      <c r="J678">
        <v>-4.10610715465021E-4</v>
      </c>
      <c r="M678">
        <v>18.720492230550001</v>
      </c>
      <c r="N678">
        <v>4.8828125E-4</v>
      </c>
      <c r="O678">
        <f t="shared" si="10"/>
        <v>0.953857421875</v>
      </c>
    </row>
    <row r="679" spans="1:15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27.805175544710515</v>
      </c>
      <c r="H679">
        <v>4.8828125E-4</v>
      </c>
      <c r="I679">
        <v>-0.39580279474970403</v>
      </c>
      <c r="J679">
        <v>-1.9326308337387892E-4</v>
      </c>
      <c r="M679">
        <v>18.720492230550001</v>
      </c>
      <c r="N679">
        <v>2.44140625E-4</v>
      </c>
      <c r="O679">
        <f t="shared" si="10"/>
        <v>0.9541015625</v>
      </c>
    </row>
    <row r="680" spans="1:15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23.573953179211081</v>
      </c>
      <c r="H680">
        <v>9.765625E-4</v>
      </c>
      <c r="I680">
        <v>-0.45575566323770267</v>
      </c>
      <c r="J680">
        <v>-4.4507388988056901E-4</v>
      </c>
      <c r="M680">
        <v>18.720492230550001</v>
      </c>
      <c r="N680">
        <v>4.8828125E-4</v>
      </c>
      <c r="O680">
        <f t="shared" si="10"/>
        <v>0.95458984375</v>
      </c>
    </row>
    <row r="681" spans="1:15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25.991794530925048</v>
      </c>
      <c r="H681">
        <v>1.953125E-3</v>
      </c>
      <c r="I681">
        <v>-0.4204653726361815</v>
      </c>
      <c r="J681">
        <v>-8.2122143093004199E-4</v>
      </c>
      <c r="M681">
        <v>18.720492230550001</v>
      </c>
      <c r="N681">
        <v>9.765625E-4</v>
      </c>
      <c r="O681">
        <f t="shared" si="10"/>
        <v>0.95556640625</v>
      </c>
    </row>
    <row r="682" spans="1:15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27.805175544710515</v>
      </c>
      <c r="H682">
        <v>9.765625E-4</v>
      </c>
      <c r="I682">
        <v>-0.39580279474970403</v>
      </c>
      <c r="J682">
        <v>-3.8652616674775785E-4</v>
      </c>
      <c r="M682">
        <v>18.720492230550001</v>
      </c>
      <c r="N682">
        <v>4.8828125E-4</v>
      </c>
      <c r="O682">
        <f t="shared" si="10"/>
        <v>0.9560546875</v>
      </c>
    </row>
    <row r="683" spans="1:15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23.573953179211081</v>
      </c>
      <c r="H683">
        <v>4.8828125E-4</v>
      </c>
      <c r="I683">
        <v>-0.45575566323770267</v>
      </c>
      <c r="J683">
        <v>-2.2253694494028451E-4</v>
      </c>
      <c r="M683">
        <v>18.720492230550001</v>
      </c>
      <c r="N683">
        <v>2.44140625E-4</v>
      </c>
      <c r="O683">
        <f t="shared" si="10"/>
        <v>0.956298828125</v>
      </c>
    </row>
    <row r="684" spans="1:15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25.991794530925048</v>
      </c>
      <c r="H684">
        <v>9.765625E-4</v>
      </c>
      <c r="I684">
        <v>-0.4204653726361815</v>
      </c>
      <c r="J684">
        <v>-4.10610715465021E-4</v>
      </c>
      <c r="M684">
        <v>18.720492230550001</v>
      </c>
      <c r="N684">
        <v>4.8828125E-4</v>
      </c>
      <c r="O684">
        <f t="shared" si="10"/>
        <v>0.956787109375</v>
      </c>
    </row>
    <row r="685" spans="1:15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27.805175544710515</v>
      </c>
      <c r="H685">
        <v>4.8828125E-4</v>
      </c>
      <c r="I685">
        <v>-0.39580279474970403</v>
      </c>
      <c r="J685">
        <v>-1.9326308337387892E-4</v>
      </c>
      <c r="M685">
        <v>18.720492230550001</v>
      </c>
      <c r="N685">
        <v>2.44140625E-4</v>
      </c>
      <c r="O685">
        <f t="shared" si="10"/>
        <v>0.95703125</v>
      </c>
    </row>
    <row r="686" spans="1:15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23.573953179211081</v>
      </c>
      <c r="H686">
        <v>9.765625E-4</v>
      </c>
      <c r="I686">
        <v>-0.45575566323770267</v>
      </c>
      <c r="J686">
        <v>-4.4507388988056901E-4</v>
      </c>
      <c r="M686">
        <v>18.990295173296527</v>
      </c>
      <c r="N686">
        <v>9.765625E-4</v>
      </c>
      <c r="O686">
        <f t="shared" si="10"/>
        <v>0.9580078125</v>
      </c>
    </row>
    <row r="687" spans="1:15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25.991794530925048</v>
      </c>
      <c r="H687">
        <v>1.953125E-3</v>
      </c>
      <c r="I687">
        <v>-0.4204653726361815</v>
      </c>
      <c r="J687">
        <v>-8.2122143093004199E-4</v>
      </c>
      <c r="M687">
        <v>18.990295173296527</v>
      </c>
      <c r="N687">
        <v>1.953125E-3</v>
      </c>
      <c r="O687">
        <f t="shared" si="10"/>
        <v>0.9599609375</v>
      </c>
    </row>
    <row r="688" spans="1:15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27.805175544710515</v>
      </c>
      <c r="H688">
        <v>9.765625E-4</v>
      </c>
      <c r="I688">
        <v>-0.39580279474970403</v>
      </c>
      <c r="J688">
        <v>-3.8652616674775785E-4</v>
      </c>
      <c r="M688">
        <v>18.990295173296527</v>
      </c>
      <c r="N688">
        <v>9.765625E-4</v>
      </c>
      <c r="O688">
        <f t="shared" si="10"/>
        <v>0.9609375</v>
      </c>
    </row>
    <row r="689" spans="1:15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23.573953179211081</v>
      </c>
      <c r="H689">
        <v>1.953125E-3</v>
      </c>
      <c r="I689">
        <v>-0.45575566323770267</v>
      </c>
      <c r="J689">
        <v>-8.9014777976113802E-4</v>
      </c>
      <c r="M689">
        <v>18.990295173296527</v>
      </c>
      <c r="N689">
        <v>1.953125E-3</v>
      </c>
      <c r="O689">
        <f t="shared" si="10"/>
        <v>0.962890625</v>
      </c>
    </row>
    <row r="690" spans="1:15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25.991794530925048</v>
      </c>
      <c r="H690">
        <v>3.90625E-3</v>
      </c>
      <c r="I690">
        <v>-0.4204653726361815</v>
      </c>
      <c r="J690">
        <v>-1.642442861860084E-3</v>
      </c>
      <c r="M690">
        <v>18.990295173296527</v>
      </c>
      <c r="N690">
        <v>3.90625E-3</v>
      </c>
      <c r="O690">
        <f t="shared" si="10"/>
        <v>0.966796875</v>
      </c>
    </row>
    <row r="691" spans="1:15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27.805175544710515</v>
      </c>
      <c r="H691">
        <v>1.953125E-3</v>
      </c>
      <c r="I691">
        <v>-0.39580279474970403</v>
      </c>
      <c r="J691">
        <v>-7.7305233349551569E-4</v>
      </c>
      <c r="M691">
        <v>18.990295173296527</v>
      </c>
      <c r="N691">
        <v>1.953125E-3</v>
      </c>
      <c r="O691">
        <f t="shared" si="10"/>
        <v>0.96875</v>
      </c>
    </row>
    <row r="692" spans="1:15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23.573953179211081</v>
      </c>
      <c r="H692">
        <v>9.765625E-4</v>
      </c>
      <c r="I692">
        <v>-0.45575566323770267</v>
      </c>
      <c r="J692">
        <v>-4.4507388988056901E-4</v>
      </c>
      <c r="M692">
        <v>18.990295173296527</v>
      </c>
      <c r="N692">
        <v>9.765625E-4</v>
      </c>
      <c r="O692">
        <f t="shared" si="10"/>
        <v>0.9697265625</v>
      </c>
    </row>
    <row r="693" spans="1:15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25.991794530925048</v>
      </c>
      <c r="H693">
        <v>1.953125E-3</v>
      </c>
      <c r="I693">
        <v>-0.4204653726361815</v>
      </c>
      <c r="J693">
        <v>-8.2122143093004199E-4</v>
      </c>
      <c r="M693">
        <v>18.990295173296527</v>
      </c>
      <c r="N693">
        <v>1.953125E-3</v>
      </c>
      <c r="O693">
        <f t="shared" si="10"/>
        <v>0.9716796875</v>
      </c>
    </row>
    <row r="694" spans="1:15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27.805175544710515</v>
      </c>
      <c r="H694">
        <v>9.765625E-4</v>
      </c>
      <c r="I694">
        <v>-0.39580279474970403</v>
      </c>
      <c r="J694">
        <v>-3.8652616674775785E-4</v>
      </c>
      <c r="M694">
        <v>18.990295173296527</v>
      </c>
      <c r="N694">
        <v>9.765625E-4</v>
      </c>
      <c r="O694">
        <f t="shared" si="10"/>
        <v>0.97265625</v>
      </c>
    </row>
    <row r="695" spans="1:15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23.573953179211081</v>
      </c>
      <c r="H695">
        <v>4.8828125E-4</v>
      </c>
      <c r="I695">
        <v>-0.45575566323770267</v>
      </c>
      <c r="J695">
        <v>-2.2253694494028451E-4</v>
      </c>
      <c r="M695">
        <v>19.627182737442741</v>
      </c>
      <c r="N695">
        <v>4.8828125E-4</v>
      </c>
      <c r="O695">
        <f t="shared" si="10"/>
        <v>0.97314453125</v>
      </c>
    </row>
    <row r="696" spans="1:15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25.991794530925048</v>
      </c>
      <c r="H696">
        <v>9.765625E-4</v>
      </c>
      <c r="I696">
        <v>-0.4204653726361815</v>
      </c>
      <c r="J696">
        <v>-4.10610715465021E-4</v>
      </c>
      <c r="M696">
        <v>19.627182737442741</v>
      </c>
      <c r="N696">
        <v>9.765625E-4</v>
      </c>
      <c r="O696">
        <f t="shared" si="10"/>
        <v>0.97412109375</v>
      </c>
    </row>
    <row r="697" spans="1:15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27.805175544710515</v>
      </c>
      <c r="H697">
        <v>4.8828125E-4</v>
      </c>
      <c r="I697">
        <v>-0.39580279474970403</v>
      </c>
      <c r="J697">
        <v>-1.9326308337387892E-4</v>
      </c>
      <c r="M697">
        <v>19.627182737442741</v>
      </c>
      <c r="N697">
        <v>4.8828125E-4</v>
      </c>
      <c r="O697">
        <f t="shared" si="10"/>
        <v>0.974609375</v>
      </c>
    </row>
    <row r="698" spans="1:15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23.573953179211081</v>
      </c>
      <c r="H698">
        <v>9.765625E-4</v>
      </c>
      <c r="I698">
        <v>-0.45575566323770267</v>
      </c>
      <c r="J698">
        <v>-4.4507388988056901E-4</v>
      </c>
      <c r="M698">
        <v>19.627182737442741</v>
      </c>
      <c r="N698">
        <v>9.765625E-4</v>
      </c>
      <c r="O698">
        <f t="shared" si="10"/>
        <v>0.9755859375</v>
      </c>
    </row>
    <row r="699" spans="1:15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25.991794530925048</v>
      </c>
      <c r="H699">
        <v>1.953125E-3</v>
      </c>
      <c r="I699">
        <v>-0.4204653726361815</v>
      </c>
      <c r="J699">
        <v>-8.2122143093004199E-4</v>
      </c>
      <c r="M699">
        <v>19.627182737442741</v>
      </c>
      <c r="N699">
        <v>1.953125E-3</v>
      </c>
      <c r="O699">
        <f t="shared" si="10"/>
        <v>0.9775390625</v>
      </c>
    </row>
    <row r="700" spans="1:15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27.805175544710515</v>
      </c>
      <c r="H700">
        <v>9.765625E-4</v>
      </c>
      <c r="I700">
        <v>-0.39580279474970403</v>
      </c>
      <c r="J700">
        <v>-3.8652616674775785E-4</v>
      </c>
      <c r="M700">
        <v>19.627182737442741</v>
      </c>
      <c r="N700">
        <v>9.765625E-4</v>
      </c>
      <c r="O700">
        <f t="shared" si="10"/>
        <v>0.978515625</v>
      </c>
    </row>
    <row r="701" spans="1:15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23.573953179211081</v>
      </c>
      <c r="H701">
        <v>4.8828125E-4</v>
      </c>
      <c r="I701">
        <v>-0.45575566323770267</v>
      </c>
      <c r="J701">
        <v>-2.2253694494028451E-4</v>
      </c>
      <c r="M701">
        <v>19.627182737442741</v>
      </c>
      <c r="N701">
        <v>4.8828125E-4</v>
      </c>
      <c r="O701">
        <f t="shared" si="10"/>
        <v>0.97900390625</v>
      </c>
    </row>
    <row r="702" spans="1:15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25.991794530925048</v>
      </c>
      <c r="H702">
        <v>9.765625E-4</v>
      </c>
      <c r="I702">
        <v>-0.4204653726361815</v>
      </c>
      <c r="J702">
        <v>-4.10610715465021E-4</v>
      </c>
      <c r="M702">
        <v>19.627182737442741</v>
      </c>
      <c r="N702">
        <v>9.765625E-4</v>
      </c>
      <c r="O702">
        <f t="shared" si="10"/>
        <v>0.97998046875</v>
      </c>
    </row>
    <row r="703" spans="1:15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27.805175544710515</v>
      </c>
      <c r="H703">
        <v>4.8828125E-4</v>
      </c>
      <c r="I703">
        <v>-0.39580279474970403</v>
      </c>
      <c r="J703">
        <v>-1.9326308337387892E-4</v>
      </c>
      <c r="M703">
        <v>19.627182737442741</v>
      </c>
      <c r="N703">
        <v>4.8828125E-4</v>
      </c>
      <c r="O703">
        <f t="shared" si="10"/>
        <v>0.98046875</v>
      </c>
    </row>
    <row r="704" spans="1:15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26.520697326612481</v>
      </c>
      <c r="H704">
        <v>2.44140625E-4</v>
      </c>
      <c r="I704">
        <v>-0.41311749117259244</v>
      </c>
      <c r="J704">
        <v>-1.008587624933087E-4</v>
      </c>
      <c r="M704">
        <v>20.315199487712544</v>
      </c>
      <c r="N704">
        <v>4.8828125E-4</v>
      </c>
      <c r="O704">
        <f t="shared" si="10"/>
        <v>0.98095703125</v>
      </c>
    </row>
    <row r="705" spans="1:15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29.240768847290678</v>
      </c>
      <c r="H705">
        <v>4.8828125E-4</v>
      </c>
      <c r="I705">
        <v>-0.37730843542894921</v>
      </c>
      <c r="J705">
        <v>-1.8423263448679161E-4</v>
      </c>
      <c r="M705">
        <v>20.315199487712544</v>
      </c>
      <c r="N705">
        <v>9.765625E-4</v>
      </c>
      <c r="O705">
        <f t="shared" si="10"/>
        <v>0.98193359375</v>
      </c>
    </row>
    <row r="706" spans="1:15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31.280822487799334</v>
      </c>
      <c r="H706">
        <v>2.44140625E-4</v>
      </c>
      <c r="I706">
        <v>-0.35250372728532292</v>
      </c>
      <c r="J706">
        <v>-8.6060480294268291E-5</v>
      </c>
      <c r="M706">
        <v>20.315199487712544</v>
      </c>
      <c r="N706">
        <v>4.8828125E-4</v>
      </c>
      <c r="O706">
        <f t="shared" si="10"/>
        <v>0.982421875</v>
      </c>
    </row>
    <row r="707" spans="1:15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26.520697326612481</v>
      </c>
      <c r="H707">
        <v>4.8828125E-4</v>
      </c>
      <c r="I707">
        <v>-0.41311749117259244</v>
      </c>
      <c r="J707">
        <v>-2.017175249866174E-4</v>
      </c>
      <c r="M707">
        <v>20.315199487712544</v>
      </c>
      <c r="N707">
        <v>9.765625E-4</v>
      </c>
      <c r="O707">
        <f t="shared" si="10"/>
        <v>0.9833984375</v>
      </c>
    </row>
    <row r="708" spans="1:15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29.240768847290678</v>
      </c>
      <c r="H708">
        <v>9.765625E-4</v>
      </c>
      <c r="I708">
        <v>-0.37730843542894921</v>
      </c>
      <c r="J708">
        <v>-3.6846526897358321E-4</v>
      </c>
      <c r="M708">
        <v>20.315199487712544</v>
      </c>
      <c r="N708">
        <v>1.953125E-3</v>
      </c>
      <c r="O708">
        <f t="shared" ref="O708:O730" si="11">N708+O707</f>
        <v>0.9853515625</v>
      </c>
    </row>
    <row r="709" spans="1:15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31.280822487799334</v>
      </c>
      <c r="H709">
        <v>4.8828125E-4</v>
      </c>
      <c r="I709">
        <v>-0.35250372728532292</v>
      </c>
      <c r="J709">
        <v>-1.7212096058853658E-4</v>
      </c>
      <c r="M709">
        <v>20.315199487712544</v>
      </c>
      <c r="N709">
        <v>9.765625E-4</v>
      </c>
      <c r="O709">
        <f t="shared" si="11"/>
        <v>0.986328125</v>
      </c>
    </row>
    <row r="710" spans="1:15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26.520697326612481</v>
      </c>
      <c r="H710">
        <v>2.44140625E-4</v>
      </c>
      <c r="I710">
        <v>-0.41311749117259244</v>
      </c>
      <c r="J710">
        <v>-1.008587624933087E-4</v>
      </c>
      <c r="M710">
        <v>20.315199487712544</v>
      </c>
      <c r="N710">
        <v>4.8828125E-4</v>
      </c>
      <c r="O710">
        <f t="shared" si="11"/>
        <v>0.98681640625</v>
      </c>
    </row>
    <row r="711" spans="1:15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29.240768847290678</v>
      </c>
      <c r="H711">
        <v>4.8828125E-4</v>
      </c>
      <c r="I711">
        <v>-0.37730843542894921</v>
      </c>
      <c r="J711">
        <v>-1.8423263448679161E-4</v>
      </c>
      <c r="M711">
        <v>20.315199487712544</v>
      </c>
      <c r="N711">
        <v>9.765625E-4</v>
      </c>
      <c r="O711">
        <f t="shared" si="11"/>
        <v>0.98779296875</v>
      </c>
    </row>
    <row r="712" spans="1:15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31.280822487799334</v>
      </c>
      <c r="H712">
        <v>2.44140625E-4</v>
      </c>
      <c r="I712">
        <v>-0.35250372728532292</v>
      </c>
      <c r="J712">
        <v>-8.6060480294268291E-5</v>
      </c>
      <c r="M712">
        <v>20.315199487712544</v>
      </c>
      <c r="N712">
        <v>4.8828125E-4</v>
      </c>
      <c r="O712">
        <f t="shared" si="11"/>
        <v>0.98828125</v>
      </c>
    </row>
    <row r="713" spans="1:15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26.520697326612481</v>
      </c>
      <c r="H713">
        <v>4.8828125E-4</v>
      </c>
      <c r="I713">
        <v>-0.41311749117259244</v>
      </c>
      <c r="J713">
        <v>-2.017175249866174E-4</v>
      </c>
      <c r="M713">
        <v>20.640542715734622</v>
      </c>
      <c r="N713">
        <v>4.8828125E-4</v>
      </c>
      <c r="O713">
        <f t="shared" si="11"/>
        <v>0.98876953125</v>
      </c>
    </row>
    <row r="714" spans="1:15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29.240768847290678</v>
      </c>
      <c r="H714">
        <v>9.765625E-4</v>
      </c>
      <c r="I714">
        <v>-0.37730843542894921</v>
      </c>
      <c r="J714">
        <v>-3.6846526897358321E-4</v>
      </c>
      <c r="M714">
        <v>20.640542715734622</v>
      </c>
      <c r="N714">
        <v>9.765625E-4</v>
      </c>
      <c r="O714">
        <f t="shared" si="11"/>
        <v>0.98974609375</v>
      </c>
    </row>
    <row r="715" spans="1:15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31.280822487799334</v>
      </c>
      <c r="H715">
        <v>4.8828125E-4</v>
      </c>
      <c r="I715">
        <v>-0.35250372728532292</v>
      </c>
      <c r="J715">
        <v>-1.7212096058853658E-4</v>
      </c>
      <c r="M715">
        <v>20.640542715734622</v>
      </c>
      <c r="N715">
        <v>4.8828125E-4</v>
      </c>
      <c r="O715">
        <f t="shared" si="11"/>
        <v>0.990234375</v>
      </c>
    </row>
    <row r="716" spans="1:15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26.520697326612481</v>
      </c>
      <c r="H716">
        <v>9.765625E-4</v>
      </c>
      <c r="I716">
        <v>-0.41311749117259244</v>
      </c>
      <c r="J716">
        <v>-4.0343504997323481E-4</v>
      </c>
      <c r="M716">
        <v>20.640542715734622</v>
      </c>
      <c r="N716">
        <v>9.765625E-4</v>
      </c>
      <c r="O716">
        <f t="shared" si="11"/>
        <v>0.9912109375</v>
      </c>
    </row>
    <row r="717" spans="1:15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29.240768847290678</v>
      </c>
      <c r="H717">
        <v>1.953125E-3</v>
      </c>
      <c r="I717">
        <v>-0.37730843542894921</v>
      </c>
      <c r="J717">
        <v>-7.3693053794716642E-4</v>
      </c>
      <c r="M717">
        <v>20.640542715734622</v>
      </c>
      <c r="N717">
        <v>1.953125E-3</v>
      </c>
      <c r="O717">
        <f t="shared" si="11"/>
        <v>0.9931640625</v>
      </c>
    </row>
    <row r="718" spans="1:15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31.280822487799334</v>
      </c>
      <c r="H718">
        <v>9.765625E-4</v>
      </c>
      <c r="I718">
        <v>-0.35250372728532292</v>
      </c>
      <c r="J718">
        <v>-3.4424192117707316E-4</v>
      </c>
      <c r="M718">
        <v>20.640542715734622</v>
      </c>
      <c r="N718">
        <v>9.765625E-4</v>
      </c>
      <c r="O718">
        <f t="shared" si="11"/>
        <v>0.994140625</v>
      </c>
    </row>
    <row r="719" spans="1:15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26.520697326612481</v>
      </c>
      <c r="H719">
        <v>4.8828125E-4</v>
      </c>
      <c r="I719">
        <v>-0.41311749117259244</v>
      </c>
      <c r="J719">
        <v>-2.017175249866174E-4</v>
      </c>
      <c r="M719">
        <v>20.640542715734622</v>
      </c>
      <c r="N719">
        <v>4.8828125E-4</v>
      </c>
      <c r="O719">
        <f t="shared" si="11"/>
        <v>0.99462890625</v>
      </c>
    </row>
    <row r="720" spans="1:15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29.240768847290678</v>
      </c>
      <c r="H720">
        <v>9.765625E-4</v>
      </c>
      <c r="I720">
        <v>-0.37730843542894921</v>
      </c>
      <c r="J720">
        <v>-3.6846526897358321E-4</v>
      </c>
      <c r="M720">
        <v>20.640542715734622</v>
      </c>
      <c r="N720">
        <v>9.765625E-4</v>
      </c>
      <c r="O720">
        <f t="shared" si="11"/>
        <v>0.99560546875</v>
      </c>
    </row>
    <row r="721" spans="1:15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31.280822487799334</v>
      </c>
      <c r="H721">
        <v>4.8828125E-4</v>
      </c>
      <c r="I721">
        <v>-0.35250372728532292</v>
      </c>
      <c r="J721">
        <v>-1.7212096058853658E-4</v>
      </c>
      <c r="M721">
        <v>20.640542715734622</v>
      </c>
      <c r="N721">
        <v>4.8828125E-4</v>
      </c>
      <c r="O721">
        <f t="shared" si="11"/>
        <v>0.99609375</v>
      </c>
    </row>
    <row r="722" spans="1:15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26.520697326612481</v>
      </c>
      <c r="H722">
        <v>2.44140625E-4</v>
      </c>
      <c r="I722">
        <v>-0.41311749117259244</v>
      </c>
      <c r="J722">
        <v>-1.008587624933087E-4</v>
      </c>
      <c r="M722">
        <v>22.080580579623085</v>
      </c>
      <c r="N722">
        <v>2.44140625E-4</v>
      </c>
      <c r="O722">
        <f t="shared" si="11"/>
        <v>0.996337890625</v>
      </c>
    </row>
    <row r="723" spans="1:15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29.240768847290678</v>
      </c>
      <c r="H723">
        <v>4.8828125E-4</v>
      </c>
      <c r="I723">
        <v>-0.37730843542894921</v>
      </c>
      <c r="J723">
        <v>-1.8423263448679161E-4</v>
      </c>
      <c r="M723">
        <v>22.080580579623085</v>
      </c>
      <c r="N723">
        <v>4.8828125E-4</v>
      </c>
      <c r="O723">
        <f t="shared" si="11"/>
        <v>0.996826171875</v>
      </c>
    </row>
    <row r="724" spans="1:15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31.280822487799334</v>
      </c>
      <c r="H724">
        <v>2.44140625E-4</v>
      </c>
      <c r="I724">
        <v>-0.35250372728532292</v>
      </c>
      <c r="J724">
        <v>-8.6060480294268291E-5</v>
      </c>
      <c r="M724">
        <v>22.080580579623085</v>
      </c>
      <c r="N724">
        <v>2.44140625E-4</v>
      </c>
      <c r="O724">
        <f t="shared" si="11"/>
        <v>0.9970703125</v>
      </c>
    </row>
    <row r="725" spans="1:15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26.520697326612481</v>
      </c>
      <c r="H725">
        <v>4.8828125E-4</v>
      </c>
      <c r="I725">
        <v>-0.41311749117259244</v>
      </c>
      <c r="J725">
        <v>-2.017175249866174E-4</v>
      </c>
      <c r="M725">
        <v>22.080580579623085</v>
      </c>
      <c r="N725">
        <v>4.8828125E-4</v>
      </c>
      <c r="O725">
        <f t="shared" si="11"/>
        <v>0.99755859375</v>
      </c>
    </row>
    <row r="726" spans="1:15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29.240768847290678</v>
      </c>
      <c r="H726">
        <v>9.765625E-4</v>
      </c>
      <c r="I726">
        <v>-0.37730843542894921</v>
      </c>
      <c r="J726">
        <v>-3.6846526897358321E-4</v>
      </c>
      <c r="M726">
        <v>22.080580579623085</v>
      </c>
      <c r="N726">
        <v>9.765625E-4</v>
      </c>
      <c r="O726">
        <f t="shared" si="11"/>
        <v>0.99853515625</v>
      </c>
    </row>
    <row r="727" spans="1:15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31.280822487799334</v>
      </c>
      <c r="H727">
        <v>4.8828125E-4</v>
      </c>
      <c r="I727">
        <v>-0.35250372728532292</v>
      </c>
      <c r="J727">
        <v>-1.7212096058853658E-4</v>
      </c>
      <c r="M727">
        <v>22.080580579623085</v>
      </c>
      <c r="N727">
        <v>4.8828125E-4</v>
      </c>
      <c r="O727">
        <f t="shared" si="11"/>
        <v>0.9990234375</v>
      </c>
    </row>
    <row r="728" spans="1:15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26.520697326612481</v>
      </c>
      <c r="H728">
        <v>2.44140625E-4</v>
      </c>
      <c r="I728">
        <v>-0.41311749117259244</v>
      </c>
      <c r="J728">
        <v>-1.008587624933087E-4</v>
      </c>
      <c r="M728">
        <v>22.080580579623085</v>
      </c>
      <c r="N728">
        <v>2.44140625E-4</v>
      </c>
      <c r="O728">
        <f t="shared" si="11"/>
        <v>0.999267578125</v>
      </c>
    </row>
    <row r="729" spans="1:15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29.240768847290678</v>
      </c>
      <c r="H729">
        <v>4.8828125E-4</v>
      </c>
      <c r="I729">
        <v>-0.37730843542894921</v>
      </c>
      <c r="J729">
        <v>-1.8423263448679161E-4</v>
      </c>
      <c r="M729">
        <v>22.080580579623085</v>
      </c>
      <c r="N729">
        <v>4.8828125E-4</v>
      </c>
      <c r="O729">
        <f t="shared" si="11"/>
        <v>0.999755859375</v>
      </c>
    </row>
    <row r="730" spans="1:15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31.280822487799334</v>
      </c>
      <c r="H730">
        <v>2.44140625E-4</v>
      </c>
      <c r="I730">
        <v>-0.35250372728532292</v>
      </c>
      <c r="J730">
        <v>-8.6060480294268291E-5</v>
      </c>
      <c r="M730">
        <v>22.080580579623085</v>
      </c>
      <c r="N730">
        <v>2.44140625E-4</v>
      </c>
      <c r="O730">
        <f t="shared" si="11"/>
        <v>1</v>
      </c>
    </row>
  </sheetData>
  <sortState ref="M2:N732">
    <sortCondition ref="M2:M73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9"/>
  <sheetViews>
    <sheetView topLeftCell="A2" workbookViewId="0">
      <selection activeCell="G14" sqref="G14"/>
    </sheetView>
  </sheetViews>
  <sheetFormatPr defaultRowHeight="14.25" x14ac:dyDescent="0.45"/>
  <cols>
    <col min="2" max="2" width="10.73046875" bestFit="1" customWidth="1"/>
    <col min="3" max="3" width="10.73046875" customWidth="1"/>
    <col min="4" max="6" width="14.3984375" bestFit="1" customWidth="1"/>
    <col min="7" max="7" width="13.3984375" bestFit="1" customWidth="1"/>
    <col min="17" max="17" width="15.265625" customWidth="1"/>
  </cols>
  <sheetData>
    <row r="1" spans="1:18" ht="14.65" thickBot="1" x14ac:dyDescent="0.5"/>
    <row r="2" spans="1:18" ht="15" thickTop="1" thickBot="1" x14ac:dyDescent="0.5">
      <c r="B2" s="140" t="s">
        <v>83</v>
      </c>
      <c r="C2" s="140"/>
      <c r="D2" s="140"/>
      <c r="E2" s="140"/>
      <c r="F2" s="140"/>
      <c r="G2" s="104"/>
    </row>
    <row r="3" spans="1:18" ht="15" thickTop="1" thickBot="1" x14ac:dyDescent="0.5">
      <c r="B3" s="105"/>
      <c r="C3" s="105" t="s">
        <v>79</v>
      </c>
      <c r="D3" s="105" t="s">
        <v>80</v>
      </c>
      <c r="E3" s="105" t="s">
        <v>81</v>
      </c>
      <c r="F3" s="105" t="s">
        <v>82</v>
      </c>
    </row>
    <row r="4" spans="1:18" ht="15" thickTop="1" thickBot="1" x14ac:dyDescent="0.5">
      <c r="B4" s="103" t="s">
        <v>93</v>
      </c>
      <c r="C4" s="103">
        <v>11.357047462671101</v>
      </c>
      <c r="D4" s="103">
        <v>7.8869277911037461</v>
      </c>
      <c r="E4" s="103">
        <v>10.497902148367951</v>
      </c>
      <c r="F4" s="103">
        <v>8.0151921863284343</v>
      </c>
    </row>
    <row r="5" spans="1:18" ht="15" thickTop="1" thickBot="1" x14ac:dyDescent="0.5">
      <c r="B5" s="103" t="s">
        <v>92</v>
      </c>
      <c r="C5" s="103">
        <v>10.545158200350798</v>
      </c>
      <c r="D5" s="103">
        <v>3.8440140967086935</v>
      </c>
      <c r="E5" s="103">
        <v>9.4896107545675843</v>
      </c>
      <c r="F5" s="103">
        <v>7.615184434899497</v>
      </c>
      <c r="Q5" t="s">
        <v>122</v>
      </c>
      <c r="R5">
        <v>58.5</v>
      </c>
    </row>
    <row r="6" spans="1:18" ht="15" thickTop="1" thickBot="1" x14ac:dyDescent="0.5">
      <c r="B6" s="103" t="s">
        <v>86</v>
      </c>
      <c r="C6" s="103">
        <v>-0.70362813947826464</v>
      </c>
      <c r="D6" s="103">
        <v>-0.87973565980198798</v>
      </c>
      <c r="E6" s="103">
        <v>-0.72882592719379613</v>
      </c>
      <c r="F6" s="103">
        <v>-0.77581632518605281</v>
      </c>
    </row>
    <row r="7" spans="1:18" ht="14.65" thickTop="1" x14ac:dyDescent="0.45">
      <c r="B7" s="102"/>
      <c r="C7" s="102">
        <f>MAX(C4:C5)</f>
        <v>11.357047462671101</v>
      </c>
      <c r="D7" s="102">
        <f t="shared" ref="D7:F7" si="0">MAX(D4:D5)</f>
        <v>7.8869277911037461</v>
      </c>
      <c r="E7" s="102">
        <f t="shared" si="0"/>
        <v>10.497902148367951</v>
      </c>
      <c r="F7" s="102">
        <f t="shared" si="0"/>
        <v>8.0151921863284343</v>
      </c>
      <c r="Q7" t="s">
        <v>123</v>
      </c>
      <c r="R7">
        <v>4.0999999999999996</v>
      </c>
    </row>
    <row r="8" spans="1:18" x14ac:dyDescent="0.45">
      <c r="B8" s="102"/>
      <c r="C8" s="102"/>
      <c r="D8" s="102"/>
      <c r="E8" s="102"/>
      <c r="F8" s="102"/>
    </row>
    <row r="12" spans="1:18" x14ac:dyDescent="0.45">
      <c r="A12" s="115"/>
      <c r="B12" s="115"/>
      <c r="C12" s="115"/>
      <c r="D12" s="115"/>
      <c r="E12" s="115"/>
      <c r="F12" s="115"/>
      <c r="G12" s="115"/>
    </row>
    <row r="13" spans="1:18" x14ac:dyDescent="0.45">
      <c r="A13" s="115"/>
      <c r="B13" s="115"/>
      <c r="C13" s="115"/>
      <c r="D13" s="115"/>
      <c r="E13" s="115"/>
      <c r="F13" s="115"/>
      <c r="G13" s="115"/>
    </row>
    <row r="14" spans="1:18" x14ac:dyDescent="0.45">
      <c r="A14" s="115"/>
      <c r="B14" s="115" t="s">
        <v>90</v>
      </c>
      <c r="C14" s="115" t="s">
        <v>91</v>
      </c>
      <c r="D14" s="115" t="s">
        <v>89</v>
      </c>
      <c r="E14" s="115"/>
      <c r="F14" s="115"/>
      <c r="G14" s="115"/>
    </row>
    <row r="15" spans="1:18" x14ac:dyDescent="0.45">
      <c r="A15" s="115">
        <v>1</v>
      </c>
      <c r="B15" s="117">
        <v>7.27</v>
      </c>
      <c r="C15" s="117">
        <v>10.816000000000001</v>
      </c>
      <c r="D15" s="116">
        <v>13.1</v>
      </c>
      <c r="E15" s="116"/>
      <c r="F15" s="116"/>
      <c r="G15" s="116"/>
    </row>
    <row r="16" spans="1:18" x14ac:dyDescent="0.45">
      <c r="A16" s="115">
        <v>2</v>
      </c>
      <c r="B16" s="115">
        <v>-2.33</v>
      </c>
      <c r="C16" s="115">
        <v>3.94</v>
      </c>
      <c r="D16" s="115">
        <v>10.73</v>
      </c>
      <c r="E16" s="115"/>
      <c r="F16" s="115"/>
      <c r="G16" s="115"/>
    </row>
    <row r="17" spans="1:10" x14ac:dyDescent="0.45">
      <c r="A17" s="115">
        <v>3</v>
      </c>
      <c r="B17" s="115">
        <v>5.65</v>
      </c>
      <c r="C17" s="115">
        <v>9.3000000000000007</v>
      </c>
      <c r="D17" s="118">
        <v>13.87</v>
      </c>
      <c r="E17" s="115"/>
      <c r="F17" s="115"/>
      <c r="G17" s="115"/>
    </row>
    <row r="18" spans="1:10" x14ac:dyDescent="0.45">
      <c r="A18" s="115">
        <v>4</v>
      </c>
      <c r="B18" s="115">
        <v>4.67</v>
      </c>
      <c r="C18" s="115">
        <v>6.83</v>
      </c>
      <c r="D18" s="115">
        <v>11.22</v>
      </c>
      <c r="E18" s="115"/>
      <c r="F18" s="115"/>
      <c r="G18" s="115"/>
      <c r="H18" s="96"/>
    </row>
    <row r="19" spans="1:10" x14ac:dyDescent="0.45">
      <c r="A19" s="115" t="s">
        <v>126</v>
      </c>
      <c r="B19" s="115">
        <f>MAX(B15:B18)</f>
        <v>7.27</v>
      </c>
      <c r="C19" s="115">
        <f t="shared" ref="C19:D19" si="1">MAX(C15:C18)</f>
        <v>10.816000000000001</v>
      </c>
      <c r="D19" s="115">
        <f t="shared" si="1"/>
        <v>13.87</v>
      </c>
      <c r="E19" s="118">
        <f>SUMPRODUCT(B19:D19,B20:D20)</f>
        <v>10.934349999999998</v>
      </c>
      <c r="F19" s="115"/>
      <c r="G19" s="115"/>
      <c r="H19" s="96"/>
    </row>
    <row r="20" spans="1:10" x14ac:dyDescent="0.45">
      <c r="A20" s="115" t="s">
        <v>127</v>
      </c>
      <c r="B20" s="115">
        <v>0.22500000000000001</v>
      </c>
      <c r="C20" s="115">
        <v>0.47499999999999998</v>
      </c>
      <c r="D20" s="115">
        <v>0.3</v>
      </c>
      <c r="E20" s="115"/>
      <c r="F20" s="115"/>
      <c r="G20" s="115"/>
      <c r="H20" s="96"/>
    </row>
    <row r="21" spans="1:10" x14ac:dyDescent="0.45">
      <c r="A21" s="115"/>
      <c r="B21" s="115"/>
      <c r="C21" s="115"/>
      <c r="D21" s="115"/>
      <c r="E21" s="115"/>
      <c r="F21" s="115"/>
      <c r="G21" s="115"/>
    </row>
    <row r="22" spans="1:10" ht="14.65" thickBot="1" x14ac:dyDescent="0.5"/>
    <row r="23" spans="1:10" ht="14.65" thickBot="1" x14ac:dyDescent="0.5">
      <c r="B23" s="141" t="s">
        <v>83</v>
      </c>
      <c r="C23" s="142"/>
      <c r="D23" s="142"/>
      <c r="E23" s="142"/>
      <c r="F23" s="143"/>
    </row>
    <row r="24" spans="1:10" ht="14.65" thickBot="1" x14ac:dyDescent="0.5">
      <c r="B24" s="111" t="s">
        <v>124</v>
      </c>
      <c r="C24" s="109" t="s">
        <v>118</v>
      </c>
      <c r="D24" s="109" t="s">
        <v>117</v>
      </c>
      <c r="E24" s="109" t="s">
        <v>116</v>
      </c>
      <c r="F24" s="121" t="s">
        <v>112</v>
      </c>
    </row>
    <row r="25" spans="1:10" x14ac:dyDescent="0.45">
      <c r="B25" s="109" t="s">
        <v>93</v>
      </c>
      <c r="C25" s="109">
        <f>C4</f>
        <v>11.357047462671101</v>
      </c>
      <c r="D25" s="109">
        <f t="shared" ref="D25:F25" si="2">D4</f>
        <v>7.8869277911037461</v>
      </c>
      <c r="E25" s="109">
        <f t="shared" si="2"/>
        <v>10.497902148367951</v>
      </c>
      <c r="F25" s="121">
        <f t="shared" si="2"/>
        <v>8.0151921863284343</v>
      </c>
      <c r="G25" s="115"/>
      <c r="H25" s="102"/>
    </row>
    <row r="26" spans="1:10" x14ac:dyDescent="0.45">
      <c r="B26" s="110" t="s">
        <v>92</v>
      </c>
      <c r="C26" s="110">
        <f>C5</f>
        <v>10.545158200350798</v>
      </c>
      <c r="D26" s="110">
        <f t="shared" ref="D26:F26" si="3">D5</f>
        <v>3.8440140967086935</v>
      </c>
      <c r="E26" s="110">
        <f t="shared" si="3"/>
        <v>9.4896107545675843</v>
      </c>
      <c r="F26" s="122">
        <f t="shared" si="3"/>
        <v>7.615184434899497</v>
      </c>
    </row>
    <row r="27" spans="1:10" x14ac:dyDescent="0.45">
      <c r="B27" s="110" t="s">
        <v>125</v>
      </c>
      <c r="C27" s="110">
        <f>C29</f>
        <v>0.38919179964920048</v>
      </c>
      <c r="D27" s="110">
        <f t="shared" ref="D27:F27" si="4">D29</f>
        <v>7.0903359032913045</v>
      </c>
      <c r="E27" s="110">
        <f t="shared" si="4"/>
        <v>1.4447392454324142</v>
      </c>
      <c r="F27" s="110">
        <f t="shared" si="4"/>
        <v>3.3191655651005014</v>
      </c>
    </row>
    <row r="28" spans="1:10" x14ac:dyDescent="0.45">
      <c r="B28" s="114" t="s">
        <v>128</v>
      </c>
      <c r="C28" s="114">
        <f>$E$19</f>
        <v>10.934349999999998</v>
      </c>
      <c r="D28" s="114">
        <f t="shared" ref="D28:F28" si="5">$E$19</f>
        <v>10.934349999999998</v>
      </c>
      <c r="E28" s="114">
        <f t="shared" si="5"/>
        <v>10.934349999999998</v>
      </c>
      <c r="F28" s="114">
        <f t="shared" si="5"/>
        <v>10.934349999999998</v>
      </c>
    </row>
    <row r="29" spans="1:10" x14ac:dyDescent="0.45">
      <c r="B29" s="114" t="s">
        <v>125</v>
      </c>
      <c r="C29" s="114">
        <f>(C28-C26)</f>
        <v>0.38919179964920048</v>
      </c>
      <c r="D29" s="114">
        <f t="shared" ref="D29:F29" si="6">(D28-D26)</f>
        <v>7.0903359032913045</v>
      </c>
      <c r="E29" s="114">
        <f t="shared" si="6"/>
        <v>1.4447392454324142</v>
      </c>
      <c r="F29" s="114">
        <f t="shared" si="6"/>
        <v>3.3191655651005014</v>
      </c>
      <c r="G29" s="115"/>
      <c r="H29" s="115"/>
      <c r="I29" s="115"/>
      <c r="J29" s="115"/>
    </row>
    <row r="30" spans="1:10" ht="14.65" thickBot="1" x14ac:dyDescent="0.5">
      <c r="B30" s="123" t="s">
        <v>129</v>
      </c>
      <c r="C30" s="123">
        <v>250000</v>
      </c>
      <c r="D30" s="123">
        <v>250000</v>
      </c>
      <c r="E30" s="123">
        <v>250000</v>
      </c>
      <c r="F30" s="120">
        <v>250000</v>
      </c>
    </row>
    <row r="31" spans="1:10" x14ac:dyDescent="0.45">
      <c r="B31" s="115"/>
      <c r="C31" s="115"/>
      <c r="D31" s="115"/>
      <c r="E31" s="115"/>
      <c r="F31" s="115"/>
    </row>
    <row r="32" spans="1:10" x14ac:dyDescent="0.45">
      <c r="B32" s="115"/>
      <c r="C32" s="119"/>
      <c r="D32" s="119"/>
      <c r="E32" s="119"/>
      <c r="F32" s="119"/>
      <c r="G32" s="113"/>
    </row>
    <row r="33" spans="1:6" x14ac:dyDescent="0.45">
      <c r="B33" t="s">
        <v>90</v>
      </c>
      <c r="C33" s="113" t="s">
        <v>91</v>
      </c>
      <c r="D33" s="113" t="s">
        <v>89</v>
      </c>
      <c r="E33" s="113"/>
      <c r="F33" s="113"/>
    </row>
    <row r="34" spans="1:6" x14ac:dyDescent="0.45">
      <c r="A34">
        <v>1</v>
      </c>
      <c r="B34">
        <v>7.1120000000000001</v>
      </c>
      <c r="C34">
        <v>10.656000000000001</v>
      </c>
      <c r="D34">
        <v>12.938000000000001</v>
      </c>
    </row>
    <row r="35" spans="1:6" x14ac:dyDescent="0.45">
      <c r="A35">
        <v>2</v>
      </c>
      <c r="B35">
        <v>-2.56</v>
      </c>
      <c r="C35">
        <v>3.7360000000000002</v>
      </c>
      <c r="D35">
        <v>10.528</v>
      </c>
    </row>
    <row r="36" spans="1:6" x14ac:dyDescent="0.45">
      <c r="A36">
        <v>3</v>
      </c>
      <c r="B36">
        <v>5.33</v>
      </c>
      <c r="C36">
        <v>9.14</v>
      </c>
      <c r="D36">
        <v>13.7</v>
      </c>
    </row>
    <row r="37" spans="1:6" x14ac:dyDescent="0.45">
      <c r="A37">
        <v>4</v>
      </c>
      <c r="B37">
        <v>4.6970000000000001</v>
      </c>
      <c r="C37">
        <v>6.9859999999999998</v>
      </c>
      <c r="D37">
        <v>11.04</v>
      </c>
    </row>
    <row r="38" spans="1:6" x14ac:dyDescent="0.45">
      <c r="A38" t="s">
        <v>126</v>
      </c>
      <c r="B38">
        <f>MAX(B34:B37)</f>
        <v>7.1120000000000001</v>
      </c>
      <c r="C38">
        <f t="shared" ref="C38:D38" si="7">MAX(C34:C37)</f>
        <v>10.656000000000001</v>
      </c>
      <c r="D38">
        <f t="shared" si="7"/>
        <v>13.7</v>
      </c>
      <c r="E38" s="97">
        <f>SUMPRODUCT(B38:D38,B39:D39)</f>
        <v>10.771799999999999</v>
      </c>
    </row>
    <row r="39" spans="1:6" x14ac:dyDescent="0.45">
      <c r="A39" t="s">
        <v>127</v>
      </c>
      <c r="B39" s="115">
        <v>0.22500000000000001</v>
      </c>
      <c r="C39" s="115">
        <v>0.47499999999999998</v>
      </c>
      <c r="D39" s="115">
        <v>0.3</v>
      </c>
    </row>
  </sheetData>
  <mergeCells count="2">
    <mergeCell ref="B2:F2"/>
    <mergeCell ref="B23:F23"/>
  </mergeCells>
  <conditionalFormatting sqref="C29:J29">
    <cfRule type="cellIs" dxfId="2" priority="3" operator="greaterThan">
      <formula>$C$30</formula>
    </cfRule>
  </conditionalFormatting>
  <conditionalFormatting sqref="C29:F29">
    <cfRule type="cellIs" dxfId="1" priority="1" operator="greaterThan">
      <formula>0.25</formula>
    </cfRule>
    <cfRule type="cellIs" dxfId="0" priority="2" operator="greaterThan">
      <formula>$C$30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730"/>
  <sheetViews>
    <sheetView workbookViewId="0">
      <selection activeCell="S2" sqref="S2"/>
    </sheetView>
  </sheetViews>
  <sheetFormatPr defaultRowHeight="14.25" x14ac:dyDescent="0.45"/>
  <cols>
    <col min="11" max="12" width="9.06640625" style="96"/>
  </cols>
  <sheetData>
    <row r="1" spans="1:19" x14ac:dyDescent="0.45">
      <c r="G1" t="s">
        <v>84</v>
      </c>
      <c r="H1" t="s">
        <v>75</v>
      </c>
      <c r="I1" t="s">
        <v>87</v>
      </c>
      <c r="J1" t="s">
        <v>88</v>
      </c>
      <c r="K1" s="96" t="s">
        <v>89</v>
      </c>
      <c r="L1" s="96" t="s">
        <v>91</v>
      </c>
      <c r="M1" s="96" t="s">
        <v>90</v>
      </c>
      <c r="N1" s="96" t="s">
        <v>89</v>
      </c>
      <c r="O1" s="96" t="s">
        <v>91</v>
      </c>
      <c r="P1" s="96" t="s">
        <v>90</v>
      </c>
    </row>
    <row r="2" spans="1:19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1.5511504924183874</v>
      </c>
      <c r="H2">
        <v>7.6612180056514559E-3</v>
      </c>
      <c r="I2">
        <v>-0.94960894458351253</v>
      </c>
      <c r="J2">
        <v>-7.2751611445708818E-3</v>
      </c>
      <c r="K2" s="96">
        <f>IF(A2=3,1,0)</f>
        <v>0</v>
      </c>
      <c r="L2" s="96">
        <f>IF(A2=2,1,0)</f>
        <v>0</v>
      </c>
      <c r="M2" s="96">
        <f>IF(A2=1,1,0)</f>
        <v>1</v>
      </c>
      <c r="N2">
        <f>SUMPRODUCT($J$2:$J$730,K2:K730)</f>
        <v>-8.0862298498996649E-2</v>
      </c>
      <c r="O2">
        <f t="shared" ref="O2:P2" si="0">SUMPRODUCT($J$2:$J$730,L2:L730)</f>
        <v>-0.32843486748383988</v>
      </c>
      <c r="P2">
        <f t="shared" si="0"/>
        <v>-0.38390081233546736</v>
      </c>
      <c r="R2" s="97" t="s">
        <v>86</v>
      </c>
      <c r="S2" s="97">
        <f>SUM(J2:J730)</f>
        <v>-0.79319797831830818</v>
      </c>
    </row>
    <row r="3" spans="1:19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5.2734514772551613</v>
      </c>
      <c r="H3">
        <v>7.6612180056514559E-3</v>
      </c>
      <c r="I3">
        <v>-0.83880106028234314</v>
      </c>
      <c r="J3">
        <v>-6.4262377861946194E-3</v>
      </c>
      <c r="K3" s="96">
        <f t="shared" ref="K3:K66" si="1">IF(A3=3,1,0)</f>
        <v>0</v>
      </c>
      <c r="L3" s="96">
        <f t="shared" ref="L3:L66" si="2">IF(A3=2,1,0)</f>
        <v>0</v>
      </c>
      <c r="M3" s="96">
        <f t="shared" ref="M3:M66" si="3">IF(A3=1,1,0)</f>
        <v>1</v>
      </c>
      <c r="N3">
        <f>-LN(-1*N2)/(1/risk_tol)</f>
        <v>75.450227685357532</v>
      </c>
      <c r="O3">
        <f>-LN(-1*O2)/(1/risk_tol)</f>
        <v>33.402501996473667</v>
      </c>
      <c r="P3">
        <f>-LN(-1*P2)/(1/risk_tol)</f>
        <v>28.721131829089014</v>
      </c>
      <c r="R3" s="97"/>
      <c r="S3" s="97"/>
    </row>
    <row r="4" spans="1:19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8.0651772158827413</v>
      </c>
      <c r="H4">
        <v>1.932559496921088E-3</v>
      </c>
      <c r="I4">
        <v>-0.7642661087880589</v>
      </c>
      <c r="J4">
        <v>-1.4769897267132887E-3</v>
      </c>
      <c r="K4" s="96">
        <f t="shared" si="1"/>
        <v>0</v>
      </c>
      <c r="L4" s="96">
        <f t="shared" si="2"/>
        <v>0</v>
      </c>
      <c r="M4" s="96">
        <f t="shared" si="3"/>
        <v>1</v>
      </c>
      <c r="R4" s="97" t="s">
        <v>92</v>
      </c>
      <c r="S4" s="97">
        <f>-LN(-1*S2)/(1/risk_tol)</f>
        <v>6.9504729331912616</v>
      </c>
    </row>
    <row r="5" spans="1:19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0.61321242042044188</v>
      </c>
      <c r="H5">
        <v>7.6612180056514559E-3</v>
      </c>
      <c r="I5">
        <v>-0.979767075122433</v>
      </c>
      <c r="J5">
        <v>-7.5062091572724466E-3</v>
      </c>
      <c r="K5" s="96">
        <f t="shared" si="1"/>
        <v>0</v>
      </c>
      <c r="L5" s="96">
        <f t="shared" si="2"/>
        <v>0</v>
      </c>
      <c r="M5" s="96">
        <f t="shared" si="3"/>
        <v>1</v>
      </c>
      <c r="R5" s="97"/>
      <c r="S5" s="97"/>
    </row>
    <row r="6" spans="1:19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4.3428762310459685</v>
      </c>
      <c r="H6">
        <v>7.6612180056514559E-3</v>
      </c>
      <c r="I6">
        <v>-0.86522772479911436</v>
      </c>
      <c r="J6">
        <v>-6.6286982242198178E-3</v>
      </c>
      <c r="K6" s="96">
        <f t="shared" si="1"/>
        <v>0</v>
      </c>
      <c r="L6" s="96">
        <f t="shared" si="2"/>
        <v>0</v>
      </c>
      <c r="M6" s="96">
        <f t="shared" si="3"/>
        <v>1</v>
      </c>
      <c r="R6" s="97" t="s">
        <v>83</v>
      </c>
      <c r="S6" s="97">
        <f>SUMPRODUCT(G2:G730,H2:H730)</f>
        <v>7.5547405358983015</v>
      </c>
    </row>
    <row r="7" spans="1:19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7.1346019696735485</v>
      </c>
      <c r="H7">
        <v>1.932559496921088E-3</v>
      </c>
      <c r="I7">
        <v>-0.78834452858843651</v>
      </c>
      <c r="J7">
        <v>-1.5235227055693612E-3</v>
      </c>
      <c r="K7" s="96">
        <f t="shared" si="1"/>
        <v>0</v>
      </c>
      <c r="L7" s="96">
        <f t="shared" si="2"/>
        <v>0</v>
      </c>
      <c r="M7" s="96">
        <f t="shared" si="3"/>
        <v>1</v>
      </c>
    </row>
    <row r="8" spans="1:19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-0.5</v>
      </c>
      <c r="H8">
        <v>1.932559496921088E-3</v>
      </c>
      <c r="I8">
        <v>-1.0168063303862609</v>
      </c>
      <c r="J8">
        <v>-1.9650387303174499E-3</v>
      </c>
      <c r="K8" s="96">
        <f t="shared" si="1"/>
        <v>0</v>
      </c>
      <c r="L8" s="96">
        <f t="shared" si="2"/>
        <v>0</v>
      </c>
      <c r="M8" s="96">
        <f t="shared" si="3"/>
        <v>1</v>
      </c>
    </row>
    <row r="9" spans="1:19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3.412300984836774</v>
      </c>
      <c r="H9">
        <v>1.932559496921088E-3</v>
      </c>
      <c r="I9">
        <v>-0.89248696885178502</v>
      </c>
      <c r="J9">
        <v>-1.7247841675328325E-3</v>
      </c>
      <c r="K9" s="96">
        <f t="shared" si="1"/>
        <v>0</v>
      </c>
      <c r="L9" s="96">
        <f t="shared" si="2"/>
        <v>0</v>
      </c>
      <c r="M9" s="96">
        <f t="shared" si="3"/>
        <v>1</v>
      </c>
    </row>
    <row r="10" spans="1:19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6.204026723464354</v>
      </c>
      <c r="H10">
        <v>4.8749248570982399E-4</v>
      </c>
      <c r="I10">
        <v>-0.81318154581112123</v>
      </c>
      <c r="J10">
        <v>-3.9641989310082058E-4</v>
      </c>
      <c r="K10" s="96">
        <f t="shared" si="1"/>
        <v>0</v>
      </c>
      <c r="L10" s="96">
        <f t="shared" si="2"/>
        <v>0</v>
      </c>
      <c r="M10" s="96">
        <f t="shared" si="3"/>
        <v>1</v>
      </c>
    </row>
    <row r="11" spans="1:19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1.5511504924183874</v>
      </c>
      <c r="H11">
        <v>7.6612180056514559E-3</v>
      </c>
      <c r="I11">
        <v>-0.94960894458351253</v>
      </c>
      <c r="J11">
        <v>-7.2751611445708818E-3</v>
      </c>
      <c r="K11" s="96">
        <f t="shared" si="1"/>
        <v>0</v>
      </c>
      <c r="L11" s="96">
        <f t="shared" si="2"/>
        <v>0</v>
      </c>
      <c r="M11" s="96">
        <f t="shared" si="3"/>
        <v>1</v>
      </c>
    </row>
    <row r="12" spans="1:19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5.2734514772551613</v>
      </c>
      <c r="H12">
        <v>7.6612180056514559E-3</v>
      </c>
      <c r="I12">
        <v>-0.83880106028234314</v>
      </c>
      <c r="J12">
        <v>-6.4262377861946194E-3</v>
      </c>
      <c r="K12" s="96">
        <f t="shared" si="1"/>
        <v>0</v>
      </c>
      <c r="L12" s="96">
        <f t="shared" si="2"/>
        <v>0</v>
      </c>
      <c r="M12" s="96">
        <f t="shared" si="3"/>
        <v>1</v>
      </c>
    </row>
    <row r="13" spans="1:19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8.0651772158827413</v>
      </c>
      <c r="H13">
        <v>1.932559496921088E-3</v>
      </c>
      <c r="I13">
        <v>-0.7642661087880589</v>
      </c>
      <c r="J13">
        <v>-1.4769897267132887E-3</v>
      </c>
      <c r="K13" s="96">
        <f t="shared" si="1"/>
        <v>0</v>
      </c>
      <c r="L13" s="96">
        <f t="shared" si="2"/>
        <v>0</v>
      </c>
      <c r="M13" s="96">
        <f t="shared" si="3"/>
        <v>1</v>
      </c>
    </row>
    <row r="14" spans="1:19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0.61321242042044188</v>
      </c>
      <c r="H14">
        <v>7.6612180056514559E-3</v>
      </c>
      <c r="I14">
        <v>-0.979767075122433</v>
      </c>
      <c r="J14">
        <v>-7.5062091572724466E-3</v>
      </c>
      <c r="K14" s="96">
        <f t="shared" si="1"/>
        <v>0</v>
      </c>
      <c r="L14" s="96">
        <f t="shared" si="2"/>
        <v>0</v>
      </c>
      <c r="M14" s="96">
        <f t="shared" si="3"/>
        <v>1</v>
      </c>
    </row>
    <row r="15" spans="1:19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4.3428762310459685</v>
      </c>
      <c r="H15">
        <v>7.6612180056514559E-3</v>
      </c>
      <c r="I15">
        <v>-0.86522772479911436</v>
      </c>
      <c r="J15">
        <v>-6.6286982242198178E-3</v>
      </c>
      <c r="K15" s="96">
        <f t="shared" si="1"/>
        <v>0</v>
      </c>
      <c r="L15" s="96">
        <f t="shared" si="2"/>
        <v>0</v>
      </c>
      <c r="M15" s="96">
        <f t="shared" si="3"/>
        <v>1</v>
      </c>
    </row>
    <row r="16" spans="1:19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7.1346019696735485</v>
      </c>
      <c r="H16">
        <v>1.932559496921088E-3</v>
      </c>
      <c r="I16">
        <v>-0.78834452858843651</v>
      </c>
      <c r="J16">
        <v>-1.5235227055693612E-3</v>
      </c>
      <c r="K16" s="96">
        <f t="shared" si="1"/>
        <v>0</v>
      </c>
      <c r="L16" s="96">
        <f t="shared" si="2"/>
        <v>0</v>
      </c>
      <c r="M16" s="96">
        <f t="shared" si="3"/>
        <v>1</v>
      </c>
    </row>
    <row r="17" spans="1:13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-0.5</v>
      </c>
      <c r="H17">
        <v>1.932559496921088E-3</v>
      </c>
      <c r="I17">
        <v>-1.0168063303862609</v>
      </c>
      <c r="J17">
        <v>-1.9650387303174499E-3</v>
      </c>
      <c r="K17" s="96">
        <f t="shared" si="1"/>
        <v>0</v>
      </c>
      <c r="L17" s="96">
        <f t="shared" si="2"/>
        <v>0</v>
      </c>
      <c r="M17" s="96">
        <f t="shared" si="3"/>
        <v>1</v>
      </c>
    </row>
    <row r="18" spans="1:13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3.412300984836774</v>
      </c>
      <c r="H18">
        <v>1.932559496921088E-3</v>
      </c>
      <c r="I18">
        <v>-0.89248696885178502</v>
      </c>
      <c r="J18">
        <v>-1.7247841675328325E-3</v>
      </c>
      <c r="K18" s="96">
        <f t="shared" si="1"/>
        <v>0</v>
      </c>
      <c r="L18" s="96">
        <f t="shared" si="2"/>
        <v>0</v>
      </c>
      <c r="M18" s="96">
        <f t="shared" si="3"/>
        <v>1</v>
      </c>
    </row>
    <row r="19" spans="1:13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6.204026723464354</v>
      </c>
      <c r="H19">
        <v>4.8749248570982399E-4</v>
      </c>
      <c r="I19">
        <v>-0.81318154581112123</v>
      </c>
      <c r="J19">
        <v>-3.9641989310082058E-4</v>
      </c>
      <c r="K19" s="96">
        <f t="shared" si="1"/>
        <v>0</v>
      </c>
      <c r="L19" s="96">
        <f t="shared" si="2"/>
        <v>0</v>
      </c>
      <c r="M19" s="96">
        <f t="shared" si="3"/>
        <v>1</v>
      </c>
    </row>
    <row r="20" spans="1:13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1.5511504924183874</v>
      </c>
      <c r="H20">
        <v>1.932559496921088E-3</v>
      </c>
      <c r="I20">
        <v>-0.94960894458351253</v>
      </c>
      <c r="J20">
        <v>-1.8351757842160782E-3</v>
      </c>
      <c r="K20" s="96">
        <f t="shared" si="1"/>
        <v>0</v>
      </c>
      <c r="L20" s="96">
        <f t="shared" si="2"/>
        <v>0</v>
      </c>
      <c r="M20" s="96">
        <f t="shared" si="3"/>
        <v>1</v>
      </c>
    </row>
    <row r="21" spans="1:13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5.2734514772551613</v>
      </c>
      <c r="H21">
        <v>1.932559496921088E-3</v>
      </c>
      <c r="I21">
        <v>-0.83880106028234314</v>
      </c>
      <c r="J21">
        <v>-1.6210329550761203E-3</v>
      </c>
      <c r="K21" s="96">
        <f t="shared" si="1"/>
        <v>0</v>
      </c>
      <c r="L21" s="96">
        <f t="shared" si="2"/>
        <v>0</v>
      </c>
      <c r="M21" s="96">
        <f t="shared" si="3"/>
        <v>1</v>
      </c>
    </row>
    <row r="22" spans="1:13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8.0651772158827413</v>
      </c>
      <c r="H22">
        <v>4.8749248570982399E-4</v>
      </c>
      <c r="I22">
        <v>-0.7642661087880589</v>
      </c>
      <c r="J22">
        <v>-3.7257398511686559E-4</v>
      </c>
      <c r="K22" s="96">
        <f t="shared" si="1"/>
        <v>0</v>
      </c>
      <c r="L22" s="96">
        <f t="shared" si="2"/>
        <v>0</v>
      </c>
      <c r="M22" s="96">
        <f t="shared" si="3"/>
        <v>1</v>
      </c>
    </row>
    <row r="23" spans="1:13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0.61321242042044188</v>
      </c>
      <c r="H23">
        <v>1.932559496921088E-3</v>
      </c>
      <c r="I23">
        <v>-0.979767075122433</v>
      </c>
      <c r="J23">
        <v>-1.8934581657984548E-3</v>
      </c>
      <c r="K23" s="96">
        <f t="shared" si="1"/>
        <v>0</v>
      </c>
      <c r="L23" s="96">
        <f t="shared" si="2"/>
        <v>0</v>
      </c>
      <c r="M23" s="96">
        <f t="shared" si="3"/>
        <v>1</v>
      </c>
    </row>
    <row r="24" spans="1:13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4.3428762310459685</v>
      </c>
      <c r="H24">
        <v>1.932559496921088E-3</v>
      </c>
      <c r="I24">
        <v>-0.86522772479911436</v>
      </c>
      <c r="J24">
        <v>-1.672104056559954E-3</v>
      </c>
      <c r="K24" s="96">
        <f t="shared" si="1"/>
        <v>0</v>
      </c>
      <c r="L24" s="96">
        <f t="shared" si="2"/>
        <v>0</v>
      </c>
      <c r="M24" s="96">
        <f t="shared" si="3"/>
        <v>1</v>
      </c>
    </row>
    <row r="25" spans="1:13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7.1346019696735485</v>
      </c>
      <c r="H25">
        <v>4.8749248570982399E-4</v>
      </c>
      <c r="I25">
        <v>-0.78834452858843651</v>
      </c>
      <c r="J25">
        <v>-3.8431203383731629E-4</v>
      </c>
      <c r="K25" s="96">
        <f t="shared" si="1"/>
        <v>0</v>
      </c>
      <c r="L25" s="96">
        <f t="shared" si="2"/>
        <v>0</v>
      </c>
      <c r="M25" s="96">
        <f t="shared" si="3"/>
        <v>1</v>
      </c>
    </row>
    <row r="26" spans="1:13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-0.5</v>
      </c>
      <c r="H26">
        <v>4.8749248570982405E-4</v>
      </c>
      <c r="I26">
        <v>-1.0168063303862609</v>
      </c>
      <c r="J26">
        <v>-4.9568544548548286E-4</v>
      </c>
      <c r="K26" s="96">
        <f t="shared" si="1"/>
        <v>0</v>
      </c>
      <c r="L26" s="96">
        <f t="shared" si="2"/>
        <v>0</v>
      </c>
      <c r="M26" s="96">
        <f t="shared" si="3"/>
        <v>1</v>
      </c>
    </row>
    <row r="27" spans="1:13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3.412300984836774</v>
      </c>
      <c r="H27">
        <v>4.8749248570982405E-4</v>
      </c>
      <c r="I27">
        <v>-0.89248696885178502</v>
      </c>
      <c r="J27">
        <v>-4.3508069090918296E-4</v>
      </c>
      <c r="K27" s="96">
        <f t="shared" si="1"/>
        <v>0</v>
      </c>
      <c r="L27" s="96">
        <f t="shared" si="2"/>
        <v>0</v>
      </c>
      <c r="M27" s="96">
        <f t="shared" si="3"/>
        <v>1</v>
      </c>
    </row>
    <row r="28" spans="1:13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6.204026723464354</v>
      </c>
      <c r="H28">
        <v>1.2297107747635201E-4</v>
      </c>
      <c r="I28">
        <v>-0.81318154581112123</v>
      </c>
      <c r="J28">
        <v>-9.9997810872279083E-5</v>
      </c>
      <c r="K28" s="96">
        <f t="shared" si="1"/>
        <v>0</v>
      </c>
      <c r="L28" s="96">
        <f t="shared" si="2"/>
        <v>0</v>
      </c>
      <c r="M28" s="96">
        <f t="shared" si="3"/>
        <v>1</v>
      </c>
    </row>
    <row r="29" spans="1:13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1.5511504924183874</v>
      </c>
      <c r="H29">
        <v>7.6612180056514559E-3</v>
      </c>
      <c r="I29">
        <v>-0.94960894458351253</v>
      </c>
      <c r="J29">
        <v>-7.2751611445708818E-3</v>
      </c>
      <c r="K29" s="96">
        <f t="shared" si="1"/>
        <v>0</v>
      </c>
      <c r="L29" s="96">
        <f t="shared" si="2"/>
        <v>0</v>
      </c>
      <c r="M29" s="96">
        <f t="shared" si="3"/>
        <v>1</v>
      </c>
    </row>
    <row r="30" spans="1:13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5.2734514772551613</v>
      </c>
      <c r="H30">
        <v>7.6612180056514559E-3</v>
      </c>
      <c r="I30">
        <v>-0.83880106028234314</v>
      </c>
      <c r="J30">
        <v>-6.4262377861946194E-3</v>
      </c>
      <c r="K30" s="96">
        <f t="shared" si="1"/>
        <v>0</v>
      </c>
      <c r="L30" s="96">
        <f t="shared" si="2"/>
        <v>0</v>
      </c>
      <c r="M30" s="96">
        <f t="shared" si="3"/>
        <v>1</v>
      </c>
    </row>
    <row r="31" spans="1:13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8.0651772158827413</v>
      </c>
      <c r="H31">
        <v>1.932559496921088E-3</v>
      </c>
      <c r="I31">
        <v>-0.7642661087880589</v>
      </c>
      <c r="J31">
        <v>-1.4769897267132887E-3</v>
      </c>
      <c r="K31" s="96">
        <f t="shared" si="1"/>
        <v>0</v>
      </c>
      <c r="L31" s="96">
        <f t="shared" si="2"/>
        <v>0</v>
      </c>
      <c r="M31" s="96">
        <f t="shared" si="3"/>
        <v>1</v>
      </c>
    </row>
    <row r="32" spans="1:13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0.61321242042044188</v>
      </c>
      <c r="H32">
        <v>7.6612180056514559E-3</v>
      </c>
      <c r="I32">
        <v>-0.979767075122433</v>
      </c>
      <c r="J32">
        <v>-7.5062091572724466E-3</v>
      </c>
      <c r="K32" s="96">
        <f t="shared" si="1"/>
        <v>0</v>
      </c>
      <c r="L32" s="96">
        <f t="shared" si="2"/>
        <v>0</v>
      </c>
      <c r="M32" s="96">
        <f t="shared" si="3"/>
        <v>1</v>
      </c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4.3428762310459685</v>
      </c>
      <c r="H33">
        <v>7.6612180056514559E-3</v>
      </c>
      <c r="I33">
        <v>-0.86522772479911436</v>
      </c>
      <c r="J33">
        <v>-6.6286982242198178E-3</v>
      </c>
      <c r="K33" s="96">
        <f t="shared" si="1"/>
        <v>0</v>
      </c>
      <c r="L33" s="96">
        <f t="shared" si="2"/>
        <v>0</v>
      </c>
      <c r="M33" s="96">
        <f t="shared" si="3"/>
        <v>1</v>
      </c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7.1346019696735485</v>
      </c>
      <c r="H34">
        <v>1.932559496921088E-3</v>
      </c>
      <c r="I34">
        <v>-0.78834452858843651</v>
      </c>
      <c r="J34">
        <v>-1.5235227055693612E-3</v>
      </c>
      <c r="K34" s="96">
        <f t="shared" si="1"/>
        <v>0</v>
      </c>
      <c r="L34" s="96">
        <f t="shared" si="2"/>
        <v>0</v>
      </c>
      <c r="M34" s="96">
        <f t="shared" si="3"/>
        <v>1</v>
      </c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-0.5</v>
      </c>
      <c r="H35">
        <v>1.932559496921088E-3</v>
      </c>
      <c r="I35">
        <v>-1.0168063303862609</v>
      </c>
      <c r="J35">
        <v>-1.9650387303174499E-3</v>
      </c>
      <c r="K35" s="96">
        <f t="shared" si="1"/>
        <v>0</v>
      </c>
      <c r="L35" s="96">
        <f t="shared" si="2"/>
        <v>0</v>
      </c>
      <c r="M35" s="96">
        <f t="shared" si="3"/>
        <v>1</v>
      </c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3.412300984836774</v>
      </c>
      <c r="H36">
        <v>1.932559496921088E-3</v>
      </c>
      <c r="I36">
        <v>-0.89248696885178502</v>
      </c>
      <c r="J36">
        <v>-1.7247841675328325E-3</v>
      </c>
      <c r="K36" s="96">
        <f t="shared" si="1"/>
        <v>0</v>
      </c>
      <c r="L36" s="96">
        <f t="shared" si="2"/>
        <v>0</v>
      </c>
      <c r="M36" s="96">
        <f t="shared" si="3"/>
        <v>1</v>
      </c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6.204026723464354</v>
      </c>
      <c r="H37">
        <v>4.8749248570982399E-4</v>
      </c>
      <c r="I37">
        <v>-0.81318154581112123</v>
      </c>
      <c r="J37">
        <v>-3.9641989310082058E-4</v>
      </c>
      <c r="K37" s="96">
        <f t="shared" si="1"/>
        <v>0</v>
      </c>
      <c r="L37" s="96">
        <f t="shared" si="2"/>
        <v>0</v>
      </c>
      <c r="M37" s="96">
        <f t="shared" si="3"/>
        <v>1</v>
      </c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1.5511504924183874</v>
      </c>
      <c r="H38">
        <v>7.6612180056514559E-3</v>
      </c>
      <c r="I38">
        <v>-0.94960894458351253</v>
      </c>
      <c r="J38">
        <v>-7.2751611445708818E-3</v>
      </c>
      <c r="K38" s="96">
        <f t="shared" si="1"/>
        <v>0</v>
      </c>
      <c r="L38" s="96">
        <f t="shared" si="2"/>
        <v>0</v>
      </c>
      <c r="M38" s="96">
        <f t="shared" si="3"/>
        <v>1</v>
      </c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5.2734514772551613</v>
      </c>
      <c r="H39">
        <v>7.6612180056514559E-3</v>
      </c>
      <c r="I39">
        <v>-0.83880106028234314</v>
      </c>
      <c r="J39">
        <v>-6.4262377861946194E-3</v>
      </c>
      <c r="K39" s="96">
        <f t="shared" si="1"/>
        <v>0</v>
      </c>
      <c r="L39" s="96">
        <f t="shared" si="2"/>
        <v>0</v>
      </c>
      <c r="M39" s="96">
        <f t="shared" si="3"/>
        <v>1</v>
      </c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8.0651772158827413</v>
      </c>
      <c r="H40">
        <v>1.932559496921088E-3</v>
      </c>
      <c r="I40">
        <v>-0.7642661087880589</v>
      </c>
      <c r="J40">
        <v>-1.4769897267132887E-3</v>
      </c>
      <c r="K40" s="96">
        <f t="shared" si="1"/>
        <v>0</v>
      </c>
      <c r="L40" s="96">
        <f t="shared" si="2"/>
        <v>0</v>
      </c>
      <c r="M40" s="96">
        <f t="shared" si="3"/>
        <v>1</v>
      </c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0.61321242042044188</v>
      </c>
      <c r="H41">
        <v>7.6612180056514559E-3</v>
      </c>
      <c r="I41">
        <v>-0.979767075122433</v>
      </c>
      <c r="J41">
        <v>-7.5062091572724466E-3</v>
      </c>
      <c r="K41" s="96">
        <f t="shared" si="1"/>
        <v>0</v>
      </c>
      <c r="L41" s="96">
        <f t="shared" si="2"/>
        <v>0</v>
      </c>
      <c r="M41" s="96">
        <f t="shared" si="3"/>
        <v>1</v>
      </c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4.3428762310459685</v>
      </c>
      <c r="H42">
        <v>7.6612180056514559E-3</v>
      </c>
      <c r="I42">
        <v>-0.86522772479911436</v>
      </c>
      <c r="J42">
        <v>-6.6286982242198178E-3</v>
      </c>
      <c r="K42" s="96">
        <f t="shared" si="1"/>
        <v>0</v>
      </c>
      <c r="L42" s="96">
        <f t="shared" si="2"/>
        <v>0</v>
      </c>
      <c r="M42" s="96">
        <f t="shared" si="3"/>
        <v>1</v>
      </c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7.1346019696735485</v>
      </c>
      <c r="H43">
        <v>1.932559496921088E-3</v>
      </c>
      <c r="I43">
        <v>-0.78834452858843651</v>
      </c>
      <c r="J43">
        <v>-1.5235227055693612E-3</v>
      </c>
      <c r="K43" s="96">
        <f t="shared" si="1"/>
        <v>0</v>
      </c>
      <c r="L43" s="96">
        <f t="shared" si="2"/>
        <v>0</v>
      </c>
      <c r="M43" s="96">
        <f t="shared" si="3"/>
        <v>1</v>
      </c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-0.5</v>
      </c>
      <c r="H44">
        <v>1.932559496921088E-3</v>
      </c>
      <c r="I44">
        <v>-1.0168063303862609</v>
      </c>
      <c r="J44">
        <v>-1.9650387303174499E-3</v>
      </c>
      <c r="K44" s="96">
        <f t="shared" si="1"/>
        <v>0</v>
      </c>
      <c r="L44" s="96">
        <f t="shared" si="2"/>
        <v>0</v>
      </c>
      <c r="M44" s="96">
        <f t="shared" si="3"/>
        <v>1</v>
      </c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3.412300984836774</v>
      </c>
      <c r="H45">
        <v>1.932559496921088E-3</v>
      </c>
      <c r="I45">
        <v>-0.89248696885178502</v>
      </c>
      <c r="J45">
        <v>-1.7247841675328325E-3</v>
      </c>
      <c r="K45" s="96">
        <f t="shared" si="1"/>
        <v>0</v>
      </c>
      <c r="L45" s="96">
        <f t="shared" si="2"/>
        <v>0</v>
      </c>
      <c r="M45" s="96">
        <f t="shared" si="3"/>
        <v>1</v>
      </c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6.204026723464354</v>
      </c>
      <c r="H46">
        <v>4.8749248570982399E-4</v>
      </c>
      <c r="I46">
        <v>-0.81318154581112123</v>
      </c>
      <c r="J46">
        <v>-3.9641989310082058E-4</v>
      </c>
      <c r="K46" s="96">
        <f t="shared" si="1"/>
        <v>0</v>
      </c>
      <c r="L46" s="96">
        <f t="shared" si="2"/>
        <v>0</v>
      </c>
      <c r="M46" s="96">
        <f t="shared" si="3"/>
        <v>1</v>
      </c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1.5511504924183874</v>
      </c>
      <c r="H47">
        <v>1.932559496921088E-3</v>
      </c>
      <c r="I47">
        <v>-0.94960894458351253</v>
      </c>
      <c r="J47">
        <v>-1.8351757842160782E-3</v>
      </c>
      <c r="K47" s="96">
        <f t="shared" si="1"/>
        <v>0</v>
      </c>
      <c r="L47" s="96">
        <f t="shared" si="2"/>
        <v>0</v>
      </c>
      <c r="M47" s="96">
        <f t="shared" si="3"/>
        <v>1</v>
      </c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5.2734514772551613</v>
      </c>
      <c r="H48">
        <v>1.932559496921088E-3</v>
      </c>
      <c r="I48">
        <v>-0.83880106028234314</v>
      </c>
      <c r="J48">
        <v>-1.6210329550761203E-3</v>
      </c>
      <c r="K48" s="96">
        <f t="shared" si="1"/>
        <v>0</v>
      </c>
      <c r="L48" s="96">
        <f t="shared" si="2"/>
        <v>0</v>
      </c>
      <c r="M48" s="96">
        <f t="shared" si="3"/>
        <v>1</v>
      </c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8.0651772158827413</v>
      </c>
      <c r="H49">
        <v>4.8749248570982399E-4</v>
      </c>
      <c r="I49">
        <v>-0.7642661087880589</v>
      </c>
      <c r="J49">
        <v>-3.7257398511686559E-4</v>
      </c>
      <c r="K49" s="96">
        <f t="shared" si="1"/>
        <v>0</v>
      </c>
      <c r="L49" s="96">
        <f t="shared" si="2"/>
        <v>0</v>
      </c>
      <c r="M49" s="96">
        <f t="shared" si="3"/>
        <v>1</v>
      </c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0.61321242042044188</v>
      </c>
      <c r="H50">
        <v>1.932559496921088E-3</v>
      </c>
      <c r="I50">
        <v>-0.979767075122433</v>
      </c>
      <c r="J50">
        <v>-1.8934581657984548E-3</v>
      </c>
      <c r="K50" s="96">
        <f t="shared" si="1"/>
        <v>0</v>
      </c>
      <c r="L50" s="96">
        <f t="shared" si="2"/>
        <v>0</v>
      </c>
      <c r="M50" s="96">
        <f t="shared" si="3"/>
        <v>1</v>
      </c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4.3428762310459685</v>
      </c>
      <c r="H51">
        <v>1.932559496921088E-3</v>
      </c>
      <c r="I51">
        <v>-0.86522772479911436</v>
      </c>
      <c r="J51">
        <v>-1.672104056559954E-3</v>
      </c>
      <c r="K51" s="96">
        <f t="shared" si="1"/>
        <v>0</v>
      </c>
      <c r="L51" s="96">
        <f t="shared" si="2"/>
        <v>0</v>
      </c>
      <c r="M51" s="96">
        <f t="shared" si="3"/>
        <v>1</v>
      </c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7.1346019696735485</v>
      </c>
      <c r="H52">
        <v>4.8749248570982399E-4</v>
      </c>
      <c r="I52">
        <v>-0.78834452858843651</v>
      </c>
      <c r="J52">
        <v>-3.8431203383731629E-4</v>
      </c>
      <c r="K52" s="96">
        <f t="shared" si="1"/>
        <v>0</v>
      </c>
      <c r="L52" s="96">
        <f t="shared" si="2"/>
        <v>0</v>
      </c>
      <c r="M52" s="96">
        <f t="shared" si="3"/>
        <v>1</v>
      </c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-0.5</v>
      </c>
      <c r="H53">
        <v>4.8749248570982405E-4</v>
      </c>
      <c r="I53">
        <v>-1.0168063303862609</v>
      </c>
      <c r="J53">
        <v>-4.9568544548548286E-4</v>
      </c>
      <c r="K53" s="96">
        <f t="shared" si="1"/>
        <v>0</v>
      </c>
      <c r="L53" s="96">
        <f t="shared" si="2"/>
        <v>0</v>
      </c>
      <c r="M53" s="96">
        <f t="shared" si="3"/>
        <v>1</v>
      </c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3.412300984836774</v>
      </c>
      <c r="H54">
        <v>4.8749248570982405E-4</v>
      </c>
      <c r="I54">
        <v>-0.89248696885178502</v>
      </c>
      <c r="J54">
        <v>-4.3508069090918296E-4</v>
      </c>
      <c r="K54" s="96">
        <f t="shared" si="1"/>
        <v>0</v>
      </c>
      <c r="L54" s="96">
        <f t="shared" si="2"/>
        <v>0</v>
      </c>
      <c r="M54" s="96">
        <f t="shared" si="3"/>
        <v>1</v>
      </c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6.204026723464354</v>
      </c>
      <c r="H55">
        <v>1.2297107747635201E-4</v>
      </c>
      <c r="I55">
        <v>-0.81318154581112123</v>
      </c>
      <c r="J55">
        <v>-9.9997810872279083E-5</v>
      </c>
      <c r="K55" s="96">
        <f t="shared" si="1"/>
        <v>0</v>
      </c>
      <c r="L55" s="96">
        <f t="shared" si="2"/>
        <v>0</v>
      </c>
      <c r="M55" s="96">
        <f t="shared" si="3"/>
        <v>1</v>
      </c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1.5511504924183874</v>
      </c>
      <c r="H56">
        <v>1.932559496921088E-3</v>
      </c>
      <c r="I56">
        <v>-0.94960894458351253</v>
      </c>
      <c r="J56">
        <v>-1.8351757842160782E-3</v>
      </c>
      <c r="K56" s="96">
        <f t="shared" si="1"/>
        <v>0</v>
      </c>
      <c r="L56" s="96">
        <f t="shared" si="2"/>
        <v>0</v>
      </c>
      <c r="M56" s="96">
        <f t="shared" si="3"/>
        <v>1</v>
      </c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5.2734514772551613</v>
      </c>
      <c r="H57">
        <v>1.932559496921088E-3</v>
      </c>
      <c r="I57">
        <v>-0.83880106028234314</v>
      </c>
      <c r="J57">
        <v>-1.6210329550761203E-3</v>
      </c>
      <c r="K57" s="96">
        <f t="shared" si="1"/>
        <v>0</v>
      </c>
      <c r="L57" s="96">
        <f t="shared" si="2"/>
        <v>0</v>
      </c>
      <c r="M57" s="96">
        <f t="shared" si="3"/>
        <v>1</v>
      </c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8.0651772158827413</v>
      </c>
      <c r="H58">
        <v>4.8749248570982399E-4</v>
      </c>
      <c r="I58">
        <v>-0.7642661087880589</v>
      </c>
      <c r="J58">
        <v>-3.7257398511686559E-4</v>
      </c>
      <c r="K58" s="96">
        <f t="shared" si="1"/>
        <v>0</v>
      </c>
      <c r="L58" s="96">
        <f t="shared" si="2"/>
        <v>0</v>
      </c>
      <c r="M58" s="96">
        <f t="shared" si="3"/>
        <v>1</v>
      </c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0.61321242042044188</v>
      </c>
      <c r="H59">
        <v>1.932559496921088E-3</v>
      </c>
      <c r="I59">
        <v>-0.979767075122433</v>
      </c>
      <c r="J59">
        <v>-1.8934581657984548E-3</v>
      </c>
      <c r="K59" s="96">
        <f t="shared" si="1"/>
        <v>0</v>
      </c>
      <c r="L59" s="96">
        <f t="shared" si="2"/>
        <v>0</v>
      </c>
      <c r="M59" s="96">
        <f t="shared" si="3"/>
        <v>1</v>
      </c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4.3428762310459685</v>
      </c>
      <c r="H60">
        <v>1.932559496921088E-3</v>
      </c>
      <c r="I60">
        <v>-0.86522772479911436</v>
      </c>
      <c r="J60">
        <v>-1.672104056559954E-3</v>
      </c>
      <c r="K60" s="96">
        <f t="shared" si="1"/>
        <v>0</v>
      </c>
      <c r="L60" s="96">
        <f t="shared" si="2"/>
        <v>0</v>
      </c>
      <c r="M60" s="96">
        <f t="shared" si="3"/>
        <v>1</v>
      </c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7.1346019696735485</v>
      </c>
      <c r="H61">
        <v>4.8749248570982399E-4</v>
      </c>
      <c r="I61">
        <v>-0.78834452858843651</v>
      </c>
      <c r="J61">
        <v>-3.8431203383731629E-4</v>
      </c>
      <c r="K61" s="96">
        <f t="shared" si="1"/>
        <v>0</v>
      </c>
      <c r="L61" s="96">
        <f t="shared" si="2"/>
        <v>0</v>
      </c>
      <c r="M61" s="96">
        <f t="shared" si="3"/>
        <v>1</v>
      </c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-0.5</v>
      </c>
      <c r="H62">
        <v>4.8749248570982405E-4</v>
      </c>
      <c r="I62">
        <v>-1.0168063303862609</v>
      </c>
      <c r="J62">
        <v>-4.9568544548548286E-4</v>
      </c>
      <c r="K62" s="96">
        <f t="shared" si="1"/>
        <v>0</v>
      </c>
      <c r="L62" s="96">
        <f t="shared" si="2"/>
        <v>0</v>
      </c>
      <c r="M62" s="96">
        <f t="shared" si="3"/>
        <v>1</v>
      </c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3.412300984836774</v>
      </c>
      <c r="H63">
        <v>4.8749248570982405E-4</v>
      </c>
      <c r="I63">
        <v>-0.89248696885178502</v>
      </c>
      <c r="J63">
        <v>-4.3508069090918296E-4</v>
      </c>
      <c r="K63" s="96">
        <f t="shared" si="1"/>
        <v>0</v>
      </c>
      <c r="L63" s="96">
        <f t="shared" si="2"/>
        <v>0</v>
      </c>
      <c r="M63" s="96">
        <f t="shared" si="3"/>
        <v>1</v>
      </c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6.204026723464354</v>
      </c>
      <c r="H64">
        <v>1.2297107747635201E-4</v>
      </c>
      <c r="I64">
        <v>-0.81318154581112123</v>
      </c>
      <c r="J64">
        <v>-9.9997810872279083E-5</v>
      </c>
      <c r="K64" s="96">
        <f t="shared" si="1"/>
        <v>0</v>
      </c>
      <c r="L64" s="96">
        <f t="shared" si="2"/>
        <v>0</v>
      </c>
      <c r="M64" s="96">
        <f t="shared" si="3"/>
        <v>1</v>
      </c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1.5511504924183874</v>
      </c>
      <c r="H65">
        <v>1.932559496921088E-3</v>
      </c>
      <c r="I65">
        <v>-0.94960894458351253</v>
      </c>
      <c r="J65">
        <v>-1.8351757842160782E-3</v>
      </c>
      <c r="K65" s="96">
        <f t="shared" si="1"/>
        <v>0</v>
      </c>
      <c r="L65" s="96">
        <f t="shared" si="2"/>
        <v>0</v>
      </c>
      <c r="M65" s="96">
        <f t="shared" si="3"/>
        <v>1</v>
      </c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5.2734514772551613</v>
      </c>
      <c r="H66">
        <v>1.932559496921088E-3</v>
      </c>
      <c r="I66">
        <v>-0.83880106028234314</v>
      </c>
      <c r="J66">
        <v>-1.6210329550761203E-3</v>
      </c>
      <c r="K66" s="96">
        <f t="shared" si="1"/>
        <v>0</v>
      </c>
      <c r="L66" s="96">
        <f t="shared" si="2"/>
        <v>0</v>
      </c>
      <c r="M66" s="96">
        <f t="shared" si="3"/>
        <v>1</v>
      </c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8.0651772158827413</v>
      </c>
      <c r="H67">
        <v>4.8749248570982399E-4</v>
      </c>
      <c r="I67">
        <v>-0.7642661087880589</v>
      </c>
      <c r="J67">
        <v>-3.7257398511686559E-4</v>
      </c>
      <c r="K67" s="96">
        <f t="shared" ref="K67:K130" si="4">IF(A67=3,1,0)</f>
        <v>0</v>
      </c>
      <c r="L67" s="96">
        <f t="shared" ref="L67:L130" si="5">IF(A67=2,1,0)</f>
        <v>0</v>
      </c>
      <c r="M67" s="96">
        <f t="shared" ref="M67:M130" si="6">IF(A67=1,1,0)</f>
        <v>1</v>
      </c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0.61321242042044188</v>
      </c>
      <c r="H68">
        <v>1.932559496921088E-3</v>
      </c>
      <c r="I68">
        <v>-0.979767075122433</v>
      </c>
      <c r="J68">
        <v>-1.8934581657984548E-3</v>
      </c>
      <c r="K68" s="96">
        <f t="shared" si="4"/>
        <v>0</v>
      </c>
      <c r="L68" s="96">
        <f t="shared" si="5"/>
        <v>0</v>
      </c>
      <c r="M68" s="96">
        <f t="shared" si="6"/>
        <v>1</v>
      </c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4.3428762310459685</v>
      </c>
      <c r="H69">
        <v>1.932559496921088E-3</v>
      </c>
      <c r="I69">
        <v>-0.86522772479911436</v>
      </c>
      <c r="J69">
        <v>-1.672104056559954E-3</v>
      </c>
      <c r="K69" s="96">
        <f t="shared" si="4"/>
        <v>0</v>
      </c>
      <c r="L69" s="96">
        <f t="shared" si="5"/>
        <v>0</v>
      </c>
      <c r="M69" s="96">
        <f t="shared" si="6"/>
        <v>1</v>
      </c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7.1346019696735485</v>
      </c>
      <c r="H70">
        <v>4.8749248570982399E-4</v>
      </c>
      <c r="I70">
        <v>-0.78834452858843651</v>
      </c>
      <c r="J70">
        <v>-3.8431203383731629E-4</v>
      </c>
      <c r="K70" s="96">
        <f t="shared" si="4"/>
        <v>0</v>
      </c>
      <c r="L70" s="96">
        <f t="shared" si="5"/>
        <v>0</v>
      </c>
      <c r="M70" s="96">
        <f t="shared" si="6"/>
        <v>1</v>
      </c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-0.5</v>
      </c>
      <c r="H71">
        <v>4.8749248570982405E-4</v>
      </c>
      <c r="I71">
        <v>-1.0168063303862609</v>
      </c>
      <c r="J71">
        <v>-4.9568544548548286E-4</v>
      </c>
      <c r="K71" s="96">
        <f t="shared" si="4"/>
        <v>0</v>
      </c>
      <c r="L71" s="96">
        <f t="shared" si="5"/>
        <v>0</v>
      </c>
      <c r="M71" s="96">
        <f t="shared" si="6"/>
        <v>1</v>
      </c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3.412300984836774</v>
      </c>
      <c r="H72">
        <v>4.8749248570982405E-4</v>
      </c>
      <c r="I72">
        <v>-0.89248696885178502</v>
      </c>
      <c r="J72">
        <v>-4.3508069090918296E-4</v>
      </c>
      <c r="K72" s="96">
        <f t="shared" si="4"/>
        <v>0</v>
      </c>
      <c r="L72" s="96">
        <f t="shared" si="5"/>
        <v>0</v>
      </c>
      <c r="M72" s="96">
        <f t="shared" si="6"/>
        <v>1</v>
      </c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6.204026723464354</v>
      </c>
      <c r="H73">
        <v>1.2297107747635201E-4</v>
      </c>
      <c r="I73">
        <v>-0.81318154581112123</v>
      </c>
      <c r="J73">
        <v>-9.9997810872279083E-5</v>
      </c>
      <c r="K73" s="96">
        <f t="shared" si="4"/>
        <v>0</v>
      </c>
      <c r="L73" s="96">
        <f t="shared" si="5"/>
        <v>0</v>
      </c>
      <c r="M73" s="96">
        <f t="shared" si="6"/>
        <v>1</v>
      </c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1.5511504924183874</v>
      </c>
      <c r="H74">
        <v>4.8749248570982405E-4</v>
      </c>
      <c r="I74">
        <v>-0.94960894458351253</v>
      </c>
      <c r="J74">
        <v>-4.6292722484729906E-4</v>
      </c>
      <c r="K74" s="96">
        <f t="shared" si="4"/>
        <v>0</v>
      </c>
      <c r="L74" s="96">
        <f t="shared" si="5"/>
        <v>0</v>
      </c>
      <c r="M74" s="96">
        <f t="shared" si="6"/>
        <v>1</v>
      </c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5.2734514772551613</v>
      </c>
      <c r="H75">
        <v>4.8749248570982405E-4</v>
      </c>
      <c r="I75">
        <v>-0.83880106028234314</v>
      </c>
      <c r="J75">
        <v>-4.089092138930754E-4</v>
      </c>
      <c r="K75" s="96">
        <f t="shared" si="4"/>
        <v>0</v>
      </c>
      <c r="L75" s="96">
        <f t="shared" si="5"/>
        <v>0</v>
      </c>
      <c r="M75" s="96">
        <f t="shared" si="6"/>
        <v>1</v>
      </c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8.0651772158827413</v>
      </c>
      <c r="H76">
        <v>1.2297107747635201E-4</v>
      </c>
      <c r="I76">
        <v>-0.7642661087880589</v>
      </c>
      <c r="J76">
        <v>-9.3982626876326465E-5</v>
      </c>
      <c r="K76" s="96">
        <f t="shared" si="4"/>
        <v>0</v>
      </c>
      <c r="L76" s="96">
        <f t="shared" si="5"/>
        <v>0</v>
      </c>
      <c r="M76" s="96">
        <f t="shared" si="6"/>
        <v>1</v>
      </c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0.61321242042044188</v>
      </c>
      <c r="H77">
        <v>4.8749248570982405E-4</v>
      </c>
      <c r="I77">
        <v>-0.979767075122433</v>
      </c>
      <c r="J77">
        <v>-4.7762908686807879E-4</v>
      </c>
      <c r="K77" s="96">
        <f t="shared" si="4"/>
        <v>0</v>
      </c>
      <c r="L77" s="96">
        <f t="shared" si="5"/>
        <v>0</v>
      </c>
      <c r="M77" s="96">
        <f t="shared" si="6"/>
        <v>1</v>
      </c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4.3428762310459685</v>
      </c>
      <c r="H78">
        <v>4.8749248570982405E-4</v>
      </c>
      <c r="I78">
        <v>-0.86522772479911436</v>
      </c>
      <c r="J78">
        <v>-4.2179201426737584E-4</v>
      </c>
      <c r="K78" s="96">
        <f t="shared" si="4"/>
        <v>0</v>
      </c>
      <c r="L78" s="96">
        <f t="shared" si="5"/>
        <v>0</v>
      </c>
      <c r="M78" s="96">
        <f t="shared" si="6"/>
        <v>1</v>
      </c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7.1346019696735485</v>
      </c>
      <c r="H79">
        <v>1.2297107747635201E-4</v>
      </c>
      <c r="I79">
        <v>-0.78834452858843651</v>
      </c>
      <c r="J79">
        <v>-9.6943576103106826E-5</v>
      </c>
      <c r="K79" s="96">
        <f t="shared" si="4"/>
        <v>0</v>
      </c>
      <c r="L79" s="96">
        <f t="shared" si="5"/>
        <v>0</v>
      </c>
      <c r="M79" s="96">
        <f t="shared" si="6"/>
        <v>1</v>
      </c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-0.5</v>
      </c>
      <c r="H80">
        <v>1.2297107747635201E-4</v>
      </c>
      <c r="I80">
        <v>-1.0168063303862609</v>
      </c>
      <c r="J80">
        <v>-1.2503777003237406E-4</v>
      </c>
      <c r="K80" s="96">
        <f t="shared" si="4"/>
        <v>0</v>
      </c>
      <c r="L80" s="96">
        <f t="shared" si="5"/>
        <v>0</v>
      </c>
      <c r="M80" s="96">
        <f t="shared" si="6"/>
        <v>1</v>
      </c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3.412300984836774</v>
      </c>
      <c r="H81">
        <v>1.2297107747635201E-4</v>
      </c>
      <c r="I81">
        <v>-0.89248696885178502</v>
      </c>
      <c r="J81">
        <v>-1.0975008419330742E-4</v>
      </c>
      <c r="K81" s="96">
        <f t="shared" si="4"/>
        <v>0</v>
      </c>
      <c r="L81" s="96">
        <f t="shared" si="5"/>
        <v>0</v>
      </c>
      <c r="M81" s="96">
        <f t="shared" si="6"/>
        <v>1</v>
      </c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6.204026723464354</v>
      </c>
      <c r="H82">
        <v>3.1019731255295997E-5</v>
      </c>
      <c r="I82">
        <v>-0.81318154581112123</v>
      </c>
      <c r="J82">
        <v>-2.5224673012827151E-5</v>
      </c>
      <c r="K82" s="96">
        <f t="shared" si="4"/>
        <v>0</v>
      </c>
      <c r="L82" s="96">
        <f t="shared" si="5"/>
        <v>0</v>
      </c>
      <c r="M82" s="96">
        <f t="shared" si="6"/>
        <v>1</v>
      </c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2.663971525064051</v>
      </c>
      <c r="H83">
        <v>7.6612180056514559E-3</v>
      </c>
      <c r="I83">
        <v>-0.91502942950036592</v>
      </c>
      <c r="J83">
        <v>-7.010239940989183E-3</v>
      </c>
      <c r="K83" s="96">
        <f t="shared" si="4"/>
        <v>0</v>
      </c>
      <c r="L83" s="96">
        <f t="shared" si="5"/>
        <v>0</v>
      </c>
      <c r="M83" s="96">
        <f t="shared" si="6"/>
        <v>1</v>
      </c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8.6119145751921522</v>
      </c>
      <c r="H84">
        <v>7.6612180056514559E-3</v>
      </c>
      <c r="I84">
        <v>-0.75046383332749511</v>
      </c>
      <c r="J84">
        <v>-5.7494670324788185E-3</v>
      </c>
      <c r="K84" s="96">
        <f t="shared" si="4"/>
        <v>0</v>
      </c>
      <c r="L84" s="96">
        <f t="shared" si="5"/>
        <v>0</v>
      </c>
      <c r="M84" s="96">
        <f t="shared" si="6"/>
        <v>1</v>
      </c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13.072871862788229</v>
      </c>
      <c r="H85">
        <v>1.932559496921088E-3</v>
      </c>
      <c r="I85">
        <v>-0.64677138351872343</v>
      </c>
      <c r="J85">
        <v>-1.2499241795559002E-3</v>
      </c>
      <c r="K85" s="96">
        <f t="shared" si="4"/>
        <v>0</v>
      </c>
      <c r="L85" s="96">
        <f t="shared" si="5"/>
        <v>0</v>
      </c>
      <c r="M85" s="96">
        <f t="shared" si="6"/>
        <v>1</v>
      </c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1.1699487254949881</v>
      </c>
      <c r="H86">
        <v>7.6612180056514559E-3</v>
      </c>
      <c r="I86">
        <v>-0.96175235292415662</v>
      </c>
      <c r="J86">
        <v>-7.368194443200202E-3</v>
      </c>
      <c r="K86" s="96">
        <f t="shared" si="4"/>
        <v>0</v>
      </c>
      <c r="L86" s="96">
        <f t="shared" si="5"/>
        <v>0</v>
      </c>
      <c r="M86" s="96">
        <f t="shared" si="6"/>
        <v>1</v>
      </c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7.1249288126601256</v>
      </c>
      <c r="H87">
        <v>7.6612180056514559E-3</v>
      </c>
      <c r="I87">
        <v>-0.78859876225379355</v>
      </c>
      <c r="J87">
        <v>-6.041627036613215E-3</v>
      </c>
      <c r="K87" s="96">
        <f t="shared" si="4"/>
        <v>0</v>
      </c>
      <c r="L87" s="96">
        <f t="shared" si="5"/>
        <v>0</v>
      </c>
      <c r="M87" s="96">
        <f t="shared" si="6"/>
        <v>1</v>
      </c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11.585886100256202</v>
      </c>
      <c r="H88">
        <v>1.932559496921088E-3</v>
      </c>
      <c r="I88">
        <v>-0.6796371655147585</v>
      </c>
      <c r="J88">
        <v>-1.3134392586760758E-3</v>
      </c>
      <c r="K88" s="96">
        <f t="shared" si="4"/>
        <v>0</v>
      </c>
      <c r="L88" s="96">
        <f t="shared" si="5"/>
        <v>0</v>
      </c>
      <c r="M88" s="96">
        <f t="shared" si="6"/>
        <v>1</v>
      </c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-0.5</v>
      </c>
      <c r="H89">
        <v>1.932559496921088E-3</v>
      </c>
      <c r="I89">
        <v>-1.0168063303862609</v>
      </c>
      <c r="J89">
        <v>-1.9650387303174499E-3</v>
      </c>
      <c r="K89" s="96">
        <f t="shared" si="4"/>
        <v>0</v>
      </c>
      <c r="L89" s="96">
        <f t="shared" si="5"/>
        <v>0</v>
      </c>
      <c r="M89" s="96">
        <f t="shared" si="6"/>
        <v>1</v>
      </c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5.6379430501280998</v>
      </c>
      <c r="H90">
        <v>1.932559496921088E-3</v>
      </c>
      <c r="I90">
        <v>-0.82867152314431303</v>
      </c>
      <c r="J90">
        <v>-1.6014570218806053E-3</v>
      </c>
      <c r="K90" s="96">
        <f t="shared" si="4"/>
        <v>0</v>
      </c>
      <c r="L90" s="96">
        <f t="shared" si="5"/>
        <v>0</v>
      </c>
      <c r="M90" s="96">
        <f t="shared" si="6"/>
        <v>1</v>
      </c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10.098900337724178</v>
      </c>
      <c r="H91">
        <v>4.8749248570982399E-4</v>
      </c>
      <c r="I91">
        <v>-0.71417302700678831</v>
      </c>
      <c r="J91">
        <v>-3.481539841624485E-4</v>
      </c>
      <c r="K91" s="96">
        <f t="shared" si="4"/>
        <v>0</v>
      </c>
      <c r="L91" s="96">
        <f t="shared" si="5"/>
        <v>0</v>
      </c>
      <c r="M91" s="96">
        <f t="shared" si="6"/>
        <v>1</v>
      </c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2.663971525064051</v>
      </c>
      <c r="H92">
        <v>7.6612180056514559E-3</v>
      </c>
      <c r="I92">
        <v>-0.91502942950036592</v>
      </c>
      <c r="J92">
        <v>-7.010239940989183E-3</v>
      </c>
      <c r="K92" s="96">
        <f t="shared" si="4"/>
        <v>0</v>
      </c>
      <c r="L92" s="96">
        <f t="shared" si="5"/>
        <v>0</v>
      </c>
      <c r="M92" s="96">
        <f t="shared" si="6"/>
        <v>1</v>
      </c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8.6119145751921522</v>
      </c>
      <c r="H93">
        <v>7.6612180056514559E-3</v>
      </c>
      <c r="I93">
        <v>-0.75046383332749511</v>
      </c>
      <c r="J93">
        <v>-5.7494670324788185E-3</v>
      </c>
      <c r="K93" s="96">
        <f t="shared" si="4"/>
        <v>0</v>
      </c>
      <c r="L93" s="96">
        <f t="shared" si="5"/>
        <v>0</v>
      </c>
      <c r="M93" s="96">
        <f t="shared" si="6"/>
        <v>1</v>
      </c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13.072871862788229</v>
      </c>
      <c r="H94">
        <v>1.932559496921088E-3</v>
      </c>
      <c r="I94">
        <v>-0.64677138351872343</v>
      </c>
      <c r="J94">
        <v>-1.2499241795559002E-3</v>
      </c>
      <c r="K94" s="96">
        <f t="shared" si="4"/>
        <v>0</v>
      </c>
      <c r="L94" s="96">
        <f t="shared" si="5"/>
        <v>0</v>
      </c>
      <c r="M94" s="96">
        <f t="shared" si="6"/>
        <v>1</v>
      </c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1.1699487254949881</v>
      </c>
      <c r="H95">
        <v>7.6612180056514559E-3</v>
      </c>
      <c r="I95">
        <v>-0.96175235292415662</v>
      </c>
      <c r="J95">
        <v>-7.368194443200202E-3</v>
      </c>
      <c r="K95" s="96">
        <f t="shared" si="4"/>
        <v>0</v>
      </c>
      <c r="L95" s="96">
        <f t="shared" si="5"/>
        <v>0</v>
      </c>
      <c r="M95" s="96">
        <f t="shared" si="6"/>
        <v>1</v>
      </c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7.1249288126601256</v>
      </c>
      <c r="H96">
        <v>7.6612180056514559E-3</v>
      </c>
      <c r="I96">
        <v>-0.78859876225379355</v>
      </c>
      <c r="J96">
        <v>-6.041627036613215E-3</v>
      </c>
      <c r="K96" s="96">
        <f t="shared" si="4"/>
        <v>0</v>
      </c>
      <c r="L96" s="96">
        <f t="shared" si="5"/>
        <v>0</v>
      </c>
      <c r="M96" s="96">
        <f t="shared" si="6"/>
        <v>1</v>
      </c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11.585886100256202</v>
      </c>
      <c r="H97">
        <v>1.932559496921088E-3</v>
      </c>
      <c r="I97">
        <v>-0.6796371655147585</v>
      </c>
      <c r="J97">
        <v>-1.3134392586760758E-3</v>
      </c>
      <c r="K97" s="96">
        <f t="shared" si="4"/>
        <v>0</v>
      </c>
      <c r="L97" s="96">
        <f t="shared" si="5"/>
        <v>0</v>
      </c>
      <c r="M97" s="96">
        <f t="shared" si="6"/>
        <v>1</v>
      </c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-0.5</v>
      </c>
      <c r="H98">
        <v>1.932559496921088E-3</v>
      </c>
      <c r="I98">
        <v>-1.0168063303862609</v>
      </c>
      <c r="J98">
        <v>-1.9650387303174499E-3</v>
      </c>
      <c r="K98" s="96">
        <f t="shared" si="4"/>
        <v>0</v>
      </c>
      <c r="L98" s="96">
        <f t="shared" si="5"/>
        <v>0</v>
      </c>
      <c r="M98" s="96">
        <f t="shared" si="6"/>
        <v>1</v>
      </c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5.6379430501280998</v>
      </c>
      <c r="H99">
        <v>1.932559496921088E-3</v>
      </c>
      <c r="I99">
        <v>-0.82867152314431303</v>
      </c>
      <c r="J99">
        <v>-1.6014570218806053E-3</v>
      </c>
      <c r="K99" s="96">
        <f t="shared" si="4"/>
        <v>0</v>
      </c>
      <c r="L99" s="96">
        <f t="shared" si="5"/>
        <v>0</v>
      </c>
      <c r="M99" s="96">
        <f t="shared" si="6"/>
        <v>1</v>
      </c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10.098900337724178</v>
      </c>
      <c r="H100">
        <v>4.8749248570982399E-4</v>
      </c>
      <c r="I100">
        <v>-0.71417302700678831</v>
      </c>
      <c r="J100">
        <v>-3.481539841624485E-4</v>
      </c>
      <c r="K100" s="96">
        <f t="shared" si="4"/>
        <v>0</v>
      </c>
      <c r="L100" s="96">
        <f t="shared" si="5"/>
        <v>0</v>
      </c>
      <c r="M100" s="96">
        <f t="shared" si="6"/>
        <v>1</v>
      </c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2.663971525064051</v>
      </c>
      <c r="H101">
        <v>1.932559496921088E-3</v>
      </c>
      <c r="I101">
        <v>-0.91502942950036592</v>
      </c>
      <c r="J101">
        <v>-1.7683488139432174E-3</v>
      </c>
      <c r="K101" s="96">
        <f t="shared" si="4"/>
        <v>0</v>
      </c>
      <c r="L101" s="96">
        <f t="shared" si="5"/>
        <v>0</v>
      </c>
      <c r="M101" s="96">
        <f t="shared" si="6"/>
        <v>1</v>
      </c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8.6119145751921522</v>
      </c>
      <c r="H102">
        <v>1.932559496921088E-3</v>
      </c>
      <c r="I102">
        <v>-0.75046383332749511</v>
      </c>
      <c r="J102">
        <v>-1.4503160081928551E-3</v>
      </c>
      <c r="K102" s="96">
        <f t="shared" si="4"/>
        <v>0</v>
      </c>
      <c r="L102" s="96">
        <f t="shared" si="5"/>
        <v>0</v>
      </c>
      <c r="M102" s="96">
        <f t="shared" si="6"/>
        <v>1</v>
      </c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13.072871862788229</v>
      </c>
      <c r="H103">
        <v>4.8749248570982399E-4</v>
      </c>
      <c r="I103">
        <v>-0.64677138351872343</v>
      </c>
      <c r="J103">
        <v>-3.1529618943752438E-4</v>
      </c>
      <c r="K103" s="96">
        <f t="shared" si="4"/>
        <v>0</v>
      </c>
      <c r="L103" s="96">
        <f t="shared" si="5"/>
        <v>0</v>
      </c>
      <c r="M103" s="96">
        <f t="shared" si="6"/>
        <v>1</v>
      </c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1.1699487254949881</v>
      </c>
      <c r="H104">
        <v>1.932559496921088E-3</v>
      </c>
      <c r="I104">
        <v>-0.96175235292415662</v>
      </c>
      <c r="J104">
        <v>-1.8586436433297808E-3</v>
      </c>
      <c r="K104" s="96">
        <f t="shared" si="4"/>
        <v>0</v>
      </c>
      <c r="L104" s="96">
        <f t="shared" si="5"/>
        <v>0</v>
      </c>
      <c r="M104" s="96">
        <f t="shared" si="6"/>
        <v>1</v>
      </c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7.1249288126601256</v>
      </c>
      <c r="H105">
        <v>1.932559496921088E-3</v>
      </c>
      <c r="I105">
        <v>-0.78859876225379355</v>
      </c>
      <c r="J105">
        <v>-1.5240140272537838E-3</v>
      </c>
      <c r="K105" s="96">
        <f t="shared" si="4"/>
        <v>0</v>
      </c>
      <c r="L105" s="96">
        <f t="shared" si="5"/>
        <v>0</v>
      </c>
      <c r="M105" s="96">
        <f t="shared" si="6"/>
        <v>1</v>
      </c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11.585886100256202</v>
      </c>
      <c r="H106">
        <v>4.8749248570982399E-4</v>
      </c>
      <c r="I106">
        <v>-0.6796371655147585</v>
      </c>
      <c r="J106">
        <v>-3.3131801119756868E-4</v>
      </c>
      <c r="K106" s="96">
        <f t="shared" si="4"/>
        <v>0</v>
      </c>
      <c r="L106" s="96">
        <f t="shared" si="5"/>
        <v>0</v>
      </c>
      <c r="M106" s="96">
        <f t="shared" si="6"/>
        <v>1</v>
      </c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-0.5</v>
      </c>
      <c r="H107">
        <v>4.8749248570982405E-4</v>
      </c>
      <c r="I107">
        <v>-1.0168063303862609</v>
      </c>
      <c r="J107">
        <v>-4.9568544548548286E-4</v>
      </c>
      <c r="K107" s="96">
        <f t="shared" si="4"/>
        <v>0</v>
      </c>
      <c r="L107" s="96">
        <f t="shared" si="5"/>
        <v>0</v>
      </c>
      <c r="M107" s="96">
        <f t="shared" si="6"/>
        <v>1</v>
      </c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5.6379430501280998</v>
      </c>
      <c r="H108">
        <v>4.8749248570982405E-4</v>
      </c>
      <c r="I108">
        <v>-0.82867152314431303</v>
      </c>
      <c r="J108">
        <v>-4.0397114065456713E-4</v>
      </c>
      <c r="K108" s="96">
        <f t="shared" si="4"/>
        <v>0</v>
      </c>
      <c r="L108" s="96">
        <f t="shared" si="5"/>
        <v>0</v>
      </c>
      <c r="M108" s="96">
        <f t="shared" si="6"/>
        <v>1</v>
      </c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10.098900337724178</v>
      </c>
      <c r="H109">
        <v>1.2297107747635201E-4</v>
      </c>
      <c r="I109">
        <v>-0.71417302700678831</v>
      </c>
      <c r="J109">
        <v>-8.7822626635572601E-5</v>
      </c>
      <c r="K109" s="96">
        <f t="shared" si="4"/>
        <v>0</v>
      </c>
      <c r="L109" s="96">
        <f t="shared" si="5"/>
        <v>0</v>
      </c>
      <c r="M109" s="96">
        <f t="shared" si="6"/>
        <v>1</v>
      </c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2.663971525064051</v>
      </c>
      <c r="H110">
        <v>7.6612180056514559E-3</v>
      </c>
      <c r="I110">
        <v>-0.91502942950036592</v>
      </c>
      <c r="J110">
        <v>-7.010239940989183E-3</v>
      </c>
      <c r="K110" s="96">
        <f t="shared" si="4"/>
        <v>0</v>
      </c>
      <c r="L110" s="96">
        <f t="shared" si="5"/>
        <v>0</v>
      </c>
      <c r="M110" s="96">
        <f t="shared" si="6"/>
        <v>1</v>
      </c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8.6119145751921522</v>
      </c>
      <c r="H111">
        <v>7.6612180056514559E-3</v>
      </c>
      <c r="I111">
        <v>-0.75046383332749511</v>
      </c>
      <c r="J111">
        <v>-5.7494670324788185E-3</v>
      </c>
      <c r="K111" s="96">
        <f t="shared" si="4"/>
        <v>0</v>
      </c>
      <c r="L111" s="96">
        <f t="shared" si="5"/>
        <v>0</v>
      </c>
      <c r="M111" s="96">
        <f t="shared" si="6"/>
        <v>1</v>
      </c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13.072871862788229</v>
      </c>
      <c r="H112">
        <v>1.932559496921088E-3</v>
      </c>
      <c r="I112">
        <v>-0.64677138351872343</v>
      </c>
      <c r="J112">
        <v>-1.2499241795559002E-3</v>
      </c>
      <c r="K112" s="96">
        <f t="shared" si="4"/>
        <v>0</v>
      </c>
      <c r="L112" s="96">
        <f t="shared" si="5"/>
        <v>0</v>
      </c>
      <c r="M112" s="96">
        <f t="shared" si="6"/>
        <v>1</v>
      </c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1.1699487254949881</v>
      </c>
      <c r="H113">
        <v>7.6612180056514559E-3</v>
      </c>
      <c r="I113">
        <v>-0.96175235292415662</v>
      </c>
      <c r="J113">
        <v>-7.368194443200202E-3</v>
      </c>
      <c r="K113" s="96">
        <f t="shared" si="4"/>
        <v>0</v>
      </c>
      <c r="L113" s="96">
        <f t="shared" si="5"/>
        <v>0</v>
      </c>
      <c r="M113" s="96">
        <f t="shared" si="6"/>
        <v>1</v>
      </c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7.1249288126601256</v>
      </c>
      <c r="H114">
        <v>7.6612180056514559E-3</v>
      </c>
      <c r="I114">
        <v>-0.78859876225379355</v>
      </c>
      <c r="J114">
        <v>-6.041627036613215E-3</v>
      </c>
      <c r="K114" s="96">
        <f t="shared" si="4"/>
        <v>0</v>
      </c>
      <c r="L114" s="96">
        <f t="shared" si="5"/>
        <v>0</v>
      </c>
      <c r="M114" s="96">
        <f t="shared" si="6"/>
        <v>1</v>
      </c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11.585886100256202</v>
      </c>
      <c r="H115">
        <v>1.932559496921088E-3</v>
      </c>
      <c r="I115">
        <v>-0.6796371655147585</v>
      </c>
      <c r="J115">
        <v>-1.3134392586760758E-3</v>
      </c>
      <c r="K115" s="96">
        <f t="shared" si="4"/>
        <v>0</v>
      </c>
      <c r="L115" s="96">
        <f t="shared" si="5"/>
        <v>0</v>
      </c>
      <c r="M115" s="96">
        <f t="shared" si="6"/>
        <v>1</v>
      </c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-0.5</v>
      </c>
      <c r="H116">
        <v>1.932559496921088E-3</v>
      </c>
      <c r="I116">
        <v>-1.0168063303862609</v>
      </c>
      <c r="J116">
        <v>-1.9650387303174499E-3</v>
      </c>
      <c r="K116" s="96">
        <f t="shared" si="4"/>
        <v>0</v>
      </c>
      <c r="L116" s="96">
        <f t="shared" si="5"/>
        <v>0</v>
      </c>
      <c r="M116" s="96">
        <f t="shared" si="6"/>
        <v>1</v>
      </c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5.6379430501280998</v>
      </c>
      <c r="H117">
        <v>1.932559496921088E-3</v>
      </c>
      <c r="I117">
        <v>-0.82867152314431303</v>
      </c>
      <c r="J117">
        <v>-1.6014570218806053E-3</v>
      </c>
      <c r="K117" s="96">
        <f t="shared" si="4"/>
        <v>0</v>
      </c>
      <c r="L117" s="96">
        <f t="shared" si="5"/>
        <v>0</v>
      </c>
      <c r="M117" s="96">
        <f t="shared" si="6"/>
        <v>1</v>
      </c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10.098900337724178</v>
      </c>
      <c r="H118">
        <v>4.8749248570982399E-4</v>
      </c>
      <c r="I118">
        <v>-0.71417302700678831</v>
      </c>
      <c r="J118">
        <v>-3.481539841624485E-4</v>
      </c>
      <c r="K118" s="96">
        <f t="shared" si="4"/>
        <v>0</v>
      </c>
      <c r="L118" s="96">
        <f t="shared" si="5"/>
        <v>0</v>
      </c>
      <c r="M118" s="96">
        <f t="shared" si="6"/>
        <v>1</v>
      </c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2.663971525064051</v>
      </c>
      <c r="H119">
        <v>7.6612180056514559E-3</v>
      </c>
      <c r="I119">
        <v>-0.91502942950036592</v>
      </c>
      <c r="J119">
        <v>-7.010239940989183E-3</v>
      </c>
      <c r="K119" s="96">
        <f t="shared" si="4"/>
        <v>0</v>
      </c>
      <c r="L119" s="96">
        <f t="shared" si="5"/>
        <v>0</v>
      </c>
      <c r="M119" s="96">
        <f t="shared" si="6"/>
        <v>1</v>
      </c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8.6119145751921522</v>
      </c>
      <c r="H120">
        <v>7.6612180056514559E-3</v>
      </c>
      <c r="I120">
        <v>-0.75046383332749511</v>
      </c>
      <c r="J120">
        <v>-5.7494670324788185E-3</v>
      </c>
      <c r="K120" s="96">
        <f t="shared" si="4"/>
        <v>0</v>
      </c>
      <c r="L120" s="96">
        <f t="shared" si="5"/>
        <v>0</v>
      </c>
      <c r="M120" s="96">
        <f t="shared" si="6"/>
        <v>1</v>
      </c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13.072871862788229</v>
      </c>
      <c r="H121">
        <v>1.932559496921088E-3</v>
      </c>
      <c r="I121">
        <v>-0.64677138351872343</v>
      </c>
      <c r="J121">
        <v>-1.2499241795559002E-3</v>
      </c>
      <c r="K121" s="96">
        <f t="shared" si="4"/>
        <v>0</v>
      </c>
      <c r="L121" s="96">
        <f t="shared" si="5"/>
        <v>0</v>
      </c>
      <c r="M121" s="96">
        <f t="shared" si="6"/>
        <v>1</v>
      </c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1.1699487254949881</v>
      </c>
      <c r="H122">
        <v>7.6612180056514559E-3</v>
      </c>
      <c r="I122">
        <v>-0.96175235292415662</v>
      </c>
      <c r="J122">
        <v>-7.368194443200202E-3</v>
      </c>
      <c r="K122" s="96">
        <f t="shared" si="4"/>
        <v>0</v>
      </c>
      <c r="L122" s="96">
        <f t="shared" si="5"/>
        <v>0</v>
      </c>
      <c r="M122" s="96">
        <f t="shared" si="6"/>
        <v>1</v>
      </c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7.1249288126601256</v>
      </c>
      <c r="H123">
        <v>7.6612180056514559E-3</v>
      </c>
      <c r="I123">
        <v>-0.78859876225379355</v>
      </c>
      <c r="J123">
        <v>-6.041627036613215E-3</v>
      </c>
      <c r="K123" s="96">
        <f t="shared" si="4"/>
        <v>0</v>
      </c>
      <c r="L123" s="96">
        <f t="shared" si="5"/>
        <v>0</v>
      </c>
      <c r="M123" s="96">
        <f t="shared" si="6"/>
        <v>1</v>
      </c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11.585886100256202</v>
      </c>
      <c r="H124">
        <v>1.932559496921088E-3</v>
      </c>
      <c r="I124">
        <v>-0.6796371655147585</v>
      </c>
      <c r="J124">
        <v>-1.3134392586760758E-3</v>
      </c>
      <c r="K124" s="96">
        <f t="shared" si="4"/>
        <v>0</v>
      </c>
      <c r="L124" s="96">
        <f t="shared" si="5"/>
        <v>0</v>
      </c>
      <c r="M124" s="96">
        <f t="shared" si="6"/>
        <v>1</v>
      </c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-0.5</v>
      </c>
      <c r="H125">
        <v>1.932559496921088E-3</v>
      </c>
      <c r="I125">
        <v>-1.0168063303862609</v>
      </c>
      <c r="J125">
        <v>-1.9650387303174499E-3</v>
      </c>
      <c r="K125" s="96">
        <f t="shared" si="4"/>
        <v>0</v>
      </c>
      <c r="L125" s="96">
        <f t="shared" si="5"/>
        <v>0</v>
      </c>
      <c r="M125" s="96">
        <f t="shared" si="6"/>
        <v>1</v>
      </c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5.6379430501280998</v>
      </c>
      <c r="H126">
        <v>1.932559496921088E-3</v>
      </c>
      <c r="I126">
        <v>-0.82867152314431303</v>
      </c>
      <c r="J126">
        <v>-1.6014570218806053E-3</v>
      </c>
      <c r="K126" s="96">
        <f t="shared" si="4"/>
        <v>0</v>
      </c>
      <c r="L126" s="96">
        <f t="shared" si="5"/>
        <v>0</v>
      </c>
      <c r="M126" s="96">
        <f t="shared" si="6"/>
        <v>1</v>
      </c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10.098900337724178</v>
      </c>
      <c r="H127">
        <v>4.8749248570982399E-4</v>
      </c>
      <c r="I127">
        <v>-0.71417302700678831</v>
      </c>
      <c r="J127">
        <v>-3.481539841624485E-4</v>
      </c>
      <c r="K127" s="96">
        <f t="shared" si="4"/>
        <v>0</v>
      </c>
      <c r="L127" s="96">
        <f t="shared" si="5"/>
        <v>0</v>
      </c>
      <c r="M127" s="96">
        <f t="shared" si="6"/>
        <v>1</v>
      </c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2.663971525064051</v>
      </c>
      <c r="H128">
        <v>1.932559496921088E-3</v>
      </c>
      <c r="I128">
        <v>-0.91502942950036592</v>
      </c>
      <c r="J128">
        <v>-1.7683488139432174E-3</v>
      </c>
      <c r="K128" s="96">
        <f t="shared" si="4"/>
        <v>0</v>
      </c>
      <c r="L128" s="96">
        <f t="shared" si="5"/>
        <v>0</v>
      </c>
      <c r="M128" s="96">
        <f t="shared" si="6"/>
        <v>1</v>
      </c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8.6119145751921522</v>
      </c>
      <c r="H129">
        <v>1.932559496921088E-3</v>
      </c>
      <c r="I129">
        <v>-0.75046383332749511</v>
      </c>
      <c r="J129">
        <v>-1.4503160081928551E-3</v>
      </c>
      <c r="K129" s="96">
        <f t="shared" si="4"/>
        <v>0</v>
      </c>
      <c r="L129" s="96">
        <f t="shared" si="5"/>
        <v>0</v>
      </c>
      <c r="M129" s="96">
        <f t="shared" si="6"/>
        <v>1</v>
      </c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13.072871862788229</v>
      </c>
      <c r="H130">
        <v>4.8749248570982399E-4</v>
      </c>
      <c r="I130">
        <v>-0.64677138351872343</v>
      </c>
      <c r="J130">
        <v>-3.1529618943752438E-4</v>
      </c>
      <c r="K130" s="96">
        <f t="shared" si="4"/>
        <v>0</v>
      </c>
      <c r="L130" s="96">
        <f t="shared" si="5"/>
        <v>0</v>
      </c>
      <c r="M130" s="96">
        <f t="shared" si="6"/>
        <v>1</v>
      </c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1.1699487254949881</v>
      </c>
      <c r="H131">
        <v>1.932559496921088E-3</v>
      </c>
      <c r="I131">
        <v>-0.96175235292415662</v>
      </c>
      <c r="J131">
        <v>-1.8586436433297808E-3</v>
      </c>
      <c r="K131" s="96">
        <f t="shared" ref="K131:K194" si="7">IF(A131=3,1,0)</f>
        <v>0</v>
      </c>
      <c r="L131" s="96">
        <f t="shared" ref="L131:L194" si="8">IF(A131=2,1,0)</f>
        <v>0</v>
      </c>
      <c r="M131" s="96">
        <f t="shared" ref="M131:M194" si="9">IF(A131=1,1,0)</f>
        <v>1</v>
      </c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7.1249288126601256</v>
      </c>
      <c r="H132">
        <v>1.932559496921088E-3</v>
      </c>
      <c r="I132">
        <v>-0.78859876225379355</v>
      </c>
      <c r="J132">
        <v>-1.5240140272537838E-3</v>
      </c>
      <c r="K132" s="96">
        <f t="shared" si="7"/>
        <v>0</v>
      </c>
      <c r="L132" s="96">
        <f t="shared" si="8"/>
        <v>0</v>
      </c>
      <c r="M132" s="96">
        <f t="shared" si="9"/>
        <v>1</v>
      </c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11.585886100256202</v>
      </c>
      <c r="H133">
        <v>4.8749248570982399E-4</v>
      </c>
      <c r="I133">
        <v>-0.6796371655147585</v>
      </c>
      <c r="J133">
        <v>-3.3131801119756868E-4</v>
      </c>
      <c r="K133" s="96">
        <f t="shared" si="7"/>
        <v>0</v>
      </c>
      <c r="L133" s="96">
        <f t="shared" si="8"/>
        <v>0</v>
      </c>
      <c r="M133" s="96">
        <f t="shared" si="9"/>
        <v>1</v>
      </c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-0.5</v>
      </c>
      <c r="H134">
        <v>4.8749248570982405E-4</v>
      </c>
      <c r="I134">
        <v>-1.0168063303862609</v>
      </c>
      <c r="J134">
        <v>-4.9568544548548286E-4</v>
      </c>
      <c r="K134" s="96">
        <f t="shared" si="7"/>
        <v>0</v>
      </c>
      <c r="L134" s="96">
        <f t="shared" si="8"/>
        <v>0</v>
      </c>
      <c r="M134" s="96">
        <f t="shared" si="9"/>
        <v>1</v>
      </c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5.6379430501280998</v>
      </c>
      <c r="H135">
        <v>4.8749248570982405E-4</v>
      </c>
      <c r="I135">
        <v>-0.82867152314431303</v>
      </c>
      <c r="J135">
        <v>-4.0397114065456713E-4</v>
      </c>
      <c r="K135" s="96">
        <f t="shared" si="7"/>
        <v>0</v>
      </c>
      <c r="L135" s="96">
        <f t="shared" si="8"/>
        <v>0</v>
      </c>
      <c r="M135" s="96">
        <f t="shared" si="9"/>
        <v>1</v>
      </c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10.098900337724178</v>
      </c>
      <c r="H136">
        <v>1.2297107747635201E-4</v>
      </c>
      <c r="I136">
        <v>-0.71417302700678831</v>
      </c>
      <c r="J136">
        <v>-8.7822626635572601E-5</v>
      </c>
      <c r="K136" s="96">
        <f t="shared" si="7"/>
        <v>0</v>
      </c>
      <c r="L136" s="96">
        <f t="shared" si="8"/>
        <v>0</v>
      </c>
      <c r="M136" s="96">
        <f t="shared" si="9"/>
        <v>1</v>
      </c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2.663971525064051</v>
      </c>
      <c r="H137">
        <v>1.932559496921088E-3</v>
      </c>
      <c r="I137">
        <v>-0.91502942950036592</v>
      </c>
      <c r="J137">
        <v>-1.7683488139432174E-3</v>
      </c>
      <c r="K137" s="96">
        <f t="shared" si="7"/>
        <v>0</v>
      </c>
      <c r="L137" s="96">
        <f t="shared" si="8"/>
        <v>0</v>
      </c>
      <c r="M137" s="96">
        <f t="shared" si="9"/>
        <v>1</v>
      </c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8.6119145751921522</v>
      </c>
      <c r="H138">
        <v>1.932559496921088E-3</v>
      </c>
      <c r="I138">
        <v>-0.75046383332749511</v>
      </c>
      <c r="J138">
        <v>-1.4503160081928551E-3</v>
      </c>
      <c r="K138" s="96">
        <f t="shared" si="7"/>
        <v>0</v>
      </c>
      <c r="L138" s="96">
        <f t="shared" si="8"/>
        <v>0</v>
      </c>
      <c r="M138" s="96">
        <f t="shared" si="9"/>
        <v>1</v>
      </c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13.072871862788229</v>
      </c>
      <c r="H139">
        <v>4.8749248570982399E-4</v>
      </c>
      <c r="I139">
        <v>-0.64677138351872343</v>
      </c>
      <c r="J139">
        <v>-3.1529618943752438E-4</v>
      </c>
      <c r="K139" s="96">
        <f t="shared" si="7"/>
        <v>0</v>
      </c>
      <c r="L139" s="96">
        <f t="shared" si="8"/>
        <v>0</v>
      </c>
      <c r="M139" s="96">
        <f t="shared" si="9"/>
        <v>1</v>
      </c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1.1699487254949881</v>
      </c>
      <c r="H140">
        <v>1.932559496921088E-3</v>
      </c>
      <c r="I140">
        <v>-0.96175235292415662</v>
      </c>
      <c r="J140">
        <v>-1.8586436433297808E-3</v>
      </c>
      <c r="K140" s="96">
        <f t="shared" si="7"/>
        <v>0</v>
      </c>
      <c r="L140" s="96">
        <f t="shared" si="8"/>
        <v>0</v>
      </c>
      <c r="M140" s="96">
        <f t="shared" si="9"/>
        <v>1</v>
      </c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7.1249288126601256</v>
      </c>
      <c r="H141">
        <v>1.932559496921088E-3</v>
      </c>
      <c r="I141">
        <v>-0.78859876225379355</v>
      </c>
      <c r="J141">
        <v>-1.5240140272537838E-3</v>
      </c>
      <c r="K141" s="96">
        <f t="shared" si="7"/>
        <v>0</v>
      </c>
      <c r="L141" s="96">
        <f t="shared" si="8"/>
        <v>0</v>
      </c>
      <c r="M141" s="96">
        <f t="shared" si="9"/>
        <v>1</v>
      </c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11.585886100256202</v>
      </c>
      <c r="H142">
        <v>4.8749248570982399E-4</v>
      </c>
      <c r="I142">
        <v>-0.6796371655147585</v>
      </c>
      <c r="J142">
        <v>-3.3131801119756868E-4</v>
      </c>
      <c r="K142" s="96">
        <f t="shared" si="7"/>
        <v>0</v>
      </c>
      <c r="L142" s="96">
        <f t="shared" si="8"/>
        <v>0</v>
      </c>
      <c r="M142" s="96">
        <f t="shared" si="9"/>
        <v>1</v>
      </c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-0.5</v>
      </c>
      <c r="H143">
        <v>4.8749248570982405E-4</v>
      </c>
      <c r="I143">
        <v>-1.0168063303862609</v>
      </c>
      <c r="J143">
        <v>-4.9568544548548286E-4</v>
      </c>
      <c r="K143" s="96">
        <f t="shared" si="7"/>
        <v>0</v>
      </c>
      <c r="L143" s="96">
        <f t="shared" si="8"/>
        <v>0</v>
      </c>
      <c r="M143" s="96">
        <f t="shared" si="9"/>
        <v>1</v>
      </c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5.6379430501280998</v>
      </c>
      <c r="H144">
        <v>4.8749248570982405E-4</v>
      </c>
      <c r="I144">
        <v>-0.82867152314431303</v>
      </c>
      <c r="J144">
        <v>-4.0397114065456713E-4</v>
      </c>
      <c r="K144" s="96">
        <f t="shared" si="7"/>
        <v>0</v>
      </c>
      <c r="L144" s="96">
        <f t="shared" si="8"/>
        <v>0</v>
      </c>
      <c r="M144" s="96">
        <f t="shared" si="9"/>
        <v>1</v>
      </c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10.098900337724178</v>
      </c>
      <c r="H145">
        <v>1.2297107747635201E-4</v>
      </c>
      <c r="I145">
        <v>-0.71417302700678831</v>
      </c>
      <c r="J145">
        <v>-8.7822626635572601E-5</v>
      </c>
      <c r="K145" s="96">
        <f t="shared" si="7"/>
        <v>0</v>
      </c>
      <c r="L145" s="96">
        <f t="shared" si="8"/>
        <v>0</v>
      </c>
      <c r="M145" s="96">
        <f t="shared" si="9"/>
        <v>1</v>
      </c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2.663971525064051</v>
      </c>
      <c r="H146">
        <v>1.932559496921088E-3</v>
      </c>
      <c r="I146">
        <v>-0.91502942950036592</v>
      </c>
      <c r="J146">
        <v>-1.7683488139432174E-3</v>
      </c>
      <c r="K146" s="96">
        <f t="shared" si="7"/>
        <v>0</v>
      </c>
      <c r="L146" s="96">
        <f t="shared" si="8"/>
        <v>0</v>
      </c>
      <c r="M146" s="96">
        <f t="shared" si="9"/>
        <v>1</v>
      </c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8.6119145751921522</v>
      </c>
      <c r="H147">
        <v>1.932559496921088E-3</v>
      </c>
      <c r="I147">
        <v>-0.75046383332749511</v>
      </c>
      <c r="J147">
        <v>-1.4503160081928551E-3</v>
      </c>
      <c r="K147" s="96">
        <f t="shared" si="7"/>
        <v>0</v>
      </c>
      <c r="L147" s="96">
        <f t="shared" si="8"/>
        <v>0</v>
      </c>
      <c r="M147" s="96">
        <f t="shared" si="9"/>
        <v>1</v>
      </c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13.072871862788229</v>
      </c>
      <c r="H148">
        <v>4.8749248570982399E-4</v>
      </c>
      <c r="I148">
        <v>-0.64677138351872343</v>
      </c>
      <c r="J148">
        <v>-3.1529618943752438E-4</v>
      </c>
      <c r="K148" s="96">
        <f t="shared" si="7"/>
        <v>0</v>
      </c>
      <c r="L148" s="96">
        <f t="shared" si="8"/>
        <v>0</v>
      </c>
      <c r="M148" s="96">
        <f t="shared" si="9"/>
        <v>1</v>
      </c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1.1699487254949881</v>
      </c>
      <c r="H149">
        <v>1.932559496921088E-3</v>
      </c>
      <c r="I149">
        <v>-0.96175235292415662</v>
      </c>
      <c r="J149">
        <v>-1.8586436433297808E-3</v>
      </c>
      <c r="K149" s="96">
        <f t="shared" si="7"/>
        <v>0</v>
      </c>
      <c r="L149" s="96">
        <f t="shared" si="8"/>
        <v>0</v>
      </c>
      <c r="M149" s="96">
        <f t="shared" si="9"/>
        <v>1</v>
      </c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7.1249288126601256</v>
      </c>
      <c r="H150">
        <v>1.932559496921088E-3</v>
      </c>
      <c r="I150">
        <v>-0.78859876225379355</v>
      </c>
      <c r="J150">
        <v>-1.5240140272537838E-3</v>
      </c>
      <c r="K150" s="96">
        <f t="shared" si="7"/>
        <v>0</v>
      </c>
      <c r="L150" s="96">
        <f t="shared" si="8"/>
        <v>0</v>
      </c>
      <c r="M150" s="96">
        <f t="shared" si="9"/>
        <v>1</v>
      </c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11.585886100256202</v>
      </c>
      <c r="H151">
        <v>4.8749248570982399E-4</v>
      </c>
      <c r="I151">
        <v>-0.6796371655147585</v>
      </c>
      <c r="J151">
        <v>-3.3131801119756868E-4</v>
      </c>
      <c r="K151" s="96">
        <f t="shared" si="7"/>
        <v>0</v>
      </c>
      <c r="L151" s="96">
        <f t="shared" si="8"/>
        <v>0</v>
      </c>
      <c r="M151" s="96">
        <f t="shared" si="9"/>
        <v>1</v>
      </c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-0.5</v>
      </c>
      <c r="H152">
        <v>4.8749248570982405E-4</v>
      </c>
      <c r="I152">
        <v>-1.0168063303862609</v>
      </c>
      <c r="J152">
        <v>-4.9568544548548286E-4</v>
      </c>
      <c r="K152" s="96">
        <f t="shared" si="7"/>
        <v>0</v>
      </c>
      <c r="L152" s="96">
        <f t="shared" si="8"/>
        <v>0</v>
      </c>
      <c r="M152" s="96">
        <f t="shared" si="9"/>
        <v>1</v>
      </c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5.6379430501280998</v>
      </c>
      <c r="H153">
        <v>4.8749248570982405E-4</v>
      </c>
      <c r="I153">
        <v>-0.82867152314431303</v>
      </c>
      <c r="J153">
        <v>-4.0397114065456713E-4</v>
      </c>
      <c r="K153" s="96">
        <f t="shared" si="7"/>
        <v>0</v>
      </c>
      <c r="L153" s="96">
        <f t="shared" si="8"/>
        <v>0</v>
      </c>
      <c r="M153" s="96">
        <f t="shared" si="9"/>
        <v>1</v>
      </c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10.098900337724178</v>
      </c>
      <c r="H154">
        <v>1.2297107747635201E-4</v>
      </c>
      <c r="I154">
        <v>-0.71417302700678831</v>
      </c>
      <c r="J154">
        <v>-8.7822626635572601E-5</v>
      </c>
      <c r="K154" s="96">
        <f t="shared" si="7"/>
        <v>0</v>
      </c>
      <c r="L154" s="96">
        <f t="shared" si="8"/>
        <v>0</v>
      </c>
      <c r="M154" s="96">
        <f t="shared" si="9"/>
        <v>1</v>
      </c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2.663971525064051</v>
      </c>
      <c r="H155">
        <v>4.8749248570982405E-4</v>
      </c>
      <c r="I155">
        <v>-0.91502942950036592</v>
      </c>
      <c r="J155">
        <v>-4.4606997108477558E-4</v>
      </c>
      <c r="K155" s="96">
        <f t="shared" si="7"/>
        <v>0</v>
      </c>
      <c r="L155" s="96">
        <f t="shared" si="8"/>
        <v>0</v>
      </c>
      <c r="M155" s="96">
        <f t="shared" si="9"/>
        <v>1</v>
      </c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8.6119145751921522</v>
      </c>
      <c r="H156">
        <v>4.8749248570982405E-4</v>
      </c>
      <c r="I156">
        <v>-0.75046383332749511</v>
      </c>
      <c r="J156">
        <v>-3.6584547954414371E-4</v>
      </c>
      <c r="K156" s="96">
        <f t="shared" si="7"/>
        <v>0</v>
      </c>
      <c r="L156" s="96">
        <f t="shared" si="8"/>
        <v>0</v>
      </c>
      <c r="M156" s="96">
        <f t="shared" si="9"/>
        <v>1</v>
      </c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13.072871862788229</v>
      </c>
      <c r="H157">
        <v>1.2297107747635201E-4</v>
      </c>
      <c r="I157">
        <v>-0.64677138351872343</v>
      </c>
      <c r="J157">
        <v>-7.9534173912168318E-5</v>
      </c>
      <c r="K157" s="96">
        <f t="shared" si="7"/>
        <v>0</v>
      </c>
      <c r="L157" s="96">
        <f t="shared" si="8"/>
        <v>0</v>
      </c>
      <c r="M157" s="96">
        <f t="shared" si="9"/>
        <v>1</v>
      </c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1.1699487254949881</v>
      </c>
      <c r="H158">
        <v>4.8749248570982405E-4</v>
      </c>
      <c r="I158">
        <v>-0.96175235292415662</v>
      </c>
      <c r="J158">
        <v>-4.6884704516426907E-4</v>
      </c>
      <c r="K158" s="96">
        <f t="shared" si="7"/>
        <v>0</v>
      </c>
      <c r="L158" s="96">
        <f t="shared" si="8"/>
        <v>0</v>
      </c>
      <c r="M158" s="96">
        <f t="shared" si="9"/>
        <v>1</v>
      </c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7.1249288126601256</v>
      </c>
      <c r="H159">
        <v>4.8749248570982405E-4</v>
      </c>
      <c r="I159">
        <v>-0.78859876225379355</v>
      </c>
      <c r="J159">
        <v>-3.8443597083879236E-4</v>
      </c>
      <c r="K159" s="96">
        <f t="shared" si="7"/>
        <v>0</v>
      </c>
      <c r="L159" s="96">
        <f t="shared" si="8"/>
        <v>0</v>
      </c>
      <c r="M159" s="96">
        <f t="shared" si="9"/>
        <v>1</v>
      </c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11.585886100256202</v>
      </c>
      <c r="H160">
        <v>1.2297107747635201E-4</v>
      </c>
      <c r="I160">
        <v>-0.6796371655147585</v>
      </c>
      <c r="J160">
        <v>-8.3575714536323636E-5</v>
      </c>
      <c r="K160" s="96">
        <f t="shared" si="7"/>
        <v>0</v>
      </c>
      <c r="L160" s="96">
        <f t="shared" si="8"/>
        <v>0</v>
      </c>
      <c r="M160" s="96">
        <f t="shared" si="9"/>
        <v>1</v>
      </c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-0.5</v>
      </c>
      <c r="H161">
        <v>1.2297107747635201E-4</v>
      </c>
      <c r="I161">
        <v>-1.0168063303862609</v>
      </c>
      <c r="J161">
        <v>-1.2503777003237406E-4</v>
      </c>
      <c r="K161" s="96">
        <f t="shared" si="7"/>
        <v>0</v>
      </c>
      <c r="L161" s="96">
        <f t="shared" si="8"/>
        <v>0</v>
      </c>
      <c r="M161" s="96">
        <f t="shared" si="9"/>
        <v>1</v>
      </c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5.6379430501280998</v>
      </c>
      <c r="H162">
        <v>1.2297107747635201E-4</v>
      </c>
      <c r="I162">
        <v>-0.82867152314431303</v>
      </c>
      <c r="J162">
        <v>-1.0190263007502594E-4</v>
      </c>
      <c r="K162" s="96">
        <f t="shared" si="7"/>
        <v>0</v>
      </c>
      <c r="L162" s="96">
        <f t="shared" si="8"/>
        <v>0</v>
      </c>
      <c r="M162" s="96">
        <f t="shared" si="9"/>
        <v>1</v>
      </c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10.098900337724178</v>
      </c>
      <c r="H163">
        <v>3.1019731255295997E-5</v>
      </c>
      <c r="I163">
        <v>-0.71417302700678831</v>
      </c>
      <c r="J163">
        <v>-2.2153455367531822E-5</v>
      </c>
      <c r="K163" s="96">
        <f t="shared" si="7"/>
        <v>0</v>
      </c>
      <c r="L163" s="96">
        <f t="shared" si="8"/>
        <v>0</v>
      </c>
      <c r="M163" s="96">
        <f t="shared" si="9"/>
        <v>1</v>
      </c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2.9224082242165226</v>
      </c>
      <c r="H164">
        <v>1.932559496921088E-3</v>
      </c>
      <c r="I164">
        <v>-0.90718071180378745</v>
      </c>
      <c r="J164">
        <v>-1.7531807000200419E-3</v>
      </c>
      <c r="K164" s="96">
        <f t="shared" si="7"/>
        <v>0</v>
      </c>
      <c r="L164" s="96">
        <f t="shared" si="8"/>
        <v>0</v>
      </c>
      <c r="M164" s="96">
        <f t="shared" si="9"/>
        <v>1</v>
      </c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9.3872246726495625</v>
      </c>
      <c r="H165">
        <v>1.932559496921088E-3</v>
      </c>
      <c r="I165">
        <v>-0.73131756429417372</v>
      </c>
      <c r="J165">
        <v>-1.4133147041419038E-3</v>
      </c>
      <c r="K165" s="96">
        <f t="shared" si="7"/>
        <v>0</v>
      </c>
      <c r="L165" s="96">
        <f t="shared" si="8"/>
        <v>0</v>
      </c>
      <c r="M165" s="96">
        <f t="shared" si="9"/>
        <v>1</v>
      </c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14.235837008974343</v>
      </c>
      <c r="H166">
        <v>4.8749248570982399E-4</v>
      </c>
      <c r="I166">
        <v>-0.62217871752733922</v>
      </c>
      <c r="J166">
        <v>-3.0330744956315304E-4</v>
      </c>
      <c r="K166" s="96">
        <f t="shared" si="7"/>
        <v>0</v>
      </c>
      <c r="L166" s="96">
        <f t="shared" si="8"/>
        <v>0</v>
      </c>
      <c r="M166" s="96">
        <f t="shared" si="9"/>
        <v>1</v>
      </c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1.2991670750712248</v>
      </c>
      <c r="H167">
        <v>1.932559496921088E-3</v>
      </c>
      <c r="I167">
        <v>-0.9576187265962971</v>
      </c>
      <c r="J167">
        <v>-1.8506551645131528E-3</v>
      </c>
      <c r="K167" s="96">
        <f t="shared" si="7"/>
        <v>0</v>
      </c>
      <c r="L167" s="96">
        <f t="shared" si="8"/>
        <v>0</v>
      </c>
      <c r="M167" s="96">
        <f t="shared" si="9"/>
        <v>1</v>
      </c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7.7710205605413014</v>
      </c>
      <c r="H168">
        <v>1.932559496921088E-3</v>
      </c>
      <c r="I168">
        <v>-0.77179676708622968</v>
      </c>
      <c r="J168">
        <v>-1.4915431719254861E-3</v>
      </c>
      <c r="K168" s="96">
        <f t="shared" si="7"/>
        <v>0</v>
      </c>
      <c r="L168" s="96">
        <f t="shared" si="8"/>
        <v>0</v>
      </c>
      <c r="M168" s="96">
        <f t="shared" si="9"/>
        <v>1</v>
      </c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12.619632896866085</v>
      </c>
      <c r="H169">
        <v>4.8749248570982399E-4</v>
      </c>
      <c r="I169">
        <v>-0.65661696940222458</v>
      </c>
      <c r="J169">
        <v>-3.2009583857314192E-4</v>
      </c>
      <c r="K169" s="96">
        <f t="shared" si="7"/>
        <v>0</v>
      </c>
      <c r="L169" s="96">
        <f t="shared" si="8"/>
        <v>0</v>
      </c>
      <c r="M169" s="96">
        <f t="shared" si="9"/>
        <v>1</v>
      </c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-0.5</v>
      </c>
      <c r="H170">
        <v>4.8749248570982405E-4</v>
      </c>
      <c r="I170">
        <v>-1.0168063303862609</v>
      </c>
      <c r="J170">
        <v>-4.9568544548548286E-4</v>
      </c>
      <c r="K170" s="96">
        <f t="shared" si="7"/>
        <v>0</v>
      </c>
      <c r="L170" s="96">
        <f t="shared" si="8"/>
        <v>0</v>
      </c>
      <c r="M170" s="96">
        <f t="shared" si="9"/>
        <v>1</v>
      </c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6.1548164484330394</v>
      </c>
      <c r="H171">
        <v>4.8749248570982405E-4</v>
      </c>
      <c r="I171">
        <v>-0.81451653668357205</v>
      </c>
      <c r="J171">
        <v>-3.9707069111963159E-4</v>
      </c>
      <c r="K171" s="96">
        <f t="shared" si="7"/>
        <v>0</v>
      </c>
      <c r="L171" s="96">
        <f t="shared" si="8"/>
        <v>0</v>
      </c>
      <c r="M171" s="96">
        <f t="shared" si="9"/>
        <v>1</v>
      </c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11.003428784757821</v>
      </c>
      <c r="H172">
        <v>1.2297107747635201E-4</v>
      </c>
      <c r="I172">
        <v>-0.69296141504232178</v>
      </c>
      <c r="J172">
        <v>-8.521421185729187E-5</v>
      </c>
      <c r="K172" s="96">
        <f t="shared" si="7"/>
        <v>0</v>
      </c>
      <c r="L172" s="96">
        <f t="shared" si="8"/>
        <v>0</v>
      </c>
      <c r="M172" s="96">
        <f t="shared" si="9"/>
        <v>1</v>
      </c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2.9224082242165226</v>
      </c>
      <c r="H173">
        <v>1.932559496921088E-3</v>
      </c>
      <c r="I173">
        <v>-0.90718071180378745</v>
      </c>
      <c r="J173">
        <v>-1.7531807000200419E-3</v>
      </c>
      <c r="K173" s="96">
        <f t="shared" si="7"/>
        <v>0</v>
      </c>
      <c r="L173" s="96">
        <f t="shared" si="8"/>
        <v>0</v>
      </c>
      <c r="M173" s="96">
        <f t="shared" si="9"/>
        <v>1</v>
      </c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9.3872246726495625</v>
      </c>
      <c r="H174">
        <v>1.932559496921088E-3</v>
      </c>
      <c r="I174">
        <v>-0.73131756429417372</v>
      </c>
      <c r="J174">
        <v>-1.4133147041419038E-3</v>
      </c>
      <c r="K174" s="96">
        <f t="shared" si="7"/>
        <v>0</v>
      </c>
      <c r="L174" s="96">
        <f t="shared" si="8"/>
        <v>0</v>
      </c>
      <c r="M174" s="96">
        <f t="shared" si="9"/>
        <v>1</v>
      </c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14.235837008974343</v>
      </c>
      <c r="H175">
        <v>4.8749248570982399E-4</v>
      </c>
      <c r="I175">
        <v>-0.62217871752733922</v>
      </c>
      <c r="J175">
        <v>-3.0330744956315304E-4</v>
      </c>
      <c r="K175" s="96">
        <f t="shared" si="7"/>
        <v>0</v>
      </c>
      <c r="L175" s="96">
        <f t="shared" si="8"/>
        <v>0</v>
      </c>
      <c r="M175" s="96">
        <f t="shared" si="9"/>
        <v>1</v>
      </c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1.2991670750712248</v>
      </c>
      <c r="H176">
        <v>1.932559496921088E-3</v>
      </c>
      <c r="I176">
        <v>-0.9576187265962971</v>
      </c>
      <c r="J176">
        <v>-1.8506551645131528E-3</v>
      </c>
      <c r="K176" s="96">
        <f t="shared" si="7"/>
        <v>0</v>
      </c>
      <c r="L176" s="96">
        <f t="shared" si="8"/>
        <v>0</v>
      </c>
      <c r="M176" s="96">
        <f t="shared" si="9"/>
        <v>1</v>
      </c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7.7710205605413014</v>
      </c>
      <c r="H177">
        <v>1.932559496921088E-3</v>
      </c>
      <c r="I177">
        <v>-0.77179676708622968</v>
      </c>
      <c r="J177">
        <v>-1.4915431719254861E-3</v>
      </c>
      <c r="K177" s="96">
        <f t="shared" si="7"/>
        <v>0</v>
      </c>
      <c r="L177" s="96">
        <f t="shared" si="8"/>
        <v>0</v>
      </c>
      <c r="M177" s="96">
        <f t="shared" si="9"/>
        <v>1</v>
      </c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12.619632896866085</v>
      </c>
      <c r="H178">
        <v>4.8749248570982399E-4</v>
      </c>
      <c r="I178">
        <v>-0.65661696940222458</v>
      </c>
      <c r="J178">
        <v>-3.2009583857314192E-4</v>
      </c>
      <c r="K178" s="96">
        <f t="shared" si="7"/>
        <v>0</v>
      </c>
      <c r="L178" s="96">
        <f t="shared" si="8"/>
        <v>0</v>
      </c>
      <c r="M178" s="96">
        <f t="shared" si="9"/>
        <v>1</v>
      </c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-0.5</v>
      </c>
      <c r="H179">
        <v>4.8749248570982405E-4</v>
      </c>
      <c r="I179">
        <v>-1.0168063303862609</v>
      </c>
      <c r="J179">
        <v>-4.9568544548548286E-4</v>
      </c>
      <c r="K179" s="96">
        <f t="shared" si="7"/>
        <v>0</v>
      </c>
      <c r="L179" s="96">
        <f t="shared" si="8"/>
        <v>0</v>
      </c>
      <c r="M179" s="96">
        <f t="shared" si="9"/>
        <v>1</v>
      </c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6.1548164484330394</v>
      </c>
      <c r="H180">
        <v>4.8749248570982405E-4</v>
      </c>
      <c r="I180">
        <v>-0.81451653668357205</v>
      </c>
      <c r="J180">
        <v>-3.9707069111963159E-4</v>
      </c>
      <c r="K180" s="96">
        <f t="shared" si="7"/>
        <v>0</v>
      </c>
      <c r="L180" s="96">
        <f t="shared" si="8"/>
        <v>0</v>
      </c>
      <c r="M180" s="96">
        <f t="shared" si="9"/>
        <v>1</v>
      </c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11.003428784757821</v>
      </c>
      <c r="H181">
        <v>1.2297107747635201E-4</v>
      </c>
      <c r="I181">
        <v>-0.69296141504232178</v>
      </c>
      <c r="J181">
        <v>-8.521421185729187E-5</v>
      </c>
      <c r="K181" s="96">
        <f t="shared" si="7"/>
        <v>0</v>
      </c>
      <c r="L181" s="96">
        <f t="shared" si="8"/>
        <v>0</v>
      </c>
      <c r="M181" s="96">
        <f t="shared" si="9"/>
        <v>1</v>
      </c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2.9224082242165226</v>
      </c>
      <c r="H182">
        <v>4.8749248570982405E-4</v>
      </c>
      <c r="I182">
        <v>-0.90718071180378745</v>
      </c>
      <c r="J182">
        <v>-4.4224378018523585E-4</v>
      </c>
      <c r="K182" s="96">
        <f t="shared" si="7"/>
        <v>0</v>
      </c>
      <c r="L182" s="96">
        <f t="shared" si="8"/>
        <v>0</v>
      </c>
      <c r="M182" s="96">
        <f t="shared" si="9"/>
        <v>1</v>
      </c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9.3872246726495625</v>
      </c>
      <c r="H183">
        <v>4.8749248570982405E-4</v>
      </c>
      <c r="I183">
        <v>-0.73131756429417372</v>
      </c>
      <c r="J183">
        <v>-3.565118172610208E-4</v>
      </c>
      <c r="K183" s="96">
        <f t="shared" si="7"/>
        <v>0</v>
      </c>
      <c r="L183" s="96">
        <f t="shared" si="8"/>
        <v>0</v>
      </c>
      <c r="M183" s="96">
        <f t="shared" si="9"/>
        <v>1</v>
      </c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14.235837008974343</v>
      </c>
      <c r="H184">
        <v>1.2297107747635201E-4</v>
      </c>
      <c r="I184">
        <v>-0.62217871752733922</v>
      </c>
      <c r="J184">
        <v>-7.6509987277191758E-5</v>
      </c>
      <c r="K184" s="96">
        <f t="shared" si="7"/>
        <v>0</v>
      </c>
      <c r="L184" s="96">
        <f t="shared" si="8"/>
        <v>0</v>
      </c>
      <c r="M184" s="96">
        <f t="shared" si="9"/>
        <v>1</v>
      </c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1.2991670750712248</v>
      </c>
      <c r="H185">
        <v>4.8749248570982405E-4</v>
      </c>
      <c r="I185">
        <v>-0.9576187265962971</v>
      </c>
      <c r="J185">
        <v>-4.6683193339070524E-4</v>
      </c>
      <c r="K185" s="96">
        <f t="shared" si="7"/>
        <v>0</v>
      </c>
      <c r="L185" s="96">
        <f t="shared" si="8"/>
        <v>0</v>
      </c>
      <c r="M185" s="96">
        <f t="shared" si="9"/>
        <v>1</v>
      </c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7.7710205605413014</v>
      </c>
      <c r="H186">
        <v>4.8749248570982405E-4</v>
      </c>
      <c r="I186">
        <v>-0.77179676708622968</v>
      </c>
      <c r="J186">
        <v>-3.7624512444967223E-4</v>
      </c>
      <c r="K186" s="96">
        <f t="shared" si="7"/>
        <v>0</v>
      </c>
      <c r="L186" s="96">
        <f t="shared" si="8"/>
        <v>0</v>
      </c>
      <c r="M186" s="96">
        <f t="shared" si="9"/>
        <v>1</v>
      </c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12.619632896866085</v>
      </c>
      <c r="H187">
        <v>1.2297107747635201E-4</v>
      </c>
      <c r="I187">
        <v>-0.65661696940222458</v>
      </c>
      <c r="J187">
        <v>-8.0744896216648418E-5</v>
      </c>
      <c r="K187" s="96">
        <f t="shared" si="7"/>
        <v>0</v>
      </c>
      <c r="L187" s="96">
        <f t="shared" si="8"/>
        <v>0</v>
      </c>
      <c r="M187" s="96">
        <f t="shared" si="9"/>
        <v>1</v>
      </c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-0.5</v>
      </c>
      <c r="H188">
        <v>1.2297107747635201E-4</v>
      </c>
      <c r="I188">
        <v>-1.0168063303862609</v>
      </c>
      <c r="J188">
        <v>-1.2503777003237406E-4</v>
      </c>
      <c r="K188" s="96">
        <f t="shared" si="7"/>
        <v>0</v>
      </c>
      <c r="L188" s="96">
        <f t="shared" si="8"/>
        <v>0</v>
      </c>
      <c r="M188" s="96">
        <f t="shared" si="9"/>
        <v>1</v>
      </c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6.1548164484330394</v>
      </c>
      <c r="H189">
        <v>1.2297107747635201E-4</v>
      </c>
      <c r="I189">
        <v>-0.81451653668357205</v>
      </c>
      <c r="J189">
        <v>-1.0016197613828546E-4</v>
      </c>
      <c r="K189" s="96">
        <f t="shared" si="7"/>
        <v>0</v>
      </c>
      <c r="L189" s="96">
        <f t="shared" si="8"/>
        <v>0</v>
      </c>
      <c r="M189" s="96">
        <f t="shared" si="9"/>
        <v>1</v>
      </c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11.003428784757821</v>
      </c>
      <c r="H190">
        <v>3.1019731255295997E-5</v>
      </c>
      <c r="I190">
        <v>-0.69296141504232178</v>
      </c>
      <c r="J190">
        <v>-2.1495476864902451E-5</v>
      </c>
      <c r="K190" s="96">
        <f t="shared" si="7"/>
        <v>0</v>
      </c>
      <c r="L190" s="96">
        <f t="shared" si="8"/>
        <v>0</v>
      </c>
      <c r="M190" s="96">
        <f t="shared" si="9"/>
        <v>1</v>
      </c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2.9224082242165226</v>
      </c>
      <c r="H191">
        <v>1.932559496921088E-3</v>
      </c>
      <c r="I191">
        <v>-0.90718071180378745</v>
      </c>
      <c r="J191">
        <v>-1.7531807000200419E-3</v>
      </c>
      <c r="K191" s="96">
        <f t="shared" si="7"/>
        <v>0</v>
      </c>
      <c r="L191" s="96">
        <f t="shared" si="8"/>
        <v>0</v>
      </c>
      <c r="M191" s="96">
        <f t="shared" si="9"/>
        <v>1</v>
      </c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9.3872246726495625</v>
      </c>
      <c r="H192">
        <v>1.932559496921088E-3</v>
      </c>
      <c r="I192">
        <v>-0.73131756429417372</v>
      </c>
      <c r="J192">
        <v>-1.4133147041419038E-3</v>
      </c>
      <c r="K192" s="96">
        <f t="shared" si="7"/>
        <v>0</v>
      </c>
      <c r="L192" s="96">
        <f t="shared" si="8"/>
        <v>0</v>
      </c>
      <c r="M192" s="96">
        <f t="shared" si="9"/>
        <v>1</v>
      </c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14.235837008974343</v>
      </c>
      <c r="H193">
        <v>4.8749248570982399E-4</v>
      </c>
      <c r="I193">
        <v>-0.62217871752733922</v>
      </c>
      <c r="J193">
        <v>-3.0330744956315304E-4</v>
      </c>
      <c r="K193" s="96">
        <f t="shared" si="7"/>
        <v>0</v>
      </c>
      <c r="L193" s="96">
        <f t="shared" si="8"/>
        <v>0</v>
      </c>
      <c r="M193" s="96">
        <f t="shared" si="9"/>
        <v>1</v>
      </c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1.2991670750712248</v>
      </c>
      <c r="H194">
        <v>1.932559496921088E-3</v>
      </c>
      <c r="I194">
        <v>-0.9576187265962971</v>
      </c>
      <c r="J194">
        <v>-1.8506551645131528E-3</v>
      </c>
      <c r="K194" s="96">
        <f t="shared" si="7"/>
        <v>0</v>
      </c>
      <c r="L194" s="96">
        <f t="shared" si="8"/>
        <v>0</v>
      </c>
      <c r="M194" s="96">
        <f t="shared" si="9"/>
        <v>1</v>
      </c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7.7710205605413014</v>
      </c>
      <c r="H195">
        <v>1.932559496921088E-3</v>
      </c>
      <c r="I195">
        <v>-0.77179676708622968</v>
      </c>
      <c r="J195">
        <v>-1.4915431719254861E-3</v>
      </c>
      <c r="K195" s="96">
        <f t="shared" ref="K195:K258" si="10">IF(A195=3,1,0)</f>
        <v>0</v>
      </c>
      <c r="L195" s="96">
        <f t="shared" ref="L195:L258" si="11">IF(A195=2,1,0)</f>
        <v>0</v>
      </c>
      <c r="M195" s="96">
        <f t="shared" ref="M195:M258" si="12">IF(A195=1,1,0)</f>
        <v>1</v>
      </c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12.619632896866085</v>
      </c>
      <c r="H196">
        <v>4.8749248570982399E-4</v>
      </c>
      <c r="I196">
        <v>-0.65661696940222458</v>
      </c>
      <c r="J196">
        <v>-3.2009583857314192E-4</v>
      </c>
      <c r="K196" s="96">
        <f t="shared" si="10"/>
        <v>0</v>
      </c>
      <c r="L196" s="96">
        <f t="shared" si="11"/>
        <v>0</v>
      </c>
      <c r="M196" s="96">
        <f t="shared" si="12"/>
        <v>1</v>
      </c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-0.5</v>
      </c>
      <c r="H197">
        <v>4.8749248570982405E-4</v>
      </c>
      <c r="I197">
        <v>-1.0168063303862609</v>
      </c>
      <c r="J197">
        <v>-4.9568544548548286E-4</v>
      </c>
      <c r="K197" s="96">
        <f t="shared" si="10"/>
        <v>0</v>
      </c>
      <c r="L197" s="96">
        <f t="shared" si="11"/>
        <v>0</v>
      </c>
      <c r="M197" s="96">
        <f t="shared" si="12"/>
        <v>1</v>
      </c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6.1548164484330394</v>
      </c>
      <c r="H198">
        <v>4.8749248570982405E-4</v>
      </c>
      <c r="I198">
        <v>-0.81451653668357205</v>
      </c>
      <c r="J198">
        <v>-3.9707069111963159E-4</v>
      </c>
      <c r="K198" s="96">
        <f t="shared" si="10"/>
        <v>0</v>
      </c>
      <c r="L198" s="96">
        <f t="shared" si="11"/>
        <v>0</v>
      </c>
      <c r="M198" s="96">
        <f t="shared" si="12"/>
        <v>1</v>
      </c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11.003428784757821</v>
      </c>
      <c r="H199">
        <v>1.2297107747635201E-4</v>
      </c>
      <c r="I199">
        <v>-0.69296141504232178</v>
      </c>
      <c r="J199">
        <v>-8.521421185729187E-5</v>
      </c>
      <c r="K199" s="96">
        <f t="shared" si="10"/>
        <v>0</v>
      </c>
      <c r="L199" s="96">
        <f t="shared" si="11"/>
        <v>0</v>
      </c>
      <c r="M199" s="96">
        <f t="shared" si="12"/>
        <v>1</v>
      </c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2.9224082242165226</v>
      </c>
      <c r="H200">
        <v>1.932559496921088E-3</v>
      </c>
      <c r="I200">
        <v>-0.90718071180378745</v>
      </c>
      <c r="J200">
        <v>-1.7531807000200419E-3</v>
      </c>
      <c r="K200" s="96">
        <f t="shared" si="10"/>
        <v>0</v>
      </c>
      <c r="L200" s="96">
        <f t="shared" si="11"/>
        <v>0</v>
      </c>
      <c r="M200" s="96">
        <f t="shared" si="12"/>
        <v>1</v>
      </c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9.3872246726495625</v>
      </c>
      <c r="H201">
        <v>1.932559496921088E-3</v>
      </c>
      <c r="I201">
        <v>-0.73131756429417372</v>
      </c>
      <c r="J201">
        <v>-1.4133147041419038E-3</v>
      </c>
      <c r="K201" s="96">
        <f t="shared" si="10"/>
        <v>0</v>
      </c>
      <c r="L201" s="96">
        <f t="shared" si="11"/>
        <v>0</v>
      </c>
      <c r="M201" s="96">
        <f t="shared" si="12"/>
        <v>1</v>
      </c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14.235837008974343</v>
      </c>
      <c r="H202">
        <v>4.8749248570982399E-4</v>
      </c>
      <c r="I202">
        <v>-0.62217871752733922</v>
      </c>
      <c r="J202">
        <v>-3.0330744956315304E-4</v>
      </c>
      <c r="K202" s="96">
        <f t="shared" si="10"/>
        <v>0</v>
      </c>
      <c r="L202" s="96">
        <f t="shared" si="11"/>
        <v>0</v>
      </c>
      <c r="M202" s="96">
        <f t="shared" si="12"/>
        <v>1</v>
      </c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1.2991670750712248</v>
      </c>
      <c r="H203">
        <v>1.932559496921088E-3</v>
      </c>
      <c r="I203">
        <v>-0.9576187265962971</v>
      </c>
      <c r="J203">
        <v>-1.8506551645131528E-3</v>
      </c>
      <c r="K203" s="96">
        <f t="shared" si="10"/>
        <v>0</v>
      </c>
      <c r="L203" s="96">
        <f t="shared" si="11"/>
        <v>0</v>
      </c>
      <c r="M203" s="96">
        <f t="shared" si="12"/>
        <v>1</v>
      </c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7.7710205605413014</v>
      </c>
      <c r="H204">
        <v>1.932559496921088E-3</v>
      </c>
      <c r="I204">
        <v>-0.77179676708622968</v>
      </c>
      <c r="J204">
        <v>-1.4915431719254861E-3</v>
      </c>
      <c r="K204" s="96">
        <f t="shared" si="10"/>
        <v>0</v>
      </c>
      <c r="L204" s="96">
        <f t="shared" si="11"/>
        <v>0</v>
      </c>
      <c r="M204" s="96">
        <f t="shared" si="12"/>
        <v>1</v>
      </c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12.619632896866085</v>
      </c>
      <c r="H205">
        <v>4.8749248570982399E-4</v>
      </c>
      <c r="I205">
        <v>-0.65661696940222458</v>
      </c>
      <c r="J205">
        <v>-3.2009583857314192E-4</v>
      </c>
      <c r="K205" s="96">
        <f t="shared" si="10"/>
        <v>0</v>
      </c>
      <c r="L205" s="96">
        <f t="shared" si="11"/>
        <v>0</v>
      </c>
      <c r="M205" s="96">
        <f t="shared" si="12"/>
        <v>1</v>
      </c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-0.5</v>
      </c>
      <c r="H206">
        <v>4.8749248570982405E-4</v>
      </c>
      <c r="I206">
        <v>-1.0168063303862609</v>
      </c>
      <c r="J206">
        <v>-4.9568544548548286E-4</v>
      </c>
      <c r="K206" s="96">
        <f t="shared" si="10"/>
        <v>0</v>
      </c>
      <c r="L206" s="96">
        <f t="shared" si="11"/>
        <v>0</v>
      </c>
      <c r="M206" s="96">
        <f t="shared" si="12"/>
        <v>1</v>
      </c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6.1548164484330394</v>
      </c>
      <c r="H207">
        <v>4.8749248570982405E-4</v>
      </c>
      <c r="I207">
        <v>-0.81451653668357205</v>
      </c>
      <c r="J207">
        <v>-3.9707069111963159E-4</v>
      </c>
      <c r="K207" s="96">
        <f t="shared" si="10"/>
        <v>0</v>
      </c>
      <c r="L207" s="96">
        <f t="shared" si="11"/>
        <v>0</v>
      </c>
      <c r="M207" s="96">
        <f t="shared" si="12"/>
        <v>1</v>
      </c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11.003428784757821</v>
      </c>
      <c r="H208">
        <v>1.2297107747635201E-4</v>
      </c>
      <c r="I208">
        <v>-0.69296141504232178</v>
      </c>
      <c r="J208">
        <v>-8.521421185729187E-5</v>
      </c>
      <c r="K208" s="96">
        <f t="shared" si="10"/>
        <v>0</v>
      </c>
      <c r="L208" s="96">
        <f t="shared" si="11"/>
        <v>0</v>
      </c>
      <c r="M208" s="96">
        <f t="shared" si="12"/>
        <v>1</v>
      </c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2.9224082242165226</v>
      </c>
      <c r="H209">
        <v>4.8749248570982405E-4</v>
      </c>
      <c r="I209">
        <v>-0.90718071180378745</v>
      </c>
      <c r="J209">
        <v>-4.4224378018523585E-4</v>
      </c>
      <c r="K209" s="96">
        <f t="shared" si="10"/>
        <v>0</v>
      </c>
      <c r="L209" s="96">
        <f t="shared" si="11"/>
        <v>0</v>
      </c>
      <c r="M209" s="96">
        <f t="shared" si="12"/>
        <v>1</v>
      </c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9.3872246726495625</v>
      </c>
      <c r="H210">
        <v>4.8749248570982405E-4</v>
      </c>
      <c r="I210">
        <v>-0.73131756429417372</v>
      </c>
      <c r="J210">
        <v>-3.565118172610208E-4</v>
      </c>
      <c r="K210" s="96">
        <f t="shared" si="10"/>
        <v>0</v>
      </c>
      <c r="L210" s="96">
        <f t="shared" si="11"/>
        <v>0</v>
      </c>
      <c r="M210" s="96">
        <f t="shared" si="12"/>
        <v>1</v>
      </c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14.235837008974343</v>
      </c>
      <c r="H211">
        <v>1.2297107747635201E-4</v>
      </c>
      <c r="I211">
        <v>-0.62217871752733922</v>
      </c>
      <c r="J211">
        <v>-7.6509987277191758E-5</v>
      </c>
      <c r="K211" s="96">
        <f t="shared" si="10"/>
        <v>0</v>
      </c>
      <c r="L211" s="96">
        <f t="shared" si="11"/>
        <v>0</v>
      </c>
      <c r="M211" s="96">
        <f t="shared" si="12"/>
        <v>1</v>
      </c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1.2991670750712248</v>
      </c>
      <c r="H212">
        <v>4.8749248570982405E-4</v>
      </c>
      <c r="I212">
        <v>-0.9576187265962971</v>
      </c>
      <c r="J212">
        <v>-4.6683193339070524E-4</v>
      </c>
      <c r="K212" s="96">
        <f t="shared" si="10"/>
        <v>0</v>
      </c>
      <c r="L212" s="96">
        <f t="shared" si="11"/>
        <v>0</v>
      </c>
      <c r="M212" s="96">
        <f t="shared" si="12"/>
        <v>1</v>
      </c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7.7710205605413014</v>
      </c>
      <c r="H213">
        <v>4.8749248570982405E-4</v>
      </c>
      <c r="I213">
        <v>-0.77179676708622968</v>
      </c>
      <c r="J213">
        <v>-3.7624512444967223E-4</v>
      </c>
      <c r="K213" s="96">
        <f t="shared" si="10"/>
        <v>0</v>
      </c>
      <c r="L213" s="96">
        <f t="shared" si="11"/>
        <v>0</v>
      </c>
      <c r="M213" s="96">
        <f t="shared" si="12"/>
        <v>1</v>
      </c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12.619632896866085</v>
      </c>
      <c r="H214">
        <v>1.2297107747635201E-4</v>
      </c>
      <c r="I214">
        <v>-0.65661696940222458</v>
      </c>
      <c r="J214">
        <v>-8.0744896216648418E-5</v>
      </c>
      <c r="K214" s="96">
        <f t="shared" si="10"/>
        <v>0</v>
      </c>
      <c r="L214" s="96">
        <f t="shared" si="11"/>
        <v>0</v>
      </c>
      <c r="M214" s="96">
        <f t="shared" si="12"/>
        <v>1</v>
      </c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-0.5</v>
      </c>
      <c r="H215">
        <v>1.2297107747635201E-4</v>
      </c>
      <c r="I215">
        <v>-1.0168063303862609</v>
      </c>
      <c r="J215">
        <v>-1.2503777003237406E-4</v>
      </c>
      <c r="K215" s="96">
        <f t="shared" si="10"/>
        <v>0</v>
      </c>
      <c r="L215" s="96">
        <f t="shared" si="11"/>
        <v>0</v>
      </c>
      <c r="M215" s="96">
        <f t="shared" si="12"/>
        <v>1</v>
      </c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6.1548164484330394</v>
      </c>
      <c r="H216">
        <v>1.2297107747635201E-4</v>
      </c>
      <c r="I216">
        <v>-0.81451653668357205</v>
      </c>
      <c r="J216">
        <v>-1.0016197613828546E-4</v>
      </c>
      <c r="K216" s="96">
        <f t="shared" si="10"/>
        <v>0</v>
      </c>
      <c r="L216" s="96">
        <f t="shared" si="11"/>
        <v>0</v>
      </c>
      <c r="M216" s="96">
        <f t="shared" si="12"/>
        <v>1</v>
      </c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11.003428784757821</v>
      </c>
      <c r="H217">
        <v>3.1019731255295997E-5</v>
      </c>
      <c r="I217">
        <v>-0.69296141504232178</v>
      </c>
      <c r="J217">
        <v>-2.1495476864902451E-5</v>
      </c>
      <c r="K217" s="96">
        <f t="shared" si="10"/>
        <v>0</v>
      </c>
      <c r="L217" s="96">
        <f t="shared" si="11"/>
        <v>0</v>
      </c>
      <c r="M217" s="96">
        <f t="shared" si="12"/>
        <v>1</v>
      </c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2.9224082242165226</v>
      </c>
      <c r="H218">
        <v>4.8749248570982405E-4</v>
      </c>
      <c r="I218">
        <v>-0.90718071180378745</v>
      </c>
      <c r="J218">
        <v>-4.4224378018523585E-4</v>
      </c>
      <c r="K218" s="96">
        <f t="shared" si="10"/>
        <v>0</v>
      </c>
      <c r="L218" s="96">
        <f t="shared" si="11"/>
        <v>0</v>
      </c>
      <c r="M218" s="96">
        <f t="shared" si="12"/>
        <v>1</v>
      </c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9.3872246726495625</v>
      </c>
      <c r="H219">
        <v>4.8749248570982405E-4</v>
      </c>
      <c r="I219">
        <v>-0.73131756429417372</v>
      </c>
      <c r="J219">
        <v>-3.565118172610208E-4</v>
      </c>
      <c r="K219" s="96">
        <f t="shared" si="10"/>
        <v>0</v>
      </c>
      <c r="L219" s="96">
        <f t="shared" si="11"/>
        <v>0</v>
      </c>
      <c r="M219" s="96">
        <f t="shared" si="12"/>
        <v>1</v>
      </c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14.235837008974343</v>
      </c>
      <c r="H220">
        <v>1.2297107747635201E-4</v>
      </c>
      <c r="I220">
        <v>-0.62217871752733922</v>
      </c>
      <c r="J220">
        <v>-7.6509987277191758E-5</v>
      </c>
      <c r="K220" s="96">
        <f t="shared" si="10"/>
        <v>0</v>
      </c>
      <c r="L220" s="96">
        <f t="shared" si="11"/>
        <v>0</v>
      </c>
      <c r="M220" s="96">
        <f t="shared" si="12"/>
        <v>1</v>
      </c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1.2991670750712248</v>
      </c>
      <c r="H221">
        <v>4.8749248570982405E-4</v>
      </c>
      <c r="I221">
        <v>-0.9576187265962971</v>
      </c>
      <c r="J221">
        <v>-4.6683193339070524E-4</v>
      </c>
      <c r="K221" s="96">
        <f t="shared" si="10"/>
        <v>0</v>
      </c>
      <c r="L221" s="96">
        <f t="shared" si="11"/>
        <v>0</v>
      </c>
      <c r="M221" s="96">
        <f t="shared" si="12"/>
        <v>1</v>
      </c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7.7710205605413014</v>
      </c>
      <c r="H222">
        <v>4.8749248570982405E-4</v>
      </c>
      <c r="I222">
        <v>-0.77179676708622968</v>
      </c>
      <c r="J222">
        <v>-3.7624512444967223E-4</v>
      </c>
      <c r="K222" s="96">
        <f t="shared" si="10"/>
        <v>0</v>
      </c>
      <c r="L222" s="96">
        <f t="shared" si="11"/>
        <v>0</v>
      </c>
      <c r="M222" s="96">
        <f t="shared" si="12"/>
        <v>1</v>
      </c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12.619632896866085</v>
      </c>
      <c r="H223">
        <v>1.2297107747635201E-4</v>
      </c>
      <c r="I223">
        <v>-0.65661696940222458</v>
      </c>
      <c r="J223">
        <v>-8.0744896216648418E-5</v>
      </c>
      <c r="K223" s="96">
        <f t="shared" si="10"/>
        <v>0</v>
      </c>
      <c r="L223" s="96">
        <f t="shared" si="11"/>
        <v>0</v>
      </c>
      <c r="M223" s="96">
        <f t="shared" si="12"/>
        <v>1</v>
      </c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-0.5</v>
      </c>
      <c r="H224">
        <v>1.2297107747635201E-4</v>
      </c>
      <c r="I224">
        <v>-1.0168063303862609</v>
      </c>
      <c r="J224">
        <v>-1.2503777003237406E-4</v>
      </c>
      <c r="K224" s="96">
        <f t="shared" si="10"/>
        <v>0</v>
      </c>
      <c r="L224" s="96">
        <f t="shared" si="11"/>
        <v>0</v>
      </c>
      <c r="M224" s="96">
        <f t="shared" si="12"/>
        <v>1</v>
      </c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6.1548164484330394</v>
      </c>
      <c r="H225">
        <v>1.2297107747635201E-4</v>
      </c>
      <c r="I225">
        <v>-0.81451653668357205</v>
      </c>
      <c r="J225">
        <v>-1.0016197613828546E-4</v>
      </c>
      <c r="K225" s="96">
        <f t="shared" si="10"/>
        <v>0</v>
      </c>
      <c r="L225" s="96">
        <f t="shared" si="11"/>
        <v>0</v>
      </c>
      <c r="M225" s="96">
        <f t="shared" si="12"/>
        <v>1</v>
      </c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11.003428784757821</v>
      </c>
      <c r="H226">
        <v>3.1019731255295997E-5</v>
      </c>
      <c r="I226">
        <v>-0.69296141504232178</v>
      </c>
      <c r="J226">
        <v>-2.1495476864902451E-5</v>
      </c>
      <c r="K226" s="96">
        <f t="shared" si="10"/>
        <v>0</v>
      </c>
      <c r="L226" s="96">
        <f t="shared" si="11"/>
        <v>0</v>
      </c>
      <c r="M226" s="96">
        <f t="shared" si="12"/>
        <v>1</v>
      </c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2.9224082242165226</v>
      </c>
      <c r="H227">
        <v>4.8749248570982405E-4</v>
      </c>
      <c r="I227">
        <v>-0.90718071180378745</v>
      </c>
      <c r="J227">
        <v>-4.4224378018523585E-4</v>
      </c>
      <c r="K227" s="96">
        <f t="shared" si="10"/>
        <v>0</v>
      </c>
      <c r="L227" s="96">
        <f t="shared" si="11"/>
        <v>0</v>
      </c>
      <c r="M227" s="96">
        <f t="shared" si="12"/>
        <v>1</v>
      </c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9.3872246726495625</v>
      </c>
      <c r="H228">
        <v>4.8749248570982405E-4</v>
      </c>
      <c r="I228">
        <v>-0.73131756429417372</v>
      </c>
      <c r="J228">
        <v>-3.565118172610208E-4</v>
      </c>
      <c r="K228" s="96">
        <f t="shared" si="10"/>
        <v>0</v>
      </c>
      <c r="L228" s="96">
        <f t="shared" si="11"/>
        <v>0</v>
      </c>
      <c r="M228" s="96">
        <f t="shared" si="12"/>
        <v>1</v>
      </c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14.235837008974343</v>
      </c>
      <c r="H229">
        <v>1.2297107747635201E-4</v>
      </c>
      <c r="I229">
        <v>-0.62217871752733922</v>
      </c>
      <c r="J229">
        <v>-7.6509987277191758E-5</v>
      </c>
      <c r="K229" s="96">
        <f t="shared" si="10"/>
        <v>0</v>
      </c>
      <c r="L229" s="96">
        <f t="shared" si="11"/>
        <v>0</v>
      </c>
      <c r="M229" s="96">
        <f t="shared" si="12"/>
        <v>1</v>
      </c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1.2991670750712248</v>
      </c>
      <c r="H230">
        <v>4.8749248570982405E-4</v>
      </c>
      <c r="I230">
        <v>-0.9576187265962971</v>
      </c>
      <c r="J230">
        <v>-4.6683193339070524E-4</v>
      </c>
      <c r="K230" s="96">
        <f t="shared" si="10"/>
        <v>0</v>
      </c>
      <c r="L230" s="96">
        <f t="shared" si="11"/>
        <v>0</v>
      </c>
      <c r="M230" s="96">
        <f t="shared" si="12"/>
        <v>1</v>
      </c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7.7710205605413014</v>
      </c>
      <c r="H231">
        <v>4.8749248570982405E-4</v>
      </c>
      <c r="I231">
        <v>-0.77179676708622968</v>
      </c>
      <c r="J231">
        <v>-3.7624512444967223E-4</v>
      </c>
      <c r="K231" s="96">
        <f t="shared" si="10"/>
        <v>0</v>
      </c>
      <c r="L231" s="96">
        <f t="shared" si="11"/>
        <v>0</v>
      </c>
      <c r="M231" s="96">
        <f t="shared" si="12"/>
        <v>1</v>
      </c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12.619632896866085</v>
      </c>
      <c r="H232">
        <v>1.2297107747635201E-4</v>
      </c>
      <c r="I232">
        <v>-0.65661696940222458</v>
      </c>
      <c r="J232">
        <v>-8.0744896216648418E-5</v>
      </c>
      <c r="K232" s="96">
        <f t="shared" si="10"/>
        <v>0</v>
      </c>
      <c r="L232" s="96">
        <f t="shared" si="11"/>
        <v>0</v>
      </c>
      <c r="M232" s="96">
        <f t="shared" si="12"/>
        <v>1</v>
      </c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-0.5</v>
      </c>
      <c r="H233">
        <v>1.2297107747635201E-4</v>
      </c>
      <c r="I233">
        <v>-1.0168063303862609</v>
      </c>
      <c r="J233">
        <v>-1.2503777003237406E-4</v>
      </c>
      <c r="K233" s="96">
        <f t="shared" si="10"/>
        <v>0</v>
      </c>
      <c r="L233" s="96">
        <f t="shared" si="11"/>
        <v>0</v>
      </c>
      <c r="M233" s="96">
        <f t="shared" si="12"/>
        <v>1</v>
      </c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6.1548164484330394</v>
      </c>
      <c r="H234">
        <v>1.2297107747635201E-4</v>
      </c>
      <c r="I234">
        <v>-0.81451653668357205</v>
      </c>
      <c r="J234">
        <v>-1.0016197613828546E-4</v>
      </c>
      <c r="K234" s="96">
        <f t="shared" si="10"/>
        <v>0</v>
      </c>
      <c r="L234" s="96">
        <f t="shared" si="11"/>
        <v>0</v>
      </c>
      <c r="M234" s="96">
        <f t="shared" si="12"/>
        <v>1</v>
      </c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11.003428784757821</v>
      </c>
      <c r="H235">
        <v>3.1019731255295997E-5</v>
      </c>
      <c r="I235">
        <v>-0.69296141504232178</v>
      </c>
      <c r="J235">
        <v>-2.1495476864902451E-5</v>
      </c>
      <c r="K235" s="96">
        <f t="shared" si="10"/>
        <v>0</v>
      </c>
      <c r="L235" s="96">
        <f t="shared" si="11"/>
        <v>0</v>
      </c>
      <c r="M235" s="96">
        <f t="shared" si="12"/>
        <v>1</v>
      </c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2.9224082242165226</v>
      </c>
      <c r="H236">
        <v>1.2297107747635201E-4</v>
      </c>
      <c r="I236">
        <v>-0.90718071180378745</v>
      </c>
      <c r="J236">
        <v>-1.1155698959627571E-4</v>
      </c>
      <c r="K236" s="96">
        <f t="shared" si="10"/>
        <v>0</v>
      </c>
      <c r="L236" s="96">
        <f t="shared" si="11"/>
        <v>0</v>
      </c>
      <c r="M236" s="96">
        <f t="shared" si="12"/>
        <v>1</v>
      </c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9.3872246726495625</v>
      </c>
      <c r="H237">
        <v>1.2297107747635201E-4</v>
      </c>
      <c r="I237">
        <v>-0.73131756429417372</v>
      </c>
      <c r="J237">
        <v>-8.9930908858635881E-5</v>
      </c>
      <c r="K237" s="96">
        <f t="shared" si="10"/>
        <v>0</v>
      </c>
      <c r="L237" s="96">
        <f t="shared" si="11"/>
        <v>0</v>
      </c>
      <c r="M237" s="96">
        <f t="shared" si="12"/>
        <v>1</v>
      </c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14.235837008974343</v>
      </c>
      <c r="H238">
        <v>3.1019731255295997E-5</v>
      </c>
      <c r="I238">
        <v>-0.62217871752733922</v>
      </c>
      <c r="J238">
        <v>-1.9299816610462783E-5</v>
      </c>
      <c r="K238" s="96">
        <f t="shared" si="10"/>
        <v>0</v>
      </c>
      <c r="L238" s="96">
        <f t="shared" si="11"/>
        <v>0</v>
      </c>
      <c r="M238" s="96">
        <f t="shared" si="12"/>
        <v>1</v>
      </c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1.2991670750712248</v>
      </c>
      <c r="H239">
        <v>1.2297107747635201E-4</v>
      </c>
      <c r="I239">
        <v>-0.9576187265962971</v>
      </c>
      <c r="J239">
        <v>-1.177594066210788E-4</v>
      </c>
      <c r="K239" s="96">
        <f t="shared" si="10"/>
        <v>0</v>
      </c>
      <c r="L239" s="96">
        <f t="shared" si="11"/>
        <v>0</v>
      </c>
      <c r="M239" s="96">
        <f t="shared" si="12"/>
        <v>1</v>
      </c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7.7710205605413014</v>
      </c>
      <c r="H240">
        <v>1.2297107747635201E-4</v>
      </c>
      <c r="I240">
        <v>-0.77179676708622968</v>
      </c>
      <c r="J240">
        <v>-9.4908680041358749E-5</v>
      </c>
      <c r="K240" s="96">
        <f t="shared" si="10"/>
        <v>0</v>
      </c>
      <c r="L240" s="96">
        <f t="shared" si="11"/>
        <v>0</v>
      </c>
      <c r="M240" s="96">
        <f t="shared" si="12"/>
        <v>1</v>
      </c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12.619632896866085</v>
      </c>
      <c r="H241">
        <v>3.1019731255295997E-5</v>
      </c>
      <c r="I241">
        <v>-0.65661696940222458</v>
      </c>
      <c r="J241">
        <v>-2.0368081928523921E-5</v>
      </c>
      <c r="K241" s="96">
        <f t="shared" si="10"/>
        <v>0</v>
      </c>
      <c r="L241" s="96">
        <f t="shared" si="11"/>
        <v>0</v>
      </c>
      <c r="M241" s="96">
        <f t="shared" si="12"/>
        <v>1</v>
      </c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-0.5</v>
      </c>
      <c r="H242">
        <v>3.1019731255296003E-5</v>
      </c>
      <c r="I242">
        <v>-1.0168063303862609</v>
      </c>
      <c r="J242">
        <v>-3.1541059107265532E-5</v>
      </c>
      <c r="K242" s="96">
        <f t="shared" si="10"/>
        <v>0</v>
      </c>
      <c r="L242" s="96">
        <f t="shared" si="11"/>
        <v>0</v>
      </c>
      <c r="M242" s="96">
        <f t="shared" si="12"/>
        <v>1</v>
      </c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6.1548164484330394</v>
      </c>
      <c r="H243">
        <v>3.1019731255296003E-5</v>
      </c>
      <c r="I243">
        <v>-0.81451653668357205</v>
      </c>
      <c r="J243">
        <v>-2.5266084070918855E-5</v>
      </c>
      <c r="K243" s="96">
        <f t="shared" si="10"/>
        <v>0</v>
      </c>
      <c r="L243" s="96">
        <f t="shared" si="11"/>
        <v>0</v>
      </c>
      <c r="M243" s="96">
        <f t="shared" si="12"/>
        <v>1</v>
      </c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11.003428784757821</v>
      </c>
      <c r="H244">
        <v>7.8247970734080004E-6</v>
      </c>
      <c r="I244">
        <v>-0.69296141504232178</v>
      </c>
      <c r="J244">
        <v>-5.4222824524078261E-6</v>
      </c>
      <c r="K244" s="96">
        <f t="shared" si="10"/>
        <v>0</v>
      </c>
      <c r="L244" s="96">
        <f t="shared" si="11"/>
        <v>0</v>
      </c>
      <c r="M244" s="96">
        <f t="shared" si="12"/>
        <v>1</v>
      </c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4.3428762310459721</v>
      </c>
      <c r="H245">
        <v>7.6612180056514559E-3</v>
      </c>
      <c r="I245">
        <v>-0.86522772479911414</v>
      </c>
      <c r="J245">
        <v>-6.628698224219816E-3</v>
      </c>
      <c r="K245" s="96">
        <f t="shared" si="10"/>
        <v>0</v>
      </c>
      <c r="L245" s="96">
        <f t="shared" si="11"/>
        <v>1</v>
      </c>
      <c r="M245" s="96">
        <f t="shared" si="12"/>
        <v>0</v>
      </c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13.648628693137905</v>
      </c>
      <c r="H246">
        <v>7.6612180056514559E-3</v>
      </c>
      <c r="I246">
        <v>-0.6344769693727903</v>
      </c>
      <c r="J246">
        <v>-4.8608663819299886E-3</v>
      </c>
      <c r="K246" s="96">
        <f t="shared" si="10"/>
        <v>0</v>
      </c>
      <c r="L246" s="96">
        <f t="shared" si="11"/>
        <v>1</v>
      </c>
      <c r="M246" s="96">
        <f t="shared" si="12"/>
        <v>0</v>
      </c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20.627943039706857</v>
      </c>
      <c r="H247">
        <v>1.932559496921088E-3</v>
      </c>
      <c r="I247">
        <v>-0.502782251947127</v>
      </c>
      <c r="J247">
        <v>-9.7165661588379144E-4</v>
      </c>
      <c r="K247" s="96">
        <f t="shared" si="10"/>
        <v>0</v>
      </c>
      <c r="L247" s="96">
        <f t="shared" si="11"/>
        <v>1</v>
      </c>
      <c r="M247" s="96">
        <f t="shared" si="12"/>
        <v>0</v>
      </c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2.0164381155229858</v>
      </c>
      <c r="H248">
        <v>7.6612180056514559E-3</v>
      </c>
      <c r="I248">
        <v>-0.9349945263789311</v>
      </c>
      <c r="J248">
        <v>-7.1631969006798217E-3</v>
      </c>
      <c r="K248" s="96">
        <f t="shared" si="10"/>
        <v>0</v>
      </c>
      <c r="L248" s="96">
        <f t="shared" si="11"/>
        <v>1</v>
      </c>
      <c r="M248" s="96">
        <f t="shared" si="12"/>
        <v>0</v>
      </c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11.32219057761492</v>
      </c>
      <c r="H249">
        <v>7.6612180056514559E-3</v>
      </c>
      <c r="I249">
        <v>-0.68563740674720808</v>
      </c>
      <c r="J249">
        <v>-5.2528176459198817E-3</v>
      </c>
      <c r="K249" s="96">
        <f t="shared" si="10"/>
        <v>0</v>
      </c>
      <c r="L249" s="96">
        <f t="shared" si="11"/>
        <v>1</v>
      </c>
      <c r="M249" s="96">
        <f t="shared" si="12"/>
        <v>0</v>
      </c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18.30150492418387</v>
      </c>
      <c r="H250">
        <v>1.932559496921088E-3</v>
      </c>
      <c r="I250">
        <v>-0.54332361302937027</v>
      </c>
      <c r="J250">
        <v>-1.0500052082613876E-3</v>
      </c>
      <c r="K250" s="96">
        <f t="shared" si="10"/>
        <v>0</v>
      </c>
      <c r="L250" s="96">
        <f t="shared" si="11"/>
        <v>1</v>
      </c>
      <c r="M250" s="96">
        <f t="shared" si="12"/>
        <v>0</v>
      </c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-0.5</v>
      </c>
      <c r="H251">
        <v>1.932559496921088E-3</v>
      </c>
      <c r="I251">
        <v>-1.0168063303862609</v>
      </c>
      <c r="J251">
        <v>-1.9650387303174499E-3</v>
      </c>
      <c r="K251" s="96">
        <f t="shared" si="10"/>
        <v>0</v>
      </c>
      <c r="L251" s="96">
        <f t="shared" si="11"/>
        <v>1</v>
      </c>
      <c r="M251" s="96">
        <f t="shared" si="12"/>
        <v>0</v>
      </c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8.9957524620919322</v>
      </c>
      <c r="H252">
        <v>1.932559496921088E-3</v>
      </c>
      <c r="I252">
        <v>-0.74092311655654053</v>
      </c>
      <c r="J252">
        <v>-1.4318780053897127E-3</v>
      </c>
      <c r="K252" s="96">
        <f t="shared" si="10"/>
        <v>0</v>
      </c>
      <c r="L252" s="96">
        <f t="shared" si="11"/>
        <v>1</v>
      </c>
      <c r="M252" s="96">
        <f t="shared" si="12"/>
        <v>0</v>
      </c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15.975066808660888</v>
      </c>
      <c r="H253">
        <v>4.8749248570982399E-4</v>
      </c>
      <c r="I253">
        <v>-0.58713398759018331</v>
      </c>
      <c r="J253">
        <v>-2.8622340705505942E-4</v>
      </c>
      <c r="K253" s="96">
        <f t="shared" si="10"/>
        <v>0</v>
      </c>
      <c r="L253" s="96">
        <f t="shared" si="11"/>
        <v>1</v>
      </c>
      <c r="M253" s="96">
        <f t="shared" si="12"/>
        <v>0</v>
      </c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4.3428762310459721</v>
      </c>
      <c r="H254">
        <v>7.6612180056514559E-3</v>
      </c>
      <c r="I254">
        <v>-0.86522772479911414</v>
      </c>
      <c r="J254">
        <v>-6.628698224219816E-3</v>
      </c>
      <c r="K254" s="96">
        <f t="shared" si="10"/>
        <v>0</v>
      </c>
      <c r="L254" s="96">
        <f t="shared" si="11"/>
        <v>1</v>
      </c>
      <c r="M254" s="96">
        <f t="shared" si="12"/>
        <v>0</v>
      </c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13.648628693137905</v>
      </c>
      <c r="H255">
        <v>7.6612180056514559E-3</v>
      </c>
      <c r="I255">
        <v>-0.6344769693727903</v>
      </c>
      <c r="J255">
        <v>-4.8608663819299886E-3</v>
      </c>
      <c r="K255" s="96">
        <f t="shared" si="10"/>
        <v>0</v>
      </c>
      <c r="L255" s="96">
        <f t="shared" si="11"/>
        <v>1</v>
      </c>
      <c r="M255" s="96">
        <f t="shared" si="12"/>
        <v>0</v>
      </c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20.627943039706857</v>
      </c>
      <c r="H256">
        <v>1.932559496921088E-3</v>
      </c>
      <c r="I256">
        <v>-0.502782251947127</v>
      </c>
      <c r="J256">
        <v>-9.7165661588379144E-4</v>
      </c>
      <c r="K256" s="96">
        <f t="shared" si="10"/>
        <v>0</v>
      </c>
      <c r="L256" s="96">
        <f t="shared" si="11"/>
        <v>1</v>
      </c>
      <c r="M256" s="96">
        <f t="shared" si="12"/>
        <v>0</v>
      </c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2.0164381155229858</v>
      </c>
      <c r="H257">
        <v>7.6612180056514559E-3</v>
      </c>
      <c r="I257">
        <v>-0.9349945263789311</v>
      </c>
      <c r="J257">
        <v>-7.1631969006798217E-3</v>
      </c>
      <c r="K257" s="96">
        <f t="shared" si="10"/>
        <v>0</v>
      </c>
      <c r="L257" s="96">
        <f t="shared" si="11"/>
        <v>1</v>
      </c>
      <c r="M257" s="96">
        <f t="shared" si="12"/>
        <v>0</v>
      </c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11.32219057761492</v>
      </c>
      <c r="H258">
        <v>7.6612180056514559E-3</v>
      </c>
      <c r="I258">
        <v>-0.68563740674720808</v>
      </c>
      <c r="J258">
        <v>-5.2528176459198817E-3</v>
      </c>
      <c r="K258" s="96">
        <f t="shared" si="10"/>
        <v>0</v>
      </c>
      <c r="L258" s="96">
        <f t="shared" si="11"/>
        <v>1</v>
      </c>
      <c r="M258" s="96">
        <f t="shared" si="12"/>
        <v>0</v>
      </c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18.30150492418387</v>
      </c>
      <c r="H259">
        <v>1.932559496921088E-3</v>
      </c>
      <c r="I259">
        <v>-0.54332361302937027</v>
      </c>
      <c r="J259">
        <v>-1.0500052082613876E-3</v>
      </c>
      <c r="K259" s="96">
        <f t="shared" ref="K259:K322" si="13">IF(A259=3,1,0)</f>
        <v>0</v>
      </c>
      <c r="L259" s="96">
        <f t="shared" ref="L259:L322" si="14">IF(A259=2,1,0)</f>
        <v>1</v>
      </c>
      <c r="M259" s="96">
        <f t="shared" ref="M259:M322" si="15">IF(A259=1,1,0)</f>
        <v>0</v>
      </c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-0.5</v>
      </c>
      <c r="H260">
        <v>1.932559496921088E-3</v>
      </c>
      <c r="I260">
        <v>-1.0168063303862609</v>
      </c>
      <c r="J260">
        <v>-1.9650387303174499E-3</v>
      </c>
      <c r="K260" s="96">
        <f t="shared" si="13"/>
        <v>0</v>
      </c>
      <c r="L260" s="96">
        <f t="shared" si="14"/>
        <v>1</v>
      </c>
      <c r="M260" s="96">
        <f t="shared" si="15"/>
        <v>0</v>
      </c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8.9957524620919322</v>
      </c>
      <c r="H261">
        <v>1.932559496921088E-3</v>
      </c>
      <c r="I261">
        <v>-0.74092311655654053</v>
      </c>
      <c r="J261">
        <v>-1.4318780053897127E-3</v>
      </c>
      <c r="K261" s="96">
        <f t="shared" si="13"/>
        <v>0</v>
      </c>
      <c r="L261" s="96">
        <f t="shared" si="14"/>
        <v>1</v>
      </c>
      <c r="M261" s="96">
        <f t="shared" si="15"/>
        <v>0</v>
      </c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15.975066808660888</v>
      </c>
      <c r="H262">
        <v>4.8749248570982399E-4</v>
      </c>
      <c r="I262">
        <v>-0.58713398759018331</v>
      </c>
      <c r="J262">
        <v>-2.8622340705505942E-4</v>
      </c>
      <c r="K262" s="96">
        <f t="shared" si="13"/>
        <v>0</v>
      </c>
      <c r="L262" s="96">
        <f t="shared" si="14"/>
        <v>1</v>
      </c>
      <c r="M262" s="96">
        <f t="shared" si="15"/>
        <v>0</v>
      </c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4.3428762310459721</v>
      </c>
      <c r="H263">
        <v>1.932559496921088E-3</v>
      </c>
      <c r="I263">
        <v>-0.86522772479911414</v>
      </c>
      <c r="J263">
        <v>-1.6721040565599535E-3</v>
      </c>
      <c r="K263" s="96">
        <f t="shared" si="13"/>
        <v>0</v>
      </c>
      <c r="L263" s="96">
        <f t="shared" si="14"/>
        <v>1</v>
      </c>
      <c r="M263" s="96">
        <f t="shared" si="15"/>
        <v>0</v>
      </c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13.648628693137905</v>
      </c>
      <c r="H264">
        <v>1.932559496921088E-3</v>
      </c>
      <c r="I264">
        <v>-0.6344769693727903</v>
      </c>
      <c r="J264">
        <v>-1.2261644927390961E-3</v>
      </c>
      <c r="K264" s="96">
        <f t="shared" si="13"/>
        <v>0</v>
      </c>
      <c r="L264" s="96">
        <f t="shared" si="14"/>
        <v>1</v>
      </c>
      <c r="M264" s="96">
        <f t="shared" si="15"/>
        <v>0</v>
      </c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20.627943039706857</v>
      </c>
      <c r="H265">
        <v>4.8749248570982399E-4</v>
      </c>
      <c r="I265">
        <v>-0.502782251947127</v>
      </c>
      <c r="J265">
        <v>-2.4510256977248795E-4</v>
      </c>
      <c r="K265" s="96">
        <f t="shared" si="13"/>
        <v>0</v>
      </c>
      <c r="L265" s="96">
        <f t="shared" si="14"/>
        <v>1</v>
      </c>
      <c r="M265" s="96">
        <f t="shared" si="15"/>
        <v>0</v>
      </c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2.0164381155229858</v>
      </c>
      <c r="H266">
        <v>1.932559496921088E-3</v>
      </c>
      <c r="I266">
        <v>-0.9349945263789311</v>
      </c>
      <c r="J266">
        <v>-1.8069325515228381E-3</v>
      </c>
      <c r="K266" s="96">
        <f t="shared" si="13"/>
        <v>0</v>
      </c>
      <c r="L266" s="96">
        <f t="shared" si="14"/>
        <v>1</v>
      </c>
      <c r="M266" s="96">
        <f t="shared" si="15"/>
        <v>0</v>
      </c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11.32219057761492</v>
      </c>
      <c r="H267">
        <v>1.932559496921088E-3</v>
      </c>
      <c r="I267">
        <v>-0.68563740674720808</v>
      </c>
      <c r="J267">
        <v>-1.3250350818536638E-3</v>
      </c>
      <c r="K267" s="96">
        <f t="shared" si="13"/>
        <v>0</v>
      </c>
      <c r="L267" s="96">
        <f t="shared" si="14"/>
        <v>1</v>
      </c>
      <c r="M267" s="96">
        <f t="shared" si="15"/>
        <v>0</v>
      </c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18.30150492418387</v>
      </c>
      <c r="H268">
        <v>4.8749248570982399E-4</v>
      </c>
      <c r="I268">
        <v>-0.54332361302937027</v>
      </c>
      <c r="J268">
        <v>-2.6486617866053021E-4</v>
      </c>
      <c r="K268" s="96">
        <f t="shared" si="13"/>
        <v>0</v>
      </c>
      <c r="L268" s="96">
        <f t="shared" si="14"/>
        <v>1</v>
      </c>
      <c r="M268" s="96">
        <f t="shared" si="15"/>
        <v>0</v>
      </c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-0.5</v>
      </c>
      <c r="H269">
        <v>4.8749248570982405E-4</v>
      </c>
      <c r="I269">
        <v>-1.0168063303862609</v>
      </c>
      <c r="J269">
        <v>-4.9568544548548286E-4</v>
      </c>
      <c r="K269" s="96">
        <f t="shared" si="13"/>
        <v>0</v>
      </c>
      <c r="L269" s="96">
        <f t="shared" si="14"/>
        <v>1</v>
      </c>
      <c r="M269" s="96">
        <f t="shared" si="15"/>
        <v>0</v>
      </c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8.9957524620919322</v>
      </c>
      <c r="H270">
        <v>4.8749248570982405E-4</v>
      </c>
      <c r="I270">
        <v>-0.74092311655654053</v>
      </c>
      <c r="J270">
        <v>-3.6119445181001763E-4</v>
      </c>
      <c r="K270" s="96">
        <f t="shared" si="13"/>
        <v>0</v>
      </c>
      <c r="L270" s="96">
        <f t="shared" si="14"/>
        <v>1</v>
      </c>
      <c r="M270" s="96">
        <f t="shared" si="15"/>
        <v>0</v>
      </c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15.975066808660888</v>
      </c>
      <c r="H271">
        <v>1.2297107747635201E-4</v>
      </c>
      <c r="I271">
        <v>-0.58713398759018331</v>
      </c>
      <c r="J271">
        <v>-7.2200499076951932E-5</v>
      </c>
      <c r="K271" s="96">
        <f t="shared" si="13"/>
        <v>0</v>
      </c>
      <c r="L271" s="96">
        <f t="shared" si="14"/>
        <v>1</v>
      </c>
      <c r="M271" s="96">
        <f t="shared" si="15"/>
        <v>0</v>
      </c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4.3428762310459721</v>
      </c>
      <c r="H272">
        <v>7.6612180056514559E-3</v>
      </c>
      <c r="I272">
        <v>-0.86522772479911414</v>
      </c>
      <c r="J272">
        <v>-6.628698224219816E-3</v>
      </c>
      <c r="K272" s="96">
        <f t="shared" si="13"/>
        <v>0</v>
      </c>
      <c r="L272" s="96">
        <f t="shared" si="14"/>
        <v>1</v>
      </c>
      <c r="M272" s="96">
        <f t="shared" si="15"/>
        <v>0</v>
      </c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13.648628693137905</v>
      </c>
      <c r="H273">
        <v>7.6612180056514559E-3</v>
      </c>
      <c r="I273">
        <v>-0.6344769693727903</v>
      </c>
      <c r="J273">
        <v>-4.8608663819299886E-3</v>
      </c>
      <c r="K273" s="96">
        <f t="shared" si="13"/>
        <v>0</v>
      </c>
      <c r="L273" s="96">
        <f t="shared" si="14"/>
        <v>1</v>
      </c>
      <c r="M273" s="96">
        <f t="shared" si="15"/>
        <v>0</v>
      </c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20.627943039706857</v>
      </c>
      <c r="H274">
        <v>1.932559496921088E-3</v>
      </c>
      <c r="I274">
        <v>-0.502782251947127</v>
      </c>
      <c r="J274">
        <v>-9.7165661588379144E-4</v>
      </c>
      <c r="K274" s="96">
        <f t="shared" si="13"/>
        <v>0</v>
      </c>
      <c r="L274" s="96">
        <f t="shared" si="14"/>
        <v>1</v>
      </c>
      <c r="M274" s="96">
        <f t="shared" si="15"/>
        <v>0</v>
      </c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2.0164381155229858</v>
      </c>
      <c r="H275">
        <v>7.6612180056514559E-3</v>
      </c>
      <c r="I275">
        <v>-0.9349945263789311</v>
      </c>
      <c r="J275">
        <v>-7.1631969006798217E-3</v>
      </c>
      <c r="K275" s="96">
        <f t="shared" si="13"/>
        <v>0</v>
      </c>
      <c r="L275" s="96">
        <f t="shared" si="14"/>
        <v>1</v>
      </c>
      <c r="M275" s="96">
        <f t="shared" si="15"/>
        <v>0</v>
      </c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11.32219057761492</v>
      </c>
      <c r="H276">
        <v>7.6612180056514559E-3</v>
      </c>
      <c r="I276">
        <v>-0.68563740674720808</v>
      </c>
      <c r="J276">
        <v>-5.2528176459198817E-3</v>
      </c>
      <c r="K276" s="96">
        <f t="shared" si="13"/>
        <v>0</v>
      </c>
      <c r="L276" s="96">
        <f t="shared" si="14"/>
        <v>1</v>
      </c>
      <c r="M276" s="96">
        <f t="shared" si="15"/>
        <v>0</v>
      </c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18.30150492418387</v>
      </c>
      <c r="H277">
        <v>1.932559496921088E-3</v>
      </c>
      <c r="I277">
        <v>-0.54332361302937027</v>
      </c>
      <c r="J277">
        <v>-1.0500052082613876E-3</v>
      </c>
      <c r="K277" s="96">
        <f t="shared" si="13"/>
        <v>0</v>
      </c>
      <c r="L277" s="96">
        <f t="shared" si="14"/>
        <v>1</v>
      </c>
      <c r="M277" s="96">
        <f t="shared" si="15"/>
        <v>0</v>
      </c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-0.5</v>
      </c>
      <c r="H278">
        <v>1.932559496921088E-3</v>
      </c>
      <c r="I278">
        <v>-1.0168063303862609</v>
      </c>
      <c r="J278">
        <v>-1.9650387303174499E-3</v>
      </c>
      <c r="K278" s="96">
        <f t="shared" si="13"/>
        <v>0</v>
      </c>
      <c r="L278" s="96">
        <f t="shared" si="14"/>
        <v>1</v>
      </c>
      <c r="M278" s="96">
        <f t="shared" si="15"/>
        <v>0</v>
      </c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8.9957524620919322</v>
      </c>
      <c r="H279">
        <v>1.932559496921088E-3</v>
      </c>
      <c r="I279">
        <v>-0.74092311655654053</v>
      </c>
      <c r="J279">
        <v>-1.4318780053897127E-3</v>
      </c>
      <c r="K279" s="96">
        <f t="shared" si="13"/>
        <v>0</v>
      </c>
      <c r="L279" s="96">
        <f t="shared" si="14"/>
        <v>1</v>
      </c>
      <c r="M279" s="96">
        <f t="shared" si="15"/>
        <v>0</v>
      </c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15.975066808660888</v>
      </c>
      <c r="H280">
        <v>4.8749248570982399E-4</v>
      </c>
      <c r="I280">
        <v>-0.58713398759018331</v>
      </c>
      <c r="J280">
        <v>-2.8622340705505942E-4</v>
      </c>
      <c r="K280" s="96">
        <f t="shared" si="13"/>
        <v>0</v>
      </c>
      <c r="L280" s="96">
        <f t="shared" si="14"/>
        <v>1</v>
      </c>
      <c r="M280" s="96">
        <f t="shared" si="15"/>
        <v>0</v>
      </c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4.3428762310459721</v>
      </c>
      <c r="H281">
        <v>7.6612180056514559E-3</v>
      </c>
      <c r="I281">
        <v>-0.86522772479911414</v>
      </c>
      <c r="J281">
        <v>-6.628698224219816E-3</v>
      </c>
      <c r="K281" s="96">
        <f t="shared" si="13"/>
        <v>0</v>
      </c>
      <c r="L281" s="96">
        <f t="shared" si="14"/>
        <v>1</v>
      </c>
      <c r="M281" s="96">
        <f t="shared" si="15"/>
        <v>0</v>
      </c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13.648628693137905</v>
      </c>
      <c r="H282">
        <v>7.6612180056514559E-3</v>
      </c>
      <c r="I282">
        <v>-0.6344769693727903</v>
      </c>
      <c r="J282">
        <v>-4.8608663819299886E-3</v>
      </c>
      <c r="K282" s="96">
        <f t="shared" si="13"/>
        <v>0</v>
      </c>
      <c r="L282" s="96">
        <f t="shared" si="14"/>
        <v>1</v>
      </c>
      <c r="M282" s="96">
        <f t="shared" si="15"/>
        <v>0</v>
      </c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20.627943039706857</v>
      </c>
      <c r="H283">
        <v>1.932559496921088E-3</v>
      </c>
      <c r="I283">
        <v>-0.502782251947127</v>
      </c>
      <c r="J283">
        <v>-9.7165661588379144E-4</v>
      </c>
      <c r="K283" s="96">
        <f t="shared" si="13"/>
        <v>0</v>
      </c>
      <c r="L283" s="96">
        <f t="shared" si="14"/>
        <v>1</v>
      </c>
      <c r="M283" s="96">
        <f t="shared" si="15"/>
        <v>0</v>
      </c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2.0164381155229858</v>
      </c>
      <c r="H284">
        <v>7.6612180056514559E-3</v>
      </c>
      <c r="I284">
        <v>-0.9349945263789311</v>
      </c>
      <c r="J284">
        <v>-7.1631969006798217E-3</v>
      </c>
      <c r="K284" s="96">
        <f t="shared" si="13"/>
        <v>0</v>
      </c>
      <c r="L284" s="96">
        <f t="shared" si="14"/>
        <v>1</v>
      </c>
      <c r="M284" s="96">
        <f t="shared" si="15"/>
        <v>0</v>
      </c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11.32219057761492</v>
      </c>
      <c r="H285">
        <v>7.6612180056514559E-3</v>
      </c>
      <c r="I285">
        <v>-0.68563740674720808</v>
      </c>
      <c r="J285">
        <v>-5.2528176459198817E-3</v>
      </c>
      <c r="K285" s="96">
        <f t="shared" si="13"/>
        <v>0</v>
      </c>
      <c r="L285" s="96">
        <f t="shared" si="14"/>
        <v>1</v>
      </c>
      <c r="M285" s="96">
        <f t="shared" si="15"/>
        <v>0</v>
      </c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18.30150492418387</v>
      </c>
      <c r="H286">
        <v>1.932559496921088E-3</v>
      </c>
      <c r="I286">
        <v>-0.54332361302937027</v>
      </c>
      <c r="J286">
        <v>-1.0500052082613876E-3</v>
      </c>
      <c r="K286" s="96">
        <f t="shared" si="13"/>
        <v>0</v>
      </c>
      <c r="L286" s="96">
        <f t="shared" si="14"/>
        <v>1</v>
      </c>
      <c r="M286" s="96">
        <f t="shared" si="15"/>
        <v>0</v>
      </c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-0.5</v>
      </c>
      <c r="H287">
        <v>1.932559496921088E-3</v>
      </c>
      <c r="I287">
        <v>-1.0168063303862609</v>
      </c>
      <c r="J287">
        <v>-1.9650387303174499E-3</v>
      </c>
      <c r="K287" s="96">
        <f t="shared" si="13"/>
        <v>0</v>
      </c>
      <c r="L287" s="96">
        <f t="shared" si="14"/>
        <v>1</v>
      </c>
      <c r="M287" s="96">
        <f t="shared" si="15"/>
        <v>0</v>
      </c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8.9957524620919322</v>
      </c>
      <c r="H288">
        <v>1.932559496921088E-3</v>
      </c>
      <c r="I288">
        <v>-0.74092311655654053</v>
      </c>
      <c r="J288">
        <v>-1.4318780053897127E-3</v>
      </c>
      <c r="K288" s="96">
        <f t="shared" si="13"/>
        <v>0</v>
      </c>
      <c r="L288" s="96">
        <f t="shared" si="14"/>
        <v>1</v>
      </c>
      <c r="M288" s="96">
        <f t="shared" si="15"/>
        <v>0</v>
      </c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15.975066808660888</v>
      </c>
      <c r="H289">
        <v>4.8749248570982399E-4</v>
      </c>
      <c r="I289">
        <v>-0.58713398759018331</v>
      </c>
      <c r="J289">
        <v>-2.8622340705505942E-4</v>
      </c>
      <c r="K289" s="96">
        <f t="shared" si="13"/>
        <v>0</v>
      </c>
      <c r="L289" s="96">
        <f t="shared" si="14"/>
        <v>1</v>
      </c>
      <c r="M289" s="96">
        <f t="shared" si="15"/>
        <v>0</v>
      </c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4.3428762310459721</v>
      </c>
      <c r="H290">
        <v>1.932559496921088E-3</v>
      </c>
      <c r="I290">
        <v>-0.86522772479911414</v>
      </c>
      <c r="J290">
        <v>-1.6721040565599535E-3</v>
      </c>
      <c r="K290" s="96">
        <f t="shared" si="13"/>
        <v>0</v>
      </c>
      <c r="L290" s="96">
        <f t="shared" si="14"/>
        <v>1</v>
      </c>
      <c r="M290" s="96">
        <f t="shared" si="15"/>
        <v>0</v>
      </c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13.648628693137905</v>
      </c>
      <c r="H291">
        <v>1.932559496921088E-3</v>
      </c>
      <c r="I291">
        <v>-0.6344769693727903</v>
      </c>
      <c r="J291">
        <v>-1.2261644927390961E-3</v>
      </c>
      <c r="K291" s="96">
        <f t="shared" si="13"/>
        <v>0</v>
      </c>
      <c r="L291" s="96">
        <f t="shared" si="14"/>
        <v>1</v>
      </c>
      <c r="M291" s="96">
        <f t="shared" si="15"/>
        <v>0</v>
      </c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20.627943039706857</v>
      </c>
      <c r="H292">
        <v>4.8749248570982399E-4</v>
      </c>
      <c r="I292">
        <v>-0.502782251947127</v>
      </c>
      <c r="J292">
        <v>-2.4510256977248795E-4</v>
      </c>
      <c r="K292" s="96">
        <f t="shared" si="13"/>
        <v>0</v>
      </c>
      <c r="L292" s="96">
        <f t="shared" si="14"/>
        <v>1</v>
      </c>
      <c r="M292" s="96">
        <f t="shared" si="15"/>
        <v>0</v>
      </c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2.0164381155229858</v>
      </c>
      <c r="H293">
        <v>1.932559496921088E-3</v>
      </c>
      <c r="I293">
        <v>-0.9349945263789311</v>
      </c>
      <c r="J293">
        <v>-1.8069325515228381E-3</v>
      </c>
      <c r="K293" s="96">
        <f t="shared" si="13"/>
        <v>0</v>
      </c>
      <c r="L293" s="96">
        <f t="shared" si="14"/>
        <v>1</v>
      </c>
      <c r="M293" s="96">
        <f t="shared" si="15"/>
        <v>0</v>
      </c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11.32219057761492</v>
      </c>
      <c r="H294">
        <v>1.932559496921088E-3</v>
      </c>
      <c r="I294">
        <v>-0.68563740674720808</v>
      </c>
      <c r="J294">
        <v>-1.3250350818536638E-3</v>
      </c>
      <c r="K294" s="96">
        <f t="shared" si="13"/>
        <v>0</v>
      </c>
      <c r="L294" s="96">
        <f t="shared" si="14"/>
        <v>1</v>
      </c>
      <c r="M294" s="96">
        <f t="shared" si="15"/>
        <v>0</v>
      </c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18.30150492418387</v>
      </c>
      <c r="H295">
        <v>4.8749248570982399E-4</v>
      </c>
      <c r="I295">
        <v>-0.54332361302937027</v>
      </c>
      <c r="J295">
        <v>-2.6486617866053021E-4</v>
      </c>
      <c r="K295" s="96">
        <f t="shared" si="13"/>
        <v>0</v>
      </c>
      <c r="L295" s="96">
        <f t="shared" si="14"/>
        <v>1</v>
      </c>
      <c r="M295" s="96">
        <f t="shared" si="15"/>
        <v>0</v>
      </c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-0.5</v>
      </c>
      <c r="H296">
        <v>4.8749248570982405E-4</v>
      </c>
      <c r="I296">
        <v>-1.0168063303862609</v>
      </c>
      <c r="J296">
        <v>-4.9568544548548286E-4</v>
      </c>
      <c r="K296" s="96">
        <f t="shared" si="13"/>
        <v>0</v>
      </c>
      <c r="L296" s="96">
        <f t="shared" si="14"/>
        <v>1</v>
      </c>
      <c r="M296" s="96">
        <f t="shared" si="15"/>
        <v>0</v>
      </c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8.9957524620919322</v>
      </c>
      <c r="H297">
        <v>4.8749248570982405E-4</v>
      </c>
      <c r="I297">
        <v>-0.74092311655654053</v>
      </c>
      <c r="J297">
        <v>-3.6119445181001763E-4</v>
      </c>
      <c r="K297" s="96">
        <f t="shared" si="13"/>
        <v>0</v>
      </c>
      <c r="L297" s="96">
        <f t="shared" si="14"/>
        <v>1</v>
      </c>
      <c r="M297" s="96">
        <f t="shared" si="15"/>
        <v>0</v>
      </c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15.975066808660888</v>
      </c>
      <c r="H298">
        <v>1.2297107747635201E-4</v>
      </c>
      <c r="I298">
        <v>-0.58713398759018331</v>
      </c>
      <c r="J298">
        <v>-7.2200499076951932E-5</v>
      </c>
      <c r="K298" s="96">
        <f t="shared" si="13"/>
        <v>0</v>
      </c>
      <c r="L298" s="96">
        <f t="shared" si="14"/>
        <v>1</v>
      </c>
      <c r="M298" s="96">
        <f t="shared" si="15"/>
        <v>0</v>
      </c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4.3428762310459721</v>
      </c>
      <c r="H299">
        <v>1.932559496921088E-3</v>
      </c>
      <c r="I299">
        <v>-0.86522772479911414</v>
      </c>
      <c r="J299">
        <v>-1.6721040565599535E-3</v>
      </c>
      <c r="K299" s="96">
        <f t="shared" si="13"/>
        <v>0</v>
      </c>
      <c r="L299" s="96">
        <f t="shared" si="14"/>
        <v>1</v>
      </c>
      <c r="M299" s="96">
        <f t="shared" si="15"/>
        <v>0</v>
      </c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13.648628693137905</v>
      </c>
      <c r="H300">
        <v>1.932559496921088E-3</v>
      </c>
      <c r="I300">
        <v>-0.6344769693727903</v>
      </c>
      <c r="J300">
        <v>-1.2261644927390961E-3</v>
      </c>
      <c r="K300" s="96">
        <f t="shared" si="13"/>
        <v>0</v>
      </c>
      <c r="L300" s="96">
        <f t="shared" si="14"/>
        <v>1</v>
      </c>
      <c r="M300" s="96">
        <f t="shared" si="15"/>
        <v>0</v>
      </c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20.627943039706857</v>
      </c>
      <c r="H301">
        <v>4.8749248570982399E-4</v>
      </c>
      <c r="I301">
        <v>-0.502782251947127</v>
      </c>
      <c r="J301">
        <v>-2.4510256977248795E-4</v>
      </c>
      <c r="K301" s="96">
        <f t="shared" si="13"/>
        <v>0</v>
      </c>
      <c r="L301" s="96">
        <f t="shared" si="14"/>
        <v>1</v>
      </c>
      <c r="M301" s="96">
        <f t="shared" si="15"/>
        <v>0</v>
      </c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2.0164381155229858</v>
      </c>
      <c r="H302">
        <v>1.932559496921088E-3</v>
      </c>
      <c r="I302">
        <v>-0.9349945263789311</v>
      </c>
      <c r="J302">
        <v>-1.8069325515228381E-3</v>
      </c>
      <c r="K302" s="96">
        <f t="shared" si="13"/>
        <v>0</v>
      </c>
      <c r="L302" s="96">
        <f t="shared" si="14"/>
        <v>1</v>
      </c>
      <c r="M302" s="96">
        <f t="shared" si="15"/>
        <v>0</v>
      </c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11.32219057761492</v>
      </c>
      <c r="H303">
        <v>1.932559496921088E-3</v>
      </c>
      <c r="I303">
        <v>-0.68563740674720808</v>
      </c>
      <c r="J303">
        <v>-1.3250350818536638E-3</v>
      </c>
      <c r="K303" s="96">
        <f t="shared" si="13"/>
        <v>0</v>
      </c>
      <c r="L303" s="96">
        <f t="shared" si="14"/>
        <v>1</v>
      </c>
      <c r="M303" s="96">
        <f t="shared" si="15"/>
        <v>0</v>
      </c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18.30150492418387</v>
      </c>
      <c r="H304">
        <v>4.8749248570982399E-4</v>
      </c>
      <c r="I304">
        <v>-0.54332361302937027</v>
      </c>
      <c r="J304">
        <v>-2.6486617866053021E-4</v>
      </c>
      <c r="K304" s="96">
        <f t="shared" si="13"/>
        <v>0</v>
      </c>
      <c r="L304" s="96">
        <f t="shared" si="14"/>
        <v>1</v>
      </c>
      <c r="M304" s="96">
        <f t="shared" si="15"/>
        <v>0</v>
      </c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-0.5</v>
      </c>
      <c r="H305">
        <v>4.8749248570982405E-4</v>
      </c>
      <c r="I305">
        <v>-1.0168063303862609</v>
      </c>
      <c r="J305">
        <v>-4.9568544548548286E-4</v>
      </c>
      <c r="K305" s="96">
        <f t="shared" si="13"/>
        <v>0</v>
      </c>
      <c r="L305" s="96">
        <f t="shared" si="14"/>
        <v>1</v>
      </c>
      <c r="M305" s="96">
        <f t="shared" si="15"/>
        <v>0</v>
      </c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8.9957524620919322</v>
      </c>
      <c r="H306">
        <v>4.8749248570982405E-4</v>
      </c>
      <c r="I306">
        <v>-0.74092311655654053</v>
      </c>
      <c r="J306">
        <v>-3.6119445181001763E-4</v>
      </c>
      <c r="K306" s="96">
        <f t="shared" si="13"/>
        <v>0</v>
      </c>
      <c r="L306" s="96">
        <f t="shared" si="14"/>
        <v>1</v>
      </c>
      <c r="M306" s="96">
        <f t="shared" si="15"/>
        <v>0</v>
      </c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15.975066808660888</v>
      </c>
      <c r="H307">
        <v>1.2297107747635201E-4</v>
      </c>
      <c r="I307">
        <v>-0.58713398759018331</v>
      </c>
      <c r="J307">
        <v>-7.2200499076951932E-5</v>
      </c>
      <c r="K307" s="96">
        <f t="shared" si="13"/>
        <v>0</v>
      </c>
      <c r="L307" s="96">
        <f t="shared" si="14"/>
        <v>1</v>
      </c>
      <c r="M307" s="96">
        <f t="shared" si="15"/>
        <v>0</v>
      </c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4.3428762310459721</v>
      </c>
      <c r="H308">
        <v>1.932559496921088E-3</v>
      </c>
      <c r="I308">
        <v>-0.86522772479911414</v>
      </c>
      <c r="J308">
        <v>-1.6721040565599535E-3</v>
      </c>
      <c r="K308" s="96">
        <f t="shared" si="13"/>
        <v>0</v>
      </c>
      <c r="L308" s="96">
        <f t="shared" si="14"/>
        <v>1</v>
      </c>
      <c r="M308" s="96">
        <f t="shared" si="15"/>
        <v>0</v>
      </c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13.648628693137905</v>
      </c>
      <c r="H309">
        <v>1.932559496921088E-3</v>
      </c>
      <c r="I309">
        <v>-0.6344769693727903</v>
      </c>
      <c r="J309">
        <v>-1.2261644927390961E-3</v>
      </c>
      <c r="K309" s="96">
        <f t="shared" si="13"/>
        <v>0</v>
      </c>
      <c r="L309" s="96">
        <f t="shared" si="14"/>
        <v>1</v>
      </c>
      <c r="M309" s="96">
        <f t="shared" si="15"/>
        <v>0</v>
      </c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20.627943039706857</v>
      </c>
      <c r="H310">
        <v>4.8749248570982399E-4</v>
      </c>
      <c r="I310">
        <v>-0.502782251947127</v>
      </c>
      <c r="J310">
        <v>-2.4510256977248795E-4</v>
      </c>
      <c r="K310" s="96">
        <f t="shared" si="13"/>
        <v>0</v>
      </c>
      <c r="L310" s="96">
        <f t="shared" si="14"/>
        <v>1</v>
      </c>
      <c r="M310" s="96">
        <f t="shared" si="15"/>
        <v>0</v>
      </c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2.0164381155229858</v>
      </c>
      <c r="H311">
        <v>1.932559496921088E-3</v>
      </c>
      <c r="I311">
        <v>-0.9349945263789311</v>
      </c>
      <c r="J311">
        <v>-1.8069325515228381E-3</v>
      </c>
      <c r="K311" s="96">
        <f t="shared" si="13"/>
        <v>0</v>
      </c>
      <c r="L311" s="96">
        <f t="shared" si="14"/>
        <v>1</v>
      </c>
      <c r="M311" s="96">
        <f t="shared" si="15"/>
        <v>0</v>
      </c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11.32219057761492</v>
      </c>
      <c r="H312">
        <v>1.932559496921088E-3</v>
      </c>
      <c r="I312">
        <v>-0.68563740674720808</v>
      </c>
      <c r="J312">
        <v>-1.3250350818536638E-3</v>
      </c>
      <c r="K312" s="96">
        <f t="shared" si="13"/>
        <v>0</v>
      </c>
      <c r="L312" s="96">
        <f t="shared" si="14"/>
        <v>1</v>
      </c>
      <c r="M312" s="96">
        <f t="shared" si="15"/>
        <v>0</v>
      </c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18.30150492418387</v>
      </c>
      <c r="H313">
        <v>4.8749248570982399E-4</v>
      </c>
      <c r="I313">
        <v>-0.54332361302937027</v>
      </c>
      <c r="J313">
        <v>-2.6486617866053021E-4</v>
      </c>
      <c r="K313" s="96">
        <f t="shared" si="13"/>
        <v>0</v>
      </c>
      <c r="L313" s="96">
        <f t="shared" si="14"/>
        <v>1</v>
      </c>
      <c r="M313" s="96">
        <f t="shared" si="15"/>
        <v>0</v>
      </c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-0.5</v>
      </c>
      <c r="H314">
        <v>4.8749248570982405E-4</v>
      </c>
      <c r="I314">
        <v>-1.0168063303862609</v>
      </c>
      <c r="J314">
        <v>-4.9568544548548286E-4</v>
      </c>
      <c r="K314" s="96">
        <f t="shared" si="13"/>
        <v>0</v>
      </c>
      <c r="L314" s="96">
        <f t="shared" si="14"/>
        <v>1</v>
      </c>
      <c r="M314" s="96">
        <f t="shared" si="15"/>
        <v>0</v>
      </c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8.9957524620919322</v>
      </c>
      <c r="H315">
        <v>4.8749248570982405E-4</v>
      </c>
      <c r="I315">
        <v>-0.74092311655654053</v>
      </c>
      <c r="J315">
        <v>-3.6119445181001763E-4</v>
      </c>
      <c r="K315" s="96">
        <f t="shared" si="13"/>
        <v>0</v>
      </c>
      <c r="L315" s="96">
        <f t="shared" si="14"/>
        <v>1</v>
      </c>
      <c r="M315" s="96">
        <f t="shared" si="15"/>
        <v>0</v>
      </c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15.975066808660888</v>
      </c>
      <c r="H316">
        <v>1.2297107747635201E-4</v>
      </c>
      <c r="I316">
        <v>-0.58713398759018331</v>
      </c>
      <c r="J316">
        <v>-7.2200499076951932E-5</v>
      </c>
      <c r="K316" s="96">
        <f t="shared" si="13"/>
        <v>0</v>
      </c>
      <c r="L316" s="96">
        <f t="shared" si="14"/>
        <v>1</v>
      </c>
      <c r="M316" s="96">
        <f t="shared" si="15"/>
        <v>0</v>
      </c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4.3428762310459721</v>
      </c>
      <c r="H317">
        <v>4.8749248570982405E-4</v>
      </c>
      <c r="I317">
        <v>-0.86522772479911414</v>
      </c>
      <c r="J317">
        <v>-4.2179201426737574E-4</v>
      </c>
      <c r="K317" s="96">
        <f t="shared" si="13"/>
        <v>0</v>
      </c>
      <c r="L317" s="96">
        <f t="shared" si="14"/>
        <v>1</v>
      </c>
      <c r="M317" s="96">
        <f t="shared" si="15"/>
        <v>0</v>
      </c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13.648628693137905</v>
      </c>
      <c r="H318">
        <v>4.8749248570982405E-4</v>
      </c>
      <c r="I318">
        <v>-0.6344769693727903</v>
      </c>
      <c r="J318">
        <v>-3.0930275492517745E-4</v>
      </c>
      <c r="K318" s="96">
        <f t="shared" si="13"/>
        <v>0</v>
      </c>
      <c r="L318" s="96">
        <f t="shared" si="14"/>
        <v>1</v>
      </c>
      <c r="M318" s="96">
        <f t="shared" si="15"/>
        <v>0</v>
      </c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20.627943039706857</v>
      </c>
      <c r="H319">
        <v>1.2297107747635201E-4</v>
      </c>
      <c r="I319">
        <v>-0.502782251947127</v>
      </c>
      <c r="J319">
        <v>-6.1827675257924883E-5</v>
      </c>
      <c r="K319" s="96">
        <f t="shared" si="13"/>
        <v>0</v>
      </c>
      <c r="L319" s="96">
        <f t="shared" si="14"/>
        <v>1</v>
      </c>
      <c r="M319" s="96">
        <f t="shared" si="15"/>
        <v>0</v>
      </c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2.0164381155229858</v>
      </c>
      <c r="H320">
        <v>4.8749248570982405E-4</v>
      </c>
      <c r="I320">
        <v>-0.9349945263789311</v>
      </c>
      <c r="J320">
        <v>-4.5580280578954479E-4</v>
      </c>
      <c r="K320" s="96">
        <f t="shared" si="13"/>
        <v>0</v>
      </c>
      <c r="L320" s="96">
        <f t="shared" si="14"/>
        <v>1</v>
      </c>
      <c r="M320" s="96">
        <f t="shared" si="15"/>
        <v>0</v>
      </c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11.32219057761492</v>
      </c>
      <c r="H321">
        <v>4.8749248570982405E-4</v>
      </c>
      <c r="I321">
        <v>-0.68563740674720808</v>
      </c>
      <c r="J321">
        <v>-3.3424308371083413E-4</v>
      </c>
      <c r="K321" s="96">
        <f t="shared" si="13"/>
        <v>0</v>
      </c>
      <c r="L321" s="96">
        <f t="shared" si="14"/>
        <v>1</v>
      </c>
      <c r="M321" s="96">
        <f t="shared" si="15"/>
        <v>0</v>
      </c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18.30150492418387</v>
      </c>
      <c r="H322">
        <v>1.2297107747635201E-4</v>
      </c>
      <c r="I322">
        <v>-0.54332361302937027</v>
      </c>
      <c r="J322">
        <v>-6.6813090112566184E-5</v>
      </c>
      <c r="K322" s="96">
        <f t="shared" si="13"/>
        <v>0</v>
      </c>
      <c r="L322" s="96">
        <f t="shared" si="14"/>
        <v>1</v>
      </c>
      <c r="M322" s="96">
        <f t="shared" si="15"/>
        <v>0</v>
      </c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-0.5</v>
      </c>
      <c r="H323">
        <v>1.2297107747635201E-4</v>
      </c>
      <c r="I323">
        <v>-1.0168063303862609</v>
      </c>
      <c r="J323">
        <v>-1.2503777003237406E-4</v>
      </c>
      <c r="K323" s="96">
        <f t="shared" ref="K323:K386" si="16">IF(A323=3,1,0)</f>
        <v>0</v>
      </c>
      <c r="L323" s="96">
        <f t="shared" ref="L323:L386" si="17">IF(A323=2,1,0)</f>
        <v>1</v>
      </c>
      <c r="M323" s="96">
        <f t="shared" ref="M323:M386" si="18">IF(A323=1,1,0)</f>
        <v>0</v>
      </c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8.9957524620919322</v>
      </c>
      <c r="H324">
        <v>1.2297107747635201E-4</v>
      </c>
      <c r="I324">
        <v>-0.74092311655654053</v>
      </c>
      <c r="J324">
        <v>-9.1112113970094529E-5</v>
      </c>
      <c r="K324" s="96">
        <f t="shared" si="16"/>
        <v>0</v>
      </c>
      <c r="L324" s="96">
        <f t="shared" si="17"/>
        <v>1</v>
      </c>
      <c r="M324" s="96">
        <f t="shared" si="18"/>
        <v>0</v>
      </c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15.975066808660888</v>
      </c>
      <c r="H325">
        <v>3.1019731255295997E-5</v>
      </c>
      <c r="I325">
        <v>-0.58713398759018331</v>
      </c>
      <c r="J325">
        <v>-1.821273850589778E-5</v>
      </c>
      <c r="K325" s="96">
        <f t="shared" si="16"/>
        <v>0</v>
      </c>
      <c r="L325" s="96">
        <f t="shared" si="17"/>
        <v>1</v>
      </c>
      <c r="M325" s="96">
        <f t="shared" si="18"/>
        <v>0</v>
      </c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5.3063381309139874</v>
      </c>
      <c r="H326">
        <v>7.6612180056514559E-3</v>
      </c>
      <c r="I326">
        <v>-0.83788205209416888</v>
      </c>
      <c r="J326">
        <v>-6.4191970641160378E-3</v>
      </c>
      <c r="K326" s="96">
        <f t="shared" si="16"/>
        <v>0</v>
      </c>
      <c r="L326" s="96">
        <f t="shared" si="17"/>
        <v>1</v>
      </c>
      <c r="M326" s="96">
        <f t="shared" si="18"/>
        <v>0</v>
      </c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16.539014392741962</v>
      </c>
      <c r="H327">
        <v>7.6612180056514559E-3</v>
      </c>
      <c r="I327">
        <v>-0.57619998650173354</v>
      </c>
      <c r="J327">
        <v>-4.4143937114432073E-3</v>
      </c>
      <c r="K327" s="96">
        <f t="shared" si="16"/>
        <v>0</v>
      </c>
      <c r="L327" s="96">
        <f t="shared" si="17"/>
        <v>1</v>
      </c>
      <c r="M327" s="96">
        <f t="shared" si="18"/>
        <v>0</v>
      </c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24.963521589112943</v>
      </c>
      <c r="H328">
        <v>1.932559496921088E-3</v>
      </c>
      <c r="I328">
        <v>-0.43512697832066027</v>
      </c>
      <c r="J328">
        <v>-8.4090877432016833E-4</v>
      </c>
      <c r="K328" s="96">
        <f t="shared" si="16"/>
        <v>0</v>
      </c>
      <c r="L328" s="96">
        <f t="shared" si="17"/>
        <v>1</v>
      </c>
      <c r="M328" s="96">
        <f t="shared" si="18"/>
        <v>0</v>
      </c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2.4981690654569939</v>
      </c>
      <c r="H329">
        <v>7.6612180056514559E-3</v>
      </c>
      <c r="I329">
        <v>-0.92010056771284432</v>
      </c>
      <c r="J329">
        <v>-7.0490910363717697E-3</v>
      </c>
      <c r="K329" s="96">
        <f t="shared" si="16"/>
        <v>0</v>
      </c>
      <c r="L329" s="96">
        <f t="shared" si="17"/>
        <v>1</v>
      </c>
      <c r="M329" s="96">
        <f t="shared" si="18"/>
        <v>0</v>
      </c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13.730845327284968</v>
      </c>
      <c r="H330">
        <v>7.6612180056514559E-3</v>
      </c>
      <c r="I330">
        <v>-0.63274053116582796</v>
      </c>
      <c r="J330">
        <v>-4.8475631502731074E-3</v>
      </c>
      <c r="K330" s="96">
        <f t="shared" si="16"/>
        <v>0</v>
      </c>
      <c r="L330" s="96">
        <f t="shared" si="17"/>
        <v>1</v>
      </c>
      <c r="M330" s="96">
        <f t="shared" si="18"/>
        <v>0</v>
      </c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22.155352523655949</v>
      </c>
      <c r="H331">
        <v>1.932559496921088E-3</v>
      </c>
      <c r="I331">
        <v>-0.47782450856820335</v>
      </c>
      <c r="J331">
        <v>-9.2342429189513312E-4</v>
      </c>
      <c r="K331" s="96">
        <f t="shared" si="16"/>
        <v>0</v>
      </c>
      <c r="L331" s="96">
        <f t="shared" si="17"/>
        <v>1</v>
      </c>
      <c r="M331" s="96">
        <f t="shared" si="18"/>
        <v>0</v>
      </c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-0.5</v>
      </c>
      <c r="H332">
        <v>1.932559496921088E-3</v>
      </c>
      <c r="I332">
        <v>-1.0168063303862609</v>
      </c>
      <c r="J332">
        <v>-1.9650387303174499E-3</v>
      </c>
      <c r="K332" s="96">
        <f t="shared" si="16"/>
        <v>0</v>
      </c>
      <c r="L332" s="96">
        <f t="shared" si="17"/>
        <v>1</v>
      </c>
      <c r="M332" s="96">
        <f t="shared" si="18"/>
        <v>0</v>
      </c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10.922676261827975</v>
      </c>
      <c r="H333">
        <v>1.932559496921088E-3</v>
      </c>
      <c r="I333">
        <v>-0.694829207148566</v>
      </c>
      <c r="J333">
        <v>-1.342798783013111E-3</v>
      </c>
      <c r="K333" s="96">
        <f t="shared" si="16"/>
        <v>0</v>
      </c>
      <c r="L333" s="96">
        <f t="shared" si="17"/>
        <v>1</v>
      </c>
      <c r="M333" s="96">
        <f t="shared" si="18"/>
        <v>0</v>
      </c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19.347183458198955</v>
      </c>
      <c r="H334">
        <v>4.8749248570982399E-4</v>
      </c>
      <c r="I334">
        <v>-0.52471180221831892</v>
      </c>
      <c r="J334">
        <v>-2.557930607446898E-4</v>
      </c>
      <c r="K334" s="96">
        <f t="shared" si="16"/>
        <v>0</v>
      </c>
      <c r="L334" s="96">
        <f t="shared" si="17"/>
        <v>1</v>
      </c>
      <c r="M334" s="96">
        <f t="shared" si="18"/>
        <v>0</v>
      </c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5.3063381309139874</v>
      </c>
      <c r="H335">
        <v>7.6612180056514559E-3</v>
      </c>
      <c r="I335">
        <v>-0.83788205209416888</v>
      </c>
      <c r="J335">
        <v>-6.4191970641160378E-3</v>
      </c>
      <c r="K335" s="96">
        <f t="shared" si="16"/>
        <v>0</v>
      </c>
      <c r="L335" s="96">
        <f t="shared" si="17"/>
        <v>1</v>
      </c>
      <c r="M335" s="96">
        <f t="shared" si="18"/>
        <v>0</v>
      </c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16.539014392741962</v>
      </c>
      <c r="H336">
        <v>7.6612180056514559E-3</v>
      </c>
      <c r="I336">
        <v>-0.57619998650173354</v>
      </c>
      <c r="J336">
        <v>-4.4143937114432073E-3</v>
      </c>
      <c r="K336" s="96">
        <f t="shared" si="16"/>
        <v>0</v>
      </c>
      <c r="L336" s="96">
        <f t="shared" si="17"/>
        <v>1</v>
      </c>
      <c r="M336" s="96">
        <f t="shared" si="18"/>
        <v>0</v>
      </c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24.963521589112943</v>
      </c>
      <c r="H337">
        <v>1.932559496921088E-3</v>
      </c>
      <c r="I337">
        <v>-0.43512697832066027</v>
      </c>
      <c r="J337">
        <v>-8.4090877432016833E-4</v>
      </c>
      <c r="K337" s="96">
        <f t="shared" si="16"/>
        <v>0</v>
      </c>
      <c r="L337" s="96">
        <f t="shared" si="17"/>
        <v>1</v>
      </c>
      <c r="M337" s="96">
        <f t="shared" si="18"/>
        <v>0</v>
      </c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2.4981690654569939</v>
      </c>
      <c r="H338">
        <v>7.6612180056514559E-3</v>
      </c>
      <c r="I338">
        <v>-0.92010056771284432</v>
      </c>
      <c r="J338">
        <v>-7.0490910363717697E-3</v>
      </c>
      <c r="K338" s="96">
        <f t="shared" si="16"/>
        <v>0</v>
      </c>
      <c r="L338" s="96">
        <f t="shared" si="17"/>
        <v>1</v>
      </c>
      <c r="M338" s="96">
        <f t="shared" si="18"/>
        <v>0</v>
      </c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13.730845327284968</v>
      </c>
      <c r="H339">
        <v>7.6612180056514559E-3</v>
      </c>
      <c r="I339">
        <v>-0.63274053116582796</v>
      </c>
      <c r="J339">
        <v>-4.8475631502731074E-3</v>
      </c>
      <c r="K339" s="96">
        <f t="shared" si="16"/>
        <v>0</v>
      </c>
      <c r="L339" s="96">
        <f t="shared" si="17"/>
        <v>1</v>
      </c>
      <c r="M339" s="96">
        <f t="shared" si="18"/>
        <v>0</v>
      </c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22.155352523655949</v>
      </c>
      <c r="H340">
        <v>1.932559496921088E-3</v>
      </c>
      <c r="I340">
        <v>-0.47782450856820335</v>
      </c>
      <c r="J340">
        <v>-9.2342429189513312E-4</v>
      </c>
      <c r="K340" s="96">
        <f t="shared" si="16"/>
        <v>0</v>
      </c>
      <c r="L340" s="96">
        <f t="shared" si="17"/>
        <v>1</v>
      </c>
      <c r="M340" s="96">
        <f t="shared" si="18"/>
        <v>0</v>
      </c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-0.5</v>
      </c>
      <c r="H341">
        <v>1.932559496921088E-3</v>
      </c>
      <c r="I341">
        <v>-1.0168063303862609</v>
      </c>
      <c r="J341">
        <v>-1.9650387303174499E-3</v>
      </c>
      <c r="K341" s="96">
        <f t="shared" si="16"/>
        <v>0</v>
      </c>
      <c r="L341" s="96">
        <f t="shared" si="17"/>
        <v>1</v>
      </c>
      <c r="M341" s="96">
        <f t="shared" si="18"/>
        <v>0</v>
      </c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10.922676261827975</v>
      </c>
      <c r="H342">
        <v>1.932559496921088E-3</v>
      </c>
      <c r="I342">
        <v>-0.694829207148566</v>
      </c>
      <c r="J342">
        <v>-1.342798783013111E-3</v>
      </c>
      <c r="K342" s="96">
        <f t="shared" si="16"/>
        <v>0</v>
      </c>
      <c r="L342" s="96">
        <f t="shared" si="17"/>
        <v>1</v>
      </c>
      <c r="M342" s="96">
        <f t="shared" si="18"/>
        <v>0</v>
      </c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19.347183458198955</v>
      </c>
      <c r="H343">
        <v>4.8749248570982399E-4</v>
      </c>
      <c r="I343">
        <v>-0.52471180221831892</v>
      </c>
      <c r="J343">
        <v>-2.557930607446898E-4</v>
      </c>
      <c r="K343" s="96">
        <f t="shared" si="16"/>
        <v>0</v>
      </c>
      <c r="L343" s="96">
        <f t="shared" si="17"/>
        <v>1</v>
      </c>
      <c r="M343" s="96">
        <f t="shared" si="18"/>
        <v>0</v>
      </c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5.3063381309139874</v>
      </c>
      <c r="H344">
        <v>1.932559496921088E-3</v>
      </c>
      <c r="I344">
        <v>-0.83788205209416888</v>
      </c>
      <c r="J344">
        <v>-1.6192569170743159E-3</v>
      </c>
      <c r="K344" s="96">
        <f t="shared" si="16"/>
        <v>0</v>
      </c>
      <c r="L344" s="96">
        <f t="shared" si="17"/>
        <v>1</v>
      </c>
      <c r="M344" s="96">
        <f t="shared" si="18"/>
        <v>0</v>
      </c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16.539014392741962</v>
      </c>
      <c r="H345">
        <v>1.932559496921088E-3</v>
      </c>
      <c r="I345">
        <v>-0.57619998650173354</v>
      </c>
      <c r="J345">
        <v>-1.1135407560397279E-3</v>
      </c>
      <c r="K345" s="96">
        <f t="shared" si="16"/>
        <v>0</v>
      </c>
      <c r="L345" s="96">
        <f t="shared" si="17"/>
        <v>1</v>
      </c>
      <c r="M345" s="96">
        <f t="shared" si="18"/>
        <v>0</v>
      </c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24.963521589112943</v>
      </c>
      <c r="H346">
        <v>4.8749248570982399E-4</v>
      </c>
      <c r="I346">
        <v>-0.43512697832066027</v>
      </c>
      <c r="J346">
        <v>-2.1212113226094337E-4</v>
      </c>
      <c r="K346" s="96">
        <f t="shared" si="16"/>
        <v>0</v>
      </c>
      <c r="L346" s="96">
        <f t="shared" si="17"/>
        <v>1</v>
      </c>
      <c r="M346" s="96">
        <f t="shared" si="18"/>
        <v>0</v>
      </c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2.4981690654569939</v>
      </c>
      <c r="H347">
        <v>1.932559496921088E-3</v>
      </c>
      <c r="I347">
        <v>-0.92010056771284432</v>
      </c>
      <c r="J347">
        <v>-1.778149090255942E-3</v>
      </c>
      <c r="K347" s="96">
        <f t="shared" si="16"/>
        <v>0</v>
      </c>
      <c r="L347" s="96">
        <f t="shared" si="17"/>
        <v>1</v>
      </c>
      <c r="M347" s="96">
        <f t="shared" si="18"/>
        <v>0</v>
      </c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13.730845327284968</v>
      </c>
      <c r="H348">
        <v>1.932559496921088E-3</v>
      </c>
      <c r="I348">
        <v>-0.63274053116582796</v>
      </c>
      <c r="J348">
        <v>-1.2228087225914144E-3</v>
      </c>
      <c r="K348" s="96">
        <f t="shared" si="16"/>
        <v>0</v>
      </c>
      <c r="L348" s="96">
        <f t="shared" si="17"/>
        <v>1</v>
      </c>
      <c r="M348" s="96">
        <f t="shared" si="18"/>
        <v>0</v>
      </c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22.155352523655949</v>
      </c>
      <c r="H349">
        <v>4.8749248570982399E-4</v>
      </c>
      <c r="I349">
        <v>-0.47782450856820335</v>
      </c>
      <c r="J349">
        <v>-2.3293585741498854E-4</v>
      </c>
      <c r="K349" s="96">
        <f t="shared" si="16"/>
        <v>0</v>
      </c>
      <c r="L349" s="96">
        <f t="shared" si="17"/>
        <v>1</v>
      </c>
      <c r="M349" s="96">
        <f t="shared" si="18"/>
        <v>0</v>
      </c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-0.5</v>
      </c>
      <c r="H350">
        <v>4.8749248570982405E-4</v>
      </c>
      <c r="I350">
        <v>-1.0168063303862609</v>
      </c>
      <c r="J350">
        <v>-4.9568544548548286E-4</v>
      </c>
      <c r="K350" s="96">
        <f t="shared" si="16"/>
        <v>0</v>
      </c>
      <c r="L350" s="96">
        <f t="shared" si="17"/>
        <v>1</v>
      </c>
      <c r="M350" s="96">
        <f t="shared" si="18"/>
        <v>0</v>
      </c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10.922676261827975</v>
      </c>
      <c r="H351">
        <v>4.8749248570982405E-4</v>
      </c>
      <c r="I351">
        <v>-0.694829207148566</v>
      </c>
      <c r="J351">
        <v>-3.3872401733664069E-4</v>
      </c>
      <c r="K351" s="96">
        <f t="shared" si="16"/>
        <v>0</v>
      </c>
      <c r="L351" s="96">
        <f t="shared" si="17"/>
        <v>1</v>
      </c>
      <c r="M351" s="96">
        <f t="shared" si="18"/>
        <v>0</v>
      </c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19.347183458198955</v>
      </c>
      <c r="H352">
        <v>1.2297107747635201E-4</v>
      </c>
      <c r="I352">
        <v>-0.52471180221831892</v>
      </c>
      <c r="J352">
        <v>-6.4524375683345185E-5</v>
      </c>
      <c r="K352" s="96">
        <f t="shared" si="16"/>
        <v>0</v>
      </c>
      <c r="L352" s="96">
        <f t="shared" si="17"/>
        <v>1</v>
      </c>
      <c r="M352" s="96">
        <f t="shared" si="18"/>
        <v>0</v>
      </c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5.3063381309139874</v>
      </c>
      <c r="H353">
        <v>7.6612180056514559E-3</v>
      </c>
      <c r="I353">
        <v>-0.83788205209416888</v>
      </c>
      <c r="J353">
        <v>-6.4191970641160378E-3</v>
      </c>
      <c r="K353" s="96">
        <f t="shared" si="16"/>
        <v>0</v>
      </c>
      <c r="L353" s="96">
        <f t="shared" si="17"/>
        <v>1</v>
      </c>
      <c r="M353" s="96">
        <f t="shared" si="18"/>
        <v>0</v>
      </c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16.539014392741962</v>
      </c>
      <c r="H354">
        <v>7.6612180056514559E-3</v>
      </c>
      <c r="I354">
        <v>-0.57619998650173354</v>
      </c>
      <c r="J354">
        <v>-4.4143937114432073E-3</v>
      </c>
      <c r="K354" s="96">
        <f t="shared" si="16"/>
        <v>0</v>
      </c>
      <c r="L354" s="96">
        <f t="shared" si="17"/>
        <v>1</v>
      </c>
      <c r="M354" s="96">
        <f t="shared" si="18"/>
        <v>0</v>
      </c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24.963521589112943</v>
      </c>
      <c r="H355">
        <v>1.932559496921088E-3</v>
      </c>
      <c r="I355">
        <v>-0.43512697832066027</v>
      </c>
      <c r="J355">
        <v>-8.4090877432016833E-4</v>
      </c>
      <c r="K355" s="96">
        <f t="shared" si="16"/>
        <v>0</v>
      </c>
      <c r="L355" s="96">
        <f t="shared" si="17"/>
        <v>1</v>
      </c>
      <c r="M355" s="96">
        <f t="shared" si="18"/>
        <v>0</v>
      </c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2.4981690654569939</v>
      </c>
      <c r="H356">
        <v>7.6612180056514559E-3</v>
      </c>
      <c r="I356">
        <v>-0.92010056771284432</v>
      </c>
      <c r="J356">
        <v>-7.0490910363717697E-3</v>
      </c>
      <c r="K356" s="96">
        <f t="shared" si="16"/>
        <v>0</v>
      </c>
      <c r="L356" s="96">
        <f t="shared" si="17"/>
        <v>1</v>
      </c>
      <c r="M356" s="96">
        <f t="shared" si="18"/>
        <v>0</v>
      </c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13.730845327284968</v>
      </c>
      <c r="H357">
        <v>7.6612180056514559E-3</v>
      </c>
      <c r="I357">
        <v>-0.63274053116582796</v>
      </c>
      <c r="J357">
        <v>-4.8475631502731074E-3</v>
      </c>
      <c r="K357" s="96">
        <f t="shared" si="16"/>
        <v>0</v>
      </c>
      <c r="L357" s="96">
        <f t="shared" si="17"/>
        <v>1</v>
      </c>
      <c r="M357" s="96">
        <f t="shared" si="18"/>
        <v>0</v>
      </c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22.155352523655949</v>
      </c>
      <c r="H358">
        <v>1.932559496921088E-3</v>
      </c>
      <c r="I358">
        <v>-0.47782450856820335</v>
      </c>
      <c r="J358">
        <v>-9.2342429189513312E-4</v>
      </c>
      <c r="K358" s="96">
        <f t="shared" si="16"/>
        <v>0</v>
      </c>
      <c r="L358" s="96">
        <f t="shared" si="17"/>
        <v>1</v>
      </c>
      <c r="M358" s="96">
        <f t="shared" si="18"/>
        <v>0</v>
      </c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-0.5</v>
      </c>
      <c r="H359">
        <v>1.932559496921088E-3</v>
      </c>
      <c r="I359">
        <v>-1.0168063303862609</v>
      </c>
      <c r="J359">
        <v>-1.9650387303174499E-3</v>
      </c>
      <c r="K359" s="96">
        <f t="shared" si="16"/>
        <v>0</v>
      </c>
      <c r="L359" s="96">
        <f t="shared" si="17"/>
        <v>1</v>
      </c>
      <c r="M359" s="96">
        <f t="shared" si="18"/>
        <v>0</v>
      </c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10.922676261827975</v>
      </c>
      <c r="H360">
        <v>1.932559496921088E-3</v>
      </c>
      <c r="I360">
        <v>-0.694829207148566</v>
      </c>
      <c r="J360">
        <v>-1.342798783013111E-3</v>
      </c>
      <c r="K360" s="96">
        <f t="shared" si="16"/>
        <v>0</v>
      </c>
      <c r="L360" s="96">
        <f t="shared" si="17"/>
        <v>1</v>
      </c>
      <c r="M360" s="96">
        <f t="shared" si="18"/>
        <v>0</v>
      </c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19.347183458198955</v>
      </c>
      <c r="H361">
        <v>4.8749248570982399E-4</v>
      </c>
      <c r="I361">
        <v>-0.52471180221831892</v>
      </c>
      <c r="J361">
        <v>-2.557930607446898E-4</v>
      </c>
      <c r="K361" s="96">
        <f t="shared" si="16"/>
        <v>0</v>
      </c>
      <c r="L361" s="96">
        <f t="shared" si="17"/>
        <v>1</v>
      </c>
      <c r="M361" s="96">
        <f t="shared" si="18"/>
        <v>0</v>
      </c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5.3063381309139874</v>
      </c>
      <c r="H362">
        <v>7.6612180056514559E-3</v>
      </c>
      <c r="I362">
        <v>-0.83788205209416888</v>
      </c>
      <c r="J362">
        <v>-6.4191970641160378E-3</v>
      </c>
      <c r="K362" s="96">
        <f t="shared" si="16"/>
        <v>0</v>
      </c>
      <c r="L362" s="96">
        <f t="shared" si="17"/>
        <v>1</v>
      </c>
      <c r="M362" s="96">
        <f t="shared" si="18"/>
        <v>0</v>
      </c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16.539014392741962</v>
      </c>
      <c r="H363">
        <v>7.6612180056514559E-3</v>
      </c>
      <c r="I363">
        <v>-0.57619998650173354</v>
      </c>
      <c r="J363">
        <v>-4.4143937114432073E-3</v>
      </c>
      <c r="K363" s="96">
        <f t="shared" si="16"/>
        <v>0</v>
      </c>
      <c r="L363" s="96">
        <f t="shared" si="17"/>
        <v>1</v>
      </c>
      <c r="M363" s="96">
        <f t="shared" si="18"/>
        <v>0</v>
      </c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24.963521589112943</v>
      </c>
      <c r="H364">
        <v>1.932559496921088E-3</v>
      </c>
      <c r="I364">
        <v>-0.43512697832066027</v>
      </c>
      <c r="J364">
        <v>-8.4090877432016833E-4</v>
      </c>
      <c r="K364" s="96">
        <f t="shared" si="16"/>
        <v>0</v>
      </c>
      <c r="L364" s="96">
        <f t="shared" si="17"/>
        <v>1</v>
      </c>
      <c r="M364" s="96">
        <f t="shared" si="18"/>
        <v>0</v>
      </c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2.4981690654569939</v>
      </c>
      <c r="H365">
        <v>7.6612180056514559E-3</v>
      </c>
      <c r="I365">
        <v>-0.92010056771284432</v>
      </c>
      <c r="J365">
        <v>-7.0490910363717697E-3</v>
      </c>
      <c r="K365" s="96">
        <f t="shared" si="16"/>
        <v>0</v>
      </c>
      <c r="L365" s="96">
        <f t="shared" si="17"/>
        <v>1</v>
      </c>
      <c r="M365" s="96">
        <f t="shared" si="18"/>
        <v>0</v>
      </c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13.730845327284968</v>
      </c>
      <c r="H366">
        <v>7.6612180056514559E-3</v>
      </c>
      <c r="I366">
        <v>-0.63274053116582796</v>
      </c>
      <c r="J366">
        <v>-4.8475631502731074E-3</v>
      </c>
      <c r="K366" s="96">
        <f t="shared" si="16"/>
        <v>0</v>
      </c>
      <c r="L366" s="96">
        <f t="shared" si="17"/>
        <v>1</v>
      </c>
      <c r="M366" s="96">
        <f t="shared" si="18"/>
        <v>0</v>
      </c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22.155352523655949</v>
      </c>
      <c r="H367">
        <v>1.932559496921088E-3</v>
      </c>
      <c r="I367">
        <v>-0.47782450856820335</v>
      </c>
      <c r="J367">
        <v>-9.2342429189513312E-4</v>
      </c>
      <c r="K367" s="96">
        <f t="shared" si="16"/>
        <v>0</v>
      </c>
      <c r="L367" s="96">
        <f t="shared" si="17"/>
        <v>1</v>
      </c>
      <c r="M367" s="96">
        <f t="shared" si="18"/>
        <v>0</v>
      </c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-0.5</v>
      </c>
      <c r="H368">
        <v>1.932559496921088E-3</v>
      </c>
      <c r="I368">
        <v>-1.0168063303862609</v>
      </c>
      <c r="J368">
        <v>-1.9650387303174499E-3</v>
      </c>
      <c r="K368" s="96">
        <f t="shared" si="16"/>
        <v>0</v>
      </c>
      <c r="L368" s="96">
        <f t="shared" si="17"/>
        <v>1</v>
      </c>
      <c r="M368" s="96">
        <f t="shared" si="18"/>
        <v>0</v>
      </c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10.922676261827975</v>
      </c>
      <c r="H369">
        <v>1.932559496921088E-3</v>
      </c>
      <c r="I369">
        <v>-0.694829207148566</v>
      </c>
      <c r="J369">
        <v>-1.342798783013111E-3</v>
      </c>
      <c r="K369" s="96">
        <f t="shared" si="16"/>
        <v>0</v>
      </c>
      <c r="L369" s="96">
        <f t="shared" si="17"/>
        <v>1</v>
      </c>
      <c r="M369" s="96">
        <f t="shared" si="18"/>
        <v>0</v>
      </c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19.347183458198955</v>
      </c>
      <c r="H370">
        <v>4.8749248570982399E-4</v>
      </c>
      <c r="I370">
        <v>-0.52471180221831892</v>
      </c>
      <c r="J370">
        <v>-2.557930607446898E-4</v>
      </c>
      <c r="K370" s="96">
        <f t="shared" si="16"/>
        <v>0</v>
      </c>
      <c r="L370" s="96">
        <f t="shared" si="17"/>
        <v>1</v>
      </c>
      <c r="M370" s="96">
        <f t="shared" si="18"/>
        <v>0</v>
      </c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5.3063381309139874</v>
      </c>
      <c r="H371">
        <v>1.932559496921088E-3</v>
      </c>
      <c r="I371">
        <v>-0.83788205209416888</v>
      </c>
      <c r="J371">
        <v>-1.6192569170743159E-3</v>
      </c>
      <c r="K371" s="96">
        <f t="shared" si="16"/>
        <v>0</v>
      </c>
      <c r="L371" s="96">
        <f t="shared" si="17"/>
        <v>1</v>
      </c>
      <c r="M371" s="96">
        <f t="shared" si="18"/>
        <v>0</v>
      </c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16.539014392741962</v>
      </c>
      <c r="H372">
        <v>1.932559496921088E-3</v>
      </c>
      <c r="I372">
        <v>-0.57619998650173354</v>
      </c>
      <c r="J372">
        <v>-1.1135407560397279E-3</v>
      </c>
      <c r="K372" s="96">
        <f t="shared" si="16"/>
        <v>0</v>
      </c>
      <c r="L372" s="96">
        <f t="shared" si="17"/>
        <v>1</v>
      </c>
      <c r="M372" s="96">
        <f t="shared" si="18"/>
        <v>0</v>
      </c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24.963521589112943</v>
      </c>
      <c r="H373">
        <v>4.8749248570982399E-4</v>
      </c>
      <c r="I373">
        <v>-0.43512697832066027</v>
      </c>
      <c r="J373">
        <v>-2.1212113226094337E-4</v>
      </c>
      <c r="K373" s="96">
        <f t="shared" si="16"/>
        <v>0</v>
      </c>
      <c r="L373" s="96">
        <f t="shared" si="17"/>
        <v>1</v>
      </c>
      <c r="M373" s="96">
        <f t="shared" si="18"/>
        <v>0</v>
      </c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2.4981690654569939</v>
      </c>
      <c r="H374">
        <v>1.932559496921088E-3</v>
      </c>
      <c r="I374">
        <v>-0.92010056771284432</v>
      </c>
      <c r="J374">
        <v>-1.778149090255942E-3</v>
      </c>
      <c r="K374" s="96">
        <f t="shared" si="16"/>
        <v>0</v>
      </c>
      <c r="L374" s="96">
        <f t="shared" si="17"/>
        <v>1</v>
      </c>
      <c r="M374" s="96">
        <f t="shared" si="18"/>
        <v>0</v>
      </c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13.730845327284968</v>
      </c>
      <c r="H375">
        <v>1.932559496921088E-3</v>
      </c>
      <c r="I375">
        <v>-0.63274053116582796</v>
      </c>
      <c r="J375">
        <v>-1.2228087225914144E-3</v>
      </c>
      <c r="K375" s="96">
        <f t="shared" si="16"/>
        <v>0</v>
      </c>
      <c r="L375" s="96">
        <f t="shared" si="17"/>
        <v>1</v>
      </c>
      <c r="M375" s="96">
        <f t="shared" si="18"/>
        <v>0</v>
      </c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22.155352523655949</v>
      </c>
      <c r="H376">
        <v>4.8749248570982399E-4</v>
      </c>
      <c r="I376">
        <v>-0.47782450856820335</v>
      </c>
      <c r="J376">
        <v>-2.3293585741498854E-4</v>
      </c>
      <c r="K376" s="96">
        <f t="shared" si="16"/>
        <v>0</v>
      </c>
      <c r="L376" s="96">
        <f t="shared" si="17"/>
        <v>1</v>
      </c>
      <c r="M376" s="96">
        <f t="shared" si="18"/>
        <v>0</v>
      </c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-0.5</v>
      </c>
      <c r="H377">
        <v>4.8749248570982405E-4</v>
      </c>
      <c r="I377">
        <v>-1.0168063303862609</v>
      </c>
      <c r="J377">
        <v>-4.9568544548548286E-4</v>
      </c>
      <c r="K377" s="96">
        <f t="shared" si="16"/>
        <v>0</v>
      </c>
      <c r="L377" s="96">
        <f t="shared" si="17"/>
        <v>1</v>
      </c>
      <c r="M377" s="96">
        <f t="shared" si="18"/>
        <v>0</v>
      </c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10.922676261827975</v>
      </c>
      <c r="H378">
        <v>4.8749248570982405E-4</v>
      </c>
      <c r="I378">
        <v>-0.694829207148566</v>
      </c>
      <c r="J378">
        <v>-3.3872401733664069E-4</v>
      </c>
      <c r="K378" s="96">
        <f t="shared" si="16"/>
        <v>0</v>
      </c>
      <c r="L378" s="96">
        <f t="shared" si="17"/>
        <v>1</v>
      </c>
      <c r="M378" s="96">
        <f t="shared" si="18"/>
        <v>0</v>
      </c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19.347183458198955</v>
      </c>
      <c r="H379">
        <v>1.2297107747635201E-4</v>
      </c>
      <c r="I379">
        <v>-0.52471180221831892</v>
      </c>
      <c r="J379">
        <v>-6.4524375683345185E-5</v>
      </c>
      <c r="K379" s="96">
        <f t="shared" si="16"/>
        <v>0</v>
      </c>
      <c r="L379" s="96">
        <f t="shared" si="17"/>
        <v>1</v>
      </c>
      <c r="M379" s="96">
        <f t="shared" si="18"/>
        <v>0</v>
      </c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5.3063381309139874</v>
      </c>
      <c r="H380">
        <v>1.932559496921088E-3</v>
      </c>
      <c r="I380">
        <v>-0.83788205209416888</v>
      </c>
      <c r="J380">
        <v>-1.6192569170743159E-3</v>
      </c>
      <c r="K380" s="96">
        <f t="shared" si="16"/>
        <v>0</v>
      </c>
      <c r="L380" s="96">
        <f t="shared" si="17"/>
        <v>1</v>
      </c>
      <c r="M380" s="96">
        <f t="shared" si="18"/>
        <v>0</v>
      </c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16.539014392741962</v>
      </c>
      <c r="H381">
        <v>1.932559496921088E-3</v>
      </c>
      <c r="I381">
        <v>-0.57619998650173354</v>
      </c>
      <c r="J381">
        <v>-1.1135407560397279E-3</v>
      </c>
      <c r="K381" s="96">
        <f t="shared" si="16"/>
        <v>0</v>
      </c>
      <c r="L381" s="96">
        <f t="shared" si="17"/>
        <v>1</v>
      </c>
      <c r="M381" s="96">
        <f t="shared" si="18"/>
        <v>0</v>
      </c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24.963521589112943</v>
      </c>
      <c r="H382">
        <v>4.8749248570982399E-4</v>
      </c>
      <c r="I382">
        <v>-0.43512697832066027</v>
      </c>
      <c r="J382">
        <v>-2.1212113226094337E-4</v>
      </c>
      <c r="K382" s="96">
        <f t="shared" si="16"/>
        <v>0</v>
      </c>
      <c r="L382" s="96">
        <f t="shared" si="17"/>
        <v>1</v>
      </c>
      <c r="M382" s="96">
        <f t="shared" si="18"/>
        <v>0</v>
      </c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2.4981690654569939</v>
      </c>
      <c r="H383">
        <v>1.932559496921088E-3</v>
      </c>
      <c r="I383">
        <v>-0.92010056771284432</v>
      </c>
      <c r="J383">
        <v>-1.778149090255942E-3</v>
      </c>
      <c r="K383" s="96">
        <f t="shared" si="16"/>
        <v>0</v>
      </c>
      <c r="L383" s="96">
        <f t="shared" si="17"/>
        <v>1</v>
      </c>
      <c r="M383" s="96">
        <f t="shared" si="18"/>
        <v>0</v>
      </c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13.730845327284968</v>
      </c>
      <c r="H384">
        <v>1.932559496921088E-3</v>
      </c>
      <c r="I384">
        <v>-0.63274053116582796</v>
      </c>
      <c r="J384">
        <v>-1.2228087225914144E-3</v>
      </c>
      <c r="K384" s="96">
        <f t="shared" si="16"/>
        <v>0</v>
      </c>
      <c r="L384" s="96">
        <f t="shared" si="17"/>
        <v>1</v>
      </c>
      <c r="M384" s="96">
        <f t="shared" si="18"/>
        <v>0</v>
      </c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22.155352523655949</v>
      </c>
      <c r="H385">
        <v>4.8749248570982399E-4</v>
      </c>
      <c r="I385">
        <v>-0.47782450856820335</v>
      </c>
      <c r="J385">
        <v>-2.3293585741498854E-4</v>
      </c>
      <c r="K385" s="96">
        <f t="shared" si="16"/>
        <v>0</v>
      </c>
      <c r="L385" s="96">
        <f t="shared" si="17"/>
        <v>1</v>
      </c>
      <c r="M385" s="96">
        <f t="shared" si="18"/>
        <v>0</v>
      </c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-0.5</v>
      </c>
      <c r="H386">
        <v>4.8749248570982405E-4</v>
      </c>
      <c r="I386">
        <v>-1.0168063303862609</v>
      </c>
      <c r="J386">
        <v>-4.9568544548548286E-4</v>
      </c>
      <c r="K386" s="96">
        <f t="shared" si="16"/>
        <v>0</v>
      </c>
      <c r="L386" s="96">
        <f t="shared" si="17"/>
        <v>1</v>
      </c>
      <c r="M386" s="96">
        <f t="shared" si="18"/>
        <v>0</v>
      </c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10.922676261827975</v>
      </c>
      <c r="H387">
        <v>4.8749248570982405E-4</v>
      </c>
      <c r="I387">
        <v>-0.694829207148566</v>
      </c>
      <c r="J387">
        <v>-3.3872401733664069E-4</v>
      </c>
      <c r="K387" s="96">
        <f t="shared" ref="K387:K450" si="19">IF(A387=3,1,0)</f>
        <v>0</v>
      </c>
      <c r="L387" s="96">
        <f t="shared" ref="L387:L450" si="20">IF(A387=2,1,0)</f>
        <v>1</v>
      </c>
      <c r="M387" s="96">
        <f t="shared" ref="M387:M450" si="21">IF(A387=1,1,0)</f>
        <v>0</v>
      </c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19.347183458198955</v>
      </c>
      <c r="H388">
        <v>1.2297107747635201E-4</v>
      </c>
      <c r="I388">
        <v>-0.52471180221831892</v>
      </c>
      <c r="J388">
        <v>-6.4524375683345185E-5</v>
      </c>
      <c r="K388" s="96">
        <f t="shared" si="19"/>
        <v>0</v>
      </c>
      <c r="L388" s="96">
        <f t="shared" si="20"/>
        <v>1</v>
      </c>
      <c r="M388" s="96">
        <f t="shared" si="21"/>
        <v>0</v>
      </c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5.3063381309139874</v>
      </c>
      <c r="H389">
        <v>1.932559496921088E-3</v>
      </c>
      <c r="I389">
        <v>-0.83788205209416888</v>
      </c>
      <c r="J389">
        <v>-1.6192569170743159E-3</v>
      </c>
      <c r="K389" s="96">
        <f t="shared" si="19"/>
        <v>0</v>
      </c>
      <c r="L389" s="96">
        <f t="shared" si="20"/>
        <v>1</v>
      </c>
      <c r="M389" s="96">
        <f t="shared" si="21"/>
        <v>0</v>
      </c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16.539014392741962</v>
      </c>
      <c r="H390">
        <v>1.932559496921088E-3</v>
      </c>
      <c r="I390">
        <v>-0.57619998650173354</v>
      </c>
      <c r="J390">
        <v>-1.1135407560397279E-3</v>
      </c>
      <c r="K390" s="96">
        <f t="shared" si="19"/>
        <v>0</v>
      </c>
      <c r="L390" s="96">
        <f t="shared" si="20"/>
        <v>1</v>
      </c>
      <c r="M390" s="96">
        <f t="shared" si="21"/>
        <v>0</v>
      </c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24.963521589112943</v>
      </c>
      <c r="H391">
        <v>4.8749248570982399E-4</v>
      </c>
      <c r="I391">
        <v>-0.43512697832066027</v>
      </c>
      <c r="J391">
        <v>-2.1212113226094337E-4</v>
      </c>
      <c r="K391" s="96">
        <f t="shared" si="19"/>
        <v>0</v>
      </c>
      <c r="L391" s="96">
        <f t="shared" si="20"/>
        <v>1</v>
      </c>
      <c r="M391" s="96">
        <f t="shared" si="21"/>
        <v>0</v>
      </c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2.4981690654569939</v>
      </c>
      <c r="H392">
        <v>1.932559496921088E-3</v>
      </c>
      <c r="I392">
        <v>-0.92010056771284432</v>
      </c>
      <c r="J392">
        <v>-1.778149090255942E-3</v>
      </c>
      <c r="K392" s="96">
        <f t="shared" si="19"/>
        <v>0</v>
      </c>
      <c r="L392" s="96">
        <f t="shared" si="20"/>
        <v>1</v>
      </c>
      <c r="M392" s="96">
        <f t="shared" si="21"/>
        <v>0</v>
      </c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13.730845327284968</v>
      </c>
      <c r="H393">
        <v>1.932559496921088E-3</v>
      </c>
      <c r="I393">
        <v>-0.63274053116582796</v>
      </c>
      <c r="J393">
        <v>-1.2228087225914144E-3</v>
      </c>
      <c r="K393" s="96">
        <f t="shared" si="19"/>
        <v>0</v>
      </c>
      <c r="L393" s="96">
        <f t="shared" si="20"/>
        <v>1</v>
      </c>
      <c r="M393" s="96">
        <f t="shared" si="21"/>
        <v>0</v>
      </c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22.155352523655949</v>
      </c>
      <c r="H394">
        <v>4.8749248570982399E-4</v>
      </c>
      <c r="I394">
        <v>-0.47782450856820335</v>
      </c>
      <c r="J394">
        <v>-2.3293585741498854E-4</v>
      </c>
      <c r="K394" s="96">
        <f t="shared" si="19"/>
        <v>0</v>
      </c>
      <c r="L394" s="96">
        <f t="shared" si="20"/>
        <v>1</v>
      </c>
      <c r="M394" s="96">
        <f t="shared" si="21"/>
        <v>0</v>
      </c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-0.5</v>
      </c>
      <c r="H395">
        <v>4.8749248570982405E-4</v>
      </c>
      <c r="I395">
        <v>-1.0168063303862609</v>
      </c>
      <c r="J395">
        <v>-4.9568544548548286E-4</v>
      </c>
      <c r="K395" s="96">
        <f t="shared" si="19"/>
        <v>0</v>
      </c>
      <c r="L395" s="96">
        <f t="shared" si="20"/>
        <v>1</v>
      </c>
      <c r="M395" s="96">
        <f t="shared" si="21"/>
        <v>0</v>
      </c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10.922676261827975</v>
      </c>
      <c r="H396">
        <v>4.8749248570982405E-4</v>
      </c>
      <c r="I396">
        <v>-0.694829207148566</v>
      </c>
      <c r="J396">
        <v>-3.3872401733664069E-4</v>
      </c>
      <c r="K396" s="96">
        <f t="shared" si="19"/>
        <v>0</v>
      </c>
      <c r="L396" s="96">
        <f t="shared" si="20"/>
        <v>1</v>
      </c>
      <c r="M396" s="96">
        <f t="shared" si="21"/>
        <v>0</v>
      </c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19.347183458198955</v>
      </c>
      <c r="H397">
        <v>1.2297107747635201E-4</v>
      </c>
      <c r="I397">
        <v>-0.52471180221831892</v>
      </c>
      <c r="J397">
        <v>-6.4524375683345185E-5</v>
      </c>
      <c r="K397" s="96">
        <f t="shared" si="19"/>
        <v>0</v>
      </c>
      <c r="L397" s="96">
        <f t="shared" si="20"/>
        <v>1</v>
      </c>
      <c r="M397" s="96">
        <f t="shared" si="21"/>
        <v>0</v>
      </c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5.3063381309139874</v>
      </c>
      <c r="H398">
        <v>4.8749248570982405E-4</v>
      </c>
      <c r="I398">
        <v>-0.83788205209416888</v>
      </c>
      <c r="J398">
        <v>-4.0846120430703466E-4</v>
      </c>
      <c r="K398" s="96">
        <f t="shared" si="19"/>
        <v>0</v>
      </c>
      <c r="L398" s="96">
        <f t="shared" si="20"/>
        <v>1</v>
      </c>
      <c r="M398" s="96">
        <f t="shared" si="21"/>
        <v>0</v>
      </c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16.539014392741962</v>
      </c>
      <c r="H399">
        <v>4.8749248570982405E-4</v>
      </c>
      <c r="I399">
        <v>-0.57619998650173354</v>
      </c>
      <c r="J399">
        <v>-2.8089316368569715E-4</v>
      </c>
      <c r="K399" s="96">
        <f t="shared" si="19"/>
        <v>0</v>
      </c>
      <c r="L399" s="96">
        <f t="shared" si="20"/>
        <v>1</v>
      </c>
      <c r="M399" s="96">
        <f t="shared" si="21"/>
        <v>0</v>
      </c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24.963521589112943</v>
      </c>
      <c r="H400">
        <v>1.2297107747635201E-4</v>
      </c>
      <c r="I400">
        <v>-0.43512697832066027</v>
      </c>
      <c r="J400">
        <v>-5.3508033363120856E-5</v>
      </c>
      <c r="K400" s="96">
        <f t="shared" si="19"/>
        <v>0</v>
      </c>
      <c r="L400" s="96">
        <f t="shared" si="20"/>
        <v>1</v>
      </c>
      <c r="M400" s="96">
        <f t="shared" si="21"/>
        <v>0</v>
      </c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2.4981690654569939</v>
      </c>
      <c r="H401">
        <v>4.8749248570982405E-4</v>
      </c>
      <c r="I401">
        <v>-0.92010056771284432</v>
      </c>
      <c r="J401">
        <v>-4.4854211285735477E-4</v>
      </c>
      <c r="K401" s="96">
        <f t="shared" si="19"/>
        <v>0</v>
      </c>
      <c r="L401" s="96">
        <f t="shared" si="20"/>
        <v>1</v>
      </c>
      <c r="M401" s="96">
        <f t="shared" si="21"/>
        <v>0</v>
      </c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13.730845327284968</v>
      </c>
      <c r="H402">
        <v>4.8749248570982405E-4</v>
      </c>
      <c r="I402">
        <v>-0.63274053116582796</v>
      </c>
      <c r="J402">
        <v>-3.0845625434738384E-4</v>
      </c>
      <c r="K402" s="96">
        <f t="shared" si="19"/>
        <v>0</v>
      </c>
      <c r="L402" s="96">
        <f t="shared" si="20"/>
        <v>1</v>
      </c>
      <c r="M402" s="96">
        <f t="shared" si="21"/>
        <v>0</v>
      </c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22.155352523655949</v>
      </c>
      <c r="H403">
        <v>1.2297107747635201E-4</v>
      </c>
      <c r="I403">
        <v>-0.47782450856820335</v>
      </c>
      <c r="J403">
        <v>-5.8758594663240357E-5</v>
      </c>
      <c r="K403" s="96">
        <f t="shared" si="19"/>
        <v>0</v>
      </c>
      <c r="L403" s="96">
        <f t="shared" si="20"/>
        <v>1</v>
      </c>
      <c r="M403" s="96">
        <f t="shared" si="21"/>
        <v>0</v>
      </c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-0.5</v>
      </c>
      <c r="H404">
        <v>1.2297107747635201E-4</v>
      </c>
      <c r="I404">
        <v>-1.0168063303862609</v>
      </c>
      <c r="J404">
        <v>-1.2503777003237406E-4</v>
      </c>
      <c r="K404" s="96">
        <f t="shared" si="19"/>
        <v>0</v>
      </c>
      <c r="L404" s="96">
        <f t="shared" si="20"/>
        <v>1</v>
      </c>
      <c r="M404" s="96">
        <f t="shared" si="21"/>
        <v>0</v>
      </c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10.922676261827975</v>
      </c>
      <c r="H405">
        <v>1.2297107747635201E-4</v>
      </c>
      <c r="I405">
        <v>-0.694829207148566</v>
      </c>
      <c r="J405">
        <v>-8.5443896265098544E-5</v>
      </c>
      <c r="K405" s="96">
        <f t="shared" si="19"/>
        <v>0</v>
      </c>
      <c r="L405" s="96">
        <f t="shared" si="20"/>
        <v>1</v>
      </c>
      <c r="M405" s="96">
        <f t="shared" si="21"/>
        <v>0</v>
      </c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19.347183458198955</v>
      </c>
      <c r="H406">
        <v>3.1019731255295997E-5</v>
      </c>
      <c r="I406">
        <v>-0.52471180221831892</v>
      </c>
      <c r="J406">
        <v>-1.6276419091294279E-5</v>
      </c>
      <c r="K406" s="96">
        <f t="shared" si="19"/>
        <v>0</v>
      </c>
      <c r="L406" s="96">
        <f t="shared" si="20"/>
        <v>1</v>
      </c>
      <c r="M406" s="96">
        <f t="shared" si="21"/>
        <v>0</v>
      </c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5.3063381309139874</v>
      </c>
      <c r="H407">
        <v>1.932559496921088E-3</v>
      </c>
      <c r="I407">
        <v>-0.83788205209416888</v>
      </c>
      <c r="J407">
        <v>-1.6192569170743159E-3</v>
      </c>
      <c r="K407" s="96">
        <f t="shared" si="19"/>
        <v>0</v>
      </c>
      <c r="L407" s="96">
        <f t="shared" si="20"/>
        <v>1</v>
      </c>
      <c r="M407" s="96">
        <f t="shared" si="21"/>
        <v>0</v>
      </c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16.539014392741962</v>
      </c>
      <c r="H408">
        <v>1.932559496921088E-3</v>
      </c>
      <c r="I408">
        <v>-0.57619998650173354</v>
      </c>
      <c r="J408">
        <v>-1.1135407560397279E-3</v>
      </c>
      <c r="K408" s="96">
        <f t="shared" si="19"/>
        <v>0</v>
      </c>
      <c r="L408" s="96">
        <f t="shared" si="20"/>
        <v>1</v>
      </c>
      <c r="M408" s="96">
        <f t="shared" si="21"/>
        <v>0</v>
      </c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24.963521589112943</v>
      </c>
      <c r="H409">
        <v>4.8749248570982399E-4</v>
      </c>
      <c r="I409">
        <v>-0.43512697832066027</v>
      </c>
      <c r="J409">
        <v>-2.1212113226094337E-4</v>
      </c>
      <c r="K409" s="96">
        <f t="shared" si="19"/>
        <v>0</v>
      </c>
      <c r="L409" s="96">
        <f t="shared" si="20"/>
        <v>1</v>
      </c>
      <c r="M409" s="96">
        <f t="shared" si="21"/>
        <v>0</v>
      </c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2.4981690654569939</v>
      </c>
      <c r="H410">
        <v>1.932559496921088E-3</v>
      </c>
      <c r="I410">
        <v>-0.92010056771284432</v>
      </c>
      <c r="J410">
        <v>-1.778149090255942E-3</v>
      </c>
      <c r="K410" s="96">
        <f t="shared" si="19"/>
        <v>0</v>
      </c>
      <c r="L410" s="96">
        <f t="shared" si="20"/>
        <v>1</v>
      </c>
      <c r="M410" s="96">
        <f t="shared" si="21"/>
        <v>0</v>
      </c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13.730845327284968</v>
      </c>
      <c r="H411">
        <v>1.932559496921088E-3</v>
      </c>
      <c r="I411">
        <v>-0.63274053116582796</v>
      </c>
      <c r="J411">
        <v>-1.2228087225914144E-3</v>
      </c>
      <c r="K411" s="96">
        <f t="shared" si="19"/>
        <v>0</v>
      </c>
      <c r="L411" s="96">
        <f t="shared" si="20"/>
        <v>1</v>
      </c>
      <c r="M411" s="96">
        <f t="shared" si="21"/>
        <v>0</v>
      </c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22.155352523655949</v>
      </c>
      <c r="H412">
        <v>4.8749248570982399E-4</v>
      </c>
      <c r="I412">
        <v>-0.47782450856820335</v>
      </c>
      <c r="J412">
        <v>-2.3293585741498854E-4</v>
      </c>
      <c r="K412" s="96">
        <f t="shared" si="19"/>
        <v>0</v>
      </c>
      <c r="L412" s="96">
        <f t="shared" si="20"/>
        <v>1</v>
      </c>
      <c r="M412" s="96">
        <f t="shared" si="21"/>
        <v>0</v>
      </c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-0.5</v>
      </c>
      <c r="H413">
        <v>4.8749248570982405E-4</v>
      </c>
      <c r="I413">
        <v>-1.0168063303862609</v>
      </c>
      <c r="J413">
        <v>-4.9568544548548286E-4</v>
      </c>
      <c r="K413" s="96">
        <f t="shared" si="19"/>
        <v>0</v>
      </c>
      <c r="L413" s="96">
        <f t="shared" si="20"/>
        <v>1</v>
      </c>
      <c r="M413" s="96">
        <f t="shared" si="21"/>
        <v>0</v>
      </c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10.922676261827975</v>
      </c>
      <c r="H414">
        <v>4.8749248570982405E-4</v>
      </c>
      <c r="I414">
        <v>-0.694829207148566</v>
      </c>
      <c r="J414">
        <v>-3.3872401733664069E-4</v>
      </c>
      <c r="K414" s="96">
        <f t="shared" si="19"/>
        <v>0</v>
      </c>
      <c r="L414" s="96">
        <f t="shared" si="20"/>
        <v>1</v>
      </c>
      <c r="M414" s="96">
        <f t="shared" si="21"/>
        <v>0</v>
      </c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19.347183458198955</v>
      </c>
      <c r="H415">
        <v>1.2297107747635201E-4</v>
      </c>
      <c r="I415">
        <v>-0.52471180221831892</v>
      </c>
      <c r="J415">
        <v>-6.4524375683345185E-5</v>
      </c>
      <c r="K415" s="96">
        <f t="shared" si="19"/>
        <v>0</v>
      </c>
      <c r="L415" s="96">
        <f t="shared" si="20"/>
        <v>1</v>
      </c>
      <c r="M415" s="96">
        <f t="shared" si="21"/>
        <v>0</v>
      </c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5.3063381309139874</v>
      </c>
      <c r="H416">
        <v>1.932559496921088E-3</v>
      </c>
      <c r="I416">
        <v>-0.83788205209416888</v>
      </c>
      <c r="J416">
        <v>-1.6192569170743159E-3</v>
      </c>
      <c r="K416" s="96">
        <f t="shared" si="19"/>
        <v>0</v>
      </c>
      <c r="L416" s="96">
        <f t="shared" si="20"/>
        <v>1</v>
      </c>
      <c r="M416" s="96">
        <f t="shared" si="21"/>
        <v>0</v>
      </c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16.539014392741962</v>
      </c>
      <c r="H417">
        <v>1.932559496921088E-3</v>
      </c>
      <c r="I417">
        <v>-0.57619998650173354</v>
      </c>
      <c r="J417">
        <v>-1.1135407560397279E-3</v>
      </c>
      <c r="K417" s="96">
        <f t="shared" si="19"/>
        <v>0</v>
      </c>
      <c r="L417" s="96">
        <f t="shared" si="20"/>
        <v>1</v>
      </c>
      <c r="M417" s="96">
        <f t="shared" si="21"/>
        <v>0</v>
      </c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24.963521589112943</v>
      </c>
      <c r="H418">
        <v>4.8749248570982399E-4</v>
      </c>
      <c r="I418">
        <v>-0.43512697832066027</v>
      </c>
      <c r="J418">
        <v>-2.1212113226094337E-4</v>
      </c>
      <c r="K418" s="96">
        <f t="shared" si="19"/>
        <v>0</v>
      </c>
      <c r="L418" s="96">
        <f t="shared" si="20"/>
        <v>1</v>
      </c>
      <c r="M418" s="96">
        <f t="shared" si="21"/>
        <v>0</v>
      </c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2.4981690654569939</v>
      </c>
      <c r="H419">
        <v>1.932559496921088E-3</v>
      </c>
      <c r="I419">
        <v>-0.92010056771284432</v>
      </c>
      <c r="J419">
        <v>-1.778149090255942E-3</v>
      </c>
      <c r="K419" s="96">
        <f t="shared" si="19"/>
        <v>0</v>
      </c>
      <c r="L419" s="96">
        <f t="shared" si="20"/>
        <v>1</v>
      </c>
      <c r="M419" s="96">
        <f t="shared" si="21"/>
        <v>0</v>
      </c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13.730845327284968</v>
      </c>
      <c r="H420">
        <v>1.932559496921088E-3</v>
      </c>
      <c r="I420">
        <v>-0.63274053116582796</v>
      </c>
      <c r="J420">
        <v>-1.2228087225914144E-3</v>
      </c>
      <c r="K420" s="96">
        <f t="shared" si="19"/>
        <v>0</v>
      </c>
      <c r="L420" s="96">
        <f t="shared" si="20"/>
        <v>1</v>
      </c>
      <c r="M420" s="96">
        <f t="shared" si="21"/>
        <v>0</v>
      </c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22.155352523655949</v>
      </c>
      <c r="H421">
        <v>4.8749248570982399E-4</v>
      </c>
      <c r="I421">
        <v>-0.47782450856820335</v>
      </c>
      <c r="J421">
        <v>-2.3293585741498854E-4</v>
      </c>
      <c r="K421" s="96">
        <f t="shared" si="19"/>
        <v>0</v>
      </c>
      <c r="L421" s="96">
        <f t="shared" si="20"/>
        <v>1</v>
      </c>
      <c r="M421" s="96">
        <f t="shared" si="21"/>
        <v>0</v>
      </c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-0.5</v>
      </c>
      <c r="H422">
        <v>4.8749248570982405E-4</v>
      </c>
      <c r="I422">
        <v>-1.0168063303862609</v>
      </c>
      <c r="J422">
        <v>-4.9568544548548286E-4</v>
      </c>
      <c r="K422" s="96">
        <f t="shared" si="19"/>
        <v>0</v>
      </c>
      <c r="L422" s="96">
        <f t="shared" si="20"/>
        <v>1</v>
      </c>
      <c r="M422" s="96">
        <f t="shared" si="21"/>
        <v>0</v>
      </c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10.922676261827975</v>
      </c>
      <c r="H423">
        <v>4.8749248570982405E-4</v>
      </c>
      <c r="I423">
        <v>-0.694829207148566</v>
      </c>
      <c r="J423">
        <v>-3.3872401733664069E-4</v>
      </c>
      <c r="K423" s="96">
        <f t="shared" si="19"/>
        <v>0</v>
      </c>
      <c r="L423" s="96">
        <f t="shared" si="20"/>
        <v>1</v>
      </c>
      <c r="M423" s="96">
        <f t="shared" si="21"/>
        <v>0</v>
      </c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19.347183458198955</v>
      </c>
      <c r="H424">
        <v>1.2297107747635201E-4</v>
      </c>
      <c r="I424">
        <v>-0.52471180221831892</v>
      </c>
      <c r="J424">
        <v>-6.4524375683345185E-5</v>
      </c>
      <c r="K424" s="96">
        <f t="shared" si="19"/>
        <v>0</v>
      </c>
      <c r="L424" s="96">
        <f t="shared" si="20"/>
        <v>1</v>
      </c>
      <c r="M424" s="96">
        <f t="shared" si="21"/>
        <v>0</v>
      </c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5.3063381309139874</v>
      </c>
      <c r="H425">
        <v>4.8749248570982405E-4</v>
      </c>
      <c r="I425">
        <v>-0.83788205209416888</v>
      </c>
      <c r="J425">
        <v>-4.0846120430703466E-4</v>
      </c>
      <c r="K425" s="96">
        <f t="shared" si="19"/>
        <v>0</v>
      </c>
      <c r="L425" s="96">
        <f t="shared" si="20"/>
        <v>1</v>
      </c>
      <c r="M425" s="96">
        <f t="shared" si="21"/>
        <v>0</v>
      </c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16.539014392741962</v>
      </c>
      <c r="H426">
        <v>4.8749248570982405E-4</v>
      </c>
      <c r="I426">
        <v>-0.57619998650173354</v>
      </c>
      <c r="J426">
        <v>-2.8089316368569715E-4</v>
      </c>
      <c r="K426" s="96">
        <f t="shared" si="19"/>
        <v>0</v>
      </c>
      <c r="L426" s="96">
        <f t="shared" si="20"/>
        <v>1</v>
      </c>
      <c r="M426" s="96">
        <f t="shared" si="21"/>
        <v>0</v>
      </c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24.963521589112943</v>
      </c>
      <c r="H427">
        <v>1.2297107747635201E-4</v>
      </c>
      <c r="I427">
        <v>-0.43512697832066027</v>
      </c>
      <c r="J427">
        <v>-5.3508033363120856E-5</v>
      </c>
      <c r="K427" s="96">
        <f t="shared" si="19"/>
        <v>0</v>
      </c>
      <c r="L427" s="96">
        <f t="shared" si="20"/>
        <v>1</v>
      </c>
      <c r="M427" s="96">
        <f t="shared" si="21"/>
        <v>0</v>
      </c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2.4981690654569939</v>
      </c>
      <c r="H428">
        <v>4.8749248570982405E-4</v>
      </c>
      <c r="I428">
        <v>-0.92010056771284432</v>
      </c>
      <c r="J428">
        <v>-4.4854211285735477E-4</v>
      </c>
      <c r="K428" s="96">
        <f t="shared" si="19"/>
        <v>0</v>
      </c>
      <c r="L428" s="96">
        <f t="shared" si="20"/>
        <v>1</v>
      </c>
      <c r="M428" s="96">
        <f t="shared" si="21"/>
        <v>0</v>
      </c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13.730845327284968</v>
      </c>
      <c r="H429">
        <v>4.8749248570982405E-4</v>
      </c>
      <c r="I429">
        <v>-0.63274053116582796</v>
      </c>
      <c r="J429">
        <v>-3.0845625434738384E-4</v>
      </c>
      <c r="K429" s="96">
        <f t="shared" si="19"/>
        <v>0</v>
      </c>
      <c r="L429" s="96">
        <f t="shared" si="20"/>
        <v>1</v>
      </c>
      <c r="M429" s="96">
        <f t="shared" si="21"/>
        <v>0</v>
      </c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22.155352523655949</v>
      </c>
      <c r="H430">
        <v>1.2297107747635201E-4</v>
      </c>
      <c r="I430">
        <v>-0.47782450856820335</v>
      </c>
      <c r="J430">
        <v>-5.8758594663240357E-5</v>
      </c>
      <c r="K430" s="96">
        <f t="shared" si="19"/>
        <v>0</v>
      </c>
      <c r="L430" s="96">
        <f t="shared" si="20"/>
        <v>1</v>
      </c>
      <c r="M430" s="96">
        <f t="shared" si="21"/>
        <v>0</v>
      </c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-0.5</v>
      </c>
      <c r="H431">
        <v>1.2297107747635201E-4</v>
      </c>
      <c r="I431">
        <v>-1.0168063303862609</v>
      </c>
      <c r="J431">
        <v>-1.2503777003237406E-4</v>
      </c>
      <c r="K431" s="96">
        <f t="shared" si="19"/>
        <v>0</v>
      </c>
      <c r="L431" s="96">
        <f t="shared" si="20"/>
        <v>1</v>
      </c>
      <c r="M431" s="96">
        <f t="shared" si="21"/>
        <v>0</v>
      </c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10.922676261827975</v>
      </c>
      <c r="H432">
        <v>1.2297107747635201E-4</v>
      </c>
      <c r="I432">
        <v>-0.694829207148566</v>
      </c>
      <c r="J432">
        <v>-8.5443896265098544E-5</v>
      </c>
      <c r="K432" s="96">
        <f t="shared" si="19"/>
        <v>0</v>
      </c>
      <c r="L432" s="96">
        <f t="shared" si="20"/>
        <v>1</v>
      </c>
      <c r="M432" s="96">
        <f t="shared" si="21"/>
        <v>0</v>
      </c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19.347183458198955</v>
      </c>
      <c r="H433">
        <v>3.1019731255295997E-5</v>
      </c>
      <c r="I433">
        <v>-0.52471180221831892</v>
      </c>
      <c r="J433">
        <v>-1.6276419091294279E-5</v>
      </c>
      <c r="K433" s="96">
        <f t="shared" si="19"/>
        <v>0</v>
      </c>
      <c r="L433" s="96">
        <f t="shared" si="20"/>
        <v>1</v>
      </c>
      <c r="M433" s="96">
        <f t="shared" si="21"/>
        <v>0</v>
      </c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5.3063381309139874</v>
      </c>
      <c r="H434">
        <v>1.932559496921088E-3</v>
      </c>
      <c r="I434">
        <v>-0.83788205209416888</v>
      </c>
      <c r="J434">
        <v>-1.6192569170743159E-3</v>
      </c>
      <c r="K434" s="96">
        <f t="shared" si="19"/>
        <v>0</v>
      </c>
      <c r="L434" s="96">
        <f t="shared" si="20"/>
        <v>1</v>
      </c>
      <c r="M434" s="96">
        <f t="shared" si="21"/>
        <v>0</v>
      </c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16.539014392741962</v>
      </c>
      <c r="H435">
        <v>1.932559496921088E-3</v>
      </c>
      <c r="I435">
        <v>-0.57619998650173354</v>
      </c>
      <c r="J435">
        <v>-1.1135407560397279E-3</v>
      </c>
      <c r="K435" s="96">
        <f t="shared" si="19"/>
        <v>0</v>
      </c>
      <c r="L435" s="96">
        <f t="shared" si="20"/>
        <v>1</v>
      </c>
      <c r="M435" s="96">
        <f t="shared" si="21"/>
        <v>0</v>
      </c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24.963521589112943</v>
      </c>
      <c r="H436">
        <v>4.8749248570982399E-4</v>
      </c>
      <c r="I436">
        <v>-0.43512697832066027</v>
      </c>
      <c r="J436">
        <v>-2.1212113226094337E-4</v>
      </c>
      <c r="K436" s="96">
        <f t="shared" si="19"/>
        <v>0</v>
      </c>
      <c r="L436" s="96">
        <f t="shared" si="20"/>
        <v>1</v>
      </c>
      <c r="M436" s="96">
        <f t="shared" si="21"/>
        <v>0</v>
      </c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2.4981690654569939</v>
      </c>
      <c r="H437">
        <v>1.932559496921088E-3</v>
      </c>
      <c r="I437">
        <v>-0.92010056771284432</v>
      </c>
      <c r="J437">
        <v>-1.778149090255942E-3</v>
      </c>
      <c r="K437" s="96">
        <f t="shared" si="19"/>
        <v>0</v>
      </c>
      <c r="L437" s="96">
        <f t="shared" si="20"/>
        <v>1</v>
      </c>
      <c r="M437" s="96">
        <f t="shared" si="21"/>
        <v>0</v>
      </c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13.730845327284968</v>
      </c>
      <c r="H438">
        <v>1.932559496921088E-3</v>
      </c>
      <c r="I438">
        <v>-0.63274053116582796</v>
      </c>
      <c r="J438">
        <v>-1.2228087225914144E-3</v>
      </c>
      <c r="K438" s="96">
        <f t="shared" si="19"/>
        <v>0</v>
      </c>
      <c r="L438" s="96">
        <f t="shared" si="20"/>
        <v>1</v>
      </c>
      <c r="M438" s="96">
        <f t="shared" si="21"/>
        <v>0</v>
      </c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22.155352523655949</v>
      </c>
      <c r="H439">
        <v>4.8749248570982399E-4</v>
      </c>
      <c r="I439">
        <v>-0.47782450856820335</v>
      </c>
      <c r="J439">
        <v>-2.3293585741498854E-4</v>
      </c>
      <c r="K439" s="96">
        <f t="shared" si="19"/>
        <v>0</v>
      </c>
      <c r="L439" s="96">
        <f t="shared" si="20"/>
        <v>1</v>
      </c>
      <c r="M439" s="96">
        <f t="shared" si="21"/>
        <v>0</v>
      </c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-0.5</v>
      </c>
      <c r="H440">
        <v>4.8749248570982405E-4</v>
      </c>
      <c r="I440">
        <v>-1.0168063303862609</v>
      </c>
      <c r="J440">
        <v>-4.9568544548548286E-4</v>
      </c>
      <c r="K440" s="96">
        <f t="shared" si="19"/>
        <v>0</v>
      </c>
      <c r="L440" s="96">
        <f t="shared" si="20"/>
        <v>1</v>
      </c>
      <c r="M440" s="96">
        <f t="shared" si="21"/>
        <v>0</v>
      </c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10.922676261827975</v>
      </c>
      <c r="H441">
        <v>4.8749248570982405E-4</v>
      </c>
      <c r="I441">
        <v>-0.694829207148566</v>
      </c>
      <c r="J441">
        <v>-3.3872401733664069E-4</v>
      </c>
      <c r="K441" s="96">
        <f t="shared" si="19"/>
        <v>0</v>
      </c>
      <c r="L441" s="96">
        <f t="shared" si="20"/>
        <v>1</v>
      </c>
      <c r="M441" s="96">
        <f t="shared" si="21"/>
        <v>0</v>
      </c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19.347183458198955</v>
      </c>
      <c r="H442">
        <v>1.2297107747635201E-4</v>
      </c>
      <c r="I442">
        <v>-0.52471180221831892</v>
      </c>
      <c r="J442">
        <v>-6.4524375683345185E-5</v>
      </c>
      <c r="K442" s="96">
        <f t="shared" si="19"/>
        <v>0</v>
      </c>
      <c r="L442" s="96">
        <f t="shared" si="20"/>
        <v>1</v>
      </c>
      <c r="M442" s="96">
        <f t="shared" si="21"/>
        <v>0</v>
      </c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5.3063381309139874</v>
      </c>
      <c r="H443">
        <v>1.932559496921088E-3</v>
      </c>
      <c r="I443">
        <v>-0.83788205209416888</v>
      </c>
      <c r="J443">
        <v>-1.6192569170743159E-3</v>
      </c>
      <c r="K443" s="96">
        <f t="shared" si="19"/>
        <v>0</v>
      </c>
      <c r="L443" s="96">
        <f t="shared" si="20"/>
        <v>1</v>
      </c>
      <c r="M443" s="96">
        <f t="shared" si="21"/>
        <v>0</v>
      </c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16.539014392741962</v>
      </c>
      <c r="H444">
        <v>1.932559496921088E-3</v>
      </c>
      <c r="I444">
        <v>-0.57619998650173354</v>
      </c>
      <c r="J444">
        <v>-1.1135407560397279E-3</v>
      </c>
      <c r="K444" s="96">
        <f t="shared" si="19"/>
        <v>0</v>
      </c>
      <c r="L444" s="96">
        <f t="shared" si="20"/>
        <v>1</v>
      </c>
      <c r="M444" s="96">
        <f t="shared" si="21"/>
        <v>0</v>
      </c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24.963521589112943</v>
      </c>
      <c r="H445">
        <v>4.8749248570982399E-4</v>
      </c>
      <c r="I445">
        <v>-0.43512697832066027</v>
      </c>
      <c r="J445">
        <v>-2.1212113226094337E-4</v>
      </c>
      <c r="K445" s="96">
        <f t="shared" si="19"/>
        <v>0</v>
      </c>
      <c r="L445" s="96">
        <f t="shared" si="20"/>
        <v>1</v>
      </c>
      <c r="M445" s="96">
        <f t="shared" si="21"/>
        <v>0</v>
      </c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2.4981690654569939</v>
      </c>
      <c r="H446">
        <v>1.932559496921088E-3</v>
      </c>
      <c r="I446">
        <v>-0.92010056771284432</v>
      </c>
      <c r="J446">
        <v>-1.778149090255942E-3</v>
      </c>
      <c r="K446" s="96">
        <f t="shared" si="19"/>
        <v>0</v>
      </c>
      <c r="L446" s="96">
        <f t="shared" si="20"/>
        <v>1</v>
      </c>
      <c r="M446" s="96">
        <f t="shared" si="21"/>
        <v>0</v>
      </c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13.730845327284968</v>
      </c>
      <c r="H447">
        <v>1.932559496921088E-3</v>
      </c>
      <c r="I447">
        <v>-0.63274053116582796</v>
      </c>
      <c r="J447">
        <v>-1.2228087225914144E-3</v>
      </c>
      <c r="K447" s="96">
        <f t="shared" si="19"/>
        <v>0</v>
      </c>
      <c r="L447" s="96">
        <f t="shared" si="20"/>
        <v>1</v>
      </c>
      <c r="M447" s="96">
        <f t="shared" si="21"/>
        <v>0</v>
      </c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22.155352523655949</v>
      </c>
      <c r="H448">
        <v>4.8749248570982399E-4</v>
      </c>
      <c r="I448">
        <v>-0.47782450856820335</v>
      </c>
      <c r="J448">
        <v>-2.3293585741498854E-4</v>
      </c>
      <c r="K448" s="96">
        <f t="shared" si="19"/>
        <v>0</v>
      </c>
      <c r="L448" s="96">
        <f t="shared" si="20"/>
        <v>1</v>
      </c>
      <c r="M448" s="96">
        <f t="shared" si="21"/>
        <v>0</v>
      </c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-0.5</v>
      </c>
      <c r="H449">
        <v>4.8749248570982405E-4</v>
      </c>
      <c r="I449">
        <v>-1.0168063303862609</v>
      </c>
      <c r="J449">
        <v>-4.9568544548548286E-4</v>
      </c>
      <c r="K449" s="96">
        <f t="shared" si="19"/>
        <v>0</v>
      </c>
      <c r="L449" s="96">
        <f t="shared" si="20"/>
        <v>1</v>
      </c>
      <c r="M449" s="96">
        <f t="shared" si="21"/>
        <v>0</v>
      </c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10.922676261827975</v>
      </c>
      <c r="H450">
        <v>4.8749248570982405E-4</v>
      </c>
      <c r="I450">
        <v>-0.694829207148566</v>
      </c>
      <c r="J450">
        <v>-3.3872401733664069E-4</v>
      </c>
      <c r="K450" s="96">
        <f t="shared" si="19"/>
        <v>0</v>
      </c>
      <c r="L450" s="96">
        <f t="shared" si="20"/>
        <v>1</v>
      </c>
      <c r="M450" s="96">
        <f t="shared" si="21"/>
        <v>0</v>
      </c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19.347183458198955</v>
      </c>
      <c r="H451">
        <v>1.2297107747635201E-4</v>
      </c>
      <c r="I451">
        <v>-0.52471180221831892</v>
      </c>
      <c r="J451">
        <v>-6.4524375683345185E-5</v>
      </c>
      <c r="K451" s="96">
        <f t="shared" ref="K451:K514" si="22">IF(A451=3,1,0)</f>
        <v>0</v>
      </c>
      <c r="L451" s="96">
        <f t="shared" ref="L451:L514" si="23">IF(A451=2,1,0)</f>
        <v>1</v>
      </c>
      <c r="M451" s="96">
        <f t="shared" ref="M451:M514" si="24">IF(A451=1,1,0)</f>
        <v>0</v>
      </c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5.3063381309139874</v>
      </c>
      <c r="H452">
        <v>4.8749248570982405E-4</v>
      </c>
      <c r="I452">
        <v>-0.83788205209416888</v>
      </c>
      <c r="J452">
        <v>-4.0846120430703466E-4</v>
      </c>
      <c r="K452" s="96">
        <f t="shared" si="22"/>
        <v>0</v>
      </c>
      <c r="L452" s="96">
        <f t="shared" si="23"/>
        <v>1</v>
      </c>
      <c r="M452" s="96">
        <f t="shared" si="24"/>
        <v>0</v>
      </c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16.539014392741962</v>
      </c>
      <c r="H453">
        <v>4.8749248570982405E-4</v>
      </c>
      <c r="I453">
        <v>-0.57619998650173354</v>
      </c>
      <c r="J453">
        <v>-2.8089316368569715E-4</v>
      </c>
      <c r="K453" s="96">
        <f t="shared" si="22"/>
        <v>0</v>
      </c>
      <c r="L453" s="96">
        <f t="shared" si="23"/>
        <v>1</v>
      </c>
      <c r="M453" s="96">
        <f t="shared" si="24"/>
        <v>0</v>
      </c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24.963521589112943</v>
      </c>
      <c r="H454">
        <v>1.2297107747635201E-4</v>
      </c>
      <c r="I454">
        <v>-0.43512697832066027</v>
      </c>
      <c r="J454">
        <v>-5.3508033363120856E-5</v>
      </c>
      <c r="K454" s="96">
        <f t="shared" si="22"/>
        <v>0</v>
      </c>
      <c r="L454" s="96">
        <f t="shared" si="23"/>
        <v>1</v>
      </c>
      <c r="M454" s="96">
        <f t="shared" si="24"/>
        <v>0</v>
      </c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2.4981690654569939</v>
      </c>
      <c r="H455">
        <v>4.8749248570982405E-4</v>
      </c>
      <c r="I455">
        <v>-0.92010056771284432</v>
      </c>
      <c r="J455">
        <v>-4.4854211285735477E-4</v>
      </c>
      <c r="K455" s="96">
        <f t="shared" si="22"/>
        <v>0</v>
      </c>
      <c r="L455" s="96">
        <f t="shared" si="23"/>
        <v>1</v>
      </c>
      <c r="M455" s="96">
        <f t="shared" si="24"/>
        <v>0</v>
      </c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13.730845327284968</v>
      </c>
      <c r="H456">
        <v>4.8749248570982405E-4</v>
      </c>
      <c r="I456">
        <v>-0.63274053116582796</v>
      </c>
      <c r="J456">
        <v>-3.0845625434738384E-4</v>
      </c>
      <c r="K456" s="96">
        <f t="shared" si="22"/>
        <v>0</v>
      </c>
      <c r="L456" s="96">
        <f t="shared" si="23"/>
        <v>1</v>
      </c>
      <c r="M456" s="96">
        <f t="shared" si="24"/>
        <v>0</v>
      </c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22.155352523655949</v>
      </c>
      <c r="H457">
        <v>1.2297107747635201E-4</v>
      </c>
      <c r="I457">
        <v>-0.47782450856820335</v>
      </c>
      <c r="J457">
        <v>-5.8758594663240357E-5</v>
      </c>
      <c r="K457" s="96">
        <f t="shared" si="22"/>
        <v>0</v>
      </c>
      <c r="L457" s="96">
        <f t="shared" si="23"/>
        <v>1</v>
      </c>
      <c r="M457" s="96">
        <f t="shared" si="24"/>
        <v>0</v>
      </c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-0.5</v>
      </c>
      <c r="H458">
        <v>1.2297107747635201E-4</v>
      </c>
      <c r="I458">
        <v>-1.0168063303862609</v>
      </c>
      <c r="J458">
        <v>-1.2503777003237406E-4</v>
      </c>
      <c r="K458" s="96">
        <f t="shared" si="22"/>
        <v>0</v>
      </c>
      <c r="L458" s="96">
        <f t="shared" si="23"/>
        <v>1</v>
      </c>
      <c r="M458" s="96">
        <f t="shared" si="24"/>
        <v>0</v>
      </c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10.922676261827975</v>
      </c>
      <c r="H459">
        <v>1.2297107747635201E-4</v>
      </c>
      <c r="I459">
        <v>-0.694829207148566</v>
      </c>
      <c r="J459">
        <v>-8.5443896265098544E-5</v>
      </c>
      <c r="K459" s="96">
        <f t="shared" si="22"/>
        <v>0</v>
      </c>
      <c r="L459" s="96">
        <f t="shared" si="23"/>
        <v>1</v>
      </c>
      <c r="M459" s="96">
        <f t="shared" si="24"/>
        <v>0</v>
      </c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19.347183458198955</v>
      </c>
      <c r="H460">
        <v>3.1019731255295997E-5</v>
      </c>
      <c r="I460">
        <v>-0.52471180221831892</v>
      </c>
      <c r="J460">
        <v>-1.6276419091294279E-5</v>
      </c>
      <c r="K460" s="96">
        <f t="shared" si="22"/>
        <v>0</v>
      </c>
      <c r="L460" s="96">
        <f t="shared" si="23"/>
        <v>1</v>
      </c>
      <c r="M460" s="96">
        <f t="shared" si="24"/>
        <v>0</v>
      </c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5.3063381309139874</v>
      </c>
      <c r="H461">
        <v>4.8749248570982405E-4</v>
      </c>
      <c r="I461">
        <v>-0.83788205209416888</v>
      </c>
      <c r="J461">
        <v>-4.0846120430703466E-4</v>
      </c>
      <c r="K461" s="96">
        <f t="shared" si="22"/>
        <v>0</v>
      </c>
      <c r="L461" s="96">
        <f t="shared" si="23"/>
        <v>1</v>
      </c>
      <c r="M461" s="96">
        <f t="shared" si="24"/>
        <v>0</v>
      </c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16.539014392741962</v>
      </c>
      <c r="H462">
        <v>4.8749248570982405E-4</v>
      </c>
      <c r="I462">
        <v>-0.57619998650173354</v>
      </c>
      <c r="J462">
        <v>-2.8089316368569715E-4</v>
      </c>
      <c r="K462" s="96">
        <f t="shared" si="22"/>
        <v>0</v>
      </c>
      <c r="L462" s="96">
        <f t="shared" si="23"/>
        <v>1</v>
      </c>
      <c r="M462" s="96">
        <f t="shared" si="24"/>
        <v>0</v>
      </c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24.963521589112943</v>
      </c>
      <c r="H463">
        <v>1.2297107747635201E-4</v>
      </c>
      <c r="I463">
        <v>-0.43512697832066027</v>
      </c>
      <c r="J463">
        <v>-5.3508033363120856E-5</v>
      </c>
      <c r="K463" s="96">
        <f t="shared" si="22"/>
        <v>0</v>
      </c>
      <c r="L463" s="96">
        <f t="shared" si="23"/>
        <v>1</v>
      </c>
      <c r="M463" s="96">
        <f t="shared" si="24"/>
        <v>0</v>
      </c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2.4981690654569939</v>
      </c>
      <c r="H464">
        <v>4.8749248570982405E-4</v>
      </c>
      <c r="I464">
        <v>-0.92010056771284432</v>
      </c>
      <c r="J464">
        <v>-4.4854211285735477E-4</v>
      </c>
      <c r="K464" s="96">
        <f t="shared" si="22"/>
        <v>0</v>
      </c>
      <c r="L464" s="96">
        <f t="shared" si="23"/>
        <v>1</v>
      </c>
      <c r="M464" s="96">
        <f t="shared" si="24"/>
        <v>0</v>
      </c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13.730845327284968</v>
      </c>
      <c r="H465">
        <v>4.8749248570982405E-4</v>
      </c>
      <c r="I465">
        <v>-0.63274053116582796</v>
      </c>
      <c r="J465">
        <v>-3.0845625434738384E-4</v>
      </c>
      <c r="K465" s="96">
        <f t="shared" si="22"/>
        <v>0</v>
      </c>
      <c r="L465" s="96">
        <f t="shared" si="23"/>
        <v>1</v>
      </c>
      <c r="M465" s="96">
        <f t="shared" si="24"/>
        <v>0</v>
      </c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22.155352523655949</v>
      </c>
      <c r="H466">
        <v>1.2297107747635201E-4</v>
      </c>
      <c r="I466">
        <v>-0.47782450856820335</v>
      </c>
      <c r="J466">
        <v>-5.8758594663240357E-5</v>
      </c>
      <c r="K466" s="96">
        <f t="shared" si="22"/>
        <v>0</v>
      </c>
      <c r="L466" s="96">
        <f t="shared" si="23"/>
        <v>1</v>
      </c>
      <c r="M466" s="96">
        <f t="shared" si="24"/>
        <v>0</v>
      </c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-0.5</v>
      </c>
      <c r="H467">
        <v>1.2297107747635201E-4</v>
      </c>
      <c r="I467">
        <v>-1.0168063303862609</v>
      </c>
      <c r="J467">
        <v>-1.2503777003237406E-4</v>
      </c>
      <c r="K467" s="96">
        <f t="shared" si="22"/>
        <v>0</v>
      </c>
      <c r="L467" s="96">
        <f t="shared" si="23"/>
        <v>1</v>
      </c>
      <c r="M467" s="96">
        <f t="shared" si="24"/>
        <v>0</v>
      </c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10.922676261827975</v>
      </c>
      <c r="H468">
        <v>1.2297107747635201E-4</v>
      </c>
      <c r="I468">
        <v>-0.694829207148566</v>
      </c>
      <c r="J468">
        <v>-8.5443896265098544E-5</v>
      </c>
      <c r="K468" s="96">
        <f t="shared" si="22"/>
        <v>0</v>
      </c>
      <c r="L468" s="96">
        <f t="shared" si="23"/>
        <v>1</v>
      </c>
      <c r="M468" s="96">
        <f t="shared" si="24"/>
        <v>0</v>
      </c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19.347183458198955</v>
      </c>
      <c r="H469">
        <v>3.1019731255295997E-5</v>
      </c>
      <c r="I469">
        <v>-0.52471180221831892</v>
      </c>
      <c r="J469">
        <v>-1.6276419091294279E-5</v>
      </c>
      <c r="K469" s="96">
        <f t="shared" si="22"/>
        <v>0</v>
      </c>
      <c r="L469" s="96">
        <f t="shared" si="23"/>
        <v>1</v>
      </c>
      <c r="M469" s="96">
        <f t="shared" si="24"/>
        <v>0</v>
      </c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5.3063381309139874</v>
      </c>
      <c r="H470">
        <v>4.8749248570982405E-4</v>
      </c>
      <c r="I470">
        <v>-0.83788205209416888</v>
      </c>
      <c r="J470">
        <v>-4.0846120430703466E-4</v>
      </c>
      <c r="K470" s="96">
        <f t="shared" si="22"/>
        <v>0</v>
      </c>
      <c r="L470" s="96">
        <f t="shared" si="23"/>
        <v>1</v>
      </c>
      <c r="M470" s="96">
        <f t="shared" si="24"/>
        <v>0</v>
      </c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16.539014392741962</v>
      </c>
      <c r="H471">
        <v>4.8749248570982405E-4</v>
      </c>
      <c r="I471">
        <v>-0.57619998650173354</v>
      </c>
      <c r="J471">
        <v>-2.8089316368569715E-4</v>
      </c>
      <c r="K471" s="96">
        <f t="shared" si="22"/>
        <v>0</v>
      </c>
      <c r="L471" s="96">
        <f t="shared" si="23"/>
        <v>1</v>
      </c>
      <c r="M471" s="96">
        <f t="shared" si="24"/>
        <v>0</v>
      </c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24.963521589112943</v>
      </c>
      <c r="H472">
        <v>1.2297107747635201E-4</v>
      </c>
      <c r="I472">
        <v>-0.43512697832066027</v>
      </c>
      <c r="J472">
        <v>-5.3508033363120856E-5</v>
      </c>
      <c r="K472" s="96">
        <f t="shared" si="22"/>
        <v>0</v>
      </c>
      <c r="L472" s="96">
        <f t="shared" si="23"/>
        <v>1</v>
      </c>
      <c r="M472" s="96">
        <f t="shared" si="24"/>
        <v>0</v>
      </c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2.4981690654569939</v>
      </c>
      <c r="H473">
        <v>4.8749248570982405E-4</v>
      </c>
      <c r="I473">
        <v>-0.92010056771284432</v>
      </c>
      <c r="J473">
        <v>-4.4854211285735477E-4</v>
      </c>
      <c r="K473" s="96">
        <f t="shared" si="22"/>
        <v>0</v>
      </c>
      <c r="L473" s="96">
        <f t="shared" si="23"/>
        <v>1</v>
      </c>
      <c r="M473" s="96">
        <f t="shared" si="24"/>
        <v>0</v>
      </c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13.730845327284968</v>
      </c>
      <c r="H474">
        <v>4.8749248570982405E-4</v>
      </c>
      <c r="I474">
        <v>-0.63274053116582796</v>
      </c>
      <c r="J474">
        <v>-3.0845625434738384E-4</v>
      </c>
      <c r="K474" s="96">
        <f t="shared" si="22"/>
        <v>0</v>
      </c>
      <c r="L474" s="96">
        <f t="shared" si="23"/>
        <v>1</v>
      </c>
      <c r="M474" s="96">
        <f t="shared" si="24"/>
        <v>0</v>
      </c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22.155352523655949</v>
      </c>
      <c r="H475">
        <v>1.2297107747635201E-4</v>
      </c>
      <c r="I475">
        <v>-0.47782450856820335</v>
      </c>
      <c r="J475">
        <v>-5.8758594663240357E-5</v>
      </c>
      <c r="K475" s="96">
        <f t="shared" si="22"/>
        <v>0</v>
      </c>
      <c r="L475" s="96">
        <f t="shared" si="23"/>
        <v>1</v>
      </c>
      <c r="M475" s="96">
        <f t="shared" si="24"/>
        <v>0</v>
      </c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-0.5</v>
      </c>
      <c r="H476">
        <v>1.2297107747635201E-4</v>
      </c>
      <c r="I476">
        <v>-1.0168063303862609</v>
      </c>
      <c r="J476">
        <v>-1.2503777003237406E-4</v>
      </c>
      <c r="K476" s="96">
        <f t="shared" si="22"/>
        <v>0</v>
      </c>
      <c r="L476" s="96">
        <f t="shared" si="23"/>
        <v>1</v>
      </c>
      <c r="M476" s="96">
        <f t="shared" si="24"/>
        <v>0</v>
      </c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10.922676261827975</v>
      </c>
      <c r="H477">
        <v>1.2297107747635201E-4</v>
      </c>
      <c r="I477">
        <v>-0.694829207148566</v>
      </c>
      <c r="J477">
        <v>-8.5443896265098544E-5</v>
      </c>
      <c r="K477" s="96">
        <f t="shared" si="22"/>
        <v>0</v>
      </c>
      <c r="L477" s="96">
        <f t="shared" si="23"/>
        <v>1</v>
      </c>
      <c r="M477" s="96">
        <f t="shared" si="24"/>
        <v>0</v>
      </c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19.347183458198955</v>
      </c>
      <c r="H478">
        <v>3.1019731255295997E-5</v>
      </c>
      <c r="I478">
        <v>-0.52471180221831892</v>
      </c>
      <c r="J478">
        <v>-1.6276419091294279E-5</v>
      </c>
      <c r="K478" s="96">
        <f t="shared" si="22"/>
        <v>0</v>
      </c>
      <c r="L478" s="96">
        <f t="shared" si="23"/>
        <v>1</v>
      </c>
      <c r="M478" s="96">
        <f t="shared" si="24"/>
        <v>0</v>
      </c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5.3063381309139874</v>
      </c>
      <c r="H479">
        <v>1.2297107747635201E-4</v>
      </c>
      <c r="I479">
        <v>-0.83788205209416888</v>
      </c>
      <c r="J479">
        <v>-1.0303525874411685E-4</v>
      </c>
      <c r="K479" s="96">
        <f t="shared" si="22"/>
        <v>0</v>
      </c>
      <c r="L479" s="96">
        <f t="shared" si="23"/>
        <v>1</v>
      </c>
      <c r="M479" s="96">
        <f t="shared" si="24"/>
        <v>0</v>
      </c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16.539014392741962</v>
      </c>
      <c r="H480">
        <v>1.2297107747635201E-4</v>
      </c>
      <c r="I480">
        <v>-0.57619998650173354</v>
      </c>
      <c r="J480">
        <v>-7.0855933181977653E-5</v>
      </c>
      <c r="K480" s="96">
        <f t="shared" si="22"/>
        <v>0</v>
      </c>
      <c r="L480" s="96">
        <f t="shared" si="23"/>
        <v>1</v>
      </c>
      <c r="M480" s="96">
        <f t="shared" si="24"/>
        <v>0</v>
      </c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24.963521589112943</v>
      </c>
      <c r="H481">
        <v>3.1019731255295997E-5</v>
      </c>
      <c r="I481">
        <v>-0.43512697832066027</v>
      </c>
      <c r="J481">
        <v>-1.3497521929435888E-5</v>
      </c>
      <c r="K481" s="96">
        <f t="shared" si="22"/>
        <v>0</v>
      </c>
      <c r="L481" s="96">
        <f t="shared" si="23"/>
        <v>1</v>
      </c>
      <c r="M481" s="96">
        <f t="shared" si="24"/>
        <v>0</v>
      </c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2.4981690654569939</v>
      </c>
      <c r="H482">
        <v>1.2297107747635201E-4</v>
      </c>
      <c r="I482">
        <v>-0.92010056771284432</v>
      </c>
      <c r="J482">
        <v>-1.1314575819825165E-4</v>
      </c>
      <c r="K482" s="96">
        <f t="shared" si="22"/>
        <v>0</v>
      </c>
      <c r="L482" s="96">
        <f t="shared" si="23"/>
        <v>1</v>
      </c>
      <c r="M482" s="96">
        <f t="shared" si="24"/>
        <v>0</v>
      </c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13.730845327284968</v>
      </c>
      <c r="H483">
        <v>1.2297107747635201E-4</v>
      </c>
      <c r="I483">
        <v>-0.63274053116582796</v>
      </c>
      <c r="J483">
        <v>-7.7808784880421152E-5</v>
      </c>
      <c r="K483" s="96">
        <f t="shared" si="22"/>
        <v>0</v>
      </c>
      <c r="L483" s="96">
        <f t="shared" si="23"/>
        <v>1</v>
      </c>
      <c r="M483" s="96">
        <f t="shared" si="24"/>
        <v>0</v>
      </c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22.155352523655949</v>
      </c>
      <c r="H484">
        <v>3.1019731255295997E-5</v>
      </c>
      <c r="I484">
        <v>-0.47782450856820335</v>
      </c>
      <c r="J484">
        <v>-1.4821987842979546E-5</v>
      </c>
      <c r="K484" s="96">
        <f t="shared" si="22"/>
        <v>0</v>
      </c>
      <c r="L484" s="96">
        <f t="shared" si="23"/>
        <v>1</v>
      </c>
      <c r="M484" s="96">
        <f t="shared" si="24"/>
        <v>0</v>
      </c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-0.5</v>
      </c>
      <c r="H485">
        <v>3.1019731255296003E-5</v>
      </c>
      <c r="I485">
        <v>-1.0168063303862609</v>
      </c>
      <c r="J485">
        <v>-3.1541059107265532E-5</v>
      </c>
      <c r="K485" s="96">
        <f t="shared" si="22"/>
        <v>0</v>
      </c>
      <c r="L485" s="96">
        <f t="shared" si="23"/>
        <v>1</v>
      </c>
      <c r="M485" s="96">
        <f t="shared" si="24"/>
        <v>0</v>
      </c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10.922676261827975</v>
      </c>
      <c r="H486">
        <v>3.1019731255296003E-5</v>
      </c>
      <c r="I486">
        <v>-0.694829207148566</v>
      </c>
      <c r="J486">
        <v>-2.1553415274078913E-5</v>
      </c>
      <c r="K486" s="96">
        <f t="shared" si="22"/>
        <v>0</v>
      </c>
      <c r="L486" s="96">
        <f t="shared" si="23"/>
        <v>1</v>
      </c>
      <c r="M486" s="96">
        <f t="shared" si="24"/>
        <v>0</v>
      </c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19.347183458198955</v>
      </c>
      <c r="H487">
        <v>7.8247970734080004E-6</v>
      </c>
      <c r="I487">
        <v>-0.52471180221831892</v>
      </c>
      <c r="J487">
        <v>-4.1057633743805398E-6</v>
      </c>
      <c r="K487" s="96">
        <f t="shared" si="22"/>
        <v>0</v>
      </c>
      <c r="L487" s="96">
        <f t="shared" si="23"/>
        <v>1</v>
      </c>
      <c r="M487" s="96">
        <f t="shared" si="24"/>
        <v>0</v>
      </c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5.3063381309139874</v>
      </c>
      <c r="H488">
        <v>1.932559496921088E-3</v>
      </c>
      <c r="I488">
        <v>-0.83788205209416888</v>
      </c>
      <c r="J488">
        <v>-1.6192569170743159E-3</v>
      </c>
      <c r="K488" s="96">
        <f t="shared" si="22"/>
        <v>1</v>
      </c>
      <c r="L488" s="96">
        <f t="shared" si="23"/>
        <v>0</v>
      </c>
      <c r="M488" s="96">
        <f t="shared" si="24"/>
        <v>0</v>
      </c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16.539014392741962</v>
      </c>
      <c r="H489">
        <v>1.932559496921088E-3</v>
      </c>
      <c r="I489">
        <v>-0.57619998650173354</v>
      </c>
      <c r="J489">
        <v>-1.1135407560397279E-3</v>
      </c>
      <c r="K489" s="96">
        <f t="shared" si="22"/>
        <v>1</v>
      </c>
      <c r="L489" s="96">
        <f t="shared" si="23"/>
        <v>0</v>
      </c>
      <c r="M489" s="96">
        <f t="shared" si="24"/>
        <v>0</v>
      </c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24.963521589112943</v>
      </c>
      <c r="H490">
        <v>4.8749248570982399E-4</v>
      </c>
      <c r="I490">
        <v>-0.43512697832066027</v>
      </c>
      <c r="J490">
        <v>-2.1212113226094337E-4</v>
      </c>
      <c r="K490" s="96">
        <f t="shared" si="22"/>
        <v>1</v>
      </c>
      <c r="L490" s="96">
        <f t="shared" si="23"/>
        <v>0</v>
      </c>
      <c r="M490" s="96">
        <f t="shared" si="24"/>
        <v>0</v>
      </c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2.4981690654569939</v>
      </c>
      <c r="H491">
        <v>1.932559496921088E-3</v>
      </c>
      <c r="I491">
        <v>-0.92010056771284432</v>
      </c>
      <c r="J491">
        <v>-1.778149090255942E-3</v>
      </c>
      <c r="K491" s="96">
        <f t="shared" si="22"/>
        <v>1</v>
      </c>
      <c r="L491" s="96">
        <f t="shared" si="23"/>
        <v>0</v>
      </c>
      <c r="M491" s="96">
        <f t="shared" si="24"/>
        <v>0</v>
      </c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13.730845327284968</v>
      </c>
      <c r="H492">
        <v>1.932559496921088E-3</v>
      </c>
      <c r="I492">
        <v>-0.63274053116582796</v>
      </c>
      <c r="J492">
        <v>-1.2228087225914144E-3</v>
      </c>
      <c r="K492" s="96">
        <f t="shared" si="22"/>
        <v>1</v>
      </c>
      <c r="L492" s="96">
        <f t="shared" si="23"/>
        <v>0</v>
      </c>
      <c r="M492" s="96">
        <f t="shared" si="24"/>
        <v>0</v>
      </c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22.155352523655949</v>
      </c>
      <c r="H493">
        <v>4.8749248570982399E-4</v>
      </c>
      <c r="I493">
        <v>-0.47782450856820335</v>
      </c>
      <c r="J493">
        <v>-2.3293585741498854E-4</v>
      </c>
      <c r="K493" s="96">
        <f t="shared" si="22"/>
        <v>1</v>
      </c>
      <c r="L493" s="96">
        <f t="shared" si="23"/>
        <v>0</v>
      </c>
      <c r="M493" s="96">
        <f t="shared" si="24"/>
        <v>0</v>
      </c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-0.5</v>
      </c>
      <c r="H494">
        <v>4.8749248570982405E-4</v>
      </c>
      <c r="I494">
        <v>-1.0168063303862609</v>
      </c>
      <c r="J494">
        <v>-4.9568544548548286E-4</v>
      </c>
      <c r="K494" s="96">
        <f t="shared" si="22"/>
        <v>1</v>
      </c>
      <c r="L494" s="96">
        <f t="shared" si="23"/>
        <v>0</v>
      </c>
      <c r="M494" s="96">
        <f t="shared" si="24"/>
        <v>0</v>
      </c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10.922676261827975</v>
      </c>
      <c r="H495">
        <v>4.8749248570982405E-4</v>
      </c>
      <c r="I495">
        <v>-0.694829207148566</v>
      </c>
      <c r="J495">
        <v>-3.3872401733664069E-4</v>
      </c>
      <c r="K495" s="96">
        <f t="shared" si="22"/>
        <v>1</v>
      </c>
      <c r="L495" s="96">
        <f t="shared" si="23"/>
        <v>0</v>
      </c>
      <c r="M495" s="96">
        <f t="shared" si="24"/>
        <v>0</v>
      </c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19.347183458198955</v>
      </c>
      <c r="H496">
        <v>1.2297107747635201E-4</v>
      </c>
      <c r="I496">
        <v>-0.52471180221831892</v>
      </c>
      <c r="J496">
        <v>-6.4524375683345185E-5</v>
      </c>
      <c r="K496" s="96">
        <f t="shared" si="22"/>
        <v>1</v>
      </c>
      <c r="L496" s="96">
        <f t="shared" si="23"/>
        <v>0</v>
      </c>
      <c r="M496" s="96">
        <f t="shared" si="24"/>
        <v>0</v>
      </c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5.3063381309139874</v>
      </c>
      <c r="H497">
        <v>1.932559496921088E-3</v>
      </c>
      <c r="I497">
        <v>-0.83788205209416888</v>
      </c>
      <c r="J497">
        <v>-1.6192569170743159E-3</v>
      </c>
      <c r="K497" s="96">
        <f t="shared" si="22"/>
        <v>1</v>
      </c>
      <c r="L497" s="96">
        <f t="shared" si="23"/>
        <v>0</v>
      </c>
      <c r="M497" s="96">
        <f t="shared" si="24"/>
        <v>0</v>
      </c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16.539014392741962</v>
      </c>
      <c r="H498">
        <v>1.932559496921088E-3</v>
      </c>
      <c r="I498">
        <v>-0.57619998650173354</v>
      </c>
      <c r="J498">
        <v>-1.1135407560397279E-3</v>
      </c>
      <c r="K498" s="96">
        <f t="shared" si="22"/>
        <v>1</v>
      </c>
      <c r="L498" s="96">
        <f t="shared" si="23"/>
        <v>0</v>
      </c>
      <c r="M498" s="96">
        <f t="shared" si="24"/>
        <v>0</v>
      </c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24.963521589112943</v>
      </c>
      <c r="H499">
        <v>4.8749248570982399E-4</v>
      </c>
      <c r="I499">
        <v>-0.43512697832066027</v>
      </c>
      <c r="J499">
        <v>-2.1212113226094337E-4</v>
      </c>
      <c r="K499" s="96">
        <f t="shared" si="22"/>
        <v>1</v>
      </c>
      <c r="L499" s="96">
        <f t="shared" si="23"/>
        <v>0</v>
      </c>
      <c r="M499" s="96">
        <f t="shared" si="24"/>
        <v>0</v>
      </c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2.4981690654569939</v>
      </c>
      <c r="H500">
        <v>1.932559496921088E-3</v>
      </c>
      <c r="I500">
        <v>-0.92010056771284432</v>
      </c>
      <c r="J500">
        <v>-1.778149090255942E-3</v>
      </c>
      <c r="K500" s="96">
        <f t="shared" si="22"/>
        <v>1</v>
      </c>
      <c r="L500" s="96">
        <f t="shared" si="23"/>
        <v>0</v>
      </c>
      <c r="M500" s="96">
        <f t="shared" si="24"/>
        <v>0</v>
      </c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13.730845327284968</v>
      </c>
      <c r="H501">
        <v>1.932559496921088E-3</v>
      </c>
      <c r="I501">
        <v>-0.63274053116582796</v>
      </c>
      <c r="J501">
        <v>-1.2228087225914144E-3</v>
      </c>
      <c r="K501" s="96">
        <f t="shared" si="22"/>
        <v>1</v>
      </c>
      <c r="L501" s="96">
        <f t="shared" si="23"/>
        <v>0</v>
      </c>
      <c r="M501" s="96">
        <f t="shared" si="24"/>
        <v>0</v>
      </c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22.155352523655949</v>
      </c>
      <c r="H502">
        <v>4.8749248570982399E-4</v>
      </c>
      <c r="I502">
        <v>-0.47782450856820335</v>
      </c>
      <c r="J502">
        <v>-2.3293585741498854E-4</v>
      </c>
      <c r="K502" s="96">
        <f t="shared" si="22"/>
        <v>1</v>
      </c>
      <c r="L502" s="96">
        <f t="shared" si="23"/>
        <v>0</v>
      </c>
      <c r="M502" s="96">
        <f t="shared" si="24"/>
        <v>0</v>
      </c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-0.5</v>
      </c>
      <c r="H503">
        <v>4.8749248570982405E-4</v>
      </c>
      <c r="I503">
        <v>-1.0168063303862609</v>
      </c>
      <c r="J503">
        <v>-4.9568544548548286E-4</v>
      </c>
      <c r="K503" s="96">
        <f t="shared" si="22"/>
        <v>1</v>
      </c>
      <c r="L503" s="96">
        <f t="shared" si="23"/>
        <v>0</v>
      </c>
      <c r="M503" s="96">
        <f t="shared" si="24"/>
        <v>0</v>
      </c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10.922676261827975</v>
      </c>
      <c r="H504">
        <v>4.8749248570982405E-4</v>
      </c>
      <c r="I504">
        <v>-0.694829207148566</v>
      </c>
      <c r="J504">
        <v>-3.3872401733664069E-4</v>
      </c>
      <c r="K504" s="96">
        <f t="shared" si="22"/>
        <v>1</v>
      </c>
      <c r="L504" s="96">
        <f t="shared" si="23"/>
        <v>0</v>
      </c>
      <c r="M504" s="96">
        <f t="shared" si="24"/>
        <v>0</v>
      </c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19.347183458198955</v>
      </c>
      <c r="H505">
        <v>1.2297107747635201E-4</v>
      </c>
      <c r="I505">
        <v>-0.52471180221831892</v>
      </c>
      <c r="J505">
        <v>-6.4524375683345185E-5</v>
      </c>
      <c r="K505" s="96">
        <f t="shared" si="22"/>
        <v>1</v>
      </c>
      <c r="L505" s="96">
        <f t="shared" si="23"/>
        <v>0</v>
      </c>
      <c r="M505" s="96">
        <f t="shared" si="24"/>
        <v>0</v>
      </c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5.3063381309139874</v>
      </c>
      <c r="H506">
        <v>4.8749248570982405E-4</v>
      </c>
      <c r="I506">
        <v>-0.83788205209416888</v>
      </c>
      <c r="J506">
        <v>-4.0846120430703466E-4</v>
      </c>
      <c r="K506" s="96">
        <f t="shared" si="22"/>
        <v>1</v>
      </c>
      <c r="L506" s="96">
        <f t="shared" si="23"/>
        <v>0</v>
      </c>
      <c r="M506" s="96">
        <f t="shared" si="24"/>
        <v>0</v>
      </c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16.539014392741962</v>
      </c>
      <c r="H507">
        <v>4.8749248570982405E-4</v>
      </c>
      <c r="I507">
        <v>-0.57619998650173354</v>
      </c>
      <c r="J507">
        <v>-2.8089316368569715E-4</v>
      </c>
      <c r="K507" s="96">
        <f t="shared" si="22"/>
        <v>1</v>
      </c>
      <c r="L507" s="96">
        <f t="shared" si="23"/>
        <v>0</v>
      </c>
      <c r="M507" s="96">
        <f t="shared" si="24"/>
        <v>0</v>
      </c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24.963521589112943</v>
      </c>
      <c r="H508">
        <v>1.2297107747635201E-4</v>
      </c>
      <c r="I508">
        <v>-0.43512697832066027</v>
      </c>
      <c r="J508">
        <v>-5.3508033363120856E-5</v>
      </c>
      <c r="K508" s="96">
        <f t="shared" si="22"/>
        <v>1</v>
      </c>
      <c r="L508" s="96">
        <f t="shared" si="23"/>
        <v>0</v>
      </c>
      <c r="M508" s="96">
        <f t="shared" si="24"/>
        <v>0</v>
      </c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2.4981690654569939</v>
      </c>
      <c r="H509">
        <v>4.8749248570982405E-4</v>
      </c>
      <c r="I509">
        <v>-0.92010056771284432</v>
      </c>
      <c r="J509">
        <v>-4.4854211285735477E-4</v>
      </c>
      <c r="K509" s="96">
        <f t="shared" si="22"/>
        <v>1</v>
      </c>
      <c r="L509" s="96">
        <f t="shared" si="23"/>
        <v>0</v>
      </c>
      <c r="M509" s="96">
        <f t="shared" si="24"/>
        <v>0</v>
      </c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13.730845327284968</v>
      </c>
      <c r="H510">
        <v>4.8749248570982405E-4</v>
      </c>
      <c r="I510">
        <v>-0.63274053116582796</v>
      </c>
      <c r="J510">
        <v>-3.0845625434738384E-4</v>
      </c>
      <c r="K510" s="96">
        <f t="shared" si="22"/>
        <v>1</v>
      </c>
      <c r="L510" s="96">
        <f t="shared" si="23"/>
        <v>0</v>
      </c>
      <c r="M510" s="96">
        <f t="shared" si="24"/>
        <v>0</v>
      </c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22.155352523655949</v>
      </c>
      <c r="H511">
        <v>1.2297107747635201E-4</v>
      </c>
      <c r="I511">
        <v>-0.47782450856820335</v>
      </c>
      <c r="J511">
        <v>-5.8758594663240357E-5</v>
      </c>
      <c r="K511" s="96">
        <f t="shared" si="22"/>
        <v>1</v>
      </c>
      <c r="L511" s="96">
        <f t="shared" si="23"/>
        <v>0</v>
      </c>
      <c r="M511" s="96">
        <f t="shared" si="24"/>
        <v>0</v>
      </c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-0.5</v>
      </c>
      <c r="H512">
        <v>1.2297107747635201E-4</v>
      </c>
      <c r="I512">
        <v>-1.0168063303862609</v>
      </c>
      <c r="J512">
        <v>-1.2503777003237406E-4</v>
      </c>
      <c r="K512" s="96">
        <f t="shared" si="22"/>
        <v>1</v>
      </c>
      <c r="L512" s="96">
        <f t="shared" si="23"/>
        <v>0</v>
      </c>
      <c r="M512" s="96">
        <f t="shared" si="24"/>
        <v>0</v>
      </c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10.922676261827975</v>
      </c>
      <c r="H513">
        <v>1.2297107747635201E-4</v>
      </c>
      <c r="I513">
        <v>-0.694829207148566</v>
      </c>
      <c r="J513">
        <v>-8.5443896265098544E-5</v>
      </c>
      <c r="K513" s="96">
        <f t="shared" si="22"/>
        <v>1</v>
      </c>
      <c r="L513" s="96">
        <f t="shared" si="23"/>
        <v>0</v>
      </c>
      <c r="M513" s="96">
        <f t="shared" si="24"/>
        <v>0</v>
      </c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19.347183458198955</v>
      </c>
      <c r="H514">
        <v>3.1019731255295997E-5</v>
      </c>
      <c r="I514">
        <v>-0.52471180221831892</v>
      </c>
      <c r="J514">
        <v>-1.6276419091294279E-5</v>
      </c>
      <c r="K514" s="96">
        <f t="shared" si="22"/>
        <v>1</v>
      </c>
      <c r="L514" s="96">
        <f t="shared" si="23"/>
        <v>0</v>
      </c>
      <c r="M514" s="96">
        <f t="shared" si="24"/>
        <v>0</v>
      </c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5.3063381309139874</v>
      </c>
      <c r="H515">
        <v>1.932559496921088E-3</v>
      </c>
      <c r="I515">
        <v>-0.83788205209416888</v>
      </c>
      <c r="J515">
        <v>-1.6192569170743159E-3</v>
      </c>
      <c r="K515" s="96">
        <f t="shared" ref="K515:K578" si="25">IF(A515=3,1,0)</f>
        <v>1</v>
      </c>
      <c r="L515" s="96">
        <f t="shared" ref="L515:L578" si="26">IF(A515=2,1,0)</f>
        <v>0</v>
      </c>
      <c r="M515" s="96">
        <f t="shared" ref="M515:M578" si="27">IF(A515=1,1,0)</f>
        <v>0</v>
      </c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16.539014392741962</v>
      </c>
      <c r="H516">
        <v>1.932559496921088E-3</v>
      </c>
      <c r="I516">
        <v>-0.57619998650173354</v>
      </c>
      <c r="J516">
        <v>-1.1135407560397279E-3</v>
      </c>
      <c r="K516" s="96">
        <f t="shared" si="25"/>
        <v>1</v>
      </c>
      <c r="L516" s="96">
        <f t="shared" si="26"/>
        <v>0</v>
      </c>
      <c r="M516" s="96">
        <f t="shared" si="27"/>
        <v>0</v>
      </c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24.963521589112943</v>
      </c>
      <c r="H517">
        <v>4.8749248570982399E-4</v>
      </c>
      <c r="I517">
        <v>-0.43512697832066027</v>
      </c>
      <c r="J517">
        <v>-2.1212113226094337E-4</v>
      </c>
      <c r="K517" s="96">
        <f t="shared" si="25"/>
        <v>1</v>
      </c>
      <c r="L517" s="96">
        <f t="shared" si="26"/>
        <v>0</v>
      </c>
      <c r="M517" s="96">
        <f t="shared" si="27"/>
        <v>0</v>
      </c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2.4981690654569939</v>
      </c>
      <c r="H518">
        <v>1.932559496921088E-3</v>
      </c>
      <c r="I518">
        <v>-0.92010056771284432</v>
      </c>
      <c r="J518">
        <v>-1.778149090255942E-3</v>
      </c>
      <c r="K518" s="96">
        <f t="shared" si="25"/>
        <v>1</v>
      </c>
      <c r="L518" s="96">
        <f t="shared" si="26"/>
        <v>0</v>
      </c>
      <c r="M518" s="96">
        <f t="shared" si="27"/>
        <v>0</v>
      </c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13.730845327284968</v>
      </c>
      <c r="H519">
        <v>1.932559496921088E-3</v>
      </c>
      <c r="I519">
        <v>-0.63274053116582796</v>
      </c>
      <c r="J519">
        <v>-1.2228087225914144E-3</v>
      </c>
      <c r="K519" s="96">
        <f t="shared" si="25"/>
        <v>1</v>
      </c>
      <c r="L519" s="96">
        <f t="shared" si="26"/>
        <v>0</v>
      </c>
      <c r="M519" s="96">
        <f t="shared" si="27"/>
        <v>0</v>
      </c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22.155352523655949</v>
      </c>
      <c r="H520">
        <v>4.8749248570982399E-4</v>
      </c>
      <c r="I520">
        <v>-0.47782450856820335</v>
      </c>
      <c r="J520">
        <v>-2.3293585741498854E-4</v>
      </c>
      <c r="K520" s="96">
        <f t="shared" si="25"/>
        <v>1</v>
      </c>
      <c r="L520" s="96">
        <f t="shared" si="26"/>
        <v>0</v>
      </c>
      <c r="M520" s="96">
        <f t="shared" si="27"/>
        <v>0</v>
      </c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-0.5</v>
      </c>
      <c r="H521">
        <v>4.8749248570982405E-4</v>
      </c>
      <c r="I521">
        <v>-1.0168063303862609</v>
      </c>
      <c r="J521">
        <v>-4.9568544548548286E-4</v>
      </c>
      <c r="K521" s="96">
        <f t="shared" si="25"/>
        <v>1</v>
      </c>
      <c r="L521" s="96">
        <f t="shared" si="26"/>
        <v>0</v>
      </c>
      <c r="M521" s="96">
        <f t="shared" si="27"/>
        <v>0</v>
      </c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10.922676261827975</v>
      </c>
      <c r="H522">
        <v>4.8749248570982405E-4</v>
      </c>
      <c r="I522">
        <v>-0.694829207148566</v>
      </c>
      <c r="J522">
        <v>-3.3872401733664069E-4</v>
      </c>
      <c r="K522" s="96">
        <f t="shared" si="25"/>
        <v>1</v>
      </c>
      <c r="L522" s="96">
        <f t="shared" si="26"/>
        <v>0</v>
      </c>
      <c r="M522" s="96">
        <f t="shared" si="27"/>
        <v>0</v>
      </c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19.347183458198955</v>
      </c>
      <c r="H523">
        <v>1.2297107747635201E-4</v>
      </c>
      <c r="I523">
        <v>-0.52471180221831892</v>
      </c>
      <c r="J523">
        <v>-6.4524375683345185E-5</v>
      </c>
      <c r="K523" s="96">
        <f t="shared" si="25"/>
        <v>1</v>
      </c>
      <c r="L523" s="96">
        <f t="shared" si="26"/>
        <v>0</v>
      </c>
      <c r="M523" s="96">
        <f t="shared" si="27"/>
        <v>0</v>
      </c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5.3063381309139874</v>
      </c>
      <c r="H524">
        <v>1.932559496921088E-3</v>
      </c>
      <c r="I524">
        <v>-0.83788205209416888</v>
      </c>
      <c r="J524">
        <v>-1.6192569170743159E-3</v>
      </c>
      <c r="K524" s="96">
        <f t="shared" si="25"/>
        <v>1</v>
      </c>
      <c r="L524" s="96">
        <f t="shared" si="26"/>
        <v>0</v>
      </c>
      <c r="M524" s="96">
        <f t="shared" si="27"/>
        <v>0</v>
      </c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16.539014392741962</v>
      </c>
      <c r="H525">
        <v>1.932559496921088E-3</v>
      </c>
      <c r="I525">
        <v>-0.57619998650173354</v>
      </c>
      <c r="J525">
        <v>-1.1135407560397279E-3</v>
      </c>
      <c r="K525" s="96">
        <f t="shared" si="25"/>
        <v>1</v>
      </c>
      <c r="L525" s="96">
        <f t="shared" si="26"/>
        <v>0</v>
      </c>
      <c r="M525" s="96">
        <f t="shared" si="27"/>
        <v>0</v>
      </c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24.963521589112943</v>
      </c>
      <c r="H526">
        <v>4.8749248570982399E-4</v>
      </c>
      <c r="I526">
        <v>-0.43512697832066027</v>
      </c>
      <c r="J526">
        <v>-2.1212113226094337E-4</v>
      </c>
      <c r="K526" s="96">
        <f t="shared" si="25"/>
        <v>1</v>
      </c>
      <c r="L526" s="96">
        <f t="shared" si="26"/>
        <v>0</v>
      </c>
      <c r="M526" s="96">
        <f t="shared" si="27"/>
        <v>0</v>
      </c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2.4981690654569939</v>
      </c>
      <c r="H527">
        <v>1.932559496921088E-3</v>
      </c>
      <c r="I527">
        <v>-0.92010056771284432</v>
      </c>
      <c r="J527">
        <v>-1.778149090255942E-3</v>
      </c>
      <c r="K527" s="96">
        <f t="shared" si="25"/>
        <v>1</v>
      </c>
      <c r="L527" s="96">
        <f t="shared" si="26"/>
        <v>0</v>
      </c>
      <c r="M527" s="96">
        <f t="shared" si="27"/>
        <v>0</v>
      </c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13.730845327284968</v>
      </c>
      <c r="H528">
        <v>1.932559496921088E-3</v>
      </c>
      <c r="I528">
        <v>-0.63274053116582796</v>
      </c>
      <c r="J528">
        <v>-1.2228087225914144E-3</v>
      </c>
      <c r="K528" s="96">
        <f t="shared" si="25"/>
        <v>1</v>
      </c>
      <c r="L528" s="96">
        <f t="shared" si="26"/>
        <v>0</v>
      </c>
      <c r="M528" s="96">
        <f t="shared" si="27"/>
        <v>0</v>
      </c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22.155352523655949</v>
      </c>
      <c r="H529">
        <v>4.8749248570982399E-4</v>
      </c>
      <c r="I529">
        <v>-0.47782450856820335</v>
      </c>
      <c r="J529">
        <v>-2.3293585741498854E-4</v>
      </c>
      <c r="K529" s="96">
        <f t="shared" si="25"/>
        <v>1</v>
      </c>
      <c r="L529" s="96">
        <f t="shared" si="26"/>
        <v>0</v>
      </c>
      <c r="M529" s="96">
        <f t="shared" si="27"/>
        <v>0</v>
      </c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-0.5</v>
      </c>
      <c r="H530">
        <v>4.8749248570982405E-4</v>
      </c>
      <c r="I530">
        <v>-1.0168063303862609</v>
      </c>
      <c r="J530">
        <v>-4.9568544548548286E-4</v>
      </c>
      <c r="K530" s="96">
        <f t="shared" si="25"/>
        <v>1</v>
      </c>
      <c r="L530" s="96">
        <f t="shared" si="26"/>
        <v>0</v>
      </c>
      <c r="M530" s="96">
        <f t="shared" si="27"/>
        <v>0</v>
      </c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10.922676261827975</v>
      </c>
      <c r="H531">
        <v>4.8749248570982405E-4</v>
      </c>
      <c r="I531">
        <v>-0.694829207148566</v>
      </c>
      <c r="J531">
        <v>-3.3872401733664069E-4</v>
      </c>
      <c r="K531" s="96">
        <f t="shared" si="25"/>
        <v>1</v>
      </c>
      <c r="L531" s="96">
        <f t="shared" si="26"/>
        <v>0</v>
      </c>
      <c r="M531" s="96">
        <f t="shared" si="27"/>
        <v>0</v>
      </c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19.347183458198955</v>
      </c>
      <c r="H532">
        <v>1.2297107747635201E-4</v>
      </c>
      <c r="I532">
        <v>-0.52471180221831892</v>
      </c>
      <c r="J532">
        <v>-6.4524375683345185E-5</v>
      </c>
      <c r="K532" s="96">
        <f t="shared" si="25"/>
        <v>1</v>
      </c>
      <c r="L532" s="96">
        <f t="shared" si="26"/>
        <v>0</v>
      </c>
      <c r="M532" s="96">
        <f t="shared" si="27"/>
        <v>0</v>
      </c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5.3063381309139874</v>
      </c>
      <c r="H533">
        <v>4.8749248570982405E-4</v>
      </c>
      <c r="I533">
        <v>-0.83788205209416888</v>
      </c>
      <c r="J533">
        <v>-4.0846120430703466E-4</v>
      </c>
      <c r="K533" s="96">
        <f t="shared" si="25"/>
        <v>1</v>
      </c>
      <c r="L533" s="96">
        <f t="shared" si="26"/>
        <v>0</v>
      </c>
      <c r="M533" s="96">
        <f t="shared" si="27"/>
        <v>0</v>
      </c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16.539014392741962</v>
      </c>
      <c r="H534">
        <v>4.8749248570982405E-4</v>
      </c>
      <c r="I534">
        <v>-0.57619998650173354</v>
      </c>
      <c r="J534">
        <v>-2.8089316368569715E-4</v>
      </c>
      <c r="K534" s="96">
        <f t="shared" si="25"/>
        <v>1</v>
      </c>
      <c r="L534" s="96">
        <f t="shared" si="26"/>
        <v>0</v>
      </c>
      <c r="M534" s="96">
        <f t="shared" si="27"/>
        <v>0</v>
      </c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24.963521589112943</v>
      </c>
      <c r="H535">
        <v>1.2297107747635201E-4</v>
      </c>
      <c r="I535">
        <v>-0.43512697832066027</v>
      </c>
      <c r="J535">
        <v>-5.3508033363120856E-5</v>
      </c>
      <c r="K535" s="96">
        <f t="shared" si="25"/>
        <v>1</v>
      </c>
      <c r="L535" s="96">
        <f t="shared" si="26"/>
        <v>0</v>
      </c>
      <c r="M535" s="96">
        <f t="shared" si="27"/>
        <v>0</v>
      </c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2.4981690654569939</v>
      </c>
      <c r="H536">
        <v>4.8749248570982405E-4</v>
      </c>
      <c r="I536">
        <v>-0.92010056771284432</v>
      </c>
      <c r="J536">
        <v>-4.4854211285735477E-4</v>
      </c>
      <c r="K536" s="96">
        <f t="shared" si="25"/>
        <v>1</v>
      </c>
      <c r="L536" s="96">
        <f t="shared" si="26"/>
        <v>0</v>
      </c>
      <c r="M536" s="96">
        <f t="shared" si="27"/>
        <v>0</v>
      </c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13.730845327284968</v>
      </c>
      <c r="H537">
        <v>4.8749248570982405E-4</v>
      </c>
      <c r="I537">
        <v>-0.63274053116582796</v>
      </c>
      <c r="J537">
        <v>-3.0845625434738384E-4</v>
      </c>
      <c r="K537" s="96">
        <f t="shared" si="25"/>
        <v>1</v>
      </c>
      <c r="L537" s="96">
        <f t="shared" si="26"/>
        <v>0</v>
      </c>
      <c r="M537" s="96">
        <f t="shared" si="27"/>
        <v>0</v>
      </c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22.155352523655949</v>
      </c>
      <c r="H538">
        <v>1.2297107747635201E-4</v>
      </c>
      <c r="I538">
        <v>-0.47782450856820335</v>
      </c>
      <c r="J538">
        <v>-5.8758594663240357E-5</v>
      </c>
      <c r="K538" s="96">
        <f t="shared" si="25"/>
        <v>1</v>
      </c>
      <c r="L538" s="96">
        <f t="shared" si="26"/>
        <v>0</v>
      </c>
      <c r="M538" s="96">
        <f t="shared" si="27"/>
        <v>0</v>
      </c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-0.5</v>
      </c>
      <c r="H539">
        <v>1.2297107747635201E-4</v>
      </c>
      <c r="I539">
        <v>-1.0168063303862609</v>
      </c>
      <c r="J539">
        <v>-1.2503777003237406E-4</v>
      </c>
      <c r="K539" s="96">
        <f t="shared" si="25"/>
        <v>1</v>
      </c>
      <c r="L539" s="96">
        <f t="shared" si="26"/>
        <v>0</v>
      </c>
      <c r="M539" s="96">
        <f t="shared" si="27"/>
        <v>0</v>
      </c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10.922676261827975</v>
      </c>
      <c r="H540">
        <v>1.2297107747635201E-4</v>
      </c>
      <c r="I540">
        <v>-0.694829207148566</v>
      </c>
      <c r="J540">
        <v>-8.5443896265098544E-5</v>
      </c>
      <c r="K540" s="96">
        <f t="shared" si="25"/>
        <v>1</v>
      </c>
      <c r="L540" s="96">
        <f t="shared" si="26"/>
        <v>0</v>
      </c>
      <c r="M540" s="96">
        <f t="shared" si="27"/>
        <v>0</v>
      </c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19.347183458198955</v>
      </c>
      <c r="H541">
        <v>3.1019731255295997E-5</v>
      </c>
      <c r="I541">
        <v>-0.52471180221831892</v>
      </c>
      <c r="J541">
        <v>-1.6276419091294279E-5</v>
      </c>
      <c r="K541" s="96">
        <f t="shared" si="25"/>
        <v>1</v>
      </c>
      <c r="L541" s="96">
        <f t="shared" si="26"/>
        <v>0</v>
      </c>
      <c r="M541" s="96">
        <f t="shared" si="27"/>
        <v>0</v>
      </c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5.3063381309139874</v>
      </c>
      <c r="H542">
        <v>4.8749248570982405E-4</v>
      </c>
      <c r="I542">
        <v>-0.83788205209416888</v>
      </c>
      <c r="J542">
        <v>-4.0846120430703466E-4</v>
      </c>
      <c r="K542" s="96">
        <f t="shared" si="25"/>
        <v>1</v>
      </c>
      <c r="L542" s="96">
        <f t="shared" si="26"/>
        <v>0</v>
      </c>
      <c r="M542" s="96">
        <f t="shared" si="27"/>
        <v>0</v>
      </c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16.539014392741962</v>
      </c>
      <c r="H543">
        <v>4.8749248570982405E-4</v>
      </c>
      <c r="I543">
        <v>-0.57619998650173354</v>
      </c>
      <c r="J543">
        <v>-2.8089316368569715E-4</v>
      </c>
      <c r="K543" s="96">
        <f t="shared" si="25"/>
        <v>1</v>
      </c>
      <c r="L543" s="96">
        <f t="shared" si="26"/>
        <v>0</v>
      </c>
      <c r="M543" s="96">
        <f t="shared" si="27"/>
        <v>0</v>
      </c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24.963521589112943</v>
      </c>
      <c r="H544">
        <v>1.2297107747635201E-4</v>
      </c>
      <c r="I544">
        <v>-0.43512697832066027</v>
      </c>
      <c r="J544">
        <v>-5.3508033363120856E-5</v>
      </c>
      <c r="K544" s="96">
        <f t="shared" si="25"/>
        <v>1</v>
      </c>
      <c r="L544" s="96">
        <f t="shared" si="26"/>
        <v>0</v>
      </c>
      <c r="M544" s="96">
        <f t="shared" si="27"/>
        <v>0</v>
      </c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2.4981690654569939</v>
      </c>
      <c r="H545">
        <v>4.8749248570982405E-4</v>
      </c>
      <c r="I545">
        <v>-0.92010056771284432</v>
      </c>
      <c r="J545">
        <v>-4.4854211285735477E-4</v>
      </c>
      <c r="K545" s="96">
        <f t="shared" si="25"/>
        <v>1</v>
      </c>
      <c r="L545" s="96">
        <f t="shared" si="26"/>
        <v>0</v>
      </c>
      <c r="M545" s="96">
        <f t="shared" si="27"/>
        <v>0</v>
      </c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13.730845327284968</v>
      </c>
      <c r="H546">
        <v>4.8749248570982405E-4</v>
      </c>
      <c r="I546">
        <v>-0.63274053116582796</v>
      </c>
      <c r="J546">
        <v>-3.0845625434738384E-4</v>
      </c>
      <c r="K546" s="96">
        <f t="shared" si="25"/>
        <v>1</v>
      </c>
      <c r="L546" s="96">
        <f t="shared" si="26"/>
        <v>0</v>
      </c>
      <c r="M546" s="96">
        <f t="shared" si="27"/>
        <v>0</v>
      </c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22.155352523655949</v>
      </c>
      <c r="H547">
        <v>1.2297107747635201E-4</v>
      </c>
      <c r="I547">
        <v>-0.47782450856820335</v>
      </c>
      <c r="J547">
        <v>-5.8758594663240357E-5</v>
      </c>
      <c r="K547" s="96">
        <f t="shared" si="25"/>
        <v>1</v>
      </c>
      <c r="L547" s="96">
        <f t="shared" si="26"/>
        <v>0</v>
      </c>
      <c r="M547" s="96">
        <f t="shared" si="27"/>
        <v>0</v>
      </c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-0.5</v>
      </c>
      <c r="H548">
        <v>1.2297107747635201E-4</v>
      </c>
      <c r="I548">
        <v>-1.0168063303862609</v>
      </c>
      <c r="J548">
        <v>-1.2503777003237406E-4</v>
      </c>
      <c r="K548" s="96">
        <f t="shared" si="25"/>
        <v>1</v>
      </c>
      <c r="L548" s="96">
        <f t="shared" si="26"/>
        <v>0</v>
      </c>
      <c r="M548" s="96">
        <f t="shared" si="27"/>
        <v>0</v>
      </c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10.922676261827975</v>
      </c>
      <c r="H549">
        <v>1.2297107747635201E-4</v>
      </c>
      <c r="I549">
        <v>-0.694829207148566</v>
      </c>
      <c r="J549">
        <v>-8.5443896265098544E-5</v>
      </c>
      <c r="K549" s="96">
        <f t="shared" si="25"/>
        <v>1</v>
      </c>
      <c r="L549" s="96">
        <f t="shared" si="26"/>
        <v>0</v>
      </c>
      <c r="M549" s="96">
        <f t="shared" si="27"/>
        <v>0</v>
      </c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19.347183458198955</v>
      </c>
      <c r="H550">
        <v>3.1019731255295997E-5</v>
      </c>
      <c r="I550">
        <v>-0.52471180221831892</v>
      </c>
      <c r="J550">
        <v>-1.6276419091294279E-5</v>
      </c>
      <c r="K550" s="96">
        <f t="shared" si="25"/>
        <v>1</v>
      </c>
      <c r="L550" s="96">
        <f t="shared" si="26"/>
        <v>0</v>
      </c>
      <c r="M550" s="96">
        <f t="shared" si="27"/>
        <v>0</v>
      </c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5.3063381309139874</v>
      </c>
      <c r="H551">
        <v>4.8749248570982405E-4</v>
      </c>
      <c r="I551">
        <v>-0.83788205209416888</v>
      </c>
      <c r="J551">
        <v>-4.0846120430703466E-4</v>
      </c>
      <c r="K551" s="96">
        <f t="shared" si="25"/>
        <v>1</v>
      </c>
      <c r="L551" s="96">
        <f t="shared" si="26"/>
        <v>0</v>
      </c>
      <c r="M551" s="96">
        <f t="shared" si="27"/>
        <v>0</v>
      </c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16.539014392741962</v>
      </c>
      <c r="H552">
        <v>4.8749248570982405E-4</v>
      </c>
      <c r="I552">
        <v>-0.57619998650173354</v>
      </c>
      <c r="J552">
        <v>-2.8089316368569715E-4</v>
      </c>
      <c r="K552" s="96">
        <f t="shared" si="25"/>
        <v>1</v>
      </c>
      <c r="L552" s="96">
        <f t="shared" si="26"/>
        <v>0</v>
      </c>
      <c r="M552" s="96">
        <f t="shared" si="27"/>
        <v>0</v>
      </c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24.963521589112943</v>
      </c>
      <c r="H553">
        <v>1.2297107747635201E-4</v>
      </c>
      <c r="I553">
        <v>-0.43512697832066027</v>
      </c>
      <c r="J553">
        <v>-5.3508033363120856E-5</v>
      </c>
      <c r="K553" s="96">
        <f t="shared" si="25"/>
        <v>1</v>
      </c>
      <c r="L553" s="96">
        <f t="shared" si="26"/>
        <v>0</v>
      </c>
      <c r="M553" s="96">
        <f t="shared" si="27"/>
        <v>0</v>
      </c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2.4981690654569939</v>
      </c>
      <c r="H554">
        <v>4.8749248570982405E-4</v>
      </c>
      <c r="I554">
        <v>-0.92010056771284432</v>
      </c>
      <c r="J554">
        <v>-4.4854211285735477E-4</v>
      </c>
      <c r="K554" s="96">
        <f t="shared" si="25"/>
        <v>1</v>
      </c>
      <c r="L554" s="96">
        <f t="shared" si="26"/>
        <v>0</v>
      </c>
      <c r="M554" s="96">
        <f t="shared" si="27"/>
        <v>0</v>
      </c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13.730845327284968</v>
      </c>
      <c r="H555">
        <v>4.8749248570982405E-4</v>
      </c>
      <c r="I555">
        <v>-0.63274053116582796</v>
      </c>
      <c r="J555">
        <v>-3.0845625434738384E-4</v>
      </c>
      <c r="K555" s="96">
        <f t="shared" si="25"/>
        <v>1</v>
      </c>
      <c r="L555" s="96">
        <f t="shared" si="26"/>
        <v>0</v>
      </c>
      <c r="M555" s="96">
        <f t="shared" si="27"/>
        <v>0</v>
      </c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22.155352523655949</v>
      </c>
      <c r="H556">
        <v>1.2297107747635201E-4</v>
      </c>
      <c r="I556">
        <v>-0.47782450856820335</v>
      </c>
      <c r="J556">
        <v>-5.8758594663240357E-5</v>
      </c>
      <c r="K556" s="96">
        <f t="shared" si="25"/>
        <v>1</v>
      </c>
      <c r="L556" s="96">
        <f t="shared" si="26"/>
        <v>0</v>
      </c>
      <c r="M556" s="96">
        <f t="shared" si="27"/>
        <v>0</v>
      </c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-0.5</v>
      </c>
      <c r="H557">
        <v>1.2297107747635201E-4</v>
      </c>
      <c r="I557">
        <v>-1.0168063303862609</v>
      </c>
      <c r="J557">
        <v>-1.2503777003237406E-4</v>
      </c>
      <c r="K557" s="96">
        <f t="shared" si="25"/>
        <v>1</v>
      </c>
      <c r="L557" s="96">
        <f t="shared" si="26"/>
        <v>0</v>
      </c>
      <c r="M557" s="96">
        <f t="shared" si="27"/>
        <v>0</v>
      </c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10.922676261827975</v>
      </c>
      <c r="H558">
        <v>1.2297107747635201E-4</v>
      </c>
      <c r="I558">
        <v>-0.694829207148566</v>
      </c>
      <c r="J558">
        <v>-8.5443896265098544E-5</v>
      </c>
      <c r="K558" s="96">
        <f t="shared" si="25"/>
        <v>1</v>
      </c>
      <c r="L558" s="96">
        <f t="shared" si="26"/>
        <v>0</v>
      </c>
      <c r="M558" s="96">
        <f t="shared" si="27"/>
        <v>0</v>
      </c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19.347183458198955</v>
      </c>
      <c r="H559">
        <v>3.1019731255295997E-5</v>
      </c>
      <c r="I559">
        <v>-0.52471180221831892</v>
      </c>
      <c r="J559">
        <v>-1.6276419091294279E-5</v>
      </c>
      <c r="K559" s="96">
        <f t="shared" si="25"/>
        <v>1</v>
      </c>
      <c r="L559" s="96">
        <f t="shared" si="26"/>
        <v>0</v>
      </c>
      <c r="M559" s="96">
        <f t="shared" si="27"/>
        <v>0</v>
      </c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5.3063381309139874</v>
      </c>
      <c r="H560">
        <v>1.2297107747635201E-4</v>
      </c>
      <c r="I560">
        <v>-0.83788205209416888</v>
      </c>
      <c r="J560">
        <v>-1.0303525874411685E-4</v>
      </c>
      <c r="K560" s="96">
        <f t="shared" si="25"/>
        <v>1</v>
      </c>
      <c r="L560" s="96">
        <f t="shared" si="26"/>
        <v>0</v>
      </c>
      <c r="M560" s="96">
        <f t="shared" si="27"/>
        <v>0</v>
      </c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16.539014392741962</v>
      </c>
      <c r="H561">
        <v>1.2297107747635201E-4</v>
      </c>
      <c r="I561">
        <v>-0.57619998650173354</v>
      </c>
      <c r="J561">
        <v>-7.0855933181977653E-5</v>
      </c>
      <c r="K561" s="96">
        <f t="shared" si="25"/>
        <v>1</v>
      </c>
      <c r="L561" s="96">
        <f t="shared" si="26"/>
        <v>0</v>
      </c>
      <c r="M561" s="96">
        <f t="shared" si="27"/>
        <v>0</v>
      </c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24.963521589112943</v>
      </c>
      <c r="H562">
        <v>3.1019731255295997E-5</v>
      </c>
      <c r="I562">
        <v>-0.43512697832066027</v>
      </c>
      <c r="J562">
        <v>-1.3497521929435888E-5</v>
      </c>
      <c r="K562" s="96">
        <f t="shared" si="25"/>
        <v>1</v>
      </c>
      <c r="L562" s="96">
        <f t="shared" si="26"/>
        <v>0</v>
      </c>
      <c r="M562" s="96">
        <f t="shared" si="27"/>
        <v>0</v>
      </c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2.4981690654569939</v>
      </c>
      <c r="H563">
        <v>1.2297107747635201E-4</v>
      </c>
      <c r="I563">
        <v>-0.92010056771284432</v>
      </c>
      <c r="J563">
        <v>-1.1314575819825165E-4</v>
      </c>
      <c r="K563" s="96">
        <f t="shared" si="25"/>
        <v>1</v>
      </c>
      <c r="L563" s="96">
        <f t="shared" si="26"/>
        <v>0</v>
      </c>
      <c r="M563" s="96">
        <f t="shared" si="27"/>
        <v>0</v>
      </c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13.730845327284968</v>
      </c>
      <c r="H564">
        <v>1.2297107747635201E-4</v>
      </c>
      <c r="I564">
        <v>-0.63274053116582796</v>
      </c>
      <c r="J564">
        <v>-7.7808784880421152E-5</v>
      </c>
      <c r="K564" s="96">
        <f t="shared" si="25"/>
        <v>1</v>
      </c>
      <c r="L564" s="96">
        <f t="shared" si="26"/>
        <v>0</v>
      </c>
      <c r="M564" s="96">
        <f t="shared" si="27"/>
        <v>0</v>
      </c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22.155352523655949</v>
      </c>
      <c r="H565">
        <v>3.1019731255295997E-5</v>
      </c>
      <c r="I565">
        <v>-0.47782450856820335</v>
      </c>
      <c r="J565">
        <v>-1.4821987842979546E-5</v>
      </c>
      <c r="K565" s="96">
        <f t="shared" si="25"/>
        <v>1</v>
      </c>
      <c r="L565" s="96">
        <f t="shared" si="26"/>
        <v>0</v>
      </c>
      <c r="M565" s="96">
        <f t="shared" si="27"/>
        <v>0</v>
      </c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-0.5</v>
      </c>
      <c r="H566">
        <v>3.1019731255296003E-5</v>
      </c>
      <c r="I566">
        <v>-1.0168063303862609</v>
      </c>
      <c r="J566">
        <v>-3.1541059107265532E-5</v>
      </c>
      <c r="K566" s="96">
        <f t="shared" si="25"/>
        <v>1</v>
      </c>
      <c r="L566" s="96">
        <f t="shared" si="26"/>
        <v>0</v>
      </c>
      <c r="M566" s="96">
        <f t="shared" si="27"/>
        <v>0</v>
      </c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10.922676261827975</v>
      </c>
      <c r="H567">
        <v>3.1019731255296003E-5</v>
      </c>
      <c r="I567">
        <v>-0.694829207148566</v>
      </c>
      <c r="J567">
        <v>-2.1553415274078913E-5</v>
      </c>
      <c r="K567" s="96">
        <f t="shared" si="25"/>
        <v>1</v>
      </c>
      <c r="L567" s="96">
        <f t="shared" si="26"/>
        <v>0</v>
      </c>
      <c r="M567" s="96">
        <f t="shared" si="27"/>
        <v>0</v>
      </c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19.347183458198955</v>
      </c>
      <c r="H568">
        <v>7.8247970734080004E-6</v>
      </c>
      <c r="I568">
        <v>-0.52471180221831892</v>
      </c>
      <c r="J568">
        <v>-4.1057633743805398E-6</v>
      </c>
      <c r="K568" s="96">
        <f t="shared" si="25"/>
        <v>1</v>
      </c>
      <c r="L568" s="96">
        <f t="shared" si="26"/>
        <v>0</v>
      </c>
      <c r="M568" s="96">
        <f t="shared" si="27"/>
        <v>0</v>
      </c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5.3063381309139874</v>
      </c>
      <c r="H569">
        <v>1.932559496921088E-3</v>
      </c>
      <c r="I569">
        <v>-0.83788205209416888</v>
      </c>
      <c r="J569">
        <v>-1.6192569170743159E-3</v>
      </c>
      <c r="K569" s="96">
        <f t="shared" si="25"/>
        <v>1</v>
      </c>
      <c r="L569" s="96">
        <f t="shared" si="26"/>
        <v>0</v>
      </c>
      <c r="M569" s="96">
        <f t="shared" si="27"/>
        <v>0</v>
      </c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16.539014392741962</v>
      </c>
      <c r="H570">
        <v>1.932559496921088E-3</v>
      </c>
      <c r="I570">
        <v>-0.57619998650173354</v>
      </c>
      <c r="J570">
        <v>-1.1135407560397279E-3</v>
      </c>
      <c r="K570" s="96">
        <f t="shared" si="25"/>
        <v>1</v>
      </c>
      <c r="L570" s="96">
        <f t="shared" si="26"/>
        <v>0</v>
      </c>
      <c r="M570" s="96">
        <f t="shared" si="27"/>
        <v>0</v>
      </c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24.963521589112943</v>
      </c>
      <c r="H571">
        <v>4.8749248570982399E-4</v>
      </c>
      <c r="I571">
        <v>-0.43512697832066027</v>
      </c>
      <c r="J571">
        <v>-2.1212113226094337E-4</v>
      </c>
      <c r="K571" s="96">
        <f t="shared" si="25"/>
        <v>1</v>
      </c>
      <c r="L571" s="96">
        <f t="shared" si="26"/>
        <v>0</v>
      </c>
      <c r="M571" s="96">
        <f t="shared" si="27"/>
        <v>0</v>
      </c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2.4981690654569939</v>
      </c>
      <c r="H572">
        <v>1.932559496921088E-3</v>
      </c>
      <c r="I572">
        <v>-0.92010056771284432</v>
      </c>
      <c r="J572">
        <v>-1.778149090255942E-3</v>
      </c>
      <c r="K572" s="96">
        <f t="shared" si="25"/>
        <v>1</v>
      </c>
      <c r="L572" s="96">
        <f t="shared" si="26"/>
        <v>0</v>
      </c>
      <c r="M572" s="96">
        <f t="shared" si="27"/>
        <v>0</v>
      </c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13.730845327284968</v>
      </c>
      <c r="H573">
        <v>1.932559496921088E-3</v>
      </c>
      <c r="I573">
        <v>-0.63274053116582796</v>
      </c>
      <c r="J573">
        <v>-1.2228087225914144E-3</v>
      </c>
      <c r="K573" s="96">
        <f t="shared" si="25"/>
        <v>1</v>
      </c>
      <c r="L573" s="96">
        <f t="shared" si="26"/>
        <v>0</v>
      </c>
      <c r="M573" s="96">
        <f t="shared" si="27"/>
        <v>0</v>
      </c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22.155352523655949</v>
      </c>
      <c r="H574">
        <v>4.8749248570982399E-4</v>
      </c>
      <c r="I574">
        <v>-0.47782450856820335</v>
      </c>
      <c r="J574">
        <v>-2.3293585741498854E-4</v>
      </c>
      <c r="K574" s="96">
        <f t="shared" si="25"/>
        <v>1</v>
      </c>
      <c r="L574" s="96">
        <f t="shared" si="26"/>
        <v>0</v>
      </c>
      <c r="M574" s="96">
        <f t="shared" si="27"/>
        <v>0</v>
      </c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-0.5</v>
      </c>
      <c r="H575">
        <v>4.8749248570982405E-4</v>
      </c>
      <c r="I575">
        <v>-1.0168063303862609</v>
      </c>
      <c r="J575">
        <v>-4.9568544548548286E-4</v>
      </c>
      <c r="K575" s="96">
        <f t="shared" si="25"/>
        <v>1</v>
      </c>
      <c r="L575" s="96">
        <f t="shared" si="26"/>
        <v>0</v>
      </c>
      <c r="M575" s="96">
        <f t="shared" si="27"/>
        <v>0</v>
      </c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10.922676261827975</v>
      </c>
      <c r="H576">
        <v>4.8749248570982405E-4</v>
      </c>
      <c r="I576">
        <v>-0.694829207148566</v>
      </c>
      <c r="J576">
        <v>-3.3872401733664069E-4</v>
      </c>
      <c r="K576" s="96">
        <f t="shared" si="25"/>
        <v>1</v>
      </c>
      <c r="L576" s="96">
        <f t="shared" si="26"/>
        <v>0</v>
      </c>
      <c r="M576" s="96">
        <f t="shared" si="27"/>
        <v>0</v>
      </c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19.347183458198955</v>
      </c>
      <c r="H577">
        <v>1.2297107747635201E-4</v>
      </c>
      <c r="I577">
        <v>-0.52471180221831892</v>
      </c>
      <c r="J577">
        <v>-6.4524375683345185E-5</v>
      </c>
      <c r="K577" s="96">
        <f t="shared" si="25"/>
        <v>1</v>
      </c>
      <c r="L577" s="96">
        <f t="shared" si="26"/>
        <v>0</v>
      </c>
      <c r="M577" s="96">
        <f t="shared" si="27"/>
        <v>0</v>
      </c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5.3063381309139874</v>
      </c>
      <c r="H578">
        <v>1.932559496921088E-3</v>
      </c>
      <c r="I578">
        <v>-0.83788205209416888</v>
      </c>
      <c r="J578">
        <v>-1.6192569170743159E-3</v>
      </c>
      <c r="K578" s="96">
        <f t="shared" si="25"/>
        <v>1</v>
      </c>
      <c r="L578" s="96">
        <f t="shared" si="26"/>
        <v>0</v>
      </c>
      <c r="M578" s="96">
        <f t="shared" si="27"/>
        <v>0</v>
      </c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16.539014392741962</v>
      </c>
      <c r="H579">
        <v>1.932559496921088E-3</v>
      </c>
      <c r="I579">
        <v>-0.57619998650173354</v>
      </c>
      <c r="J579">
        <v>-1.1135407560397279E-3</v>
      </c>
      <c r="K579" s="96">
        <f t="shared" ref="K579:K642" si="28">IF(A579=3,1,0)</f>
        <v>1</v>
      </c>
      <c r="L579" s="96">
        <f t="shared" ref="L579:L642" si="29">IF(A579=2,1,0)</f>
        <v>0</v>
      </c>
      <c r="M579" s="96">
        <f t="shared" ref="M579:M642" si="30">IF(A579=1,1,0)</f>
        <v>0</v>
      </c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24.963521589112943</v>
      </c>
      <c r="H580">
        <v>4.8749248570982399E-4</v>
      </c>
      <c r="I580">
        <v>-0.43512697832066027</v>
      </c>
      <c r="J580">
        <v>-2.1212113226094337E-4</v>
      </c>
      <c r="K580" s="96">
        <f t="shared" si="28"/>
        <v>1</v>
      </c>
      <c r="L580" s="96">
        <f t="shared" si="29"/>
        <v>0</v>
      </c>
      <c r="M580" s="96">
        <f t="shared" si="30"/>
        <v>0</v>
      </c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2.4981690654569939</v>
      </c>
      <c r="H581">
        <v>1.932559496921088E-3</v>
      </c>
      <c r="I581">
        <v>-0.92010056771284432</v>
      </c>
      <c r="J581">
        <v>-1.778149090255942E-3</v>
      </c>
      <c r="K581" s="96">
        <f t="shared" si="28"/>
        <v>1</v>
      </c>
      <c r="L581" s="96">
        <f t="shared" si="29"/>
        <v>0</v>
      </c>
      <c r="M581" s="96">
        <f t="shared" si="30"/>
        <v>0</v>
      </c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13.730845327284968</v>
      </c>
      <c r="H582">
        <v>1.932559496921088E-3</v>
      </c>
      <c r="I582">
        <v>-0.63274053116582796</v>
      </c>
      <c r="J582">
        <v>-1.2228087225914144E-3</v>
      </c>
      <c r="K582" s="96">
        <f t="shared" si="28"/>
        <v>1</v>
      </c>
      <c r="L582" s="96">
        <f t="shared" si="29"/>
        <v>0</v>
      </c>
      <c r="M582" s="96">
        <f t="shared" si="30"/>
        <v>0</v>
      </c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22.155352523655949</v>
      </c>
      <c r="H583">
        <v>4.8749248570982399E-4</v>
      </c>
      <c r="I583">
        <v>-0.47782450856820335</v>
      </c>
      <c r="J583">
        <v>-2.3293585741498854E-4</v>
      </c>
      <c r="K583" s="96">
        <f t="shared" si="28"/>
        <v>1</v>
      </c>
      <c r="L583" s="96">
        <f t="shared" si="29"/>
        <v>0</v>
      </c>
      <c r="M583" s="96">
        <f t="shared" si="30"/>
        <v>0</v>
      </c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-0.5</v>
      </c>
      <c r="H584">
        <v>4.8749248570982405E-4</v>
      </c>
      <c r="I584">
        <v>-1.0168063303862609</v>
      </c>
      <c r="J584">
        <v>-4.9568544548548286E-4</v>
      </c>
      <c r="K584" s="96">
        <f t="shared" si="28"/>
        <v>1</v>
      </c>
      <c r="L584" s="96">
        <f t="shared" si="29"/>
        <v>0</v>
      </c>
      <c r="M584" s="96">
        <f t="shared" si="30"/>
        <v>0</v>
      </c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10.922676261827975</v>
      </c>
      <c r="H585">
        <v>4.8749248570982405E-4</v>
      </c>
      <c r="I585">
        <v>-0.694829207148566</v>
      </c>
      <c r="J585">
        <v>-3.3872401733664069E-4</v>
      </c>
      <c r="K585" s="96">
        <f t="shared" si="28"/>
        <v>1</v>
      </c>
      <c r="L585" s="96">
        <f t="shared" si="29"/>
        <v>0</v>
      </c>
      <c r="M585" s="96">
        <f t="shared" si="30"/>
        <v>0</v>
      </c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19.347183458198955</v>
      </c>
      <c r="H586">
        <v>1.2297107747635201E-4</v>
      </c>
      <c r="I586">
        <v>-0.52471180221831892</v>
      </c>
      <c r="J586">
        <v>-6.4524375683345185E-5</v>
      </c>
      <c r="K586" s="96">
        <f t="shared" si="28"/>
        <v>1</v>
      </c>
      <c r="L586" s="96">
        <f t="shared" si="29"/>
        <v>0</v>
      </c>
      <c r="M586" s="96">
        <f t="shared" si="30"/>
        <v>0</v>
      </c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5.3063381309139874</v>
      </c>
      <c r="H587">
        <v>4.8749248570982405E-4</v>
      </c>
      <c r="I587">
        <v>-0.83788205209416888</v>
      </c>
      <c r="J587">
        <v>-4.0846120430703466E-4</v>
      </c>
      <c r="K587" s="96">
        <f t="shared" si="28"/>
        <v>1</v>
      </c>
      <c r="L587" s="96">
        <f t="shared" si="29"/>
        <v>0</v>
      </c>
      <c r="M587" s="96">
        <f t="shared" si="30"/>
        <v>0</v>
      </c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16.539014392741962</v>
      </c>
      <c r="H588">
        <v>4.8749248570982405E-4</v>
      </c>
      <c r="I588">
        <v>-0.57619998650173354</v>
      </c>
      <c r="J588">
        <v>-2.8089316368569715E-4</v>
      </c>
      <c r="K588" s="96">
        <f t="shared" si="28"/>
        <v>1</v>
      </c>
      <c r="L588" s="96">
        <f t="shared" si="29"/>
        <v>0</v>
      </c>
      <c r="M588" s="96">
        <f t="shared" si="30"/>
        <v>0</v>
      </c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24.963521589112943</v>
      </c>
      <c r="H589">
        <v>1.2297107747635201E-4</v>
      </c>
      <c r="I589">
        <v>-0.43512697832066027</v>
      </c>
      <c r="J589">
        <v>-5.3508033363120856E-5</v>
      </c>
      <c r="K589" s="96">
        <f t="shared" si="28"/>
        <v>1</v>
      </c>
      <c r="L589" s="96">
        <f t="shared" si="29"/>
        <v>0</v>
      </c>
      <c r="M589" s="96">
        <f t="shared" si="30"/>
        <v>0</v>
      </c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2.4981690654569939</v>
      </c>
      <c r="H590">
        <v>4.8749248570982405E-4</v>
      </c>
      <c r="I590">
        <v>-0.92010056771284432</v>
      </c>
      <c r="J590">
        <v>-4.4854211285735477E-4</v>
      </c>
      <c r="K590" s="96">
        <f t="shared" si="28"/>
        <v>1</v>
      </c>
      <c r="L590" s="96">
        <f t="shared" si="29"/>
        <v>0</v>
      </c>
      <c r="M590" s="96">
        <f t="shared" si="30"/>
        <v>0</v>
      </c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13.730845327284968</v>
      </c>
      <c r="H591">
        <v>4.8749248570982405E-4</v>
      </c>
      <c r="I591">
        <v>-0.63274053116582796</v>
      </c>
      <c r="J591">
        <v>-3.0845625434738384E-4</v>
      </c>
      <c r="K591" s="96">
        <f t="shared" si="28"/>
        <v>1</v>
      </c>
      <c r="L591" s="96">
        <f t="shared" si="29"/>
        <v>0</v>
      </c>
      <c r="M591" s="96">
        <f t="shared" si="30"/>
        <v>0</v>
      </c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22.155352523655949</v>
      </c>
      <c r="H592">
        <v>1.2297107747635201E-4</v>
      </c>
      <c r="I592">
        <v>-0.47782450856820335</v>
      </c>
      <c r="J592">
        <v>-5.8758594663240357E-5</v>
      </c>
      <c r="K592" s="96">
        <f t="shared" si="28"/>
        <v>1</v>
      </c>
      <c r="L592" s="96">
        <f t="shared" si="29"/>
        <v>0</v>
      </c>
      <c r="M592" s="96">
        <f t="shared" si="30"/>
        <v>0</v>
      </c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-0.5</v>
      </c>
      <c r="H593">
        <v>1.2297107747635201E-4</v>
      </c>
      <c r="I593">
        <v>-1.0168063303862609</v>
      </c>
      <c r="J593">
        <v>-1.2503777003237406E-4</v>
      </c>
      <c r="K593" s="96">
        <f t="shared" si="28"/>
        <v>1</v>
      </c>
      <c r="L593" s="96">
        <f t="shared" si="29"/>
        <v>0</v>
      </c>
      <c r="M593" s="96">
        <f t="shared" si="30"/>
        <v>0</v>
      </c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10.922676261827975</v>
      </c>
      <c r="H594">
        <v>1.2297107747635201E-4</v>
      </c>
      <c r="I594">
        <v>-0.694829207148566</v>
      </c>
      <c r="J594">
        <v>-8.5443896265098544E-5</v>
      </c>
      <c r="K594" s="96">
        <f t="shared" si="28"/>
        <v>1</v>
      </c>
      <c r="L594" s="96">
        <f t="shared" si="29"/>
        <v>0</v>
      </c>
      <c r="M594" s="96">
        <f t="shared" si="30"/>
        <v>0</v>
      </c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19.347183458198955</v>
      </c>
      <c r="H595">
        <v>3.1019731255295997E-5</v>
      </c>
      <c r="I595">
        <v>-0.52471180221831892</v>
      </c>
      <c r="J595">
        <v>-1.6276419091294279E-5</v>
      </c>
      <c r="K595" s="96">
        <f t="shared" si="28"/>
        <v>1</v>
      </c>
      <c r="L595" s="96">
        <f t="shared" si="29"/>
        <v>0</v>
      </c>
      <c r="M595" s="96">
        <f t="shared" si="30"/>
        <v>0</v>
      </c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5.3063381309139874</v>
      </c>
      <c r="H596">
        <v>1.932559496921088E-3</v>
      </c>
      <c r="I596">
        <v>-0.83788205209416888</v>
      </c>
      <c r="J596">
        <v>-1.6192569170743159E-3</v>
      </c>
      <c r="K596" s="96">
        <f t="shared" si="28"/>
        <v>1</v>
      </c>
      <c r="L596" s="96">
        <f t="shared" si="29"/>
        <v>0</v>
      </c>
      <c r="M596" s="96">
        <f t="shared" si="30"/>
        <v>0</v>
      </c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16.539014392741962</v>
      </c>
      <c r="H597">
        <v>1.932559496921088E-3</v>
      </c>
      <c r="I597">
        <v>-0.57619998650173354</v>
      </c>
      <c r="J597">
        <v>-1.1135407560397279E-3</v>
      </c>
      <c r="K597" s="96">
        <f t="shared" si="28"/>
        <v>1</v>
      </c>
      <c r="L597" s="96">
        <f t="shared" si="29"/>
        <v>0</v>
      </c>
      <c r="M597" s="96">
        <f t="shared" si="30"/>
        <v>0</v>
      </c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24.963521589112943</v>
      </c>
      <c r="H598">
        <v>4.8749248570982399E-4</v>
      </c>
      <c r="I598">
        <v>-0.43512697832066027</v>
      </c>
      <c r="J598">
        <v>-2.1212113226094337E-4</v>
      </c>
      <c r="K598" s="96">
        <f t="shared" si="28"/>
        <v>1</v>
      </c>
      <c r="L598" s="96">
        <f t="shared" si="29"/>
        <v>0</v>
      </c>
      <c r="M598" s="96">
        <f t="shared" si="30"/>
        <v>0</v>
      </c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2.4981690654569939</v>
      </c>
      <c r="H599">
        <v>1.932559496921088E-3</v>
      </c>
      <c r="I599">
        <v>-0.92010056771284432</v>
      </c>
      <c r="J599">
        <v>-1.778149090255942E-3</v>
      </c>
      <c r="K599" s="96">
        <f t="shared" si="28"/>
        <v>1</v>
      </c>
      <c r="L599" s="96">
        <f t="shared" si="29"/>
        <v>0</v>
      </c>
      <c r="M599" s="96">
        <f t="shared" si="30"/>
        <v>0</v>
      </c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13.730845327284968</v>
      </c>
      <c r="H600">
        <v>1.932559496921088E-3</v>
      </c>
      <c r="I600">
        <v>-0.63274053116582796</v>
      </c>
      <c r="J600">
        <v>-1.2228087225914144E-3</v>
      </c>
      <c r="K600" s="96">
        <f t="shared" si="28"/>
        <v>1</v>
      </c>
      <c r="L600" s="96">
        <f t="shared" si="29"/>
        <v>0</v>
      </c>
      <c r="M600" s="96">
        <f t="shared" si="30"/>
        <v>0</v>
      </c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22.155352523655949</v>
      </c>
      <c r="H601">
        <v>4.8749248570982399E-4</v>
      </c>
      <c r="I601">
        <v>-0.47782450856820335</v>
      </c>
      <c r="J601">
        <v>-2.3293585741498854E-4</v>
      </c>
      <c r="K601" s="96">
        <f t="shared" si="28"/>
        <v>1</v>
      </c>
      <c r="L601" s="96">
        <f t="shared" si="29"/>
        <v>0</v>
      </c>
      <c r="M601" s="96">
        <f t="shared" si="30"/>
        <v>0</v>
      </c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-0.5</v>
      </c>
      <c r="H602">
        <v>4.8749248570982405E-4</v>
      </c>
      <c r="I602">
        <v>-1.0168063303862609</v>
      </c>
      <c r="J602">
        <v>-4.9568544548548286E-4</v>
      </c>
      <c r="K602" s="96">
        <f t="shared" si="28"/>
        <v>1</v>
      </c>
      <c r="L602" s="96">
        <f t="shared" si="29"/>
        <v>0</v>
      </c>
      <c r="M602" s="96">
        <f t="shared" si="30"/>
        <v>0</v>
      </c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10.922676261827975</v>
      </c>
      <c r="H603">
        <v>4.8749248570982405E-4</v>
      </c>
      <c r="I603">
        <v>-0.694829207148566</v>
      </c>
      <c r="J603">
        <v>-3.3872401733664069E-4</v>
      </c>
      <c r="K603" s="96">
        <f t="shared" si="28"/>
        <v>1</v>
      </c>
      <c r="L603" s="96">
        <f t="shared" si="29"/>
        <v>0</v>
      </c>
      <c r="M603" s="96">
        <f t="shared" si="30"/>
        <v>0</v>
      </c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19.347183458198955</v>
      </c>
      <c r="H604">
        <v>1.2297107747635201E-4</v>
      </c>
      <c r="I604">
        <v>-0.52471180221831892</v>
      </c>
      <c r="J604">
        <v>-6.4524375683345185E-5</v>
      </c>
      <c r="K604" s="96">
        <f t="shared" si="28"/>
        <v>1</v>
      </c>
      <c r="L604" s="96">
        <f t="shared" si="29"/>
        <v>0</v>
      </c>
      <c r="M604" s="96">
        <f t="shared" si="30"/>
        <v>0</v>
      </c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5.3063381309139874</v>
      </c>
      <c r="H605">
        <v>1.932559496921088E-3</v>
      </c>
      <c r="I605">
        <v>-0.83788205209416888</v>
      </c>
      <c r="J605">
        <v>-1.6192569170743159E-3</v>
      </c>
      <c r="K605" s="96">
        <f t="shared" si="28"/>
        <v>1</v>
      </c>
      <c r="L605" s="96">
        <f t="shared" si="29"/>
        <v>0</v>
      </c>
      <c r="M605" s="96">
        <f t="shared" si="30"/>
        <v>0</v>
      </c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16.539014392741962</v>
      </c>
      <c r="H606">
        <v>1.932559496921088E-3</v>
      </c>
      <c r="I606">
        <v>-0.57619998650173354</v>
      </c>
      <c r="J606">
        <v>-1.1135407560397279E-3</v>
      </c>
      <c r="K606" s="96">
        <f t="shared" si="28"/>
        <v>1</v>
      </c>
      <c r="L606" s="96">
        <f t="shared" si="29"/>
        <v>0</v>
      </c>
      <c r="M606" s="96">
        <f t="shared" si="30"/>
        <v>0</v>
      </c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24.963521589112943</v>
      </c>
      <c r="H607">
        <v>4.8749248570982399E-4</v>
      </c>
      <c r="I607">
        <v>-0.43512697832066027</v>
      </c>
      <c r="J607">
        <v>-2.1212113226094337E-4</v>
      </c>
      <c r="K607" s="96">
        <f t="shared" si="28"/>
        <v>1</v>
      </c>
      <c r="L607" s="96">
        <f t="shared" si="29"/>
        <v>0</v>
      </c>
      <c r="M607" s="96">
        <f t="shared" si="30"/>
        <v>0</v>
      </c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2.4981690654569939</v>
      </c>
      <c r="H608">
        <v>1.932559496921088E-3</v>
      </c>
      <c r="I608">
        <v>-0.92010056771284432</v>
      </c>
      <c r="J608">
        <v>-1.778149090255942E-3</v>
      </c>
      <c r="K608" s="96">
        <f t="shared" si="28"/>
        <v>1</v>
      </c>
      <c r="L608" s="96">
        <f t="shared" si="29"/>
        <v>0</v>
      </c>
      <c r="M608" s="96">
        <f t="shared" si="30"/>
        <v>0</v>
      </c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13.730845327284968</v>
      </c>
      <c r="H609">
        <v>1.932559496921088E-3</v>
      </c>
      <c r="I609">
        <v>-0.63274053116582796</v>
      </c>
      <c r="J609">
        <v>-1.2228087225914144E-3</v>
      </c>
      <c r="K609" s="96">
        <f t="shared" si="28"/>
        <v>1</v>
      </c>
      <c r="L609" s="96">
        <f t="shared" si="29"/>
        <v>0</v>
      </c>
      <c r="M609" s="96">
        <f t="shared" si="30"/>
        <v>0</v>
      </c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22.155352523655949</v>
      </c>
      <c r="H610">
        <v>4.8749248570982399E-4</v>
      </c>
      <c r="I610">
        <v>-0.47782450856820335</v>
      </c>
      <c r="J610">
        <v>-2.3293585741498854E-4</v>
      </c>
      <c r="K610" s="96">
        <f t="shared" si="28"/>
        <v>1</v>
      </c>
      <c r="L610" s="96">
        <f t="shared" si="29"/>
        <v>0</v>
      </c>
      <c r="M610" s="96">
        <f t="shared" si="30"/>
        <v>0</v>
      </c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-0.5</v>
      </c>
      <c r="H611">
        <v>4.8749248570982405E-4</v>
      </c>
      <c r="I611">
        <v>-1.0168063303862609</v>
      </c>
      <c r="J611">
        <v>-4.9568544548548286E-4</v>
      </c>
      <c r="K611" s="96">
        <f t="shared" si="28"/>
        <v>1</v>
      </c>
      <c r="L611" s="96">
        <f t="shared" si="29"/>
        <v>0</v>
      </c>
      <c r="M611" s="96">
        <f t="shared" si="30"/>
        <v>0</v>
      </c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10.922676261827975</v>
      </c>
      <c r="H612">
        <v>4.8749248570982405E-4</v>
      </c>
      <c r="I612">
        <v>-0.694829207148566</v>
      </c>
      <c r="J612">
        <v>-3.3872401733664069E-4</v>
      </c>
      <c r="K612" s="96">
        <f t="shared" si="28"/>
        <v>1</v>
      </c>
      <c r="L612" s="96">
        <f t="shared" si="29"/>
        <v>0</v>
      </c>
      <c r="M612" s="96">
        <f t="shared" si="30"/>
        <v>0</v>
      </c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19.347183458198955</v>
      </c>
      <c r="H613">
        <v>1.2297107747635201E-4</v>
      </c>
      <c r="I613">
        <v>-0.52471180221831892</v>
      </c>
      <c r="J613">
        <v>-6.4524375683345185E-5</v>
      </c>
      <c r="K613" s="96">
        <f t="shared" si="28"/>
        <v>1</v>
      </c>
      <c r="L613" s="96">
        <f t="shared" si="29"/>
        <v>0</v>
      </c>
      <c r="M613" s="96">
        <f t="shared" si="30"/>
        <v>0</v>
      </c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5.3063381309139874</v>
      </c>
      <c r="H614">
        <v>4.8749248570982405E-4</v>
      </c>
      <c r="I614">
        <v>-0.83788205209416888</v>
      </c>
      <c r="J614">
        <v>-4.0846120430703466E-4</v>
      </c>
      <c r="K614" s="96">
        <f t="shared" si="28"/>
        <v>1</v>
      </c>
      <c r="L614" s="96">
        <f t="shared" si="29"/>
        <v>0</v>
      </c>
      <c r="M614" s="96">
        <f t="shared" si="30"/>
        <v>0</v>
      </c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16.539014392741962</v>
      </c>
      <c r="H615">
        <v>4.8749248570982405E-4</v>
      </c>
      <c r="I615">
        <v>-0.57619998650173354</v>
      </c>
      <c r="J615">
        <v>-2.8089316368569715E-4</v>
      </c>
      <c r="K615" s="96">
        <f t="shared" si="28"/>
        <v>1</v>
      </c>
      <c r="L615" s="96">
        <f t="shared" si="29"/>
        <v>0</v>
      </c>
      <c r="M615" s="96">
        <f t="shared" si="30"/>
        <v>0</v>
      </c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24.963521589112943</v>
      </c>
      <c r="H616">
        <v>1.2297107747635201E-4</v>
      </c>
      <c r="I616">
        <v>-0.43512697832066027</v>
      </c>
      <c r="J616">
        <v>-5.3508033363120856E-5</v>
      </c>
      <c r="K616" s="96">
        <f t="shared" si="28"/>
        <v>1</v>
      </c>
      <c r="L616" s="96">
        <f t="shared" si="29"/>
        <v>0</v>
      </c>
      <c r="M616" s="96">
        <f t="shared" si="30"/>
        <v>0</v>
      </c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2.4981690654569939</v>
      </c>
      <c r="H617">
        <v>4.8749248570982405E-4</v>
      </c>
      <c r="I617">
        <v>-0.92010056771284432</v>
      </c>
      <c r="J617">
        <v>-4.4854211285735477E-4</v>
      </c>
      <c r="K617" s="96">
        <f t="shared" si="28"/>
        <v>1</v>
      </c>
      <c r="L617" s="96">
        <f t="shared" si="29"/>
        <v>0</v>
      </c>
      <c r="M617" s="96">
        <f t="shared" si="30"/>
        <v>0</v>
      </c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13.730845327284968</v>
      </c>
      <c r="H618">
        <v>4.8749248570982405E-4</v>
      </c>
      <c r="I618">
        <v>-0.63274053116582796</v>
      </c>
      <c r="J618">
        <v>-3.0845625434738384E-4</v>
      </c>
      <c r="K618" s="96">
        <f t="shared" si="28"/>
        <v>1</v>
      </c>
      <c r="L618" s="96">
        <f t="shared" si="29"/>
        <v>0</v>
      </c>
      <c r="M618" s="96">
        <f t="shared" si="30"/>
        <v>0</v>
      </c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22.155352523655949</v>
      </c>
      <c r="H619">
        <v>1.2297107747635201E-4</v>
      </c>
      <c r="I619">
        <v>-0.47782450856820335</v>
      </c>
      <c r="J619">
        <v>-5.8758594663240357E-5</v>
      </c>
      <c r="K619" s="96">
        <f t="shared" si="28"/>
        <v>1</v>
      </c>
      <c r="L619" s="96">
        <f t="shared" si="29"/>
        <v>0</v>
      </c>
      <c r="M619" s="96">
        <f t="shared" si="30"/>
        <v>0</v>
      </c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-0.5</v>
      </c>
      <c r="H620">
        <v>1.2297107747635201E-4</v>
      </c>
      <c r="I620">
        <v>-1.0168063303862609</v>
      </c>
      <c r="J620">
        <v>-1.2503777003237406E-4</v>
      </c>
      <c r="K620" s="96">
        <f t="shared" si="28"/>
        <v>1</v>
      </c>
      <c r="L620" s="96">
        <f t="shared" si="29"/>
        <v>0</v>
      </c>
      <c r="M620" s="96">
        <f t="shared" si="30"/>
        <v>0</v>
      </c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10.922676261827975</v>
      </c>
      <c r="H621">
        <v>1.2297107747635201E-4</v>
      </c>
      <c r="I621">
        <v>-0.694829207148566</v>
      </c>
      <c r="J621">
        <v>-8.5443896265098544E-5</v>
      </c>
      <c r="K621" s="96">
        <f t="shared" si="28"/>
        <v>1</v>
      </c>
      <c r="L621" s="96">
        <f t="shared" si="29"/>
        <v>0</v>
      </c>
      <c r="M621" s="96">
        <f t="shared" si="30"/>
        <v>0</v>
      </c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19.347183458198955</v>
      </c>
      <c r="H622">
        <v>3.1019731255295997E-5</v>
      </c>
      <c r="I622">
        <v>-0.52471180221831892</v>
      </c>
      <c r="J622">
        <v>-1.6276419091294279E-5</v>
      </c>
      <c r="K622" s="96">
        <f t="shared" si="28"/>
        <v>1</v>
      </c>
      <c r="L622" s="96">
        <f t="shared" si="29"/>
        <v>0</v>
      </c>
      <c r="M622" s="96">
        <f t="shared" si="30"/>
        <v>0</v>
      </c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5.3063381309139874</v>
      </c>
      <c r="H623">
        <v>4.8749248570982405E-4</v>
      </c>
      <c r="I623">
        <v>-0.83788205209416888</v>
      </c>
      <c r="J623">
        <v>-4.0846120430703466E-4</v>
      </c>
      <c r="K623" s="96">
        <f t="shared" si="28"/>
        <v>1</v>
      </c>
      <c r="L623" s="96">
        <f t="shared" si="29"/>
        <v>0</v>
      </c>
      <c r="M623" s="96">
        <f t="shared" si="30"/>
        <v>0</v>
      </c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16.539014392741962</v>
      </c>
      <c r="H624">
        <v>4.8749248570982405E-4</v>
      </c>
      <c r="I624">
        <v>-0.57619998650173354</v>
      </c>
      <c r="J624">
        <v>-2.8089316368569715E-4</v>
      </c>
      <c r="K624" s="96">
        <f t="shared" si="28"/>
        <v>1</v>
      </c>
      <c r="L624" s="96">
        <f t="shared" si="29"/>
        <v>0</v>
      </c>
      <c r="M624" s="96">
        <f t="shared" si="30"/>
        <v>0</v>
      </c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24.963521589112943</v>
      </c>
      <c r="H625">
        <v>1.2297107747635201E-4</v>
      </c>
      <c r="I625">
        <v>-0.43512697832066027</v>
      </c>
      <c r="J625">
        <v>-5.3508033363120856E-5</v>
      </c>
      <c r="K625" s="96">
        <f t="shared" si="28"/>
        <v>1</v>
      </c>
      <c r="L625" s="96">
        <f t="shared" si="29"/>
        <v>0</v>
      </c>
      <c r="M625" s="96">
        <f t="shared" si="30"/>
        <v>0</v>
      </c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2.4981690654569939</v>
      </c>
      <c r="H626">
        <v>4.8749248570982405E-4</v>
      </c>
      <c r="I626">
        <v>-0.92010056771284432</v>
      </c>
      <c r="J626">
        <v>-4.4854211285735477E-4</v>
      </c>
      <c r="K626" s="96">
        <f t="shared" si="28"/>
        <v>1</v>
      </c>
      <c r="L626" s="96">
        <f t="shared" si="29"/>
        <v>0</v>
      </c>
      <c r="M626" s="96">
        <f t="shared" si="30"/>
        <v>0</v>
      </c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13.730845327284968</v>
      </c>
      <c r="H627">
        <v>4.8749248570982405E-4</v>
      </c>
      <c r="I627">
        <v>-0.63274053116582796</v>
      </c>
      <c r="J627">
        <v>-3.0845625434738384E-4</v>
      </c>
      <c r="K627" s="96">
        <f t="shared" si="28"/>
        <v>1</v>
      </c>
      <c r="L627" s="96">
        <f t="shared" si="29"/>
        <v>0</v>
      </c>
      <c r="M627" s="96">
        <f t="shared" si="30"/>
        <v>0</v>
      </c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22.155352523655949</v>
      </c>
      <c r="H628">
        <v>1.2297107747635201E-4</v>
      </c>
      <c r="I628">
        <v>-0.47782450856820335</v>
      </c>
      <c r="J628">
        <v>-5.8758594663240357E-5</v>
      </c>
      <c r="K628" s="96">
        <f t="shared" si="28"/>
        <v>1</v>
      </c>
      <c r="L628" s="96">
        <f t="shared" si="29"/>
        <v>0</v>
      </c>
      <c r="M628" s="96">
        <f t="shared" si="30"/>
        <v>0</v>
      </c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-0.5</v>
      </c>
      <c r="H629">
        <v>1.2297107747635201E-4</v>
      </c>
      <c r="I629">
        <v>-1.0168063303862609</v>
      </c>
      <c r="J629">
        <v>-1.2503777003237406E-4</v>
      </c>
      <c r="K629" s="96">
        <f t="shared" si="28"/>
        <v>1</v>
      </c>
      <c r="L629" s="96">
        <f t="shared" si="29"/>
        <v>0</v>
      </c>
      <c r="M629" s="96">
        <f t="shared" si="30"/>
        <v>0</v>
      </c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10.922676261827975</v>
      </c>
      <c r="H630">
        <v>1.2297107747635201E-4</v>
      </c>
      <c r="I630">
        <v>-0.694829207148566</v>
      </c>
      <c r="J630">
        <v>-8.5443896265098544E-5</v>
      </c>
      <c r="K630" s="96">
        <f t="shared" si="28"/>
        <v>1</v>
      </c>
      <c r="L630" s="96">
        <f t="shared" si="29"/>
        <v>0</v>
      </c>
      <c r="M630" s="96">
        <f t="shared" si="30"/>
        <v>0</v>
      </c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19.347183458198955</v>
      </c>
      <c r="H631">
        <v>3.1019731255295997E-5</v>
      </c>
      <c r="I631">
        <v>-0.52471180221831892</v>
      </c>
      <c r="J631">
        <v>-1.6276419091294279E-5</v>
      </c>
      <c r="K631" s="96">
        <f t="shared" si="28"/>
        <v>1</v>
      </c>
      <c r="L631" s="96">
        <f t="shared" si="29"/>
        <v>0</v>
      </c>
      <c r="M631" s="96">
        <f t="shared" si="30"/>
        <v>0</v>
      </c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5.3063381309139874</v>
      </c>
      <c r="H632">
        <v>4.8749248570982405E-4</v>
      </c>
      <c r="I632">
        <v>-0.83788205209416888</v>
      </c>
      <c r="J632">
        <v>-4.0846120430703466E-4</v>
      </c>
      <c r="K632" s="96">
        <f t="shared" si="28"/>
        <v>1</v>
      </c>
      <c r="L632" s="96">
        <f t="shared" si="29"/>
        <v>0</v>
      </c>
      <c r="M632" s="96">
        <f t="shared" si="30"/>
        <v>0</v>
      </c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16.539014392741962</v>
      </c>
      <c r="H633">
        <v>4.8749248570982405E-4</v>
      </c>
      <c r="I633">
        <v>-0.57619998650173354</v>
      </c>
      <c r="J633">
        <v>-2.8089316368569715E-4</v>
      </c>
      <c r="K633" s="96">
        <f t="shared" si="28"/>
        <v>1</v>
      </c>
      <c r="L633" s="96">
        <f t="shared" si="29"/>
        <v>0</v>
      </c>
      <c r="M633" s="96">
        <f t="shared" si="30"/>
        <v>0</v>
      </c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24.963521589112943</v>
      </c>
      <c r="H634">
        <v>1.2297107747635201E-4</v>
      </c>
      <c r="I634">
        <v>-0.43512697832066027</v>
      </c>
      <c r="J634">
        <v>-5.3508033363120856E-5</v>
      </c>
      <c r="K634" s="96">
        <f t="shared" si="28"/>
        <v>1</v>
      </c>
      <c r="L634" s="96">
        <f t="shared" si="29"/>
        <v>0</v>
      </c>
      <c r="M634" s="96">
        <f t="shared" si="30"/>
        <v>0</v>
      </c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2.4981690654569939</v>
      </c>
      <c r="H635">
        <v>4.8749248570982405E-4</v>
      </c>
      <c r="I635">
        <v>-0.92010056771284432</v>
      </c>
      <c r="J635">
        <v>-4.4854211285735477E-4</v>
      </c>
      <c r="K635" s="96">
        <f t="shared" si="28"/>
        <v>1</v>
      </c>
      <c r="L635" s="96">
        <f t="shared" si="29"/>
        <v>0</v>
      </c>
      <c r="M635" s="96">
        <f t="shared" si="30"/>
        <v>0</v>
      </c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13.730845327284968</v>
      </c>
      <c r="H636">
        <v>4.8749248570982405E-4</v>
      </c>
      <c r="I636">
        <v>-0.63274053116582796</v>
      </c>
      <c r="J636">
        <v>-3.0845625434738384E-4</v>
      </c>
      <c r="K636" s="96">
        <f t="shared" si="28"/>
        <v>1</v>
      </c>
      <c r="L636" s="96">
        <f t="shared" si="29"/>
        <v>0</v>
      </c>
      <c r="M636" s="96">
        <f t="shared" si="30"/>
        <v>0</v>
      </c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22.155352523655949</v>
      </c>
      <c r="H637">
        <v>1.2297107747635201E-4</v>
      </c>
      <c r="I637">
        <v>-0.47782450856820335</v>
      </c>
      <c r="J637">
        <v>-5.8758594663240357E-5</v>
      </c>
      <c r="K637" s="96">
        <f t="shared" si="28"/>
        <v>1</v>
      </c>
      <c r="L637" s="96">
        <f t="shared" si="29"/>
        <v>0</v>
      </c>
      <c r="M637" s="96">
        <f t="shared" si="30"/>
        <v>0</v>
      </c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-0.5</v>
      </c>
      <c r="H638">
        <v>1.2297107747635201E-4</v>
      </c>
      <c r="I638">
        <v>-1.0168063303862609</v>
      </c>
      <c r="J638">
        <v>-1.2503777003237406E-4</v>
      </c>
      <c r="K638" s="96">
        <f t="shared" si="28"/>
        <v>1</v>
      </c>
      <c r="L638" s="96">
        <f t="shared" si="29"/>
        <v>0</v>
      </c>
      <c r="M638" s="96">
        <f t="shared" si="30"/>
        <v>0</v>
      </c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10.922676261827975</v>
      </c>
      <c r="H639">
        <v>1.2297107747635201E-4</v>
      </c>
      <c r="I639">
        <v>-0.694829207148566</v>
      </c>
      <c r="J639">
        <v>-8.5443896265098544E-5</v>
      </c>
      <c r="K639" s="96">
        <f t="shared" si="28"/>
        <v>1</v>
      </c>
      <c r="L639" s="96">
        <f t="shared" si="29"/>
        <v>0</v>
      </c>
      <c r="M639" s="96">
        <f t="shared" si="30"/>
        <v>0</v>
      </c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19.347183458198955</v>
      </c>
      <c r="H640">
        <v>3.1019731255295997E-5</v>
      </c>
      <c r="I640">
        <v>-0.52471180221831892</v>
      </c>
      <c r="J640">
        <v>-1.6276419091294279E-5</v>
      </c>
      <c r="K640" s="96">
        <f t="shared" si="28"/>
        <v>1</v>
      </c>
      <c r="L640" s="96">
        <f t="shared" si="29"/>
        <v>0</v>
      </c>
      <c r="M640" s="96">
        <f t="shared" si="30"/>
        <v>0</v>
      </c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5.3063381309139874</v>
      </c>
      <c r="H641">
        <v>1.2297107747635201E-4</v>
      </c>
      <c r="I641">
        <v>-0.83788205209416888</v>
      </c>
      <c r="J641">
        <v>-1.0303525874411685E-4</v>
      </c>
      <c r="K641" s="96">
        <f t="shared" si="28"/>
        <v>1</v>
      </c>
      <c r="L641" s="96">
        <f t="shared" si="29"/>
        <v>0</v>
      </c>
      <c r="M641" s="96">
        <f t="shared" si="30"/>
        <v>0</v>
      </c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16.539014392741962</v>
      </c>
      <c r="H642">
        <v>1.2297107747635201E-4</v>
      </c>
      <c r="I642">
        <v>-0.57619998650173354</v>
      </c>
      <c r="J642">
        <v>-7.0855933181977653E-5</v>
      </c>
      <c r="K642" s="96">
        <f t="shared" si="28"/>
        <v>1</v>
      </c>
      <c r="L642" s="96">
        <f t="shared" si="29"/>
        <v>0</v>
      </c>
      <c r="M642" s="96">
        <f t="shared" si="30"/>
        <v>0</v>
      </c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24.963521589112943</v>
      </c>
      <c r="H643">
        <v>3.1019731255295997E-5</v>
      </c>
      <c r="I643">
        <v>-0.43512697832066027</v>
      </c>
      <c r="J643">
        <v>-1.3497521929435888E-5</v>
      </c>
      <c r="K643" s="96">
        <f t="shared" ref="K643:K706" si="31">IF(A643=3,1,0)</f>
        <v>1</v>
      </c>
      <c r="L643" s="96">
        <f t="shared" ref="L643:L706" si="32">IF(A643=2,1,0)</f>
        <v>0</v>
      </c>
      <c r="M643" s="96">
        <f t="shared" ref="M643:M706" si="33">IF(A643=1,1,0)</f>
        <v>0</v>
      </c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2.4981690654569939</v>
      </c>
      <c r="H644">
        <v>1.2297107747635201E-4</v>
      </c>
      <c r="I644">
        <v>-0.92010056771284432</v>
      </c>
      <c r="J644">
        <v>-1.1314575819825165E-4</v>
      </c>
      <c r="K644" s="96">
        <f t="shared" si="31"/>
        <v>1</v>
      </c>
      <c r="L644" s="96">
        <f t="shared" si="32"/>
        <v>0</v>
      </c>
      <c r="M644" s="96">
        <f t="shared" si="33"/>
        <v>0</v>
      </c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13.730845327284968</v>
      </c>
      <c r="H645">
        <v>1.2297107747635201E-4</v>
      </c>
      <c r="I645">
        <v>-0.63274053116582796</v>
      </c>
      <c r="J645">
        <v>-7.7808784880421152E-5</v>
      </c>
      <c r="K645" s="96">
        <f t="shared" si="31"/>
        <v>1</v>
      </c>
      <c r="L645" s="96">
        <f t="shared" si="32"/>
        <v>0</v>
      </c>
      <c r="M645" s="96">
        <f t="shared" si="33"/>
        <v>0</v>
      </c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22.155352523655949</v>
      </c>
      <c r="H646">
        <v>3.1019731255295997E-5</v>
      </c>
      <c r="I646">
        <v>-0.47782450856820335</v>
      </c>
      <c r="J646">
        <v>-1.4821987842979546E-5</v>
      </c>
      <c r="K646" s="96">
        <f t="shared" si="31"/>
        <v>1</v>
      </c>
      <c r="L646" s="96">
        <f t="shared" si="32"/>
        <v>0</v>
      </c>
      <c r="M646" s="96">
        <f t="shared" si="33"/>
        <v>0</v>
      </c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-0.5</v>
      </c>
      <c r="H647">
        <v>3.1019731255296003E-5</v>
      </c>
      <c r="I647">
        <v>-1.0168063303862609</v>
      </c>
      <c r="J647">
        <v>-3.1541059107265532E-5</v>
      </c>
      <c r="K647" s="96">
        <f t="shared" si="31"/>
        <v>1</v>
      </c>
      <c r="L647" s="96">
        <f t="shared" si="32"/>
        <v>0</v>
      </c>
      <c r="M647" s="96">
        <f t="shared" si="33"/>
        <v>0</v>
      </c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10.922676261827975</v>
      </c>
      <c r="H648">
        <v>3.1019731255296003E-5</v>
      </c>
      <c r="I648">
        <v>-0.694829207148566</v>
      </c>
      <c r="J648">
        <v>-2.1553415274078913E-5</v>
      </c>
      <c r="K648" s="96">
        <f t="shared" si="31"/>
        <v>1</v>
      </c>
      <c r="L648" s="96">
        <f t="shared" si="32"/>
        <v>0</v>
      </c>
      <c r="M648" s="96">
        <f t="shared" si="33"/>
        <v>0</v>
      </c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19.347183458198955</v>
      </c>
      <c r="H649">
        <v>7.8247970734080004E-6</v>
      </c>
      <c r="I649">
        <v>-0.52471180221831892</v>
      </c>
      <c r="J649">
        <v>-4.1057633743805398E-6</v>
      </c>
      <c r="K649" s="96">
        <f t="shared" si="31"/>
        <v>1</v>
      </c>
      <c r="L649" s="96">
        <f t="shared" si="32"/>
        <v>0</v>
      </c>
      <c r="M649" s="96">
        <f t="shared" si="33"/>
        <v>0</v>
      </c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5.3063381309139874</v>
      </c>
      <c r="H650">
        <v>4.8749248570982415E-4</v>
      </c>
      <c r="I650">
        <v>-0.83788205209416888</v>
      </c>
      <c r="J650">
        <v>-4.0846120430703477E-4</v>
      </c>
      <c r="K650" s="96">
        <f t="shared" si="31"/>
        <v>1</v>
      </c>
      <c r="L650" s="96">
        <f t="shared" si="32"/>
        <v>0</v>
      </c>
      <c r="M650" s="96">
        <f t="shared" si="33"/>
        <v>0</v>
      </c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16.539014392741962</v>
      </c>
      <c r="H651">
        <v>4.8749248570982415E-4</v>
      </c>
      <c r="I651">
        <v>-0.57619998650173354</v>
      </c>
      <c r="J651">
        <v>-2.8089316368569721E-4</v>
      </c>
      <c r="K651" s="96">
        <f t="shared" si="31"/>
        <v>1</v>
      </c>
      <c r="L651" s="96">
        <f t="shared" si="32"/>
        <v>0</v>
      </c>
      <c r="M651" s="96">
        <f t="shared" si="33"/>
        <v>0</v>
      </c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24.963521589112943</v>
      </c>
      <c r="H652">
        <v>1.2297107747635203E-4</v>
      </c>
      <c r="I652">
        <v>-0.43512697832066027</v>
      </c>
      <c r="J652">
        <v>-5.3508033363120863E-5</v>
      </c>
      <c r="K652" s="96">
        <f t="shared" si="31"/>
        <v>1</v>
      </c>
      <c r="L652" s="96">
        <f t="shared" si="32"/>
        <v>0</v>
      </c>
      <c r="M652" s="96">
        <f t="shared" si="33"/>
        <v>0</v>
      </c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2.4981690654569939</v>
      </c>
      <c r="H653">
        <v>4.8749248570982415E-4</v>
      </c>
      <c r="I653">
        <v>-0.92010056771284432</v>
      </c>
      <c r="J653">
        <v>-4.4854211285735483E-4</v>
      </c>
      <c r="K653" s="96">
        <f t="shared" si="31"/>
        <v>1</v>
      </c>
      <c r="L653" s="96">
        <f t="shared" si="32"/>
        <v>0</v>
      </c>
      <c r="M653" s="96">
        <f t="shared" si="33"/>
        <v>0</v>
      </c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13.730845327284968</v>
      </c>
      <c r="H654">
        <v>4.8749248570982415E-4</v>
      </c>
      <c r="I654">
        <v>-0.63274053116582796</v>
      </c>
      <c r="J654">
        <v>-3.0845625434738395E-4</v>
      </c>
      <c r="K654" s="96">
        <f t="shared" si="31"/>
        <v>1</v>
      </c>
      <c r="L654" s="96">
        <f t="shared" si="32"/>
        <v>0</v>
      </c>
      <c r="M654" s="96">
        <f t="shared" si="33"/>
        <v>0</v>
      </c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22.155352523655949</v>
      </c>
      <c r="H655">
        <v>1.2297107747635203E-4</v>
      </c>
      <c r="I655">
        <v>-0.47782450856820335</v>
      </c>
      <c r="J655">
        <v>-5.8758594663240371E-5</v>
      </c>
      <c r="K655" s="96">
        <f t="shared" si="31"/>
        <v>1</v>
      </c>
      <c r="L655" s="96">
        <f t="shared" si="32"/>
        <v>0</v>
      </c>
      <c r="M655" s="96">
        <f t="shared" si="33"/>
        <v>0</v>
      </c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-0.5</v>
      </c>
      <c r="H656">
        <v>1.2297107747635203E-4</v>
      </c>
      <c r="I656">
        <v>-1.0168063303862609</v>
      </c>
      <c r="J656">
        <v>-1.2503777003237409E-4</v>
      </c>
      <c r="K656" s="96">
        <f t="shared" si="31"/>
        <v>1</v>
      </c>
      <c r="L656" s="96">
        <f t="shared" si="32"/>
        <v>0</v>
      </c>
      <c r="M656" s="96">
        <f t="shared" si="33"/>
        <v>0</v>
      </c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10.922676261827975</v>
      </c>
      <c r="H657">
        <v>1.2297107747635203E-4</v>
      </c>
      <c r="I657">
        <v>-0.694829207148566</v>
      </c>
      <c r="J657">
        <v>-8.5443896265098571E-5</v>
      </c>
      <c r="K657" s="96">
        <f t="shared" si="31"/>
        <v>1</v>
      </c>
      <c r="L657" s="96">
        <f t="shared" si="32"/>
        <v>0</v>
      </c>
      <c r="M657" s="96">
        <f t="shared" si="33"/>
        <v>0</v>
      </c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19.347183458198955</v>
      </c>
      <c r="H658">
        <v>3.1019731255296003E-5</v>
      </c>
      <c r="I658">
        <v>-0.52471180221831892</v>
      </c>
      <c r="J658">
        <v>-1.6276419091294283E-5</v>
      </c>
      <c r="K658" s="96">
        <f t="shared" si="31"/>
        <v>1</v>
      </c>
      <c r="L658" s="96">
        <f t="shared" si="32"/>
        <v>0</v>
      </c>
      <c r="M658" s="96">
        <f t="shared" si="33"/>
        <v>0</v>
      </c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5.3063381309139874</v>
      </c>
      <c r="H659">
        <v>4.8749248570982415E-4</v>
      </c>
      <c r="I659">
        <v>-0.83788205209416888</v>
      </c>
      <c r="J659">
        <v>-4.0846120430703477E-4</v>
      </c>
      <c r="K659" s="96">
        <f t="shared" si="31"/>
        <v>1</v>
      </c>
      <c r="L659" s="96">
        <f t="shared" si="32"/>
        <v>0</v>
      </c>
      <c r="M659" s="96">
        <f t="shared" si="33"/>
        <v>0</v>
      </c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16.539014392741962</v>
      </c>
      <c r="H660">
        <v>4.8749248570982415E-4</v>
      </c>
      <c r="I660">
        <v>-0.57619998650173354</v>
      </c>
      <c r="J660">
        <v>-2.8089316368569721E-4</v>
      </c>
      <c r="K660" s="96">
        <f t="shared" si="31"/>
        <v>1</v>
      </c>
      <c r="L660" s="96">
        <f t="shared" si="32"/>
        <v>0</v>
      </c>
      <c r="M660" s="96">
        <f t="shared" si="33"/>
        <v>0</v>
      </c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24.963521589112943</v>
      </c>
      <c r="H661">
        <v>1.2297107747635203E-4</v>
      </c>
      <c r="I661">
        <v>-0.43512697832066027</v>
      </c>
      <c r="J661">
        <v>-5.3508033363120863E-5</v>
      </c>
      <c r="K661" s="96">
        <f t="shared" si="31"/>
        <v>1</v>
      </c>
      <c r="L661" s="96">
        <f t="shared" si="32"/>
        <v>0</v>
      </c>
      <c r="M661" s="96">
        <f t="shared" si="33"/>
        <v>0</v>
      </c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2.4981690654569939</v>
      </c>
      <c r="H662">
        <v>4.8749248570982415E-4</v>
      </c>
      <c r="I662">
        <v>-0.92010056771284432</v>
      </c>
      <c r="J662">
        <v>-4.4854211285735483E-4</v>
      </c>
      <c r="K662" s="96">
        <f t="shared" si="31"/>
        <v>1</v>
      </c>
      <c r="L662" s="96">
        <f t="shared" si="32"/>
        <v>0</v>
      </c>
      <c r="M662" s="96">
        <f t="shared" si="33"/>
        <v>0</v>
      </c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13.730845327284968</v>
      </c>
      <c r="H663">
        <v>4.8749248570982415E-4</v>
      </c>
      <c r="I663">
        <v>-0.63274053116582796</v>
      </c>
      <c r="J663">
        <v>-3.0845625434738395E-4</v>
      </c>
      <c r="K663" s="96">
        <f t="shared" si="31"/>
        <v>1</v>
      </c>
      <c r="L663" s="96">
        <f t="shared" si="32"/>
        <v>0</v>
      </c>
      <c r="M663" s="96">
        <f t="shared" si="33"/>
        <v>0</v>
      </c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22.155352523655949</v>
      </c>
      <c r="H664">
        <v>1.2297107747635203E-4</v>
      </c>
      <c r="I664">
        <v>-0.47782450856820335</v>
      </c>
      <c r="J664">
        <v>-5.8758594663240371E-5</v>
      </c>
      <c r="K664" s="96">
        <f t="shared" si="31"/>
        <v>1</v>
      </c>
      <c r="L664" s="96">
        <f t="shared" si="32"/>
        <v>0</v>
      </c>
      <c r="M664" s="96">
        <f t="shared" si="33"/>
        <v>0</v>
      </c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-0.5</v>
      </c>
      <c r="H665">
        <v>1.2297107747635203E-4</v>
      </c>
      <c r="I665">
        <v>-1.0168063303862609</v>
      </c>
      <c r="J665">
        <v>-1.2503777003237409E-4</v>
      </c>
      <c r="K665" s="96">
        <f t="shared" si="31"/>
        <v>1</v>
      </c>
      <c r="L665" s="96">
        <f t="shared" si="32"/>
        <v>0</v>
      </c>
      <c r="M665" s="96">
        <f t="shared" si="33"/>
        <v>0</v>
      </c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10.922676261827975</v>
      </c>
      <c r="H666">
        <v>1.2297107747635203E-4</v>
      </c>
      <c r="I666">
        <v>-0.694829207148566</v>
      </c>
      <c r="J666">
        <v>-8.5443896265098571E-5</v>
      </c>
      <c r="K666" s="96">
        <f t="shared" si="31"/>
        <v>1</v>
      </c>
      <c r="L666" s="96">
        <f t="shared" si="32"/>
        <v>0</v>
      </c>
      <c r="M666" s="96">
        <f t="shared" si="33"/>
        <v>0</v>
      </c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19.347183458198955</v>
      </c>
      <c r="H667">
        <v>3.1019731255296003E-5</v>
      </c>
      <c r="I667">
        <v>-0.52471180221831892</v>
      </c>
      <c r="J667">
        <v>-1.6276419091294283E-5</v>
      </c>
      <c r="K667" s="96">
        <f t="shared" si="31"/>
        <v>1</v>
      </c>
      <c r="L667" s="96">
        <f t="shared" si="32"/>
        <v>0</v>
      </c>
      <c r="M667" s="96">
        <f t="shared" si="33"/>
        <v>0</v>
      </c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5.3063381309139874</v>
      </c>
      <c r="H668">
        <v>1.2297107747635203E-4</v>
      </c>
      <c r="I668">
        <v>-0.83788205209416888</v>
      </c>
      <c r="J668">
        <v>-1.0303525874411688E-4</v>
      </c>
      <c r="K668" s="96">
        <f t="shared" si="31"/>
        <v>1</v>
      </c>
      <c r="L668" s="96">
        <f t="shared" si="32"/>
        <v>0</v>
      </c>
      <c r="M668" s="96">
        <f t="shared" si="33"/>
        <v>0</v>
      </c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16.539014392741962</v>
      </c>
      <c r="H669">
        <v>1.2297107747635203E-4</v>
      </c>
      <c r="I669">
        <v>-0.57619998650173354</v>
      </c>
      <c r="J669">
        <v>-7.0855933181977667E-5</v>
      </c>
      <c r="K669" s="96">
        <f t="shared" si="31"/>
        <v>1</v>
      </c>
      <c r="L669" s="96">
        <f t="shared" si="32"/>
        <v>0</v>
      </c>
      <c r="M669" s="96">
        <f t="shared" si="33"/>
        <v>0</v>
      </c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24.963521589112943</v>
      </c>
      <c r="H670">
        <v>3.1019731255296003E-5</v>
      </c>
      <c r="I670">
        <v>-0.43512697832066027</v>
      </c>
      <c r="J670">
        <v>-1.3497521929435892E-5</v>
      </c>
      <c r="K670" s="96">
        <f t="shared" si="31"/>
        <v>1</v>
      </c>
      <c r="L670" s="96">
        <f t="shared" si="32"/>
        <v>0</v>
      </c>
      <c r="M670" s="96">
        <f t="shared" si="33"/>
        <v>0</v>
      </c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2.4981690654569939</v>
      </c>
      <c r="H671">
        <v>1.2297107747635203E-4</v>
      </c>
      <c r="I671">
        <v>-0.92010056771284432</v>
      </c>
      <c r="J671">
        <v>-1.1314575819825167E-4</v>
      </c>
      <c r="K671" s="96">
        <f t="shared" si="31"/>
        <v>1</v>
      </c>
      <c r="L671" s="96">
        <f t="shared" si="32"/>
        <v>0</v>
      </c>
      <c r="M671" s="96">
        <f t="shared" si="33"/>
        <v>0</v>
      </c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13.730845327284968</v>
      </c>
      <c r="H672">
        <v>1.2297107747635203E-4</v>
      </c>
      <c r="I672">
        <v>-0.63274053116582796</v>
      </c>
      <c r="J672">
        <v>-7.7808784880421166E-5</v>
      </c>
      <c r="K672" s="96">
        <f t="shared" si="31"/>
        <v>1</v>
      </c>
      <c r="L672" s="96">
        <f t="shared" si="32"/>
        <v>0</v>
      </c>
      <c r="M672" s="96">
        <f t="shared" si="33"/>
        <v>0</v>
      </c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22.155352523655949</v>
      </c>
      <c r="H673">
        <v>3.1019731255296003E-5</v>
      </c>
      <c r="I673">
        <v>-0.47782450856820335</v>
      </c>
      <c r="J673">
        <v>-1.482198784297955E-5</v>
      </c>
      <c r="K673" s="96">
        <f t="shared" si="31"/>
        <v>1</v>
      </c>
      <c r="L673" s="96">
        <f t="shared" si="32"/>
        <v>0</v>
      </c>
      <c r="M673" s="96">
        <f t="shared" si="33"/>
        <v>0</v>
      </c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-0.5</v>
      </c>
      <c r="H674">
        <v>3.1019731255296003E-5</v>
      </c>
      <c r="I674">
        <v>-1.0168063303862609</v>
      </c>
      <c r="J674">
        <v>-3.1541059107265532E-5</v>
      </c>
      <c r="K674" s="96">
        <f t="shared" si="31"/>
        <v>1</v>
      </c>
      <c r="L674" s="96">
        <f t="shared" si="32"/>
        <v>0</v>
      </c>
      <c r="M674" s="96">
        <f t="shared" si="33"/>
        <v>0</v>
      </c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10.922676261827975</v>
      </c>
      <c r="H675">
        <v>3.1019731255296003E-5</v>
      </c>
      <c r="I675">
        <v>-0.694829207148566</v>
      </c>
      <c r="J675">
        <v>-2.1553415274078913E-5</v>
      </c>
      <c r="K675" s="96">
        <f t="shared" si="31"/>
        <v>1</v>
      </c>
      <c r="L675" s="96">
        <f t="shared" si="32"/>
        <v>0</v>
      </c>
      <c r="M675" s="96">
        <f t="shared" si="33"/>
        <v>0</v>
      </c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19.347183458198955</v>
      </c>
      <c r="H676">
        <v>7.8247970734080021E-6</v>
      </c>
      <c r="I676">
        <v>-0.52471180221831892</v>
      </c>
      <c r="J676">
        <v>-4.1057633743805406E-6</v>
      </c>
      <c r="K676" s="96">
        <f t="shared" si="31"/>
        <v>1</v>
      </c>
      <c r="L676" s="96">
        <f t="shared" si="32"/>
        <v>0</v>
      </c>
      <c r="M676" s="96">
        <f t="shared" si="33"/>
        <v>0</v>
      </c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5.3063381309139874</v>
      </c>
      <c r="H677">
        <v>4.8749248570982415E-4</v>
      </c>
      <c r="I677">
        <v>-0.83788205209416888</v>
      </c>
      <c r="J677">
        <v>-4.0846120430703477E-4</v>
      </c>
      <c r="K677" s="96">
        <f t="shared" si="31"/>
        <v>1</v>
      </c>
      <c r="L677" s="96">
        <f t="shared" si="32"/>
        <v>0</v>
      </c>
      <c r="M677" s="96">
        <f t="shared" si="33"/>
        <v>0</v>
      </c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16.539014392741962</v>
      </c>
      <c r="H678">
        <v>4.8749248570982415E-4</v>
      </c>
      <c r="I678">
        <v>-0.57619998650173354</v>
      </c>
      <c r="J678">
        <v>-2.8089316368569721E-4</v>
      </c>
      <c r="K678" s="96">
        <f t="shared" si="31"/>
        <v>1</v>
      </c>
      <c r="L678" s="96">
        <f t="shared" si="32"/>
        <v>0</v>
      </c>
      <c r="M678" s="96">
        <f t="shared" si="33"/>
        <v>0</v>
      </c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24.963521589112943</v>
      </c>
      <c r="H679">
        <v>1.2297107747635203E-4</v>
      </c>
      <c r="I679">
        <v>-0.43512697832066027</v>
      </c>
      <c r="J679">
        <v>-5.3508033363120863E-5</v>
      </c>
      <c r="K679" s="96">
        <f t="shared" si="31"/>
        <v>1</v>
      </c>
      <c r="L679" s="96">
        <f t="shared" si="32"/>
        <v>0</v>
      </c>
      <c r="M679" s="96">
        <f t="shared" si="33"/>
        <v>0</v>
      </c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2.4981690654569939</v>
      </c>
      <c r="H680">
        <v>4.8749248570982415E-4</v>
      </c>
      <c r="I680">
        <v>-0.92010056771284432</v>
      </c>
      <c r="J680">
        <v>-4.4854211285735483E-4</v>
      </c>
      <c r="K680" s="96">
        <f t="shared" si="31"/>
        <v>1</v>
      </c>
      <c r="L680" s="96">
        <f t="shared" si="32"/>
        <v>0</v>
      </c>
      <c r="M680" s="96">
        <f t="shared" si="33"/>
        <v>0</v>
      </c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13.730845327284968</v>
      </c>
      <c r="H681">
        <v>4.8749248570982415E-4</v>
      </c>
      <c r="I681">
        <v>-0.63274053116582796</v>
      </c>
      <c r="J681">
        <v>-3.0845625434738395E-4</v>
      </c>
      <c r="K681" s="96">
        <f t="shared" si="31"/>
        <v>1</v>
      </c>
      <c r="L681" s="96">
        <f t="shared" si="32"/>
        <v>0</v>
      </c>
      <c r="M681" s="96">
        <f t="shared" si="33"/>
        <v>0</v>
      </c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22.155352523655949</v>
      </c>
      <c r="H682">
        <v>1.2297107747635203E-4</v>
      </c>
      <c r="I682">
        <v>-0.47782450856820335</v>
      </c>
      <c r="J682">
        <v>-5.8758594663240371E-5</v>
      </c>
      <c r="K682" s="96">
        <f t="shared" si="31"/>
        <v>1</v>
      </c>
      <c r="L682" s="96">
        <f t="shared" si="32"/>
        <v>0</v>
      </c>
      <c r="M682" s="96">
        <f t="shared" si="33"/>
        <v>0</v>
      </c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-0.5</v>
      </c>
      <c r="H683">
        <v>1.2297107747635203E-4</v>
      </c>
      <c r="I683">
        <v>-1.0168063303862609</v>
      </c>
      <c r="J683">
        <v>-1.2503777003237409E-4</v>
      </c>
      <c r="K683" s="96">
        <f t="shared" si="31"/>
        <v>1</v>
      </c>
      <c r="L683" s="96">
        <f t="shared" si="32"/>
        <v>0</v>
      </c>
      <c r="M683" s="96">
        <f t="shared" si="33"/>
        <v>0</v>
      </c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10.922676261827975</v>
      </c>
      <c r="H684">
        <v>1.2297107747635203E-4</v>
      </c>
      <c r="I684">
        <v>-0.694829207148566</v>
      </c>
      <c r="J684">
        <v>-8.5443896265098571E-5</v>
      </c>
      <c r="K684" s="96">
        <f t="shared" si="31"/>
        <v>1</v>
      </c>
      <c r="L684" s="96">
        <f t="shared" si="32"/>
        <v>0</v>
      </c>
      <c r="M684" s="96">
        <f t="shared" si="33"/>
        <v>0</v>
      </c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19.347183458198955</v>
      </c>
      <c r="H685">
        <v>3.1019731255296003E-5</v>
      </c>
      <c r="I685">
        <v>-0.52471180221831892</v>
      </c>
      <c r="J685">
        <v>-1.6276419091294283E-5</v>
      </c>
      <c r="K685" s="96">
        <f t="shared" si="31"/>
        <v>1</v>
      </c>
      <c r="L685" s="96">
        <f t="shared" si="32"/>
        <v>0</v>
      </c>
      <c r="M685" s="96">
        <f t="shared" si="33"/>
        <v>0</v>
      </c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5.3063381309139874</v>
      </c>
      <c r="H686">
        <v>4.8749248570982415E-4</v>
      </c>
      <c r="I686">
        <v>-0.83788205209416888</v>
      </c>
      <c r="J686">
        <v>-4.0846120430703477E-4</v>
      </c>
      <c r="K686" s="96">
        <f t="shared" si="31"/>
        <v>1</v>
      </c>
      <c r="L686" s="96">
        <f t="shared" si="32"/>
        <v>0</v>
      </c>
      <c r="M686" s="96">
        <f t="shared" si="33"/>
        <v>0</v>
      </c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16.539014392741962</v>
      </c>
      <c r="H687">
        <v>4.8749248570982415E-4</v>
      </c>
      <c r="I687">
        <v>-0.57619998650173354</v>
      </c>
      <c r="J687">
        <v>-2.8089316368569721E-4</v>
      </c>
      <c r="K687" s="96">
        <f t="shared" si="31"/>
        <v>1</v>
      </c>
      <c r="L687" s="96">
        <f t="shared" si="32"/>
        <v>0</v>
      </c>
      <c r="M687" s="96">
        <f t="shared" si="33"/>
        <v>0</v>
      </c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24.963521589112943</v>
      </c>
      <c r="H688">
        <v>1.2297107747635203E-4</v>
      </c>
      <c r="I688">
        <v>-0.43512697832066027</v>
      </c>
      <c r="J688">
        <v>-5.3508033363120863E-5</v>
      </c>
      <c r="K688" s="96">
        <f t="shared" si="31"/>
        <v>1</v>
      </c>
      <c r="L688" s="96">
        <f t="shared" si="32"/>
        <v>0</v>
      </c>
      <c r="M688" s="96">
        <f t="shared" si="33"/>
        <v>0</v>
      </c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2.4981690654569939</v>
      </c>
      <c r="H689">
        <v>4.8749248570982415E-4</v>
      </c>
      <c r="I689">
        <v>-0.92010056771284432</v>
      </c>
      <c r="J689">
        <v>-4.4854211285735483E-4</v>
      </c>
      <c r="K689" s="96">
        <f t="shared" si="31"/>
        <v>1</v>
      </c>
      <c r="L689" s="96">
        <f t="shared" si="32"/>
        <v>0</v>
      </c>
      <c r="M689" s="96">
        <f t="shared" si="33"/>
        <v>0</v>
      </c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13.730845327284968</v>
      </c>
      <c r="H690">
        <v>4.8749248570982415E-4</v>
      </c>
      <c r="I690">
        <v>-0.63274053116582796</v>
      </c>
      <c r="J690">
        <v>-3.0845625434738395E-4</v>
      </c>
      <c r="K690" s="96">
        <f t="shared" si="31"/>
        <v>1</v>
      </c>
      <c r="L690" s="96">
        <f t="shared" si="32"/>
        <v>0</v>
      </c>
      <c r="M690" s="96">
        <f t="shared" si="33"/>
        <v>0</v>
      </c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22.155352523655949</v>
      </c>
      <c r="H691">
        <v>1.2297107747635203E-4</v>
      </c>
      <c r="I691">
        <v>-0.47782450856820335</v>
      </c>
      <c r="J691">
        <v>-5.8758594663240371E-5</v>
      </c>
      <c r="K691" s="96">
        <f t="shared" si="31"/>
        <v>1</v>
      </c>
      <c r="L691" s="96">
        <f t="shared" si="32"/>
        <v>0</v>
      </c>
      <c r="M691" s="96">
        <f t="shared" si="33"/>
        <v>0</v>
      </c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-0.5</v>
      </c>
      <c r="H692">
        <v>1.2297107747635203E-4</v>
      </c>
      <c r="I692">
        <v>-1.0168063303862609</v>
      </c>
      <c r="J692">
        <v>-1.2503777003237409E-4</v>
      </c>
      <c r="K692" s="96">
        <f t="shared" si="31"/>
        <v>1</v>
      </c>
      <c r="L692" s="96">
        <f t="shared" si="32"/>
        <v>0</v>
      </c>
      <c r="M692" s="96">
        <f t="shared" si="33"/>
        <v>0</v>
      </c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10.922676261827975</v>
      </c>
      <c r="H693">
        <v>1.2297107747635203E-4</v>
      </c>
      <c r="I693">
        <v>-0.694829207148566</v>
      </c>
      <c r="J693">
        <v>-8.5443896265098571E-5</v>
      </c>
      <c r="K693" s="96">
        <f t="shared" si="31"/>
        <v>1</v>
      </c>
      <c r="L693" s="96">
        <f t="shared" si="32"/>
        <v>0</v>
      </c>
      <c r="M693" s="96">
        <f t="shared" si="33"/>
        <v>0</v>
      </c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19.347183458198955</v>
      </c>
      <c r="H694">
        <v>3.1019731255296003E-5</v>
      </c>
      <c r="I694">
        <v>-0.52471180221831892</v>
      </c>
      <c r="J694">
        <v>-1.6276419091294283E-5</v>
      </c>
      <c r="K694" s="96">
        <f t="shared" si="31"/>
        <v>1</v>
      </c>
      <c r="L694" s="96">
        <f t="shared" si="32"/>
        <v>0</v>
      </c>
      <c r="M694" s="96">
        <f t="shared" si="33"/>
        <v>0</v>
      </c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5.3063381309139874</v>
      </c>
      <c r="H695">
        <v>1.2297107747635203E-4</v>
      </c>
      <c r="I695">
        <v>-0.83788205209416888</v>
      </c>
      <c r="J695">
        <v>-1.0303525874411688E-4</v>
      </c>
      <c r="K695" s="96">
        <f t="shared" si="31"/>
        <v>1</v>
      </c>
      <c r="L695" s="96">
        <f t="shared" si="32"/>
        <v>0</v>
      </c>
      <c r="M695" s="96">
        <f t="shared" si="33"/>
        <v>0</v>
      </c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16.539014392741962</v>
      </c>
      <c r="H696">
        <v>1.2297107747635203E-4</v>
      </c>
      <c r="I696">
        <v>-0.57619998650173354</v>
      </c>
      <c r="J696">
        <v>-7.0855933181977667E-5</v>
      </c>
      <c r="K696" s="96">
        <f t="shared" si="31"/>
        <v>1</v>
      </c>
      <c r="L696" s="96">
        <f t="shared" si="32"/>
        <v>0</v>
      </c>
      <c r="M696" s="96">
        <f t="shared" si="33"/>
        <v>0</v>
      </c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24.963521589112943</v>
      </c>
      <c r="H697">
        <v>3.1019731255296003E-5</v>
      </c>
      <c r="I697">
        <v>-0.43512697832066027</v>
      </c>
      <c r="J697">
        <v>-1.3497521929435892E-5</v>
      </c>
      <c r="K697" s="96">
        <f t="shared" si="31"/>
        <v>1</v>
      </c>
      <c r="L697" s="96">
        <f t="shared" si="32"/>
        <v>0</v>
      </c>
      <c r="M697" s="96">
        <f t="shared" si="33"/>
        <v>0</v>
      </c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2.4981690654569939</v>
      </c>
      <c r="H698">
        <v>1.2297107747635203E-4</v>
      </c>
      <c r="I698">
        <v>-0.92010056771284432</v>
      </c>
      <c r="J698">
        <v>-1.1314575819825167E-4</v>
      </c>
      <c r="K698" s="96">
        <f t="shared" si="31"/>
        <v>1</v>
      </c>
      <c r="L698" s="96">
        <f t="shared" si="32"/>
        <v>0</v>
      </c>
      <c r="M698" s="96">
        <f t="shared" si="33"/>
        <v>0</v>
      </c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13.730845327284968</v>
      </c>
      <c r="H699">
        <v>1.2297107747635203E-4</v>
      </c>
      <c r="I699">
        <v>-0.63274053116582796</v>
      </c>
      <c r="J699">
        <v>-7.7808784880421166E-5</v>
      </c>
      <c r="K699" s="96">
        <f t="shared" si="31"/>
        <v>1</v>
      </c>
      <c r="L699" s="96">
        <f t="shared" si="32"/>
        <v>0</v>
      </c>
      <c r="M699" s="96">
        <f t="shared" si="33"/>
        <v>0</v>
      </c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22.155352523655949</v>
      </c>
      <c r="H700">
        <v>3.1019731255296003E-5</v>
      </c>
      <c r="I700">
        <v>-0.47782450856820335</v>
      </c>
      <c r="J700">
        <v>-1.482198784297955E-5</v>
      </c>
      <c r="K700" s="96">
        <f t="shared" si="31"/>
        <v>1</v>
      </c>
      <c r="L700" s="96">
        <f t="shared" si="32"/>
        <v>0</v>
      </c>
      <c r="M700" s="96">
        <f t="shared" si="33"/>
        <v>0</v>
      </c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-0.5</v>
      </c>
      <c r="H701">
        <v>3.1019731255296003E-5</v>
      </c>
      <c r="I701">
        <v>-1.0168063303862609</v>
      </c>
      <c r="J701">
        <v>-3.1541059107265532E-5</v>
      </c>
      <c r="K701" s="96">
        <f t="shared" si="31"/>
        <v>1</v>
      </c>
      <c r="L701" s="96">
        <f t="shared" si="32"/>
        <v>0</v>
      </c>
      <c r="M701" s="96">
        <f t="shared" si="33"/>
        <v>0</v>
      </c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10.922676261827975</v>
      </c>
      <c r="H702">
        <v>3.1019731255296003E-5</v>
      </c>
      <c r="I702">
        <v>-0.694829207148566</v>
      </c>
      <c r="J702">
        <v>-2.1553415274078913E-5</v>
      </c>
      <c r="K702" s="96">
        <f t="shared" si="31"/>
        <v>1</v>
      </c>
      <c r="L702" s="96">
        <f t="shared" si="32"/>
        <v>0</v>
      </c>
      <c r="M702" s="96">
        <f t="shared" si="33"/>
        <v>0</v>
      </c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19.347183458198955</v>
      </c>
      <c r="H703">
        <v>7.8247970734080021E-6</v>
      </c>
      <c r="I703">
        <v>-0.52471180221831892</v>
      </c>
      <c r="J703">
        <v>-4.1057633743805406E-6</v>
      </c>
      <c r="K703" s="96">
        <f t="shared" si="31"/>
        <v>1</v>
      </c>
      <c r="L703" s="96">
        <f t="shared" si="32"/>
        <v>0</v>
      </c>
      <c r="M703" s="96">
        <f t="shared" si="33"/>
        <v>0</v>
      </c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5.3063381309139874</v>
      </c>
      <c r="H704">
        <v>1.2297107747635203E-4</v>
      </c>
      <c r="I704">
        <v>-0.83788205209416888</v>
      </c>
      <c r="J704">
        <v>-1.0303525874411688E-4</v>
      </c>
      <c r="K704" s="96">
        <f t="shared" si="31"/>
        <v>1</v>
      </c>
      <c r="L704" s="96">
        <f t="shared" si="32"/>
        <v>0</v>
      </c>
      <c r="M704" s="96">
        <f t="shared" si="33"/>
        <v>0</v>
      </c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16.539014392741962</v>
      </c>
      <c r="H705">
        <v>1.2297107747635203E-4</v>
      </c>
      <c r="I705">
        <v>-0.57619998650173354</v>
      </c>
      <c r="J705">
        <v>-7.0855933181977667E-5</v>
      </c>
      <c r="K705" s="96">
        <f t="shared" si="31"/>
        <v>1</v>
      </c>
      <c r="L705" s="96">
        <f t="shared" si="32"/>
        <v>0</v>
      </c>
      <c r="M705" s="96">
        <f t="shared" si="33"/>
        <v>0</v>
      </c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24.963521589112943</v>
      </c>
      <c r="H706">
        <v>3.1019731255296003E-5</v>
      </c>
      <c r="I706">
        <v>-0.43512697832066027</v>
      </c>
      <c r="J706">
        <v>-1.3497521929435892E-5</v>
      </c>
      <c r="K706" s="96">
        <f t="shared" si="31"/>
        <v>1</v>
      </c>
      <c r="L706" s="96">
        <f t="shared" si="32"/>
        <v>0</v>
      </c>
      <c r="M706" s="96">
        <f t="shared" si="33"/>
        <v>0</v>
      </c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2.4981690654569939</v>
      </c>
      <c r="H707">
        <v>1.2297107747635203E-4</v>
      </c>
      <c r="I707">
        <v>-0.92010056771284432</v>
      </c>
      <c r="J707">
        <v>-1.1314575819825167E-4</v>
      </c>
      <c r="K707" s="96">
        <f t="shared" ref="K707:K730" si="34">IF(A707=3,1,0)</f>
        <v>1</v>
      </c>
      <c r="L707" s="96">
        <f t="shared" ref="L707:L730" si="35">IF(A707=2,1,0)</f>
        <v>0</v>
      </c>
      <c r="M707" s="96">
        <f t="shared" ref="M707:M730" si="36">IF(A707=1,1,0)</f>
        <v>0</v>
      </c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13.730845327284968</v>
      </c>
      <c r="H708">
        <v>1.2297107747635203E-4</v>
      </c>
      <c r="I708">
        <v>-0.63274053116582796</v>
      </c>
      <c r="J708">
        <v>-7.7808784880421166E-5</v>
      </c>
      <c r="K708" s="96">
        <f t="shared" si="34"/>
        <v>1</v>
      </c>
      <c r="L708" s="96">
        <f t="shared" si="35"/>
        <v>0</v>
      </c>
      <c r="M708" s="96">
        <f t="shared" si="36"/>
        <v>0</v>
      </c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22.155352523655949</v>
      </c>
      <c r="H709">
        <v>3.1019731255296003E-5</v>
      </c>
      <c r="I709">
        <v>-0.47782450856820335</v>
      </c>
      <c r="J709">
        <v>-1.482198784297955E-5</v>
      </c>
      <c r="K709" s="96">
        <f t="shared" si="34"/>
        <v>1</v>
      </c>
      <c r="L709" s="96">
        <f t="shared" si="35"/>
        <v>0</v>
      </c>
      <c r="M709" s="96">
        <f t="shared" si="36"/>
        <v>0</v>
      </c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-0.5</v>
      </c>
      <c r="H710">
        <v>3.1019731255296003E-5</v>
      </c>
      <c r="I710">
        <v>-1.0168063303862609</v>
      </c>
      <c r="J710">
        <v>-3.1541059107265532E-5</v>
      </c>
      <c r="K710" s="96">
        <f t="shared" si="34"/>
        <v>1</v>
      </c>
      <c r="L710" s="96">
        <f t="shared" si="35"/>
        <v>0</v>
      </c>
      <c r="M710" s="96">
        <f t="shared" si="36"/>
        <v>0</v>
      </c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10.922676261827975</v>
      </c>
      <c r="H711">
        <v>3.1019731255296003E-5</v>
      </c>
      <c r="I711">
        <v>-0.694829207148566</v>
      </c>
      <c r="J711">
        <v>-2.1553415274078913E-5</v>
      </c>
      <c r="K711" s="96">
        <f t="shared" si="34"/>
        <v>1</v>
      </c>
      <c r="L711" s="96">
        <f t="shared" si="35"/>
        <v>0</v>
      </c>
      <c r="M711" s="96">
        <f t="shared" si="36"/>
        <v>0</v>
      </c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19.347183458198955</v>
      </c>
      <c r="H712">
        <v>7.8247970734080021E-6</v>
      </c>
      <c r="I712">
        <v>-0.52471180221831892</v>
      </c>
      <c r="J712">
        <v>-4.1057633743805406E-6</v>
      </c>
      <c r="K712" s="96">
        <f t="shared" si="34"/>
        <v>1</v>
      </c>
      <c r="L712" s="96">
        <f t="shared" si="35"/>
        <v>0</v>
      </c>
      <c r="M712" s="96">
        <f t="shared" si="36"/>
        <v>0</v>
      </c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5.3063381309139874</v>
      </c>
      <c r="H713">
        <v>1.2297107747635203E-4</v>
      </c>
      <c r="I713">
        <v>-0.83788205209416888</v>
      </c>
      <c r="J713">
        <v>-1.0303525874411688E-4</v>
      </c>
      <c r="K713" s="96">
        <f t="shared" si="34"/>
        <v>1</v>
      </c>
      <c r="L713" s="96">
        <f t="shared" si="35"/>
        <v>0</v>
      </c>
      <c r="M713" s="96">
        <f t="shared" si="36"/>
        <v>0</v>
      </c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16.539014392741962</v>
      </c>
      <c r="H714">
        <v>1.2297107747635203E-4</v>
      </c>
      <c r="I714">
        <v>-0.57619998650173354</v>
      </c>
      <c r="J714">
        <v>-7.0855933181977667E-5</v>
      </c>
      <c r="K714" s="96">
        <f t="shared" si="34"/>
        <v>1</v>
      </c>
      <c r="L714" s="96">
        <f t="shared" si="35"/>
        <v>0</v>
      </c>
      <c r="M714" s="96">
        <f t="shared" si="36"/>
        <v>0</v>
      </c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24.963521589112943</v>
      </c>
      <c r="H715">
        <v>3.1019731255296003E-5</v>
      </c>
      <c r="I715">
        <v>-0.43512697832066027</v>
      </c>
      <c r="J715">
        <v>-1.3497521929435892E-5</v>
      </c>
      <c r="K715" s="96">
        <f t="shared" si="34"/>
        <v>1</v>
      </c>
      <c r="L715" s="96">
        <f t="shared" si="35"/>
        <v>0</v>
      </c>
      <c r="M715" s="96">
        <f t="shared" si="36"/>
        <v>0</v>
      </c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2.4981690654569939</v>
      </c>
      <c r="H716">
        <v>1.2297107747635203E-4</v>
      </c>
      <c r="I716">
        <v>-0.92010056771284432</v>
      </c>
      <c r="J716">
        <v>-1.1314575819825167E-4</v>
      </c>
      <c r="K716" s="96">
        <f t="shared" si="34"/>
        <v>1</v>
      </c>
      <c r="L716" s="96">
        <f t="shared" si="35"/>
        <v>0</v>
      </c>
      <c r="M716" s="96">
        <f t="shared" si="36"/>
        <v>0</v>
      </c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13.730845327284968</v>
      </c>
      <c r="H717">
        <v>1.2297107747635203E-4</v>
      </c>
      <c r="I717">
        <v>-0.63274053116582796</v>
      </c>
      <c r="J717">
        <v>-7.7808784880421166E-5</v>
      </c>
      <c r="K717" s="96">
        <f t="shared" si="34"/>
        <v>1</v>
      </c>
      <c r="L717" s="96">
        <f t="shared" si="35"/>
        <v>0</v>
      </c>
      <c r="M717" s="96">
        <f t="shared" si="36"/>
        <v>0</v>
      </c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22.155352523655949</v>
      </c>
      <c r="H718">
        <v>3.1019731255296003E-5</v>
      </c>
      <c r="I718">
        <v>-0.47782450856820335</v>
      </c>
      <c r="J718">
        <v>-1.482198784297955E-5</v>
      </c>
      <c r="K718" s="96">
        <f t="shared" si="34"/>
        <v>1</v>
      </c>
      <c r="L718" s="96">
        <f t="shared" si="35"/>
        <v>0</v>
      </c>
      <c r="M718" s="96">
        <f t="shared" si="36"/>
        <v>0</v>
      </c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-0.5</v>
      </c>
      <c r="H719">
        <v>3.1019731255296003E-5</v>
      </c>
      <c r="I719">
        <v>-1.0168063303862609</v>
      </c>
      <c r="J719">
        <v>-3.1541059107265532E-5</v>
      </c>
      <c r="K719" s="96">
        <f t="shared" si="34"/>
        <v>1</v>
      </c>
      <c r="L719" s="96">
        <f t="shared" si="35"/>
        <v>0</v>
      </c>
      <c r="M719" s="96">
        <f t="shared" si="36"/>
        <v>0</v>
      </c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10.922676261827975</v>
      </c>
      <c r="H720">
        <v>3.1019731255296003E-5</v>
      </c>
      <c r="I720">
        <v>-0.694829207148566</v>
      </c>
      <c r="J720">
        <v>-2.1553415274078913E-5</v>
      </c>
      <c r="K720" s="96">
        <f t="shared" si="34"/>
        <v>1</v>
      </c>
      <c r="L720" s="96">
        <f t="shared" si="35"/>
        <v>0</v>
      </c>
      <c r="M720" s="96">
        <f t="shared" si="36"/>
        <v>0</v>
      </c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19.347183458198955</v>
      </c>
      <c r="H721">
        <v>7.8247970734080021E-6</v>
      </c>
      <c r="I721">
        <v>-0.52471180221831892</v>
      </c>
      <c r="J721">
        <v>-4.1057633743805406E-6</v>
      </c>
      <c r="K721" s="96">
        <f t="shared" si="34"/>
        <v>1</v>
      </c>
      <c r="L721" s="96">
        <f t="shared" si="35"/>
        <v>0</v>
      </c>
      <c r="M721" s="96">
        <f t="shared" si="36"/>
        <v>0</v>
      </c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5.3063381309139874</v>
      </c>
      <c r="H722">
        <v>3.1019731255296003E-5</v>
      </c>
      <c r="I722">
        <v>-0.83788205209416888</v>
      </c>
      <c r="J722">
        <v>-2.5990876079597045E-5</v>
      </c>
      <c r="K722" s="96">
        <f t="shared" si="34"/>
        <v>1</v>
      </c>
      <c r="L722" s="96">
        <f t="shared" si="35"/>
        <v>0</v>
      </c>
      <c r="M722" s="96">
        <f t="shared" si="36"/>
        <v>0</v>
      </c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16.539014392741962</v>
      </c>
      <c r="H723">
        <v>3.1019731255296003E-5</v>
      </c>
      <c r="I723">
        <v>-0.57619998650173354</v>
      </c>
      <c r="J723">
        <v>-1.787356873058896E-5</v>
      </c>
      <c r="K723" s="96">
        <f t="shared" si="34"/>
        <v>1</v>
      </c>
      <c r="L723" s="96">
        <f t="shared" si="35"/>
        <v>0</v>
      </c>
      <c r="M723" s="96">
        <f t="shared" si="36"/>
        <v>0</v>
      </c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24.963521589112943</v>
      </c>
      <c r="H724">
        <v>7.8247970734080021E-6</v>
      </c>
      <c r="I724">
        <v>-0.43512697832066027</v>
      </c>
      <c r="J724">
        <v>-3.4047803065243696E-6</v>
      </c>
      <c r="K724" s="96">
        <f t="shared" si="34"/>
        <v>1</v>
      </c>
      <c r="L724" s="96">
        <f t="shared" si="35"/>
        <v>0</v>
      </c>
      <c r="M724" s="96">
        <f t="shared" si="36"/>
        <v>0</v>
      </c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2.4981690654569939</v>
      </c>
      <c r="H725">
        <v>3.1019731255296003E-5</v>
      </c>
      <c r="I725">
        <v>-0.92010056771284432</v>
      </c>
      <c r="J725">
        <v>-2.8541272338297713E-5</v>
      </c>
      <c r="K725" s="96">
        <f t="shared" si="34"/>
        <v>1</v>
      </c>
      <c r="L725" s="96">
        <f t="shared" si="35"/>
        <v>0</v>
      </c>
      <c r="M725" s="96">
        <f t="shared" si="36"/>
        <v>0</v>
      </c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13.730845327284968</v>
      </c>
      <c r="H726">
        <v>3.1019731255296003E-5</v>
      </c>
      <c r="I726">
        <v>-0.63274053116582796</v>
      </c>
      <c r="J726">
        <v>-1.9627441231097229E-5</v>
      </c>
      <c r="K726" s="96">
        <f t="shared" si="34"/>
        <v>1</v>
      </c>
      <c r="L726" s="96">
        <f t="shared" si="35"/>
        <v>0</v>
      </c>
      <c r="M726" s="96">
        <f t="shared" si="36"/>
        <v>0</v>
      </c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22.155352523655949</v>
      </c>
      <c r="H727">
        <v>7.8247970734080021E-6</v>
      </c>
      <c r="I727">
        <v>-0.47782450856820335</v>
      </c>
      <c r="J727">
        <v>-3.7388798162470943E-6</v>
      </c>
      <c r="K727" s="96">
        <f t="shared" si="34"/>
        <v>1</v>
      </c>
      <c r="L727" s="96">
        <f t="shared" si="35"/>
        <v>0</v>
      </c>
      <c r="M727" s="96">
        <f t="shared" si="36"/>
        <v>0</v>
      </c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-0.5</v>
      </c>
      <c r="H728">
        <v>7.8247970734080004E-6</v>
      </c>
      <c r="I728">
        <v>-1.0168063303862609</v>
      </c>
      <c r="J728">
        <v>-7.9563031982291422E-6</v>
      </c>
      <c r="K728" s="96">
        <f t="shared" si="34"/>
        <v>1</v>
      </c>
      <c r="L728" s="96">
        <f t="shared" si="35"/>
        <v>0</v>
      </c>
      <c r="M728" s="96">
        <f t="shared" si="36"/>
        <v>0</v>
      </c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10.922676261827975</v>
      </c>
      <c r="H729">
        <v>7.8247970734080004E-6</v>
      </c>
      <c r="I729">
        <v>-0.694829207148566</v>
      </c>
      <c r="J729">
        <v>-5.4368975466145001E-6</v>
      </c>
      <c r="K729" s="96">
        <f t="shared" si="34"/>
        <v>1</v>
      </c>
      <c r="L729" s="96">
        <f t="shared" si="35"/>
        <v>0</v>
      </c>
      <c r="M729" s="96">
        <f t="shared" si="36"/>
        <v>0</v>
      </c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19.347183458198955</v>
      </c>
      <c r="H730">
        <v>1.9738226851840002E-6</v>
      </c>
      <c r="I730">
        <v>-0.52471180221831892</v>
      </c>
      <c r="J730">
        <v>-1.0356880584022983E-6</v>
      </c>
      <c r="K730" s="96">
        <f t="shared" si="34"/>
        <v>1</v>
      </c>
      <c r="L730" s="96">
        <f t="shared" si="35"/>
        <v>0</v>
      </c>
      <c r="M730" s="96">
        <f t="shared" si="36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730"/>
  <sheetViews>
    <sheetView workbookViewId="0">
      <selection activeCell="N4" sqref="N4"/>
    </sheetView>
  </sheetViews>
  <sheetFormatPr defaultRowHeight="14.25" x14ac:dyDescent="0.45"/>
  <sheetData>
    <row r="1" spans="1:19" x14ac:dyDescent="0.45">
      <c r="G1" t="s">
        <v>84</v>
      </c>
      <c r="H1" t="s">
        <v>75</v>
      </c>
      <c r="I1" t="s">
        <v>87</v>
      </c>
      <c r="J1" t="s">
        <v>88</v>
      </c>
      <c r="K1" s="96"/>
      <c r="L1" s="96"/>
      <c r="M1" s="96"/>
      <c r="N1" s="96"/>
      <c r="O1" s="96"/>
      <c r="P1" s="96"/>
    </row>
    <row r="2" spans="1:19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-10.498144367067116</v>
      </c>
      <c r="H2">
        <v>7.6612180056514559E-3</v>
      </c>
      <c r="I2">
        <v>-1.4189797756919513</v>
      </c>
      <c r="J2">
        <v>-1.0871113407186441E-2</v>
      </c>
      <c r="K2" s="96"/>
      <c r="L2" s="96"/>
      <c r="M2" s="96"/>
      <c r="R2" s="97" t="s">
        <v>86</v>
      </c>
      <c r="S2" s="97">
        <f>SUM(J2:J730)</f>
        <v>-1.0972691205225757</v>
      </c>
    </row>
    <row r="3" spans="1:19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-4.494433101201353</v>
      </c>
      <c r="H3">
        <v>7.6612180056514559E-3</v>
      </c>
      <c r="I3">
        <v>-1.1616186689418568</v>
      </c>
      <c r="J3">
        <v>-8.8994138621982313E-3</v>
      </c>
      <c r="K3" s="96"/>
      <c r="L3" s="96"/>
      <c r="M3" s="96"/>
      <c r="R3" s="97"/>
      <c r="S3" s="97"/>
    </row>
    <row r="4" spans="1:19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-0.93397580145446879</v>
      </c>
      <c r="H4">
        <v>1.932559496921088E-3</v>
      </c>
      <c r="I4">
        <v>-1.0316222123306369</v>
      </c>
      <c r="J4">
        <v>-1.9936713036743155E-3</v>
      </c>
      <c r="K4" s="96"/>
      <c r="L4" s="96"/>
      <c r="M4" s="96"/>
      <c r="R4" s="97" t="s">
        <v>92</v>
      </c>
      <c r="S4" s="97">
        <f>-LN(-1*S2)/(1/risk_tol)</f>
        <v>-2.7847342587681974</v>
      </c>
    </row>
    <row r="5" spans="1:19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-11.999072183533562</v>
      </c>
      <c r="H5">
        <v>7.6612180056514559E-3</v>
      </c>
      <c r="I5">
        <v>-1.491778560370739</v>
      </c>
      <c r="J5">
        <v>-1.1428840767157113E-2</v>
      </c>
      <c r="K5" s="96"/>
      <c r="L5" s="96"/>
      <c r="M5" s="96"/>
      <c r="R5" s="97"/>
      <c r="S5" s="97"/>
    </row>
    <row r="6" spans="1:19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-5.995360917667794</v>
      </c>
      <c r="H6">
        <v>7.6612180056514559E-3</v>
      </c>
      <c r="I6">
        <v>-1.2212138998308388</v>
      </c>
      <c r="J6">
        <v>-9.3559859181358562E-3</v>
      </c>
      <c r="K6" s="96"/>
      <c r="L6" s="96"/>
      <c r="M6" s="96"/>
      <c r="R6" s="97" t="s">
        <v>83</v>
      </c>
      <c r="S6" s="97">
        <f>SUMPRODUCT(G2:G730,H2:H730)</f>
        <v>-0.74572027623473414</v>
      </c>
    </row>
    <row r="7" spans="1:19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-1.9970361511941874</v>
      </c>
      <c r="H7">
        <v>1.932559496921088E-3</v>
      </c>
      <c r="I7">
        <v>-1.068833505167333</v>
      </c>
      <c r="J7">
        <v>-2.0655843410385842E-3</v>
      </c>
      <c r="K7" s="96"/>
      <c r="L7" s="96"/>
      <c r="M7" s="96"/>
    </row>
    <row r="8" spans="1:19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-13.5</v>
      </c>
      <c r="H8">
        <v>1.932559496921088E-3</v>
      </c>
      <c r="I8">
        <v>-1.5683121854901689</v>
      </c>
      <c r="J8">
        <v>-3.0308566082060929E-3</v>
      </c>
      <c r="K8" s="96"/>
      <c r="L8" s="96"/>
      <c r="M8" s="96"/>
    </row>
    <row r="9" spans="1:19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-7.4962887341342359</v>
      </c>
      <c r="H9">
        <v>1.932559496921088E-3</v>
      </c>
      <c r="I9">
        <v>-1.2838665811892993</v>
      </c>
      <c r="J9">
        <v>-2.4811485542569896E-3</v>
      </c>
      <c r="K9" s="96"/>
      <c r="L9" s="96"/>
      <c r="M9" s="96"/>
    </row>
    <row r="10" spans="1:19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-3.0969561248808439</v>
      </c>
      <c r="H10">
        <v>4.8749248570982399E-4</v>
      </c>
      <c r="I10">
        <v>-1.1087484656991842</v>
      </c>
      <c r="J10">
        <v>-5.4050654557064883E-4</v>
      </c>
      <c r="K10" s="96"/>
      <c r="L10" s="96"/>
      <c r="M10" s="96"/>
    </row>
    <row r="11" spans="1:19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-11.998144367067116</v>
      </c>
      <c r="H11">
        <v>7.6612180056514559E-3</v>
      </c>
      <c r="I11">
        <v>-1.4917324245270824</v>
      </c>
      <c r="J11">
        <v>-1.1428487310400985E-2</v>
      </c>
      <c r="K11" s="96"/>
      <c r="L11" s="96"/>
      <c r="M11" s="96"/>
    </row>
    <row r="12" spans="1:19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-5.9944331012013539</v>
      </c>
      <c r="H12">
        <v>7.6612180056514559E-3</v>
      </c>
      <c r="I12">
        <v>-1.2211761316693637</v>
      </c>
      <c r="J12">
        <v>-9.3556965680171213E-3</v>
      </c>
      <c r="K12" s="96"/>
      <c r="L12" s="96"/>
      <c r="M12" s="96"/>
    </row>
    <row r="13" spans="1:19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-2.1000590811881086</v>
      </c>
      <c r="H13">
        <v>1.932559496921088E-3</v>
      </c>
      <c r="I13">
        <v>-1.0725102934248831</v>
      </c>
      <c r="J13">
        <v>-2.0726899531038805E-3</v>
      </c>
      <c r="K13" s="96"/>
      <c r="L13" s="96"/>
      <c r="M13" s="96"/>
    </row>
    <row r="14" spans="1:19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-13.499072183533562</v>
      </c>
      <c r="H14">
        <v>7.6612180056514559E-3</v>
      </c>
      <c r="I14">
        <v>-1.5682636827111935</v>
      </c>
      <c r="J14">
        <v>-1.2014809963596258E-2</v>
      </c>
      <c r="K14" s="96"/>
      <c r="L14" s="96"/>
      <c r="M14" s="96"/>
    </row>
    <row r="15" spans="1:19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-7.4953609176677931</v>
      </c>
      <c r="H15">
        <v>7.6612180056514559E-3</v>
      </c>
      <c r="I15">
        <v>-1.2838268753848059</v>
      </c>
      <c r="J15">
        <v>-9.8356775738373224E-3</v>
      </c>
      <c r="K15" s="96"/>
      <c r="L15" s="96"/>
      <c r="M15" s="96"/>
    </row>
    <row r="16" spans="1:19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-3.1922761173680878</v>
      </c>
      <c r="H16">
        <v>1.932559496921088E-3</v>
      </c>
      <c r="I16">
        <v>-1.1122769314669294</v>
      </c>
      <c r="J16">
        <v>-2.1495413471126607E-3</v>
      </c>
      <c r="K16" s="96"/>
      <c r="L16" s="96"/>
      <c r="M16" s="96"/>
    </row>
    <row r="17" spans="1:13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-15</v>
      </c>
      <c r="H17">
        <v>1.932559496921088E-3</v>
      </c>
      <c r="I17">
        <v>-1.6487212707001282</v>
      </c>
      <c r="J17">
        <v>-3.1862519494673365E-3</v>
      </c>
      <c r="K17" s="96"/>
      <c r="L17" s="96"/>
      <c r="M17" s="96"/>
    </row>
    <row r="18" spans="1:13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-8.9962887341342359</v>
      </c>
      <c r="H18">
        <v>1.932559496921088E-3</v>
      </c>
      <c r="I18">
        <v>-1.3496918284074122</v>
      </c>
      <c r="J18">
        <v>-2.6083597609055319E-3</v>
      </c>
      <c r="K18" s="96"/>
      <c r="L18" s="96"/>
      <c r="M18" s="96"/>
    </row>
    <row r="19" spans="1:13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-4.4935052847349111</v>
      </c>
      <c r="H19">
        <v>4.8749248570982399E-4</v>
      </c>
      <c r="I19">
        <v>-1.1615827438664319</v>
      </c>
      <c r="J19">
        <v>-5.6626285916508467E-4</v>
      </c>
      <c r="K19" s="96"/>
      <c r="L19" s="96"/>
      <c r="M19" s="96"/>
    </row>
    <row r="20" spans="1:13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-14.498144367067116</v>
      </c>
      <c r="H20">
        <v>1.932559496921088E-3</v>
      </c>
      <c r="I20">
        <v>-1.6213700130206068</v>
      </c>
      <c r="J20">
        <v>-3.1333940166860417E-3</v>
      </c>
      <c r="K20" s="96"/>
      <c r="L20" s="96"/>
      <c r="M20" s="96"/>
    </row>
    <row r="21" spans="1:13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-8.4944331012013539</v>
      </c>
      <c r="H21">
        <v>1.932559496921088E-3</v>
      </c>
      <c r="I21">
        <v>-1.3273012826901007</v>
      </c>
      <c r="J21">
        <v>-2.565088699138296E-3</v>
      </c>
      <c r="K21" s="96"/>
      <c r="L21" s="96"/>
      <c r="M21" s="96"/>
    </row>
    <row r="22" spans="1:13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-4.0975015023453762</v>
      </c>
      <c r="H22">
        <v>4.8749248570982399E-4</v>
      </c>
      <c r="I22">
        <v>-1.1463504604028865</v>
      </c>
      <c r="J22">
        <v>-5.5883723543640428E-4</v>
      </c>
      <c r="K22" s="96"/>
      <c r="L22" s="96"/>
      <c r="M22" s="96"/>
    </row>
    <row r="23" spans="1:13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-15.99907218353356</v>
      </c>
      <c r="H23">
        <v>1.932559496921088E-3</v>
      </c>
      <c r="I23">
        <v>-1.7045521474558718</v>
      </c>
      <c r="J23">
        <v>-3.2941484405630797E-3</v>
      </c>
      <c r="K23" s="96"/>
      <c r="L23" s="96"/>
      <c r="M23" s="96"/>
    </row>
    <row r="24" spans="1:13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-9.995360917667794</v>
      </c>
      <c r="H24">
        <v>1.932559496921088E-3</v>
      </c>
      <c r="I24">
        <v>-1.3953966297399316</v>
      </c>
      <c r="J24">
        <v>-2.6966870087755841E-3</v>
      </c>
      <c r="K24" s="96"/>
      <c r="L24" s="96"/>
      <c r="M24" s="96"/>
    </row>
    <row r="25" spans="1:13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-5.4925774682684709</v>
      </c>
      <c r="H25">
        <v>4.8749248570982399E-4</v>
      </c>
      <c r="I25">
        <v>-1.2009175812139636</v>
      </c>
      <c r="J25">
        <v>-5.8543829679862461E-4</v>
      </c>
      <c r="K25" s="96"/>
      <c r="L25" s="96"/>
      <c r="M25" s="96"/>
    </row>
    <row r="26" spans="1:13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-17.5</v>
      </c>
      <c r="H26">
        <v>4.8749248570982405E-4</v>
      </c>
      <c r="I26">
        <v>-1.7920018256557555</v>
      </c>
      <c r="J26">
        <v>-8.7358742438546698E-4</v>
      </c>
      <c r="K26" s="96"/>
      <c r="L26" s="96"/>
      <c r="M26" s="96"/>
    </row>
    <row r="27" spans="1:13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-11.496288734134236</v>
      </c>
      <c r="H27">
        <v>4.8749248570982405E-4</v>
      </c>
      <c r="I27">
        <v>-1.466985513901728</v>
      </c>
      <c r="J27">
        <v>-7.1514441467225706E-4</v>
      </c>
      <c r="K27" s="96"/>
      <c r="L27" s="96"/>
      <c r="M27" s="96"/>
    </row>
    <row r="28" spans="1:13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-6.9935052847349111</v>
      </c>
      <c r="H28">
        <v>1.2297107747635201E-4</v>
      </c>
      <c r="I28">
        <v>-1.2625289881624053</v>
      </c>
      <c r="J28">
        <v>-1.5525455001945946E-4</v>
      </c>
      <c r="K28" s="96"/>
      <c r="L28" s="96"/>
      <c r="M28" s="96"/>
    </row>
    <row r="29" spans="1:13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-10.498144367067116</v>
      </c>
      <c r="H29">
        <v>7.6612180056514559E-3</v>
      </c>
      <c r="I29">
        <v>-1.4189797756919513</v>
      </c>
      <c r="J29">
        <v>-1.0871113407186441E-2</v>
      </c>
      <c r="K29" s="96"/>
      <c r="L29" s="96"/>
      <c r="M29" s="96"/>
    </row>
    <row r="30" spans="1:13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-4.494433101201353</v>
      </c>
      <c r="H30">
        <v>7.6612180056514559E-3</v>
      </c>
      <c r="I30">
        <v>-1.1616186689418568</v>
      </c>
      <c r="J30">
        <v>-8.8994138621982313E-3</v>
      </c>
      <c r="K30" s="96"/>
      <c r="L30" s="96"/>
      <c r="M30" s="96"/>
    </row>
    <row r="31" spans="1:13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-0.93397580145446879</v>
      </c>
      <c r="H31">
        <v>1.932559496921088E-3</v>
      </c>
      <c r="I31">
        <v>-1.0316222123306369</v>
      </c>
      <c r="J31">
        <v>-1.9936713036743155E-3</v>
      </c>
      <c r="K31" s="96"/>
      <c r="L31" s="96"/>
      <c r="M31" s="96"/>
    </row>
    <row r="32" spans="1:13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-11.999072183533562</v>
      </c>
      <c r="H32">
        <v>7.6612180056514559E-3</v>
      </c>
      <c r="I32">
        <v>-1.491778560370739</v>
      </c>
      <c r="J32">
        <v>-1.1428840767157113E-2</v>
      </c>
      <c r="K32" s="96"/>
      <c r="L32" s="96"/>
      <c r="M32" s="96"/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-5.995360917667794</v>
      </c>
      <c r="H33">
        <v>7.6612180056514559E-3</v>
      </c>
      <c r="I33">
        <v>-1.2212138998308388</v>
      </c>
      <c r="J33">
        <v>-9.3559859181358562E-3</v>
      </c>
      <c r="K33" s="96"/>
      <c r="L33" s="96"/>
      <c r="M33" s="96"/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-1.9970361511941874</v>
      </c>
      <c r="H34">
        <v>1.932559496921088E-3</v>
      </c>
      <c r="I34">
        <v>-1.068833505167333</v>
      </c>
      <c r="J34">
        <v>-2.0655843410385842E-3</v>
      </c>
      <c r="K34" s="96"/>
      <c r="L34" s="96"/>
      <c r="M34" s="96"/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-13.5</v>
      </c>
      <c r="H35">
        <v>1.932559496921088E-3</v>
      </c>
      <c r="I35">
        <v>-1.5683121854901689</v>
      </c>
      <c r="J35">
        <v>-3.0308566082060929E-3</v>
      </c>
      <c r="K35" s="96"/>
      <c r="L35" s="96"/>
      <c r="M35" s="96"/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-7.4962887341342359</v>
      </c>
      <c r="H36">
        <v>1.932559496921088E-3</v>
      </c>
      <c r="I36">
        <v>-1.2838665811892993</v>
      </c>
      <c r="J36">
        <v>-2.4811485542569896E-3</v>
      </c>
      <c r="K36" s="96"/>
      <c r="L36" s="96"/>
      <c r="M36" s="96"/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-3.0969561248808439</v>
      </c>
      <c r="H37">
        <v>4.8749248570982399E-4</v>
      </c>
      <c r="I37">
        <v>-1.1087484656991842</v>
      </c>
      <c r="J37">
        <v>-5.4050654557064883E-4</v>
      </c>
      <c r="K37" s="96"/>
      <c r="L37" s="96"/>
      <c r="M37" s="96"/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-11.998144367067116</v>
      </c>
      <c r="H38">
        <v>7.6612180056514559E-3</v>
      </c>
      <c r="I38">
        <v>-1.4917324245270824</v>
      </c>
      <c r="J38">
        <v>-1.1428487310400985E-2</v>
      </c>
      <c r="K38" s="96"/>
      <c r="L38" s="96"/>
      <c r="M38" s="96"/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-5.9944331012013539</v>
      </c>
      <c r="H39">
        <v>7.6612180056514559E-3</v>
      </c>
      <c r="I39">
        <v>-1.2211761316693637</v>
      </c>
      <c r="J39">
        <v>-9.3556965680171213E-3</v>
      </c>
      <c r="K39" s="96"/>
      <c r="L39" s="96"/>
      <c r="M39" s="96"/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-2.1000590811881086</v>
      </c>
      <c r="H40">
        <v>1.932559496921088E-3</v>
      </c>
      <c r="I40">
        <v>-1.0725102934248831</v>
      </c>
      <c r="J40">
        <v>-2.0726899531038805E-3</v>
      </c>
      <c r="K40" s="96"/>
      <c r="L40" s="96"/>
      <c r="M40" s="96"/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-13.499072183533562</v>
      </c>
      <c r="H41">
        <v>7.6612180056514559E-3</v>
      </c>
      <c r="I41">
        <v>-1.5682636827111935</v>
      </c>
      <c r="J41">
        <v>-1.2014809963596258E-2</v>
      </c>
      <c r="K41" s="96"/>
      <c r="L41" s="96"/>
      <c r="M41" s="96"/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-7.4953609176677931</v>
      </c>
      <c r="H42">
        <v>7.6612180056514559E-3</v>
      </c>
      <c r="I42">
        <v>-1.2838268753848059</v>
      </c>
      <c r="J42">
        <v>-9.8356775738373224E-3</v>
      </c>
      <c r="K42" s="96"/>
      <c r="L42" s="96"/>
      <c r="M42" s="96"/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-3.1922761173680878</v>
      </c>
      <c r="H43">
        <v>1.932559496921088E-3</v>
      </c>
      <c r="I43">
        <v>-1.1122769314669294</v>
      </c>
      <c r="J43">
        <v>-2.1495413471126607E-3</v>
      </c>
      <c r="K43" s="96"/>
      <c r="L43" s="96"/>
      <c r="M43" s="96"/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-15</v>
      </c>
      <c r="H44">
        <v>1.932559496921088E-3</v>
      </c>
      <c r="I44">
        <v>-1.6487212707001282</v>
      </c>
      <c r="J44">
        <v>-3.1862519494673365E-3</v>
      </c>
      <c r="K44" s="96"/>
      <c r="L44" s="96"/>
      <c r="M44" s="96"/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-8.9962887341342359</v>
      </c>
      <c r="H45">
        <v>1.932559496921088E-3</v>
      </c>
      <c r="I45">
        <v>-1.3496918284074122</v>
      </c>
      <c r="J45">
        <v>-2.6083597609055319E-3</v>
      </c>
      <c r="K45" s="96"/>
      <c r="L45" s="96"/>
      <c r="M45" s="96"/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-4.4935052847349111</v>
      </c>
      <c r="H46">
        <v>4.8749248570982399E-4</v>
      </c>
      <c r="I46">
        <v>-1.1615827438664319</v>
      </c>
      <c r="J46">
        <v>-5.6626285916508467E-4</v>
      </c>
      <c r="K46" s="96"/>
      <c r="L46" s="96"/>
      <c r="M46" s="96"/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-14.498144367067116</v>
      </c>
      <c r="H47">
        <v>1.932559496921088E-3</v>
      </c>
      <c r="I47">
        <v>-1.6213700130206068</v>
      </c>
      <c r="J47">
        <v>-3.1333940166860417E-3</v>
      </c>
      <c r="K47" s="96"/>
      <c r="L47" s="96"/>
      <c r="M47" s="96"/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-8.4944331012013539</v>
      </c>
      <c r="H48">
        <v>1.932559496921088E-3</v>
      </c>
      <c r="I48">
        <v>-1.3273012826901007</v>
      </c>
      <c r="J48">
        <v>-2.565088699138296E-3</v>
      </c>
      <c r="K48" s="96"/>
      <c r="L48" s="96"/>
      <c r="M48" s="96"/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-4.0975015023453762</v>
      </c>
      <c r="H49">
        <v>4.8749248570982399E-4</v>
      </c>
      <c r="I49">
        <v>-1.1463504604028865</v>
      </c>
      <c r="J49">
        <v>-5.5883723543640428E-4</v>
      </c>
      <c r="K49" s="96"/>
      <c r="L49" s="96"/>
      <c r="M49" s="96"/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-15.99907218353356</v>
      </c>
      <c r="H50">
        <v>1.932559496921088E-3</v>
      </c>
      <c r="I50">
        <v>-1.7045521474558718</v>
      </c>
      <c r="J50">
        <v>-3.2941484405630797E-3</v>
      </c>
      <c r="K50" s="96"/>
      <c r="L50" s="96"/>
      <c r="M50" s="96"/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-9.995360917667794</v>
      </c>
      <c r="H51">
        <v>1.932559496921088E-3</v>
      </c>
      <c r="I51">
        <v>-1.3953966297399316</v>
      </c>
      <c r="J51">
        <v>-2.6966870087755841E-3</v>
      </c>
      <c r="K51" s="96"/>
      <c r="L51" s="96"/>
      <c r="M51" s="96"/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-5.4925774682684709</v>
      </c>
      <c r="H52">
        <v>4.8749248570982399E-4</v>
      </c>
      <c r="I52">
        <v>-1.2009175812139636</v>
      </c>
      <c r="J52">
        <v>-5.8543829679862461E-4</v>
      </c>
      <c r="K52" s="96"/>
      <c r="L52" s="96"/>
      <c r="M52" s="96"/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-17.5</v>
      </c>
      <c r="H53">
        <v>4.8749248570982405E-4</v>
      </c>
      <c r="I53">
        <v>-1.7920018256557555</v>
      </c>
      <c r="J53">
        <v>-8.7358742438546698E-4</v>
      </c>
      <c r="K53" s="96"/>
      <c r="L53" s="96"/>
      <c r="M53" s="96"/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-11.496288734134236</v>
      </c>
      <c r="H54">
        <v>4.8749248570982405E-4</v>
      </c>
      <c r="I54">
        <v>-1.466985513901728</v>
      </c>
      <c r="J54">
        <v>-7.1514441467225706E-4</v>
      </c>
      <c r="K54" s="96"/>
      <c r="L54" s="96"/>
      <c r="M54" s="96"/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-6.9935052847349111</v>
      </c>
      <c r="H55">
        <v>1.2297107747635201E-4</v>
      </c>
      <c r="I55">
        <v>-1.2625289881624053</v>
      </c>
      <c r="J55">
        <v>-1.5525455001945946E-4</v>
      </c>
      <c r="K55" s="96"/>
      <c r="L55" s="96"/>
      <c r="M55" s="96"/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-10.498144367067116</v>
      </c>
      <c r="H56">
        <v>1.932559496921088E-3</v>
      </c>
      <c r="I56">
        <v>-1.4189797756919513</v>
      </c>
      <c r="J56">
        <v>-2.7422628414524356E-3</v>
      </c>
      <c r="K56" s="96"/>
      <c r="L56" s="96"/>
      <c r="M56" s="96"/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-4.494433101201353</v>
      </c>
      <c r="H57">
        <v>1.932559496921088E-3</v>
      </c>
      <c r="I57">
        <v>-1.1616186689418568</v>
      </c>
      <c r="J57">
        <v>-2.2448971904644186E-3</v>
      </c>
      <c r="K57" s="96"/>
      <c r="L57" s="96"/>
      <c r="M57" s="96"/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-0.93397580145446879</v>
      </c>
      <c r="H58">
        <v>4.8749248570982399E-4</v>
      </c>
      <c r="I58">
        <v>-1.0316222123306369</v>
      </c>
      <c r="J58">
        <v>-5.0290807660253003E-4</v>
      </c>
      <c r="K58" s="96"/>
      <c r="L58" s="96"/>
      <c r="M58" s="96"/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-11.999072183533562</v>
      </c>
      <c r="H59">
        <v>1.932559496921088E-3</v>
      </c>
      <c r="I59">
        <v>-1.491778560370739</v>
      </c>
      <c r="J59">
        <v>-2.8829508241477401E-3</v>
      </c>
      <c r="K59" s="96"/>
      <c r="L59" s="96"/>
      <c r="M59" s="96"/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-5.995360917667794</v>
      </c>
      <c r="H60">
        <v>1.932559496921088E-3</v>
      </c>
      <c r="I60">
        <v>-1.2212138998308388</v>
      </c>
      <c r="J60">
        <v>-2.3600685198901256E-3</v>
      </c>
      <c r="K60" s="96"/>
      <c r="L60" s="96"/>
      <c r="M60" s="96"/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-1.9970361511941874</v>
      </c>
      <c r="H61">
        <v>4.8749248570982399E-4</v>
      </c>
      <c r="I61">
        <v>-1.068833505167333</v>
      </c>
      <c r="J61">
        <v>-5.2104830224396713E-4</v>
      </c>
      <c r="K61" s="96"/>
      <c r="L61" s="96"/>
      <c r="M61" s="96"/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-13.5</v>
      </c>
      <c r="H62">
        <v>4.8749248570982405E-4</v>
      </c>
      <c r="I62">
        <v>-1.5683121854901689</v>
      </c>
      <c r="J62">
        <v>-7.6454040567360915E-4</v>
      </c>
      <c r="K62" s="96"/>
      <c r="L62" s="96"/>
      <c r="M62" s="96"/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-7.4962887341342359</v>
      </c>
      <c r="H63">
        <v>4.8749248570982405E-4</v>
      </c>
      <c r="I63">
        <v>-1.2838665811892993</v>
      </c>
      <c r="J63">
        <v>-6.2587531098374518E-4</v>
      </c>
      <c r="K63" s="96"/>
      <c r="L63" s="96"/>
      <c r="M63" s="96"/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-3.0969561248808439</v>
      </c>
      <c r="H64">
        <v>1.2297107747635201E-4</v>
      </c>
      <c r="I64">
        <v>-1.1087484656991842</v>
      </c>
      <c r="J64">
        <v>-1.3634399347728078E-4</v>
      </c>
      <c r="K64" s="96"/>
      <c r="L64" s="96"/>
      <c r="M64" s="96"/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-11.998144367067116</v>
      </c>
      <c r="H65">
        <v>1.932559496921088E-3</v>
      </c>
      <c r="I65">
        <v>-1.4917324245270824</v>
      </c>
      <c r="J65">
        <v>-2.8828616638849332E-3</v>
      </c>
      <c r="K65" s="96"/>
      <c r="L65" s="96"/>
      <c r="M65" s="96"/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-5.9944331012013539</v>
      </c>
      <c r="H66">
        <v>1.932559496921088E-3</v>
      </c>
      <c r="I66">
        <v>-1.2211761316693637</v>
      </c>
      <c r="J66">
        <v>-2.3599955306709856E-3</v>
      </c>
      <c r="K66" s="96"/>
      <c r="L66" s="96"/>
      <c r="M66" s="96"/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-2.1000590811881086</v>
      </c>
      <c r="H67">
        <v>4.8749248570982399E-4</v>
      </c>
      <c r="I67">
        <v>-1.0725102934248831</v>
      </c>
      <c r="J67">
        <v>-5.22840708891069E-4</v>
      </c>
      <c r="K67" s="96"/>
      <c r="L67" s="96"/>
      <c r="M67" s="96"/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-13.499072183533562</v>
      </c>
      <c r="H68">
        <v>1.932559496921088E-3</v>
      </c>
      <c r="I68">
        <v>-1.5682636827111935</v>
      </c>
      <c r="J68">
        <v>-3.0307628736999568E-3</v>
      </c>
      <c r="K68" s="96"/>
      <c r="L68" s="96"/>
      <c r="M68" s="96"/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-7.4953609176677931</v>
      </c>
      <c r="H69">
        <v>1.932559496921088E-3</v>
      </c>
      <c r="I69">
        <v>-1.2838268753848059</v>
      </c>
      <c r="J69">
        <v>-2.4810718204274326E-3</v>
      </c>
      <c r="K69" s="96"/>
      <c r="L69" s="96"/>
      <c r="M69" s="96"/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-3.1922761173680878</v>
      </c>
      <c r="H70">
        <v>4.8749248570982399E-4</v>
      </c>
      <c r="I70">
        <v>-1.1122769314669294</v>
      </c>
      <c r="J70">
        <v>-5.4222664611850899E-4</v>
      </c>
      <c r="K70" s="96"/>
      <c r="L70" s="96"/>
      <c r="M70" s="96"/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-15</v>
      </c>
      <c r="H71">
        <v>4.8749248570982405E-4</v>
      </c>
      <c r="I71">
        <v>-1.6487212707001282</v>
      </c>
      <c r="J71">
        <v>-8.0373923049626523E-4</v>
      </c>
      <c r="K71" s="96"/>
      <c r="L71" s="96"/>
      <c r="M71" s="96"/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-8.9962887341342359</v>
      </c>
      <c r="H72">
        <v>4.8749248570982405E-4</v>
      </c>
      <c r="I72">
        <v>-1.3496918284074122</v>
      </c>
      <c r="J72">
        <v>-6.579646243725667E-4</v>
      </c>
      <c r="K72" s="96"/>
      <c r="L72" s="96"/>
      <c r="M72" s="96"/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-4.4935052847349111</v>
      </c>
      <c r="H73">
        <v>1.2297107747635201E-4</v>
      </c>
      <c r="I73">
        <v>-1.1615827438664319</v>
      </c>
      <c r="J73">
        <v>-1.4284108159119254E-4</v>
      </c>
      <c r="K73" s="96"/>
      <c r="L73" s="96"/>
      <c r="M73" s="96"/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-14.498144367067116</v>
      </c>
      <c r="H74">
        <v>4.8749248570982405E-4</v>
      </c>
      <c r="I74">
        <v>-1.6213700130206068</v>
      </c>
      <c r="J74">
        <v>-7.9040569790278536E-4</v>
      </c>
      <c r="K74" s="96"/>
      <c r="L74" s="96"/>
      <c r="M74" s="96"/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-8.4944331012013539</v>
      </c>
      <c r="H75">
        <v>4.8749248570982405E-4</v>
      </c>
      <c r="I75">
        <v>-1.3273012826901007</v>
      </c>
      <c r="J75">
        <v>-6.470494015844351E-4</v>
      </c>
      <c r="K75" s="96"/>
      <c r="L75" s="96"/>
      <c r="M75" s="96"/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-4.0975015023453762</v>
      </c>
      <c r="H76">
        <v>1.2297107747635201E-4</v>
      </c>
      <c r="I76">
        <v>-1.1463504604028865</v>
      </c>
      <c r="J76">
        <v>-1.4096795128125514E-4</v>
      </c>
      <c r="K76" s="96"/>
      <c r="L76" s="96"/>
      <c r="M76" s="96"/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-15.99907218353356</v>
      </c>
      <c r="H77">
        <v>4.8749248570982405E-4</v>
      </c>
      <c r="I77">
        <v>-1.7045521474558718</v>
      </c>
      <c r="J77">
        <v>-8.3095636338528149E-4</v>
      </c>
      <c r="K77" s="96"/>
      <c r="L77" s="96"/>
      <c r="M77" s="96"/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-9.995360917667794</v>
      </c>
      <c r="H78">
        <v>4.8749248570982405E-4</v>
      </c>
      <c r="I78">
        <v>-1.3953966297399316</v>
      </c>
      <c r="J78">
        <v>-6.802453715830303E-4</v>
      </c>
      <c r="K78" s="96"/>
      <c r="L78" s="96"/>
      <c r="M78" s="96"/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-5.4925774682684709</v>
      </c>
      <c r="H79">
        <v>1.2297107747635201E-4</v>
      </c>
      <c r="I79">
        <v>-1.2009175812139636</v>
      </c>
      <c r="J79">
        <v>-1.4767812892217558E-4</v>
      </c>
      <c r="K79" s="96"/>
      <c r="L79" s="96"/>
      <c r="M79" s="96"/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-17.5</v>
      </c>
      <c r="H80">
        <v>1.2297107747635201E-4</v>
      </c>
      <c r="I80">
        <v>-1.7920018256557555</v>
      </c>
      <c r="J80">
        <v>-2.2036439534047815E-4</v>
      </c>
      <c r="K80" s="96"/>
      <c r="L80" s="96"/>
      <c r="M80" s="96"/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-11.496288734134236</v>
      </c>
      <c r="H81">
        <v>1.2297107747635201E-4</v>
      </c>
      <c r="I81">
        <v>-1.466985513901728</v>
      </c>
      <c r="J81">
        <v>-1.8039678928669548E-4</v>
      </c>
      <c r="K81" s="96"/>
      <c r="L81" s="96"/>
      <c r="M81" s="96"/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-6.9935052847349111</v>
      </c>
      <c r="H82">
        <v>3.1019731255295997E-5</v>
      </c>
      <c r="I82">
        <v>-1.2625289881624053</v>
      </c>
      <c r="J82">
        <v>-3.9163309914818591E-5</v>
      </c>
      <c r="K82" s="96"/>
      <c r="L82" s="96"/>
      <c r="M82" s="96"/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-8.7032717337676591</v>
      </c>
      <c r="H83">
        <v>7.6612180056514559E-3</v>
      </c>
      <c r="I83">
        <v>-1.3365732438045828</v>
      </c>
      <c r="J83">
        <v>-1.0239779001307642E-2</v>
      </c>
      <c r="K83" s="96"/>
      <c r="L83" s="96"/>
      <c r="M83" s="96"/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-0.58215515584326905</v>
      </c>
      <c r="H84">
        <v>7.6612180056514559E-3</v>
      </c>
      <c r="I84">
        <v>-1.0195946760110148</v>
      </c>
      <c r="J84">
        <v>-7.8113370903219494E-3</v>
      </c>
      <c r="K84" s="96"/>
      <c r="L84" s="96"/>
      <c r="M84" s="96"/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4.2244794629214448</v>
      </c>
      <c r="H85">
        <v>1.932559496921088E-3</v>
      </c>
      <c r="I85">
        <v>-0.8686491439848032</v>
      </c>
      <c r="J85">
        <v>-1.6787161527002049E-3</v>
      </c>
      <c r="K85" s="96"/>
      <c r="L85" s="96"/>
      <c r="M85" s="96"/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-11.10163586688383</v>
      </c>
      <c r="H86">
        <v>7.6612180056514559E-3</v>
      </c>
      <c r="I86">
        <v>-1.4478135601861344</v>
      </c>
      <c r="J86">
        <v>-1.1092015316124351E-2</v>
      </c>
      <c r="K86" s="96"/>
      <c r="L86" s="96"/>
      <c r="M86" s="96"/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-2.2473353793977449</v>
      </c>
      <c r="H87">
        <v>7.6612180056514559E-3</v>
      </c>
      <c r="I87">
        <v>-1.0777884167257716</v>
      </c>
      <c r="J87">
        <v>-8.2571720245020568E-3</v>
      </c>
      <c r="K87" s="96"/>
      <c r="L87" s="96"/>
      <c r="M87" s="96"/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2.6430252782394099</v>
      </c>
      <c r="H88">
        <v>1.932559496921088E-3</v>
      </c>
      <c r="I88">
        <v>-0.91566853366436618</v>
      </c>
      <c r="J88">
        <v>-1.7695839207648779E-3</v>
      </c>
      <c r="K88" s="96"/>
      <c r="L88" s="96"/>
      <c r="M88" s="96"/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-13.5</v>
      </c>
      <c r="H89">
        <v>1.932559496921088E-3</v>
      </c>
      <c r="I89">
        <v>-1.5683121854901689</v>
      </c>
      <c r="J89">
        <v>-3.0308566082060929E-3</v>
      </c>
      <c r="K89" s="96"/>
      <c r="L89" s="96"/>
      <c r="M89" s="96"/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-3.9666985185320742</v>
      </c>
      <c r="H90">
        <v>1.932559496921088E-3</v>
      </c>
      <c r="I90">
        <v>-1.1413631388888663</v>
      </c>
      <c r="J90">
        <v>-2.2057521734953414E-3</v>
      </c>
      <c r="K90" s="96"/>
      <c r="L90" s="96"/>
      <c r="M90" s="96"/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1.0427637235197866</v>
      </c>
      <c r="H91">
        <v>4.8749248570982399E-4</v>
      </c>
      <c r="I91">
        <v>-0.96583835727562495</v>
      </c>
      <c r="J91">
        <v>-4.708389415821875E-4</v>
      </c>
      <c r="K91" s="96"/>
      <c r="L91" s="96"/>
      <c r="M91" s="96"/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-10.203271733767659</v>
      </c>
      <c r="H92">
        <v>7.6612180056514559E-3</v>
      </c>
      <c r="I92">
        <v>-1.4051008194013026</v>
      </c>
      <c r="J92">
        <v>-1.0764783697352873E-2</v>
      </c>
      <c r="K92" s="96"/>
      <c r="L92" s="96"/>
      <c r="M92" s="96"/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-1.7495656305438532</v>
      </c>
      <c r="H93">
        <v>7.6612180056514559E-3</v>
      </c>
      <c r="I93">
        <v>-1.0600529443233087</v>
      </c>
      <c r="J93">
        <v>-8.1212967039935718E-3</v>
      </c>
      <c r="K93" s="96"/>
      <c r="L93" s="96"/>
      <c r="M93" s="96"/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3.1124118852306832</v>
      </c>
      <c r="H94">
        <v>1.932559496921088E-3</v>
      </c>
      <c r="I94">
        <v>-0.90145327961890209</v>
      </c>
      <c r="J94">
        <v>-1.7421120965581702E-3</v>
      </c>
      <c r="K94" s="96"/>
      <c r="L94" s="96"/>
      <c r="M94" s="96"/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-12.60163586688383</v>
      </c>
      <c r="H95">
        <v>7.6612180056514559E-3</v>
      </c>
      <c r="I95">
        <v>-1.5220445487649521</v>
      </c>
      <c r="J95">
        <v>-1.1660715102401697E-2</v>
      </c>
      <c r="K95" s="96"/>
      <c r="L95" s="96"/>
      <c r="M95" s="96"/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-3.4398005372462577</v>
      </c>
      <c r="H96">
        <v>7.6612180056514559E-3</v>
      </c>
      <c r="I96">
        <v>-1.1214920855240142</v>
      </c>
      <c r="J96">
        <v>-8.5919953588121812E-3</v>
      </c>
      <c r="K96" s="96"/>
      <c r="L96" s="96"/>
      <c r="M96" s="96"/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1.5176737733587924</v>
      </c>
      <c r="H97">
        <v>1.932559496921088E-3</v>
      </c>
      <c r="I97">
        <v>-0.95066919576415121</v>
      </c>
      <c r="J97">
        <v>-1.8372247827043433E-3</v>
      </c>
      <c r="K97" s="96"/>
      <c r="L97" s="96"/>
      <c r="M97" s="96"/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-15</v>
      </c>
      <c r="H98">
        <v>1.932559496921088E-3</v>
      </c>
      <c r="I98">
        <v>-1.6487212707001282</v>
      </c>
      <c r="J98">
        <v>-3.1862519494673365E-3</v>
      </c>
      <c r="K98" s="96"/>
      <c r="L98" s="96"/>
      <c r="M98" s="96"/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-5.4065434675353217</v>
      </c>
      <c r="H99">
        <v>1.932559496921088E-3</v>
      </c>
      <c r="I99">
        <v>-1.1974785233672782</v>
      </c>
      <c r="J99">
        <v>-2.3141984926924744E-3</v>
      </c>
      <c r="K99" s="96"/>
      <c r="L99" s="96"/>
      <c r="M99" s="96"/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-9.8039589156843854E-2</v>
      </c>
      <c r="H100">
        <v>4.8749248570982399E-4</v>
      </c>
      <c r="I100">
        <v>-1.0032733319941003</v>
      </c>
      <c r="J100">
        <v>-4.8908821046018144E-4</v>
      </c>
      <c r="K100" s="96"/>
      <c r="L100" s="96"/>
      <c r="M100" s="96"/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-12.703271733767659</v>
      </c>
      <c r="H101">
        <v>1.932559496921088E-3</v>
      </c>
      <c r="I101">
        <v>-1.5272097705928727</v>
      </c>
      <c r="J101">
        <v>-2.9514237459499324E-3</v>
      </c>
      <c r="K101" s="96"/>
      <c r="L101" s="96"/>
      <c r="M101" s="96"/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-3.7299096263333174</v>
      </c>
      <c r="H102">
        <v>1.932559496921088E-3</v>
      </c>
      <c r="I102">
        <v>-1.1323898612403331</v>
      </c>
      <c r="J102">
        <v>-2.1884107805571588E-3</v>
      </c>
      <c r="K102" s="96"/>
      <c r="L102" s="96"/>
      <c r="M102" s="96"/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1.232048281413382</v>
      </c>
      <c r="H103">
        <v>4.8749248570982399E-4</v>
      </c>
      <c r="I103">
        <v>-0.95976359884603013</v>
      </c>
      <c r="J103">
        <v>-4.678775424952576E-4</v>
      </c>
      <c r="K103" s="96"/>
      <c r="L103" s="96"/>
      <c r="M103" s="96"/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-15.101635866883827</v>
      </c>
      <c r="H104">
        <v>1.932559496921088E-3</v>
      </c>
      <c r="I104">
        <v>-1.6543163836043377</v>
      </c>
      <c r="J104">
        <v>-3.1970648380467127E-3</v>
      </c>
      <c r="K104" s="96"/>
      <c r="L104" s="96"/>
      <c r="M104" s="96"/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-5.5081793344191503</v>
      </c>
      <c r="H105">
        <v>1.932559496921088E-3</v>
      </c>
      <c r="I105">
        <v>-1.2015422954903621</v>
      </c>
      <c r="J105">
        <v>-2.3220519741022632E-3</v>
      </c>
      <c r="K105" s="96"/>
      <c r="L105" s="96"/>
      <c r="M105" s="96"/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-0.38707004955749991</v>
      </c>
      <c r="H106">
        <v>4.8749248570982399E-4</v>
      </c>
      <c r="I106">
        <v>-1.0129859292427705</v>
      </c>
      <c r="J106">
        <v>-4.9382302863563413E-4</v>
      </c>
      <c r="K106" s="96"/>
      <c r="L106" s="96"/>
      <c r="M106" s="96"/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-17.5</v>
      </c>
      <c r="H107">
        <v>4.8749248570982405E-4</v>
      </c>
      <c r="I107">
        <v>-1.7920018256557555</v>
      </c>
      <c r="J107">
        <v>-8.7358742438546698E-4</v>
      </c>
      <c r="K107" s="96"/>
      <c r="L107" s="96"/>
      <c r="M107" s="96"/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-7.9065434675353199</v>
      </c>
      <c r="H108">
        <v>4.8749248570982405E-4</v>
      </c>
      <c r="I108">
        <v>-1.3015442562625963</v>
      </c>
      <c r="J108">
        <v>-6.3449304474679728E-4</v>
      </c>
      <c r="K108" s="96"/>
      <c r="L108" s="96"/>
      <c r="M108" s="96"/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-2.0411599023011622</v>
      </c>
      <c r="H109">
        <v>1.2297107747635201E-4</v>
      </c>
      <c r="I109">
        <v>-1.0704066932516203</v>
      </c>
      <c r="J109">
        <v>-1.3162906440705076E-4</v>
      </c>
      <c r="K109" s="96"/>
      <c r="L109" s="96"/>
      <c r="M109" s="96"/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-8.7032717337676591</v>
      </c>
      <c r="H110">
        <v>7.6612180056514559E-3</v>
      </c>
      <c r="I110">
        <v>-1.3365732438045828</v>
      </c>
      <c r="J110">
        <v>-1.0239779001307642E-2</v>
      </c>
      <c r="K110" s="96"/>
      <c r="L110" s="96"/>
      <c r="M110" s="96"/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-0.58215515584326905</v>
      </c>
      <c r="H111">
        <v>7.6612180056514559E-3</v>
      </c>
      <c r="I111">
        <v>-1.0195946760110148</v>
      </c>
      <c r="J111">
        <v>-7.8113370903219494E-3</v>
      </c>
      <c r="K111" s="96"/>
      <c r="L111" s="96"/>
      <c r="M111" s="96"/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4.2244794629214448</v>
      </c>
      <c r="H112">
        <v>1.932559496921088E-3</v>
      </c>
      <c r="I112">
        <v>-0.8686491439848032</v>
      </c>
      <c r="J112">
        <v>-1.6787161527002049E-3</v>
      </c>
      <c r="K112" s="96"/>
      <c r="L112" s="96"/>
      <c r="M112" s="96"/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-11.10163586688383</v>
      </c>
      <c r="H113">
        <v>7.6612180056514559E-3</v>
      </c>
      <c r="I113">
        <v>-1.4478135601861344</v>
      </c>
      <c r="J113">
        <v>-1.1092015316124351E-2</v>
      </c>
      <c r="K113" s="96"/>
      <c r="L113" s="96"/>
      <c r="M113" s="96"/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-2.2473353793977449</v>
      </c>
      <c r="H114">
        <v>7.6612180056514559E-3</v>
      </c>
      <c r="I114">
        <v>-1.0777884167257716</v>
      </c>
      <c r="J114">
        <v>-8.2571720245020568E-3</v>
      </c>
      <c r="K114" s="96"/>
      <c r="L114" s="96"/>
      <c r="M114" s="96"/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2.6430252782394099</v>
      </c>
      <c r="H115">
        <v>1.932559496921088E-3</v>
      </c>
      <c r="I115">
        <v>-0.91566853366436618</v>
      </c>
      <c r="J115">
        <v>-1.7695839207648779E-3</v>
      </c>
      <c r="K115" s="96"/>
      <c r="L115" s="96"/>
      <c r="M115" s="96"/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-13.5</v>
      </c>
      <c r="H116">
        <v>1.932559496921088E-3</v>
      </c>
      <c r="I116">
        <v>-1.5683121854901689</v>
      </c>
      <c r="J116">
        <v>-3.0308566082060929E-3</v>
      </c>
      <c r="K116" s="96"/>
      <c r="L116" s="96"/>
      <c r="M116" s="96"/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-3.9666985185320742</v>
      </c>
      <c r="H117">
        <v>1.932559496921088E-3</v>
      </c>
      <c r="I117">
        <v>-1.1413631388888663</v>
      </c>
      <c r="J117">
        <v>-2.2057521734953414E-3</v>
      </c>
      <c r="K117" s="96"/>
      <c r="L117" s="96"/>
      <c r="M117" s="96"/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1.0427637235197866</v>
      </c>
      <c r="H118">
        <v>4.8749248570982399E-4</v>
      </c>
      <c r="I118">
        <v>-0.96583835727562495</v>
      </c>
      <c r="J118">
        <v>-4.708389415821875E-4</v>
      </c>
      <c r="K118" s="96"/>
      <c r="L118" s="96"/>
      <c r="M118" s="96"/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-10.203271733767659</v>
      </c>
      <c r="H119">
        <v>7.6612180056514559E-3</v>
      </c>
      <c r="I119">
        <v>-1.4051008194013026</v>
      </c>
      <c r="J119">
        <v>-1.0764783697352873E-2</v>
      </c>
      <c r="K119" s="96"/>
      <c r="L119" s="96"/>
      <c r="M119" s="96"/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-1.7495656305438532</v>
      </c>
      <c r="H120">
        <v>7.6612180056514559E-3</v>
      </c>
      <c r="I120">
        <v>-1.0600529443233087</v>
      </c>
      <c r="J120">
        <v>-8.1212967039935718E-3</v>
      </c>
      <c r="K120" s="96"/>
      <c r="L120" s="96"/>
      <c r="M120" s="96"/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3.1124118852306832</v>
      </c>
      <c r="H121">
        <v>1.932559496921088E-3</v>
      </c>
      <c r="I121">
        <v>-0.90145327961890209</v>
      </c>
      <c r="J121">
        <v>-1.7421120965581702E-3</v>
      </c>
      <c r="K121" s="96"/>
      <c r="L121" s="96"/>
      <c r="M121" s="96"/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-12.60163586688383</v>
      </c>
      <c r="H122">
        <v>7.6612180056514559E-3</v>
      </c>
      <c r="I122">
        <v>-1.5220445487649521</v>
      </c>
      <c r="J122">
        <v>-1.1660715102401697E-2</v>
      </c>
      <c r="K122" s="96"/>
      <c r="L122" s="96"/>
      <c r="M122" s="96"/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-3.4398005372462577</v>
      </c>
      <c r="H123">
        <v>7.6612180056514559E-3</v>
      </c>
      <c r="I123">
        <v>-1.1214920855240142</v>
      </c>
      <c r="J123">
        <v>-8.5919953588121812E-3</v>
      </c>
      <c r="K123" s="96"/>
      <c r="L123" s="96"/>
      <c r="M123" s="96"/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1.5176737733587924</v>
      </c>
      <c r="H124">
        <v>1.932559496921088E-3</v>
      </c>
      <c r="I124">
        <v>-0.95066919576415121</v>
      </c>
      <c r="J124">
        <v>-1.8372247827043433E-3</v>
      </c>
      <c r="K124" s="96"/>
      <c r="L124" s="96"/>
      <c r="M124" s="96"/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-15</v>
      </c>
      <c r="H125">
        <v>1.932559496921088E-3</v>
      </c>
      <c r="I125">
        <v>-1.6487212707001282</v>
      </c>
      <c r="J125">
        <v>-3.1862519494673365E-3</v>
      </c>
      <c r="K125" s="96"/>
      <c r="L125" s="96"/>
      <c r="M125" s="96"/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-5.4065434675353217</v>
      </c>
      <c r="H126">
        <v>1.932559496921088E-3</v>
      </c>
      <c r="I126">
        <v>-1.1974785233672782</v>
      </c>
      <c r="J126">
        <v>-2.3141984926924744E-3</v>
      </c>
      <c r="K126" s="96"/>
      <c r="L126" s="96"/>
      <c r="M126" s="96"/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-9.8039589156843854E-2</v>
      </c>
      <c r="H127">
        <v>4.8749248570982399E-4</v>
      </c>
      <c r="I127">
        <v>-1.0032733319941003</v>
      </c>
      <c r="J127">
        <v>-4.8908821046018144E-4</v>
      </c>
      <c r="K127" s="96"/>
      <c r="L127" s="96"/>
      <c r="M127" s="96"/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-12.703271733767659</v>
      </c>
      <c r="H128">
        <v>1.932559496921088E-3</v>
      </c>
      <c r="I128">
        <v>-1.5272097705928727</v>
      </c>
      <c r="J128">
        <v>-2.9514237459499324E-3</v>
      </c>
      <c r="K128" s="96"/>
      <c r="L128" s="96"/>
      <c r="M128" s="96"/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-3.7299096263333174</v>
      </c>
      <c r="H129">
        <v>1.932559496921088E-3</v>
      </c>
      <c r="I129">
        <v>-1.1323898612403331</v>
      </c>
      <c r="J129">
        <v>-2.1884107805571588E-3</v>
      </c>
      <c r="K129" s="96"/>
      <c r="L129" s="96"/>
      <c r="M129" s="96"/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1.232048281413382</v>
      </c>
      <c r="H130">
        <v>4.8749248570982399E-4</v>
      </c>
      <c r="I130">
        <v>-0.95976359884603013</v>
      </c>
      <c r="J130">
        <v>-4.678775424952576E-4</v>
      </c>
      <c r="K130" s="96"/>
      <c r="L130" s="96"/>
      <c r="M130" s="96"/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-15.101635866883827</v>
      </c>
      <c r="H131">
        <v>1.932559496921088E-3</v>
      </c>
      <c r="I131">
        <v>-1.6543163836043377</v>
      </c>
      <c r="J131">
        <v>-3.1970648380467127E-3</v>
      </c>
      <c r="K131" s="96"/>
      <c r="L131" s="96"/>
      <c r="M131" s="96"/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-5.5081793344191503</v>
      </c>
      <c r="H132">
        <v>1.932559496921088E-3</v>
      </c>
      <c r="I132">
        <v>-1.2015422954903621</v>
      </c>
      <c r="J132">
        <v>-2.3220519741022632E-3</v>
      </c>
      <c r="K132" s="96"/>
      <c r="L132" s="96"/>
      <c r="M132" s="96"/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-0.38707004955749991</v>
      </c>
      <c r="H133">
        <v>4.8749248570982399E-4</v>
      </c>
      <c r="I133">
        <v>-1.0129859292427705</v>
      </c>
      <c r="J133">
        <v>-4.9382302863563413E-4</v>
      </c>
      <c r="K133" s="96"/>
      <c r="L133" s="96"/>
      <c r="M133" s="96"/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-17.5</v>
      </c>
      <c r="H134">
        <v>4.8749248570982405E-4</v>
      </c>
      <c r="I134">
        <v>-1.7920018256557555</v>
      </c>
      <c r="J134">
        <v>-8.7358742438546698E-4</v>
      </c>
      <c r="K134" s="96"/>
      <c r="L134" s="96"/>
      <c r="M134" s="96"/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-7.9065434675353199</v>
      </c>
      <c r="H135">
        <v>4.8749248570982405E-4</v>
      </c>
      <c r="I135">
        <v>-1.3015442562625963</v>
      </c>
      <c r="J135">
        <v>-6.3449304474679728E-4</v>
      </c>
      <c r="K135" s="96"/>
      <c r="L135" s="96"/>
      <c r="M135" s="96"/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-2.0411599023011622</v>
      </c>
      <c r="H136">
        <v>1.2297107747635201E-4</v>
      </c>
      <c r="I136">
        <v>-1.0704066932516203</v>
      </c>
      <c r="J136">
        <v>-1.3162906440705076E-4</v>
      </c>
      <c r="K136" s="96"/>
      <c r="L136" s="96"/>
      <c r="M136" s="96"/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-8.7032717337676591</v>
      </c>
      <c r="H137">
        <v>1.932559496921088E-3</v>
      </c>
      <c r="I137">
        <v>-1.3365732438045828</v>
      </c>
      <c r="J137">
        <v>-2.583007315645171E-3</v>
      </c>
      <c r="K137" s="96"/>
      <c r="L137" s="96"/>
      <c r="M137" s="96"/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-0.58215515584326905</v>
      </c>
      <c r="H138">
        <v>1.932559496921088E-3</v>
      </c>
      <c r="I138">
        <v>-1.0195946760110148</v>
      </c>
      <c r="J138">
        <v>-1.9704273741352665E-3</v>
      </c>
      <c r="K138" s="96"/>
      <c r="L138" s="96"/>
      <c r="M138" s="96"/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4.2244794629214448</v>
      </c>
      <c r="H139">
        <v>4.8749248570982399E-4</v>
      </c>
      <c r="I139">
        <v>-0.8686491439848032</v>
      </c>
      <c r="J139">
        <v>-4.234599304108625E-4</v>
      </c>
      <c r="K139" s="96"/>
      <c r="L139" s="96"/>
      <c r="M139" s="96"/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-11.10163586688383</v>
      </c>
      <c r="H140">
        <v>1.932559496921088E-3</v>
      </c>
      <c r="I140">
        <v>-1.4478135601861344</v>
      </c>
      <c r="J140">
        <v>-2.797985845508845E-3</v>
      </c>
      <c r="K140" s="96"/>
      <c r="L140" s="96"/>
      <c r="M140" s="96"/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-2.2473353793977449</v>
      </c>
      <c r="H141">
        <v>1.932559496921088E-3</v>
      </c>
      <c r="I141">
        <v>-1.0777884167257716</v>
      </c>
      <c r="J141">
        <v>-2.0828902404149332E-3</v>
      </c>
      <c r="K141" s="96"/>
      <c r="L141" s="96"/>
      <c r="M141" s="96"/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2.6430252782394099</v>
      </c>
      <c r="H142">
        <v>4.8749248570982399E-4</v>
      </c>
      <c r="I142">
        <v>-0.91566853366436618</v>
      </c>
      <c r="J142">
        <v>-4.4638152956231152E-4</v>
      </c>
      <c r="K142" s="96"/>
      <c r="L142" s="96"/>
      <c r="M142" s="96"/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-13.5</v>
      </c>
      <c r="H143">
        <v>4.8749248570982405E-4</v>
      </c>
      <c r="I143">
        <v>-1.5683121854901689</v>
      </c>
      <c r="J143">
        <v>-7.6454040567360915E-4</v>
      </c>
      <c r="K143" s="96"/>
      <c r="L143" s="96"/>
      <c r="M143" s="96"/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-3.9666985185320742</v>
      </c>
      <c r="H144">
        <v>4.8749248570982405E-4</v>
      </c>
      <c r="I144">
        <v>-1.1413631388888663</v>
      </c>
      <c r="J144">
        <v>-5.5640595367450053E-4</v>
      </c>
      <c r="K144" s="96"/>
      <c r="L144" s="96"/>
      <c r="M144" s="96"/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1.0427637235197866</v>
      </c>
      <c r="H145">
        <v>1.2297107747635201E-4</v>
      </c>
      <c r="I145">
        <v>-0.96583835727562495</v>
      </c>
      <c r="J145">
        <v>-1.1877018346217342E-4</v>
      </c>
      <c r="K145" s="96"/>
      <c r="L145" s="96"/>
      <c r="M145" s="96"/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-10.203271733767659</v>
      </c>
      <c r="H146">
        <v>1.932559496921088E-3</v>
      </c>
      <c r="I146">
        <v>-1.4051008194013026</v>
      </c>
      <c r="J146">
        <v>-2.7154409326655897E-3</v>
      </c>
      <c r="K146" s="96"/>
      <c r="L146" s="96"/>
      <c r="M146" s="96"/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-1.7495656305438532</v>
      </c>
      <c r="H147">
        <v>1.932559496921088E-3</v>
      </c>
      <c r="I147">
        <v>-1.0600529443233087</v>
      </c>
      <c r="J147">
        <v>-2.0486153847911713E-3</v>
      </c>
      <c r="K147" s="96"/>
      <c r="L147" s="96"/>
      <c r="M147" s="96"/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3.1124118852306832</v>
      </c>
      <c r="H148">
        <v>4.8749248570982399E-4</v>
      </c>
      <c r="I148">
        <v>-0.90145327961890209</v>
      </c>
      <c r="J148">
        <v>-4.3945170003269158E-4</v>
      </c>
      <c r="K148" s="96"/>
      <c r="L148" s="96"/>
      <c r="M148" s="96"/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-12.60163586688383</v>
      </c>
      <c r="H149">
        <v>1.932559496921088E-3</v>
      </c>
      <c r="I149">
        <v>-1.5220445487649521</v>
      </c>
      <c r="J149">
        <v>-2.9414416474526804E-3</v>
      </c>
      <c r="K149" s="96"/>
      <c r="L149" s="96"/>
      <c r="M149" s="96"/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-3.4398005372462577</v>
      </c>
      <c r="H150">
        <v>1.932559496921088E-3</v>
      </c>
      <c r="I150">
        <v>-1.1214920855240142</v>
      </c>
      <c r="J150">
        <v>-2.1673501806012707E-3</v>
      </c>
      <c r="K150" s="96"/>
      <c r="L150" s="96"/>
      <c r="M150" s="96"/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1.5176737733587924</v>
      </c>
      <c r="H151">
        <v>4.8749248570982399E-4</v>
      </c>
      <c r="I151">
        <v>-0.95066919576415121</v>
      </c>
      <c r="J151">
        <v>-4.6344408933082537E-4</v>
      </c>
      <c r="K151" s="96"/>
      <c r="L151" s="96"/>
      <c r="M151" s="96"/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-15</v>
      </c>
      <c r="H152">
        <v>4.8749248570982405E-4</v>
      </c>
      <c r="I152">
        <v>-1.6487212707001282</v>
      </c>
      <c r="J152">
        <v>-8.0373923049626523E-4</v>
      </c>
      <c r="K152" s="96"/>
      <c r="L152" s="96"/>
      <c r="M152" s="96"/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-5.4065434675353217</v>
      </c>
      <c r="H153">
        <v>4.8749248570982405E-4</v>
      </c>
      <c r="I153">
        <v>-1.1974785233672782</v>
      </c>
      <c r="J153">
        <v>-5.8376178194044406E-4</v>
      </c>
      <c r="K153" s="96"/>
      <c r="L153" s="96"/>
      <c r="M153" s="96"/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-9.8039589156843854E-2</v>
      </c>
      <c r="H154">
        <v>1.2297107747635201E-4</v>
      </c>
      <c r="I154">
        <v>-1.0032733319941003</v>
      </c>
      <c r="J154">
        <v>-1.2337360263860433E-4</v>
      </c>
      <c r="K154" s="96"/>
      <c r="L154" s="96"/>
      <c r="M154" s="96"/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-12.703271733767659</v>
      </c>
      <c r="H155">
        <v>4.8749248570982405E-4</v>
      </c>
      <c r="I155">
        <v>-1.5272097705928727</v>
      </c>
      <c r="J155">
        <v>-7.4450328726664969E-4</v>
      </c>
      <c r="K155" s="96"/>
      <c r="L155" s="96"/>
      <c r="M155" s="96"/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-3.7299096263333174</v>
      </c>
      <c r="H156">
        <v>4.8749248570982405E-4</v>
      </c>
      <c r="I156">
        <v>-1.1323898612403331</v>
      </c>
      <c r="J156">
        <v>-5.5203154824865278E-4</v>
      </c>
      <c r="K156" s="96"/>
      <c r="L156" s="96"/>
      <c r="M156" s="96"/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1.232048281413382</v>
      </c>
      <c r="H157">
        <v>1.2297107747635201E-4</v>
      </c>
      <c r="I157">
        <v>-0.95976359884603013</v>
      </c>
      <c r="J157">
        <v>-1.180231638726776E-4</v>
      </c>
      <c r="K157" s="96"/>
      <c r="L157" s="96"/>
      <c r="M157" s="96"/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-15.101635866883827</v>
      </c>
      <c r="H158">
        <v>4.8749248570982405E-4</v>
      </c>
      <c r="I158">
        <v>-1.6543163836043377</v>
      </c>
      <c r="J158">
        <v>-8.0646680599376537E-4</v>
      </c>
      <c r="K158" s="96"/>
      <c r="L158" s="96"/>
      <c r="M158" s="96"/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-5.5081793344191503</v>
      </c>
      <c r="H159">
        <v>4.8749248570982405E-4</v>
      </c>
      <c r="I159">
        <v>-1.2015422954903621</v>
      </c>
      <c r="J159">
        <v>-5.8574284031408447E-4</v>
      </c>
      <c r="K159" s="96"/>
      <c r="L159" s="96"/>
      <c r="M159" s="96"/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-0.38707004955749991</v>
      </c>
      <c r="H160">
        <v>1.2297107747635201E-4</v>
      </c>
      <c r="I160">
        <v>-1.0129859292427705</v>
      </c>
      <c r="J160">
        <v>-1.2456797118736717E-4</v>
      </c>
      <c r="K160" s="96"/>
      <c r="L160" s="96"/>
      <c r="M160" s="96"/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-17.5</v>
      </c>
      <c r="H161">
        <v>1.2297107747635201E-4</v>
      </c>
      <c r="I161">
        <v>-1.7920018256557555</v>
      </c>
      <c r="J161">
        <v>-2.2036439534047815E-4</v>
      </c>
      <c r="K161" s="96"/>
      <c r="L161" s="96"/>
      <c r="M161" s="96"/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-7.9065434675353199</v>
      </c>
      <c r="H162">
        <v>1.2297107747635201E-4</v>
      </c>
      <c r="I162">
        <v>-1.3015442562625963</v>
      </c>
      <c r="J162">
        <v>-1.6005229957576867E-4</v>
      </c>
      <c r="K162" s="96"/>
      <c r="L162" s="96"/>
      <c r="M162" s="96"/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-2.0411599023011622</v>
      </c>
      <c r="H163">
        <v>3.1019731255295997E-5</v>
      </c>
      <c r="I163">
        <v>-1.0704066932516203</v>
      </c>
      <c r="J163">
        <v>-3.3203727958535323E-5</v>
      </c>
      <c r="K163" s="96"/>
      <c r="L163" s="96"/>
      <c r="M163" s="96"/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-8.2864383480378674</v>
      </c>
      <c r="H164">
        <v>1.932559496921088E-3</v>
      </c>
      <c r="I164">
        <v>-1.3181307198186039</v>
      </c>
      <c r="J164">
        <v>-2.5473660407688728E-3</v>
      </c>
      <c r="K164" s="96"/>
      <c r="L164" s="96"/>
      <c r="M164" s="96"/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0.2277888505866914</v>
      </c>
      <c r="H165">
        <v>1.932559496921088E-3</v>
      </c>
      <c r="I165">
        <v>-0.99243579202605758</v>
      </c>
      <c r="J165">
        <v>-1.9179412149643593E-3</v>
      </c>
      <c r="K165" s="96"/>
      <c r="L165" s="96"/>
      <c r="M165" s="96"/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5.4096369753972002</v>
      </c>
      <c r="H166">
        <v>4.8749248570982399E-4</v>
      </c>
      <c r="I166">
        <v>-0.83500193855331495</v>
      </c>
      <c r="J166">
        <v>-4.0705717059787724E-4</v>
      </c>
      <c r="K166" s="96"/>
      <c r="L166" s="96"/>
      <c r="M166" s="96"/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-10.893219174018935</v>
      </c>
      <c r="H167">
        <v>1.932559496921088E-3</v>
      </c>
      <c r="I167">
        <v>-1.4377901341852517</v>
      </c>
      <c r="J167">
        <v>-2.7786149783991538E-3</v>
      </c>
      <c r="K167" s="96"/>
      <c r="L167" s="96"/>
      <c r="M167" s="96"/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-1.5568475049847514</v>
      </c>
      <c r="H168">
        <v>1.932559496921088E-3</v>
      </c>
      <c r="I168">
        <v>-1.0532650562698485</v>
      </c>
      <c r="J168">
        <v>-2.0354973872694199E-3</v>
      </c>
      <c r="K168" s="96"/>
      <c r="L168" s="96"/>
      <c r="M168" s="96"/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3.6964986226623071</v>
      </c>
      <c r="H169">
        <v>4.8749248570982399E-4</v>
      </c>
      <c r="I169">
        <v>-0.88407213344359514</v>
      </c>
      <c r="J169">
        <v>-4.3097852187920542E-4</v>
      </c>
      <c r="K169" s="96"/>
      <c r="L169" s="96"/>
      <c r="M169" s="96"/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-13.5</v>
      </c>
      <c r="H170">
        <v>4.8749248570982405E-4</v>
      </c>
      <c r="I170">
        <v>-1.5683121854901689</v>
      </c>
      <c r="J170">
        <v>-7.6454040567360915E-4</v>
      </c>
      <c r="K170" s="96"/>
      <c r="L170" s="96"/>
      <c r="M170" s="96"/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-3.3946935063019978</v>
      </c>
      <c r="H171">
        <v>4.8749248570982405E-4</v>
      </c>
      <c r="I171">
        <v>-1.1198071133028373</v>
      </c>
      <c r="J171">
        <v>-5.4589755317954269E-4</v>
      </c>
      <c r="K171" s="96"/>
      <c r="L171" s="96"/>
      <c r="M171" s="96"/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1.9769586280327482</v>
      </c>
      <c r="H172">
        <v>1.2297107747635201E-4</v>
      </c>
      <c r="I172">
        <v>-0.93622577317470235</v>
      </c>
      <c r="J172">
        <v>-1.1512869208842388E-4</v>
      </c>
      <c r="K172" s="96"/>
      <c r="L172" s="96"/>
      <c r="M172" s="96"/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-9.7864383480378674</v>
      </c>
      <c r="H173">
        <v>1.932559496921088E-3</v>
      </c>
      <c r="I173">
        <v>-1.3857127269906213</v>
      </c>
      <c r="J173">
        <v>-2.6779722905501441E-3</v>
      </c>
      <c r="K173" s="96"/>
      <c r="L173" s="96"/>
      <c r="M173" s="96"/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-0.93428862622123332</v>
      </c>
      <c r="H174">
        <v>1.932559496921088E-3</v>
      </c>
      <c r="I174">
        <v>-1.0316329696193214</v>
      </c>
      <c r="J174">
        <v>-1.9936920927747237E-3</v>
      </c>
      <c r="K174" s="96"/>
      <c r="L174" s="96"/>
      <c r="M174" s="96"/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4.2975693977064386</v>
      </c>
      <c r="H175">
        <v>4.8749248570982399E-4</v>
      </c>
      <c r="I175">
        <v>-0.86653540294077047</v>
      </c>
      <c r="J175">
        <v>-4.2242949753516014E-4</v>
      </c>
      <c r="K175" s="96"/>
      <c r="L175" s="96"/>
      <c r="M175" s="96"/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-12.393219174018935</v>
      </c>
      <c r="H176">
        <v>1.932559496921088E-3</v>
      </c>
      <c r="I176">
        <v>-1.5115072107235603</v>
      </c>
      <c r="J176">
        <v>-2.9210776147485205E-3</v>
      </c>
      <c r="K176" s="96"/>
      <c r="L176" s="96"/>
      <c r="M176" s="96"/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-2.7442036240568681</v>
      </c>
      <c r="H177">
        <v>1.932559496921088E-3</v>
      </c>
      <c r="I177">
        <v>-1.0957876876746715</v>
      </c>
      <c r="J177">
        <v>-2.1176749024248856E-3</v>
      </c>
      <c r="K177" s="96"/>
      <c r="L177" s="96"/>
      <c r="M177" s="96"/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2.584431044971546</v>
      </c>
      <c r="H178">
        <v>4.8749248570982399E-4</v>
      </c>
      <c r="I178">
        <v>-0.9174587111851813</v>
      </c>
      <c r="J178">
        <v>-4.4725422765179554E-4</v>
      </c>
      <c r="K178" s="96"/>
      <c r="L178" s="96"/>
      <c r="M178" s="96"/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-15</v>
      </c>
      <c r="H179">
        <v>4.8749248570982405E-4</v>
      </c>
      <c r="I179">
        <v>-1.6487212707001282</v>
      </c>
      <c r="J179">
        <v>-8.0373923049626523E-4</v>
      </c>
      <c r="K179" s="96"/>
      <c r="L179" s="96"/>
      <c r="M179" s="96"/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-4.6095515950370665</v>
      </c>
      <c r="H180">
        <v>4.8749248570982405E-4</v>
      </c>
      <c r="I180">
        <v>-1.1660846918783379</v>
      </c>
      <c r="J180">
        <v>-5.6845752499194518E-4</v>
      </c>
      <c r="K180" s="96"/>
      <c r="L180" s="96"/>
      <c r="M180" s="96"/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0.83615531535611765</v>
      </c>
      <c r="H181">
        <v>1.2297107747635201E-4</v>
      </c>
      <c r="I181">
        <v>-0.97251299234089894</v>
      </c>
      <c r="J181">
        <v>-1.195909705279116E-4</v>
      </c>
      <c r="K181" s="96"/>
      <c r="L181" s="96"/>
      <c r="M181" s="96"/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-12.286438348037867</v>
      </c>
      <c r="H182">
        <v>4.8749248570982405E-4</v>
      </c>
      <c r="I182">
        <v>-1.5061367744392113</v>
      </c>
      <c r="J182">
        <v>-7.3423035999034775E-4</v>
      </c>
      <c r="K182" s="96"/>
      <c r="L182" s="96"/>
      <c r="M182" s="96"/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-2.8956954369236132</v>
      </c>
      <c r="H183">
        <v>4.8749248570982405E-4</v>
      </c>
      <c r="I183">
        <v>-1.1013351111512701</v>
      </c>
      <c r="J183">
        <v>-5.36892590934638E-4</v>
      </c>
      <c r="K183" s="96"/>
      <c r="L183" s="96"/>
      <c r="M183" s="96"/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2.4331560157871905</v>
      </c>
      <c r="H184">
        <v>1.2297107747635201E-4</v>
      </c>
      <c r="I184">
        <v>-0.92209668128582256</v>
      </c>
      <c r="J184">
        <v>-1.1339122243508595E-4</v>
      </c>
      <c r="K184" s="96"/>
      <c r="L184" s="96"/>
      <c r="M184" s="96"/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-14.893219174018935</v>
      </c>
      <c r="H185">
        <v>4.8749248570982405E-4</v>
      </c>
      <c r="I185">
        <v>-1.6428633082159749</v>
      </c>
      <c r="J185">
        <v>-8.0088351780367045E-4</v>
      </c>
      <c r="K185" s="96"/>
      <c r="L185" s="96"/>
      <c r="M185" s="96"/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-4.7495577531837734</v>
      </c>
      <c r="H186">
        <v>4.8749248570982405E-4</v>
      </c>
      <c r="I186">
        <v>-1.1715393780652932</v>
      </c>
      <c r="J186">
        <v>-5.7111664351999108E-4</v>
      </c>
      <c r="K186" s="96"/>
      <c r="L186" s="96"/>
      <c r="M186" s="96"/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0.68398623834113081</v>
      </c>
      <c r="H187">
        <v>1.2297107747635201E-4</v>
      </c>
      <c r="I187">
        <v>-0.97745840419811891</v>
      </c>
      <c r="J187">
        <v>-1.2019911315255828E-4</v>
      </c>
      <c r="K187" s="96"/>
      <c r="L187" s="96"/>
      <c r="M187" s="96"/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-17.5</v>
      </c>
      <c r="H188">
        <v>1.2297107747635201E-4</v>
      </c>
      <c r="I188">
        <v>-1.7920018256557555</v>
      </c>
      <c r="J188">
        <v>-2.2036439534047815E-4</v>
      </c>
      <c r="K188" s="96"/>
      <c r="L188" s="96"/>
      <c r="M188" s="96"/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-7.0728766960757428</v>
      </c>
      <c r="H189">
        <v>1.2297107747635201E-4</v>
      </c>
      <c r="I189">
        <v>-1.2658737010427146</v>
      </c>
      <c r="J189">
        <v>-1.5566585296620012E-4</v>
      </c>
      <c r="K189" s="96"/>
      <c r="L189" s="96"/>
      <c r="M189" s="96"/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-1.0900033972581091</v>
      </c>
      <c r="H190">
        <v>3.1019731255295997E-5</v>
      </c>
      <c r="I190">
        <v>-1.0370015734702054</v>
      </c>
      <c r="J190">
        <v>-3.216751012036486E-5</v>
      </c>
      <c r="K190" s="96"/>
      <c r="L190" s="96"/>
      <c r="M190" s="96"/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-8.2864383480378674</v>
      </c>
      <c r="H191">
        <v>1.932559496921088E-3</v>
      </c>
      <c r="I191">
        <v>-1.3181307198186039</v>
      </c>
      <c r="J191">
        <v>-2.5473660407688728E-3</v>
      </c>
      <c r="K191" s="96"/>
      <c r="L191" s="96"/>
      <c r="M191" s="96"/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0.2277888505866914</v>
      </c>
      <c r="H192">
        <v>1.932559496921088E-3</v>
      </c>
      <c r="I192">
        <v>-0.99243579202605758</v>
      </c>
      <c r="J192">
        <v>-1.9179412149643593E-3</v>
      </c>
      <c r="K192" s="96"/>
      <c r="L192" s="96"/>
      <c r="M192" s="96"/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5.4096369753972002</v>
      </c>
      <c r="H193">
        <v>4.8749248570982399E-4</v>
      </c>
      <c r="I193">
        <v>-0.83500193855331495</v>
      </c>
      <c r="J193">
        <v>-4.0705717059787724E-4</v>
      </c>
      <c r="K193" s="96"/>
      <c r="L193" s="96"/>
      <c r="M193" s="96"/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-10.893219174018935</v>
      </c>
      <c r="H194">
        <v>1.932559496921088E-3</v>
      </c>
      <c r="I194">
        <v>-1.4377901341852517</v>
      </c>
      <c r="J194">
        <v>-2.7786149783991538E-3</v>
      </c>
      <c r="K194" s="96"/>
      <c r="L194" s="96"/>
      <c r="M194" s="96"/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-1.5568475049847514</v>
      </c>
      <c r="H195">
        <v>1.932559496921088E-3</v>
      </c>
      <c r="I195">
        <v>-1.0532650562698485</v>
      </c>
      <c r="J195">
        <v>-2.0354973872694199E-3</v>
      </c>
      <c r="K195" s="96"/>
      <c r="L195" s="96"/>
      <c r="M195" s="96"/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3.6964986226623071</v>
      </c>
      <c r="H196">
        <v>4.8749248570982399E-4</v>
      </c>
      <c r="I196">
        <v>-0.88407213344359514</v>
      </c>
      <c r="J196">
        <v>-4.3097852187920542E-4</v>
      </c>
      <c r="K196" s="96"/>
      <c r="L196" s="96"/>
      <c r="M196" s="96"/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-13.5</v>
      </c>
      <c r="H197">
        <v>4.8749248570982405E-4</v>
      </c>
      <c r="I197">
        <v>-1.5683121854901689</v>
      </c>
      <c r="J197">
        <v>-7.6454040567360915E-4</v>
      </c>
      <c r="K197" s="96"/>
      <c r="L197" s="96"/>
      <c r="M197" s="96"/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-3.3946935063019978</v>
      </c>
      <c r="H198">
        <v>4.8749248570982405E-4</v>
      </c>
      <c r="I198">
        <v>-1.1198071133028373</v>
      </c>
      <c r="J198">
        <v>-5.4589755317954269E-4</v>
      </c>
      <c r="K198" s="96"/>
      <c r="L198" s="96"/>
      <c r="M198" s="96"/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1.9769586280327482</v>
      </c>
      <c r="H199">
        <v>1.2297107747635201E-4</v>
      </c>
      <c r="I199">
        <v>-0.93622577317470235</v>
      </c>
      <c r="J199">
        <v>-1.1512869208842388E-4</v>
      </c>
      <c r="K199" s="96"/>
      <c r="L199" s="96"/>
      <c r="M199" s="96"/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-9.7864383480378674</v>
      </c>
      <c r="H200">
        <v>1.932559496921088E-3</v>
      </c>
      <c r="I200">
        <v>-1.3857127269906213</v>
      </c>
      <c r="J200">
        <v>-2.6779722905501441E-3</v>
      </c>
      <c r="K200" s="96"/>
      <c r="L200" s="96"/>
      <c r="M200" s="96"/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-0.93428862622123332</v>
      </c>
      <c r="H201">
        <v>1.932559496921088E-3</v>
      </c>
      <c r="I201">
        <v>-1.0316329696193214</v>
      </c>
      <c r="J201">
        <v>-1.9936920927747237E-3</v>
      </c>
      <c r="K201" s="96"/>
      <c r="L201" s="96"/>
      <c r="M201" s="96"/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4.2975693977064386</v>
      </c>
      <c r="H202">
        <v>4.8749248570982399E-4</v>
      </c>
      <c r="I202">
        <v>-0.86653540294077047</v>
      </c>
      <c r="J202">
        <v>-4.2242949753516014E-4</v>
      </c>
      <c r="K202" s="96"/>
      <c r="L202" s="96"/>
      <c r="M202" s="96"/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-12.393219174018935</v>
      </c>
      <c r="H203">
        <v>1.932559496921088E-3</v>
      </c>
      <c r="I203">
        <v>-1.5115072107235603</v>
      </c>
      <c r="J203">
        <v>-2.9210776147485205E-3</v>
      </c>
      <c r="K203" s="96"/>
      <c r="L203" s="96"/>
      <c r="M203" s="96"/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-2.7442036240568681</v>
      </c>
      <c r="H204">
        <v>1.932559496921088E-3</v>
      </c>
      <c r="I204">
        <v>-1.0957876876746715</v>
      </c>
      <c r="J204">
        <v>-2.1176749024248856E-3</v>
      </c>
      <c r="K204" s="96"/>
      <c r="L204" s="96"/>
      <c r="M204" s="96"/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2.584431044971546</v>
      </c>
      <c r="H205">
        <v>4.8749248570982399E-4</v>
      </c>
      <c r="I205">
        <v>-0.9174587111851813</v>
      </c>
      <c r="J205">
        <v>-4.4725422765179554E-4</v>
      </c>
      <c r="K205" s="96"/>
      <c r="L205" s="96"/>
      <c r="M205" s="96"/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-15</v>
      </c>
      <c r="H206">
        <v>4.8749248570982405E-4</v>
      </c>
      <c r="I206">
        <v>-1.6487212707001282</v>
      </c>
      <c r="J206">
        <v>-8.0373923049626523E-4</v>
      </c>
      <c r="K206" s="96"/>
      <c r="L206" s="96"/>
      <c r="M206" s="96"/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-4.6095515950370665</v>
      </c>
      <c r="H207">
        <v>4.8749248570982405E-4</v>
      </c>
      <c r="I207">
        <v>-1.1660846918783379</v>
      </c>
      <c r="J207">
        <v>-5.6845752499194518E-4</v>
      </c>
      <c r="K207" s="96"/>
      <c r="L207" s="96"/>
      <c r="M207" s="96"/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0.83615531535611765</v>
      </c>
      <c r="H208">
        <v>1.2297107747635201E-4</v>
      </c>
      <c r="I208">
        <v>-0.97251299234089894</v>
      </c>
      <c r="J208">
        <v>-1.195909705279116E-4</v>
      </c>
      <c r="K208" s="96"/>
      <c r="L208" s="96"/>
      <c r="M208" s="96"/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-12.286438348037867</v>
      </c>
      <c r="H209">
        <v>4.8749248570982405E-4</v>
      </c>
      <c r="I209">
        <v>-1.5061367744392113</v>
      </c>
      <c r="J209">
        <v>-7.3423035999034775E-4</v>
      </c>
      <c r="K209" s="96"/>
      <c r="L209" s="96"/>
      <c r="M209" s="96"/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-2.8956954369236132</v>
      </c>
      <c r="H210">
        <v>4.8749248570982405E-4</v>
      </c>
      <c r="I210">
        <v>-1.1013351111512701</v>
      </c>
      <c r="J210">
        <v>-5.36892590934638E-4</v>
      </c>
      <c r="K210" s="96"/>
      <c r="L210" s="96"/>
      <c r="M210" s="96"/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2.4331560157871905</v>
      </c>
      <c r="H211">
        <v>1.2297107747635201E-4</v>
      </c>
      <c r="I211">
        <v>-0.92209668128582256</v>
      </c>
      <c r="J211">
        <v>-1.1339122243508595E-4</v>
      </c>
      <c r="K211" s="96"/>
      <c r="L211" s="96"/>
      <c r="M211" s="96"/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-14.893219174018935</v>
      </c>
      <c r="H212">
        <v>4.8749248570982405E-4</v>
      </c>
      <c r="I212">
        <v>-1.6428633082159749</v>
      </c>
      <c r="J212">
        <v>-8.0088351780367045E-4</v>
      </c>
      <c r="K212" s="96"/>
      <c r="L212" s="96"/>
      <c r="M212" s="96"/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-4.7495577531837734</v>
      </c>
      <c r="H213">
        <v>4.8749248570982405E-4</v>
      </c>
      <c r="I213">
        <v>-1.1715393780652932</v>
      </c>
      <c r="J213">
        <v>-5.7111664351999108E-4</v>
      </c>
      <c r="K213" s="96"/>
      <c r="L213" s="96"/>
      <c r="M213" s="96"/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0.68398623834113081</v>
      </c>
      <c r="H214">
        <v>1.2297107747635201E-4</v>
      </c>
      <c r="I214">
        <v>-0.97745840419811891</v>
      </c>
      <c r="J214">
        <v>-1.2019911315255828E-4</v>
      </c>
      <c r="K214" s="96"/>
      <c r="L214" s="96"/>
      <c r="M214" s="96"/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-17.5</v>
      </c>
      <c r="H215">
        <v>1.2297107747635201E-4</v>
      </c>
      <c r="I215">
        <v>-1.7920018256557555</v>
      </c>
      <c r="J215">
        <v>-2.2036439534047815E-4</v>
      </c>
      <c r="K215" s="96"/>
      <c r="L215" s="96"/>
      <c r="M215" s="96"/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-7.0728766960757428</v>
      </c>
      <c r="H216">
        <v>1.2297107747635201E-4</v>
      </c>
      <c r="I216">
        <v>-1.2658737010427146</v>
      </c>
      <c r="J216">
        <v>-1.5566585296620012E-4</v>
      </c>
      <c r="K216" s="96"/>
      <c r="L216" s="96"/>
      <c r="M216" s="96"/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-1.0900033972581091</v>
      </c>
      <c r="H217">
        <v>3.1019731255295997E-5</v>
      </c>
      <c r="I217">
        <v>-1.0370015734702054</v>
      </c>
      <c r="J217">
        <v>-3.216751012036486E-5</v>
      </c>
      <c r="K217" s="96"/>
      <c r="L217" s="96"/>
      <c r="M217" s="96"/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-8.2864383480378674</v>
      </c>
      <c r="H218">
        <v>4.8749248570982405E-4</v>
      </c>
      <c r="I218">
        <v>-1.3181307198186039</v>
      </c>
      <c r="J218">
        <v>-6.4257882109485084E-4</v>
      </c>
      <c r="K218" s="96"/>
      <c r="L218" s="96"/>
      <c r="M218" s="96"/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0.2277888505866914</v>
      </c>
      <c r="H219">
        <v>4.8749248570982405E-4</v>
      </c>
      <c r="I219">
        <v>-0.99243579202605758</v>
      </c>
      <c r="J219">
        <v>-4.8380499116218076E-4</v>
      </c>
      <c r="K219" s="96"/>
      <c r="L219" s="96"/>
      <c r="M219" s="96"/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5.4096369753972002</v>
      </c>
      <c r="H220">
        <v>1.2297107747635201E-4</v>
      </c>
      <c r="I220">
        <v>-0.83500193855331495</v>
      </c>
      <c r="J220">
        <v>-1.026810880787438E-4</v>
      </c>
      <c r="K220" s="96"/>
      <c r="L220" s="96"/>
      <c r="M220" s="96"/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-10.893219174018935</v>
      </c>
      <c r="H221">
        <v>4.8749248570982405E-4</v>
      </c>
      <c r="I221">
        <v>-1.4377901341852517</v>
      </c>
      <c r="J221">
        <v>-7.0091188644302979E-4</v>
      </c>
      <c r="K221" s="96"/>
      <c r="L221" s="96"/>
      <c r="M221" s="96"/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-1.5568475049847514</v>
      </c>
      <c r="H222">
        <v>4.8749248570982405E-4</v>
      </c>
      <c r="I222">
        <v>-1.0532650562698485</v>
      </c>
      <c r="J222">
        <v>-5.1345880039228614E-4</v>
      </c>
      <c r="K222" s="96"/>
      <c r="L222" s="96"/>
      <c r="M222" s="96"/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3.6964986226623071</v>
      </c>
      <c r="H223">
        <v>1.2297107747635201E-4</v>
      </c>
      <c r="I223">
        <v>-0.88407213344359514</v>
      </c>
      <c r="J223">
        <v>-1.0871530281637615E-4</v>
      </c>
      <c r="K223" s="96"/>
      <c r="L223" s="96"/>
      <c r="M223" s="96"/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-13.5</v>
      </c>
      <c r="H224">
        <v>1.2297107747635201E-4</v>
      </c>
      <c r="I224">
        <v>-1.5683121854901689</v>
      </c>
      <c r="J224">
        <v>-1.9285703926901851E-4</v>
      </c>
      <c r="K224" s="96"/>
      <c r="L224" s="96"/>
      <c r="M224" s="96"/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-3.3946935063019978</v>
      </c>
      <c r="H225">
        <v>1.2297107747635201E-4</v>
      </c>
      <c r="I225">
        <v>-1.1198071133028373</v>
      </c>
      <c r="J225">
        <v>-1.3770388728853329E-4</v>
      </c>
      <c r="K225" s="96"/>
      <c r="L225" s="96"/>
      <c r="M225" s="96"/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1.9769586280327482</v>
      </c>
      <c r="H226">
        <v>3.1019731255295997E-5</v>
      </c>
      <c r="I226">
        <v>-0.93622577317470235</v>
      </c>
      <c r="J226">
        <v>-2.9041471878160975E-5</v>
      </c>
      <c r="K226" s="96"/>
      <c r="L226" s="96"/>
      <c r="M226" s="96"/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-9.7864383480378674</v>
      </c>
      <c r="H227">
        <v>4.8749248570982405E-4</v>
      </c>
      <c r="I227">
        <v>-1.3857127269906213</v>
      </c>
      <c r="J227">
        <v>-6.7552454176039679E-4</v>
      </c>
      <c r="K227" s="96"/>
      <c r="L227" s="96"/>
      <c r="M227" s="96"/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-0.93428862622123332</v>
      </c>
      <c r="H228">
        <v>4.8749248570982405E-4</v>
      </c>
      <c r="I228">
        <v>-1.0316329696193214</v>
      </c>
      <c r="J228">
        <v>-5.0291332069993038E-4</v>
      </c>
      <c r="K228" s="96"/>
      <c r="L228" s="96"/>
      <c r="M228" s="96"/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4.2975693977064386</v>
      </c>
      <c r="H229">
        <v>1.2297107747635201E-4</v>
      </c>
      <c r="I229">
        <v>-0.86653540294077047</v>
      </c>
      <c r="J229">
        <v>-1.0655879217103139E-4</v>
      </c>
      <c r="K229" s="96"/>
      <c r="L229" s="96"/>
      <c r="M229" s="96"/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-12.393219174018935</v>
      </c>
      <c r="H230">
        <v>4.8749248570982405E-4</v>
      </c>
      <c r="I230">
        <v>-1.5115072107235603</v>
      </c>
      <c r="J230">
        <v>-7.3684840732395128E-4</v>
      </c>
      <c r="K230" s="96"/>
      <c r="L230" s="96"/>
      <c r="M230" s="96"/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-2.7442036240568681</v>
      </c>
      <c r="H231">
        <v>4.8749248570982405E-4</v>
      </c>
      <c r="I231">
        <v>-1.0957876876746715</v>
      </c>
      <c r="J231">
        <v>-5.3418826367474589E-4</v>
      </c>
      <c r="K231" s="96"/>
      <c r="L231" s="96"/>
      <c r="M231" s="96"/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2.584431044971546</v>
      </c>
      <c r="H232">
        <v>1.2297107747635201E-4</v>
      </c>
      <c r="I232">
        <v>-0.9174587111851813</v>
      </c>
      <c r="J232">
        <v>-1.1282088625450699E-4</v>
      </c>
      <c r="K232" s="96"/>
      <c r="L232" s="96"/>
      <c r="M232" s="96"/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-15</v>
      </c>
      <c r="H233">
        <v>1.2297107747635201E-4</v>
      </c>
      <c r="I233">
        <v>-1.6487212707001282</v>
      </c>
      <c r="J233">
        <v>-2.0274503111617498E-4</v>
      </c>
      <c r="K233" s="96"/>
      <c r="L233" s="96"/>
      <c r="M233" s="96"/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-4.6095515950370665</v>
      </c>
      <c r="H234">
        <v>1.2297107747635201E-4</v>
      </c>
      <c r="I234">
        <v>-1.1660846918783379</v>
      </c>
      <c r="J234">
        <v>-1.4339469098895914E-4</v>
      </c>
      <c r="K234" s="96"/>
      <c r="L234" s="96"/>
      <c r="M234" s="96"/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0.83615531535611765</v>
      </c>
      <c r="H235">
        <v>3.1019731255295997E-5</v>
      </c>
      <c r="I235">
        <v>-0.97251299234089894</v>
      </c>
      <c r="J235">
        <v>-3.0167091664698419E-5</v>
      </c>
      <c r="K235" s="96"/>
      <c r="L235" s="96"/>
      <c r="M235" s="96"/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-12.286438348037867</v>
      </c>
      <c r="H236">
        <v>1.2297107747635201E-4</v>
      </c>
      <c r="I236">
        <v>-1.5061367744392113</v>
      </c>
      <c r="J236">
        <v>-1.8521126197954717E-4</v>
      </c>
      <c r="K236" s="96"/>
      <c r="L236" s="96"/>
      <c r="M236" s="96"/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-2.8956954369236132</v>
      </c>
      <c r="H237">
        <v>1.2297107747635201E-4</v>
      </c>
      <c r="I237">
        <v>-1.1013351111512701</v>
      </c>
      <c r="J237">
        <v>-1.3543236528080959E-4</v>
      </c>
      <c r="K237" s="96"/>
      <c r="L237" s="96"/>
      <c r="M237" s="96"/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2.4331560157871905</v>
      </c>
      <c r="H238">
        <v>3.1019731255295997E-5</v>
      </c>
      <c r="I238">
        <v>-0.92209668128582256</v>
      </c>
      <c r="J238">
        <v>-2.8603191244886542E-5</v>
      </c>
      <c r="K238" s="96"/>
      <c r="L238" s="96"/>
      <c r="M238" s="96"/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-14.893219174018935</v>
      </c>
      <c r="H239">
        <v>1.2297107747635201E-4</v>
      </c>
      <c r="I239">
        <v>-1.6428633082159749</v>
      </c>
      <c r="J239">
        <v>-2.0202467115768263E-4</v>
      </c>
      <c r="K239" s="96"/>
      <c r="L239" s="96"/>
      <c r="M239" s="96"/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-4.7495577531837734</v>
      </c>
      <c r="H240">
        <v>1.2297107747635201E-4</v>
      </c>
      <c r="I240">
        <v>-1.1715393780652932</v>
      </c>
      <c r="J240">
        <v>-1.4406545962666442E-4</v>
      </c>
      <c r="K240" s="96"/>
      <c r="L240" s="96"/>
      <c r="M240" s="96"/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0.68398623834113081</v>
      </c>
      <c r="H241">
        <v>3.1019731255295997E-5</v>
      </c>
      <c r="I241">
        <v>-0.97745840419811891</v>
      </c>
      <c r="J241">
        <v>-3.0320497011456138E-5</v>
      </c>
      <c r="K241" s="96"/>
      <c r="L241" s="96"/>
      <c r="M241" s="96"/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-17.5</v>
      </c>
      <c r="H242">
        <v>3.1019731255296003E-5</v>
      </c>
      <c r="I242">
        <v>-1.7920018256557555</v>
      </c>
      <c r="J242">
        <v>-5.5587415040841337E-5</v>
      </c>
      <c r="K242" s="96"/>
      <c r="L242" s="96"/>
      <c r="M242" s="96"/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-7.0728766960757428</v>
      </c>
      <c r="H243">
        <v>3.1019731255296003E-5</v>
      </c>
      <c r="I243">
        <v>-1.2658737010427146</v>
      </c>
      <c r="J243">
        <v>-3.9267062009491924E-5</v>
      </c>
      <c r="K243" s="96"/>
      <c r="L243" s="96"/>
      <c r="M243" s="96"/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-1.0900033972581091</v>
      </c>
      <c r="H244">
        <v>7.8247970734080004E-6</v>
      </c>
      <c r="I244">
        <v>-1.0370015734702054</v>
      </c>
      <c r="J244">
        <v>-8.114326877209154E-6</v>
      </c>
      <c r="K244" s="96"/>
      <c r="L244" s="96"/>
      <c r="M244" s="96"/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-5.9953609176677878</v>
      </c>
      <c r="H245">
        <v>7.6612180056514559E-3</v>
      </c>
      <c r="I245">
        <v>-1.2212138998308386</v>
      </c>
      <c r="J245">
        <v>-9.3559859181358545E-3</v>
      </c>
      <c r="K245" s="96"/>
      <c r="L245" s="96"/>
      <c r="M245" s="96"/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5.0852724021761606</v>
      </c>
      <c r="H246">
        <v>7.6612180056514559E-3</v>
      </c>
      <c r="I246">
        <v>-0.84407909014619931</v>
      </c>
      <c r="J246">
        <v>-6.4666739236219602E-3</v>
      </c>
      <c r="K246" s="96"/>
      <c r="L246" s="96"/>
      <c r="M246" s="96"/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12.280304150817969</v>
      </c>
      <c r="H247">
        <v>1.932559496921088E-3</v>
      </c>
      <c r="I247">
        <v>-0.66408609836855825</v>
      </c>
      <c r="J247">
        <v>-1.2833858961754292E-3</v>
      </c>
      <c r="K247" s="96"/>
      <c r="L247" s="96"/>
      <c r="M247" s="96"/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-9.7476804588338926</v>
      </c>
      <c r="H248">
        <v>7.6612180056514559E-3</v>
      </c>
      <c r="I248">
        <v>-1.3839236395822836</v>
      </c>
      <c r="J248">
        <v>-1.0602540706014487E-2</v>
      </c>
      <c r="K248" s="96"/>
      <c r="L248" s="96"/>
      <c r="M248" s="96"/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2.6238498594366542</v>
      </c>
      <c r="H249">
        <v>7.6612180056514559E-3</v>
      </c>
      <c r="I249">
        <v>-0.91625399834052346</v>
      </c>
      <c r="J249">
        <v>-7.0196216298365572E-3</v>
      </c>
      <c r="K249" s="96"/>
      <c r="L249" s="96"/>
      <c r="M249" s="96"/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9.9045090394102075</v>
      </c>
      <c r="H250">
        <v>1.932559496921088E-3</v>
      </c>
      <c r="I250">
        <v>-0.7188156863703713</v>
      </c>
      <c r="J250">
        <v>-1.3891540812309114E-3</v>
      </c>
      <c r="K250" s="96"/>
      <c r="L250" s="96"/>
      <c r="M250" s="96"/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-13.5</v>
      </c>
      <c r="H251">
        <v>1.932559496921088E-3</v>
      </c>
      <c r="I251">
        <v>-1.5683121854901689</v>
      </c>
      <c r="J251">
        <v>-3.0308566082060929E-3</v>
      </c>
      <c r="K251" s="96"/>
      <c r="L251" s="96"/>
      <c r="M251" s="96"/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0.10305242217166205</v>
      </c>
      <c r="H252">
        <v>1.932559496921088E-3</v>
      </c>
      <c r="I252">
        <v>-0.99657081240105128</v>
      </c>
      <c r="J252">
        <v>-1.9259323878600156E-3</v>
      </c>
      <c r="K252" s="96"/>
      <c r="L252" s="96"/>
      <c r="M252" s="96"/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7.5040912364666079</v>
      </c>
      <c r="H253">
        <v>4.8749248570982399E-4</v>
      </c>
      <c r="I253">
        <v>-0.77869458170768679</v>
      </c>
      <c r="J253">
        <v>-3.7960775724545185E-4</v>
      </c>
      <c r="K253" s="96"/>
      <c r="L253" s="96"/>
      <c r="M253" s="96"/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-7.495360917667786</v>
      </c>
      <c r="H254">
        <v>7.6612180056514559E-3</v>
      </c>
      <c r="I254">
        <v>-1.2838268753848057</v>
      </c>
      <c r="J254">
        <v>-9.8356775738373207E-3</v>
      </c>
      <c r="K254" s="96"/>
      <c r="L254" s="96"/>
      <c r="M254" s="96"/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4.013446218448804</v>
      </c>
      <c r="H255">
        <v>7.6612180056514559E-3</v>
      </c>
      <c r="I255">
        <v>-0.87478114788221706</v>
      </c>
      <c r="J255">
        <v>-6.70188908115969E-3</v>
      </c>
      <c r="K255" s="96"/>
      <c r="L255" s="96"/>
      <c r="M255" s="96"/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11.268987278389986</v>
      </c>
      <c r="H256">
        <v>1.932559496921088E-3</v>
      </c>
      <c r="I256">
        <v>-0.68685442465473534</v>
      </c>
      <c r="J256">
        <v>-1.3273870413687786E-3</v>
      </c>
      <c r="K256" s="96"/>
      <c r="L256" s="96"/>
      <c r="M256" s="96"/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-11.247680458833893</v>
      </c>
      <c r="H257">
        <v>7.6612180056514559E-3</v>
      </c>
      <c r="I257">
        <v>-1.454878921884365</v>
      </c>
      <c r="J257">
        <v>-1.1146144592383275E-2</v>
      </c>
      <c r="K257" s="96"/>
      <c r="L257" s="96"/>
      <c r="M257" s="96"/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1.524996633977074</v>
      </c>
      <c r="H258">
        <v>7.6612180056514559E-3</v>
      </c>
      <c r="I258">
        <v>-0.950437170149668</v>
      </c>
      <c r="J258">
        <v>-7.2815063611910529E-3</v>
      </c>
      <c r="K258" s="96"/>
      <c r="L258" s="96"/>
      <c r="M258" s="96"/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8.8753944481385538</v>
      </c>
      <c r="H259">
        <v>1.932559496921088E-3</v>
      </c>
      <c r="I259">
        <v>-0.74390162183783581</v>
      </c>
      <c r="J259">
        <v>-1.4376341440577095E-3</v>
      </c>
      <c r="K259" s="96"/>
      <c r="L259" s="96"/>
      <c r="M259" s="96"/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-15</v>
      </c>
      <c r="H260">
        <v>1.932559496921088E-3</v>
      </c>
      <c r="I260">
        <v>-1.6487212707001282</v>
      </c>
      <c r="J260">
        <v>-3.1862519494673365E-3</v>
      </c>
      <c r="K260" s="96"/>
      <c r="L260" s="96"/>
      <c r="M260" s="96"/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-1.0377508905049668</v>
      </c>
      <c r="H261">
        <v>1.932559496921088E-3</v>
      </c>
      <c r="I261">
        <v>-1.0351969478059815</v>
      </c>
      <c r="J261">
        <v>-2.0005796926661733E-3</v>
      </c>
      <c r="K261" s="96"/>
      <c r="L261" s="96"/>
      <c r="M261" s="96"/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6.4565756138481047</v>
      </c>
      <c r="H262">
        <v>4.8749248570982399E-4</v>
      </c>
      <c r="I262">
        <v>-0.8063646760481421</v>
      </c>
      <c r="J262">
        <v>-3.9309672031530578E-4</v>
      </c>
      <c r="K262" s="96"/>
      <c r="L262" s="96"/>
      <c r="M262" s="96"/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-9.9953609176677851</v>
      </c>
      <c r="H263">
        <v>1.932559496921088E-3</v>
      </c>
      <c r="I263">
        <v>-1.3953966297399314</v>
      </c>
      <c r="J263">
        <v>-2.6966870087755837E-3</v>
      </c>
      <c r="K263" s="96"/>
      <c r="L263" s="96"/>
      <c r="M263" s="96"/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2.2006851533360785</v>
      </c>
      <c r="H264">
        <v>1.932559496921088E-3</v>
      </c>
      <c r="I264">
        <v>-0.92926979140226085</v>
      </c>
      <c r="J264">
        <v>-1.7958691605763175E-3</v>
      </c>
      <c r="K264" s="96"/>
      <c r="L264" s="96"/>
      <c r="M264" s="96"/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9.5483539113981664</v>
      </c>
      <c r="H265">
        <v>4.8749248570982399E-4</v>
      </c>
      <c r="I265">
        <v>-0.72740020564763008</v>
      </c>
      <c r="J265">
        <v>-3.5460213435700033E-4</v>
      </c>
      <c r="K265" s="96"/>
      <c r="L265" s="96"/>
      <c r="M265" s="96"/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-13.747680458833893</v>
      </c>
      <c r="H266">
        <v>1.932559496921088E-3</v>
      </c>
      <c r="I266">
        <v>-1.5813137917591957</v>
      </c>
      <c r="J266">
        <v>-3.0559829858765293E-3</v>
      </c>
      <c r="K266" s="96"/>
      <c r="L266" s="96"/>
      <c r="M266" s="96"/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-0.34651918590068254</v>
      </c>
      <c r="H267">
        <v>1.932559496921088E-3</v>
      </c>
      <c r="I267">
        <v>-1.0116176057526618</v>
      </c>
      <c r="J267">
        <v>-1.9550112112498796E-3</v>
      </c>
      <c r="K267" s="96"/>
      <c r="L267" s="96"/>
      <c r="M267" s="96"/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7.1295350771077155</v>
      </c>
      <c r="H268">
        <v>4.8749248570982399E-4</v>
      </c>
      <c r="I268">
        <v>-0.78847768840093502</v>
      </c>
      <c r="J268">
        <v>-3.8437694824530787E-4</v>
      </c>
      <c r="K268" s="96"/>
      <c r="L268" s="96"/>
      <c r="M268" s="96"/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-17.5</v>
      </c>
      <c r="H269">
        <v>4.8749248570982405E-4</v>
      </c>
      <c r="I269">
        <v>-1.7920018256557555</v>
      </c>
      <c r="J269">
        <v>-8.7358742438546698E-4</v>
      </c>
      <c r="K269" s="96"/>
      <c r="L269" s="96"/>
      <c r="M269" s="96"/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-2.9929813289235154</v>
      </c>
      <c r="H270">
        <v>4.8749248570982405E-4</v>
      </c>
      <c r="I270">
        <v>-1.1049123872806281</v>
      </c>
      <c r="J270">
        <v>-5.3863648616700921E-4</v>
      </c>
      <c r="K270" s="96"/>
      <c r="L270" s="96"/>
      <c r="M270" s="96"/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4.6823539215236041</v>
      </c>
      <c r="H271">
        <v>1.2297107747635201E-4</v>
      </c>
      <c r="I271">
        <v>-0.8554920623648562</v>
      </c>
      <c r="J271">
        <v>-1.052007806814729E-4</v>
      </c>
      <c r="K271" s="96"/>
      <c r="L271" s="96"/>
      <c r="M271" s="96"/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-5.9953609176677878</v>
      </c>
      <c r="H272">
        <v>7.6612180056514559E-3</v>
      </c>
      <c r="I272">
        <v>-1.2212138998308386</v>
      </c>
      <c r="J272">
        <v>-9.3559859181358545E-3</v>
      </c>
      <c r="K272" s="96"/>
      <c r="L272" s="96"/>
      <c r="M272" s="96"/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5.0852724021761606</v>
      </c>
      <c r="H273">
        <v>7.6612180056514559E-3</v>
      </c>
      <c r="I273">
        <v>-0.84407909014619931</v>
      </c>
      <c r="J273">
        <v>-6.4666739236219602E-3</v>
      </c>
      <c r="K273" s="96"/>
      <c r="L273" s="96"/>
      <c r="M273" s="96"/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12.280304150817969</v>
      </c>
      <c r="H274">
        <v>1.932559496921088E-3</v>
      </c>
      <c r="I274">
        <v>-0.66408609836855825</v>
      </c>
      <c r="J274">
        <v>-1.2833858961754292E-3</v>
      </c>
      <c r="K274" s="96"/>
      <c r="L274" s="96"/>
      <c r="M274" s="96"/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-9.7476804588338926</v>
      </c>
      <c r="H275">
        <v>7.6612180056514559E-3</v>
      </c>
      <c r="I275">
        <v>-1.3839236395822836</v>
      </c>
      <c r="J275">
        <v>-1.0602540706014487E-2</v>
      </c>
      <c r="K275" s="96"/>
      <c r="L275" s="96"/>
      <c r="M275" s="96"/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2.6238498594366542</v>
      </c>
      <c r="H276">
        <v>7.6612180056514559E-3</v>
      </c>
      <c r="I276">
        <v>-0.91625399834052346</v>
      </c>
      <c r="J276">
        <v>-7.0196216298365572E-3</v>
      </c>
      <c r="K276" s="96"/>
      <c r="L276" s="96"/>
      <c r="M276" s="96"/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9.9045090394102075</v>
      </c>
      <c r="H277">
        <v>1.932559496921088E-3</v>
      </c>
      <c r="I277">
        <v>-0.7188156863703713</v>
      </c>
      <c r="J277">
        <v>-1.3891540812309114E-3</v>
      </c>
      <c r="K277" s="96"/>
      <c r="L277" s="96"/>
      <c r="M277" s="96"/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-13.5</v>
      </c>
      <c r="H278">
        <v>1.932559496921088E-3</v>
      </c>
      <c r="I278">
        <v>-1.5683121854901689</v>
      </c>
      <c r="J278">
        <v>-3.0308566082060929E-3</v>
      </c>
      <c r="K278" s="96"/>
      <c r="L278" s="96"/>
      <c r="M278" s="96"/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0.10305242217166205</v>
      </c>
      <c r="H279">
        <v>1.932559496921088E-3</v>
      </c>
      <c r="I279">
        <v>-0.99657081240105128</v>
      </c>
      <c r="J279">
        <v>-1.9259323878600156E-3</v>
      </c>
      <c r="K279" s="96"/>
      <c r="L279" s="96"/>
      <c r="M279" s="96"/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7.5040912364666079</v>
      </c>
      <c r="H280">
        <v>4.8749248570982399E-4</v>
      </c>
      <c r="I280">
        <v>-0.77869458170768679</v>
      </c>
      <c r="J280">
        <v>-3.7960775724545185E-4</v>
      </c>
      <c r="K280" s="96"/>
      <c r="L280" s="96"/>
      <c r="M280" s="96"/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-7.495360917667786</v>
      </c>
      <c r="H281">
        <v>7.6612180056514559E-3</v>
      </c>
      <c r="I281">
        <v>-1.2838268753848057</v>
      </c>
      <c r="J281">
        <v>-9.8356775738373207E-3</v>
      </c>
      <c r="K281" s="96"/>
      <c r="L281" s="96"/>
      <c r="M281" s="96"/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4.013446218448804</v>
      </c>
      <c r="H282">
        <v>7.6612180056514559E-3</v>
      </c>
      <c r="I282">
        <v>-0.87478114788221706</v>
      </c>
      <c r="J282">
        <v>-6.70188908115969E-3</v>
      </c>
      <c r="K282" s="96"/>
      <c r="L282" s="96"/>
      <c r="M282" s="96"/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11.268987278389986</v>
      </c>
      <c r="H283">
        <v>1.932559496921088E-3</v>
      </c>
      <c r="I283">
        <v>-0.68685442465473534</v>
      </c>
      <c r="J283">
        <v>-1.3273870413687786E-3</v>
      </c>
      <c r="K283" s="96"/>
      <c r="L283" s="96"/>
      <c r="M283" s="96"/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-11.247680458833893</v>
      </c>
      <c r="H284">
        <v>7.6612180056514559E-3</v>
      </c>
      <c r="I284">
        <v>-1.454878921884365</v>
      </c>
      <c r="J284">
        <v>-1.1146144592383275E-2</v>
      </c>
      <c r="K284" s="96"/>
      <c r="L284" s="96"/>
      <c r="M284" s="96"/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1.524996633977074</v>
      </c>
      <c r="H285">
        <v>7.6612180056514559E-3</v>
      </c>
      <c r="I285">
        <v>-0.950437170149668</v>
      </c>
      <c r="J285">
        <v>-7.2815063611910529E-3</v>
      </c>
      <c r="K285" s="96"/>
      <c r="L285" s="96"/>
      <c r="M285" s="96"/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8.8753944481385538</v>
      </c>
      <c r="H286">
        <v>1.932559496921088E-3</v>
      </c>
      <c r="I286">
        <v>-0.74390162183783581</v>
      </c>
      <c r="J286">
        <v>-1.4376341440577095E-3</v>
      </c>
      <c r="K286" s="96"/>
      <c r="L286" s="96"/>
      <c r="M286" s="96"/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-15</v>
      </c>
      <c r="H287">
        <v>1.932559496921088E-3</v>
      </c>
      <c r="I287">
        <v>-1.6487212707001282</v>
      </c>
      <c r="J287">
        <v>-3.1862519494673365E-3</v>
      </c>
      <c r="K287" s="96"/>
      <c r="L287" s="96"/>
      <c r="M287" s="96"/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-1.0377508905049668</v>
      </c>
      <c r="H288">
        <v>1.932559496921088E-3</v>
      </c>
      <c r="I288">
        <v>-1.0351969478059815</v>
      </c>
      <c r="J288">
        <v>-2.0005796926661733E-3</v>
      </c>
      <c r="K288" s="96"/>
      <c r="L288" s="96"/>
      <c r="M288" s="96"/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6.4565756138481047</v>
      </c>
      <c r="H289">
        <v>4.8749248570982399E-4</v>
      </c>
      <c r="I289">
        <v>-0.8063646760481421</v>
      </c>
      <c r="J289">
        <v>-3.9309672031530578E-4</v>
      </c>
      <c r="K289" s="96"/>
      <c r="L289" s="96"/>
      <c r="M289" s="96"/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-9.9953609176677851</v>
      </c>
      <c r="H290">
        <v>1.932559496921088E-3</v>
      </c>
      <c r="I290">
        <v>-1.3953966297399314</v>
      </c>
      <c r="J290">
        <v>-2.6966870087755837E-3</v>
      </c>
      <c r="K290" s="96"/>
      <c r="L290" s="96"/>
      <c r="M290" s="96"/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2.2006851533360785</v>
      </c>
      <c r="H291">
        <v>1.932559496921088E-3</v>
      </c>
      <c r="I291">
        <v>-0.92926979140226085</v>
      </c>
      <c r="J291">
        <v>-1.7958691605763175E-3</v>
      </c>
      <c r="K291" s="96"/>
      <c r="L291" s="96"/>
      <c r="M291" s="96"/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9.5483539113981664</v>
      </c>
      <c r="H292">
        <v>4.8749248570982399E-4</v>
      </c>
      <c r="I292">
        <v>-0.72740020564763008</v>
      </c>
      <c r="J292">
        <v>-3.5460213435700033E-4</v>
      </c>
      <c r="K292" s="96"/>
      <c r="L292" s="96"/>
      <c r="M292" s="96"/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-13.747680458833893</v>
      </c>
      <c r="H293">
        <v>1.932559496921088E-3</v>
      </c>
      <c r="I293">
        <v>-1.5813137917591957</v>
      </c>
      <c r="J293">
        <v>-3.0559829858765293E-3</v>
      </c>
      <c r="K293" s="96"/>
      <c r="L293" s="96"/>
      <c r="M293" s="96"/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-0.34651918590068254</v>
      </c>
      <c r="H294">
        <v>1.932559496921088E-3</v>
      </c>
      <c r="I294">
        <v>-1.0116176057526618</v>
      </c>
      <c r="J294">
        <v>-1.9550112112498796E-3</v>
      </c>
      <c r="K294" s="96"/>
      <c r="L294" s="96"/>
      <c r="M294" s="96"/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7.1295350771077155</v>
      </c>
      <c r="H295">
        <v>4.8749248570982399E-4</v>
      </c>
      <c r="I295">
        <v>-0.78847768840093502</v>
      </c>
      <c r="J295">
        <v>-3.8437694824530787E-4</v>
      </c>
      <c r="K295" s="96"/>
      <c r="L295" s="96"/>
      <c r="M295" s="96"/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-17.5</v>
      </c>
      <c r="H296">
        <v>4.8749248570982405E-4</v>
      </c>
      <c r="I296">
        <v>-1.7920018256557555</v>
      </c>
      <c r="J296">
        <v>-8.7358742438546698E-4</v>
      </c>
      <c r="K296" s="96"/>
      <c r="L296" s="96"/>
      <c r="M296" s="96"/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-2.9929813289235154</v>
      </c>
      <c r="H297">
        <v>4.8749248570982405E-4</v>
      </c>
      <c r="I297">
        <v>-1.1049123872806281</v>
      </c>
      <c r="J297">
        <v>-5.3863648616700921E-4</v>
      </c>
      <c r="K297" s="96"/>
      <c r="L297" s="96"/>
      <c r="M297" s="96"/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4.6823539215236041</v>
      </c>
      <c r="H298">
        <v>1.2297107747635201E-4</v>
      </c>
      <c r="I298">
        <v>-0.8554920623648562</v>
      </c>
      <c r="J298">
        <v>-1.052007806814729E-4</v>
      </c>
      <c r="K298" s="96"/>
      <c r="L298" s="96"/>
      <c r="M298" s="96"/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-5.9953609176677878</v>
      </c>
      <c r="H299">
        <v>1.932559496921088E-3</v>
      </c>
      <c r="I299">
        <v>-1.2212138998308386</v>
      </c>
      <c r="J299">
        <v>-2.3600685198901252E-3</v>
      </c>
      <c r="K299" s="96"/>
      <c r="L299" s="96"/>
      <c r="M299" s="96"/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5.0852724021761606</v>
      </c>
      <c r="H300">
        <v>1.932559496921088E-3</v>
      </c>
      <c r="I300">
        <v>-0.84407909014619931</v>
      </c>
      <c r="J300">
        <v>-1.6312330618145487E-3</v>
      </c>
      <c r="K300" s="96"/>
      <c r="L300" s="96"/>
      <c r="M300" s="96"/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12.280304150817969</v>
      </c>
      <c r="H301">
        <v>4.8749248570982399E-4</v>
      </c>
      <c r="I301">
        <v>-0.66408609836855825</v>
      </c>
      <c r="J301">
        <v>-3.2373698281902715E-4</v>
      </c>
      <c r="K301" s="96"/>
      <c r="L301" s="96"/>
      <c r="M301" s="96"/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-9.7476804588338926</v>
      </c>
      <c r="H302">
        <v>1.932559496921088E-3</v>
      </c>
      <c r="I302">
        <v>-1.3839236395822836</v>
      </c>
      <c r="J302">
        <v>-2.6745147726883389E-3</v>
      </c>
      <c r="K302" s="96"/>
      <c r="L302" s="96"/>
      <c r="M302" s="96"/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2.6238498594366542</v>
      </c>
      <c r="H303">
        <v>1.932559496921088E-3</v>
      </c>
      <c r="I303">
        <v>-0.91625399834052346</v>
      </c>
      <c r="J303">
        <v>-1.7707153660848974E-3</v>
      </c>
      <c r="K303" s="96"/>
      <c r="L303" s="96"/>
      <c r="M303" s="96"/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9.9045090394102075</v>
      </c>
      <c r="H304">
        <v>4.8749248570982399E-4</v>
      </c>
      <c r="I304">
        <v>-0.7188156863703713</v>
      </c>
      <c r="J304">
        <v>-3.5041724571590558E-4</v>
      </c>
      <c r="K304" s="96"/>
      <c r="L304" s="96"/>
      <c r="M304" s="96"/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-13.5</v>
      </c>
      <c r="H305">
        <v>4.8749248570982405E-4</v>
      </c>
      <c r="I305">
        <v>-1.5683121854901689</v>
      </c>
      <c r="J305">
        <v>-7.6454040567360915E-4</v>
      </c>
      <c r="K305" s="96"/>
      <c r="L305" s="96"/>
      <c r="M305" s="96"/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0.10305242217166205</v>
      </c>
      <c r="H306">
        <v>4.8749248570982405E-4</v>
      </c>
      <c r="I306">
        <v>-0.99657081240105128</v>
      </c>
      <c r="J306">
        <v>-4.8582078252324724E-4</v>
      </c>
      <c r="K306" s="96"/>
      <c r="L306" s="96"/>
      <c r="M306" s="96"/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7.5040912364666079</v>
      </c>
      <c r="H307">
        <v>1.2297107747635201E-4</v>
      </c>
      <c r="I307">
        <v>-0.77869458170768679</v>
      </c>
      <c r="J307">
        <v>-9.5756911737591467E-5</v>
      </c>
      <c r="K307" s="96"/>
      <c r="L307" s="96"/>
      <c r="M307" s="96"/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-7.495360917667786</v>
      </c>
      <c r="H308">
        <v>1.932559496921088E-3</v>
      </c>
      <c r="I308">
        <v>-1.2838268753848057</v>
      </c>
      <c r="J308">
        <v>-2.4810718204274322E-3</v>
      </c>
      <c r="K308" s="96"/>
      <c r="L308" s="96"/>
      <c r="M308" s="96"/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4.013446218448804</v>
      </c>
      <c r="H309">
        <v>1.932559496921088E-3</v>
      </c>
      <c r="I309">
        <v>-0.87478114788221706</v>
      </c>
      <c r="J309">
        <v>-1.6905666150673093E-3</v>
      </c>
      <c r="K309" s="96"/>
      <c r="L309" s="96"/>
      <c r="M309" s="96"/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11.268987278389986</v>
      </c>
      <c r="H310">
        <v>4.8749248570982399E-4</v>
      </c>
      <c r="I310">
        <v>-0.68685442465473534</v>
      </c>
      <c r="J310">
        <v>-3.3483637079572792E-4</v>
      </c>
      <c r="K310" s="96"/>
      <c r="L310" s="96"/>
      <c r="M310" s="96"/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-11.247680458833893</v>
      </c>
      <c r="H311">
        <v>1.932559496921088E-3</v>
      </c>
      <c r="I311">
        <v>-1.454878921884365</v>
      </c>
      <c r="J311">
        <v>-2.8116400773579432E-3</v>
      </c>
      <c r="K311" s="96"/>
      <c r="L311" s="96"/>
      <c r="M311" s="96"/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1.524996633977074</v>
      </c>
      <c r="H312">
        <v>1.932559496921088E-3</v>
      </c>
      <c r="I312">
        <v>-0.950437170149668</v>
      </c>
      <c r="J312">
        <v>-1.8367763793995448E-3</v>
      </c>
      <c r="K312" s="96"/>
      <c r="L312" s="96"/>
      <c r="M312" s="96"/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8.8753944481385538</v>
      </c>
      <c r="H313">
        <v>4.8749248570982399E-4</v>
      </c>
      <c r="I313">
        <v>-0.74390162183783581</v>
      </c>
      <c r="J313">
        <v>-3.6264645075329607E-4</v>
      </c>
      <c r="K313" s="96"/>
      <c r="L313" s="96"/>
      <c r="M313" s="96"/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-15</v>
      </c>
      <c r="H314">
        <v>4.8749248570982405E-4</v>
      </c>
      <c r="I314">
        <v>-1.6487212707001282</v>
      </c>
      <c r="J314">
        <v>-8.0373923049626523E-4</v>
      </c>
      <c r="K314" s="96"/>
      <c r="L314" s="96"/>
      <c r="M314" s="96"/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-1.0377508905049668</v>
      </c>
      <c r="H315">
        <v>4.8749248570982405E-4</v>
      </c>
      <c r="I315">
        <v>-1.0351969478059815</v>
      </c>
      <c r="J315">
        <v>-5.0465073328516093E-4</v>
      </c>
      <c r="K315" s="96"/>
      <c r="L315" s="96"/>
      <c r="M315" s="96"/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6.4565756138481047</v>
      </c>
      <c r="H316">
        <v>1.2297107747635201E-4</v>
      </c>
      <c r="I316">
        <v>-0.8063646760481421</v>
      </c>
      <c r="J316">
        <v>-9.9159533052509566E-5</v>
      </c>
      <c r="K316" s="96"/>
      <c r="L316" s="96"/>
      <c r="M316" s="96"/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-9.9953609176677851</v>
      </c>
      <c r="H317">
        <v>4.8749248570982405E-4</v>
      </c>
      <c r="I317">
        <v>-1.3953966297399314</v>
      </c>
      <c r="J317">
        <v>-6.8024537158303019E-4</v>
      </c>
      <c r="K317" s="96"/>
      <c r="L317" s="96"/>
      <c r="M317" s="96"/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2.2006851533360785</v>
      </c>
      <c r="H318">
        <v>4.8749248570982405E-4</v>
      </c>
      <c r="I318">
        <v>-0.92926979140226085</v>
      </c>
      <c r="J318">
        <v>-4.5301204050573779E-4</v>
      </c>
      <c r="K318" s="96"/>
      <c r="L318" s="96"/>
      <c r="M318" s="96"/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9.5483539113981664</v>
      </c>
      <c r="H319">
        <v>1.2297107747635201E-4</v>
      </c>
      <c r="I319">
        <v>-0.72740020564763008</v>
      </c>
      <c r="J319">
        <v>-8.9449187045009096E-5</v>
      </c>
      <c r="K319" s="96"/>
      <c r="L319" s="96"/>
      <c r="M319" s="96"/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-13.747680458833893</v>
      </c>
      <c r="H320">
        <v>4.8749248570982405E-4</v>
      </c>
      <c r="I320">
        <v>-1.5813137917591957</v>
      </c>
      <c r="J320">
        <v>-7.7087859103191743E-4</v>
      </c>
      <c r="K320" s="96"/>
      <c r="L320" s="96"/>
      <c r="M320" s="96"/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-0.34651918590068254</v>
      </c>
      <c r="H321">
        <v>4.8749248570982405E-4</v>
      </c>
      <c r="I321">
        <v>-1.0116176057526618</v>
      </c>
      <c r="J321">
        <v>-4.9315598121618589E-4</v>
      </c>
      <c r="K321" s="96"/>
      <c r="L321" s="96"/>
      <c r="M321" s="96"/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7.1295350771077155</v>
      </c>
      <c r="H322">
        <v>1.2297107747635201E-4</v>
      </c>
      <c r="I322">
        <v>-0.78847768840093502</v>
      </c>
      <c r="J322">
        <v>-9.6959950908726317E-5</v>
      </c>
      <c r="K322" s="96"/>
      <c r="L322" s="96"/>
      <c r="M322" s="96"/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-17.5</v>
      </c>
      <c r="H323">
        <v>1.2297107747635201E-4</v>
      </c>
      <c r="I323">
        <v>-1.7920018256557555</v>
      </c>
      <c r="J323">
        <v>-2.2036439534047815E-4</v>
      </c>
      <c r="K323" s="96"/>
      <c r="L323" s="96"/>
      <c r="M323" s="96"/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-2.9929813289235154</v>
      </c>
      <c r="H324">
        <v>1.2297107747635201E-4</v>
      </c>
      <c r="I324">
        <v>-1.1049123872806281</v>
      </c>
      <c r="J324">
        <v>-1.3587226678086716E-4</v>
      </c>
      <c r="K324" s="96"/>
      <c r="L324" s="96"/>
      <c r="M324" s="96"/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4.6823539215236041</v>
      </c>
      <c r="H325">
        <v>3.1019731255295997E-5</v>
      </c>
      <c r="I325">
        <v>-0.8554920623648562</v>
      </c>
      <c r="J325">
        <v>-2.6537133865596763E-5</v>
      </c>
      <c r="K325" s="96"/>
      <c r="L325" s="96"/>
      <c r="M325" s="96"/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-2.2473353793977453</v>
      </c>
      <c r="H326">
        <v>7.6612180056514559E-3</v>
      </c>
      <c r="I326">
        <v>-1.0777884167257716</v>
      </c>
      <c r="J326">
        <v>-8.2571720245020568E-3</v>
      </c>
      <c r="K326" s="96"/>
      <c r="L326" s="96"/>
      <c r="M326" s="96"/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13.475954609752975</v>
      </c>
      <c r="H327">
        <v>7.6612180056514559E-3</v>
      </c>
      <c r="I327">
        <v>-0.63813942374797328</v>
      </c>
      <c r="J327">
        <v>-4.8889252433340176E-3</v>
      </c>
      <c r="K327" s="96"/>
      <c r="L327" s="96"/>
      <c r="M327" s="96"/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24.817133360674273</v>
      </c>
      <c r="H328">
        <v>1.932559496921088E-3</v>
      </c>
      <c r="I328">
        <v>-0.43725541598444251</v>
      </c>
      <c r="J328">
        <v>-8.4502210674091522E-4</v>
      </c>
      <c r="K328" s="96"/>
      <c r="L328" s="96"/>
      <c r="M328" s="96"/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-7.5040896672095787</v>
      </c>
      <c r="H329">
        <v>7.6612180056514559E-3</v>
      </c>
      <c r="I329">
        <v>-1.2842004698407192</v>
      </c>
      <c r="J329">
        <v>-9.838539762409778E-3</v>
      </c>
      <c r="K329" s="96"/>
      <c r="L329" s="96"/>
      <c r="M329" s="96"/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9.658688740866392</v>
      </c>
      <c r="H330">
        <v>7.6612180056514559E-3</v>
      </c>
      <c r="I330">
        <v>-0.72472986659286698</v>
      </c>
      <c r="J330">
        <v>-5.5523135031746501E-3</v>
      </c>
      <c r="K330" s="96"/>
      <c r="L330" s="96"/>
      <c r="M330" s="96"/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21.048357225949147</v>
      </c>
      <c r="H331">
        <v>1.932559496921088E-3</v>
      </c>
      <c r="I331">
        <v>-0.49578549897900187</v>
      </c>
      <c r="J331">
        <v>-9.5813497448763048E-4</v>
      </c>
      <c r="K331" s="96"/>
      <c r="L331" s="96"/>
      <c r="M331" s="96"/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-13.5</v>
      </c>
      <c r="H332">
        <v>1.932559496921088E-3</v>
      </c>
      <c r="I332">
        <v>-1.5683121854901689</v>
      </c>
      <c r="J332">
        <v>-3.0308566082060929E-3</v>
      </c>
      <c r="K332" s="96"/>
      <c r="L332" s="96"/>
      <c r="M332" s="96"/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5.7877919097704567</v>
      </c>
      <c r="H333">
        <v>1.932559496921088E-3</v>
      </c>
      <c r="I333">
        <v>-0.82454266072548943</v>
      </c>
      <c r="J333">
        <v>-1.5934777496016271E-3</v>
      </c>
      <c r="K333" s="96"/>
      <c r="L333" s="96"/>
      <c r="M333" s="96"/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17.279581091224028</v>
      </c>
      <c r="H334">
        <v>4.8749248570982399E-4</v>
      </c>
      <c r="I334">
        <v>-0.56215029479841472</v>
      </c>
      <c r="J334">
        <v>-2.7404404455378951E-4</v>
      </c>
      <c r="K334" s="96"/>
      <c r="L334" s="96"/>
      <c r="M334" s="96"/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-3.4398005372462563</v>
      </c>
      <c r="H335">
        <v>7.6612180056514559E-3</v>
      </c>
      <c r="I335">
        <v>-1.1214920855240142</v>
      </c>
      <c r="J335">
        <v>-8.5919953588121812E-3</v>
      </c>
      <c r="K335" s="96"/>
      <c r="L335" s="96"/>
      <c r="M335" s="96"/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12.428438987134472</v>
      </c>
      <c r="H336">
        <v>7.6612180056514559E-3</v>
      </c>
      <c r="I336">
        <v>-0.66081503813166065</v>
      </c>
      <c r="J336">
        <v>-5.062648068539532E-3</v>
      </c>
      <c r="K336" s="96"/>
      <c r="L336" s="96"/>
      <c r="M336" s="96"/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23.80581648824629</v>
      </c>
      <c r="H337">
        <v>1.932559496921088E-3</v>
      </c>
      <c r="I337">
        <v>-0.45224680641708281</v>
      </c>
      <c r="J337">
        <v>-8.7399386069356621E-4</v>
      </c>
      <c r="K337" s="96"/>
      <c r="L337" s="96"/>
      <c r="M337" s="96"/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-9.0040896672095787</v>
      </c>
      <c r="H338">
        <v>7.6612180056514559E-3</v>
      </c>
      <c r="I338">
        <v>-1.3500428358960581</v>
      </c>
      <c r="J338">
        <v>-1.0342972482767634E-2</v>
      </c>
      <c r="K338" s="96"/>
      <c r="L338" s="96"/>
      <c r="M338" s="96"/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8.5860311170955956</v>
      </c>
      <c r="H339">
        <v>7.6612180056514559E-3</v>
      </c>
      <c r="I339">
        <v>-0.75111159936716199</v>
      </c>
      <c r="J339">
        <v>-5.7544297093253642E-3</v>
      </c>
      <c r="K339" s="96"/>
      <c r="L339" s="96"/>
      <c r="M339" s="96"/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20.037040353521164</v>
      </c>
      <c r="H340">
        <v>1.932559496921088E-3</v>
      </c>
      <c r="I340">
        <v>-0.51278360515294596</v>
      </c>
      <c r="J340">
        <v>-9.9098482600375897E-4</v>
      </c>
      <c r="K340" s="96"/>
      <c r="L340" s="96"/>
      <c r="M340" s="96"/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-15</v>
      </c>
      <c r="H341">
        <v>1.932559496921088E-3</v>
      </c>
      <c r="I341">
        <v>-1.6487212707001282</v>
      </c>
      <c r="J341">
        <v>-3.1862519494673365E-3</v>
      </c>
      <c r="K341" s="96"/>
      <c r="L341" s="96"/>
      <c r="M341" s="96"/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4.6938660699127155</v>
      </c>
      <c r="H342">
        <v>1.932559496921088E-3</v>
      </c>
      <c r="I342">
        <v>-0.85516384029231551</v>
      </c>
      <c r="J342">
        <v>-1.6526550009804228E-3</v>
      </c>
      <c r="K342" s="96"/>
      <c r="L342" s="96"/>
      <c r="M342" s="96"/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16.24570485602106</v>
      </c>
      <c r="H343">
        <v>4.8749248570982399E-4</v>
      </c>
      <c r="I343">
        <v>-0.58186111415527986</v>
      </c>
      <c r="J343">
        <v>-2.8365292087744501E-4</v>
      </c>
      <c r="K343" s="96"/>
      <c r="L343" s="96"/>
      <c r="M343" s="96"/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-5.5081793344191512</v>
      </c>
      <c r="H344">
        <v>1.932559496921088E-3</v>
      </c>
      <c r="I344">
        <v>-1.2015422954903621</v>
      </c>
      <c r="J344">
        <v>-2.3220519741022632E-3</v>
      </c>
      <c r="K344" s="96"/>
      <c r="L344" s="96"/>
      <c r="M344" s="96"/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10.663581668483387</v>
      </c>
      <c r="H345">
        <v>1.932559496921088E-3</v>
      </c>
      <c r="I345">
        <v>-0.70085607821126217</v>
      </c>
      <c r="J345">
        <v>-1.3544460699220435E-3</v>
      </c>
      <c r="K345" s="96"/>
      <c r="L345" s="96"/>
      <c r="M345" s="96"/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22.120288367532986</v>
      </c>
      <c r="H346">
        <v>4.8749248570982399E-4</v>
      </c>
      <c r="I346">
        <v>-0.47838331884702867</v>
      </c>
      <c r="J346">
        <v>-2.332082732268533E-4</v>
      </c>
      <c r="K346" s="96"/>
      <c r="L346" s="96"/>
      <c r="M346" s="96"/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-11.504089667209579</v>
      </c>
      <c r="H347">
        <v>1.932559496921088E-3</v>
      </c>
      <c r="I347">
        <v>-1.4673670253625495</v>
      </c>
      <c r="J347">
        <v>-2.8357740803332419E-3</v>
      </c>
      <c r="K347" s="96"/>
      <c r="L347" s="96"/>
      <c r="M347" s="96"/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6.7843094772522274</v>
      </c>
      <c r="H348">
        <v>1.932559496921088E-3</v>
      </c>
      <c r="I348">
        <v>-0.79760351829535114</v>
      </c>
      <c r="J348">
        <v>-1.5414162540593535E-3</v>
      </c>
      <c r="K348" s="96"/>
      <c r="L348" s="96"/>
      <c r="M348" s="96"/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18.317111353876804</v>
      </c>
      <c r="H349">
        <v>4.8749248570982399E-4</v>
      </c>
      <c r="I349">
        <v>-0.54304104180896573</v>
      </c>
      <c r="J349">
        <v>-2.6472842731390517E-4</v>
      </c>
      <c r="K349" s="96"/>
      <c r="L349" s="96"/>
      <c r="M349" s="96"/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-17.5</v>
      </c>
      <c r="H350">
        <v>4.8749248570982405E-4</v>
      </c>
      <c r="I350">
        <v>-1.7920018256557555</v>
      </c>
      <c r="J350">
        <v>-8.7358742438546698E-4</v>
      </c>
      <c r="K350" s="96"/>
      <c r="L350" s="96"/>
      <c r="M350" s="96"/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2.8404201070947819</v>
      </c>
      <c r="H351">
        <v>4.8749248570982405E-4</v>
      </c>
      <c r="I351">
        <v>-0.90966337068233083</v>
      </c>
      <c r="J351">
        <v>-4.4345405773310652E-4</v>
      </c>
      <c r="K351" s="96"/>
      <c r="L351" s="96"/>
      <c r="M351" s="96"/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14.499845484990221</v>
      </c>
      <c r="H352">
        <v>1.2297107747635201E-4</v>
      </c>
      <c r="I352">
        <v>-0.61672739081560801</v>
      </c>
      <c r="J352">
        <v>-7.5839631757774556E-5</v>
      </c>
      <c r="K352" s="96"/>
      <c r="L352" s="96"/>
      <c r="M352" s="96"/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-2.2473353793977453</v>
      </c>
      <c r="H353">
        <v>7.6612180056514559E-3</v>
      </c>
      <c r="I353">
        <v>-1.0777884167257716</v>
      </c>
      <c r="J353">
        <v>-8.2571720245020568E-3</v>
      </c>
      <c r="K353" s="96"/>
      <c r="L353" s="96"/>
      <c r="M353" s="96"/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13.475954609752975</v>
      </c>
      <c r="H354">
        <v>7.6612180056514559E-3</v>
      </c>
      <c r="I354">
        <v>-0.63813942374797328</v>
      </c>
      <c r="J354">
        <v>-4.8889252433340176E-3</v>
      </c>
      <c r="K354" s="96"/>
      <c r="L354" s="96"/>
      <c r="M354" s="96"/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24.817133360674273</v>
      </c>
      <c r="H355">
        <v>1.932559496921088E-3</v>
      </c>
      <c r="I355">
        <v>-0.43725541598444251</v>
      </c>
      <c r="J355">
        <v>-8.4502210674091522E-4</v>
      </c>
      <c r="K355" s="96"/>
      <c r="L355" s="96"/>
      <c r="M355" s="96"/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-7.5040896672095787</v>
      </c>
      <c r="H356">
        <v>7.6612180056514559E-3</v>
      </c>
      <c r="I356">
        <v>-1.2842004698407192</v>
      </c>
      <c r="J356">
        <v>-9.838539762409778E-3</v>
      </c>
      <c r="K356" s="96"/>
      <c r="L356" s="96"/>
      <c r="M356" s="96"/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9.658688740866392</v>
      </c>
      <c r="H357">
        <v>7.6612180056514559E-3</v>
      </c>
      <c r="I357">
        <v>-0.72472986659286698</v>
      </c>
      <c r="J357">
        <v>-5.5523135031746501E-3</v>
      </c>
      <c r="K357" s="96"/>
      <c r="L357" s="96"/>
      <c r="M357" s="96"/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21.048357225949147</v>
      </c>
      <c r="H358">
        <v>1.932559496921088E-3</v>
      </c>
      <c r="I358">
        <v>-0.49578549897900187</v>
      </c>
      <c r="J358">
        <v>-9.5813497448763048E-4</v>
      </c>
      <c r="K358" s="96"/>
      <c r="L358" s="96"/>
      <c r="M358" s="96"/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-13.5</v>
      </c>
      <c r="H359">
        <v>1.932559496921088E-3</v>
      </c>
      <c r="I359">
        <v>-1.5683121854901689</v>
      </c>
      <c r="J359">
        <v>-3.0308566082060929E-3</v>
      </c>
      <c r="K359" s="96"/>
      <c r="L359" s="96"/>
      <c r="M359" s="96"/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5.7877919097704567</v>
      </c>
      <c r="H360">
        <v>1.932559496921088E-3</v>
      </c>
      <c r="I360">
        <v>-0.82454266072548943</v>
      </c>
      <c r="J360">
        <v>-1.5934777496016271E-3</v>
      </c>
      <c r="K360" s="96"/>
      <c r="L360" s="96"/>
      <c r="M360" s="96"/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17.279581091224028</v>
      </c>
      <c r="H361">
        <v>4.8749248570982399E-4</v>
      </c>
      <c r="I361">
        <v>-0.56215029479841472</v>
      </c>
      <c r="J361">
        <v>-2.7404404455378951E-4</v>
      </c>
      <c r="K361" s="96"/>
      <c r="L361" s="96"/>
      <c r="M361" s="96"/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-3.4398005372462563</v>
      </c>
      <c r="H362">
        <v>7.6612180056514559E-3</v>
      </c>
      <c r="I362">
        <v>-1.1214920855240142</v>
      </c>
      <c r="J362">
        <v>-8.5919953588121812E-3</v>
      </c>
      <c r="K362" s="96"/>
      <c r="L362" s="96"/>
      <c r="M362" s="96"/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12.428438987134472</v>
      </c>
      <c r="H363">
        <v>7.6612180056514559E-3</v>
      </c>
      <c r="I363">
        <v>-0.66081503813166065</v>
      </c>
      <c r="J363">
        <v>-5.062648068539532E-3</v>
      </c>
      <c r="K363" s="96"/>
      <c r="L363" s="96"/>
      <c r="M363" s="96"/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23.80581648824629</v>
      </c>
      <c r="H364">
        <v>1.932559496921088E-3</v>
      </c>
      <c r="I364">
        <v>-0.45224680641708281</v>
      </c>
      <c r="J364">
        <v>-8.7399386069356621E-4</v>
      </c>
      <c r="K364" s="96"/>
      <c r="L364" s="96"/>
      <c r="M364" s="96"/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-9.0040896672095787</v>
      </c>
      <c r="H365">
        <v>7.6612180056514559E-3</v>
      </c>
      <c r="I365">
        <v>-1.3500428358960581</v>
      </c>
      <c r="J365">
        <v>-1.0342972482767634E-2</v>
      </c>
      <c r="K365" s="96"/>
      <c r="L365" s="96"/>
      <c r="M365" s="96"/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8.5860311170955956</v>
      </c>
      <c r="H366">
        <v>7.6612180056514559E-3</v>
      </c>
      <c r="I366">
        <v>-0.75111159936716199</v>
      </c>
      <c r="J366">
        <v>-5.7544297093253642E-3</v>
      </c>
      <c r="K366" s="96"/>
      <c r="L366" s="96"/>
      <c r="M366" s="96"/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20.037040353521164</v>
      </c>
      <c r="H367">
        <v>1.932559496921088E-3</v>
      </c>
      <c r="I367">
        <v>-0.51278360515294596</v>
      </c>
      <c r="J367">
        <v>-9.9098482600375897E-4</v>
      </c>
      <c r="K367" s="96"/>
      <c r="L367" s="96"/>
      <c r="M367" s="96"/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-15</v>
      </c>
      <c r="H368">
        <v>1.932559496921088E-3</v>
      </c>
      <c r="I368">
        <v>-1.6487212707001282</v>
      </c>
      <c r="J368">
        <v>-3.1862519494673365E-3</v>
      </c>
      <c r="K368" s="96"/>
      <c r="L368" s="96"/>
      <c r="M368" s="96"/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4.6938660699127155</v>
      </c>
      <c r="H369">
        <v>1.932559496921088E-3</v>
      </c>
      <c r="I369">
        <v>-0.85516384029231551</v>
      </c>
      <c r="J369">
        <v>-1.6526550009804228E-3</v>
      </c>
      <c r="K369" s="96"/>
      <c r="L369" s="96"/>
      <c r="M369" s="96"/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16.24570485602106</v>
      </c>
      <c r="H370">
        <v>4.8749248570982399E-4</v>
      </c>
      <c r="I370">
        <v>-0.58186111415527986</v>
      </c>
      <c r="J370">
        <v>-2.8365292087744501E-4</v>
      </c>
      <c r="K370" s="96"/>
      <c r="L370" s="96"/>
      <c r="M370" s="96"/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-5.5081793344191512</v>
      </c>
      <c r="H371">
        <v>1.932559496921088E-3</v>
      </c>
      <c r="I371">
        <v>-1.2015422954903621</v>
      </c>
      <c r="J371">
        <v>-2.3220519741022632E-3</v>
      </c>
      <c r="K371" s="96"/>
      <c r="L371" s="96"/>
      <c r="M371" s="96"/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10.663581668483387</v>
      </c>
      <c r="H372">
        <v>1.932559496921088E-3</v>
      </c>
      <c r="I372">
        <v>-0.70085607821126217</v>
      </c>
      <c r="J372">
        <v>-1.3544460699220435E-3</v>
      </c>
      <c r="K372" s="96"/>
      <c r="L372" s="96"/>
      <c r="M372" s="96"/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22.120288367532986</v>
      </c>
      <c r="H373">
        <v>4.8749248570982399E-4</v>
      </c>
      <c r="I373">
        <v>-0.47838331884702867</v>
      </c>
      <c r="J373">
        <v>-2.332082732268533E-4</v>
      </c>
      <c r="K373" s="96"/>
      <c r="L373" s="96"/>
      <c r="M373" s="96"/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-11.504089667209579</v>
      </c>
      <c r="H374">
        <v>1.932559496921088E-3</v>
      </c>
      <c r="I374">
        <v>-1.4673670253625495</v>
      </c>
      <c r="J374">
        <v>-2.8357740803332419E-3</v>
      </c>
      <c r="K374" s="96"/>
      <c r="L374" s="96"/>
      <c r="M374" s="96"/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6.7843094772522274</v>
      </c>
      <c r="H375">
        <v>1.932559496921088E-3</v>
      </c>
      <c r="I375">
        <v>-0.79760351829535114</v>
      </c>
      <c r="J375">
        <v>-1.5414162540593535E-3</v>
      </c>
      <c r="K375" s="96"/>
      <c r="L375" s="96"/>
      <c r="M375" s="96"/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18.317111353876804</v>
      </c>
      <c r="H376">
        <v>4.8749248570982399E-4</v>
      </c>
      <c r="I376">
        <v>-0.54304104180896573</v>
      </c>
      <c r="J376">
        <v>-2.6472842731390517E-4</v>
      </c>
      <c r="K376" s="96"/>
      <c r="L376" s="96"/>
      <c r="M376" s="96"/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-17.5</v>
      </c>
      <c r="H377">
        <v>4.8749248570982405E-4</v>
      </c>
      <c r="I377">
        <v>-1.7920018256557555</v>
      </c>
      <c r="J377">
        <v>-8.7358742438546698E-4</v>
      </c>
      <c r="K377" s="96"/>
      <c r="L377" s="96"/>
      <c r="M377" s="96"/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2.8404201070947819</v>
      </c>
      <c r="H378">
        <v>4.8749248570982405E-4</v>
      </c>
      <c r="I378">
        <v>-0.90966337068233083</v>
      </c>
      <c r="J378">
        <v>-4.4345405773310652E-4</v>
      </c>
      <c r="K378" s="96"/>
      <c r="L378" s="96"/>
      <c r="M378" s="96"/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14.499845484990221</v>
      </c>
      <c r="H379">
        <v>1.2297107747635201E-4</v>
      </c>
      <c r="I379">
        <v>-0.61672739081560801</v>
      </c>
      <c r="J379">
        <v>-7.5839631757774556E-5</v>
      </c>
      <c r="K379" s="96"/>
      <c r="L379" s="96"/>
      <c r="M379" s="96"/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-2.2473353793977453</v>
      </c>
      <c r="H380">
        <v>1.932559496921088E-3</v>
      </c>
      <c r="I380">
        <v>-1.0777884167257716</v>
      </c>
      <c r="J380">
        <v>-2.0828902404149332E-3</v>
      </c>
      <c r="K380" s="96"/>
      <c r="L380" s="96"/>
      <c r="M380" s="96"/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13.475954609752975</v>
      </c>
      <c r="H381">
        <v>1.932559496921088E-3</v>
      </c>
      <c r="I381">
        <v>-0.63813942374797328</v>
      </c>
      <c r="J381">
        <v>-1.2332424037238962E-3</v>
      </c>
      <c r="K381" s="96"/>
      <c r="L381" s="96"/>
      <c r="M381" s="96"/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24.817133360674273</v>
      </c>
      <c r="H382">
        <v>4.8749248570982399E-4</v>
      </c>
      <c r="I382">
        <v>-0.43725541598444251</v>
      </c>
      <c r="J382">
        <v>-2.13158729628339E-4</v>
      </c>
      <c r="K382" s="96"/>
      <c r="L382" s="96"/>
      <c r="M382" s="96"/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-7.5040896672095787</v>
      </c>
      <c r="H383">
        <v>1.932559496921088E-3</v>
      </c>
      <c r="I383">
        <v>-1.2842004698407192</v>
      </c>
      <c r="J383">
        <v>-2.4817938139412052E-3</v>
      </c>
      <c r="K383" s="96"/>
      <c r="L383" s="96"/>
      <c r="M383" s="96"/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9.658688740866392</v>
      </c>
      <c r="H384">
        <v>1.932559496921088E-3</v>
      </c>
      <c r="I384">
        <v>-0.72472986659286698</v>
      </c>
      <c r="J384">
        <v>-1.4005835863863982E-3</v>
      </c>
      <c r="K384" s="96"/>
      <c r="L384" s="96"/>
      <c r="M384" s="96"/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21.048357225949147</v>
      </c>
      <c r="H385">
        <v>4.8749248570982399E-4</v>
      </c>
      <c r="I385">
        <v>-0.49578549897900187</v>
      </c>
      <c r="J385">
        <v>-2.4169170527615902E-4</v>
      </c>
      <c r="K385" s="96"/>
      <c r="L385" s="96"/>
      <c r="M385" s="96"/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-13.5</v>
      </c>
      <c r="H386">
        <v>4.8749248570982405E-4</v>
      </c>
      <c r="I386">
        <v>-1.5683121854901689</v>
      </c>
      <c r="J386">
        <v>-7.6454040567360915E-4</v>
      </c>
      <c r="K386" s="96"/>
      <c r="L386" s="96"/>
      <c r="M386" s="96"/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5.7877919097704567</v>
      </c>
      <c r="H387">
        <v>4.8749248570982405E-4</v>
      </c>
      <c r="I387">
        <v>-0.82454266072548943</v>
      </c>
      <c r="J387">
        <v>-4.0195835125086097E-4</v>
      </c>
      <c r="K387" s="96"/>
      <c r="L387" s="96"/>
      <c r="M387" s="96"/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17.279581091224028</v>
      </c>
      <c r="H388">
        <v>1.2297107747635201E-4</v>
      </c>
      <c r="I388">
        <v>-0.56215029479841472</v>
      </c>
      <c r="J388">
        <v>-6.9128227455009979E-5</v>
      </c>
      <c r="K388" s="96"/>
      <c r="L388" s="96"/>
      <c r="M388" s="96"/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-3.4398005372462563</v>
      </c>
      <c r="H389">
        <v>1.932559496921088E-3</v>
      </c>
      <c r="I389">
        <v>-1.1214920855240142</v>
      </c>
      <c r="J389">
        <v>-2.1673501806012707E-3</v>
      </c>
      <c r="K389" s="96"/>
      <c r="L389" s="96"/>
      <c r="M389" s="96"/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12.428438987134472</v>
      </c>
      <c r="H390">
        <v>1.932559496921088E-3</v>
      </c>
      <c r="I390">
        <v>-0.66081503813166065</v>
      </c>
      <c r="J390">
        <v>-1.2770643776496117E-3</v>
      </c>
      <c r="K390" s="96"/>
      <c r="L390" s="96"/>
      <c r="M390" s="96"/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23.80581648824629</v>
      </c>
      <c r="H391">
        <v>4.8749248570982399E-4</v>
      </c>
      <c r="I391">
        <v>-0.45224680641708281</v>
      </c>
      <c r="J391">
        <v>-2.2046691981459328E-4</v>
      </c>
      <c r="K391" s="96"/>
      <c r="L391" s="96"/>
      <c r="M391" s="96"/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-9.0040896672095787</v>
      </c>
      <c r="H392">
        <v>1.932559496921088E-3</v>
      </c>
      <c r="I392">
        <v>-1.3500428358960581</v>
      </c>
      <c r="J392">
        <v>-2.6090381037612051E-3</v>
      </c>
      <c r="K392" s="96"/>
      <c r="L392" s="96"/>
      <c r="M392" s="96"/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8.5860311170955956</v>
      </c>
      <c r="H393">
        <v>1.932559496921088E-3</v>
      </c>
      <c r="I393">
        <v>-0.75111159936716199</v>
      </c>
      <c r="J393">
        <v>-1.4515678546045963E-3</v>
      </c>
      <c r="K393" s="96"/>
      <c r="L393" s="96"/>
      <c r="M393" s="96"/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20.037040353521164</v>
      </c>
      <c r="H394">
        <v>4.8749248570982399E-4</v>
      </c>
      <c r="I394">
        <v>-0.51278360515294596</v>
      </c>
      <c r="J394">
        <v>-2.4997815430725451E-4</v>
      </c>
      <c r="K394" s="96"/>
      <c r="L394" s="96"/>
      <c r="M394" s="96"/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-15</v>
      </c>
      <c r="H395">
        <v>4.8749248570982405E-4</v>
      </c>
      <c r="I395">
        <v>-1.6487212707001282</v>
      </c>
      <c r="J395">
        <v>-8.0373923049626523E-4</v>
      </c>
      <c r="K395" s="96"/>
      <c r="L395" s="96"/>
      <c r="M395" s="96"/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4.6938660699127155</v>
      </c>
      <c r="H396">
        <v>4.8749248570982405E-4</v>
      </c>
      <c r="I396">
        <v>-0.85516384029231551</v>
      </c>
      <c r="J396">
        <v>-4.168859461932599E-4</v>
      </c>
      <c r="K396" s="96"/>
      <c r="L396" s="96"/>
      <c r="M396" s="96"/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16.24570485602106</v>
      </c>
      <c r="H397">
        <v>1.2297107747635201E-4</v>
      </c>
      <c r="I397">
        <v>-0.58186111415527986</v>
      </c>
      <c r="J397">
        <v>-7.1552088149265416E-5</v>
      </c>
      <c r="K397" s="96"/>
      <c r="L397" s="96"/>
      <c r="M397" s="96"/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-5.5081793344191512</v>
      </c>
      <c r="H398">
        <v>4.8749248570982405E-4</v>
      </c>
      <c r="I398">
        <v>-1.2015422954903621</v>
      </c>
      <c r="J398">
        <v>-5.8574284031408447E-4</v>
      </c>
      <c r="K398" s="96"/>
      <c r="L398" s="96"/>
      <c r="M398" s="96"/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10.663581668483387</v>
      </c>
      <c r="H399">
        <v>4.8749248570982405E-4</v>
      </c>
      <c r="I399">
        <v>-0.70085607821126217</v>
      </c>
      <c r="J399">
        <v>-3.4166207169204706E-4</v>
      </c>
      <c r="K399" s="96"/>
      <c r="L399" s="96"/>
      <c r="M399" s="96"/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22.120288367532986</v>
      </c>
      <c r="H400">
        <v>1.2297107747635201E-4</v>
      </c>
      <c r="I400">
        <v>-0.47838331884702867</v>
      </c>
      <c r="J400">
        <v>-5.8827312165332366E-5</v>
      </c>
      <c r="K400" s="96"/>
      <c r="L400" s="96"/>
      <c r="M400" s="96"/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-11.504089667209579</v>
      </c>
      <c r="H401">
        <v>4.8749248570982405E-4</v>
      </c>
      <c r="I401">
        <v>-1.4673670253625495</v>
      </c>
      <c r="J401">
        <v>-7.153303986426197E-4</v>
      </c>
      <c r="K401" s="96"/>
      <c r="L401" s="96"/>
      <c r="M401" s="96"/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6.7843094772522274</v>
      </c>
      <c r="H402">
        <v>4.8749248570982405E-4</v>
      </c>
      <c r="I402">
        <v>-0.79760351829535114</v>
      </c>
      <c r="J402">
        <v>-3.8882572174470185E-4</v>
      </c>
      <c r="K402" s="96"/>
      <c r="L402" s="96"/>
      <c r="M402" s="96"/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18.317111353876804</v>
      </c>
      <c r="H403">
        <v>1.2297107747635201E-4</v>
      </c>
      <c r="I403">
        <v>-0.54304104180896573</v>
      </c>
      <c r="J403">
        <v>-6.6778342025129237E-5</v>
      </c>
      <c r="K403" s="96"/>
      <c r="L403" s="96"/>
      <c r="M403" s="96"/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-17.5</v>
      </c>
      <c r="H404">
        <v>1.2297107747635201E-4</v>
      </c>
      <c r="I404">
        <v>-1.7920018256557555</v>
      </c>
      <c r="J404">
        <v>-2.2036439534047815E-4</v>
      </c>
      <c r="K404" s="96"/>
      <c r="L404" s="96"/>
      <c r="M404" s="96"/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2.8404201070947819</v>
      </c>
      <c r="H405">
        <v>1.2297107747635201E-4</v>
      </c>
      <c r="I405">
        <v>-0.90966337068233083</v>
      </c>
      <c r="J405">
        <v>-1.1186228483357642E-4</v>
      </c>
      <c r="K405" s="96"/>
      <c r="L405" s="96"/>
      <c r="M405" s="96"/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14.499845484990221</v>
      </c>
      <c r="H406">
        <v>3.1019731255295997E-5</v>
      </c>
      <c r="I406">
        <v>-0.61672739081560801</v>
      </c>
      <c r="J406">
        <v>-1.9130717920880064E-5</v>
      </c>
      <c r="K406" s="96"/>
      <c r="L406" s="96"/>
      <c r="M406" s="96"/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-1.5568475049847497</v>
      </c>
      <c r="H407">
        <v>1.932559496921088E-3</v>
      </c>
      <c r="I407">
        <v>-1.0532650562698485</v>
      </c>
      <c r="J407">
        <v>-2.0354973872694199E-3</v>
      </c>
      <c r="K407" s="96"/>
      <c r="L407" s="96"/>
      <c r="M407" s="96"/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15.421903988436892</v>
      </c>
      <c r="H408">
        <v>1.932559496921088E-3</v>
      </c>
      <c r="I408">
        <v>-0.59806043618641613</v>
      </c>
      <c r="J408">
        <v>-1.1557873756848267E-3</v>
      </c>
      <c r="K408" s="96"/>
      <c r="L408" s="96"/>
      <c r="M408" s="96"/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27.727478324904997</v>
      </c>
      <c r="H409">
        <v>4.8749248570982399E-4</v>
      </c>
      <c r="I409">
        <v>-0.39682921590190862</v>
      </c>
      <c r="J409">
        <v>-1.9345126086230184E-4</v>
      </c>
      <c r="K409" s="96"/>
      <c r="L409" s="96"/>
      <c r="M409" s="96"/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-6.9830479350473311</v>
      </c>
      <c r="H410">
        <v>1.932559496921088E-3</v>
      </c>
      <c r="I410">
        <v>-1.2620889746191215</v>
      </c>
      <c r="J410">
        <v>-2.439062033859581E-3</v>
      </c>
      <c r="K410" s="96"/>
      <c r="L410" s="96"/>
      <c r="M410" s="96"/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11.280313223102992</v>
      </c>
      <c r="H411">
        <v>1.932559496921088E-3</v>
      </c>
      <c r="I411">
        <v>-0.68659516442261481</v>
      </c>
      <c r="J411">
        <v>-1.3268860055450202E-3</v>
      </c>
      <c r="K411" s="96"/>
      <c r="L411" s="96"/>
      <c r="M411" s="96"/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23.635330527487572</v>
      </c>
      <c r="H412">
        <v>4.8749248570982399E-4</v>
      </c>
      <c r="I412">
        <v>-0.45482418062577645</v>
      </c>
      <c r="J412">
        <v>-2.2172337037419372E-4</v>
      </c>
      <c r="K412" s="96"/>
      <c r="L412" s="96"/>
      <c r="M412" s="96"/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-13.5</v>
      </c>
      <c r="H413">
        <v>4.8749248570982405E-4</v>
      </c>
      <c r="I413">
        <v>-1.5683121854901689</v>
      </c>
      <c r="J413">
        <v>-7.6454040567360915E-4</v>
      </c>
      <c r="K413" s="96"/>
      <c r="L413" s="96"/>
      <c r="M413" s="96"/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7.0925315676937988</v>
      </c>
      <c r="H414">
        <v>4.8749248570982405E-4</v>
      </c>
      <c r="I414">
        <v>-0.78945083649464709</v>
      </c>
      <c r="J414">
        <v>-3.8485135062847538E-4</v>
      </c>
      <c r="K414" s="96"/>
      <c r="L414" s="96"/>
      <c r="M414" s="96"/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19.543182730070143</v>
      </c>
      <c r="H415">
        <v>1.2297107747635201E-4</v>
      </c>
      <c r="I415">
        <v>-0.52129487193060764</v>
      </c>
      <c r="J415">
        <v>-6.4104192084203749E-5</v>
      </c>
      <c r="K415" s="96"/>
      <c r="L415" s="96"/>
      <c r="M415" s="96"/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-2.7442036240568655</v>
      </c>
      <c r="H416">
        <v>1.932559496921088E-3</v>
      </c>
      <c r="I416">
        <v>-1.0957876876746715</v>
      </c>
      <c r="J416">
        <v>-2.1176749024248856E-3</v>
      </c>
      <c r="K416" s="96"/>
      <c r="L416" s="96"/>
      <c r="M416" s="96"/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14.37438836581839</v>
      </c>
      <c r="H417">
        <v>1.932559496921088E-3</v>
      </c>
      <c r="I417">
        <v>-0.61931188582958829</v>
      </c>
      <c r="J417">
        <v>-1.1968570665160795E-3</v>
      </c>
      <c r="K417" s="96"/>
      <c r="L417" s="96"/>
      <c r="M417" s="96"/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26.716161452477014</v>
      </c>
      <c r="H418">
        <v>4.8749248570982399E-4</v>
      </c>
      <c r="I418">
        <v>-0.41043458588290782</v>
      </c>
      <c r="J418">
        <v>-2.0008377649334097E-4</v>
      </c>
      <c r="K418" s="96"/>
      <c r="L418" s="96"/>
      <c r="M418" s="96"/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-8.4830479350473311</v>
      </c>
      <c r="H419">
        <v>1.932559496921088E-3</v>
      </c>
      <c r="I419">
        <v>-1.3267976600719358</v>
      </c>
      <c r="J419">
        <v>-2.564115418464697E-3</v>
      </c>
      <c r="K419" s="96"/>
      <c r="L419" s="96"/>
      <c r="M419" s="96"/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10.21695568949978</v>
      </c>
      <c r="H420">
        <v>1.932559496921088E-3</v>
      </c>
      <c r="I420">
        <v>-0.71136815120531893</v>
      </c>
      <c r="J420">
        <v>-1.3747612764190356E-3</v>
      </c>
      <c r="K420" s="96"/>
      <c r="L420" s="96"/>
      <c r="M420" s="96"/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22.624013655059589</v>
      </c>
      <c r="H421">
        <v>4.8749248570982399E-4</v>
      </c>
      <c r="I421">
        <v>-0.47041791970986668</v>
      </c>
      <c r="J421">
        <v>-2.2932520100180732E-4</v>
      </c>
      <c r="K421" s="96"/>
      <c r="L421" s="96"/>
      <c r="M421" s="96"/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-15</v>
      </c>
      <c r="H422">
        <v>4.8749248570982405E-4</v>
      </c>
      <c r="I422">
        <v>-1.6487212707001282</v>
      </c>
      <c r="J422">
        <v>-8.0373923049626523E-4</v>
      </c>
      <c r="K422" s="96"/>
      <c r="L422" s="96"/>
      <c r="M422" s="96"/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6.0107077504413322</v>
      </c>
      <c r="H423">
        <v>4.8749248570982405E-4</v>
      </c>
      <c r="I423">
        <v>-0.81843857973698386</v>
      </c>
      <c r="J423">
        <v>-3.989826576368003E-4</v>
      </c>
      <c r="K423" s="96"/>
      <c r="L423" s="96"/>
      <c r="M423" s="96"/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18.515979131152292</v>
      </c>
      <c r="H424">
        <v>1.2297107747635201E-4</v>
      </c>
      <c r="I424">
        <v>-0.53945316799040921</v>
      </c>
      <c r="J424">
        <v>-6.6337137315812148E-5</v>
      </c>
      <c r="K424" s="96"/>
      <c r="L424" s="96"/>
      <c r="M424" s="96"/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-4.7495577531837707</v>
      </c>
      <c r="H425">
        <v>4.8749248570982405E-4</v>
      </c>
      <c r="I425">
        <v>-1.1715393780652932</v>
      </c>
      <c r="J425">
        <v>-5.7111664351999108E-4</v>
      </c>
      <c r="K425" s="96"/>
      <c r="L425" s="96"/>
      <c r="M425" s="96"/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12.620691155368405</v>
      </c>
      <c r="H426">
        <v>4.8749248570982405E-4</v>
      </c>
      <c r="I426">
        <v>-0.656593807461061</v>
      </c>
      <c r="J426">
        <v>-3.2008454730087025E-4</v>
      </c>
      <c r="K426" s="96"/>
      <c r="L426" s="96"/>
      <c r="M426" s="96"/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25.030633331763706</v>
      </c>
      <c r="H427">
        <v>1.2297107747635201E-4</v>
      </c>
      <c r="I427">
        <v>-0.43415466196392066</v>
      </c>
      <c r="J427">
        <v>-5.3388466573084704E-5</v>
      </c>
      <c r="K427" s="96"/>
      <c r="L427" s="96"/>
      <c r="M427" s="96"/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-10.983047935047331</v>
      </c>
      <c r="H428">
        <v>4.8749248570982405E-4</v>
      </c>
      <c r="I428">
        <v>-1.4421017496274779</v>
      </c>
      <c r="J428">
        <v>-7.0301376657238559E-4</v>
      </c>
      <c r="K428" s="96"/>
      <c r="L428" s="96"/>
      <c r="M428" s="96"/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8.4152340496564104</v>
      </c>
      <c r="H429">
        <v>4.8749248570982405E-4</v>
      </c>
      <c r="I429">
        <v>-0.75540005064848914</v>
      </c>
      <c r="J429">
        <v>-3.6825184839595895E-4</v>
      </c>
      <c r="K429" s="96"/>
      <c r="L429" s="96"/>
      <c r="M429" s="96"/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20.911710525455362</v>
      </c>
      <c r="H430">
        <v>1.2297107747635201E-4</v>
      </c>
      <c r="I430">
        <v>-0.49804889825275261</v>
      </c>
      <c r="J430">
        <v>-6.1245609654050998E-5</v>
      </c>
      <c r="K430" s="96"/>
      <c r="L430" s="96"/>
      <c r="M430" s="96"/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-17.5</v>
      </c>
      <c r="H431">
        <v>1.2297107747635201E-4</v>
      </c>
      <c r="I431">
        <v>-1.7920018256557555</v>
      </c>
      <c r="J431">
        <v>-2.2036439534047815E-4</v>
      </c>
      <c r="K431" s="96"/>
      <c r="L431" s="96"/>
      <c r="M431" s="96"/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4.1572617876233977</v>
      </c>
      <c r="H432">
        <v>1.2297107747635201E-4</v>
      </c>
      <c r="I432">
        <v>-0.87059761189799045</v>
      </c>
      <c r="J432">
        <v>-1.0705832638343482E-4</v>
      </c>
      <c r="K432" s="96"/>
      <c r="L432" s="96"/>
      <c r="M432" s="96"/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16.770119760121453</v>
      </c>
      <c r="H433">
        <v>3.1019731255295997E-5</v>
      </c>
      <c r="I433">
        <v>-0.57177827606667209</v>
      </c>
      <c r="J433">
        <v>-1.7736408461204612E-5</v>
      </c>
      <c r="K433" s="96"/>
      <c r="L433" s="96"/>
      <c r="M433" s="96"/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-1.5568475049847497</v>
      </c>
      <c r="H434">
        <v>1.932559496921088E-3</v>
      </c>
      <c r="I434">
        <v>-1.0532650562698485</v>
      </c>
      <c r="J434">
        <v>-2.0354973872694199E-3</v>
      </c>
      <c r="K434" s="96"/>
      <c r="L434" s="96"/>
      <c r="M434" s="96"/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15.421903988436892</v>
      </c>
      <c r="H435">
        <v>1.932559496921088E-3</v>
      </c>
      <c r="I435">
        <v>-0.59806043618641613</v>
      </c>
      <c r="J435">
        <v>-1.1557873756848267E-3</v>
      </c>
      <c r="K435" s="96"/>
      <c r="L435" s="96"/>
      <c r="M435" s="96"/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27.727478324904997</v>
      </c>
      <c r="H436">
        <v>4.8749248570982399E-4</v>
      </c>
      <c r="I436">
        <v>-0.39682921590190862</v>
      </c>
      <c r="J436">
        <v>-1.9345126086230184E-4</v>
      </c>
      <c r="K436" s="96"/>
      <c r="L436" s="96"/>
      <c r="M436" s="96"/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-6.9830479350473311</v>
      </c>
      <c r="H437">
        <v>1.932559496921088E-3</v>
      </c>
      <c r="I437">
        <v>-1.2620889746191215</v>
      </c>
      <c r="J437">
        <v>-2.439062033859581E-3</v>
      </c>
      <c r="K437" s="96"/>
      <c r="L437" s="96"/>
      <c r="M437" s="96"/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11.280313223102992</v>
      </c>
      <c r="H438">
        <v>1.932559496921088E-3</v>
      </c>
      <c r="I438">
        <v>-0.68659516442261481</v>
      </c>
      <c r="J438">
        <v>-1.3268860055450202E-3</v>
      </c>
      <c r="K438" s="96"/>
      <c r="L438" s="96"/>
      <c r="M438" s="96"/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23.635330527487572</v>
      </c>
      <c r="H439">
        <v>4.8749248570982399E-4</v>
      </c>
      <c r="I439">
        <v>-0.45482418062577645</v>
      </c>
      <c r="J439">
        <v>-2.2172337037419372E-4</v>
      </c>
      <c r="K439" s="96"/>
      <c r="L439" s="96"/>
      <c r="M439" s="96"/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-13.5</v>
      </c>
      <c r="H440">
        <v>4.8749248570982405E-4</v>
      </c>
      <c r="I440">
        <v>-1.5683121854901689</v>
      </c>
      <c r="J440">
        <v>-7.6454040567360915E-4</v>
      </c>
      <c r="K440" s="96"/>
      <c r="L440" s="96"/>
      <c r="M440" s="96"/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7.0925315676937988</v>
      </c>
      <c r="H441">
        <v>4.8749248570982405E-4</v>
      </c>
      <c r="I441">
        <v>-0.78945083649464709</v>
      </c>
      <c r="J441">
        <v>-3.8485135062847538E-4</v>
      </c>
      <c r="K441" s="96"/>
      <c r="L441" s="96"/>
      <c r="M441" s="96"/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19.543182730070143</v>
      </c>
      <c r="H442">
        <v>1.2297107747635201E-4</v>
      </c>
      <c r="I442">
        <v>-0.52129487193060764</v>
      </c>
      <c r="J442">
        <v>-6.4104192084203749E-5</v>
      </c>
      <c r="K442" s="96"/>
      <c r="L442" s="96"/>
      <c r="M442" s="96"/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-2.7442036240568655</v>
      </c>
      <c r="H443">
        <v>1.932559496921088E-3</v>
      </c>
      <c r="I443">
        <v>-1.0957876876746715</v>
      </c>
      <c r="J443">
        <v>-2.1176749024248856E-3</v>
      </c>
      <c r="K443" s="96"/>
      <c r="L443" s="96"/>
      <c r="M443" s="96"/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14.37438836581839</v>
      </c>
      <c r="H444">
        <v>1.932559496921088E-3</v>
      </c>
      <c r="I444">
        <v>-0.61931188582958829</v>
      </c>
      <c r="J444">
        <v>-1.1968570665160795E-3</v>
      </c>
      <c r="K444" s="96"/>
      <c r="L444" s="96"/>
      <c r="M444" s="96"/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26.716161452477014</v>
      </c>
      <c r="H445">
        <v>4.8749248570982399E-4</v>
      </c>
      <c r="I445">
        <v>-0.41043458588290782</v>
      </c>
      <c r="J445">
        <v>-2.0008377649334097E-4</v>
      </c>
      <c r="K445" s="96"/>
      <c r="L445" s="96"/>
      <c r="M445" s="96"/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-8.4830479350473311</v>
      </c>
      <c r="H446">
        <v>1.932559496921088E-3</v>
      </c>
      <c r="I446">
        <v>-1.3267976600719358</v>
      </c>
      <c r="J446">
        <v>-2.564115418464697E-3</v>
      </c>
      <c r="K446" s="96"/>
      <c r="L446" s="96"/>
      <c r="M446" s="96"/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10.21695568949978</v>
      </c>
      <c r="H447">
        <v>1.932559496921088E-3</v>
      </c>
      <c r="I447">
        <v>-0.71136815120531893</v>
      </c>
      <c r="J447">
        <v>-1.3747612764190356E-3</v>
      </c>
      <c r="K447" s="96"/>
      <c r="L447" s="96"/>
      <c r="M447" s="96"/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22.624013655059589</v>
      </c>
      <c r="H448">
        <v>4.8749248570982399E-4</v>
      </c>
      <c r="I448">
        <v>-0.47041791970986668</v>
      </c>
      <c r="J448">
        <v>-2.2932520100180732E-4</v>
      </c>
      <c r="K448" s="96"/>
      <c r="L448" s="96"/>
      <c r="M448" s="96"/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-15</v>
      </c>
      <c r="H449">
        <v>4.8749248570982405E-4</v>
      </c>
      <c r="I449">
        <v>-1.6487212707001282</v>
      </c>
      <c r="J449">
        <v>-8.0373923049626523E-4</v>
      </c>
      <c r="K449" s="96"/>
      <c r="L449" s="96"/>
      <c r="M449" s="96"/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6.0107077504413322</v>
      </c>
      <c r="H450">
        <v>4.8749248570982405E-4</v>
      </c>
      <c r="I450">
        <v>-0.81843857973698386</v>
      </c>
      <c r="J450">
        <v>-3.989826576368003E-4</v>
      </c>
      <c r="K450" s="96"/>
      <c r="L450" s="96"/>
      <c r="M450" s="96"/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18.515979131152292</v>
      </c>
      <c r="H451">
        <v>1.2297107747635201E-4</v>
      </c>
      <c r="I451">
        <v>-0.53945316799040921</v>
      </c>
      <c r="J451">
        <v>-6.6337137315812148E-5</v>
      </c>
      <c r="K451" s="96"/>
      <c r="L451" s="96"/>
      <c r="M451" s="96"/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-4.7495577531837707</v>
      </c>
      <c r="H452">
        <v>4.8749248570982405E-4</v>
      </c>
      <c r="I452">
        <v>-1.1715393780652932</v>
      </c>
      <c r="J452">
        <v>-5.7111664351999108E-4</v>
      </c>
      <c r="K452" s="96"/>
      <c r="L452" s="96"/>
      <c r="M452" s="96"/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12.620691155368405</v>
      </c>
      <c r="H453">
        <v>4.8749248570982405E-4</v>
      </c>
      <c r="I453">
        <v>-0.656593807461061</v>
      </c>
      <c r="J453">
        <v>-3.2008454730087025E-4</v>
      </c>
      <c r="K453" s="96"/>
      <c r="L453" s="96"/>
      <c r="M453" s="96"/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25.030633331763706</v>
      </c>
      <c r="H454">
        <v>1.2297107747635201E-4</v>
      </c>
      <c r="I454">
        <v>-0.43415466196392066</v>
      </c>
      <c r="J454">
        <v>-5.3388466573084704E-5</v>
      </c>
      <c r="K454" s="96"/>
      <c r="L454" s="96"/>
      <c r="M454" s="96"/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-10.983047935047331</v>
      </c>
      <c r="H455">
        <v>4.8749248570982405E-4</v>
      </c>
      <c r="I455">
        <v>-1.4421017496274779</v>
      </c>
      <c r="J455">
        <v>-7.0301376657238559E-4</v>
      </c>
      <c r="K455" s="96"/>
      <c r="L455" s="96"/>
      <c r="M455" s="96"/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8.4152340496564104</v>
      </c>
      <c r="H456">
        <v>4.8749248570982405E-4</v>
      </c>
      <c r="I456">
        <v>-0.75540005064848914</v>
      </c>
      <c r="J456">
        <v>-3.6825184839595895E-4</v>
      </c>
      <c r="K456" s="96"/>
      <c r="L456" s="96"/>
      <c r="M456" s="96"/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20.911710525455362</v>
      </c>
      <c r="H457">
        <v>1.2297107747635201E-4</v>
      </c>
      <c r="I457">
        <v>-0.49804889825275261</v>
      </c>
      <c r="J457">
        <v>-6.1245609654050998E-5</v>
      </c>
      <c r="K457" s="96"/>
      <c r="L457" s="96"/>
      <c r="M457" s="96"/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-17.5</v>
      </c>
      <c r="H458">
        <v>1.2297107747635201E-4</v>
      </c>
      <c r="I458">
        <v>-1.7920018256557555</v>
      </c>
      <c r="J458">
        <v>-2.2036439534047815E-4</v>
      </c>
      <c r="K458" s="96"/>
      <c r="L458" s="96"/>
      <c r="M458" s="96"/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4.1572617876233977</v>
      </c>
      <c r="H459">
        <v>1.2297107747635201E-4</v>
      </c>
      <c r="I459">
        <v>-0.87059761189799045</v>
      </c>
      <c r="J459">
        <v>-1.0705832638343482E-4</v>
      </c>
      <c r="K459" s="96"/>
      <c r="L459" s="96"/>
      <c r="M459" s="96"/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16.770119760121453</v>
      </c>
      <c r="H460">
        <v>3.1019731255295997E-5</v>
      </c>
      <c r="I460">
        <v>-0.57177827606667209</v>
      </c>
      <c r="J460">
        <v>-1.7736408461204612E-5</v>
      </c>
      <c r="K460" s="96"/>
      <c r="L460" s="96"/>
      <c r="M460" s="96"/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-1.5568475049847497</v>
      </c>
      <c r="H461">
        <v>4.8749248570982405E-4</v>
      </c>
      <c r="I461">
        <v>-1.0532650562698485</v>
      </c>
      <c r="J461">
        <v>-5.1345880039228614E-4</v>
      </c>
      <c r="K461" s="96"/>
      <c r="L461" s="96"/>
      <c r="M461" s="96"/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15.421903988436892</v>
      </c>
      <c r="H462">
        <v>4.8749248570982405E-4</v>
      </c>
      <c r="I462">
        <v>-0.59806043618641613</v>
      </c>
      <c r="J462">
        <v>-2.9154996864121758E-4</v>
      </c>
      <c r="K462" s="96"/>
      <c r="L462" s="96"/>
      <c r="M462" s="96"/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27.727478324904997</v>
      </c>
      <c r="H463">
        <v>1.2297107747635201E-4</v>
      </c>
      <c r="I463">
        <v>-0.39682921590190862</v>
      </c>
      <c r="J463">
        <v>-4.8798516253553622E-5</v>
      </c>
      <c r="K463" s="96"/>
      <c r="L463" s="96"/>
      <c r="M463" s="96"/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-6.9830479350473311</v>
      </c>
      <c r="H464">
        <v>4.8749248570982405E-4</v>
      </c>
      <c r="I464">
        <v>-1.2620889746191215</v>
      </c>
      <c r="J464">
        <v>-6.1525889142403857E-4</v>
      </c>
      <c r="K464" s="96"/>
      <c r="L464" s="96"/>
      <c r="M464" s="96"/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11.280313223102992</v>
      </c>
      <c r="H465">
        <v>4.8749248570982405E-4</v>
      </c>
      <c r="I465">
        <v>-0.68659516442261481</v>
      </c>
      <c r="J465">
        <v>-3.3470998338072585E-4</v>
      </c>
      <c r="K465" s="96"/>
      <c r="L465" s="96"/>
      <c r="M465" s="96"/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23.635330527487572</v>
      </c>
      <c r="H466">
        <v>1.2297107747635201E-4</v>
      </c>
      <c r="I466">
        <v>-0.45482418062577645</v>
      </c>
      <c r="J466">
        <v>-5.5930219553850674E-5</v>
      </c>
      <c r="K466" s="96"/>
      <c r="L466" s="96"/>
      <c r="M466" s="96"/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-13.5</v>
      </c>
      <c r="H467">
        <v>1.2297107747635201E-4</v>
      </c>
      <c r="I467">
        <v>-1.5683121854901689</v>
      </c>
      <c r="J467">
        <v>-1.9285703926901851E-4</v>
      </c>
      <c r="K467" s="96"/>
      <c r="L467" s="96"/>
      <c r="M467" s="96"/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7.0925315676937988</v>
      </c>
      <c r="H468">
        <v>1.2297107747635201E-4</v>
      </c>
      <c r="I468">
        <v>-0.78945083649464709</v>
      </c>
      <c r="J468">
        <v>-9.7079619978354147E-5</v>
      </c>
      <c r="K468" s="96"/>
      <c r="L468" s="96"/>
      <c r="M468" s="96"/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19.543182730070143</v>
      </c>
      <c r="H469">
        <v>3.1019731255295997E-5</v>
      </c>
      <c r="I469">
        <v>-0.52129487193060764</v>
      </c>
      <c r="J469">
        <v>-1.6170426832051392E-5</v>
      </c>
      <c r="K469" s="96"/>
      <c r="L469" s="96"/>
      <c r="M469" s="96"/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-2.7442036240568655</v>
      </c>
      <c r="H470">
        <v>4.8749248570982405E-4</v>
      </c>
      <c r="I470">
        <v>-1.0957876876746715</v>
      </c>
      <c r="J470">
        <v>-5.3418826367474589E-4</v>
      </c>
      <c r="K470" s="96"/>
      <c r="L470" s="96"/>
      <c r="M470" s="96"/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14.37438836581839</v>
      </c>
      <c r="H471">
        <v>4.8749248570982405E-4</v>
      </c>
      <c r="I471">
        <v>-0.61931188582958829</v>
      </c>
      <c r="J471">
        <v>-3.0190989065270474E-4</v>
      </c>
      <c r="K471" s="96"/>
      <c r="L471" s="96"/>
      <c r="M471" s="96"/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26.716161452477014</v>
      </c>
      <c r="H472">
        <v>1.2297107747635201E-4</v>
      </c>
      <c r="I472">
        <v>-0.41043458588290782</v>
      </c>
      <c r="J472">
        <v>-5.0471583259581507E-5</v>
      </c>
      <c r="K472" s="96"/>
      <c r="L472" s="96"/>
      <c r="M472" s="96"/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-8.4830479350473311</v>
      </c>
      <c r="H473">
        <v>4.8749248570982405E-4</v>
      </c>
      <c r="I473">
        <v>-1.3267976600719358</v>
      </c>
      <c r="J473">
        <v>-6.4680388934244609E-4</v>
      </c>
      <c r="K473" s="96"/>
      <c r="L473" s="96"/>
      <c r="M473" s="96"/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10.21695568949978</v>
      </c>
      <c r="H474">
        <v>4.8749248570982405E-4</v>
      </c>
      <c r="I474">
        <v>-0.71136815120531893</v>
      </c>
      <c r="J474">
        <v>-3.4678662828588287E-4</v>
      </c>
      <c r="K474" s="96"/>
      <c r="L474" s="96"/>
      <c r="M474" s="96"/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22.624013655059589</v>
      </c>
      <c r="H475">
        <v>1.2297107747635201E-4</v>
      </c>
      <c r="I475">
        <v>-0.47041791970986668</v>
      </c>
      <c r="J475">
        <v>-5.7847798450906354E-5</v>
      </c>
      <c r="K475" s="96"/>
      <c r="L475" s="96"/>
      <c r="M475" s="96"/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-15</v>
      </c>
      <c r="H476">
        <v>1.2297107747635201E-4</v>
      </c>
      <c r="I476">
        <v>-1.6487212707001282</v>
      </c>
      <c r="J476">
        <v>-2.0274503111617498E-4</v>
      </c>
      <c r="K476" s="96"/>
      <c r="L476" s="96"/>
      <c r="M476" s="96"/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6.0107077504413322</v>
      </c>
      <c r="H477">
        <v>1.2297107747635201E-4</v>
      </c>
      <c r="I477">
        <v>-0.81843857973698386</v>
      </c>
      <c r="J477">
        <v>-1.0064427399847214E-4</v>
      </c>
      <c r="K477" s="96"/>
      <c r="L477" s="96"/>
      <c r="M477" s="96"/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18.515979131152292</v>
      </c>
      <c r="H478">
        <v>3.1019731255295997E-5</v>
      </c>
      <c r="I478">
        <v>-0.53945316799040921</v>
      </c>
      <c r="J478">
        <v>-1.6733692295880538E-5</v>
      </c>
      <c r="K478" s="96"/>
      <c r="L478" s="96"/>
      <c r="M478" s="96"/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-4.7495577531837707</v>
      </c>
      <c r="H479">
        <v>1.2297107747635201E-4</v>
      </c>
      <c r="I479">
        <v>-1.1715393780652932</v>
      </c>
      <c r="J479">
        <v>-1.4406545962666442E-4</v>
      </c>
      <c r="K479" s="96"/>
      <c r="L479" s="96"/>
      <c r="M479" s="96"/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12.620691155368405</v>
      </c>
      <c r="H480">
        <v>1.2297107747635201E-4</v>
      </c>
      <c r="I480">
        <v>-0.656593807461061</v>
      </c>
      <c r="J480">
        <v>-8.0742047967787085E-5</v>
      </c>
      <c r="K480" s="96"/>
      <c r="L480" s="96"/>
      <c r="M480" s="96"/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25.030633331763706</v>
      </c>
      <c r="H481">
        <v>3.1019731255295997E-5</v>
      </c>
      <c r="I481">
        <v>-0.43415466196392066</v>
      </c>
      <c r="J481">
        <v>-1.3467360937354698E-5</v>
      </c>
      <c r="K481" s="96"/>
      <c r="L481" s="96"/>
      <c r="M481" s="96"/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-10.983047935047331</v>
      </c>
      <c r="H482">
        <v>1.2297107747635201E-4</v>
      </c>
      <c r="I482">
        <v>-1.4421017496274779</v>
      </c>
      <c r="J482">
        <v>-1.7733680598222337E-4</v>
      </c>
      <c r="K482" s="96"/>
      <c r="L482" s="96"/>
      <c r="M482" s="96"/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8.4152340496564104</v>
      </c>
      <c r="H483">
        <v>1.2297107747635201E-4</v>
      </c>
      <c r="I483">
        <v>-0.75540005064848914</v>
      </c>
      <c r="J483">
        <v>-9.2892358153935591E-5</v>
      </c>
      <c r="K483" s="96"/>
      <c r="L483" s="96"/>
      <c r="M483" s="96"/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20.911710525455362</v>
      </c>
      <c r="H484">
        <v>3.1019731255295997E-5</v>
      </c>
      <c r="I484">
        <v>-0.49804889825275261</v>
      </c>
      <c r="J484">
        <v>-1.5449342975796646E-5</v>
      </c>
      <c r="K484" s="96"/>
      <c r="L484" s="96"/>
      <c r="M484" s="96"/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-17.5</v>
      </c>
      <c r="H485">
        <v>3.1019731255296003E-5</v>
      </c>
      <c r="I485">
        <v>-1.7920018256557555</v>
      </c>
      <c r="J485">
        <v>-5.5587415040841337E-5</v>
      </c>
      <c r="K485" s="96"/>
      <c r="L485" s="96"/>
      <c r="M485" s="96"/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4.1572617876233977</v>
      </c>
      <c r="H486">
        <v>3.1019731255296003E-5</v>
      </c>
      <c r="I486">
        <v>-0.87059761189799045</v>
      </c>
      <c r="J486">
        <v>-2.7005703952578155E-5</v>
      </c>
      <c r="K486" s="96"/>
      <c r="L486" s="96"/>
      <c r="M486" s="96"/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16.770119760121453</v>
      </c>
      <c r="H487">
        <v>7.8247970734080004E-6</v>
      </c>
      <c r="I487">
        <v>-0.57177827606667209</v>
      </c>
      <c r="J487">
        <v>-4.4740489812047672E-6</v>
      </c>
      <c r="K487" s="96"/>
      <c r="L487" s="96"/>
      <c r="M487" s="96"/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1.119583522361675</v>
      </c>
      <c r="H488">
        <v>1.932559496921088E-3</v>
      </c>
      <c r="I488">
        <v>-0.96336833745505335</v>
      </c>
      <c r="J488">
        <v>-1.8617666295818428E-3</v>
      </c>
      <c r="K488" s="96"/>
      <c r="L488" s="96"/>
      <c r="M488" s="96"/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22.191205347125614</v>
      </c>
      <c r="H489">
        <v>1.932559496921088E-3</v>
      </c>
      <c r="I489">
        <v>-0.47725380440021964</v>
      </c>
      <c r="J489">
        <v>-9.2232137213536379E-4</v>
      </c>
      <c r="K489" s="96"/>
      <c r="L489" s="96"/>
      <c r="M489" s="96"/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37.661808020688419</v>
      </c>
      <c r="H490">
        <v>4.8749248570982399E-4</v>
      </c>
      <c r="I490">
        <v>-0.28496366425329261</v>
      </c>
      <c r="J490">
        <v>-1.3891764502381733E-4</v>
      </c>
      <c r="K490" s="96"/>
      <c r="L490" s="96"/>
      <c r="M490" s="96"/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-5.2448970094345793</v>
      </c>
      <c r="H491">
        <v>1.932559496921088E-3</v>
      </c>
      <c r="I491">
        <v>-1.1910436032382667</v>
      </c>
      <c r="J491">
        <v>-2.3017626266852247E-3</v>
      </c>
      <c r="K491" s="96"/>
      <c r="L491" s="96"/>
      <c r="M491" s="96"/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17.031894373633484</v>
      </c>
      <c r="H492">
        <v>1.932559496921088E-3</v>
      </c>
      <c r="I492">
        <v>-0.56681074589935054</v>
      </c>
      <c r="J492">
        <v>-1.0953954899447155E-3</v>
      </c>
      <c r="K492" s="96"/>
      <c r="L492" s="96"/>
      <c r="M492" s="96"/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32.504940462834156</v>
      </c>
      <c r="H493">
        <v>4.8749248570982399E-4</v>
      </c>
      <c r="I493">
        <v>-0.33840969050100111</v>
      </c>
      <c r="J493">
        <v>-1.6497218121062525E-4</v>
      </c>
      <c r="K493" s="96"/>
      <c r="L493" s="96"/>
      <c r="M493" s="96"/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-13.5</v>
      </c>
      <c r="H494">
        <v>4.8749248570982405E-4</v>
      </c>
      <c r="I494">
        <v>-1.5683121854901689</v>
      </c>
      <c r="J494">
        <v>-7.6454040567360915E-4</v>
      </c>
      <c r="K494" s="96"/>
      <c r="L494" s="96"/>
      <c r="M494" s="96"/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11.805145128536422</v>
      </c>
      <c r="H495">
        <v>4.8749248570982405E-4</v>
      </c>
      <c r="I495">
        <v>-0.67468805368598506</v>
      </c>
      <c r="J495">
        <v>-3.2890535637010405E-4</v>
      </c>
      <c r="K495" s="96"/>
      <c r="L495" s="96"/>
      <c r="M495" s="96"/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27.348072904979887</v>
      </c>
      <c r="H496">
        <v>1.2297107747635201E-4</v>
      </c>
      <c r="I496">
        <v>-0.40187972359588342</v>
      </c>
      <c r="J496">
        <v>-4.9419582626484312E-5</v>
      </c>
      <c r="K496" s="96"/>
      <c r="L496" s="96"/>
      <c r="M496" s="96"/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-7.2266687883071334E-4</v>
      </c>
      <c r="H497">
        <v>1.932559496921088E-3</v>
      </c>
      <c r="I497">
        <v>-1.0000240891861008</v>
      </c>
      <c r="J497">
        <v>-1.93260605070646E-3</v>
      </c>
      <c r="K497" s="96"/>
      <c r="L497" s="96"/>
      <c r="M497" s="96"/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21.218983124903392</v>
      </c>
      <c r="H498">
        <v>1.932559496921088E-3</v>
      </c>
      <c r="I498">
        <v>-0.49297370775035765</v>
      </c>
      <c r="J498">
        <v>-9.5270102064535459E-4</v>
      </c>
      <c r="K498" s="96"/>
      <c r="L498" s="96"/>
      <c r="M498" s="96"/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36.689585798466197</v>
      </c>
      <c r="H499">
        <v>4.8749248570982399E-4</v>
      </c>
      <c r="I499">
        <v>-0.29434986760895282</v>
      </c>
      <c r="J499">
        <v>-1.43493348629046E-4</v>
      </c>
      <c r="K499" s="96"/>
      <c r="L499" s="96"/>
      <c r="M499" s="96"/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-6.7448970094345793</v>
      </c>
      <c r="H500">
        <v>1.932559496921088E-3</v>
      </c>
      <c r="I500">
        <v>-1.2521097146079427</v>
      </c>
      <c r="J500">
        <v>-2.4197765201527327E-3</v>
      </c>
      <c r="K500" s="96"/>
      <c r="L500" s="96"/>
      <c r="M500" s="96"/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16.020577501205501</v>
      </c>
      <c r="H501">
        <v>1.932559496921088E-3</v>
      </c>
      <c r="I501">
        <v>-0.58624396703867576</v>
      </c>
      <c r="J501">
        <v>-1.132951346013286E-3</v>
      </c>
      <c r="K501" s="96"/>
      <c r="L501" s="96"/>
      <c r="M501" s="96"/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31.532718240611931</v>
      </c>
      <c r="H502">
        <v>4.8749248570982399E-4</v>
      </c>
      <c r="I502">
        <v>-0.34955631223220213</v>
      </c>
      <c r="J502">
        <v>-1.7040607554563556E-4</v>
      </c>
      <c r="K502" s="96"/>
      <c r="L502" s="96"/>
      <c r="M502" s="96"/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-15</v>
      </c>
      <c r="H503">
        <v>4.8749248570982405E-4</v>
      </c>
      <c r="I503">
        <v>-1.6487212707001282</v>
      </c>
      <c r="J503">
        <v>-8.0373923049626523E-4</v>
      </c>
      <c r="K503" s="96"/>
      <c r="L503" s="96"/>
      <c r="M503" s="96"/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10.793828256108437</v>
      </c>
      <c r="H504">
        <v>4.8749248570982405E-4</v>
      </c>
      <c r="I504">
        <v>-0.69781987015593749</v>
      </c>
      <c r="J504">
        <v>-3.4018194308002461E-4</v>
      </c>
      <c r="K504" s="96"/>
      <c r="L504" s="96"/>
      <c r="M504" s="96"/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26.375850682757665</v>
      </c>
      <c r="H505">
        <v>1.2297107747635201E-4</v>
      </c>
      <c r="I505">
        <v>-0.41511693690892731</v>
      </c>
      <c r="J505">
        <v>-5.1047377010373632E-5</v>
      </c>
      <c r="K505" s="96"/>
      <c r="L505" s="96"/>
      <c r="M505" s="96"/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-1.9181775021740306</v>
      </c>
      <c r="H506">
        <v>4.8749248570982405E-4</v>
      </c>
      <c r="I506">
        <v>-1.0660276356927336</v>
      </c>
      <c r="J506">
        <v>-5.1968046195921742E-4</v>
      </c>
      <c r="K506" s="96"/>
      <c r="L506" s="96"/>
      <c r="M506" s="96"/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19.561798625589262</v>
      </c>
      <c r="H507">
        <v>4.8749248570982405E-4</v>
      </c>
      <c r="I507">
        <v>-0.520971493245031</v>
      </c>
      <c r="J507">
        <v>-2.5396968822597897E-4</v>
      </c>
      <c r="K507" s="96"/>
      <c r="L507" s="96"/>
      <c r="M507" s="96"/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35.069215428095831</v>
      </c>
      <c r="H508">
        <v>1.2297107747635201E-4</v>
      </c>
      <c r="I508">
        <v>-0.31068558850850891</v>
      </c>
      <c r="J508">
        <v>-3.8205341575265866E-5</v>
      </c>
      <c r="K508" s="96"/>
      <c r="L508" s="96"/>
      <c r="M508" s="96"/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-9.2448970094345775</v>
      </c>
      <c r="H509">
        <v>4.8749248570982405E-4</v>
      </c>
      <c r="I509">
        <v>-1.3609231192522431</v>
      </c>
      <c r="J509">
        <v>-6.6343979426424329E-4</v>
      </c>
      <c r="K509" s="96"/>
      <c r="L509" s="96"/>
      <c r="M509" s="96"/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14.335049380492197</v>
      </c>
      <c r="H510">
        <v>4.8749248570982405E-4</v>
      </c>
      <c r="I510">
        <v>-0.62012452189074485</v>
      </c>
      <c r="J510">
        <v>-3.0230604462613538E-4</v>
      </c>
      <c r="K510" s="96"/>
      <c r="L510" s="96"/>
      <c r="M510" s="96"/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29.912347870241558</v>
      </c>
      <c r="H511">
        <v>1.2297107747635201E-4</v>
      </c>
      <c r="I511">
        <v>-0.36895586012970444</v>
      </c>
      <c r="J511">
        <v>-4.5370899661363976E-5</v>
      </c>
      <c r="K511" s="96"/>
      <c r="L511" s="96"/>
      <c r="M511" s="96"/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-17.5</v>
      </c>
      <c r="H512">
        <v>1.2297107747635201E-4</v>
      </c>
      <c r="I512">
        <v>-1.7920018256557555</v>
      </c>
      <c r="J512">
        <v>-2.2036439534047815E-4</v>
      </c>
      <c r="K512" s="96"/>
      <c r="L512" s="96"/>
      <c r="M512" s="96"/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9.0645901445400803</v>
      </c>
      <c r="H513">
        <v>1.2297107747635201E-4</v>
      </c>
      <c r="I513">
        <v>-0.73922495125715704</v>
      </c>
      <c r="J513">
        <v>-9.0903288753496395E-5</v>
      </c>
      <c r="K513" s="96"/>
      <c r="L513" s="96"/>
      <c r="M513" s="96"/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24.755480312387295</v>
      </c>
      <c r="H514">
        <v>3.1019731255295997E-5</v>
      </c>
      <c r="I514">
        <v>-0.43815494428806373</v>
      </c>
      <c r="J514">
        <v>-1.3591448619994927E-5</v>
      </c>
      <c r="K514" s="96"/>
      <c r="L514" s="96"/>
      <c r="M514" s="96"/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1.119583522361675</v>
      </c>
      <c r="H515">
        <v>1.932559496921088E-3</v>
      </c>
      <c r="I515">
        <v>-0.96336833745505335</v>
      </c>
      <c r="J515">
        <v>-1.8617666295818428E-3</v>
      </c>
      <c r="K515" s="96"/>
      <c r="L515" s="96"/>
      <c r="M515" s="96"/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22.191205347125614</v>
      </c>
      <c r="H516">
        <v>1.932559496921088E-3</v>
      </c>
      <c r="I516">
        <v>-0.47725380440021964</v>
      </c>
      <c r="J516">
        <v>-9.2232137213536379E-4</v>
      </c>
      <c r="K516" s="96"/>
      <c r="L516" s="96"/>
      <c r="M516" s="96"/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37.661808020688419</v>
      </c>
      <c r="H517">
        <v>4.8749248570982399E-4</v>
      </c>
      <c r="I517">
        <v>-0.28496366425329261</v>
      </c>
      <c r="J517">
        <v>-1.3891764502381733E-4</v>
      </c>
      <c r="K517" s="96"/>
      <c r="L517" s="96"/>
      <c r="M517" s="96"/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-5.2448970094345793</v>
      </c>
      <c r="H518">
        <v>1.932559496921088E-3</v>
      </c>
      <c r="I518">
        <v>-1.1910436032382667</v>
      </c>
      <c r="J518">
        <v>-2.3017626266852247E-3</v>
      </c>
      <c r="K518" s="96"/>
      <c r="L518" s="96"/>
      <c r="M518" s="96"/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17.031894373633484</v>
      </c>
      <c r="H519">
        <v>1.932559496921088E-3</v>
      </c>
      <c r="I519">
        <v>-0.56681074589935054</v>
      </c>
      <c r="J519">
        <v>-1.0953954899447155E-3</v>
      </c>
      <c r="K519" s="96"/>
      <c r="L519" s="96"/>
      <c r="M519" s="96"/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32.504940462834156</v>
      </c>
      <c r="H520">
        <v>4.8749248570982399E-4</v>
      </c>
      <c r="I520">
        <v>-0.33840969050100111</v>
      </c>
      <c r="J520">
        <v>-1.6497218121062525E-4</v>
      </c>
      <c r="K520" s="96"/>
      <c r="L520" s="96"/>
      <c r="M520" s="96"/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-13.5</v>
      </c>
      <c r="H521">
        <v>4.8749248570982405E-4</v>
      </c>
      <c r="I521">
        <v>-1.5683121854901689</v>
      </c>
      <c r="J521">
        <v>-7.6454040567360915E-4</v>
      </c>
      <c r="K521" s="96"/>
      <c r="L521" s="96"/>
      <c r="M521" s="96"/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11.805145128536422</v>
      </c>
      <c r="H522">
        <v>4.8749248570982405E-4</v>
      </c>
      <c r="I522">
        <v>-0.67468805368598506</v>
      </c>
      <c r="J522">
        <v>-3.2890535637010405E-4</v>
      </c>
      <c r="K522" s="96"/>
      <c r="L522" s="96"/>
      <c r="M522" s="96"/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27.348072904979887</v>
      </c>
      <c r="H523">
        <v>1.2297107747635201E-4</v>
      </c>
      <c r="I523">
        <v>-0.40187972359588342</v>
      </c>
      <c r="J523">
        <v>-4.9419582626484312E-5</v>
      </c>
      <c r="K523" s="96"/>
      <c r="L523" s="96"/>
      <c r="M523" s="96"/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-7.2266687883071334E-4</v>
      </c>
      <c r="H524">
        <v>1.932559496921088E-3</v>
      </c>
      <c r="I524">
        <v>-1.0000240891861008</v>
      </c>
      <c r="J524">
        <v>-1.93260605070646E-3</v>
      </c>
      <c r="K524" s="96"/>
      <c r="L524" s="96"/>
      <c r="M524" s="96"/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21.218983124903392</v>
      </c>
      <c r="H525">
        <v>1.932559496921088E-3</v>
      </c>
      <c r="I525">
        <v>-0.49297370775035765</v>
      </c>
      <c r="J525">
        <v>-9.5270102064535459E-4</v>
      </c>
      <c r="K525" s="96"/>
      <c r="L525" s="96"/>
      <c r="M525" s="96"/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36.689585798466197</v>
      </c>
      <c r="H526">
        <v>4.8749248570982399E-4</v>
      </c>
      <c r="I526">
        <v>-0.29434986760895282</v>
      </c>
      <c r="J526">
        <v>-1.43493348629046E-4</v>
      </c>
      <c r="K526" s="96"/>
      <c r="L526" s="96"/>
      <c r="M526" s="96"/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-6.7448970094345793</v>
      </c>
      <c r="H527">
        <v>1.932559496921088E-3</v>
      </c>
      <c r="I527">
        <v>-1.2521097146079427</v>
      </c>
      <c r="J527">
        <v>-2.4197765201527327E-3</v>
      </c>
      <c r="K527" s="96"/>
      <c r="L527" s="96"/>
      <c r="M527" s="96"/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16.020577501205501</v>
      </c>
      <c r="H528">
        <v>1.932559496921088E-3</v>
      </c>
      <c r="I528">
        <v>-0.58624396703867576</v>
      </c>
      <c r="J528">
        <v>-1.132951346013286E-3</v>
      </c>
      <c r="K528" s="96"/>
      <c r="L528" s="96"/>
      <c r="M528" s="96"/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31.532718240611931</v>
      </c>
      <c r="H529">
        <v>4.8749248570982399E-4</v>
      </c>
      <c r="I529">
        <v>-0.34955631223220213</v>
      </c>
      <c r="J529">
        <v>-1.7040607554563556E-4</v>
      </c>
      <c r="K529" s="96"/>
      <c r="L529" s="96"/>
      <c r="M529" s="96"/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-15</v>
      </c>
      <c r="H530">
        <v>4.8749248570982405E-4</v>
      </c>
      <c r="I530">
        <v>-1.6487212707001282</v>
      </c>
      <c r="J530">
        <v>-8.0373923049626523E-4</v>
      </c>
      <c r="K530" s="96"/>
      <c r="L530" s="96"/>
      <c r="M530" s="96"/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10.793828256108437</v>
      </c>
      <c r="H531">
        <v>4.8749248570982405E-4</v>
      </c>
      <c r="I531">
        <v>-0.69781987015593749</v>
      </c>
      <c r="J531">
        <v>-3.4018194308002461E-4</v>
      </c>
      <c r="K531" s="96"/>
      <c r="L531" s="96"/>
      <c r="M531" s="96"/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26.375850682757665</v>
      </c>
      <c r="H532">
        <v>1.2297107747635201E-4</v>
      </c>
      <c r="I532">
        <v>-0.41511693690892731</v>
      </c>
      <c r="J532">
        <v>-5.1047377010373632E-5</v>
      </c>
      <c r="K532" s="96"/>
      <c r="L532" s="96"/>
      <c r="M532" s="96"/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-1.9181775021740306</v>
      </c>
      <c r="H533">
        <v>4.8749248570982405E-4</v>
      </c>
      <c r="I533">
        <v>-1.0660276356927336</v>
      </c>
      <c r="J533">
        <v>-5.1968046195921742E-4</v>
      </c>
      <c r="K533" s="96"/>
      <c r="L533" s="96"/>
      <c r="M533" s="96"/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19.561798625589262</v>
      </c>
      <c r="H534">
        <v>4.8749248570982405E-4</v>
      </c>
      <c r="I534">
        <v>-0.520971493245031</v>
      </c>
      <c r="J534">
        <v>-2.5396968822597897E-4</v>
      </c>
      <c r="K534" s="96"/>
      <c r="L534" s="96"/>
      <c r="M534" s="96"/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35.069215428095831</v>
      </c>
      <c r="H535">
        <v>1.2297107747635201E-4</v>
      </c>
      <c r="I535">
        <v>-0.31068558850850891</v>
      </c>
      <c r="J535">
        <v>-3.8205341575265866E-5</v>
      </c>
      <c r="K535" s="96"/>
      <c r="L535" s="96"/>
      <c r="M535" s="96"/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-9.2448970094345775</v>
      </c>
      <c r="H536">
        <v>4.8749248570982405E-4</v>
      </c>
      <c r="I536">
        <v>-1.3609231192522431</v>
      </c>
      <c r="J536">
        <v>-6.6343979426424329E-4</v>
      </c>
      <c r="K536" s="96"/>
      <c r="L536" s="96"/>
      <c r="M536" s="96"/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14.335049380492197</v>
      </c>
      <c r="H537">
        <v>4.8749248570982405E-4</v>
      </c>
      <c r="I537">
        <v>-0.62012452189074485</v>
      </c>
      <c r="J537">
        <v>-3.0230604462613538E-4</v>
      </c>
      <c r="K537" s="96"/>
      <c r="L537" s="96"/>
      <c r="M537" s="96"/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29.912347870241558</v>
      </c>
      <c r="H538">
        <v>1.2297107747635201E-4</v>
      </c>
      <c r="I538">
        <v>-0.36895586012970444</v>
      </c>
      <c r="J538">
        <v>-4.5370899661363976E-5</v>
      </c>
      <c r="K538" s="96"/>
      <c r="L538" s="96"/>
      <c r="M538" s="96"/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-17.5</v>
      </c>
      <c r="H539">
        <v>1.2297107747635201E-4</v>
      </c>
      <c r="I539">
        <v>-1.7920018256557555</v>
      </c>
      <c r="J539">
        <v>-2.2036439534047815E-4</v>
      </c>
      <c r="K539" s="96"/>
      <c r="L539" s="96"/>
      <c r="M539" s="96"/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9.0645901445400803</v>
      </c>
      <c r="H540">
        <v>1.2297107747635201E-4</v>
      </c>
      <c r="I540">
        <v>-0.73922495125715704</v>
      </c>
      <c r="J540">
        <v>-9.0903288753496395E-5</v>
      </c>
      <c r="K540" s="96"/>
      <c r="L540" s="96"/>
      <c r="M540" s="96"/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24.755480312387295</v>
      </c>
      <c r="H541">
        <v>3.1019731255295997E-5</v>
      </c>
      <c r="I541">
        <v>-0.43815494428806373</v>
      </c>
      <c r="J541">
        <v>-1.3591448619994927E-5</v>
      </c>
      <c r="K541" s="96"/>
      <c r="L541" s="96"/>
      <c r="M541" s="96"/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1.119583522361675</v>
      </c>
      <c r="H542">
        <v>4.8749248570982405E-4</v>
      </c>
      <c r="I542">
        <v>-0.96336833745505335</v>
      </c>
      <c r="J542">
        <v>-4.6963482548010454E-4</v>
      </c>
      <c r="K542" s="96"/>
      <c r="L542" s="96"/>
      <c r="M542" s="96"/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22.191205347125614</v>
      </c>
      <c r="H543">
        <v>4.8749248570982405E-4</v>
      </c>
      <c r="I543">
        <v>-0.47725380440021964</v>
      </c>
      <c r="J543">
        <v>-2.3265764342153322E-4</v>
      </c>
      <c r="K543" s="96"/>
      <c r="L543" s="96"/>
      <c r="M543" s="96"/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37.661808020688419</v>
      </c>
      <c r="H544">
        <v>1.2297107747635201E-4</v>
      </c>
      <c r="I544">
        <v>-0.28496366425329261</v>
      </c>
      <c r="J544">
        <v>-3.5042288834836807E-5</v>
      </c>
      <c r="K544" s="96"/>
      <c r="L544" s="96"/>
      <c r="M544" s="96"/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-5.2448970094345793</v>
      </c>
      <c r="H545">
        <v>4.8749248570982405E-4</v>
      </c>
      <c r="I545">
        <v>-1.1910436032382667</v>
      </c>
      <c r="J545">
        <v>-5.8062480673140809E-4</v>
      </c>
      <c r="K545" s="96"/>
      <c r="L545" s="96"/>
      <c r="M545" s="96"/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17.031894373633484</v>
      </c>
      <c r="H546">
        <v>4.8749248570982405E-4</v>
      </c>
      <c r="I546">
        <v>-0.56681074589935054</v>
      </c>
      <c r="J546">
        <v>-2.7631597944551386E-4</v>
      </c>
      <c r="K546" s="96"/>
      <c r="L546" s="96"/>
      <c r="M546" s="96"/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32.504940462834156</v>
      </c>
      <c r="H547">
        <v>1.2297107747635201E-4</v>
      </c>
      <c r="I547">
        <v>-0.33840969050100111</v>
      </c>
      <c r="J547">
        <v>-4.1614604269346913E-5</v>
      </c>
      <c r="K547" s="96"/>
      <c r="L547" s="96"/>
      <c r="M547" s="96"/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-13.5</v>
      </c>
      <c r="H548">
        <v>1.2297107747635201E-4</v>
      </c>
      <c r="I548">
        <v>-1.5683121854901689</v>
      </c>
      <c r="J548">
        <v>-1.9285703926901851E-4</v>
      </c>
      <c r="K548" s="96"/>
      <c r="L548" s="96"/>
      <c r="M548" s="96"/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11.805145128536422</v>
      </c>
      <c r="H549">
        <v>1.2297107747635201E-4</v>
      </c>
      <c r="I549">
        <v>-0.67468805368598506</v>
      </c>
      <c r="J549">
        <v>-8.296711692218841E-5</v>
      </c>
      <c r="K549" s="96"/>
      <c r="L549" s="96"/>
      <c r="M549" s="96"/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27.348072904979887</v>
      </c>
      <c r="H550">
        <v>3.1019731255295997E-5</v>
      </c>
      <c r="I550">
        <v>-0.40187972359588342</v>
      </c>
      <c r="J550">
        <v>-1.2466201022896941E-5</v>
      </c>
      <c r="K550" s="96"/>
      <c r="L550" s="96"/>
      <c r="M550" s="96"/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-7.2266687883071334E-4</v>
      </c>
      <c r="H551">
        <v>4.8749248570982405E-4</v>
      </c>
      <c r="I551">
        <v>-1.0000240891861008</v>
      </c>
      <c r="J551">
        <v>-4.87504229007035E-4</v>
      </c>
      <c r="K551" s="96"/>
      <c r="L551" s="96"/>
      <c r="M551" s="96"/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21.218983124903392</v>
      </c>
      <c r="H552">
        <v>4.8749248570982405E-4</v>
      </c>
      <c r="I552">
        <v>-0.49297370775035765</v>
      </c>
      <c r="J552">
        <v>-2.403209781808102E-4</v>
      </c>
      <c r="K552" s="96"/>
      <c r="L552" s="96"/>
      <c r="M552" s="96"/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36.689585798466197</v>
      </c>
      <c r="H553">
        <v>1.2297107747635201E-4</v>
      </c>
      <c r="I553">
        <v>-0.29434986760895282</v>
      </c>
      <c r="J553">
        <v>-3.6196520374894492E-5</v>
      </c>
      <c r="K553" s="96"/>
      <c r="L553" s="96"/>
      <c r="M553" s="96"/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-6.7448970094345793</v>
      </c>
      <c r="H554">
        <v>4.8749248570982405E-4</v>
      </c>
      <c r="I554">
        <v>-1.2521097146079427</v>
      </c>
      <c r="J554">
        <v>-6.1039407715564439E-4</v>
      </c>
      <c r="K554" s="96"/>
      <c r="L554" s="96"/>
      <c r="M554" s="96"/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16.020577501205501</v>
      </c>
      <c r="H555">
        <v>4.8749248570982405E-4</v>
      </c>
      <c r="I555">
        <v>-0.58624396703867576</v>
      </c>
      <c r="J555">
        <v>-2.8578952872407223E-4</v>
      </c>
      <c r="K555" s="96"/>
      <c r="L555" s="96"/>
      <c r="M555" s="96"/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31.532718240611931</v>
      </c>
      <c r="H556">
        <v>1.2297107747635201E-4</v>
      </c>
      <c r="I556">
        <v>-0.34955631223220213</v>
      </c>
      <c r="J556">
        <v>-4.2985316353854018E-5</v>
      </c>
      <c r="K556" s="96"/>
      <c r="L556" s="96"/>
      <c r="M556" s="96"/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-15</v>
      </c>
      <c r="H557">
        <v>1.2297107747635201E-4</v>
      </c>
      <c r="I557">
        <v>-1.6487212707001282</v>
      </c>
      <c r="J557">
        <v>-2.0274503111617498E-4</v>
      </c>
      <c r="K557" s="96"/>
      <c r="L557" s="96"/>
      <c r="M557" s="96"/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10.793828256108437</v>
      </c>
      <c r="H558">
        <v>1.2297107747635201E-4</v>
      </c>
      <c r="I558">
        <v>-0.69781987015593749</v>
      </c>
      <c r="J558">
        <v>-8.5811661317483694E-5</v>
      </c>
      <c r="K558" s="96"/>
      <c r="L558" s="96"/>
      <c r="M558" s="96"/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26.375850682757665</v>
      </c>
      <c r="H559">
        <v>3.1019731255295997E-5</v>
      </c>
      <c r="I559">
        <v>-0.41511693690892731</v>
      </c>
      <c r="J559">
        <v>-1.2876815822436589E-5</v>
      </c>
      <c r="K559" s="96"/>
      <c r="L559" s="96"/>
      <c r="M559" s="96"/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-1.9181775021740306</v>
      </c>
      <c r="H560">
        <v>1.2297107747635201E-4</v>
      </c>
      <c r="I560">
        <v>-1.0660276356927336</v>
      </c>
      <c r="J560">
        <v>-1.3109056698070351E-4</v>
      </c>
      <c r="K560" s="96"/>
      <c r="L560" s="96"/>
      <c r="M560" s="96"/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19.561798625589262</v>
      </c>
      <c r="H561">
        <v>1.2297107747635201E-4</v>
      </c>
      <c r="I561">
        <v>-0.520971493245031</v>
      </c>
      <c r="J561">
        <v>-6.4064425858805497E-5</v>
      </c>
      <c r="K561" s="96"/>
      <c r="L561" s="96"/>
      <c r="M561" s="96"/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35.069215428095831</v>
      </c>
      <c r="H562">
        <v>3.1019731255295997E-5</v>
      </c>
      <c r="I562">
        <v>-0.31068558850850891</v>
      </c>
      <c r="J562">
        <v>-9.6373834604274255E-6</v>
      </c>
      <c r="K562" s="96"/>
      <c r="L562" s="96"/>
      <c r="M562" s="96"/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-9.2448970094345775</v>
      </c>
      <c r="H563">
        <v>1.2297107747635201E-4</v>
      </c>
      <c r="I563">
        <v>-1.3609231192522431</v>
      </c>
      <c r="J563">
        <v>-1.6735418233692622E-4</v>
      </c>
      <c r="K563" s="96"/>
      <c r="L563" s="96"/>
      <c r="M563" s="96"/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14.335049380492197</v>
      </c>
      <c r="H564">
        <v>1.2297107747635201E-4</v>
      </c>
      <c r="I564">
        <v>-0.62012452189074485</v>
      </c>
      <c r="J564">
        <v>-7.6257380626412535E-5</v>
      </c>
      <c r="K564" s="96"/>
      <c r="L564" s="96"/>
      <c r="M564" s="96"/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29.912347870241558</v>
      </c>
      <c r="H565">
        <v>3.1019731255295997E-5</v>
      </c>
      <c r="I565">
        <v>-0.36895586012970444</v>
      </c>
      <c r="J565">
        <v>-1.1444911626290011E-5</v>
      </c>
      <c r="K565" s="96"/>
      <c r="L565" s="96"/>
      <c r="M565" s="96"/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-17.5</v>
      </c>
      <c r="H566">
        <v>3.1019731255296003E-5</v>
      </c>
      <c r="I566">
        <v>-1.7920018256557555</v>
      </c>
      <c r="J566">
        <v>-5.5587415040841337E-5</v>
      </c>
      <c r="K566" s="96"/>
      <c r="L566" s="96"/>
      <c r="M566" s="96"/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9.0645901445400803</v>
      </c>
      <c r="H567">
        <v>3.1019731255296003E-5</v>
      </c>
      <c r="I567">
        <v>-0.73922495125715704</v>
      </c>
      <c r="J567">
        <v>-2.2930559325206297E-5</v>
      </c>
      <c r="K567" s="96"/>
      <c r="L567" s="96"/>
      <c r="M567" s="96"/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24.755480312387295</v>
      </c>
      <c r="H568">
        <v>7.8247970734080004E-6</v>
      </c>
      <c r="I568">
        <v>-0.43815494428806373</v>
      </c>
      <c r="J568">
        <v>-3.4284735257644865E-6</v>
      </c>
      <c r="K568" s="96"/>
      <c r="L568" s="96"/>
      <c r="M568" s="96"/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6.8704604110400957</v>
      </c>
      <c r="H569">
        <v>1.932559496921088E-3</v>
      </c>
      <c r="I569">
        <v>-0.79531632766417837</v>
      </c>
      <c r="J569">
        <v>-1.5369961220838117E-3</v>
      </c>
      <c r="K569" s="96"/>
      <c r="L569" s="96"/>
      <c r="M569" s="96"/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39.145631260110569</v>
      </c>
      <c r="H570">
        <v>1.932559496921088E-3</v>
      </c>
      <c r="I570">
        <v>-0.2712120273300811</v>
      </c>
      <c r="J570">
        <v>-5.2413337909596987E-4</v>
      </c>
      <c r="K570" s="96"/>
      <c r="L570" s="96"/>
      <c r="M570" s="96"/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63.093446890165865</v>
      </c>
      <c r="H571">
        <v>4.8749248570982399E-4</v>
      </c>
      <c r="I571">
        <v>-0.12207558262819976</v>
      </c>
      <c r="J571">
        <v>-5.9510929219896108E-5</v>
      </c>
      <c r="K571" s="96"/>
      <c r="L571" s="96"/>
      <c r="M571" s="96"/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-1.6437202698265168</v>
      </c>
      <c r="H572">
        <v>1.932559496921088E-3</v>
      </c>
      <c r="I572">
        <v>-1.0563194781550134</v>
      </c>
      <c r="J572">
        <v>-2.0414002392911989E-3</v>
      </c>
      <c r="K572" s="96"/>
      <c r="L572" s="96"/>
      <c r="M572" s="96"/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31.163026050092135</v>
      </c>
      <c r="H573">
        <v>1.932559496921088E-3</v>
      </c>
      <c r="I573">
        <v>-0.35389057103613497</v>
      </c>
      <c r="J573">
        <v>-6.839145839267096E-4</v>
      </c>
      <c r="K573" s="96"/>
      <c r="L573" s="96"/>
      <c r="M573" s="96"/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55.110841680147423</v>
      </c>
      <c r="H574">
        <v>4.8749248570982399E-4</v>
      </c>
      <c r="I574">
        <v>-0.15929012467166076</v>
      </c>
      <c r="J574">
        <v>-7.7652738825215669E-5</v>
      </c>
      <c r="K574" s="96"/>
      <c r="L574" s="96"/>
      <c r="M574" s="96"/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-13.5</v>
      </c>
      <c r="H575">
        <v>4.8749248570982405E-4</v>
      </c>
      <c r="I575">
        <v>-1.5683121854901689</v>
      </c>
      <c r="J575">
        <v>-7.6454040567360915E-4</v>
      </c>
      <c r="K575" s="96"/>
      <c r="L575" s="96"/>
      <c r="M575" s="96"/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23.125297383283584</v>
      </c>
      <c r="H576">
        <v>4.8749248570982405E-4</v>
      </c>
      <c r="I576">
        <v>-0.46262279891245045</v>
      </c>
      <c r="J576">
        <v>-2.2552513818786655E-4</v>
      </c>
      <c r="K576" s="96"/>
      <c r="L576" s="96"/>
      <c r="M576" s="96"/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47.128236470128996</v>
      </c>
      <c r="H577">
        <v>1.2297107747635201E-4</v>
      </c>
      <c r="I577">
        <v>-0.20784945909446695</v>
      </c>
      <c r="J577">
        <v>-2.5559471937723551E-5</v>
      </c>
      <c r="K577" s="96"/>
      <c r="L577" s="96"/>
      <c r="M577" s="96"/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5.7894274271340755</v>
      </c>
      <c r="H578">
        <v>1.932559496921088E-3</v>
      </c>
      <c r="I578">
        <v>-0.82449771015616913</v>
      </c>
      <c r="J578">
        <v>-1.5933908799519953E-3</v>
      </c>
      <c r="K578" s="96"/>
      <c r="L578" s="96"/>
      <c r="M578" s="96"/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38.173409037888348</v>
      </c>
      <c r="H579">
        <v>1.932559496921088E-3</v>
      </c>
      <c r="I579">
        <v>-0.28014527588193255</v>
      </c>
      <c r="J579">
        <v>-5.4139741342320701E-4</v>
      </c>
      <c r="K579" s="96"/>
      <c r="L579" s="96"/>
      <c r="M579" s="96"/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62.121224667943643</v>
      </c>
      <c r="H580">
        <v>4.8749248570982399E-4</v>
      </c>
      <c r="I580">
        <v>-0.12609653823428182</v>
      </c>
      <c r="J580">
        <v>-6.1471114863233909E-5</v>
      </c>
      <c r="K580" s="96"/>
      <c r="L580" s="96"/>
      <c r="M580" s="96"/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-2.8271561560562226</v>
      </c>
      <c r="H581">
        <v>1.932559496921088E-3</v>
      </c>
      <c r="I581">
        <v>-1.0988218260066602</v>
      </c>
      <c r="J581">
        <v>-2.1235385552733424E-3</v>
      </c>
      <c r="K581" s="96"/>
      <c r="L581" s="96"/>
      <c r="M581" s="96"/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30.170767819639458</v>
      </c>
      <c r="H582">
        <v>1.932559496921088E-3</v>
      </c>
      <c r="I582">
        <v>-0.36579132419409571</v>
      </c>
      <c r="J582">
        <v>-7.0691349746264019E-4</v>
      </c>
      <c r="K582" s="96"/>
      <c r="L582" s="96"/>
      <c r="M582" s="96"/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54.138619457925202</v>
      </c>
      <c r="H583">
        <v>4.8749248570982399E-4</v>
      </c>
      <c r="I583">
        <v>-0.16453686202898121</v>
      </c>
      <c r="J583">
        <v>-8.0210483861402408E-5</v>
      </c>
      <c r="K583" s="96"/>
      <c r="L583" s="96"/>
      <c r="M583" s="96"/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-15</v>
      </c>
      <c r="H584">
        <v>4.8749248570982405E-4</v>
      </c>
      <c r="I584">
        <v>-1.6487212707001282</v>
      </c>
      <c r="J584">
        <v>-8.0373923049626523E-4</v>
      </c>
      <c r="K584" s="96"/>
      <c r="L584" s="96"/>
      <c r="M584" s="96"/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22.113980510855601</v>
      </c>
      <c r="H585">
        <v>4.8749248570982405E-4</v>
      </c>
      <c r="I585">
        <v>-0.47848391520285261</v>
      </c>
      <c r="J585">
        <v>-2.3325731319440729E-4</v>
      </c>
      <c r="K585" s="96"/>
      <c r="L585" s="96"/>
      <c r="M585" s="96"/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46.156014247906782</v>
      </c>
      <c r="H586">
        <v>1.2297107747635201E-4</v>
      </c>
      <c r="I586">
        <v>-0.21469565576847705</v>
      </c>
      <c r="J586">
        <v>-2.640135611934159E-5</v>
      </c>
      <c r="K586" s="96"/>
      <c r="L586" s="96"/>
      <c r="M586" s="96"/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3.9528339165539883</v>
      </c>
      <c r="H587">
        <v>4.8749248570982405E-4</v>
      </c>
      <c r="I587">
        <v>-0.87655035117269509</v>
      </c>
      <c r="J587">
        <v>-4.2731170954299629E-4</v>
      </c>
      <c r="K587" s="96"/>
      <c r="L587" s="96"/>
      <c r="M587" s="96"/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36.542027007710026</v>
      </c>
      <c r="H588">
        <v>4.8749248570982405E-4</v>
      </c>
      <c r="I588">
        <v>-0.29580123105760925</v>
      </c>
      <c r="J588">
        <v>-1.4420087740429994E-4</v>
      </c>
      <c r="K588" s="96"/>
      <c r="L588" s="96"/>
      <c r="M588" s="96"/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60.500854297573269</v>
      </c>
      <c r="H589">
        <v>1.2297107747635201E-4</v>
      </c>
      <c r="I589">
        <v>-0.13309459762438156</v>
      </c>
      <c r="J589">
        <v>-1.636678607615172E-5</v>
      </c>
      <c r="K589" s="96"/>
      <c r="L589" s="96"/>
      <c r="M589" s="96"/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-4.8344418980130897</v>
      </c>
      <c r="H590">
        <v>4.8749248570982405E-4</v>
      </c>
      <c r="I590">
        <v>-1.1748589093849577</v>
      </c>
      <c r="J590">
        <v>-5.7273489009440593E-4</v>
      </c>
      <c r="K590" s="96"/>
      <c r="L590" s="96"/>
      <c r="M590" s="96"/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28.485239698926158</v>
      </c>
      <c r="H591">
        <v>4.8749248570982405E-4</v>
      </c>
      <c r="I591">
        <v>-0.38693135073692142</v>
      </c>
      <c r="J591">
        <v>-1.8862612596980157E-4</v>
      </c>
      <c r="K591" s="96"/>
      <c r="L591" s="96"/>
      <c r="M591" s="96"/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52.518249087554828</v>
      </c>
      <c r="H592">
        <v>1.2297107747635201E-4</v>
      </c>
      <c r="I592">
        <v>-0.17366826839796598</v>
      </c>
      <c r="J592">
        <v>-2.1356174088350171E-5</v>
      </c>
      <c r="K592" s="96"/>
      <c r="L592" s="96"/>
      <c r="M592" s="96"/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-17.5</v>
      </c>
      <c r="H593">
        <v>1.2297107747635201E-4</v>
      </c>
      <c r="I593">
        <v>-1.7920018256557555</v>
      </c>
      <c r="J593">
        <v>-2.2036439534047815E-4</v>
      </c>
      <c r="K593" s="96"/>
      <c r="L593" s="96"/>
      <c r="M593" s="96"/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20.428452390142294</v>
      </c>
      <c r="H594">
        <v>1.2297107747635201E-4</v>
      </c>
      <c r="I594">
        <v>-0.50613673799734904</v>
      </c>
      <c r="J594">
        <v>-6.2240180021900084E-5</v>
      </c>
      <c r="K594" s="96"/>
      <c r="L594" s="96"/>
      <c r="M594" s="96"/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44.535643877536401</v>
      </c>
      <c r="H595">
        <v>3.1019731255295997E-5</v>
      </c>
      <c r="I595">
        <v>-0.22661075645960563</v>
      </c>
      <c r="J595">
        <v>-7.0294047649362983E-6</v>
      </c>
      <c r="K595" s="96"/>
      <c r="L595" s="96"/>
      <c r="M595" s="96"/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6.8704604110400957</v>
      </c>
      <c r="H596">
        <v>1.932559496921088E-3</v>
      </c>
      <c r="I596">
        <v>-0.79531632766417837</v>
      </c>
      <c r="J596">
        <v>-1.5369961220838117E-3</v>
      </c>
      <c r="K596" s="96"/>
      <c r="L596" s="96"/>
      <c r="M596" s="96"/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39.145631260110569</v>
      </c>
      <c r="H597">
        <v>1.932559496921088E-3</v>
      </c>
      <c r="I597">
        <v>-0.2712120273300811</v>
      </c>
      <c r="J597">
        <v>-5.2413337909596987E-4</v>
      </c>
      <c r="K597" s="96"/>
      <c r="L597" s="96"/>
      <c r="M597" s="96"/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63.093446890165865</v>
      </c>
      <c r="H598">
        <v>4.8749248570982399E-4</v>
      </c>
      <c r="I598">
        <v>-0.12207558262819976</v>
      </c>
      <c r="J598">
        <v>-5.9510929219896108E-5</v>
      </c>
      <c r="K598" s="96"/>
      <c r="L598" s="96"/>
      <c r="M598" s="96"/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-1.6437202698265168</v>
      </c>
      <c r="H599">
        <v>1.932559496921088E-3</v>
      </c>
      <c r="I599">
        <v>-1.0563194781550134</v>
      </c>
      <c r="J599">
        <v>-2.0414002392911989E-3</v>
      </c>
      <c r="K599" s="96"/>
      <c r="L599" s="96"/>
      <c r="M599" s="96"/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31.163026050092135</v>
      </c>
      <c r="H600">
        <v>1.932559496921088E-3</v>
      </c>
      <c r="I600">
        <v>-0.35389057103613497</v>
      </c>
      <c r="J600">
        <v>-6.839145839267096E-4</v>
      </c>
      <c r="K600" s="96"/>
      <c r="L600" s="96"/>
      <c r="M600" s="96"/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55.110841680147423</v>
      </c>
      <c r="H601">
        <v>4.8749248570982399E-4</v>
      </c>
      <c r="I601">
        <v>-0.15929012467166076</v>
      </c>
      <c r="J601">
        <v>-7.7652738825215669E-5</v>
      </c>
      <c r="K601" s="96"/>
      <c r="L601" s="96"/>
      <c r="M601" s="96"/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-13.5</v>
      </c>
      <c r="H602">
        <v>4.8749248570982405E-4</v>
      </c>
      <c r="I602">
        <v>-1.5683121854901689</v>
      </c>
      <c r="J602">
        <v>-7.6454040567360915E-4</v>
      </c>
      <c r="K602" s="96"/>
      <c r="L602" s="96"/>
      <c r="M602" s="96"/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23.125297383283584</v>
      </c>
      <c r="H603">
        <v>4.8749248570982405E-4</v>
      </c>
      <c r="I603">
        <v>-0.46262279891245045</v>
      </c>
      <c r="J603">
        <v>-2.2552513818786655E-4</v>
      </c>
      <c r="K603" s="96"/>
      <c r="L603" s="96"/>
      <c r="M603" s="96"/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47.128236470128996</v>
      </c>
      <c r="H604">
        <v>1.2297107747635201E-4</v>
      </c>
      <c r="I604">
        <v>-0.20784945909446695</v>
      </c>
      <c r="J604">
        <v>-2.5559471937723551E-5</v>
      </c>
      <c r="K604" s="96"/>
      <c r="L604" s="96"/>
      <c r="M604" s="96"/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5.7894274271340755</v>
      </c>
      <c r="H605">
        <v>1.932559496921088E-3</v>
      </c>
      <c r="I605">
        <v>-0.82449771015616913</v>
      </c>
      <c r="J605">
        <v>-1.5933908799519953E-3</v>
      </c>
      <c r="K605" s="96"/>
      <c r="L605" s="96"/>
      <c r="M605" s="96"/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38.173409037888348</v>
      </c>
      <c r="H606">
        <v>1.932559496921088E-3</v>
      </c>
      <c r="I606">
        <v>-0.28014527588193255</v>
      </c>
      <c r="J606">
        <v>-5.4139741342320701E-4</v>
      </c>
      <c r="K606" s="96"/>
      <c r="L606" s="96"/>
      <c r="M606" s="96"/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62.121224667943643</v>
      </c>
      <c r="H607">
        <v>4.8749248570982399E-4</v>
      </c>
      <c r="I607">
        <v>-0.12609653823428182</v>
      </c>
      <c r="J607">
        <v>-6.1471114863233909E-5</v>
      </c>
      <c r="K607" s="96"/>
      <c r="L607" s="96"/>
      <c r="M607" s="96"/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-2.8271561560562226</v>
      </c>
      <c r="H608">
        <v>1.932559496921088E-3</v>
      </c>
      <c r="I608">
        <v>-1.0988218260066602</v>
      </c>
      <c r="J608">
        <v>-2.1235385552733424E-3</v>
      </c>
      <c r="K608" s="96"/>
      <c r="L608" s="96"/>
      <c r="M608" s="96"/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30.170767819639458</v>
      </c>
      <c r="H609">
        <v>1.932559496921088E-3</v>
      </c>
      <c r="I609">
        <v>-0.36579132419409571</v>
      </c>
      <c r="J609">
        <v>-7.0691349746264019E-4</v>
      </c>
      <c r="K609" s="96"/>
      <c r="L609" s="96"/>
      <c r="M609" s="96"/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54.138619457925202</v>
      </c>
      <c r="H610">
        <v>4.8749248570982399E-4</v>
      </c>
      <c r="I610">
        <v>-0.16453686202898121</v>
      </c>
      <c r="J610">
        <v>-8.0210483861402408E-5</v>
      </c>
      <c r="K610" s="96"/>
      <c r="L610" s="96"/>
      <c r="M610" s="96"/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-15</v>
      </c>
      <c r="H611">
        <v>4.8749248570982405E-4</v>
      </c>
      <c r="I611">
        <v>-1.6487212707001282</v>
      </c>
      <c r="J611">
        <v>-8.0373923049626523E-4</v>
      </c>
      <c r="K611" s="96"/>
      <c r="L611" s="96"/>
      <c r="M611" s="96"/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22.113980510855601</v>
      </c>
      <c r="H612">
        <v>4.8749248570982405E-4</v>
      </c>
      <c r="I612">
        <v>-0.47848391520285261</v>
      </c>
      <c r="J612">
        <v>-2.3325731319440729E-4</v>
      </c>
      <c r="K612" s="96"/>
      <c r="L612" s="96"/>
      <c r="M612" s="96"/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46.156014247906782</v>
      </c>
      <c r="H613">
        <v>1.2297107747635201E-4</v>
      </c>
      <c r="I613">
        <v>-0.21469565576847705</v>
      </c>
      <c r="J613">
        <v>-2.640135611934159E-5</v>
      </c>
      <c r="K613" s="96"/>
      <c r="L613" s="96"/>
      <c r="M613" s="96"/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3.9528339165539883</v>
      </c>
      <c r="H614">
        <v>4.8749248570982405E-4</v>
      </c>
      <c r="I614">
        <v>-0.87655035117269509</v>
      </c>
      <c r="J614">
        <v>-4.2731170954299629E-4</v>
      </c>
      <c r="K614" s="96"/>
      <c r="L614" s="96"/>
      <c r="M614" s="96"/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36.542027007710026</v>
      </c>
      <c r="H615">
        <v>4.8749248570982405E-4</v>
      </c>
      <c r="I615">
        <v>-0.29580123105760925</v>
      </c>
      <c r="J615">
        <v>-1.4420087740429994E-4</v>
      </c>
      <c r="K615" s="96"/>
      <c r="L615" s="96"/>
      <c r="M615" s="96"/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60.500854297573269</v>
      </c>
      <c r="H616">
        <v>1.2297107747635201E-4</v>
      </c>
      <c r="I616">
        <v>-0.13309459762438156</v>
      </c>
      <c r="J616">
        <v>-1.636678607615172E-5</v>
      </c>
      <c r="K616" s="96"/>
      <c r="L616" s="96"/>
      <c r="M616" s="96"/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-4.8344418980130897</v>
      </c>
      <c r="H617">
        <v>4.8749248570982405E-4</v>
      </c>
      <c r="I617">
        <v>-1.1748589093849577</v>
      </c>
      <c r="J617">
        <v>-5.7273489009440593E-4</v>
      </c>
      <c r="K617" s="96"/>
      <c r="L617" s="96"/>
      <c r="M617" s="96"/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28.485239698926158</v>
      </c>
      <c r="H618">
        <v>4.8749248570982405E-4</v>
      </c>
      <c r="I618">
        <v>-0.38693135073692142</v>
      </c>
      <c r="J618">
        <v>-1.8862612596980157E-4</v>
      </c>
      <c r="K618" s="96"/>
      <c r="L618" s="96"/>
      <c r="M618" s="96"/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52.518249087554828</v>
      </c>
      <c r="H619">
        <v>1.2297107747635201E-4</v>
      </c>
      <c r="I619">
        <v>-0.17366826839796598</v>
      </c>
      <c r="J619">
        <v>-2.1356174088350171E-5</v>
      </c>
      <c r="K619" s="96"/>
      <c r="L619" s="96"/>
      <c r="M619" s="96"/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-17.5</v>
      </c>
      <c r="H620">
        <v>1.2297107747635201E-4</v>
      </c>
      <c r="I620">
        <v>-1.7920018256557555</v>
      </c>
      <c r="J620">
        <v>-2.2036439534047815E-4</v>
      </c>
      <c r="K620" s="96"/>
      <c r="L620" s="96"/>
      <c r="M620" s="96"/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20.428452390142294</v>
      </c>
      <c r="H621">
        <v>1.2297107747635201E-4</v>
      </c>
      <c r="I621">
        <v>-0.50613673799734904</v>
      </c>
      <c r="J621">
        <v>-6.2240180021900084E-5</v>
      </c>
      <c r="K621" s="96"/>
      <c r="L621" s="96"/>
      <c r="M621" s="96"/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44.535643877536401</v>
      </c>
      <c r="H622">
        <v>3.1019731255295997E-5</v>
      </c>
      <c r="I622">
        <v>-0.22661075645960563</v>
      </c>
      <c r="J622">
        <v>-7.0294047649362983E-6</v>
      </c>
      <c r="K622" s="96"/>
      <c r="L622" s="96"/>
      <c r="M622" s="96"/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6.8704604110400957</v>
      </c>
      <c r="H623">
        <v>4.8749248570982405E-4</v>
      </c>
      <c r="I623">
        <v>-0.79531632766417837</v>
      </c>
      <c r="J623">
        <v>-3.877107334986192E-4</v>
      </c>
      <c r="K623" s="96"/>
      <c r="L623" s="96"/>
      <c r="M623" s="96"/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39.145631260110569</v>
      </c>
      <c r="H624">
        <v>4.8749248570982405E-4</v>
      </c>
      <c r="I624">
        <v>-0.2712120273300811</v>
      </c>
      <c r="J624">
        <v>-1.3221382535754197E-4</v>
      </c>
      <c r="K624" s="96"/>
      <c r="L624" s="96"/>
      <c r="M624" s="96"/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63.093446890165865</v>
      </c>
      <c r="H625">
        <v>1.2297107747635201E-4</v>
      </c>
      <c r="I625">
        <v>-0.12207558262819976</v>
      </c>
      <c r="J625">
        <v>-1.5011765929343164E-5</v>
      </c>
      <c r="K625" s="96"/>
      <c r="L625" s="96"/>
      <c r="M625" s="96"/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-1.6437202698265168</v>
      </c>
      <c r="H626">
        <v>4.8749248570982405E-4</v>
      </c>
      <c r="I626">
        <v>-1.0563194781550134</v>
      </c>
      <c r="J626">
        <v>-5.1494780810949162E-4</v>
      </c>
      <c r="K626" s="96"/>
      <c r="L626" s="96"/>
      <c r="M626" s="96"/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31.163026050092135</v>
      </c>
      <c r="H627">
        <v>4.8749248570982405E-4</v>
      </c>
      <c r="I627">
        <v>-0.35389057103613497</v>
      </c>
      <c r="J627">
        <v>-1.725189941436745E-4</v>
      </c>
      <c r="K627" s="96"/>
      <c r="L627" s="96"/>
      <c r="M627" s="96"/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55.110841680147423</v>
      </c>
      <c r="H628">
        <v>1.2297107747635201E-4</v>
      </c>
      <c r="I628">
        <v>-0.15929012467166076</v>
      </c>
      <c r="J628">
        <v>-1.9588078262216565E-5</v>
      </c>
      <c r="K628" s="96"/>
      <c r="L628" s="96"/>
      <c r="M628" s="96"/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-13.5</v>
      </c>
      <c r="H629">
        <v>1.2297107747635201E-4</v>
      </c>
      <c r="I629">
        <v>-1.5683121854901689</v>
      </c>
      <c r="J629">
        <v>-1.9285703926901851E-4</v>
      </c>
      <c r="K629" s="96"/>
      <c r="L629" s="96"/>
      <c r="M629" s="96"/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23.125297383283584</v>
      </c>
      <c r="H630">
        <v>1.2297107747635201E-4</v>
      </c>
      <c r="I630">
        <v>-0.46262279891245045</v>
      </c>
      <c r="J630">
        <v>-5.6889224047389762E-5</v>
      </c>
      <c r="K630" s="96"/>
      <c r="L630" s="96"/>
      <c r="M630" s="96"/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47.128236470128996</v>
      </c>
      <c r="H631">
        <v>3.1019731255295997E-5</v>
      </c>
      <c r="I631">
        <v>-0.20784945909446695</v>
      </c>
      <c r="J631">
        <v>-6.4474343626690029E-6</v>
      </c>
      <c r="K631" s="96"/>
      <c r="L631" s="96"/>
      <c r="M631" s="96"/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5.7894274271340755</v>
      </c>
      <c r="H632">
        <v>4.8749248570982405E-4</v>
      </c>
      <c r="I632">
        <v>-0.82449771015616913</v>
      </c>
      <c r="J632">
        <v>-4.019364381860889E-4</v>
      </c>
      <c r="K632" s="96"/>
      <c r="L632" s="96"/>
      <c r="M632" s="96"/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38.173409037888348</v>
      </c>
      <c r="H633">
        <v>4.8749248570982405E-4</v>
      </c>
      <c r="I633">
        <v>-0.28014527588193255</v>
      </c>
      <c r="J633">
        <v>-1.3656871689954773E-4</v>
      </c>
      <c r="K633" s="96"/>
      <c r="L633" s="96"/>
      <c r="M633" s="96"/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62.121224667943643</v>
      </c>
      <c r="H634">
        <v>1.2297107747635201E-4</v>
      </c>
      <c r="I634">
        <v>-0.12609653823428182</v>
      </c>
      <c r="J634">
        <v>-1.5506227172707654E-5</v>
      </c>
      <c r="K634" s="96"/>
      <c r="L634" s="96"/>
      <c r="M634" s="96"/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-2.8271561560562226</v>
      </c>
      <c r="H635">
        <v>4.8749248570982405E-4</v>
      </c>
      <c r="I635">
        <v>-1.0988218260066602</v>
      </c>
      <c r="J635">
        <v>-5.3566738331219457E-4</v>
      </c>
      <c r="K635" s="96"/>
      <c r="L635" s="96"/>
      <c r="M635" s="96"/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30.170767819639458</v>
      </c>
      <c r="H636">
        <v>4.8749248570982405E-4</v>
      </c>
      <c r="I636">
        <v>-0.36579132419409571</v>
      </c>
      <c r="J636">
        <v>-1.7832052188246781E-4</v>
      </c>
      <c r="K636" s="96"/>
      <c r="L636" s="96"/>
      <c r="M636" s="96"/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54.138619457925202</v>
      </c>
      <c r="H637">
        <v>1.2297107747635201E-4</v>
      </c>
      <c r="I637">
        <v>-0.16453686202898121</v>
      </c>
      <c r="J637">
        <v>-2.0233275208281688E-5</v>
      </c>
      <c r="K637" s="96"/>
      <c r="L637" s="96"/>
      <c r="M637" s="96"/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-15</v>
      </c>
      <c r="H638">
        <v>1.2297107747635201E-4</v>
      </c>
      <c r="I638">
        <v>-1.6487212707001282</v>
      </c>
      <c r="J638">
        <v>-2.0274503111617498E-4</v>
      </c>
      <c r="K638" s="96"/>
      <c r="L638" s="96"/>
      <c r="M638" s="96"/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22.113980510855601</v>
      </c>
      <c r="H639">
        <v>1.2297107747635201E-4</v>
      </c>
      <c r="I639">
        <v>-0.47848391520285261</v>
      </c>
      <c r="J639">
        <v>-5.883968260759823E-5</v>
      </c>
      <c r="K639" s="96"/>
      <c r="L639" s="96"/>
      <c r="M639" s="96"/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46.156014247906782</v>
      </c>
      <c r="H640">
        <v>3.1019731255295997E-5</v>
      </c>
      <c r="I640">
        <v>-0.21469565576847705</v>
      </c>
      <c r="J640">
        <v>-6.6598015436176975E-6</v>
      </c>
      <c r="K640" s="96"/>
      <c r="L640" s="96"/>
      <c r="M640" s="96"/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3.9528339165539883</v>
      </c>
      <c r="H641">
        <v>1.2297107747635201E-4</v>
      </c>
      <c r="I641">
        <v>-0.87655035117269509</v>
      </c>
      <c r="J641">
        <v>-1.0779034114598105E-4</v>
      </c>
      <c r="K641" s="96"/>
      <c r="L641" s="96"/>
      <c r="M641" s="96"/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36.542027007710026</v>
      </c>
      <c r="H642">
        <v>1.2297107747635201E-4</v>
      </c>
      <c r="I642">
        <v>-0.29580123105760925</v>
      </c>
      <c r="J642">
        <v>-3.6374996101985571E-5</v>
      </c>
      <c r="K642" s="96"/>
      <c r="L642" s="96"/>
      <c r="M642" s="96"/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60.500854297573269</v>
      </c>
      <c r="H643">
        <v>3.1019731255295997E-5</v>
      </c>
      <c r="I643">
        <v>-0.13309459762438156</v>
      </c>
      <c r="J643">
        <v>-4.1285586498400729E-6</v>
      </c>
      <c r="K643" s="96"/>
      <c r="L643" s="96"/>
      <c r="M643" s="96"/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-4.8344418980130897</v>
      </c>
      <c r="H644">
        <v>1.2297107747635201E-4</v>
      </c>
      <c r="I644">
        <v>-1.1748589093849577</v>
      </c>
      <c r="J644">
        <v>-1.4447366596976005E-4</v>
      </c>
      <c r="K644" s="96"/>
      <c r="L644" s="96"/>
      <c r="M644" s="96"/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28.485239698926158</v>
      </c>
      <c r="H645">
        <v>1.2297107747635201E-4</v>
      </c>
      <c r="I645">
        <v>-0.38693135073692142</v>
      </c>
      <c r="J645">
        <v>-4.7581365109499496E-5</v>
      </c>
      <c r="K645" s="96"/>
      <c r="L645" s="96"/>
      <c r="M645" s="96"/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52.518249087554828</v>
      </c>
      <c r="H646">
        <v>3.1019731255295997E-5</v>
      </c>
      <c r="I646">
        <v>-0.17366826839796598</v>
      </c>
      <c r="J646">
        <v>-5.387143013277519E-6</v>
      </c>
      <c r="K646" s="96"/>
      <c r="L646" s="96"/>
      <c r="M646" s="96"/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-17.5</v>
      </c>
      <c r="H647">
        <v>3.1019731255296003E-5</v>
      </c>
      <c r="I647">
        <v>-1.7920018256557555</v>
      </c>
      <c r="J647">
        <v>-5.5587415040841337E-5</v>
      </c>
      <c r="K647" s="96"/>
      <c r="L647" s="96"/>
      <c r="M647" s="96"/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20.428452390142294</v>
      </c>
      <c r="H648">
        <v>3.1019731255296003E-5</v>
      </c>
      <c r="I648">
        <v>-0.50613673799734904</v>
      </c>
      <c r="J648">
        <v>-1.5700225591109932E-5</v>
      </c>
      <c r="K648" s="96"/>
      <c r="L648" s="96"/>
      <c r="M648" s="96"/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44.535643877536401</v>
      </c>
      <c r="H649">
        <v>7.8247970734080004E-6</v>
      </c>
      <c r="I649">
        <v>-0.22661075645960563</v>
      </c>
      <c r="J649">
        <v>-1.7731831839478952E-6</v>
      </c>
      <c r="K649" s="96"/>
      <c r="L649" s="96"/>
      <c r="M649" s="96"/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7.4059773326964766</v>
      </c>
      <c r="H650">
        <v>4.8749248570982415E-4</v>
      </c>
      <c r="I650">
        <v>-0.78124544285832509</v>
      </c>
      <c r="J650">
        <v>-3.8085128288847727E-4</v>
      </c>
      <c r="K650" s="96"/>
      <c r="L650" s="96"/>
      <c r="M650" s="96"/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40.710746689948472</v>
      </c>
      <c r="H651">
        <v>4.8749248570982415E-4</v>
      </c>
      <c r="I651">
        <v>-0.25742550809936954</v>
      </c>
      <c r="J651">
        <v>-1.2549300082847614E-4</v>
      </c>
      <c r="K651" s="96"/>
      <c r="L651" s="96"/>
      <c r="M651" s="96"/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65.44112003492269</v>
      </c>
      <c r="H652">
        <v>1.2297107747635203E-4</v>
      </c>
      <c r="I652">
        <v>-0.11288669438963686</v>
      </c>
      <c r="J652">
        <v>-1.3881798441837309E-5</v>
      </c>
      <c r="K652" s="96"/>
      <c r="L652" s="96"/>
      <c r="M652" s="96"/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-1.3494421888744039</v>
      </c>
      <c r="H653">
        <v>4.8749248570982415E-4</v>
      </c>
      <c r="I653">
        <v>-1.0460084105569372</v>
      </c>
      <c r="J653">
        <v>-5.0992124013578353E-4</v>
      </c>
      <c r="K653" s="96"/>
      <c r="L653" s="96"/>
      <c r="M653" s="96"/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32.467288908290399</v>
      </c>
      <c r="H654">
        <v>4.8749248570982415E-4</v>
      </c>
      <c r="I654">
        <v>-0.33883467883374019</v>
      </c>
      <c r="J654">
        <v>-1.6517935982934994E-4</v>
      </c>
      <c r="K654" s="96"/>
      <c r="L654" s="96"/>
      <c r="M654" s="96"/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57.19766225326461</v>
      </c>
      <c r="H655">
        <v>1.2297107747635203E-4</v>
      </c>
      <c r="I655">
        <v>-0.14858638959488907</v>
      </c>
      <c r="J655">
        <v>-1.827182842680453E-5</v>
      </c>
      <c r="K655" s="96"/>
      <c r="L655" s="96"/>
      <c r="M655" s="96"/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-13.5</v>
      </c>
      <c r="H656">
        <v>1.2297107747635203E-4</v>
      </c>
      <c r="I656">
        <v>-1.5683121854901689</v>
      </c>
      <c r="J656">
        <v>-1.9285703926901854E-4</v>
      </c>
      <c r="K656" s="96"/>
      <c r="L656" s="96"/>
      <c r="M656" s="96"/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24.171574610857288</v>
      </c>
      <c r="H657">
        <v>1.2297107747635203E-4</v>
      </c>
      <c r="I657">
        <v>-0.44676651721008565</v>
      </c>
      <c r="J657">
        <v>-5.4939360001681403E-5</v>
      </c>
      <c r="K657" s="96"/>
      <c r="L657" s="96"/>
      <c r="M657" s="96"/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48.954204471606545</v>
      </c>
      <c r="H658">
        <v>3.1019731255296003E-5</v>
      </c>
      <c r="I658">
        <v>-0.19557588511397611</v>
      </c>
      <c r="J658">
        <v>-6.0667113962521856E-6</v>
      </c>
      <c r="K658" s="96"/>
      <c r="L658" s="96"/>
      <c r="M658" s="96"/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6.3249443487904546</v>
      </c>
      <c r="H659">
        <v>4.8749248570982415E-4</v>
      </c>
      <c r="I659">
        <v>-0.80991054288856101</v>
      </c>
      <c r="J659">
        <v>-3.9482530375533774E-4</v>
      </c>
      <c r="K659" s="96"/>
      <c r="L659" s="96"/>
      <c r="M659" s="96"/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39.738524467726251</v>
      </c>
      <c r="H660">
        <v>4.8749248570982415E-4</v>
      </c>
      <c r="I660">
        <v>-0.26590465288537679</v>
      </c>
      <c r="J660">
        <v>-1.2962652019690029E-4</v>
      </c>
      <c r="K660" s="96"/>
      <c r="L660" s="96"/>
      <c r="M660" s="96"/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64.468897812700462</v>
      </c>
      <c r="H661">
        <v>1.2297107747635203E-4</v>
      </c>
      <c r="I661">
        <v>-0.1166049841318251</v>
      </c>
      <c r="J661">
        <v>-1.4339040537803464E-5</v>
      </c>
      <c r="K661" s="96"/>
      <c r="L661" s="96"/>
      <c r="M661" s="96"/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-2.5235112696740813</v>
      </c>
      <c r="H662">
        <v>4.8749248570982415E-4</v>
      </c>
      <c r="I662">
        <v>-1.0877561998704957</v>
      </c>
      <c r="J662">
        <v>-5.3027297372114021E-4</v>
      </c>
      <c r="K662" s="96"/>
      <c r="L662" s="96"/>
      <c r="M662" s="96"/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31.478614354106583</v>
      </c>
      <c r="H663">
        <v>4.8749248570982415E-4</v>
      </c>
      <c r="I663">
        <v>-0.35018729287107037</v>
      </c>
      <c r="J663">
        <v>-1.7071367386571227E-4</v>
      </c>
      <c r="K663" s="96"/>
      <c r="L663" s="96"/>
      <c r="M663" s="96"/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56.225440031042389</v>
      </c>
      <c r="H664">
        <v>1.2297107747635203E-4</v>
      </c>
      <c r="I664">
        <v>-0.15348056469007357</v>
      </c>
      <c r="J664">
        <v>-1.8873670411617297E-5</v>
      </c>
      <c r="K664" s="96"/>
      <c r="L664" s="96"/>
      <c r="M664" s="96"/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-15</v>
      </c>
      <c r="H665">
        <v>1.2297107747635203E-4</v>
      </c>
      <c r="I665">
        <v>-1.6487212707001282</v>
      </c>
      <c r="J665">
        <v>-2.0274503111617504E-4</v>
      </c>
      <c r="K665" s="96"/>
      <c r="L665" s="96"/>
      <c r="M665" s="96"/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23.160257738429305</v>
      </c>
      <c r="H666">
        <v>1.2297107747635203E-4</v>
      </c>
      <c r="I666">
        <v>-0.46208399767318781</v>
      </c>
      <c r="J666">
        <v>-5.6822967078452054E-5</v>
      </c>
      <c r="K666" s="96"/>
      <c r="L666" s="96"/>
      <c r="M666" s="96"/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47.981982249384316</v>
      </c>
      <c r="H667">
        <v>3.1019731255296003E-5</v>
      </c>
      <c r="I667">
        <v>-0.20201781178541073</v>
      </c>
      <c r="J667">
        <v>-6.2665382303664104E-6</v>
      </c>
      <c r="K667" s="96"/>
      <c r="L667" s="96"/>
      <c r="M667" s="96"/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4.5016630630761707</v>
      </c>
      <c r="H668">
        <v>1.2297107747635203E-4</v>
      </c>
      <c r="I668">
        <v>-0.86066026402571694</v>
      </c>
      <c r="J668">
        <v>-1.0583632000832403E-4</v>
      </c>
      <c r="K668" s="96"/>
      <c r="L668" s="96"/>
      <c r="M668" s="96"/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38.111442849070556</v>
      </c>
      <c r="H669">
        <v>1.2297107747635203E-4</v>
      </c>
      <c r="I669">
        <v>-0.28072452507579332</v>
      </c>
      <c r="J669">
        <v>-3.452099732260751E-5</v>
      </c>
      <c r="K669" s="96"/>
      <c r="L669" s="96"/>
      <c r="M669" s="96"/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62.848527442330102</v>
      </c>
      <c r="H670">
        <v>3.1019731255296003E-5</v>
      </c>
      <c r="I670">
        <v>-0.12307628473660487</v>
      </c>
      <c r="J670">
        <v>-3.8177932764297725E-6</v>
      </c>
      <c r="K670" s="96"/>
      <c r="L670" s="96"/>
      <c r="M670" s="96"/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-4.5221240436401819</v>
      </c>
      <c r="H671">
        <v>1.2297107747635203E-4</v>
      </c>
      <c r="I671">
        <v>-1.162691374459393</v>
      </c>
      <c r="J671">
        <v>-1.4297741108973224E-4</v>
      </c>
      <c r="K671" s="96"/>
      <c r="L671" s="96"/>
      <c r="M671" s="96"/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29.793086233393275</v>
      </c>
      <c r="H672">
        <v>1.2297107747635203E-4</v>
      </c>
      <c r="I672">
        <v>-0.37042552209251195</v>
      </c>
      <c r="J672">
        <v>-4.5551625576456439E-5</v>
      </c>
      <c r="K672" s="96"/>
      <c r="L672" s="96"/>
      <c r="M672" s="96"/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54.605069660672022</v>
      </c>
      <c r="H673">
        <v>3.1019731255296003E-5</v>
      </c>
      <c r="I673">
        <v>-0.16199837272800399</v>
      </c>
      <c r="J673">
        <v>-5.0251459858179575E-6</v>
      </c>
      <c r="K673" s="96"/>
      <c r="L673" s="96"/>
      <c r="M673" s="96"/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-17.5</v>
      </c>
      <c r="H674">
        <v>3.1019731255296003E-5</v>
      </c>
      <c r="I674">
        <v>-1.7920018256557555</v>
      </c>
      <c r="J674">
        <v>-5.5587415040841337E-5</v>
      </c>
      <c r="K674" s="96"/>
      <c r="L674" s="96"/>
      <c r="M674" s="96"/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21.474729617715997</v>
      </c>
      <c r="H675">
        <v>3.1019731255296003E-5</v>
      </c>
      <c r="I675">
        <v>-0.48878902682429731</v>
      </c>
      <c r="J675">
        <v>-1.5162104252627373E-5</v>
      </c>
      <c r="K675" s="96"/>
      <c r="L675" s="96"/>
      <c r="M675" s="96"/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46.36161187901395</v>
      </c>
      <c r="H676">
        <v>7.8247970734080021E-6</v>
      </c>
      <c r="I676">
        <v>-0.21322932214508161</v>
      </c>
      <c r="J676">
        <v>-1.6684761758856067E-6</v>
      </c>
      <c r="K676" s="96"/>
      <c r="L676" s="96"/>
      <c r="M676" s="96"/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7.4059773326964766</v>
      </c>
      <c r="H677">
        <v>4.8749248570982415E-4</v>
      </c>
      <c r="I677">
        <v>-0.78124544285832509</v>
      </c>
      <c r="J677">
        <v>-3.8085128288847727E-4</v>
      </c>
      <c r="K677" s="96"/>
      <c r="L677" s="96"/>
      <c r="M677" s="96"/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40.710746689948472</v>
      </c>
      <c r="H678">
        <v>4.8749248570982415E-4</v>
      </c>
      <c r="I678">
        <v>-0.25742550809936954</v>
      </c>
      <c r="J678">
        <v>-1.2549300082847614E-4</v>
      </c>
      <c r="K678" s="96"/>
      <c r="L678" s="96"/>
      <c r="M678" s="96"/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65.44112003492269</v>
      </c>
      <c r="H679">
        <v>1.2297107747635203E-4</v>
      </c>
      <c r="I679">
        <v>-0.11288669438963686</v>
      </c>
      <c r="J679">
        <v>-1.3881798441837309E-5</v>
      </c>
      <c r="K679" s="96"/>
      <c r="L679" s="96"/>
      <c r="M679" s="96"/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-1.3494421888744039</v>
      </c>
      <c r="H680">
        <v>4.8749248570982415E-4</v>
      </c>
      <c r="I680">
        <v>-1.0460084105569372</v>
      </c>
      <c r="J680">
        <v>-5.0992124013578353E-4</v>
      </c>
      <c r="K680" s="96"/>
      <c r="L680" s="96"/>
      <c r="M680" s="96"/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32.467288908290399</v>
      </c>
      <c r="H681">
        <v>4.8749248570982415E-4</v>
      </c>
      <c r="I681">
        <v>-0.33883467883374019</v>
      </c>
      <c r="J681">
        <v>-1.6517935982934994E-4</v>
      </c>
      <c r="K681" s="96"/>
      <c r="L681" s="96"/>
      <c r="M681" s="96"/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57.19766225326461</v>
      </c>
      <c r="H682">
        <v>1.2297107747635203E-4</v>
      </c>
      <c r="I682">
        <v>-0.14858638959488907</v>
      </c>
      <c r="J682">
        <v>-1.827182842680453E-5</v>
      </c>
      <c r="K682" s="96"/>
      <c r="L682" s="96"/>
      <c r="M682" s="96"/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-13.5</v>
      </c>
      <c r="H683">
        <v>1.2297107747635203E-4</v>
      </c>
      <c r="I683">
        <v>-1.5683121854901689</v>
      </c>
      <c r="J683">
        <v>-1.9285703926901854E-4</v>
      </c>
      <c r="K683" s="96"/>
      <c r="L683" s="96"/>
      <c r="M683" s="96"/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24.171574610857288</v>
      </c>
      <c r="H684">
        <v>1.2297107747635203E-4</v>
      </c>
      <c r="I684">
        <v>-0.44676651721008565</v>
      </c>
      <c r="J684">
        <v>-5.4939360001681403E-5</v>
      </c>
      <c r="K684" s="96"/>
      <c r="L684" s="96"/>
      <c r="M684" s="96"/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48.954204471606545</v>
      </c>
      <c r="H685">
        <v>3.1019731255296003E-5</v>
      </c>
      <c r="I685">
        <v>-0.19557588511397611</v>
      </c>
      <c r="J685">
        <v>-6.0667113962521856E-6</v>
      </c>
      <c r="K685" s="96"/>
      <c r="L685" s="96"/>
      <c r="M685" s="96"/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6.3249443487904546</v>
      </c>
      <c r="H686">
        <v>4.8749248570982415E-4</v>
      </c>
      <c r="I686">
        <v>-0.80991054288856101</v>
      </c>
      <c r="J686">
        <v>-3.9482530375533774E-4</v>
      </c>
      <c r="K686" s="96"/>
      <c r="L686" s="96"/>
      <c r="M686" s="96"/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39.738524467726251</v>
      </c>
      <c r="H687">
        <v>4.8749248570982415E-4</v>
      </c>
      <c r="I687">
        <v>-0.26590465288537679</v>
      </c>
      <c r="J687">
        <v>-1.2962652019690029E-4</v>
      </c>
      <c r="K687" s="96"/>
      <c r="L687" s="96"/>
      <c r="M687" s="96"/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64.468897812700462</v>
      </c>
      <c r="H688">
        <v>1.2297107747635203E-4</v>
      </c>
      <c r="I688">
        <v>-0.1166049841318251</v>
      </c>
      <c r="J688">
        <v>-1.4339040537803464E-5</v>
      </c>
      <c r="K688" s="96"/>
      <c r="L688" s="96"/>
      <c r="M688" s="96"/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-2.5235112696740813</v>
      </c>
      <c r="H689">
        <v>4.8749248570982415E-4</v>
      </c>
      <c r="I689">
        <v>-1.0877561998704957</v>
      </c>
      <c r="J689">
        <v>-5.3027297372114021E-4</v>
      </c>
      <c r="K689" s="96"/>
      <c r="L689" s="96"/>
      <c r="M689" s="96"/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31.478614354106583</v>
      </c>
      <c r="H690">
        <v>4.8749248570982415E-4</v>
      </c>
      <c r="I690">
        <v>-0.35018729287107037</v>
      </c>
      <c r="J690">
        <v>-1.7071367386571227E-4</v>
      </c>
      <c r="K690" s="96"/>
      <c r="L690" s="96"/>
      <c r="M690" s="96"/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56.225440031042389</v>
      </c>
      <c r="H691">
        <v>1.2297107747635203E-4</v>
      </c>
      <c r="I691">
        <v>-0.15348056469007357</v>
      </c>
      <c r="J691">
        <v>-1.8873670411617297E-5</v>
      </c>
      <c r="K691" s="96"/>
      <c r="L691" s="96"/>
      <c r="M691" s="96"/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-15</v>
      </c>
      <c r="H692">
        <v>1.2297107747635203E-4</v>
      </c>
      <c r="I692">
        <v>-1.6487212707001282</v>
      </c>
      <c r="J692">
        <v>-2.0274503111617504E-4</v>
      </c>
      <c r="K692" s="96"/>
      <c r="L692" s="96"/>
      <c r="M692" s="96"/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23.160257738429305</v>
      </c>
      <c r="H693">
        <v>1.2297107747635203E-4</v>
      </c>
      <c r="I693">
        <v>-0.46208399767318781</v>
      </c>
      <c r="J693">
        <v>-5.6822967078452054E-5</v>
      </c>
      <c r="K693" s="96"/>
      <c r="L693" s="96"/>
      <c r="M693" s="96"/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47.981982249384316</v>
      </c>
      <c r="H694">
        <v>3.1019731255296003E-5</v>
      </c>
      <c r="I694">
        <v>-0.20201781178541073</v>
      </c>
      <c r="J694">
        <v>-6.2665382303664104E-6</v>
      </c>
      <c r="K694" s="96"/>
      <c r="L694" s="96"/>
      <c r="M694" s="96"/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4.5016630630761707</v>
      </c>
      <c r="H695">
        <v>1.2297107747635203E-4</v>
      </c>
      <c r="I695">
        <v>-0.86066026402571694</v>
      </c>
      <c r="J695">
        <v>-1.0583632000832403E-4</v>
      </c>
      <c r="K695" s="96"/>
      <c r="L695" s="96"/>
      <c r="M695" s="96"/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38.111442849070556</v>
      </c>
      <c r="H696">
        <v>1.2297107747635203E-4</v>
      </c>
      <c r="I696">
        <v>-0.28072452507579332</v>
      </c>
      <c r="J696">
        <v>-3.452099732260751E-5</v>
      </c>
      <c r="K696" s="96"/>
      <c r="L696" s="96"/>
      <c r="M696" s="96"/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62.848527442330102</v>
      </c>
      <c r="H697">
        <v>3.1019731255296003E-5</v>
      </c>
      <c r="I697">
        <v>-0.12307628473660487</v>
      </c>
      <c r="J697">
        <v>-3.8177932764297725E-6</v>
      </c>
      <c r="K697" s="96"/>
      <c r="L697" s="96"/>
      <c r="M697" s="96"/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-4.5221240436401819</v>
      </c>
      <c r="H698">
        <v>1.2297107747635203E-4</v>
      </c>
      <c r="I698">
        <v>-1.162691374459393</v>
      </c>
      <c r="J698">
        <v>-1.4297741108973224E-4</v>
      </c>
      <c r="K698" s="96"/>
      <c r="L698" s="96"/>
      <c r="M698" s="96"/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29.793086233393275</v>
      </c>
      <c r="H699">
        <v>1.2297107747635203E-4</v>
      </c>
      <c r="I699">
        <v>-0.37042552209251195</v>
      </c>
      <c r="J699">
        <v>-4.5551625576456439E-5</v>
      </c>
      <c r="K699" s="96"/>
      <c r="L699" s="96"/>
      <c r="M699" s="96"/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54.605069660672022</v>
      </c>
      <c r="H700">
        <v>3.1019731255296003E-5</v>
      </c>
      <c r="I700">
        <v>-0.16199837272800399</v>
      </c>
      <c r="J700">
        <v>-5.0251459858179575E-6</v>
      </c>
      <c r="K700" s="96"/>
      <c r="L700" s="96"/>
      <c r="M700" s="96"/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-17.5</v>
      </c>
      <c r="H701">
        <v>3.1019731255296003E-5</v>
      </c>
      <c r="I701">
        <v>-1.7920018256557555</v>
      </c>
      <c r="J701">
        <v>-5.5587415040841337E-5</v>
      </c>
      <c r="K701" s="96"/>
      <c r="L701" s="96"/>
      <c r="M701" s="96"/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21.474729617715997</v>
      </c>
      <c r="H702">
        <v>3.1019731255296003E-5</v>
      </c>
      <c r="I702">
        <v>-0.48878902682429731</v>
      </c>
      <c r="J702">
        <v>-1.5162104252627373E-5</v>
      </c>
      <c r="K702" s="96"/>
      <c r="L702" s="96"/>
      <c r="M702" s="96"/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46.36161187901395</v>
      </c>
      <c r="H703">
        <v>7.8247970734080021E-6</v>
      </c>
      <c r="I703">
        <v>-0.21322932214508161</v>
      </c>
      <c r="J703">
        <v>-1.6684761758856067E-6</v>
      </c>
      <c r="K703" s="96"/>
      <c r="L703" s="96"/>
      <c r="M703" s="96"/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7.4059773326964766</v>
      </c>
      <c r="H704">
        <v>1.2297107747635203E-4</v>
      </c>
      <c r="I704">
        <v>-0.78124544285832509</v>
      </c>
      <c r="J704">
        <v>-9.6070593881778044E-5</v>
      </c>
      <c r="K704" s="96"/>
      <c r="L704" s="96"/>
      <c r="M704" s="96"/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40.710746689948472</v>
      </c>
      <c r="H705">
        <v>1.2297107747635203E-4</v>
      </c>
      <c r="I705">
        <v>-0.25742550809936954</v>
      </c>
      <c r="J705">
        <v>-3.1655892100876861E-5</v>
      </c>
      <c r="K705" s="96"/>
      <c r="L705" s="96"/>
      <c r="M705" s="96"/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65.44112003492269</v>
      </c>
      <c r="H706">
        <v>3.1019731255296003E-5</v>
      </c>
      <c r="I706">
        <v>-0.11288669438963686</v>
      </c>
      <c r="J706">
        <v>-3.5017149222652666E-6</v>
      </c>
      <c r="K706" s="96"/>
      <c r="L706" s="96"/>
      <c r="M706" s="96"/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-1.3494421888744039</v>
      </c>
      <c r="H707">
        <v>1.2297107747635203E-4</v>
      </c>
      <c r="I707">
        <v>-1.0460084105569372</v>
      </c>
      <c r="J707">
        <v>-1.2862878129551298E-4</v>
      </c>
      <c r="K707" s="96"/>
      <c r="L707" s="96"/>
      <c r="M707" s="96"/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32.467288908290399</v>
      </c>
      <c r="H708">
        <v>1.2297107747635203E-4</v>
      </c>
      <c r="I708">
        <v>-0.33883467883374019</v>
      </c>
      <c r="J708">
        <v>-4.1666865542538721E-5</v>
      </c>
      <c r="K708" s="96"/>
      <c r="L708" s="96"/>
      <c r="M708" s="96"/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57.19766225326461</v>
      </c>
      <c r="H709">
        <v>3.1019731255296003E-5</v>
      </c>
      <c r="I709">
        <v>-0.14858638959488907</v>
      </c>
      <c r="J709">
        <v>-4.6091098734281694E-6</v>
      </c>
      <c r="K709" s="96"/>
      <c r="L709" s="96"/>
      <c r="M709" s="96"/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-13.5</v>
      </c>
      <c r="H710">
        <v>3.1019731255296003E-5</v>
      </c>
      <c r="I710">
        <v>-1.5683121854901689</v>
      </c>
      <c r="J710">
        <v>-4.8648622518310974E-5</v>
      </c>
      <c r="K710" s="96"/>
      <c r="L710" s="96"/>
      <c r="M710" s="96"/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24.171574610857288</v>
      </c>
      <c r="H711">
        <v>3.1019731255296003E-5</v>
      </c>
      <c r="I711">
        <v>-0.44676651721008565</v>
      </c>
      <c r="J711">
        <v>-1.3858577297721434E-5</v>
      </c>
      <c r="K711" s="96"/>
      <c r="L711" s="96"/>
      <c r="M711" s="96"/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48.954204471606545</v>
      </c>
      <c r="H712">
        <v>7.8247970734080021E-6</v>
      </c>
      <c r="I712">
        <v>-0.19557588511397611</v>
      </c>
      <c r="J712">
        <v>-1.53034161346902E-6</v>
      </c>
      <c r="K712" s="96"/>
      <c r="L712" s="96"/>
      <c r="M712" s="96"/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6.3249443487904546</v>
      </c>
      <c r="H713">
        <v>1.2297107747635203E-4</v>
      </c>
      <c r="I713">
        <v>-0.80991054288856101</v>
      </c>
      <c r="J713">
        <v>-9.9595572118463577E-5</v>
      </c>
      <c r="K713" s="96"/>
      <c r="L713" s="96"/>
      <c r="M713" s="96"/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39.738524467726251</v>
      </c>
      <c r="H714">
        <v>1.2297107747635203E-4</v>
      </c>
      <c r="I714">
        <v>-0.26590465288537679</v>
      </c>
      <c r="J714">
        <v>-3.2698581671290165E-5</v>
      </c>
      <c r="K714" s="96"/>
      <c r="L714" s="96"/>
      <c r="M714" s="96"/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64.468897812700462</v>
      </c>
      <c r="H715">
        <v>3.1019731255296003E-5</v>
      </c>
      <c r="I715">
        <v>-0.1166049841318251</v>
      </c>
      <c r="J715">
        <v>-3.6170552707972696E-6</v>
      </c>
      <c r="K715" s="96"/>
      <c r="L715" s="96"/>
      <c r="M715" s="96"/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-2.5235112696740813</v>
      </c>
      <c r="H716">
        <v>1.2297107747635203E-4</v>
      </c>
      <c r="I716">
        <v>-1.0877561998704957</v>
      </c>
      <c r="J716">
        <v>-1.3376255192965698E-4</v>
      </c>
      <c r="K716" s="96"/>
      <c r="L716" s="96"/>
      <c r="M716" s="96"/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31.478614354106583</v>
      </c>
      <c r="H717">
        <v>1.2297107747635203E-4</v>
      </c>
      <c r="I717">
        <v>-0.35018729287107037</v>
      </c>
      <c r="J717">
        <v>-4.3062908722882372E-5</v>
      </c>
      <c r="K717" s="96"/>
      <c r="L717" s="96"/>
      <c r="M717" s="96"/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56.225440031042389</v>
      </c>
      <c r="H718">
        <v>3.1019731255296003E-5</v>
      </c>
      <c r="I718">
        <v>-0.15348056469007357</v>
      </c>
      <c r="J718">
        <v>-4.760925869597155E-6</v>
      </c>
      <c r="K718" s="96"/>
      <c r="L718" s="96"/>
      <c r="M718" s="96"/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-15</v>
      </c>
      <c r="H719">
        <v>3.1019731255296003E-5</v>
      </c>
      <c r="I719">
        <v>-1.6487212707001282</v>
      </c>
      <c r="J719">
        <v>-5.114289073200811E-5</v>
      </c>
      <c r="K719" s="96"/>
      <c r="L719" s="96"/>
      <c r="M719" s="96"/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23.160257738429305</v>
      </c>
      <c r="H720">
        <v>3.1019731255296003E-5</v>
      </c>
      <c r="I720">
        <v>-0.46208399767318781</v>
      </c>
      <c r="J720">
        <v>-1.4333721425195109E-5</v>
      </c>
      <c r="K720" s="96"/>
      <c r="L720" s="96"/>
      <c r="M720" s="96"/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47.981982249384316</v>
      </c>
      <c r="H721">
        <v>7.8247970734080021E-6</v>
      </c>
      <c r="I721">
        <v>-0.20201781178541073</v>
      </c>
      <c r="J721">
        <v>-1.5807483824347705E-6</v>
      </c>
      <c r="K721" s="96"/>
      <c r="L721" s="96"/>
      <c r="M721" s="96"/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4.5016630630761707</v>
      </c>
      <c r="H722">
        <v>3.1019731255296003E-5</v>
      </c>
      <c r="I722">
        <v>-0.86066026402571694</v>
      </c>
      <c r="J722">
        <v>-2.6697450092189843E-5</v>
      </c>
      <c r="K722" s="96"/>
      <c r="L722" s="96"/>
      <c r="M722" s="96"/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38.111442849070556</v>
      </c>
      <c r="H723">
        <v>3.1019731255296003E-5</v>
      </c>
      <c r="I723">
        <v>-0.28072452507579332</v>
      </c>
      <c r="J723">
        <v>-8.707999324621712E-6</v>
      </c>
      <c r="K723" s="96"/>
      <c r="L723" s="96"/>
      <c r="M723" s="96"/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62.848527442330102</v>
      </c>
      <c r="H724">
        <v>7.8247970734080021E-6</v>
      </c>
      <c r="I724">
        <v>-0.12307628473660487</v>
      </c>
      <c r="J724">
        <v>-9.6304695261291579E-7</v>
      </c>
      <c r="K724" s="96"/>
      <c r="L724" s="96"/>
      <c r="M724" s="96"/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-4.5221240436401819</v>
      </c>
      <c r="H725">
        <v>3.1019731255296003E-5</v>
      </c>
      <c r="I725">
        <v>-1.162691374459393</v>
      </c>
      <c r="J725">
        <v>-3.6066373968581101E-5</v>
      </c>
      <c r="K725" s="96"/>
      <c r="L725" s="96"/>
      <c r="M725" s="96"/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29.793086233393275</v>
      </c>
      <c r="H726">
        <v>3.1019731255296003E-5</v>
      </c>
      <c r="I726">
        <v>-0.37042552209251195</v>
      </c>
      <c r="J726">
        <v>-1.1490500145412433E-5</v>
      </c>
      <c r="K726" s="96"/>
      <c r="L726" s="96"/>
      <c r="M726" s="96"/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54.605069660672022</v>
      </c>
      <c r="H727">
        <v>7.8247970734080021E-6</v>
      </c>
      <c r="I727">
        <v>-0.16199837272800399</v>
      </c>
      <c r="J727">
        <v>-1.2676043928189443E-6</v>
      </c>
      <c r="K727" s="96"/>
      <c r="L727" s="96"/>
      <c r="M727" s="96"/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-17.5</v>
      </c>
      <c r="H728">
        <v>7.8247970734080004E-6</v>
      </c>
      <c r="I728">
        <v>-1.7920018256557555</v>
      </c>
      <c r="J728">
        <v>-1.4022050640932949E-5</v>
      </c>
      <c r="K728" s="96"/>
      <c r="L728" s="96"/>
      <c r="M728" s="96"/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21.474729617715997</v>
      </c>
      <c r="H729">
        <v>7.8247970734080004E-6</v>
      </c>
      <c r="I729">
        <v>-0.48878902682429731</v>
      </c>
      <c r="J729">
        <v>-3.8246749466087062E-6</v>
      </c>
      <c r="K729" s="96"/>
      <c r="L729" s="96"/>
      <c r="M729" s="96"/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46.36161187901395</v>
      </c>
      <c r="H730">
        <v>1.9738226851840002E-6</v>
      </c>
      <c r="I730">
        <v>-0.21322932214508161</v>
      </c>
      <c r="J730">
        <v>-4.2087687319636916E-7</v>
      </c>
      <c r="K730" s="96"/>
      <c r="L730" s="96"/>
      <c r="M730" s="9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730"/>
  <sheetViews>
    <sheetView topLeftCell="B1" workbookViewId="0">
      <selection activeCell="R13" sqref="R13:V16"/>
    </sheetView>
  </sheetViews>
  <sheetFormatPr defaultRowHeight="14.25" x14ac:dyDescent="0.45"/>
  <sheetData>
    <row r="1" spans="1:22" x14ac:dyDescent="0.45">
      <c r="G1" t="s">
        <v>84</v>
      </c>
      <c r="H1" t="s">
        <v>75</v>
      </c>
      <c r="I1" t="s">
        <v>87</v>
      </c>
      <c r="J1" t="s">
        <v>88</v>
      </c>
      <c r="K1" s="96" t="s">
        <v>89</v>
      </c>
      <c r="L1" s="96" t="s">
        <v>91</v>
      </c>
      <c r="M1" s="96" t="s">
        <v>90</v>
      </c>
      <c r="N1" s="96" t="s">
        <v>89</v>
      </c>
      <c r="O1" s="96" t="s">
        <v>91</v>
      </c>
      <c r="P1" s="96" t="s">
        <v>90</v>
      </c>
    </row>
    <row r="2" spans="1:22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0.83699321245900071</v>
      </c>
      <c r="H2">
        <v>7.6612180056514559E-3</v>
      </c>
      <c r="I2">
        <v>-0.97248583052625426</v>
      </c>
      <c r="J2">
        <v>-7.4504259550686493E-3</v>
      </c>
      <c r="K2" s="96">
        <f>IF(A2=3,1,0)</f>
        <v>0</v>
      </c>
      <c r="L2" s="96">
        <f>IF(A2=2,1,0)</f>
        <v>0</v>
      </c>
      <c r="M2" s="96">
        <f>IF(A2=1,1,0)</f>
        <v>1</v>
      </c>
      <c r="N2">
        <f>SUMPRODUCT($G$2:$G$730,$H$2:$H$730,K2:K730)</f>
        <v>1.5145395934864756</v>
      </c>
      <c r="O2">
        <f>SUMPRODUCT($G$2:$G$730,$H$2:$H$730,L2:L730)</f>
        <v>3.2361632064366441</v>
      </c>
      <c r="P2">
        <f t="shared" ref="P2" si="0">SUMPRODUCT($G$2:$G$730,$H$2:$H$730,M2:M730)</f>
        <v>1.2523697995628782</v>
      </c>
      <c r="R2" s="97" t="s">
        <v>86</v>
      </c>
      <c r="S2" s="97">
        <f>SUM(J2:J730)</f>
        <v>-0.83356251068006326</v>
      </c>
    </row>
    <row r="3" spans="1:22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2.8209796373769995</v>
      </c>
      <c r="H3">
        <v>7.6612180056514559E-3</v>
      </c>
      <c r="I3">
        <v>-0.91025303782550437</v>
      </c>
      <c r="J3">
        <v>-6.9736469630876895E-3</v>
      </c>
      <c r="K3" s="96">
        <f t="shared" ref="K3:K66" si="1">IF(A3=3,1,0)</f>
        <v>0</v>
      </c>
      <c r="L3" s="96">
        <f t="shared" ref="L3:L66" si="2">IF(A3=2,1,0)</f>
        <v>0</v>
      </c>
      <c r="M3" s="96">
        <f t="shared" ref="M3:M66" si="3">IF(A3=1,1,0)</f>
        <v>1</v>
      </c>
      <c r="R3" s="97"/>
      <c r="S3" s="97"/>
    </row>
    <row r="4" spans="1:22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4.308969456065503</v>
      </c>
      <c r="H4">
        <v>1.932559496921088E-3</v>
      </c>
      <c r="I4">
        <v>-0.86620618035855235</v>
      </c>
      <c r="J4">
        <v>-1.6739949801436612E-3</v>
      </c>
      <c r="K4" s="96">
        <f t="shared" si="1"/>
        <v>0</v>
      </c>
      <c r="L4" s="96">
        <f t="shared" si="2"/>
        <v>0</v>
      </c>
      <c r="M4" s="96">
        <f t="shared" si="3"/>
        <v>1</v>
      </c>
      <c r="R4" s="97" t="s">
        <v>92</v>
      </c>
      <c r="S4" s="97">
        <f>-LN(-1*S2)/(1/risk_tol)</f>
        <v>5.4613974536091421</v>
      </c>
    </row>
    <row r="5" spans="1:22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0.33771030993320372</v>
      </c>
      <c r="H5">
        <v>7.6612180056514559E-3</v>
      </c>
      <c r="I5">
        <v>-0.98880611272868502</v>
      </c>
      <c r="J5">
        <v>-7.5754591949352247E-3</v>
      </c>
      <c r="K5" s="96">
        <f t="shared" si="1"/>
        <v>0</v>
      </c>
      <c r="L5" s="96">
        <f t="shared" si="2"/>
        <v>0</v>
      </c>
      <c r="M5" s="96">
        <f t="shared" si="3"/>
        <v>1</v>
      </c>
      <c r="R5" s="97"/>
      <c r="S5" s="97"/>
    </row>
    <row r="6" spans="1:22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2.3249830311475019</v>
      </c>
      <c r="H6">
        <v>7.6612180056514559E-3</v>
      </c>
      <c r="I6">
        <v>-0.92542754784460735</v>
      </c>
      <c r="J6">
        <v>-7.0899021924729798E-3</v>
      </c>
      <c r="K6" s="96">
        <f t="shared" si="1"/>
        <v>0</v>
      </c>
      <c r="L6" s="96">
        <f t="shared" si="2"/>
        <v>0</v>
      </c>
      <c r="M6" s="96">
        <f t="shared" si="3"/>
        <v>1</v>
      </c>
      <c r="R6" s="97" t="s">
        <v>83</v>
      </c>
      <c r="S6" s="97">
        <f>SUMPRODUCT(G2:G730,H2:H730)</f>
        <v>6.0030725994859857</v>
      </c>
    </row>
    <row r="7" spans="1:22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3.8129728498360032</v>
      </c>
      <c r="H7">
        <v>1.932559496921088E-3</v>
      </c>
      <c r="I7">
        <v>-0.88064640062286481</v>
      </c>
      <c r="J7">
        <v>-1.7019015649530904E-3</v>
      </c>
      <c r="K7" s="96">
        <f t="shared" si="1"/>
        <v>0</v>
      </c>
      <c r="L7" s="96">
        <f t="shared" si="2"/>
        <v>0</v>
      </c>
      <c r="M7" s="96">
        <f t="shared" si="3"/>
        <v>1</v>
      </c>
    </row>
    <row r="8" spans="1:22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-0.25</v>
      </c>
      <c r="H8">
        <v>1.932559496921088E-3</v>
      </c>
      <c r="I8">
        <v>-1.008368152207447</v>
      </c>
      <c r="J8">
        <v>-1.9487314489412709E-3</v>
      </c>
      <c r="K8" s="96">
        <f t="shared" si="1"/>
        <v>0</v>
      </c>
      <c r="L8" s="96">
        <f t="shared" si="2"/>
        <v>0</v>
      </c>
      <c r="M8" s="96">
        <f t="shared" si="3"/>
        <v>1</v>
      </c>
    </row>
    <row r="9" spans="1:22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1.8289864249179999</v>
      </c>
      <c r="H9">
        <v>1.932559496921088E-3</v>
      </c>
      <c r="I9">
        <v>-0.94085502681272926</v>
      </c>
      <c r="J9">
        <v>-1.8182583172928848E-3</v>
      </c>
      <c r="K9" s="96">
        <f t="shared" si="1"/>
        <v>0</v>
      </c>
      <c r="L9" s="96">
        <f t="shared" si="2"/>
        <v>0</v>
      </c>
      <c r="M9" s="96">
        <f t="shared" si="3"/>
        <v>1</v>
      </c>
    </row>
    <row r="10" spans="1:22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3.3169762436065025</v>
      </c>
      <c r="H10">
        <v>4.8749248570982399E-4</v>
      </c>
      <c r="I10">
        <v>-0.89532734874852271</v>
      </c>
      <c r="J10">
        <v>-4.3646535476540382E-4</v>
      </c>
      <c r="K10" s="96">
        <f t="shared" si="1"/>
        <v>0</v>
      </c>
      <c r="L10" s="96">
        <f t="shared" si="2"/>
        <v>0</v>
      </c>
      <c r="M10" s="96">
        <f t="shared" si="3"/>
        <v>1</v>
      </c>
    </row>
    <row r="11" spans="1:22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0.83699321245900071</v>
      </c>
      <c r="H11">
        <v>7.6612180056514559E-3</v>
      </c>
      <c r="I11">
        <v>-0.97248583052625426</v>
      </c>
      <c r="J11">
        <v>-7.4504259550686493E-3</v>
      </c>
      <c r="K11" s="96">
        <f t="shared" si="1"/>
        <v>0</v>
      </c>
      <c r="L11" s="96">
        <f t="shared" si="2"/>
        <v>0</v>
      </c>
      <c r="M11" s="96">
        <f t="shared" si="3"/>
        <v>1</v>
      </c>
    </row>
    <row r="12" spans="1:22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2.8209796373769995</v>
      </c>
      <c r="H12">
        <v>7.6612180056514559E-3</v>
      </c>
      <c r="I12">
        <v>-0.91025303782550437</v>
      </c>
      <c r="J12">
        <v>-6.9736469630876895E-3</v>
      </c>
      <c r="K12" s="96">
        <f t="shared" si="1"/>
        <v>0</v>
      </c>
      <c r="L12" s="96">
        <f t="shared" si="2"/>
        <v>0</v>
      </c>
      <c r="M12" s="96">
        <f t="shared" si="3"/>
        <v>1</v>
      </c>
    </row>
    <row r="13" spans="1:22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4.308969456065503</v>
      </c>
      <c r="H13">
        <v>1.932559496921088E-3</v>
      </c>
      <c r="I13">
        <v>-0.86620618035855235</v>
      </c>
      <c r="J13">
        <v>-1.6739949801436612E-3</v>
      </c>
      <c r="K13" s="96">
        <f t="shared" si="1"/>
        <v>0</v>
      </c>
      <c r="L13" s="96">
        <f t="shared" si="2"/>
        <v>0</v>
      </c>
      <c r="M13" s="96">
        <f t="shared" si="3"/>
        <v>1</v>
      </c>
      <c r="R13" t="s">
        <v>95</v>
      </c>
      <c r="S13">
        <v>12.016861032418722</v>
      </c>
      <c r="T13">
        <v>10.01946117017515</v>
      </c>
      <c r="U13">
        <v>11.594696759797737</v>
      </c>
      <c r="V13">
        <v>8.8114346921202618</v>
      </c>
    </row>
    <row r="14" spans="1:22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0.33771030993320372</v>
      </c>
      <c r="H14">
        <v>7.6612180056514559E-3</v>
      </c>
      <c r="I14">
        <v>-0.98880611272868502</v>
      </c>
      <c r="J14">
        <v>-7.5754591949352247E-3</v>
      </c>
      <c r="K14" s="96">
        <f t="shared" si="1"/>
        <v>0</v>
      </c>
      <c r="L14" s="96">
        <f t="shared" si="2"/>
        <v>0</v>
      </c>
      <c r="M14" s="96">
        <f t="shared" si="3"/>
        <v>1</v>
      </c>
      <c r="R14" t="s">
        <v>37</v>
      </c>
      <c r="S14">
        <v>4.1490697942127079</v>
      </c>
      <c r="T14">
        <v>7.9092671265669594</v>
      </c>
      <c r="U14">
        <v>5.4019034698408328</v>
      </c>
      <c r="V14">
        <v>4.7473852218770398</v>
      </c>
    </row>
    <row r="15" spans="1:22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2.3249830311475019</v>
      </c>
      <c r="H15">
        <v>7.6612180056514559E-3</v>
      </c>
      <c r="I15">
        <v>-0.92542754784460735</v>
      </c>
      <c r="J15">
        <v>-7.0899021924729798E-3</v>
      </c>
      <c r="K15" s="96">
        <f t="shared" si="1"/>
        <v>0</v>
      </c>
      <c r="L15" s="96">
        <f t="shared" si="2"/>
        <v>0</v>
      </c>
      <c r="M15" s="96">
        <f t="shared" si="3"/>
        <v>1</v>
      </c>
      <c r="R15" t="s">
        <v>36</v>
      </c>
      <c r="S15">
        <v>6.3157969057780319</v>
      </c>
      <c r="T15">
        <v>3.1673125354751499</v>
      </c>
      <c r="U15">
        <v>5.2041729002002759</v>
      </c>
      <c r="V15">
        <v>3.4166787581690814</v>
      </c>
    </row>
    <row r="16" spans="1:22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3.8129728498360032</v>
      </c>
      <c r="H16">
        <v>1.932559496921088E-3</v>
      </c>
      <c r="I16">
        <v>-0.88064640062286481</v>
      </c>
      <c r="J16">
        <v>-1.7019015649530904E-3</v>
      </c>
      <c r="K16" s="96">
        <f t="shared" si="1"/>
        <v>0</v>
      </c>
      <c r="L16" s="96">
        <f t="shared" si="2"/>
        <v>0</v>
      </c>
      <c r="M16" s="96">
        <f t="shared" si="3"/>
        <v>1</v>
      </c>
      <c r="R16" t="s">
        <v>35</v>
      </c>
      <c r="S16">
        <v>1.5519943324279974</v>
      </c>
      <c r="T16">
        <v>-1.0571184918669532</v>
      </c>
      <c r="U16">
        <v>0.98862038975663391</v>
      </c>
      <c r="V16">
        <v>0.64737071207414154</v>
      </c>
    </row>
    <row r="17" spans="1:18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-0.25</v>
      </c>
      <c r="H17">
        <v>1.932559496921088E-3</v>
      </c>
      <c r="I17">
        <v>-1.008368152207447</v>
      </c>
      <c r="J17">
        <v>-1.9487314489412709E-3</v>
      </c>
      <c r="K17" s="96">
        <f t="shared" si="1"/>
        <v>0</v>
      </c>
      <c r="L17" s="96">
        <f t="shared" si="2"/>
        <v>0</v>
      </c>
      <c r="M17" s="96">
        <f t="shared" si="3"/>
        <v>1</v>
      </c>
    </row>
    <row r="18" spans="1:18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1.8289864249179999</v>
      </c>
      <c r="H18">
        <v>1.932559496921088E-3</v>
      </c>
      <c r="I18">
        <v>-0.94085502681272926</v>
      </c>
      <c r="J18">
        <v>-1.8182583172928848E-3</v>
      </c>
      <c r="K18" s="96">
        <f t="shared" si="1"/>
        <v>0</v>
      </c>
      <c r="L18" s="96">
        <f t="shared" si="2"/>
        <v>0</v>
      </c>
      <c r="M18" s="96">
        <f t="shared" si="3"/>
        <v>1</v>
      </c>
    </row>
    <row r="19" spans="1:18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3.3169762436065025</v>
      </c>
      <c r="H19">
        <v>4.8749248570982399E-4</v>
      </c>
      <c r="I19">
        <v>-0.89532734874852271</v>
      </c>
      <c r="J19">
        <v>-4.3646535476540382E-4</v>
      </c>
      <c r="K19" s="96">
        <f t="shared" si="1"/>
        <v>0</v>
      </c>
      <c r="L19" s="96">
        <f t="shared" si="2"/>
        <v>0</v>
      </c>
      <c r="M19" s="96">
        <f t="shared" si="3"/>
        <v>1</v>
      </c>
    </row>
    <row r="20" spans="1:18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0.83699321245900071</v>
      </c>
      <c r="H20">
        <v>1.932559496921088E-3</v>
      </c>
      <c r="I20">
        <v>-0.97248583052625426</v>
      </c>
      <c r="J20">
        <v>-1.8793867274047044E-3</v>
      </c>
      <c r="K20" s="96">
        <f t="shared" si="1"/>
        <v>0</v>
      </c>
      <c r="L20" s="96">
        <f t="shared" si="2"/>
        <v>0</v>
      </c>
      <c r="M20" s="96">
        <f t="shared" si="3"/>
        <v>1</v>
      </c>
      <c r="R20" s="112">
        <v>0.58499999999999996</v>
      </c>
    </row>
    <row r="21" spans="1:18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2.8209796373769995</v>
      </c>
      <c r="H21">
        <v>1.932559496921088E-3</v>
      </c>
      <c r="I21">
        <v>-0.91025303782550437</v>
      </c>
      <c r="J21">
        <v>-1.7591181528509487E-3</v>
      </c>
      <c r="K21" s="96">
        <f t="shared" si="1"/>
        <v>0</v>
      </c>
      <c r="L21" s="96">
        <f t="shared" si="2"/>
        <v>0</v>
      </c>
      <c r="M21" s="96">
        <f t="shared" si="3"/>
        <v>1</v>
      </c>
    </row>
    <row r="22" spans="1:18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4.308969456065503</v>
      </c>
      <c r="H22">
        <v>4.8749248570982399E-4</v>
      </c>
      <c r="I22">
        <v>-0.86620618035855235</v>
      </c>
      <c r="J22">
        <v>-4.222690040002028E-4</v>
      </c>
      <c r="K22" s="96">
        <f t="shared" si="1"/>
        <v>0</v>
      </c>
      <c r="L22" s="96">
        <f t="shared" si="2"/>
        <v>0</v>
      </c>
      <c r="M22" s="96">
        <f t="shared" si="3"/>
        <v>1</v>
      </c>
    </row>
    <row r="23" spans="1:18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0.33771030993320372</v>
      </c>
      <c r="H23">
        <v>1.932559496921088E-3</v>
      </c>
      <c r="I23">
        <v>-0.98880611272868502</v>
      </c>
      <c r="J23">
        <v>-1.9109266437674442E-3</v>
      </c>
      <c r="K23" s="96">
        <f t="shared" si="1"/>
        <v>0</v>
      </c>
      <c r="L23" s="96">
        <f t="shared" si="2"/>
        <v>0</v>
      </c>
      <c r="M23" s="96">
        <f t="shared" si="3"/>
        <v>1</v>
      </c>
    </row>
    <row r="24" spans="1:18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2.3249830311475019</v>
      </c>
      <c r="H24">
        <v>1.932559496921088E-3</v>
      </c>
      <c r="I24">
        <v>-0.92542754784460735</v>
      </c>
      <c r="J24">
        <v>-1.7884437962994903E-3</v>
      </c>
      <c r="K24" s="96">
        <f t="shared" si="1"/>
        <v>0</v>
      </c>
      <c r="L24" s="96">
        <f t="shared" si="2"/>
        <v>0</v>
      </c>
      <c r="M24" s="96">
        <f t="shared" si="3"/>
        <v>1</v>
      </c>
    </row>
    <row r="25" spans="1:18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3.8129728498360032</v>
      </c>
      <c r="H25">
        <v>4.8749248570982399E-4</v>
      </c>
      <c r="I25">
        <v>-0.88064640062286481</v>
      </c>
      <c r="J25">
        <v>-4.2930850287104986E-4</v>
      </c>
      <c r="K25" s="96">
        <f t="shared" si="1"/>
        <v>0</v>
      </c>
      <c r="L25" s="96">
        <f t="shared" si="2"/>
        <v>0</v>
      </c>
      <c r="M25" s="96">
        <f t="shared" si="3"/>
        <v>1</v>
      </c>
    </row>
    <row r="26" spans="1:18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-0.25</v>
      </c>
      <c r="H26">
        <v>4.8749248570982405E-4</v>
      </c>
      <c r="I26">
        <v>-1.008368152207447</v>
      </c>
      <c r="J26">
        <v>-4.9157189703023059E-4</v>
      </c>
      <c r="K26" s="96">
        <f t="shared" si="1"/>
        <v>0</v>
      </c>
      <c r="L26" s="96">
        <f t="shared" si="2"/>
        <v>0</v>
      </c>
      <c r="M26" s="96">
        <f t="shared" si="3"/>
        <v>1</v>
      </c>
    </row>
    <row r="27" spans="1:18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1.8289864249179999</v>
      </c>
      <c r="H27">
        <v>4.8749248570982405E-4</v>
      </c>
      <c r="I27">
        <v>-0.94085502681272926</v>
      </c>
      <c r="J27">
        <v>-4.5865975571352056E-4</v>
      </c>
      <c r="K27" s="96">
        <f t="shared" si="1"/>
        <v>0</v>
      </c>
      <c r="L27" s="96">
        <f t="shared" si="2"/>
        <v>0</v>
      </c>
      <c r="M27" s="96">
        <f t="shared" si="3"/>
        <v>1</v>
      </c>
    </row>
    <row r="28" spans="1:18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3.3169762436065025</v>
      </c>
      <c r="H28">
        <v>1.2297107747635201E-4</v>
      </c>
      <c r="I28">
        <v>-0.89532734874852271</v>
      </c>
      <c r="J28">
        <v>-1.1009936876965142E-4</v>
      </c>
      <c r="K28" s="96">
        <f t="shared" si="1"/>
        <v>0</v>
      </c>
      <c r="L28" s="96">
        <f t="shared" si="2"/>
        <v>0</v>
      </c>
      <c r="M28" s="96">
        <f t="shared" si="3"/>
        <v>1</v>
      </c>
    </row>
    <row r="29" spans="1:18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1.0659147230264623</v>
      </c>
      <c r="H29">
        <v>7.6612180056514559E-3</v>
      </c>
      <c r="I29">
        <v>-0.96509330734568144</v>
      </c>
      <c r="J29">
        <v>-7.3937902233704488E-3</v>
      </c>
      <c r="K29" s="96">
        <f t="shared" si="1"/>
        <v>0</v>
      </c>
      <c r="L29" s="96">
        <f t="shared" si="2"/>
        <v>0</v>
      </c>
      <c r="M29" s="96">
        <f t="shared" si="3"/>
        <v>1</v>
      </c>
    </row>
    <row r="30" spans="1:18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3.5077441690793849</v>
      </c>
      <c r="H30">
        <v>7.6612180056514559E-3</v>
      </c>
      <c r="I30">
        <v>-0.88965208747125923</v>
      </c>
      <c r="J30">
        <v>-6.8158185913002149E-3</v>
      </c>
      <c r="K30" s="96">
        <f t="shared" si="1"/>
        <v>0</v>
      </c>
      <c r="L30" s="96">
        <f t="shared" si="2"/>
        <v>0</v>
      </c>
      <c r="M30" s="96">
        <f t="shared" si="3"/>
        <v>1</v>
      </c>
    </row>
    <row r="31" spans="1:18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5.3391162536190793</v>
      </c>
      <c r="H31">
        <v>1.932559496921088E-3</v>
      </c>
      <c r="I31">
        <v>-0.83696707867984177</v>
      </c>
      <c r="J31">
        <v>-1.6174886765130277E-3</v>
      </c>
      <c r="K31" s="96">
        <f t="shared" si="1"/>
        <v>0</v>
      </c>
      <c r="L31" s="96">
        <f t="shared" si="2"/>
        <v>0</v>
      </c>
      <c r="M31" s="96">
        <f t="shared" si="3"/>
        <v>1</v>
      </c>
    </row>
    <row r="32" spans="1:18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0.45303662077249002</v>
      </c>
      <c r="H32">
        <v>7.6612180056514559E-3</v>
      </c>
      <c r="I32">
        <v>-0.98501223093680368</v>
      </c>
      <c r="J32">
        <v>-7.5463934394399508E-3</v>
      </c>
      <c r="K32" s="96">
        <f t="shared" si="1"/>
        <v>0</v>
      </c>
      <c r="L32" s="96">
        <f t="shared" si="2"/>
        <v>0</v>
      </c>
      <c r="M32" s="96">
        <f t="shared" si="3"/>
        <v>1</v>
      </c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2.897286807566156</v>
      </c>
      <c r="H33">
        <v>7.6612180056514559E-3</v>
      </c>
      <c r="I33">
        <v>-0.90794068544089901</v>
      </c>
      <c r="J33">
        <v>-6.9559315273633399E-3</v>
      </c>
      <c r="K33" s="96">
        <f t="shared" si="1"/>
        <v>0</v>
      </c>
      <c r="L33" s="96">
        <f t="shared" si="2"/>
        <v>0</v>
      </c>
      <c r="M33" s="96">
        <f t="shared" si="3"/>
        <v>1</v>
      </c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4.7286588921058481</v>
      </c>
      <c r="H34">
        <v>1.932559496921088E-3</v>
      </c>
      <c r="I34">
        <v>-0.85417262973891683</v>
      </c>
      <c r="J34">
        <v>-1.6507394276120038E-3</v>
      </c>
      <c r="K34" s="96">
        <f t="shared" si="1"/>
        <v>0</v>
      </c>
      <c r="L34" s="96">
        <f t="shared" si="2"/>
        <v>0</v>
      </c>
      <c r="M34" s="96">
        <f t="shared" si="3"/>
        <v>1</v>
      </c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-0.25</v>
      </c>
      <c r="H35">
        <v>1.932559496921088E-3</v>
      </c>
      <c r="I35">
        <v>-1.008368152207447</v>
      </c>
      <c r="J35">
        <v>-1.9487314489412709E-3</v>
      </c>
      <c r="K35" s="96">
        <f t="shared" si="1"/>
        <v>0</v>
      </c>
      <c r="L35" s="96">
        <f t="shared" si="2"/>
        <v>0</v>
      </c>
      <c r="M35" s="96">
        <f t="shared" si="3"/>
        <v>1</v>
      </c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2.2868294460529244</v>
      </c>
      <c r="H36">
        <v>1.932559496921088E-3</v>
      </c>
      <c r="I36">
        <v>-0.92660524253029519</v>
      </c>
      <c r="J36">
        <v>-1.7907197613487901E-3</v>
      </c>
      <c r="K36" s="96">
        <f t="shared" si="1"/>
        <v>0</v>
      </c>
      <c r="L36" s="96">
        <f t="shared" si="2"/>
        <v>0</v>
      </c>
      <c r="M36" s="96">
        <f t="shared" si="3"/>
        <v>1</v>
      </c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4.1182015305926161</v>
      </c>
      <c r="H37">
        <v>4.8749248570982399E-4</v>
      </c>
      <c r="I37">
        <v>-0.87173187569805111</v>
      </c>
      <c r="J37">
        <v>-4.2496273895653022E-4</v>
      </c>
      <c r="K37" s="96">
        <f t="shared" si="1"/>
        <v>0</v>
      </c>
      <c r="L37" s="96">
        <f t="shared" si="2"/>
        <v>0</v>
      </c>
      <c r="M37" s="96">
        <f t="shared" si="3"/>
        <v>1</v>
      </c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1.0659147230264623</v>
      </c>
      <c r="H38">
        <v>7.6612180056514559E-3</v>
      </c>
      <c r="I38">
        <v>-0.96509330734568144</v>
      </c>
      <c r="J38">
        <v>-7.3937902233704488E-3</v>
      </c>
      <c r="K38" s="96">
        <f t="shared" si="1"/>
        <v>0</v>
      </c>
      <c r="L38" s="96">
        <f t="shared" si="2"/>
        <v>0</v>
      </c>
      <c r="M38" s="96">
        <f t="shared" si="3"/>
        <v>1</v>
      </c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3.5077441690793849</v>
      </c>
      <c r="H39">
        <v>7.6612180056514559E-3</v>
      </c>
      <c r="I39">
        <v>-0.88965208747125923</v>
      </c>
      <c r="J39">
        <v>-6.8158185913002149E-3</v>
      </c>
      <c r="K39" s="96">
        <f t="shared" si="1"/>
        <v>0</v>
      </c>
      <c r="L39" s="96">
        <f t="shared" si="2"/>
        <v>0</v>
      </c>
      <c r="M39" s="96">
        <f t="shared" si="3"/>
        <v>1</v>
      </c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5.3391162536190793</v>
      </c>
      <c r="H40">
        <v>1.932559496921088E-3</v>
      </c>
      <c r="I40">
        <v>-0.83696707867984177</v>
      </c>
      <c r="J40">
        <v>-1.6174886765130277E-3</v>
      </c>
      <c r="K40" s="96">
        <f t="shared" si="1"/>
        <v>0</v>
      </c>
      <c r="L40" s="96">
        <f t="shared" si="2"/>
        <v>0</v>
      </c>
      <c r="M40" s="96">
        <f t="shared" si="3"/>
        <v>1</v>
      </c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0.45303662077249002</v>
      </c>
      <c r="H41">
        <v>7.6612180056514559E-3</v>
      </c>
      <c r="I41">
        <v>-0.98501223093680368</v>
      </c>
      <c r="J41">
        <v>-7.5463934394399508E-3</v>
      </c>
      <c r="K41" s="96">
        <f t="shared" si="1"/>
        <v>0</v>
      </c>
      <c r="L41" s="96">
        <f t="shared" si="2"/>
        <v>0</v>
      </c>
      <c r="M41" s="96">
        <f t="shared" si="3"/>
        <v>1</v>
      </c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2.897286807566156</v>
      </c>
      <c r="H42">
        <v>7.6612180056514559E-3</v>
      </c>
      <c r="I42">
        <v>-0.90794068544089901</v>
      </c>
      <c r="J42">
        <v>-6.9559315273633399E-3</v>
      </c>
      <c r="K42" s="96">
        <f t="shared" si="1"/>
        <v>0</v>
      </c>
      <c r="L42" s="96">
        <f t="shared" si="2"/>
        <v>0</v>
      </c>
      <c r="M42" s="96">
        <f t="shared" si="3"/>
        <v>1</v>
      </c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4.7286588921058481</v>
      </c>
      <c r="H43">
        <v>1.932559496921088E-3</v>
      </c>
      <c r="I43">
        <v>-0.85417262973891683</v>
      </c>
      <c r="J43">
        <v>-1.6507394276120038E-3</v>
      </c>
      <c r="K43" s="96">
        <f t="shared" si="1"/>
        <v>0</v>
      </c>
      <c r="L43" s="96">
        <f t="shared" si="2"/>
        <v>0</v>
      </c>
      <c r="M43" s="96">
        <f t="shared" si="3"/>
        <v>1</v>
      </c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-0.25</v>
      </c>
      <c r="H44">
        <v>1.932559496921088E-3</v>
      </c>
      <c r="I44">
        <v>-1.008368152207447</v>
      </c>
      <c r="J44">
        <v>-1.9487314489412709E-3</v>
      </c>
      <c r="K44" s="96">
        <f t="shared" si="1"/>
        <v>0</v>
      </c>
      <c r="L44" s="96">
        <f t="shared" si="2"/>
        <v>0</v>
      </c>
      <c r="M44" s="96">
        <f t="shared" si="3"/>
        <v>1</v>
      </c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2.2868294460529244</v>
      </c>
      <c r="H45">
        <v>1.932559496921088E-3</v>
      </c>
      <c r="I45">
        <v>-0.92660524253029519</v>
      </c>
      <c r="J45">
        <v>-1.7907197613487901E-3</v>
      </c>
      <c r="K45" s="96">
        <f t="shared" si="1"/>
        <v>0</v>
      </c>
      <c r="L45" s="96">
        <f t="shared" si="2"/>
        <v>0</v>
      </c>
      <c r="M45" s="96">
        <f t="shared" si="3"/>
        <v>1</v>
      </c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4.1182015305926161</v>
      </c>
      <c r="H46">
        <v>4.8749248570982399E-4</v>
      </c>
      <c r="I46">
        <v>-0.87173187569805111</v>
      </c>
      <c r="J46">
        <v>-4.2496273895653022E-4</v>
      </c>
      <c r="K46" s="96">
        <f t="shared" si="1"/>
        <v>0</v>
      </c>
      <c r="L46" s="96">
        <f t="shared" si="2"/>
        <v>0</v>
      </c>
      <c r="M46" s="96">
        <f t="shared" si="3"/>
        <v>1</v>
      </c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1.0659147230264623</v>
      </c>
      <c r="H47">
        <v>1.932559496921088E-3</v>
      </c>
      <c r="I47">
        <v>-0.96509330734568144</v>
      </c>
      <c r="J47">
        <v>-1.8651002365258791E-3</v>
      </c>
      <c r="K47" s="96">
        <f t="shared" si="1"/>
        <v>0</v>
      </c>
      <c r="L47" s="96">
        <f t="shared" si="2"/>
        <v>0</v>
      </c>
      <c r="M47" s="96">
        <f t="shared" si="3"/>
        <v>1</v>
      </c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3.5077441690793849</v>
      </c>
      <c r="H48">
        <v>1.932559496921088E-3</v>
      </c>
      <c r="I48">
        <v>-0.88965208747125923</v>
      </c>
      <c r="J48">
        <v>-1.7193055905982526E-3</v>
      </c>
      <c r="K48" s="96">
        <f t="shared" si="1"/>
        <v>0</v>
      </c>
      <c r="L48" s="96">
        <f t="shared" si="2"/>
        <v>0</v>
      </c>
      <c r="M48" s="96">
        <f t="shared" si="3"/>
        <v>1</v>
      </c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5.3391162536190793</v>
      </c>
      <c r="H49">
        <v>4.8749248570982399E-4</v>
      </c>
      <c r="I49">
        <v>-0.83696707867984177</v>
      </c>
      <c r="J49">
        <v>-4.0801516164292589E-4</v>
      </c>
      <c r="K49" s="96">
        <f t="shared" si="1"/>
        <v>0</v>
      </c>
      <c r="L49" s="96">
        <f t="shared" si="2"/>
        <v>0</v>
      </c>
      <c r="M49" s="96">
        <f t="shared" si="3"/>
        <v>1</v>
      </c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0.45303662077249002</v>
      </c>
      <c r="H50">
        <v>1.932559496921088E-3</v>
      </c>
      <c r="I50">
        <v>-0.98501223093680368</v>
      </c>
      <c r="J50">
        <v>-1.9035947414803478E-3</v>
      </c>
      <c r="K50" s="96">
        <f t="shared" si="1"/>
        <v>0</v>
      </c>
      <c r="L50" s="96">
        <f t="shared" si="2"/>
        <v>0</v>
      </c>
      <c r="M50" s="96">
        <f t="shared" si="3"/>
        <v>1</v>
      </c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2.897286807566156</v>
      </c>
      <c r="H51">
        <v>1.932559496921088E-3</v>
      </c>
      <c r="I51">
        <v>-0.90794068544089901</v>
      </c>
      <c r="J51">
        <v>-1.7546493942898515E-3</v>
      </c>
      <c r="K51" s="96">
        <f t="shared" si="1"/>
        <v>0</v>
      </c>
      <c r="L51" s="96">
        <f t="shared" si="2"/>
        <v>0</v>
      </c>
      <c r="M51" s="96">
        <f t="shared" si="3"/>
        <v>1</v>
      </c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4.7286588921058481</v>
      </c>
      <c r="H52">
        <v>4.8749248570982399E-4</v>
      </c>
      <c r="I52">
        <v>-0.85417262973891683</v>
      </c>
      <c r="J52">
        <v>-4.1640273849672169E-4</v>
      </c>
      <c r="K52" s="96">
        <f t="shared" si="1"/>
        <v>0</v>
      </c>
      <c r="L52" s="96">
        <f t="shared" si="2"/>
        <v>0</v>
      </c>
      <c r="M52" s="96">
        <f t="shared" si="3"/>
        <v>1</v>
      </c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-0.25</v>
      </c>
      <c r="H53">
        <v>4.8749248570982405E-4</v>
      </c>
      <c r="I53">
        <v>-1.008368152207447</v>
      </c>
      <c r="J53">
        <v>-4.9157189703023059E-4</v>
      </c>
      <c r="K53" s="96">
        <f t="shared" si="1"/>
        <v>0</v>
      </c>
      <c r="L53" s="96">
        <f t="shared" si="2"/>
        <v>0</v>
      </c>
      <c r="M53" s="96">
        <f t="shared" si="3"/>
        <v>1</v>
      </c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2.2868294460529244</v>
      </c>
      <c r="H54">
        <v>4.8749248570982405E-4</v>
      </c>
      <c r="I54">
        <v>-0.92660524253029519</v>
      </c>
      <c r="J54">
        <v>-4.5171309295284796E-4</v>
      </c>
      <c r="K54" s="96">
        <f t="shared" si="1"/>
        <v>0</v>
      </c>
      <c r="L54" s="96">
        <f t="shared" si="2"/>
        <v>0</v>
      </c>
      <c r="M54" s="96">
        <f t="shared" si="3"/>
        <v>1</v>
      </c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4.1182015305926161</v>
      </c>
      <c r="H55">
        <v>1.2297107747635201E-4</v>
      </c>
      <c r="I55">
        <v>-0.87173187569805111</v>
      </c>
      <c r="J55">
        <v>-1.0719780802507071E-4</v>
      </c>
      <c r="K55" s="96">
        <f t="shared" si="1"/>
        <v>0</v>
      </c>
      <c r="L55" s="96">
        <f t="shared" si="2"/>
        <v>0</v>
      </c>
      <c r="M55" s="96">
        <f t="shared" si="3"/>
        <v>1</v>
      </c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1.2185290634047701</v>
      </c>
      <c r="H56">
        <v>1.932559496921088E-3</v>
      </c>
      <c r="I56">
        <v>-0.96019620475792067</v>
      </c>
      <c r="J56">
        <v>-1.8556362944125051E-3</v>
      </c>
      <c r="K56" s="96">
        <f t="shared" si="1"/>
        <v>0</v>
      </c>
      <c r="L56" s="96">
        <f t="shared" si="2"/>
        <v>0</v>
      </c>
      <c r="M56" s="96">
        <f t="shared" si="3"/>
        <v>1</v>
      </c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3.9655871902143098</v>
      </c>
      <c r="H57">
        <v>1.932559496921088E-3</v>
      </c>
      <c r="I57">
        <v>-0.87617780081539809</v>
      </c>
      <c r="J57">
        <v>-1.6932657299572309E-3</v>
      </c>
      <c r="K57" s="96">
        <f t="shared" si="1"/>
        <v>0</v>
      </c>
      <c r="L57" s="96">
        <f t="shared" si="2"/>
        <v>0</v>
      </c>
      <c r="M57" s="96">
        <f t="shared" si="3"/>
        <v>1</v>
      </c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6.0258807853214638</v>
      </c>
      <c r="H58">
        <v>4.8749248570982399E-4</v>
      </c>
      <c r="I58">
        <v>-0.81802474449416196</v>
      </c>
      <c r="J58">
        <v>-3.9878091606560266E-4</v>
      </c>
      <c r="K58" s="96">
        <f t="shared" si="1"/>
        <v>0</v>
      </c>
      <c r="L58" s="96">
        <f t="shared" si="2"/>
        <v>0</v>
      </c>
      <c r="M58" s="96">
        <f t="shared" si="3"/>
        <v>1</v>
      </c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0.52992082799868023</v>
      </c>
      <c r="H59">
        <v>1.932559496921088E-3</v>
      </c>
      <c r="I59">
        <v>-0.98249106679569842</v>
      </c>
      <c r="J59">
        <v>-1.898722441776158E-3</v>
      </c>
      <c r="K59" s="96">
        <f t="shared" si="1"/>
        <v>0</v>
      </c>
      <c r="L59" s="96">
        <f t="shared" si="2"/>
        <v>0</v>
      </c>
      <c r="M59" s="96">
        <f t="shared" si="3"/>
        <v>1</v>
      </c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3.278822658511924</v>
      </c>
      <c r="H60">
        <v>1.932559496921088E-3</v>
      </c>
      <c r="I60">
        <v>-0.89646673806433452</v>
      </c>
      <c r="J60">
        <v>-1.7324753083200991E-3</v>
      </c>
      <c r="K60" s="96">
        <f t="shared" si="1"/>
        <v>0</v>
      </c>
      <c r="L60" s="96">
        <f t="shared" si="2"/>
        <v>0</v>
      </c>
      <c r="M60" s="96">
        <f t="shared" si="3"/>
        <v>1</v>
      </c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5.339116253619081</v>
      </c>
      <c r="H61">
        <v>4.8749248570982399E-4</v>
      </c>
      <c r="I61">
        <v>-0.83696707867984177</v>
      </c>
      <c r="J61">
        <v>-4.0801516164292589E-4</v>
      </c>
      <c r="K61" s="96">
        <f t="shared" si="1"/>
        <v>0</v>
      </c>
      <c r="L61" s="96">
        <f t="shared" si="2"/>
        <v>0</v>
      </c>
      <c r="M61" s="96">
        <f t="shared" si="3"/>
        <v>1</v>
      </c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-0.25</v>
      </c>
      <c r="H62">
        <v>4.8749248570982405E-4</v>
      </c>
      <c r="I62">
        <v>-1.008368152207447</v>
      </c>
      <c r="J62">
        <v>-4.9157189703023059E-4</v>
      </c>
      <c r="K62" s="96">
        <f t="shared" si="1"/>
        <v>0</v>
      </c>
      <c r="L62" s="96">
        <f t="shared" si="2"/>
        <v>0</v>
      </c>
      <c r="M62" s="96">
        <f t="shared" si="3"/>
        <v>1</v>
      </c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2.5920581268095395</v>
      </c>
      <c r="H63">
        <v>4.8749248570982405E-4</v>
      </c>
      <c r="I63">
        <v>-0.91722548974398144</v>
      </c>
      <c r="J63">
        <v>-4.4714053395170425E-4</v>
      </c>
      <c r="K63" s="96">
        <f t="shared" si="1"/>
        <v>0</v>
      </c>
      <c r="L63" s="96">
        <f t="shared" si="2"/>
        <v>0</v>
      </c>
      <c r="M63" s="96">
        <f t="shared" si="3"/>
        <v>1</v>
      </c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4.6523517219166957</v>
      </c>
      <c r="H64">
        <v>1.2297107747635201E-4</v>
      </c>
      <c r="I64">
        <v>-0.85634804510350349</v>
      </c>
      <c r="J64">
        <v>-1.0530604180114551E-4</v>
      </c>
      <c r="K64" s="96">
        <f t="shared" si="1"/>
        <v>0</v>
      </c>
      <c r="L64" s="96">
        <f t="shared" si="2"/>
        <v>0</v>
      </c>
      <c r="M64" s="96">
        <f t="shared" si="3"/>
        <v>1</v>
      </c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1.2185290634047701</v>
      </c>
      <c r="H65">
        <v>1.932559496921088E-3</v>
      </c>
      <c r="I65">
        <v>-0.96019620475792067</v>
      </c>
      <c r="J65">
        <v>-1.8556362944125051E-3</v>
      </c>
      <c r="K65" s="96">
        <f t="shared" si="1"/>
        <v>0</v>
      </c>
      <c r="L65" s="96">
        <f t="shared" si="2"/>
        <v>0</v>
      </c>
      <c r="M65" s="96">
        <f t="shared" si="3"/>
        <v>1</v>
      </c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3.9655871902143098</v>
      </c>
      <c r="H66">
        <v>1.932559496921088E-3</v>
      </c>
      <c r="I66">
        <v>-0.87617780081539809</v>
      </c>
      <c r="J66">
        <v>-1.6932657299572309E-3</v>
      </c>
      <c r="K66" s="96">
        <f t="shared" si="1"/>
        <v>0</v>
      </c>
      <c r="L66" s="96">
        <f t="shared" si="2"/>
        <v>0</v>
      </c>
      <c r="M66" s="96">
        <f t="shared" si="3"/>
        <v>1</v>
      </c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6.0258807853214638</v>
      </c>
      <c r="H67">
        <v>4.8749248570982399E-4</v>
      </c>
      <c r="I67">
        <v>-0.81802474449416196</v>
      </c>
      <c r="J67">
        <v>-3.9878091606560266E-4</v>
      </c>
      <c r="K67" s="96">
        <f t="shared" ref="K67:K130" si="4">IF(A67=3,1,0)</f>
        <v>0</v>
      </c>
      <c r="L67" s="96">
        <f t="shared" ref="L67:L130" si="5">IF(A67=2,1,0)</f>
        <v>0</v>
      </c>
      <c r="M67" s="96">
        <f t="shared" ref="M67:M130" si="6">IF(A67=1,1,0)</f>
        <v>1</v>
      </c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0.52992082799868023</v>
      </c>
      <c r="H68">
        <v>1.932559496921088E-3</v>
      </c>
      <c r="I68">
        <v>-0.98249106679569842</v>
      </c>
      <c r="J68">
        <v>-1.898722441776158E-3</v>
      </c>
      <c r="K68" s="96">
        <f t="shared" si="4"/>
        <v>0</v>
      </c>
      <c r="L68" s="96">
        <f t="shared" si="5"/>
        <v>0</v>
      </c>
      <c r="M68" s="96">
        <f t="shared" si="6"/>
        <v>1</v>
      </c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3.278822658511924</v>
      </c>
      <c r="H69">
        <v>1.932559496921088E-3</v>
      </c>
      <c r="I69">
        <v>-0.89646673806433452</v>
      </c>
      <c r="J69">
        <v>-1.7324753083200991E-3</v>
      </c>
      <c r="K69" s="96">
        <f t="shared" si="4"/>
        <v>0</v>
      </c>
      <c r="L69" s="96">
        <f t="shared" si="5"/>
        <v>0</v>
      </c>
      <c r="M69" s="96">
        <f t="shared" si="6"/>
        <v>1</v>
      </c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5.339116253619081</v>
      </c>
      <c r="H70">
        <v>4.8749248570982399E-4</v>
      </c>
      <c r="I70">
        <v>-0.83696707867984177</v>
      </c>
      <c r="J70">
        <v>-4.0801516164292589E-4</v>
      </c>
      <c r="K70" s="96">
        <f t="shared" si="4"/>
        <v>0</v>
      </c>
      <c r="L70" s="96">
        <f t="shared" si="5"/>
        <v>0</v>
      </c>
      <c r="M70" s="96">
        <f t="shared" si="6"/>
        <v>1</v>
      </c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-0.25</v>
      </c>
      <c r="H71">
        <v>4.8749248570982405E-4</v>
      </c>
      <c r="I71">
        <v>-1.008368152207447</v>
      </c>
      <c r="J71">
        <v>-4.9157189703023059E-4</v>
      </c>
      <c r="K71" s="96">
        <f t="shared" si="4"/>
        <v>0</v>
      </c>
      <c r="L71" s="96">
        <f t="shared" si="5"/>
        <v>0</v>
      </c>
      <c r="M71" s="96">
        <f t="shared" si="6"/>
        <v>1</v>
      </c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2.5920581268095395</v>
      </c>
      <c r="H72">
        <v>4.8749248570982405E-4</v>
      </c>
      <c r="I72">
        <v>-0.91722548974398144</v>
      </c>
      <c r="J72">
        <v>-4.4714053395170425E-4</v>
      </c>
      <c r="K72" s="96">
        <f t="shared" si="4"/>
        <v>0</v>
      </c>
      <c r="L72" s="96">
        <f t="shared" si="5"/>
        <v>0</v>
      </c>
      <c r="M72" s="96">
        <f t="shared" si="6"/>
        <v>1</v>
      </c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4.6523517219166957</v>
      </c>
      <c r="H73">
        <v>1.2297107747635201E-4</v>
      </c>
      <c r="I73">
        <v>-0.85634804510350349</v>
      </c>
      <c r="J73">
        <v>-1.0530604180114551E-4</v>
      </c>
      <c r="K73" s="96">
        <f t="shared" si="4"/>
        <v>0</v>
      </c>
      <c r="L73" s="96">
        <f t="shared" si="5"/>
        <v>0</v>
      </c>
      <c r="M73" s="96">
        <f t="shared" si="6"/>
        <v>1</v>
      </c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1.2185290634047701</v>
      </c>
      <c r="H74">
        <v>4.8749248570982405E-4</v>
      </c>
      <c r="I74">
        <v>-0.96019620475792067</v>
      </c>
      <c r="J74">
        <v>-4.6808843462657791E-4</v>
      </c>
      <c r="K74" s="96">
        <f t="shared" si="4"/>
        <v>0</v>
      </c>
      <c r="L74" s="96">
        <f t="shared" si="5"/>
        <v>0</v>
      </c>
      <c r="M74" s="96">
        <f t="shared" si="6"/>
        <v>1</v>
      </c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3.9655871902143098</v>
      </c>
      <c r="H75">
        <v>4.8749248570982405E-4</v>
      </c>
      <c r="I75">
        <v>-0.87617780081539809</v>
      </c>
      <c r="J75">
        <v>-4.2713009404326554E-4</v>
      </c>
      <c r="K75" s="96">
        <f t="shared" si="4"/>
        <v>0</v>
      </c>
      <c r="L75" s="96">
        <f t="shared" si="5"/>
        <v>0</v>
      </c>
      <c r="M75" s="96">
        <f t="shared" si="6"/>
        <v>1</v>
      </c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6.0258807853214638</v>
      </c>
      <c r="H76">
        <v>1.2297107747635201E-4</v>
      </c>
      <c r="I76">
        <v>-0.81802474449416196</v>
      </c>
      <c r="J76">
        <v>-1.0059338423276464E-4</v>
      </c>
      <c r="K76" s="96">
        <f t="shared" si="4"/>
        <v>0</v>
      </c>
      <c r="L76" s="96">
        <f t="shared" si="5"/>
        <v>0</v>
      </c>
      <c r="M76" s="96">
        <f t="shared" si="6"/>
        <v>1</v>
      </c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0.52992082799868023</v>
      </c>
      <c r="H77">
        <v>4.8749248570982405E-4</v>
      </c>
      <c r="I77">
        <v>-0.98249106679569842</v>
      </c>
      <c r="J77">
        <v>-4.7895701233993177E-4</v>
      </c>
      <c r="K77" s="96">
        <f t="shared" si="4"/>
        <v>0</v>
      </c>
      <c r="L77" s="96">
        <f t="shared" si="5"/>
        <v>0</v>
      </c>
      <c r="M77" s="96">
        <f t="shared" si="6"/>
        <v>1</v>
      </c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3.278822658511924</v>
      </c>
      <c r="H78">
        <v>4.8749248570982405E-4</v>
      </c>
      <c r="I78">
        <v>-0.89646673806433452</v>
      </c>
      <c r="J78">
        <v>-4.3702079849516017E-4</v>
      </c>
      <c r="K78" s="96">
        <f t="shared" si="4"/>
        <v>0</v>
      </c>
      <c r="L78" s="96">
        <f t="shared" si="5"/>
        <v>0</v>
      </c>
      <c r="M78" s="96">
        <f t="shared" si="6"/>
        <v>1</v>
      </c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5.339116253619081</v>
      </c>
      <c r="H79">
        <v>1.2297107747635201E-4</v>
      </c>
      <c r="I79">
        <v>-0.83696707867984177</v>
      </c>
      <c r="J79">
        <v>-1.0292274347749482E-4</v>
      </c>
      <c r="K79" s="96">
        <f t="shared" si="4"/>
        <v>0</v>
      </c>
      <c r="L79" s="96">
        <f t="shared" si="5"/>
        <v>0</v>
      </c>
      <c r="M79" s="96">
        <f t="shared" si="6"/>
        <v>1</v>
      </c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-0.25</v>
      </c>
      <c r="H80">
        <v>1.2297107747635201E-4</v>
      </c>
      <c r="I80">
        <v>-1.008368152207447</v>
      </c>
      <c r="J80">
        <v>-1.2400011816978787E-4</v>
      </c>
      <c r="K80" s="96">
        <f t="shared" si="4"/>
        <v>0</v>
      </c>
      <c r="L80" s="96">
        <f t="shared" si="5"/>
        <v>0</v>
      </c>
      <c r="M80" s="96">
        <f t="shared" si="6"/>
        <v>1</v>
      </c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2.5920581268095395</v>
      </c>
      <c r="H81">
        <v>1.2297107747635201E-4</v>
      </c>
      <c r="I81">
        <v>-0.91722548974398144</v>
      </c>
      <c r="J81">
        <v>-1.1279220676259206E-4</v>
      </c>
      <c r="K81" s="96">
        <f t="shared" si="4"/>
        <v>0</v>
      </c>
      <c r="L81" s="96">
        <f t="shared" si="5"/>
        <v>0</v>
      </c>
      <c r="M81" s="96">
        <f t="shared" si="6"/>
        <v>1</v>
      </c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4.6523517219166957</v>
      </c>
      <c r="H82">
        <v>3.1019731255295997E-5</v>
      </c>
      <c r="I82">
        <v>-0.85634804510350349</v>
      </c>
      <c r="J82">
        <v>-2.6563686220108772E-5</v>
      </c>
      <c r="K82" s="96">
        <f t="shared" si="4"/>
        <v>0</v>
      </c>
      <c r="L82" s="96">
        <f t="shared" si="5"/>
        <v>0</v>
      </c>
      <c r="M82" s="96">
        <f t="shared" si="6"/>
        <v>1</v>
      </c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1.4301268228591395</v>
      </c>
      <c r="H83">
        <v>7.6612180056514559E-3</v>
      </c>
      <c r="I83">
        <v>-0.95344752065775173</v>
      </c>
      <c r="J83">
        <v>-7.3045693127069058E-3</v>
      </c>
      <c r="K83" s="96">
        <f t="shared" si="4"/>
        <v>0</v>
      </c>
      <c r="L83" s="96">
        <f t="shared" si="5"/>
        <v>0</v>
      </c>
      <c r="M83" s="96">
        <f t="shared" si="6"/>
        <v>1</v>
      </c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4.6003804685774154</v>
      </c>
      <c r="H84">
        <v>7.6612180056514559E-3</v>
      </c>
      <c r="I84">
        <v>-0.8578328468889489</v>
      </c>
      <c r="J84">
        <v>-6.572044452424864E-3</v>
      </c>
      <c r="K84" s="96">
        <f t="shared" si="4"/>
        <v>0</v>
      </c>
      <c r="L84" s="96">
        <f t="shared" si="5"/>
        <v>0</v>
      </c>
      <c r="M84" s="96">
        <f t="shared" si="6"/>
        <v>1</v>
      </c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6.9780707028661286</v>
      </c>
      <c r="H85">
        <v>1.932559496921088E-3</v>
      </c>
      <c r="I85">
        <v>-0.79246863067214246</v>
      </c>
      <c r="J85">
        <v>-1.5314927782174991E-3</v>
      </c>
      <c r="K85" s="96">
        <f t="shared" si="4"/>
        <v>0</v>
      </c>
      <c r="L85" s="96">
        <f t="shared" si="5"/>
        <v>0</v>
      </c>
      <c r="M85" s="96">
        <f t="shared" si="6"/>
        <v>1</v>
      </c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0.63427711513327134</v>
      </c>
      <c r="H86">
        <v>7.6612180056514559E-3</v>
      </c>
      <c r="I86">
        <v>-0.97907936677922147</v>
      </c>
      <c r="J86">
        <v>-7.500940473730797E-3</v>
      </c>
      <c r="K86" s="96">
        <f t="shared" si="4"/>
        <v>0</v>
      </c>
      <c r="L86" s="96">
        <f t="shared" si="5"/>
        <v>0</v>
      </c>
      <c r="M86" s="96">
        <f t="shared" si="6"/>
        <v>1</v>
      </c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3.8078170571478438</v>
      </c>
      <c r="H87">
        <v>7.6612180056514559E-3</v>
      </c>
      <c r="I87">
        <v>-0.88079776130467002</v>
      </c>
      <c r="J87">
        <v>-6.7479836682448309E-3</v>
      </c>
      <c r="K87" s="96">
        <f t="shared" si="4"/>
        <v>0</v>
      </c>
      <c r="L87" s="96">
        <f t="shared" si="5"/>
        <v>0</v>
      </c>
      <c r="M87" s="96">
        <f t="shared" si="6"/>
        <v>1</v>
      </c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6.1855072914365561</v>
      </c>
      <c r="H88">
        <v>1.932559496921088E-3</v>
      </c>
      <c r="I88">
        <v>-0.81368368946422609</v>
      </c>
      <c r="J88">
        <v>-1.5724921415638795E-3</v>
      </c>
      <c r="K88" s="96">
        <f t="shared" si="4"/>
        <v>0</v>
      </c>
      <c r="L88" s="96">
        <f t="shared" si="5"/>
        <v>0</v>
      </c>
      <c r="M88" s="96">
        <f t="shared" si="6"/>
        <v>1</v>
      </c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-0.25</v>
      </c>
      <c r="H89">
        <v>1.932559496921088E-3</v>
      </c>
      <c r="I89">
        <v>-1.008368152207447</v>
      </c>
      <c r="J89">
        <v>-1.9487314489412709E-3</v>
      </c>
      <c r="K89" s="96">
        <f t="shared" si="4"/>
        <v>0</v>
      </c>
      <c r="L89" s="96">
        <f t="shared" si="5"/>
        <v>0</v>
      </c>
      <c r="M89" s="96">
        <f t="shared" si="6"/>
        <v>1</v>
      </c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3.0152536457182788</v>
      </c>
      <c r="H90">
        <v>1.932559496921088E-3</v>
      </c>
      <c r="I90">
        <v>-0.90437746599804725</v>
      </c>
      <c r="J90">
        <v>-1.7477632607159545E-3</v>
      </c>
      <c r="K90" s="96">
        <f t="shared" si="4"/>
        <v>0</v>
      </c>
      <c r="L90" s="96">
        <f t="shared" si="5"/>
        <v>0</v>
      </c>
      <c r="M90" s="96">
        <f t="shared" si="6"/>
        <v>1</v>
      </c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5.3929438800069889</v>
      </c>
      <c r="H91">
        <v>4.8749248570982399E-4</v>
      </c>
      <c r="I91">
        <v>-0.83546669341165258</v>
      </c>
      <c r="J91">
        <v>-4.0728373509901392E-4</v>
      </c>
      <c r="K91" s="96">
        <f t="shared" si="4"/>
        <v>0</v>
      </c>
      <c r="L91" s="96">
        <f t="shared" si="5"/>
        <v>0</v>
      </c>
      <c r="M91" s="96">
        <f t="shared" si="6"/>
        <v>1</v>
      </c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1.4301268228591395</v>
      </c>
      <c r="H92">
        <v>7.6612180056514559E-3</v>
      </c>
      <c r="I92">
        <v>-0.95344752065775173</v>
      </c>
      <c r="J92">
        <v>-7.3045693127069058E-3</v>
      </c>
      <c r="K92" s="96">
        <f t="shared" si="4"/>
        <v>0</v>
      </c>
      <c r="L92" s="96">
        <f t="shared" si="5"/>
        <v>0</v>
      </c>
      <c r="M92" s="96">
        <f t="shared" si="6"/>
        <v>1</v>
      </c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4.6003804685774154</v>
      </c>
      <c r="H93">
        <v>7.6612180056514559E-3</v>
      </c>
      <c r="I93">
        <v>-0.8578328468889489</v>
      </c>
      <c r="J93">
        <v>-6.572044452424864E-3</v>
      </c>
      <c r="K93" s="96">
        <f t="shared" si="4"/>
        <v>0</v>
      </c>
      <c r="L93" s="96">
        <f t="shared" si="5"/>
        <v>0</v>
      </c>
      <c r="M93" s="96">
        <f t="shared" si="6"/>
        <v>1</v>
      </c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6.9780707028661286</v>
      </c>
      <c r="H94">
        <v>1.932559496921088E-3</v>
      </c>
      <c r="I94">
        <v>-0.79246863067214246</v>
      </c>
      <c r="J94">
        <v>-1.5314927782174991E-3</v>
      </c>
      <c r="K94" s="96">
        <f t="shared" si="4"/>
        <v>0</v>
      </c>
      <c r="L94" s="96">
        <f t="shared" si="5"/>
        <v>0</v>
      </c>
      <c r="M94" s="96">
        <f t="shared" si="6"/>
        <v>1</v>
      </c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0.63427711513327134</v>
      </c>
      <c r="H95">
        <v>7.6612180056514559E-3</v>
      </c>
      <c r="I95">
        <v>-0.97907936677922147</v>
      </c>
      <c r="J95">
        <v>-7.500940473730797E-3</v>
      </c>
      <c r="K95" s="96">
        <f t="shared" si="4"/>
        <v>0</v>
      </c>
      <c r="L95" s="96">
        <f t="shared" si="5"/>
        <v>0</v>
      </c>
      <c r="M95" s="96">
        <f t="shared" si="6"/>
        <v>1</v>
      </c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3.8078170571478438</v>
      </c>
      <c r="H96">
        <v>7.6612180056514559E-3</v>
      </c>
      <c r="I96">
        <v>-0.88079776130467002</v>
      </c>
      <c r="J96">
        <v>-6.7479836682448309E-3</v>
      </c>
      <c r="K96" s="96">
        <f t="shared" si="4"/>
        <v>0</v>
      </c>
      <c r="L96" s="96">
        <f t="shared" si="5"/>
        <v>0</v>
      </c>
      <c r="M96" s="96">
        <f t="shared" si="6"/>
        <v>1</v>
      </c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6.1855072914365561</v>
      </c>
      <c r="H97">
        <v>1.932559496921088E-3</v>
      </c>
      <c r="I97">
        <v>-0.81368368946422609</v>
      </c>
      <c r="J97">
        <v>-1.5724921415638795E-3</v>
      </c>
      <c r="K97" s="96">
        <f t="shared" si="4"/>
        <v>0</v>
      </c>
      <c r="L97" s="96">
        <f t="shared" si="5"/>
        <v>0</v>
      </c>
      <c r="M97" s="96">
        <f t="shared" si="6"/>
        <v>1</v>
      </c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-0.25</v>
      </c>
      <c r="H98">
        <v>1.932559496921088E-3</v>
      </c>
      <c r="I98">
        <v>-1.008368152207447</v>
      </c>
      <c r="J98">
        <v>-1.9487314489412709E-3</v>
      </c>
      <c r="K98" s="96">
        <f t="shared" si="4"/>
        <v>0</v>
      </c>
      <c r="L98" s="96">
        <f t="shared" si="5"/>
        <v>0</v>
      </c>
      <c r="M98" s="96">
        <f t="shared" si="6"/>
        <v>1</v>
      </c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3.0152536457182788</v>
      </c>
      <c r="H99">
        <v>1.932559496921088E-3</v>
      </c>
      <c r="I99">
        <v>-0.90437746599804725</v>
      </c>
      <c r="J99">
        <v>-1.7477632607159545E-3</v>
      </c>
      <c r="K99" s="96">
        <f t="shared" si="4"/>
        <v>0</v>
      </c>
      <c r="L99" s="96">
        <f t="shared" si="5"/>
        <v>0</v>
      </c>
      <c r="M99" s="96">
        <f t="shared" si="6"/>
        <v>1</v>
      </c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5.3929438800069889</v>
      </c>
      <c r="H100">
        <v>4.8749248570982399E-4</v>
      </c>
      <c r="I100">
        <v>-0.83546669341165258</v>
      </c>
      <c r="J100">
        <v>-4.0728373509901392E-4</v>
      </c>
      <c r="K100" s="96">
        <f t="shared" si="4"/>
        <v>0</v>
      </c>
      <c r="L100" s="96">
        <f t="shared" si="5"/>
        <v>0</v>
      </c>
      <c r="M100" s="96">
        <f t="shared" si="6"/>
        <v>1</v>
      </c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1.4301268228591395</v>
      </c>
      <c r="H101">
        <v>1.932559496921088E-3</v>
      </c>
      <c r="I101">
        <v>-0.95344752065775173</v>
      </c>
      <c r="J101">
        <v>-1.8425940608630034E-3</v>
      </c>
      <c r="K101" s="96">
        <f t="shared" si="4"/>
        <v>0</v>
      </c>
      <c r="L101" s="96">
        <f t="shared" si="5"/>
        <v>0</v>
      </c>
      <c r="M101" s="96">
        <f t="shared" si="6"/>
        <v>1</v>
      </c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4.6003804685774154</v>
      </c>
      <c r="H102">
        <v>1.932559496921088E-3</v>
      </c>
      <c r="I102">
        <v>-0.8578328468889489</v>
      </c>
      <c r="J102">
        <v>-1.6578130150260919E-3</v>
      </c>
      <c r="K102" s="96">
        <f t="shared" si="4"/>
        <v>0</v>
      </c>
      <c r="L102" s="96">
        <f t="shared" si="5"/>
        <v>0</v>
      </c>
      <c r="M102" s="96">
        <f t="shared" si="6"/>
        <v>1</v>
      </c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6.9780707028661286</v>
      </c>
      <c r="H103">
        <v>4.8749248570982399E-4</v>
      </c>
      <c r="I103">
        <v>-0.79246863067214246</v>
      </c>
      <c r="J103">
        <v>-3.8632250261342319E-4</v>
      </c>
      <c r="K103" s="96">
        <f t="shared" si="4"/>
        <v>0</v>
      </c>
      <c r="L103" s="96">
        <f t="shared" si="5"/>
        <v>0</v>
      </c>
      <c r="M103" s="96">
        <f t="shared" si="6"/>
        <v>1</v>
      </c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0.63427711513327134</v>
      </c>
      <c r="H104">
        <v>1.932559496921088E-3</v>
      </c>
      <c r="I104">
        <v>-0.97907936677922147</v>
      </c>
      <c r="J104">
        <v>-1.8921291285086696E-3</v>
      </c>
      <c r="K104" s="96">
        <f t="shared" si="4"/>
        <v>0</v>
      </c>
      <c r="L104" s="96">
        <f t="shared" si="5"/>
        <v>0</v>
      </c>
      <c r="M104" s="96">
        <f t="shared" si="6"/>
        <v>1</v>
      </c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3.8078170571478438</v>
      </c>
      <c r="H105">
        <v>1.932559496921088E-3</v>
      </c>
      <c r="I105">
        <v>-0.88079776130467002</v>
      </c>
      <c r="J105">
        <v>-1.7021940784761737E-3</v>
      </c>
      <c r="K105" s="96">
        <f t="shared" si="4"/>
        <v>0</v>
      </c>
      <c r="L105" s="96">
        <f t="shared" si="5"/>
        <v>0</v>
      </c>
      <c r="M105" s="96">
        <f t="shared" si="6"/>
        <v>1</v>
      </c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6.1855072914365561</v>
      </c>
      <c r="H106">
        <v>4.8749248570982399E-4</v>
      </c>
      <c r="I106">
        <v>-0.81368368946422609</v>
      </c>
      <c r="J106">
        <v>-3.966646843584561E-4</v>
      </c>
      <c r="K106" s="96">
        <f t="shared" si="4"/>
        <v>0</v>
      </c>
      <c r="L106" s="96">
        <f t="shared" si="5"/>
        <v>0</v>
      </c>
      <c r="M106" s="96">
        <f t="shared" si="6"/>
        <v>1</v>
      </c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-0.25</v>
      </c>
      <c r="H107">
        <v>4.8749248570982405E-4</v>
      </c>
      <c r="I107">
        <v>-1.008368152207447</v>
      </c>
      <c r="J107">
        <v>-4.9157189703023059E-4</v>
      </c>
      <c r="K107" s="96">
        <f t="shared" si="4"/>
        <v>0</v>
      </c>
      <c r="L107" s="96">
        <f t="shared" si="5"/>
        <v>0</v>
      </c>
      <c r="M107" s="96">
        <f t="shared" si="6"/>
        <v>1</v>
      </c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3.0152536457182788</v>
      </c>
      <c r="H108">
        <v>4.8749248570982405E-4</v>
      </c>
      <c r="I108">
        <v>-0.90437746599804725</v>
      </c>
      <c r="J108">
        <v>-4.408772189193399E-4</v>
      </c>
      <c r="K108" s="96">
        <f t="shared" si="4"/>
        <v>0</v>
      </c>
      <c r="L108" s="96">
        <f t="shared" si="5"/>
        <v>0</v>
      </c>
      <c r="M108" s="96">
        <f t="shared" si="6"/>
        <v>1</v>
      </c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5.3929438800069889</v>
      </c>
      <c r="H109">
        <v>1.2297107747635201E-4</v>
      </c>
      <c r="I109">
        <v>-0.83546669341165258</v>
      </c>
      <c r="J109">
        <v>-1.0273823948443596E-4</v>
      </c>
      <c r="K109" s="96">
        <f t="shared" si="4"/>
        <v>0</v>
      </c>
      <c r="L109" s="96">
        <f t="shared" si="5"/>
        <v>0</v>
      </c>
      <c r="M109" s="96">
        <f t="shared" si="6"/>
        <v>1</v>
      </c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1.7959253204420147</v>
      </c>
      <c r="H110">
        <v>7.6612180056514559E-3</v>
      </c>
      <c r="I110">
        <v>-0.94189245522782816</v>
      </c>
      <c r="J110">
        <v>-7.216043437378695E-3</v>
      </c>
      <c r="K110" s="96">
        <f t="shared" si="4"/>
        <v>0</v>
      </c>
      <c r="L110" s="96">
        <f t="shared" si="5"/>
        <v>0</v>
      </c>
      <c r="M110" s="96">
        <f t="shared" si="6"/>
        <v>1</v>
      </c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5.6977759613260535</v>
      </c>
      <c r="H111">
        <v>7.6612180056514559E-3</v>
      </c>
      <c r="I111">
        <v>-0.82702044251906703</v>
      </c>
      <c r="J111">
        <v>-6.3359839052689109E-3</v>
      </c>
      <c r="K111" s="96">
        <f t="shared" si="4"/>
        <v>0</v>
      </c>
      <c r="L111" s="96">
        <f t="shared" si="5"/>
        <v>0</v>
      </c>
      <c r="M111" s="96">
        <f t="shared" si="6"/>
        <v>1</v>
      </c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8.6241639419890763</v>
      </c>
      <c r="H112">
        <v>1.932559496921088E-3</v>
      </c>
      <c r="I112">
        <v>-0.75015747231848251</v>
      </c>
      <c r="J112">
        <v>-1.4497239473154015E-3</v>
      </c>
      <c r="K112" s="96">
        <f t="shared" si="4"/>
        <v>0</v>
      </c>
      <c r="L112" s="96">
        <f t="shared" si="5"/>
        <v>0</v>
      </c>
      <c r="M112" s="96">
        <f t="shared" si="6"/>
        <v>1</v>
      </c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0.81804191948026783</v>
      </c>
      <c r="H113">
        <v>7.6612180056514559E-3</v>
      </c>
      <c r="I113">
        <v>-0.97310035340226853</v>
      </c>
      <c r="J113">
        <v>-7.4551339487912548E-3</v>
      </c>
      <c r="K113" s="96">
        <f t="shared" si="4"/>
        <v>0</v>
      </c>
      <c r="L113" s="96">
        <f t="shared" si="5"/>
        <v>0</v>
      </c>
      <c r="M113" s="96">
        <f t="shared" si="6"/>
        <v>1</v>
      </c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4.7223133011050455</v>
      </c>
      <c r="H114">
        <v>7.6612180056514559E-3</v>
      </c>
      <c r="I114">
        <v>-0.8543533231867686</v>
      </c>
      <c r="J114">
        <v>-6.5453870627866289E-3</v>
      </c>
      <c r="K114" s="96">
        <f t="shared" si="4"/>
        <v>0</v>
      </c>
      <c r="L114" s="96">
        <f t="shared" si="5"/>
        <v>0</v>
      </c>
      <c r="M114" s="96">
        <f t="shared" si="6"/>
        <v>1</v>
      </c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7.6487012817680666</v>
      </c>
      <c r="H115">
        <v>1.932559496921088E-3</v>
      </c>
      <c r="I115">
        <v>-0.77495004529335554</v>
      </c>
      <c r="J115">
        <v>-1.4976370696711016E-3</v>
      </c>
      <c r="K115" s="96">
        <f t="shared" si="4"/>
        <v>0</v>
      </c>
      <c r="L115" s="96">
        <f t="shared" si="5"/>
        <v>0</v>
      </c>
      <c r="M115" s="96">
        <f t="shared" si="6"/>
        <v>1</v>
      </c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-0.25</v>
      </c>
      <c r="H116">
        <v>1.932559496921088E-3</v>
      </c>
      <c r="I116">
        <v>-1.008368152207447</v>
      </c>
      <c r="J116">
        <v>-1.9487314489412709E-3</v>
      </c>
      <c r="K116" s="96">
        <f t="shared" si="4"/>
        <v>0</v>
      </c>
      <c r="L116" s="96">
        <f t="shared" si="5"/>
        <v>0</v>
      </c>
      <c r="M116" s="96">
        <f t="shared" si="6"/>
        <v>1</v>
      </c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3.7468506408840345</v>
      </c>
      <c r="H117">
        <v>1.932559496921088E-3</v>
      </c>
      <c r="I117">
        <v>-0.88258955076971601</v>
      </c>
      <c r="J117">
        <v>-1.7056568182233314E-3</v>
      </c>
      <c r="K117" s="96">
        <f t="shared" si="4"/>
        <v>0</v>
      </c>
      <c r="L117" s="96">
        <f t="shared" si="5"/>
        <v>0</v>
      </c>
      <c r="M117" s="96">
        <f t="shared" si="6"/>
        <v>1</v>
      </c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6.6732386215470569</v>
      </c>
      <c r="H118">
        <v>4.8749248570982399E-4</v>
      </c>
      <c r="I118">
        <v>-0.80056200845948344</v>
      </c>
      <c r="J118">
        <v>-3.9026796346876275E-4</v>
      </c>
      <c r="K118" s="96">
        <f t="shared" si="4"/>
        <v>0</v>
      </c>
      <c r="L118" s="96">
        <f t="shared" si="5"/>
        <v>0</v>
      </c>
      <c r="M118" s="96">
        <f t="shared" si="6"/>
        <v>1</v>
      </c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1.7959253204420147</v>
      </c>
      <c r="H119">
        <v>7.6612180056514559E-3</v>
      </c>
      <c r="I119">
        <v>-0.94189245522782816</v>
      </c>
      <c r="J119">
        <v>-7.216043437378695E-3</v>
      </c>
      <c r="K119" s="96">
        <f t="shared" si="4"/>
        <v>0</v>
      </c>
      <c r="L119" s="96">
        <f t="shared" si="5"/>
        <v>0</v>
      </c>
      <c r="M119" s="96">
        <f t="shared" si="6"/>
        <v>1</v>
      </c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5.6977759613260535</v>
      </c>
      <c r="H120">
        <v>7.6612180056514559E-3</v>
      </c>
      <c r="I120">
        <v>-0.82702044251906703</v>
      </c>
      <c r="J120">
        <v>-6.3359839052689109E-3</v>
      </c>
      <c r="K120" s="96">
        <f t="shared" si="4"/>
        <v>0</v>
      </c>
      <c r="L120" s="96">
        <f t="shared" si="5"/>
        <v>0</v>
      </c>
      <c r="M120" s="96">
        <f t="shared" si="6"/>
        <v>1</v>
      </c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8.6241639419890763</v>
      </c>
      <c r="H121">
        <v>1.932559496921088E-3</v>
      </c>
      <c r="I121">
        <v>-0.75015747231848251</v>
      </c>
      <c r="J121">
        <v>-1.4497239473154015E-3</v>
      </c>
      <c r="K121" s="96">
        <f t="shared" si="4"/>
        <v>0</v>
      </c>
      <c r="L121" s="96">
        <f t="shared" si="5"/>
        <v>0</v>
      </c>
      <c r="M121" s="96">
        <f t="shared" si="6"/>
        <v>1</v>
      </c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0.81804191948026783</v>
      </c>
      <c r="H122">
        <v>7.6612180056514559E-3</v>
      </c>
      <c r="I122">
        <v>-0.97310035340226853</v>
      </c>
      <c r="J122">
        <v>-7.4551339487912548E-3</v>
      </c>
      <c r="K122" s="96">
        <f t="shared" si="4"/>
        <v>0</v>
      </c>
      <c r="L122" s="96">
        <f t="shared" si="5"/>
        <v>0</v>
      </c>
      <c r="M122" s="96">
        <f t="shared" si="6"/>
        <v>1</v>
      </c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4.7223133011050455</v>
      </c>
      <c r="H123">
        <v>7.6612180056514559E-3</v>
      </c>
      <c r="I123">
        <v>-0.8543533231867686</v>
      </c>
      <c r="J123">
        <v>-6.5453870627866289E-3</v>
      </c>
      <c r="K123" s="96">
        <f t="shared" si="4"/>
        <v>0</v>
      </c>
      <c r="L123" s="96">
        <f t="shared" si="5"/>
        <v>0</v>
      </c>
      <c r="M123" s="96">
        <f t="shared" si="6"/>
        <v>1</v>
      </c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7.6487012817680666</v>
      </c>
      <c r="H124">
        <v>1.932559496921088E-3</v>
      </c>
      <c r="I124">
        <v>-0.77495004529335554</v>
      </c>
      <c r="J124">
        <v>-1.4976370696711016E-3</v>
      </c>
      <c r="K124" s="96">
        <f t="shared" si="4"/>
        <v>0</v>
      </c>
      <c r="L124" s="96">
        <f t="shared" si="5"/>
        <v>0</v>
      </c>
      <c r="M124" s="96">
        <f t="shared" si="6"/>
        <v>1</v>
      </c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-0.25</v>
      </c>
      <c r="H125">
        <v>1.932559496921088E-3</v>
      </c>
      <c r="I125">
        <v>-1.008368152207447</v>
      </c>
      <c r="J125">
        <v>-1.9487314489412709E-3</v>
      </c>
      <c r="K125" s="96">
        <f t="shared" si="4"/>
        <v>0</v>
      </c>
      <c r="L125" s="96">
        <f t="shared" si="5"/>
        <v>0</v>
      </c>
      <c r="M125" s="96">
        <f t="shared" si="6"/>
        <v>1</v>
      </c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3.7468506408840345</v>
      </c>
      <c r="H126">
        <v>1.932559496921088E-3</v>
      </c>
      <c r="I126">
        <v>-0.88258955076971601</v>
      </c>
      <c r="J126">
        <v>-1.7056568182233314E-3</v>
      </c>
      <c r="K126" s="96">
        <f t="shared" si="4"/>
        <v>0</v>
      </c>
      <c r="L126" s="96">
        <f t="shared" si="5"/>
        <v>0</v>
      </c>
      <c r="M126" s="96">
        <f t="shared" si="6"/>
        <v>1</v>
      </c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6.6732386215470569</v>
      </c>
      <c r="H127">
        <v>4.8749248570982399E-4</v>
      </c>
      <c r="I127">
        <v>-0.80056200845948344</v>
      </c>
      <c r="J127">
        <v>-3.9026796346876275E-4</v>
      </c>
      <c r="K127" s="96">
        <f t="shared" si="4"/>
        <v>0</v>
      </c>
      <c r="L127" s="96">
        <f t="shared" si="5"/>
        <v>0</v>
      </c>
      <c r="M127" s="96">
        <f t="shared" si="6"/>
        <v>1</v>
      </c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1.7959253204420147</v>
      </c>
      <c r="H128">
        <v>1.932559496921088E-3</v>
      </c>
      <c r="I128">
        <v>-0.94189245522782816</v>
      </c>
      <c r="J128">
        <v>-1.82026320942886E-3</v>
      </c>
      <c r="K128" s="96">
        <f t="shared" si="4"/>
        <v>0</v>
      </c>
      <c r="L128" s="96">
        <f t="shared" si="5"/>
        <v>0</v>
      </c>
      <c r="M128" s="96">
        <f t="shared" si="6"/>
        <v>1</v>
      </c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5.6977759613260535</v>
      </c>
      <c r="H129">
        <v>1.932559496921088E-3</v>
      </c>
      <c r="I129">
        <v>-0.82702044251906703</v>
      </c>
      <c r="J129">
        <v>-1.5982662103381038E-3</v>
      </c>
      <c r="K129" s="96">
        <f t="shared" si="4"/>
        <v>0</v>
      </c>
      <c r="L129" s="96">
        <f t="shared" si="5"/>
        <v>0</v>
      </c>
      <c r="M129" s="96">
        <f t="shared" si="6"/>
        <v>1</v>
      </c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8.6241639419890763</v>
      </c>
      <c r="H130">
        <v>4.8749248570982399E-4</v>
      </c>
      <c r="I130">
        <v>-0.75015747231848251</v>
      </c>
      <c r="J130">
        <v>-3.656961308543355E-4</v>
      </c>
      <c r="K130" s="96">
        <f t="shared" si="4"/>
        <v>0</v>
      </c>
      <c r="L130" s="96">
        <f t="shared" si="5"/>
        <v>0</v>
      </c>
      <c r="M130" s="96">
        <f t="shared" si="6"/>
        <v>1</v>
      </c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0.81804191948026783</v>
      </c>
      <c r="H131">
        <v>1.932559496921088E-3</v>
      </c>
      <c r="I131">
        <v>-0.97310035340226853</v>
      </c>
      <c r="J131">
        <v>-1.8805743294248211E-3</v>
      </c>
      <c r="K131" s="96">
        <f t="shared" ref="K131:K194" si="7">IF(A131=3,1,0)</f>
        <v>0</v>
      </c>
      <c r="L131" s="96">
        <f t="shared" ref="L131:L194" si="8">IF(A131=2,1,0)</f>
        <v>0</v>
      </c>
      <c r="M131" s="96">
        <f t="shared" ref="M131:M194" si="9">IF(A131=1,1,0)</f>
        <v>1</v>
      </c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4.7223133011050455</v>
      </c>
      <c r="H132">
        <v>1.932559496921088E-3</v>
      </c>
      <c r="I132">
        <v>-0.8543533231867686</v>
      </c>
      <c r="J132">
        <v>-1.6510886284506812E-3</v>
      </c>
      <c r="K132" s="96">
        <f t="shared" si="7"/>
        <v>0</v>
      </c>
      <c r="L132" s="96">
        <f t="shared" si="8"/>
        <v>0</v>
      </c>
      <c r="M132" s="96">
        <f t="shared" si="9"/>
        <v>1</v>
      </c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7.6487012817680666</v>
      </c>
      <c r="H133">
        <v>4.8749248570982399E-4</v>
      </c>
      <c r="I133">
        <v>-0.77495004529335554</v>
      </c>
      <c r="J133">
        <v>-3.7778232388099858E-4</v>
      </c>
      <c r="K133" s="96">
        <f t="shared" si="7"/>
        <v>0</v>
      </c>
      <c r="L133" s="96">
        <f t="shared" si="8"/>
        <v>0</v>
      </c>
      <c r="M133" s="96">
        <f t="shared" si="9"/>
        <v>1</v>
      </c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-0.25</v>
      </c>
      <c r="H134">
        <v>4.8749248570982405E-4</v>
      </c>
      <c r="I134">
        <v>-1.008368152207447</v>
      </c>
      <c r="J134">
        <v>-4.9157189703023059E-4</v>
      </c>
      <c r="K134" s="96">
        <f t="shared" si="7"/>
        <v>0</v>
      </c>
      <c r="L134" s="96">
        <f t="shared" si="8"/>
        <v>0</v>
      </c>
      <c r="M134" s="96">
        <f t="shared" si="9"/>
        <v>1</v>
      </c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3.7468506408840345</v>
      </c>
      <c r="H135">
        <v>4.8749248570982405E-4</v>
      </c>
      <c r="I135">
        <v>-0.88258955076971601</v>
      </c>
      <c r="J135">
        <v>-4.3025577396624579E-4</v>
      </c>
      <c r="K135" s="96">
        <f t="shared" si="7"/>
        <v>0</v>
      </c>
      <c r="L135" s="96">
        <f t="shared" si="8"/>
        <v>0</v>
      </c>
      <c r="M135" s="96">
        <f t="shared" si="9"/>
        <v>1</v>
      </c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6.6732386215470569</v>
      </c>
      <c r="H136">
        <v>1.2297107747635201E-4</v>
      </c>
      <c r="I136">
        <v>-0.80056200845948344</v>
      </c>
      <c r="J136">
        <v>-9.8445972766895108E-5</v>
      </c>
      <c r="K136" s="96">
        <f t="shared" si="7"/>
        <v>0</v>
      </c>
      <c r="L136" s="96">
        <f t="shared" si="8"/>
        <v>0</v>
      </c>
      <c r="M136" s="96">
        <f t="shared" si="9"/>
        <v>1</v>
      </c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2.0397909854972673</v>
      </c>
      <c r="H137">
        <v>1.932559496921088E-3</v>
      </c>
      <c r="I137">
        <v>-0.93426698273283226</v>
      </c>
      <c r="J137">
        <v>-1.8055265301401451E-3</v>
      </c>
      <c r="K137" s="96">
        <f t="shared" si="7"/>
        <v>0</v>
      </c>
      <c r="L137" s="96">
        <f t="shared" si="8"/>
        <v>0</v>
      </c>
      <c r="M137" s="96">
        <f t="shared" si="9"/>
        <v>1</v>
      </c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6.4293729564918083</v>
      </c>
      <c r="H138">
        <v>1.932559496921088E-3</v>
      </c>
      <c r="I138">
        <v>-0.80709618304648389</v>
      </c>
      <c r="J138">
        <v>-1.5597613934752433E-3</v>
      </c>
      <c r="K138" s="96">
        <f t="shared" si="7"/>
        <v>0</v>
      </c>
      <c r="L138" s="96">
        <f t="shared" si="8"/>
        <v>0</v>
      </c>
      <c r="M138" s="96">
        <f t="shared" si="9"/>
        <v>1</v>
      </c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9.7215594347377152</v>
      </c>
      <c r="H139">
        <v>4.8749248570982399E-4</v>
      </c>
      <c r="I139">
        <v>-0.72321264797188367</v>
      </c>
      <c r="J139">
        <v>-3.5256073145659747E-4</v>
      </c>
      <c r="K139" s="96">
        <f t="shared" si="7"/>
        <v>0</v>
      </c>
      <c r="L139" s="96">
        <f t="shared" si="8"/>
        <v>0</v>
      </c>
      <c r="M139" s="96">
        <f t="shared" si="9"/>
        <v>1</v>
      </c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0.94055178904493064</v>
      </c>
      <c r="H140">
        <v>1.932559496921088E-3</v>
      </c>
      <c r="I140">
        <v>-0.96913464297887142</v>
      </c>
      <c r="J140">
        <v>-1.8729103580840459E-3</v>
      </c>
      <c r="K140" s="96">
        <f t="shared" si="7"/>
        <v>0</v>
      </c>
      <c r="L140" s="96">
        <f t="shared" si="8"/>
        <v>0</v>
      </c>
      <c r="M140" s="96">
        <f t="shared" si="9"/>
        <v>1</v>
      </c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5.3319774637431747</v>
      </c>
      <c r="H141">
        <v>1.932559496921088E-3</v>
      </c>
      <c r="I141">
        <v>-0.83716626678186012</v>
      </c>
      <c r="J141">
        <v>-1.6178736193712569E-3</v>
      </c>
      <c r="K141" s="96">
        <f t="shared" si="7"/>
        <v>0</v>
      </c>
      <c r="L141" s="96">
        <f t="shared" si="8"/>
        <v>0</v>
      </c>
      <c r="M141" s="96">
        <f t="shared" si="9"/>
        <v>1</v>
      </c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8.6241639419890781</v>
      </c>
      <c r="H142">
        <v>4.8749248570982399E-4</v>
      </c>
      <c r="I142">
        <v>-0.75015747231848251</v>
      </c>
      <c r="J142">
        <v>-3.656961308543355E-4</v>
      </c>
      <c r="K142" s="96">
        <f t="shared" si="7"/>
        <v>0</v>
      </c>
      <c r="L142" s="96">
        <f t="shared" si="8"/>
        <v>0</v>
      </c>
      <c r="M142" s="96">
        <f t="shared" si="9"/>
        <v>1</v>
      </c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-0.25</v>
      </c>
      <c r="H143">
        <v>4.8749248570982405E-4</v>
      </c>
      <c r="I143">
        <v>-1.008368152207447</v>
      </c>
      <c r="J143">
        <v>-4.9157189703023059E-4</v>
      </c>
      <c r="K143" s="96">
        <f t="shared" si="7"/>
        <v>0</v>
      </c>
      <c r="L143" s="96">
        <f t="shared" si="8"/>
        <v>0</v>
      </c>
      <c r="M143" s="96">
        <f t="shared" si="9"/>
        <v>1</v>
      </c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4.2345819709945394</v>
      </c>
      <c r="H144">
        <v>4.8749248570982405E-4</v>
      </c>
      <c r="I144">
        <v>-0.8683566753990114</v>
      </c>
      <c r="J144">
        <v>-4.2331735417298287E-4</v>
      </c>
      <c r="K144" s="96">
        <f t="shared" si="7"/>
        <v>0</v>
      </c>
      <c r="L144" s="96">
        <f t="shared" si="8"/>
        <v>0</v>
      </c>
      <c r="M144" s="96">
        <f t="shared" si="9"/>
        <v>1</v>
      </c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7.5267684492404419</v>
      </c>
      <c r="H145">
        <v>1.2297107747635201E-4</v>
      </c>
      <c r="I145">
        <v>-0.7781061833657702</v>
      </c>
      <c r="J145">
        <v>-9.568455575950069E-5</v>
      </c>
      <c r="K145" s="96">
        <f t="shared" si="7"/>
        <v>0</v>
      </c>
      <c r="L145" s="96">
        <f t="shared" si="8"/>
        <v>0</v>
      </c>
      <c r="M145" s="96">
        <f t="shared" si="9"/>
        <v>1</v>
      </c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2.0397909854972673</v>
      </c>
      <c r="H146">
        <v>1.932559496921088E-3</v>
      </c>
      <c r="I146">
        <v>-0.93426698273283226</v>
      </c>
      <c r="J146">
        <v>-1.8055265301401451E-3</v>
      </c>
      <c r="K146" s="96">
        <f t="shared" si="7"/>
        <v>0</v>
      </c>
      <c r="L146" s="96">
        <f t="shared" si="8"/>
        <v>0</v>
      </c>
      <c r="M146" s="96">
        <f t="shared" si="9"/>
        <v>1</v>
      </c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6.4293729564918083</v>
      </c>
      <c r="H147">
        <v>1.932559496921088E-3</v>
      </c>
      <c r="I147">
        <v>-0.80709618304648389</v>
      </c>
      <c r="J147">
        <v>-1.5597613934752433E-3</v>
      </c>
      <c r="K147" s="96">
        <f t="shared" si="7"/>
        <v>0</v>
      </c>
      <c r="L147" s="96">
        <f t="shared" si="8"/>
        <v>0</v>
      </c>
      <c r="M147" s="96">
        <f t="shared" si="9"/>
        <v>1</v>
      </c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9.7215594347377152</v>
      </c>
      <c r="H148">
        <v>4.8749248570982399E-4</v>
      </c>
      <c r="I148">
        <v>-0.72321264797188367</v>
      </c>
      <c r="J148">
        <v>-3.5256073145659747E-4</v>
      </c>
      <c r="K148" s="96">
        <f t="shared" si="7"/>
        <v>0</v>
      </c>
      <c r="L148" s="96">
        <f t="shared" si="8"/>
        <v>0</v>
      </c>
      <c r="M148" s="96">
        <f t="shared" si="9"/>
        <v>1</v>
      </c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0.94055178904493064</v>
      </c>
      <c r="H149">
        <v>1.932559496921088E-3</v>
      </c>
      <c r="I149">
        <v>-0.96913464297887142</v>
      </c>
      <c r="J149">
        <v>-1.8729103580840459E-3</v>
      </c>
      <c r="K149" s="96">
        <f t="shared" si="7"/>
        <v>0</v>
      </c>
      <c r="L149" s="96">
        <f t="shared" si="8"/>
        <v>0</v>
      </c>
      <c r="M149" s="96">
        <f t="shared" si="9"/>
        <v>1</v>
      </c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5.3319774637431747</v>
      </c>
      <c r="H150">
        <v>1.932559496921088E-3</v>
      </c>
      <c r="I150">
        <v>-0.83716626678186012</v>
      </c>
      <c r="J150">
        <v>-1.6178736193712569E-3</v>
      </c>
      <c r="K150" s="96">
        <f t="shared" si="7"/>
        <v>0</v>
      </c>
      <c r="L150" s="96">
        <f t="shared" si="8"/>
        <v>0</v>
      </c>
      <c r="M150" s="96">
        <f t="shared" si="9"/>
        <v>1</v>
      </c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8.6241639419890781</v>
      </c>
      <c r="H151">
        <v>4.8749248570982399E-4</v>
      </c>
      <c r="I151">
        <v>-0.75015747231848251</v>
      </c>
      <c r="J151">
        <v>-3.656961308543355E-4</v>
      </c>
      <c r="K151" s="96">
        <f t="shared" si="7"/>
        <v>0</v>
      </c>
      <c r="L151" s="96">
        <f t="shared" si="8"/>
        <v>0</v>
      </c>
      <c r="M151" s="96">
        <f t="shared" si="9"/>
        <v>1</v>
      </c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-0.25</v>
      </c>
      <c r="H152">
        <v>4.8749248570982405E-4</v>
      </c>
      <c r="I152">
        <v>-1.008368152207447</v>
      </c>
      <c r="J152">
        <v>-4.9157189703023059E-4</v>
      </c>
      <c r="K152" s="96">
        <f t="shared" si="7"/>
        <v>0</v>
      </c>
      <c r="L152" s="96">
        <f t="shared" si="8"/>
        <v>0</v>
      </c>
      <c r="M152" s="96">
        <f t="shared" si="9"/>
        <v>1</v>
      </c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4.2345819709945394</v>
      </c>
      <c r="H153">
        <v>4.8749248570982405E-4</v>
      </c>
      <c r="I153">
        <v>-0.8683566753990114</v>
      </c>
      <c r="J153">
        <v>-4.2331735417298287E-4</v>
      </c>
      <c r="K153" s="96">
        <f t="shared" si="7"/>
        <v>0</v>
      </c>
      <c r="L153" s="96">
        <f t="shared" si="8"/>
        <v>0</v>
      </c>
      <c r="M153" s="96">
        <f t="shared" si="9"/>
        <v>1</v>
      </c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7.5267684492404419</v>
      </c>
      <c r="H154">
        <v>1.2297107747635201E-4</v>
      </c>
      <c r="I154">
        <v>-0.7781061833657702</v>
      </c>
      <c r="J154">
        <v>-9.568455575950069E-5</v>
      </c>
      <c r="K154" s="96">
        <f t="shared" si="7"/>
        <v>0</v>
      </c>
      <c r="L154" s="96">
        <f t="shared" si="8"/>
        <v>0</v>
      </c>
      <c r="M154" s="96">
        <f t="shared" si="9"/>
        <v>1</v>
      </c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2.0397909854972673</v>
      </c>
      <c r="H155">
        <v>4.8749248570982405E-4</v>
      </c>
      <c r="I155">
        <v>-0.93426698273283226</v>
      </c>
      <c r="J155">
        <v>-4.5544813372904564E-4</v>
      </c>
      <c r="K155" s="96">
        <f t="shared" si="7"/>
        <v>0</v>
      </c>
      <c r="L155" s="96">
        <f t="shared" si="8"/>
        <v>0</v>
      </c>
      <c r="M155" s="96">
        <f t="shared" si="9"/>
        <v>1</v>
      </c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6.4293729564918083</v>
      </c>
      <c r="H156">
        <v>4.8749248570982405E-4</v>
      </c>
      <c r="I156">
        <v>-0.80709618304648389</v>
      </c>
      <c r="J156">
        <v>-3.934533244802416E-4</v>
      </c>
      <c r="K156" s="96">
        <f t="shared" si="7"/>
        <v>0</v>
      </c>
      <c r="L156" s="96">
        <f t="shared" si="8"/>
        <v>0</v>
      </c>
      <c r="M156" s="96">
        <f t="shared" si="9"/>
        <v>1</v>
      </c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9.7215594347377152</v>
      </c>
      <c r="H157">
        <v>1.2297107747635201E-4</v>
      </c>
      <c r="I157">
        <v>-0.72321264797188367</v>
      </c>
      <c r="J157">
        <v>-8.8934238565628203E-5</v>
      </c>
      <c r="K157" s="96">
        <f t="shared" si="7"/>
        <v>0</v>
      </c>
      <c r="L157" s="96">
        <f t="shared" si="8"/>
        <v>0</v>
      </c>
      <c r="M157" s="96">
        <f t="shared" si="9"/>
        <v>1</v>
      </c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0.94055178904493064</v>
      </c>
      <c r="H158">
        <v>4.8749248570982405E-4</v>
      </c>
      <c r="I158">
        <v>-0.96913464297887142</v>
      </c>
      <c r="J158">
        <v>-4.7244585609327293E-4</v>
      </c>
      <c r="K158" s="96">
        <f t="shared" si="7"/>
        <v>0</v>
      </c>
      <c r="L158" s="96">
        <f t="shared" si="8"/>
        <v>0</v>
      </c>
      <c r="M158" s="96">
        <f t="shared" si="9"/>
        <v>1</v>
      </c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5.3319774637431747</v>
      </c>
      <c r="H159">
        <v>4.8749248570982405E-4</v>
      </c>
      <c r="I159">
        <v>-0.83716626678186012</v>
      </c>
      <c r="J159">
        <v>-4.0811226434590267E-4</v>
      </c>
      <c r="K159" s="96">
        <f t="shared" si="7"/>
        <v>0</v>
      </c>
      <c r="L159" s="96">
        <f t="shared" si="8"/>
        <v>0</v>
      </c>
      <c r="M159" s="96">
        <f t="shared" si="9"/>
        <v>1</v>
      </c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8.6241639419890781</v>
      </c>
      <c r="H160">
        <v>1.2297107747635201E-4</v>
      </c>
      <c r="I160">
        <v>-0.75015747231848251</v>
      </c>
      <c r="J160">
        <v>-9.2247672647940494E-5</v>
      </c>
      <c r="K160" s="96">
        <f t="shared" si="7"/>
        <v>0</v>
      </c>
      <c r="L160" s="96">
        <f t="shared" si="8"/>
        <v>0</v>
      </c>
      <c r="M160" s="96">
        <f t="shared" si="9"/>
        <v>1</v>
      </c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-0.25</v>
      </c>
      <c r="H161">
        <v>1.2297107747635201E-4</v>
      </c>
      <c r="I161">
        <v>-1.008368152207447</v>
      </c>
      <c r="J161">
        <v>-1.2400011816978787E-4</v>
      </c>
      <c r="K161" s="96">
        <f t="shared" si="7"/>
        <v>0</v>
      </c>
      <c r="L161" s="96">
        <f t="shared" si="8"/>
        <v>0</v>
      </c>
      <c r="M161" s="96">
        <f t="shared" si="9"/>
        <v>1</v>
      </c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4.2345819709945394</v>
      </c>
      <c r="H162">
        <v>1.2297107747635201E-4</v>
      </c>
      <c r="I162">
        <v>-0.8683566753990114</v>
      </c>
      <c r="J162">
        <v>-1.0678275600759928E-4</v>
      </c>
      <c r="K162" s="96">
        <f t="shared" si="7"/>
        <v>0</v>
      </c>
      <c r="L162" s="96">
        <f t="shared" si="8"/>
        <v>0</v>
      </c>
      <c r="M162" s="96">
        <f t="shared" si="9"/>
        <v>1</v>
      </c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7.5267684492404419</v>
      </c>
      <c r="H163">
        <v>3.1019731255295997E-5</v>
      </c>
      <c r="I163">
        <v>-0.7781061833657702</v>
      </c>
      <c r="J163">
        <v>-2.4136644696090259E-5</v>
      </c>
      <c r="K163" s="96">
        <f t="shared" si="7"/>
        <v>0</v>
      </c>
      <c r="L163" s="96">
        <f t="shared" si="8"/>
        <v>0</v>
      </c>
      <c r="M163" s="96">
        <f t="shared" si="9"/>
        <v>1</v>
      </c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1.567873583507404</v>
      </c>
      <c r="H164">
        <v>1.932559496921088E-3</v>
      </c>
      <c r="I164">
        <v>-0.94907974553197438</v>
      </c>
      <c r="J164">
        <v>-1.8341530755632666E-3</v>
      </c>
      <c r="K164" s="96">
        <f t="shared" si="7"/>
        <v>0</v>
      </c>
      <c r="L164" s="96">
        <f t="shared" si="8"/>
        <v>0</v>
      </c>
      <c r="M164" s="96">
        <f t="shared" si="9"/>
        <v>1</v>
      </c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5.0136207505222163</v>
      </c>
      <c r="H165">
        <v>1.932559496921088E-3</v>
      </c>
      <c r="I165">
        <v>-0.84609748824386133</v>
      </c>
      <c r="J165">
        <v>-1.6351337362267527E-3</v>
      </c>
      <c r="K165" s="96">
        <f t="shared" si="7"/>
        <v>0</v>
      </c>
      <c r="L165" s="96">
        <f t="shared" si="8"/>
        <v>0</v>
      </c>
      <c r="M165" s="96">
        <f t="shared" si="9"/>
        <v>1</v>
      </c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7.5979311257833277</v>
      </c>
      <c r="H166">
        <v>4.8749248570982399E-4</v>
      </c>
      <c r="I166">
        <v>-0.77626263347452595</v>
      </c>
      <c r="J166">
        <v>-3.7842220075615069E-4</v>
      </c>
      <c r="K166" s="96">
        <f t="shared" si="7"/>
        <v>0</v>
      </c>
      <c r="L166" s="96">
        <f t="shared" si="8"/>
        <v>0</v>
      </c>
      <c r="M166" s="96">
        <f t="shared" si="9"/>
        <v>1</v>
      </c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0.70315049545740804</v>
      </c>
      <c r="H167">
        <v>1.932559496921088E-3</v>
      </c>
      <c r="I167">
        <v>-0.97683419478855571</v>
      </c>
      <c r="J167">
        <v>-1.8877902000558873E-3</v>
      </c>
      <c r="K167" s="96">
        <f t="shared" si="7"/>
        <v>0</v>
      </c>
      <c r="L167" s="96">
        <f t="shared" si="8"/>
        <v>0</v>
      </c>
      <c r="M167" s="96">
        <f t="shared" si="9"/>
        <v>1</v>
      </c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4.1521839587685143</v>
      </c>
      <c r="H168">
        <v>1.932559496921088E-3</v>
      </c>
      <c r="I168">
        <v>-0.87074498255884469</v>
      </c>
      <c r="J168">
        <v>-1.6827664854404823E-3</v>
      </c>
      <c r="K168" s="96">
        <f t="shared" si="7"/>
        <v>0</v>
      </c>
      <c r="L168" s="96">
        <f t="shared" si="8"/>
        <v>0</v>
      </c>
      <c r="M168" s="96">
        <f t="shared" si="9"/>
        <v>1</v>
      </c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6.7364943340296266</v>
      </c>
      <c r="H169">
        <v>4.8749248570982399E-4</v>
      </c>
      <c r="I169">
        <v>-0.79887578279991778</v>
      </c>
      <c r="J169">
        <v>-3.8944594113051335E-4</v>
      </c>
      <c r="K169" s="96">
        <f t="shared" si="7"/>
        <v>0</v>
      </c>
      <c r="L169" s="96">
        <f t="shared" si="8"/>
        <v>0</v>
      </c>
      <c r="M169" s="96">
        <f t="shared" si="9"/>
        <v>1</v>
      </c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-0.25</v>
      </c>
      <c r="H170">
        <v>4.8749248570982405E-4</v>
      </c>
      <c r="I170">
        <v>-1.008368152207447</v>
      </c>
      <c r="J170">
        <v>-4.9157189703023059E-4</v>
      </c>
      <c r="K170" s="96">
        <f t="shared" si="7"/>
        <v>0</v>
      </c>
      <c r="L170" s="96">
        <f t="shared" si="8"/>
        <v>0</v>
      </c>
      <c r="M170" s="96">
        <f t="shared" si="9"/>
        <v>1</v>
      </c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3.2907471670148132</v>
      </c>
      <c r="H171">
        <v>4.8749248570982405E-4</v>
      </c>
      <c r="I171">
        <v>-0.89611047803143473</v>
      </c>
      <c r="J171">
        <v>-4.3684712440616281E-4</v>
      </c>
      <c r="K171" s="96">
        <f t="shared" si="7"/>
        <v>0</v>
      </c>
      <c r="L171" s="96">
        <f t="shared" si="8"/>
        <v>0</v>
      </c>
      <c r="M171" s="96">
        <f t="shared" si="9"/>
        <v>1</v>
      </c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5.8750575422759255</v>
      </c>
      <c r="H172">
        <v>1.2297107747635201E-4</v>
      </c>
      <c r="I172">
        <v>-0.82214767119165322</v>
      </c>
      <c r="J172">
        <v>-1.0110038497111116E-4</v>
      </c>
      <c r="K172" s="96">
        <f t="shared" si="7"/>
        <v>0</v>
      </c>
      <c r="L172" s="96">
        <f t="shared" si="8"/>
        <v>0</v>
      </c>
      <c r="M172" s="96">
        <f t="shared" si="9"/>
        <v>1</v>
      </c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1.567873583507404</v>
      </c>
      <c r="H173">
        <v>1.932559496921088E-3</v>
      </c>
      <c r="I173">
        <v>-0.94907974553197438</v>
      </c>
      <c r="J173">
        <v>-1.8341530755632666E-3</v>
      </c>
      <c r="K173" s="96">
        <f t="shared" si="7"/>
        <v>0</v>
      </c>
      <c r="L173" s="96">
        <f t="shared" si="8"/>
        <v>0</v>
      </c>
      <c r="M173" s="96">
        <f t="shared" si="9"/>
        <v>1</v>
      </c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5.0136207505222163</v>
      </c>
      <c r="H174">
        <v>1.932559496921088E-3</v>
      </c>
      <c r="I174">
        <v>-0.84609748824386133</v>
      </c>
      <c r="J174">
        <v>-1.6351337362267527E-3</v>
      </c>
      <c r="K174" s="96">
        <f t="shared" si="7"/>
        <v>0</v>
      </c>
      <c r="L174" s="96">
        <f t="shared" si="8"/>
        <v>0</v>
      </c>
      <c r="M174" s="96">
        <f t="shared" si="9"/>
        <v>1</v>
      </c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7.5979311257833277</v>
      </c>
      <c r="H175">
        <v>4.8749248570982399E-4</v>
      </c>
      <c r="I175">
        <v>-0.77626263347452595</v>
      </c>
      <c r="J175">
        <v>-3.7842220075615069E-4</v>
      </c>
      <c r="K175" s="96">
        <f t="shared" si="7"/>
        <v>0</v>
      </c>
      <c r="L175" s="96">
        <f t="shared" si="8"/>
        <v>0</v>
      </c>
      <c r="M175" s="96">
        <f t="shared" si="9"/>
        <v>1</v>
      </c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0.70315049545740804</v>
      </c>
      <c r="H176">
        <v>1.932559496921088E-3</v>
      </c>
      <c r="I176">
        <v>-0.97683419478855571</v>
      </c>
      <c r="J176">
        <v>-1.8877902000558873E-3</v>
      </c>
      <c r="K176" s="96">
        <f t="shared" si="7"/>
        <v>0</v>
      </c>
      <c r="L176" s="96">
        <f t="shared" si="8"/>
        <v>0</v>
      </c>
      <c r="M176" s="96">
        <f t="shared" si="9"/>
        <v>1</v>
      </c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4.1521839587685143</v>
      </c>
      <c r="H177">
        <v>1.932559496921088E-3</v>
      </c>
      <c r="I177">
        <v>-0.87074498255884469</v>
      </c>
      <c r="J177">
        <v>-1.6827664854404823E-3</v>
      </c>
      <c r="K177" s="96">
        <f t="shared" si="7"/>
        <v>0</v>
      </c>
      <c r="L177" s="96">
        <f t="shared" si="8"/>
        <v>0</v>
      </c>
      <c r="M177" s="96">
        <f t="shared" si="9"/>
        <v>1</v>
      </c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6.7364943340296266</v>
      </c>
      <c r="H178">
        <v>4.8749248570982399E-4</v>
      </c>
      <c r="I178">
        <v>-0.79887578279991778</v>
      </c>
      <c r="J178">
        <v>-3.8944594113051335E-4</v>
      </c>
      <c r="K178" s="96">
        <f t="shared" si="7"/>
        <v>0</v>
      </c>
      <c r="L178" s="96">
        <f t="shared" si="8"/>
        <v>0</v>
      </c>
      <c r="M178" s="96">
        <f t="shared" si="9"/>
        <v>1</v>
      </c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-0.25</v>
      </c>
      <c r="H179">
        <v>4.8749248570982405E-4</v>
      </c>
      <c r="I179">
        <v>-1.008368152207447</v>
      </c>
      <c r="J179">
        <v>-4.9157189703023059E-4</v>
      </c>
      <c r="K179" s="96">
        <f t="shared" si="7"/>
        <v>0</v>
      </c>
      <c r="L179" s="96">
        <f t="shared" si="8"/>
        <v>0</v>
      </c>
      <c r="M179" s="96">
        <f t="shared" si="9"/>
        <v>1</v>
      </c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3.2907471670148132</v>
      </c>
      <c r="H180">
        <v>4.8749248570982405E-4</v>
      </c>
      <c r="I180">
        <v>-0.89611047803143473</v>
      </c>
      <c r="J180">
        <v>-4.3684712440616281E-4</v>
      </c>
      <c r="K180" s="96">
        <f t="shared" si="7"/>
        <v>0</v>
      </c>
      <c r="L180" s="96">
        <f t="shared" si="8"/>
        <v>0</v>
      </c>
      <c r="M180" s="96">
        <f t="shared" si="9"/>
        <v>1</v>
      </c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5.8750575422759255</v>
      </c>
      <c r="H181">
        <v>1.2297107747635201E-4</v>
      </c>
      <c r="I181">
        <v>-0.82214767119165322</v>
      </c>
      <c r="J181">
        <v>-1.0110038497111116E-4</v>
      </c>
      <c r="K181" s="96">
        <f t="shared" si="7"/>
        <v>0</v>
      </c>
      <c r="L181" s="96">
        <f t="shared" si="8"/>
        <v>0</v>
      </c>
      <c r="M181" s="96">
        <f t="shared" si="9"/>
        <v>1</v>
      </c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1.567873583507404</v>
      </c>
      <c r="H182">
        <v>4.8749248570982405E-4</v>
      </c>
      <c r="I182">
        <v>-0.94907974553197438</v>
      </c>
      <c r="J182">
        <v>-4.6266924428622945E-4</v>
      </c>
      <c r="K182" s="96">
        <f t="shared" si="7"/>
        <v>0</v>
      </c>
      <c r="L182" s="96">
        <f t="shared" si="8"/>
        <v>0</v>
      </c>
      <c r="M182" s="96">
        <f t="shared" si="9"/>
        <v>1</v>
      </c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5.0136207505222163</v>
      </c>
      <c r="H183">
        <v>4.8749248570982405E-4</v>
      </c>
      <c r="I183">
        <v>-0.84609748824386133</v>
      </c>
      <c r="J183">
        <v>-4.1246616769683857E-4</v>
      </c>
      <c r="K183" s="96">
        <f t="shared" si="7"/>
        <v>0</v>
      </c>
      <c r="L183" s="96">
        <f t="shared" si="8"/>
        <v>0</v>
      </c>
      <c r="M183" s="96">
        <f t="shared" si="9"/>
        <v>1</v>
      </c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7.5979311257833277</v>
      </c>
      <c r="H184">
        <v>1.2297107747635201E-4</v>
      </c>
      <c r="I184">
        <v>-0.77626263347452595</v>
      </c>
      <c r="J184">
        <v>-9.5457852442992975E-5</v>
      </c>
      <c r="K184" s="96">
        <f t="shared" si="7"/>
        <v>0</v>
      </c>
      <c r="L184" s="96">
        <f t="shared" si="8"/>
        <v>0</v>
      </c>
      <c r="M184" s="96">
        <f t="shared" si="9"/>
        <v>1</v>
      </c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0.70315049545740804</v>
      </c>
      <c r="H185">
        <v>4.8749248570982405E-4</v>
      </c>
      <c r="I185">
        <v>-0.97683419478855571</v>
      </c>
      <c r="J185">
        <v>-4.7619932974382747E-4</v>
      </c>
      <c r="K185" s="96">
        <f t="shared" si="7"/>
        <v>0</v>
      </c>
      <c r="L185" s="96">
        <f t="shared" si="8"/>
        <v>0</v>
      </c>
      <c r="M185" s="96">
        <f t="shared" si="9"/>
        <v>1</v>
      </c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4.1521839587685143</v>
      </c>
      <c r="H186">
        <v>4.8749248570982405E-4</v>
      </c>
      <c r="I186">
        <v>-0.87074498255884469</v>
      </c>
      <c r="J186">
        <v>-4.2448163596696859E-4</v>
      </c>
      <c r="K186" s="96">
        <f t="shared" si="7"/>
        <v>0</v>
      </c>
      <c r="L186" s="96">
        <f t="shared" si="8"/>
        <v>0</v>
      </c>
      <c r="M186" s="96">
        <f t="shared" si="9"/>
        <v>1</v>
      </c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6.7364943340296266</v>
      </c>
      <c r="H187">
        <v>1.2297107747635201E-4</v>
      </c>
      <c r="I187">
        <v>-0.79887578279991778</v>
      </c>
      <c r="J187">
        <v>-9.8238615780670043E-5</v>
      </c>
      <c r="K187" s="96">
        <f t="shared" si="7"/>
        <v>0</v>
      </c>
      <c r="L187" s="96">
        <f t="shared" si="8"/>
        <v>0</v>
      </c>
      <c r="M187" s="96">
        <f t="shared" si="9"/>
        <v>1</v>
      </c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-0.25</v>
      </c>
      <c r="H188">
        <v>1.2297107747635201E-4</v>
      </c>
      <c r="I188">
        <v>-1.008368152207447</v>
      </c>
      <c r="J188">
        <v>-1.2400011816978787E-4</v>
      </c>
      <c r="K188" s="96">
        <f t="shared" si="7"/>
        <v>0</v>
      </c>
      <c r="L188" s="96">
        <f t="shared" si="8"/>
        <v>0</v>
      </c>
      <c r="M188" s="96">
        <f t="shared" si="9"/>
        <v>1</v>
      </c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3.2907471670148132</v>
      </c>
      <c r="H189">
        <v>1.2297107747635201E-4</v>
      </c>
      <c r="I189">
        <v>-0.89611047803143473</v>
      </c>
      <c r="J189">
        <v>-1.101956710213744E-4</v>
      </c>
      <c r="K189" s="96">
        <f t="shared" si="7"/>
        <v>0</v>
      </c>
      <c r="L189" s="96">
        <f t="shared" si="8"/>
        <v>0</v>
      </c>
      <c r="M189" s="96">
        <f t="shared" si="9"/>
        <v>1</v>
      </c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5.8750575422759255</v>
      </c>
      <c r="H190">
        <v>3.1019731255295997E-5</v>
      </c>
      <c r="I190">
        <v>-0.82214767119165322</v>
      </c>
      <c r="J190">
        <v>-2.5502799812532543E-5</v>
      </c>
      <c r="K190" s="96">
        <f t="shared" si="7"/>
        <v>0</v>
      </c>
      <c r="L190" s="96">
        <f t="shared" si="8"/>
        <v>0</v>
      </c>
      <c r="M190" s="96">
        <f t="shared" si="9"/>
        <v>1</v>
      </c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1.9654597950860377</v>
      </c>
      <c r="H191">
        <v>1.932559496921088E-3</v>
      </c>
      <c r="I191">
        <v>-0.9365846920816554</v>
      </c>
      <c r="J191">
        <v>-1.8100056413533161E-3</v>
      </c>
      <c r="K191" s="96">
        <f t="shared" si="7"/>
        <v>0</v>
      </c>
      <c r="L191" s="96">
        <f t="shared" si="8"/>
        <v>0</v>
      </c>
      <c r="M191" s="96">
        <f t="shared" si="9"/>
        <v>1</v>
      </c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6.2063793852581144</v>
      </c>
      <c r="H192">
        <v>1.932559496921088E-3</v>
      </c>
      <c r="I192">
        <v>-0.8131177769397897</v>
      </c>
      <c r="J192">
        <v>-1.5713984819403534E-3</v>
      </c>
      <c r="K192" s="96">
        <f t="shared" si="7"/>
        <v>0</v>
      </c>
      <c r="L192" s="96">
        <f t="shared" si="8"/>
        <v>0</v>
      </c>
      <c r="M192" s="96">
        <f t="shared" si="9"/>
        <v>1</v>
      </c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9.3870690778871708</v>
      </c>
      <c r="H193">
        <v>4.8749248570982399E-4</v>
      </c>
      <c r="I193">
        <v>-0.73132135727676484</v>
      </c>
      <c r="J193">
        <v>-3.5651366631153235E-4</v>
      </c>
      <c r="K193" s="96">
        <f t="shared" si="7"/>
        <v>0</v>
      </c>
      <c r="L193" s="96">
        <f t="shared" si="8"/>
        <v>0</v>
      </c>
      <c r="M193" s="96">
        <f t="shared" si="9"/>
        <v>1</v>
      </c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0.90280915680227747</v>
      </c>
      <c r="H194">
        <v>1.932559496921088E-3</v>
      </c>
      <c r="I194">
        <v>-0.9703546666805023</v>
      </c>
      <c r="J194">
        <v>-1.8752681264751015E-3</v>
      </c>
      <c r="K194" s="96">
        <f t="shared" si="7"/>
        <v>0</v>
      </c>
      <c r="L194" s="96">
        <f t="shared" si="8"/>
        <v>0</v>
      </c>
      <c r="M194" s="96">
        <f t="shared" si="9"/>
        <v>1</v>
      </c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5.1461494877150962</v>
      </c>
      <c r="H195">
        <v>1.932559496921088E-3</v>
      </c>
      <c r="I195">
        <v>-0.84236799101308579</v>
      </c>
      <c r="J195">
        <v>-1.6279262609346767E-3</v>
      </c>
      <c r="K195" s="96">
        <f t="shared" ref="K195:K258" si="10">IF(A195=3,1,0)</f>
        <v>0</v>
      </c>
      <c r="L195" s="96">
        <f t="shared" ref="L195:L258" si="11">IF(A195=2,1,0)</f>
        <v>0</v>
      </c>
      <c r="M195" s="96">
        <f t="shared" ref="M195:M258" si="12">IF(A195=1,1,0)</f>
        <v>1</v>
      </c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8.3268391803441535</v>
      </c>
      <c r="H196">
        <v>4.8749248570982399E-4</v>
      </c>
      <c r="I196">
        <v>-0.75762911595992399</v>
      </c>
      <c r="J196">
        <v>-3.6933850098543985E-4</v>
      </c>
      <c r="K196" s="96">
        <f t="shared" si="10"/>
        <v>0</v>
      </c>
      <c r="L196" s="96">
        <f t="shared" si="11"/>
        <v>0</v>
      </c>
      <c r="M196" s="96">
        <f t="shared" si="12"/>
        <v>1</v>
      </c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-0.25</v>
      </c>
      <c r="H197">
        <v>4.8749248570982405E-4</v>
      </c>
      <c r="I197">
        <v>-1.008368152207447</v>
      </c>
      <c r="J197">
        <v>-4.9157189703023059E-4</v>
      </c>
      <c r="K197" s="96">
        <f t="shared" si="10"/>
        <v>0</v>
      </c>
      <c r="L197" s="96">
        <f t="shared" si="11"/>
        <v>0</v>
      </c>
      <c r="M197" s="96">
        <f t="shared" si="12"/>
        <v>1</v>
      </c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4.0859195901720753</v>
      </c>
      <c r="H198">
        <v>4.8749248570982405E-4</v>
      </c>
      <c r="I198">
        <v>-0.8726704204573873</v>
      </c>
      <c r="J198">
        <v>-4.2542027247420902E-4</v>
      </c>
      <c r="K198" s="96">
        <f t="shared" si="10"/>
        <v>0</v>
      </c>
      <c r="L198" s="96">
        <f t="shared" si="11"/>
        <v>0</v>
      </c>
      <c r="M198" s="96">
        <f t="shared" si="12"/>
        <v>1</v>
      </c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7.2666092828011344</v>
      </c>
      <c r="H199">
        <v>1.2297107747635201E-4</v>
      </c>
      <c r="I199">
        <v>-0.78488324132586207</v>
      </c>
      <c r="J199">
        <v>-9.6517937878972873E-5</v>
      </c>
      <c r="K199" s="96">
        <f t="shared" si="10"/>
        <v>0</v>
      </c>
      <c r="L199" s="96">
        <f t="shared" si="11"/>
        <v>0</v>
      </c>
      <c r="M199" s="96">
        <f t="shared" si="12"/>
        <v>1</v>
      </c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1.9654597950860377</v>
      </c>
      <c r="H200">
        <v>1.932559496921088E-3</v>
      </c>
      <c r="I200">
        <v>-0.9365846920816554</v>
      </c>
      <c r="J200">
        <v>-1.8100056413533161E-3</v>
      </c>
      <c r="K200" s="96">
        <f t="shared" si="10"/>
        <v>0</v>
      </c>
      <c r="L200" s="96">
        <f t="shared" si="11"/>
        <v>0</v>
      </c>
      <c r="M200" s="96">
        <f t="shared" si="12"/>
        <v>1</v>
      </c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6.2063793852581144</v>
      </c>
      <c r="H201">
        <v>1.932559496921088E-3</v>
      </c>
      <c r="I201">
        <v>-0.8131177769397897</v>
      </c>
      <c r="J201">
        <v>-1.5713984819403534E-3</v>
      </c>
      <c r="K201" s="96">
        <f t="shared" si="10"/>
        <v>0</v>
      </c>
      <c r="L201" s="96">
        <f t="shared" si="11"/>
        <v>0</v>
      </c>
      <c r="M201" s="96">
        <f t="shared" si="12"/>
        <v>1</v>
      </c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9.3870690778871708</v>
      </c>
      <c r="H202">
        <v>4.8749248570982399E-4</v>
      </c>
      <c r="I202">
        <v>-0.73132135727676484</v>
      </c>
      <c r="J202">
        <v>-3.5651366631153235E-4</v>
      </c>
      <c r="K202" s="96">
        <f t="shared" si="10"/>
        <v>0</v>
      </c>
      <c r="L202" s="96">
        <f t="shared" si="11"/>
        <v>0</v>
      </c>
      <c r="M202" s="96">
        <f t="shared" si="12"/>
        <v>1</v>
      </c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0.90280915680227747</v>
      </c>
      <c r="H203">
        <v>1.932559496921088E-3</v>
      </c>
      <c r="I203">
        <v>-0.9703546666805023</v>
      </c>
      <c r="J203">
        <v>-1.8752681264751015E-3</v>
      </c>
      <c r="K203" s="96">
        <f t="shared" si="10"/>
        <v>0</v>
      </c>
      <c r="L203" s="96">
        <f t="shared" si="11"/>
        <v>0</v>
      </c>
      <c r="M203" s="96">
        <f t="shared" si="12"/>
        <v>1</v>
      </c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5.1461494877150962</v>
      </c>
      <c r="H204">
        <v>1.932559496921088E-3</v>
      </c>
      <c r="I204">
        <v>-0.84236799101308579</v>
      </c>
      <c r="J204">
        <v>-1.6279262609346767E-3</v>
      </c>
      <c r="K204" s="96">
        <f t="shared" si="10"/>
        <v>0</v>
      </c>
      <c r="L204" s="96">
        <f t="shared" si="11"/>
        <v>0</v>
      </c>
      <c r="M204" s="96">
        <f t="shared" si="12"/>
        <v>1</v>
      </c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8.3268391803441535</v>
      </c>
      <c r="H205">
        <v>4.8749248570982399E-4</v>
      </c>
      <c r="I205">
        <v>-0.75762911595992399</v>
      </c>
      <c r="J205">
        <v>-3.6933850098543985E-4</v>
      </c>
      <c r="K205" s="96">
        <f t="shared" si="10"/>
        <v>0</v>
      </c>
      <c r="L205" s="96">
        <f t="shared" si="11"/>
        <v>0</v>
      </c>
      <c r="M205" s="96">
        <f t="shared" si="12"/>
        <v>1</v>
      </c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-0.25</v>
      </c>
      <c r="H206">
        <v>4.8749248570982405E-4</v>
      </c>
      <c r="I206">
        <v>-1.008368152207447</v>
      </c>
      <c r="J206">
        <v>-4.9157189703023059E-4</v>
      </c>
      <c r="K206" s="96">
        <f t="shared" si="10"/>
        <v>0</v>
      </c>
      <c r="L206" s="96">
        <f t="shared" si="11"/>
        <v>0</v>
      </c>
      <c r="M206" s="96">
        <f t="shared" si="12"/>
        <v>1</v>
      </c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4.0859195901720753</v>
      </c>
      <c r="H207">
        <v>4.8749248570982405E-4</v>
      </c>
      <c r="I207">
        <v>-0.8726704204573873</v>
      </c>
      <c r="J207">
        <v>-4.2542027247420902E-4</v>
      </c>
      <c r="K207" s="96">
        <f t="shared" si="10"/>
        <v>0</v>
      </c>
      <c r="L207" s="96">
        <f t="shared" si="11"/>
        <v>0</v>
      </c>
      <c r="M207" s="96">
        <f t="shared" si="12"/>
        <v>1</v>
      </c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7.2666092828011344</v>
      </c>
      <c r="H208">
        <v>1.2297107747635201E-4</v>
      </c>
      <c r="I208">
        <v>-0.78488324132586207</v>
      </c>
      <c r="J208">
        <v>-9.6517937878972873E-5</v>
      </c>
      <c r="K208" s="96">
        <f t="shared" si="10"/>
        <v>0</v>
      </c>
      <c r="L208" s="96">
        <f t="shared" si="11"/>
        <v>0</v>
      </c>
      <c r="M208" s="96">
        <f t="shared" si="12"/>
        <v>1</v>
      </c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1.9654597950860377</v>
      </c>
      <c r="H209">
        <v>4.8749248570982405E-4</v>
      </c>
      <c r="I209">
        <v>-0.9365846920816554</v>
      </c>
      <c r="J209">
        <v>-4.5657799962065633E-4</v>
      </c>
      <c r="K209" s="96">
        <f t="shared" si="10"/>
        <v>0</v>
      </c>
      <c r="L209" s="96">
        <f t="shared" si="11"/>
        <v>0</v>
      </c>
      <c r="M209" s="96">
        <f t="shared" si="12"/>
        <v>1</v>
      </c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6.2063793852581144</v>
      </c>
      <c r="H210">
        <v>4.8749248570982405E-4</v>
      </c>
      <c r="I210">
        <v>-0.8131177769397897</v>
      </c>
      <c r="J210">
        <v>-3.9638880625522433E-4</v>
      </c>
      <c r="K210" s="96">
        <f t="shared" si="10"/>
        <v>0</v>
      </c>
      <c r="L210" s="96">
        <f t="shared" si="11"/>
        <v>0</v>
      </c>
      <c r="M210" s="96">
        <f t="shared" si="12"/>
        <v>1</v>
      </c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9.3870690778871708</v>
      </c>
      <c r="H211">
        <v>1.2297107747635201E-4</v>
      </c>
      <c r="I211">
        <v>-0.73132135727676484</v>
      </c>
      <c r="J211">
        <v>-8.9931375285791962E-5</v>
      </c>
      <c r="K211" s="96">
        <f t="shared" si="10"/>
        <v>0</v>
      </c>
      <c r="L211" s="96">
        <f t="shared" si="11"/>
        <v>0</v>
      </c>
      <c r="M211" s="96">
        <f t="shared" si="12"/>
        <v>1</v>
      </c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0.90280915680227747</v>
      </c>
      <c r="H212">
        <v>4.8749248570982405E-4</v>
      </c>
      <c r="I212">
        <v>-0.9703546666805023</v>
      </c>
      <c r="J212">
        <v>-4.7304060848020582E-4</v>
      </c>
      <c r="K212" s="96">
        <f t="shared" si="10"/>
        <v>0</v>
      </c>
      <c r="L212" s="96">
        <f t="shared" si="11"/>
        <v>0</v>
      </c>
      <c r="M212" s="96">
        <f t="shared" si="12"/>
        <v>1</v>
      </c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5.1461494877150962</v>
      </c>
      <c r="H213">
        <v>4.8749248570982405E-4</v>
      </c>
      <c r="I213">
        <v>-0.84236799101308579</v>
      </c>
      <c r="J213">
        <v>-4.1064806582135992E-4</v>
      </c>
      <c r="K213" s="96">
        <f t="shared" si="10"/>
        <v>0</v>
      </c>
      <c r="L213" s="96">
        <f t="shared" si="11"/>
        <v>0</v>
      </c>
      <c r="M213" s="96">
        <f t="shared" si="12"/>
        <v>1</v>
      </c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8.3268391803441535</v>
      </c>
      <c r="H214">
        <v>1.2297107747635201E-4</v>
      </c>
      <c r="I214">
        <v>-0.75762911595992399</v>
      </c>
      <c r="J214">
        <v>-9.316646871704789E-5</v>
      </c>
      <c r="K214" s="96">
        <f t="shared" si="10"/>
        <v>0</v>
      </c>
      <c r="L214" s="96">
        <f t="shared" si="11"/>
        <v>0</v>
      </c>
      <c r="M214" s="96">
        <f t="shared" si="12"/>
        <v>1</v>
      </c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-0.25</v>
      </c>
      <c r="H215">
        <v>1.2297107747635201E-4</v>
      </c>
      <c r="I215">
        <v>-1.008368152207447</v>
      </c>
      <c r="J215">
        <v>-1.2400011816978787E-4</v>
      </c>
      <c r="K215" s="96">
        <f t="shared" si="10"/>
        <v>0</v>
      </c>
      <c r="L215" s="96">
        <f t="shared" si="11"/>
        <v>0</v>
      </c>
      <c r="M215" s="96">
        <f t="shared" si="12"/>
        <v>1</v>
      </c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4.0859195901720753</v>
      </c>
      <c r="H216">
        <v>1.2297107747635201E-4</v>
      </c>
      <c r="I216">
        <v>-0.8726704204573873</v>
      </c>
      <c r="J216">
        <v>-1.0731322188538605E-4</v>
      </c>
      <c r="K216" s="96">
        <f t="shared" si="10"/>
        <v>0</v>
      </c>
      <c r="L216" s="96">
        <f t="shared" si="11"/>
        <v>0</v>
      </c>
      <c r="M216" s="96">
        <f t="shared" si="12"/>
        <v>1</v>
      </c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7.2666092828011344</v>
      </c>
      <c r="H217">
        <v>3.1019731255295997E-5</v>
      </c>
      <c r="I217">
        <v>-0.78488324132586207</v>
      </c>
      <c r="J217">
        <v>-2.4346867212713875E-5</v>
      </c>
      <c r="K217" s="96">
        <f t="shared" si="10"/>
        <v>0</v>
      </c>
      <c r="L217" s="96">
        <f t="shared" si="11"/>
        <v>0</v>
      </c>
      <c r="M217" s="96">
        <f t="shared" si="12"/>
        <v>1</v>
      </c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2.2305172694717941</v>
      </c>
      <c r="H218">
        <v>4.8749248570982405E-4</v>
      </c>
      <c r="I218">
        <v>-0.92834618122118817</v>
      </c>
      <c r="J218">
        <v>-4.525617874827398E-4</v>
      </c>
      <c r="K218" s="96">
        <f t="shared" si="10"/>
        <v>0</v>
      </c>
      <c r="L218" s="96">
        <f t="shared" si="11"/>
        <v>0</v>
      </c>
      <c r="M218" s="96">
        <f t="shared" si="12"/>
        <v>1</v>
      </c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7.0015518084153783</v>
      </c>
      <c r="H219">
        <v>4.8749248570982405E-4</v>
      </c>
      <c r="I219">
        <v>-0.79184860536641399</v>
      </c>
      <c r="J219">
        <v>-3.8602024493593069E-4</v>
      </c>
      <c r="K219" s="96">
        <f t="shared" si="10"/>
        <v>0</v>
      </c>
      <c r="L219" s="96">
        <f t="shared" si="11"/>
        <v>0</v>
      </c>
      <c r="M219" s="96">
        <f t="shared" si="12"/>
        <v>1</v>
      </c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10.579827712623068</v>
      </c>
      <c r="H220">
        <v>1.2297107747635201E-4</v>
      </c>
      <c r="I220">
        <v>-0.70281546100758918</v>
      </c>
      <c r="J220">
        <v>-8.64259745071423E-5</v>
      </c>
      <c r="K220" s="96">
        <f t="shared" si="10"/>
        <v>0</v>
      </c>
      <c r="L220" s="96">
        <f t="shared" si="11"/>
        <v>0</v>
      </c>
      <c r="M220" s="96">
        <f t="shared" si="12"/>
        <v>1</v>
      </c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1.0359149310321927</v>
      </c>
      <c r="H221">
        <v>4.8749248570982405E-4</v>
      </c>
      <c r="I221">
        <v>-0.96605887666237722</v>
      </c>
      <c r="J221">
        <v>-4.7094644312618258E-4</v>
      </c>
      <c r="K221" s="96">
        <f t="shared" si="10"/>
        <v>0</v>
      </c>
      <c r="L221" s="96">
        <f t="shared" si="11"/>
        <v>0</v>
      </c>
      <c r="M221" s="96">
        <f t="shared" si="12"/>
        <v>1</v>
      </c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5.8087931736794829</v>
      </c>
      <c r="H222">
        <v>4.8749248570982405E-4</v>
      </c>
      <c r="I222">
        <v>-0.82396564811488404</v>
      </c>
      <c r="J222">
        <v>-4.0167706193903102E-4</v>
      </c>
      <c r="K222" s="96">
        <f t="shared" si="10"/>
        <v>0</v>
      </c>
      <c r="L222" s="96">
        <f t="shared" si="11"/>
        <v>0</v>
      </c>
      <c r="M222" s="96">
        <f t="shared" si="12"/>
        <v>1</v>
      </c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9.3870690778871708</v>
      </c>
      <c r="H223">
        <v>1.2297107747635201E-4</v>
      </c>
      <c r="I223">
        <v>-0.73132135727676484</v>
      </c>
      <c r="J223">
        <v>-8.9931375285791962E-5</v>
      </c>
      <c r="K223" s="96">
        <f t="shared" si="10"/>
        <v>0</v>
      </c>
      <c r="L223" s="96">
        <f t="shared" si="11"/>
        <v>0</v>
      </c>
      <c r="M223" s="96">
        <f t="shared" si="12"/>
        <v>1</v>
      </c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-0.25</v>
      </c>
      <c r="H224">
        <v>1.2297107747635201E-4</v>
      </c>
      <c r="I224">
        <v>-1.008368152207447</v>
      </c>
      <c r="J224">
        <v>-1.2400011816978787E-4</v>
      </c>
      <c r="K224" s="96">
        <f t="shared" si="10"/>
        <v>0</v>
      </c>
      <c r="L224" s="96">
        <f t="shared" si="11"/>
        <v>0</v>
      </c>
      <c r="M224" s="96">
        <f t="shared" si="12"/>
        <v>1</v>
      </c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4.6160345389435866</v>
      </c>
      <c r="H225">
        <v>1.2297107747635201E-4</v>
      </c>
      <c r="I225">
        <v>-0.85738534446142367</v>
      </c>
      <c r="J225">
        <v>-1.0543359962085448E-4</v>
      </c>
      <c r="K225" s="96">
        <f t="shared" si="10"/>
        <v>0</v>
      </c>
      <c r="L225" s="96">
        <f t="shared" si="11"/>
        <v>0</v>
      </c>
      <c r="M225" s="96">
        <f t="shared" si="12"/>
        <v>1</v>
      </c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8.1943104431512719</v>
      </c>
      <c r="H226">
        <v>3.1019731255295997E-5</v>
      </c>
      <c r="I226">
        <v>-0.7609834405782292</v>
      </c>
      <c r="J226">
        <v>-2.360550181646718E-5</v>
      </c>
      <c r="K226" s="96">
        <f t="shared" si="10"/>
        <v>0</v>
      </c>
      <c r="L226" s="96">
        <f t="shared" si="11"/>
        <v>0</v>
      </c>
      <c r="M226" s="96">
        <f t="shared" si="12"/>
        <v>1</v>
      </c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2.2305172694717941</v>
      </c>
      <c r="H227">
        <v>4.8749248570982405E-4</v>
      </c>
      <c r="I227">
        <v>-0.92834618122118817</v>
      </c>
      <c r="J227">
        <v>-4.525617874827398E-4</v>
      </c>
      <c r="K227" s="96">
        <f t="shared" si="10"/>
        <v>0</v>
      </c>
      <c r="L227" s="96">
        <f t="shared" si="11"/>
        <v>0</v>
      </c>
      <c r="M227" s="96">
        <f t="shared" si="12"/>
        <v>1</v>
      </c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7.0015518084153783</v>
      </c>
      <c r="H228">
        <v>4.8749248570982405E-4</v>
      </c>
      <c r="I228">
        <v>-0.79184860536641399</v>
      </c>
      <c r="J228">
        <v>-3.8602024493593069E-4</v>
      </c>
      <c r="K228" s="96">
        <f t="shared" si="10"/>
        <v>0</v>
      </c>
      <c r="L228" s="96">
        <f t="shared" si="11"/>
        <v>0</v>
      </c>
      <c r="M228" s="96">
        <f t="shared" si="12"/>
        <v>1</v>
      </c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10.579827712623068</v>
      </c>
      <c r="H229">
        <v>1.2297107747635201E-4</v>
      </c>
      <c r="I229">
        <v>-0.70281546100758918</v>
      </c>
      <c r="J229">
        <v>-8.64259745071423E-5</v>
      </c>
      <c r="K229" s="96">
        <f t="shared" si="10"/>
        <v>0</v>
      </c>
      <c r="L229" s="96">
        <f t="shared" si="11"/>
        <v>0</v>
      </c>
      <c r="M229" s="96">
        <f t="shared" si="12"/>
        <v>1</v>
      </c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1.0359149310321927</v>
      </c>
      <c r="H230">
        <v>4.8749248570982405E-4</v>
      </c>
      <c r="I230">
        <v>-0.96605887666237722</v>
      </c>
      <c r="J230">
        <v>-4.7094644312618258E-4</v>
      </c>
      <c r="K230" s="96">
        <f t="shared" si="10"/>
        <v>0</v>
      </c>
      <c r="L230" s="96">
        <f t="shared" si="11"/>
        <v>0</v>
      </c>
      <c r="M230" s="96">
        <f t="shared" si="12"/>
        <v>1</v>
      </c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5.8087931736794829</v>
      </c>
      <c r="H231">
        <v>4.8749248570982405E-4</v>
      </c>
      <c r="I231">
        <v>-0.82396564811488404</v>
      </c>
      <c r="J231">
        <v>-4.0167706193903102E-4</v>
      </c>
      <c r="K231" s="96">
        <f t="shared" si="10"/>
        <v>0</v>
      </c>
      <c r="L231" s="96">
        <f t="shared" si="11"/>
        <v>0</v>
      </c>
      <c r="M231" s="96">
        <f t="shared" si="12"/>
        <v>1</v>
      </c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9.3870690778871708</v>
      </c>
      <c r="H232">
        <v>1.2297107747635201E-4</v>
      </c>
      <c r="I232">
        <v>-0.73132135727676484</v>
      </c>
      <c r="J232">
        <v>-8.9931375285791962E-5</v>
      </c>
      <c r="K232" s="96">
        <f t="shared" si="10"/>
        <v>0</v>
      </c>
      <c r="L232" s="96">
        <f t="shared" si="11"/>
        <v>0</v>
      </c>
      <c r="M232" s="96">
        <f t="shared" si="12"/>
        <v>1</v>
      </c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-0.25</v>
      </c>
      <c r="H233">
        <v>1.2297107747635201E-4</v>
      </c>
      <c r="I233">
        <v>-1.008368152207447</v>
      </c>
      <c r="J233">
        <v>-1.2400011816978787E-4</v>
      </c>
      <c r="K233" s="96">
        <f t="shared" si="10"/>
        <v>0</v>
      </c>
      <c r="L233" s="96">
        <f t="shared" si="11"/>
        <v>0</v>
      </c>
      <c r="M233" s="96">
        <f t="shared" si="12"/>
        <v>1</v>
      </c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4.6160345389435866</v>
      </c>
      <c r="H234">
        <v>1.2297107747635201E-4</v>
      </c>
      <c r="I234">
        <v>-0.85738534446142367</v>
      </c>
      <c r="J234">
        <v>-1.0543359962085448E-4</v>
      </c>
      <c r="K234" s="96">
        <f t="shared" si="10"/>
        <v>0</v>
      </c>
      <c r="L234" s="96">
        <f t="shared" si="11"/>
        <v>0</v>
      </c>
      <c r="M234" s="96">
        <f t="shared" si="12"/>
        <v>1</v>
      </c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8.1943104431512719</v>
      </c>
      <c r="H235">
        <v>3.1019731255295997E-5</v>
      </c>
      <c r="I235">
        <v>-0.7609834405782292</v>
      </c>
      <c r="J235">
        <v>-2.360550181646718E-5</v>
      </c>
      <c r="K235" s="96">
        <f t="shared" si="10"/>
        <v>0</v>
      </c>
      <c r="L235" s="96">
        <f t="shared" si="11"/>
        <v>0</v>
      </c>
      <c r="M235" s="96">
        <f t="shared" si="12"/>
        <v>1</v>
      </c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2.2305172694717941</v>
      </c>
      <c r="H236">
        <v>1.2297107747635201E-4</v>
      </c>
      <c r="I236">
        <v>-0.92834618122118817</v>
      </c>
      <c r="J236">
        <v>-1.1415973017582624E-4</v>
      </c>
      <c r="K236" s="96">
        <f t="shared" si="10"/>
        <v>0</v>
      </c>
      <c r="L236" s="96">
        <f t="shared" si="11"/>
        <v>0</v>
      </c>
      <c r="M236" s="96">
        <f t="shared" si="12"/>
        <v>1</v>
      </c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7.0015518084153783</v>
      </c>
      <c r="H237">
        <v>1.2297107747635201E-4</v>
      </c>
      <c r="I237">
        <v>-0.79184860536641399</v>
      </c>
      <c r="J237">
        <v>-9.7374476200054574E-5</v>
      </c>
      <c r="K237" s="96">
        <f t="shared" si="10"/>
        <v>0</v>
      </c>
      <c r="L237" s="96">
        <f t="shared" si="11"/>
        <v>0</v>
      </c>
      <c r="M237" s="96">
        <f t="shared" si="12"/>
        <v>1</v>
      </c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10.579827712623068</v>
      </c>
      <c r="H238">
        <v>3.1019731255295997E-5</v>
      </c>
      <c r="I238">
        <v>-0.70281546100758918</v>
      </c>
      <c r="J238">
        <v>-2.180114672252238E-5</v>
      </c>
      <c r="K238" s="96">
        <f t="shared" si="10"/>
        <v>0</v>
      </c>
      <c r="L238" s="96">
        <f t="shared" si="11"/>
        <v>0</v>
      </c>
      <c r="M238" s="96">
        <f t="shared" si="12"/>
        <v>1</v>
      </c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1.0359149310321927</v>
      </c>
      <c r="H239">
        <v>1.2297107747635201E-4</v>
      </c>
      <c r="I239">
        <v>-0.96605887666237722</v>
      </c>
      <c r="J239">
        <v>-1.1879730096876678E-4</v>
      </c>
      <c r="K239" s="96">
        <f t="shared" si="10"/>
        <v>0</v>
      </c>
      <c r="L239" s="96">
        <f t="shared" si="11"/>
        <v>0</v>
      </c>
      <c r="M239" s="96">
        <f t="shared" si="12"/>
        <v>1</v>
      </c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5.8087931736794829</v>
      </c>
      <c r="H240">
        <v>1.2297107747635201E-4</v>
      </c>
      <c r="I240">
        <v>-0.82396564811488404</v>
      </c>
      <c r="J240">
        <v>-1.0132394355218799E-4</v>
      </c>
      <c r="K240" s="96">
        <f t="shared" si="10"/>
        <v>0</v>
      </c>
      <c r="L240" s="96">
        <f t="shared" si="11"/>
        <v>0</v>
      </c>
      <c r="M240" s="96">
        <f t="shared" si="12"/>
        <v>1</v>
      </c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9.3870690778871708</v>
      </c>
      <c r="H241">
        <v>3.1019731255295997E-5</v>
      </c>
      <c r="I241">
        <v>-0.73132135727676484</v>
      </c>
      <c r="J241">
        <v>-2.2685391963983552E-5</v>
      </c>
      <c r="K241" s="96">
        <f t="shared" si="10"/>
        <v>0</v>
      </c>
      <c r="L241" s="96">
        <f t="shared" si="11"/>
        <v>0</v>
      </c>
      <c r="M241" s="96">
        <f t="shared" si="12"/>
        <v>1</v>
      </c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-0.25</v>
      </c>
      <c r="H242">
        <v>3.1019731255296003E-5</v>
      </c>
      <c r="I242">
        <v>-1.008368152207447</v>
      </c>
      <c r="J242">
        <v>-3.1279309087874425E-5</v>
      </c>
      <c r="K242" s="96">
        <f t="shared" si="10"/>
        <v>0</v>
      </c>
      <c r="L242" s="96">
        <f t="shared" si="11"/>
        <v>0</v>
      </c>
      <c r="M242" s="96">
        <f t="shared" si="12"/>
        <v>1</v>
      </c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4.6160345389435866</v>
      </c>
      <c r="H243">
        <v>3.1019731255296003E-5</v>
      </c>
      <c r="I243">
        <v>-0.85738534446142367</v>
      </c>
      <c r="J243">
        <v>-2.6595862967422753E-5</v>
      </c>
      <c r="K243" s="96">
        <f t="shared" si="10"/>
        <v>0</v>
      </c>
      <c r="L243" s="96">
        <f t="shared" si="11"/>
        <v>0</v>
      </c>
      <c r="M243" s="96">
        <f t="shared" si="12"/>
        <v>1</v>
      </c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8.1943104431512719</v>
      </c>
      <c r="H244">
        <v>7.8247970734080004E-6</v>
      </c>
      <c r="I244">
        <v>-0.7609834405782292</v>
      </c>
      <c r="J244">
        <v>-5.9545409987484792E-6</v>
      </c>
      <c r="K244" s="96">
        <f t="shared" si="10"/>
        <v>0</v>
      </c>
      <c r="L244" s="96">
        <f t="shared" si="11"/>
        <v>0</v>
      </c>
      <c r="M244" s="96">
        <f t="shared" si="12"/>
        <v>1</v>
      </c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2.324983031147501</v>
      </c>
      <c r="H245">
        <v>7.6612180056514559E-3</v>
      </c>
      <c r="I245">
        <v>-0.92542754784460746</v>
      </c>
      <c r="J245">
        <v>-7.0899021924729806E-3</v>
      </c>
      <c r="K245" s="96">
        <f t="shared" si="10"/>
        <v>0</v>
      </c>
      <c r="L245" s="96">
        <f t="shared" si="11"/>
        <v>1</v>
      </c>
      <c r="M245" s="96">
        <f t="shared" si="12"/>
        <v>0</v>
      </c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7.2849490934425036</v>
      </c>
      <c r="H246">
        <v>7.6612180056514559E-3</v>
      </c>
      <c r="I246">
        <v>-0.78440356762549801</v>
      </c>
      <c r="J246">
        <v>-6.0094867359897046E-3</v>
      </c>
      <c r="K246" s="96">
        <f t="shared" si="10"/>
        <v>0</v>
      </c>
      <c r="L246" s="96">
        <f t="shared" si="11"/>
        <v>1</v>
      </c>
      <c r="M246" s="96">
        <f t="shared" si="12"/>
        <v>0</v>
      </c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11.004923640163758</v>
      </c>
      <c r="H247">
        <v>1.932559496921088E-3</v>
      </c>
      <c r="I247">
        <v>-0.69292688666533175</v>
      </c>
      <c r="J247">
        <v>-1.3391224354970493E-3</v>
      </c>
      <c r="K247" s="96">
        <f t="shared" si="10"/>
        <v>0</v>
      </c>
      <c r="L247" s="96">
        <f t="shared" si="11"/>
        <v>1</v>
      </c>
      <c r="M247" s="96">
        <f t="shared" si="12"/>
        <v>0</v>
      </c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1.0849915155737508</v>
      </c>
      <c r="H248">
        <v>7.6612180056514559E-3</v>
      </c>
      <c r="I248">
        <v>-0.96447980626646768</v>
      </c>
      <c r="J248">
        <v>-7.3890900578558903E-3</v>
      </c>
      <c r="K248" s="96">
        <f t="shared" si="10"/>
        <v>0</v>
      </c>
      <c r="L248" s="96">
        <f t="shared" si="11"/>
        <v>1</v>
      </c>
      <c r="M248" s="96">
        <f t="shared" si="12"/>
        <v>0</v>
      </c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6.044957577868753</v>
      </c>
      <c r="H249">
        <v>7.6612180056514559E-3</v>
      </c>
      <c r="I249">
        <v>-0.8175047335690514</v>
      </c>
      <c r="J249">
        <v>-6.2630819845245125E-3</v>
      </c>
      <c r="K249" s="96">
        <f t="shared" si="10"/>
        <v>0</v>
      </c>
      <c r="L249" s="96">
        <f t="shared" si="11"/>
        <v>1</v>
      </c>
      <c r="M249" s="96">
        <f t="shared" si="12"/>
        <v>0</v>
      </c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9.7649321245900058</v>
      </c>
      <c r="H250">
        <v>1.932559496921088E-3</v>
      </c>
      <c r="I250">
        <v>-0.72216781417882026</v>
      </c>
      <c r="J250">
        <v>-1.3956322676620227E-3</v>
      </c>
      <c r="K250" s="96">
        <f t="shared" si="10"/>
        <v>0</v>
      </c>
      <c r="L250" s="96">
        <f t="shared" si="11"/>
        <v>1</v>
      </c>
      <c r="M250" s="96">
        <f t="shared" si="12"/>
        <v>0</v>
      </c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-0.25</v>
      </c>
      <c r="H251">
        <v>1.932559496921088E-3</v>
      </c>
      <c r="I251">
        <v>-1.008368152207447</v>
      </c>
      <c r="J251">
        <v>-1.9487314489412709E-3</v>
      </c>
      <c r="K251" s="96">
        <f t="shared" si="10"/>
        <v>0</v>
      </c>
      <c r="L251" s="96">
        <f t="shared" si="11"/>
        <v>1</v>
      </c>
      <c r="M251" s="96">
        <f t="shared" si="12"/>
        <v>0</v>
      </c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4.8049660622950077</v>
      </c>
      <c r="H252">
        <v>1.932559496921088E-3</v>
      </c>
      <c r="I252">
        <v>-0.8520027406694336</v>
      </c>
      <c r="J252">
        <v>-1.6465459878835088E-3</v>
      </c>
      <c r="K252" s="96">
        <f t="shared" si="10"/>
        <v>0</v>
      </c>
      <c r="L252" s="96">
        <f t="shared" si="11"/>
        <v>1</v>
      </c>
      <c r="M252" s="96">
        <f t="shared" si="12"/>
        <v>0</v>
      </c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8.5249406090162552</v>
      </c>
      <c r="H253">
        <v>4.8749248570982399E-4</v>
      </c>
      <c r="I253">
        <v>-0.75264268405809565</v>
      </c>
      <c r="J253">
        <v>-3.6690765290279474E-4</v>
      </c>
      <c r="K253" s="96">
        <f t="shared" si="10"/>
        <v>0</v>
      </c>
      <c r="L253" s="96">
        <f t="shared" si="11"/>
        <v>1</v>
      </c>
      <c r="M253" s="96">
        <f t="shared" si="12"/>
        <v>0</v>
      </c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2.324983031147501</v>
      </c>
      <c r="H254">
        <v>7.6612180056514559E-3</v>
      </c>
      <c r="I254">
        <v>-0.92542754784460746</v>
      </c>
      <c r="J254">
        <v>-7.0899021924729806E-3</v>
      </c>
      <c r="K254" s="96">
        <f t="shared" si="10"/>
        <v>0</v>
      </c>
      <c r="L254" s="96">
        <f t="shared" si="11"/>
        <v>1</v>
      </c>
      <c r="M254" s="96">
        <f t="shared" si="12"/>
        <v>0</v>
      </c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7.2849490934425036</v>
      </c>
      <c r="H255">
        <v>7.6612180056514559E-3</v>
      </c>
      <c r="I255">
        <v>-0.78440356762549801</v>
      </c>
      <c r="J255">
        <v>-6.0094867359897046E-3</v>
      </c>
      <c r="K255" s="96">
        <f t="shared" si="10"/>
        <v>0</v>
      </c>
      <c r="L255" s="96">
        <f t="shared" si="11"/>
        <v>1</v>
      </c>
      <c r="M255" s="96">
        <f t="shared" si="12"/>
        <v>0</v>
      </c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11.004923640163758</v>
      </c>
      <c r="H256">
        <v>1.932559496921088E-3</v>
      </c>
      <c r="I256">
        <v>-0.69292688666533175</v>
      </c>
      <c r="J256">
        <v>-1.3391224354970493E-3</v>
      </c>
      <c r="K256" s="96">
        <f t="shared" si="10"/>
        <v>0</v>
      </c>
      <c r="L256" s="96">
        <f t="shared" si="11"/>
        <v>1</v>
      </c>
      <c r="M256" s="96">
        <f t="shared" si="12"/>
        <v>0</v>
      </c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1.0849915155737508</v>
      </c>
      <c r="H257">
        <v>7.6612180056514559E-3</v>
      </c>
      <c r="I257">
        <v>-0.96447980626646768</v>
      </c>
      <c r="J257">
        <v>-7.3890900578558903E-3</v>
      </c>
      <c r="K257" s="96">
        <f t="shared" si="10"/>
        <v>0</v>
      </c>
      <c r="L257" s="96">
        <f t="shared" si="11"/>
        <v>1</v>
      </c>
      <c r="M257" s="96">
        <f t="shared" si="12"/>
        <v>0</v>
      </c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6.044957577868753</v>
      </c>
      <c r="H258">
        <v>7.6612180056514559E-3</v>
      </c>
      <c r="I258">
        <v>-0.8175047335690514</v>
      </c>
      <c r="J258">
        <v>-6.2630819845245125E-3</v>
      </c>
      <c r="K258" s="96">
        <f t="shared" si="10"/>
        <v>0</v>
      </c>
      <c r="L258" s="96">
        <f t="shared" si="11"/>
        <v>1</v>
      </c>
      <c r="M258" s="96">
        <f t="shared" si="12"/>
        <v>0</v>
      </c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9.7649321245900058</v>
      </c>
      <c r="H259">
        <v>1.932559496921088E-3</v>
      </c>
      <c r="I259">
        <v>-0.72216781417882026</v>
      </c>
      <c r="J259">
        <v>-1.3956322676620227E-3</v>
      </c>
      <c r="K259" s="96">
        <f t="shared" ref="K259:K322" si="13">IF(A259=3,1,0)</f>
        <v>0</v>
      </c>
      <c r="L259" s="96">
        <f t="shared" ref="L259:L322" si="14">IF(A259=2,1,0)</f>
        <v>1</v>
      </c>
      <c r="M259" s="96">
        <f t="shared" ref="M259:M322" si="15">IF(A259=1,1,0)</f>
        <v>0</v>
      </c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-0.25</v>
      </c>
      <c r="H260">
        <v>1.932559496921088E-3</v>
      </c>
      <c r="I260">
        <v>-1.008368152207447</v>
      </c>
      <c r="J260">
        <v>-1.9487314489412709E-3</v>
      </c>
      <c r="K260" s="96">
        <f t="shared" si="13"/>
        <v>0</v>
      </c>
      <c r="L260" s="96">
        <f t="shared" si="14"/>
        <v>1</v>
      </c>
      <c r="M260" s="96">
        <f t="shared" si="15"/>
        <v>0</v>
      </c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4.8049660622950077</v>
      </c>
      <c r="H261">
        <v>1.932559496921088E-3</v>
      </c>
      <c r="I261">
        <v>-0.8520027406694336</v>
      </c>
      <c r="J261">
        <v>-1.6465459878835088E-3</v>
      </c>
      <c r="K261" s="96">
        <f t="shared" si="13"/>
        <v>0</v>
      </c>
      <c r="L261" s="96">
        <f t="shared" si="14"/>
        <v>1</v>
      </c>
      <c r="M261" s="96">
        <f t="shared" si="15"/>
        <v>0</v>
      </c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8.5249406090162552</v>
      </c>
      <c r="H262">
        <v>4.8749248570982399E-4</v>
      </c>
      <c r="I262">
        <v>-0.75264268405809565</v>
      </c>
      <c r="J262">
        <v>-3.6690765290279474E-4</v>
      </c>
      <c r="K262" s="96">
        <f t="shared" si="13"/>
        <v>0</v>
      </c>
      <c r="L262" s="96">
        <f t="shared" si="14"/>
        <v>1</v>
      </c>
      <c r="M262" s="96">
        <f t="shared" si="15"/>
        <v>0</v>
      </c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2.324983031147501</v>
      </c>
      <c r="H263">
        <v>1.932559496921088E-3</v>
      </c>
      <c r="I263">
        <v>-0.92542754784460746</v>
      </c>
      <c r="J263">
        <v>-1.7884437962994906E-3</v>
      </c>
      <c r="K263" s="96">
        <f t="shared" si="13"/>
        <v>0</v>
      </c>
      <c r="L263" s="96">
        <f t="shared" si="14"/>
        <v>1</v>
      </c>
      <c r="M263" s="96">
        <f t="shared" si="15"/>
        <v>0</v>
      </c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7.2849490934425036</v>
      </c>
      <c r="H264">
        <v>1.932559496921088E-3</v>
      </c>
      <c r="I264">
        <v>-0.78440356762549801</v>
      </c>
      <c r="J264">
        <v>-1.5159065640334391E-3</v>
      </c>
      <c r="K264" s="96">
        <f t="shared" si="13"/>
        <v>0</v>
      </c>
      <c r="L264" s="96">
        <f t="shared" si="14"/>
        <v>1</v>
      </c>
      <c r="M264" s="96">
        <f t="shared" si="15"/>
        <v>0</v>
      </c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11.004923640163758</v>
      </c>
      <c r="H265">
        <v>4.8749248570982399E-4</v>
      </c>
      <c r="I265">
        <v>-0.69292688666533175</v>
      </c>
      <c r="J265">
        <v>-3.3779665039565207E-4</v>
      </c>
      <c r="K265" s="96">
        <f t="shared" si="13"/>
        <v>0</v>
      </c>
      <c r="L265" s="96">
        <f t="shared" si="14"/>
        <v>1</v>
      </c>
      <c r="M265" s="96">
        <f t="shared" si="15"/>
        <v>0</v>
      </c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1.0849915155737508</v>
      </c>
      <c r="H266">
        <v>1.932559496921088E-3</v>
      </c>
      <c r="I266">
        <v>-0.96447980626646768</v>
      </c>
      <c r="J266">
        <v>-1.8639146091888731E-3</v>
      </c>
      <c r="K266" s="96">
        <f t="shared" si="13"/>
        <v>0</v>
      </c>
      <c r="L266" s="96">
        <f t="shared" si="14"/>
        <v>1</v>
      </c>
      <c r="M266" s="96">
        <f t="shared" si="15"/>
        <v>0</v>
      </c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6.044957577868753</v>
      </c>
      <c r="H267">
        <v>1.932559496921088E-3</v>
      </c>
      <c r="I267">
        <v>-0.8175047335690514</v>
      </c>
      <c r="J267">
        <v>-1.579876536636814E-3</v>
      </c>
      <c r="K267" s="96">
        <f t="shared" si="13"/>
        <v>0</v>
      </c>
      <c r="L267" s="96">
        <f t="shared" si="14"/>
        <v>1</v>
      </c>
      <c r="M267" s="96">
        <f t="shared" si="15"/>
        <v>0</v>
      </c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9.7649321245900058</v>
      </c>
      <c r="H268">
        <v>4.8749248570982399E-4</v>
      </c>
      <c r="I268">
        <v>-0.72216781417882026</v>
      </c>
      <c r="J268">
        <v>-3.5205138283366335E-4</v>
      </c>
      <c r="K268" s="96">
        <f t="shared" si="13"/>
        <v>0</v>
      </c>
      <c r="L268" s="96">
        <f t="shared" si="14"/>
        <v>1</v>
      </c>
      <c r="M268" s="96">
        <f t="shared" si="15"/>
        <v>0</v>
      </c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-0.25</v>
      </c>
      <c r="H269">
        <v>4.8749248570982405E-4</v>
      </c>
      <c r="I269">
        <v>-1.008368152207447</v>
      </c>
      <c r="J269">
        <v>-4.9157189703023059E-4</v>
      </c>
      <c r="K269" s="96">
        <f t="shared" si="13"/>
        <v>0</v>
      </c>
      <c r="L269" s="96">
        <f t="shared" si="14"/>
        <v>1</v>
      </c>
      <c r="M269" s="96">
        <f t="shared" si="15"/>
        <v>0</v>
      </c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4.8049660622950077</v>
      </c>
      <c r="H270">
        <v>4.8749248570982405E-4</v>
      </c>
      <c r="I270">
        <v>-0.8520027406694336</v>
      </c>
      <c r="J270">
        <v>-4.1534493388052478E-4</v>
      </c>
      <c r="K270" s="96">
        <f t="shared" si="13"/>
        <v>0</v>
      </c>
      <c r="L270" s="96">
        <f t="shared" si="14"/>
        <v>1</v>
      </c>
      <c r="M270" s="96">
        <f t="shared" si="15"/>
        <v>0</v>
      </c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8.5249406090162552</v>
      </c>
      <c r="H271">
        <v>1.2297107747635201E-4</v>
      </c>
      <c r="I271">
        <v>-0.75264268405809565</v>
      </c>
      <c r="J271">
        <v>-9.2553281813317602E-5</v>
      </c>
      <c r="K271" s="96">
        <f t="shared" si="13"/>
        <v>0</v>
      </c>
      <c r="L271" s="96">
        <f t="shared" si="14"/>
        <v>1</v>
      </c>
      <c r="M271" s="96">
        <f t="shared" si="15"/>
        <v>0</v>
      </c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2.897286807566152</v>
      </c>
      <c r="H272">
        <v>7.6612180056514559E-3</v>
      </c>
      <c r="I272">
        <v>-0.90794068544089912</v>
      </c>
      <c r="J272">
        <v>-6.9559315273633408E-3</v>
      </c>
      <c r="K272" s="96">
        <f t="shared" si="13"/>
        <v>0</v>
      </c>
      <c r="L272" s="96">
        <f t="shared" si="14"/>
        <v>1</v>
      </c>
      <c r="M272" s="96">
        <f t="shared" si="15"/>
        <v>0</v>
      </c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9.0018604226984653</v>
      </c>
      <c r="H273">
        <v>7.6612180056514559E-3</v>
      </c>
      <c r="I273">
        <v>-0.74077228093841518</v>
      </c>
      <c r="J273">
        <v>-5.6752179368128848E-3</v>
      </c>
      <c r="K273" s="96">
        <f t="shared" si="13"/>
        <v>0</v>
      </c>
      <c r="L273" s="96">
        <f t="shared" si="14"/>
        <v>1</v>
      </c>
      <c r="M273" s="96">
        <f t="shared" si="15"/>
        <v>0</v>
      </c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13.580290634047694</v>
      </c>
      <c r="H274">
        <v>1.932559496921088E-3</v>
      </c>
      <c r="I274">
        <v>-0.63592391425800554</v>
      </c>
      <c r="J274">
        <v>-1.2289607998185403E-3</v>
      </c>
      <c r="K274" s="96">
        <f t="shared" si="13"/>
        <v>0</v>
      </c>
      <c r="L274" s="96">
        <f t="shared" si="14"/>
        <v>1</v>
      </c>
      <c r="M274" s="96">
        <f t="shared" si="15"/>
        <v>0</v>
      </c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1.3711434037830728</v>
      </c>
      <c r="H275">
        <v>7.6612180056514559E-3</v>
      </c>
      <c r="I275">
        <v>-0.95532395118068847</v>
      </c>
      <c r="J275">
        <v>-7.3189450560155831E-3</v>
      </c>
      <c r="K275" s="96">
        <f t="shared" si="13"/>
        <v>0</v>
      </c>
      <c r="L275" s="96">
        <f t="shared" si="14"/>
        <v>1</v>
      </c>
      <c r="M275" s="96">
        <f t="shared" si="15"/>
        <v>0</v>
      </c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7.4757170189153852</v>
      </c>
      <c r="H276">
        <v>7.6612180056514559E-3</v>
      </c>
      <c r="I276">
        <v>-0.77943142509091023</v>
      </c>
      <c r="J276">
        <v>-5.9713940680770558E-3</v>
      </c>
      <c r="K276" s="96">
        <f t="shared" si="13"/>
        <v>0</v>
      </c>
      <c r="L276" s="96">
        <f t="shared" si="14"/>
        <v>1</v>
      </c>
      <c r="M276" s="96">
        <f t="shared" si="15"/>
        <v>0</v>
      </c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12.054147230264624</v>
      </c>
      <c r="H277">
        <v>1.932559496921088E-3</v>
      </c>
      <c r="I277">
        <v>-0.66911127143094873</v>
      </c>
      <c r="J277">
        <v>-1.2930973421008238E-3</v>
      </c>
      <c r="K277" s="96">
        <f t="shared" si="13"/>
        <v>0</v>
      </c>
      <c r="L277" s="96">
        <f t="shared" si="14"/>
        <v>1</v>
      </c>
      <c r="M277" s="96">
        <f t="shared" si="15"/>
        <v>0</v>
      </c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-0.25</v>
      </c>
      <c r="H278">
        <v>1.932559496921088E-3</v>
      </c>
      <c r="I278">
        <v>-1.008368152207447</v>
      </c>
      <c r="J278">
        <v>-1.9487314489412709E-3</v>
      </c>
      <c r="K278" s="96">
        <f t="shared" si="13"/>
        <v>0</v>
      </c>
      <c r="L278" s="96">
        <f t="shared" si="14"/>
        <v>1</v>
      </c>
      <c r="M278" s="96">
        <f t="shared" si="15"/>
        <v>0</v>
      </c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5.9495736151323131</v>
      </c>
      <c r="H279">
        <v>1.932559496921088E-3</v>
      </c>
      <c r="I279">
        <v>-0.82010809806442142</v>
      </c>
      <c r="J279">
        <v>-1.5849076934162886E-3</v>
      </c>
      <c r="K279" s="96">
        <f t="shared" si="13"/>
        <v>0</v>
      </c>
      <c r="L279" s="96">
        <f t="shared" si="14"/>
        <v>1</v>
      </c>
      <c r="M279" s="96">
        <f t="shared" si="15"/>
        <v>0</v>
      </c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10.528003826481536</v>
      </c>
      <c r="H280">
        <v>4.8749248570982399E-4</v>
      </c>
      <c r="I280">
        <v>-0.7040305978716459</v>
      </c>
      <c r="J280">
        <v>-3.4320962617222217E-4</v>
      </c>
      <c r="K280" s="96">
        <f t="shared" si="13"/>
        <v>0</v>
      </c>
      <c r="L280" s="96">
        <f t="shared" si="14"/>
        <v>1</v>
      </c>
      <c r="M280" s="96">
        <f t="shared" si="15"/>
        <v>0</v>
      </c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2.897286807566152</v>
      </c>
      <c r="H281">
        <v>7.6612180056514559E-3</v>
      </c>
      <c r="I281">
        <v>-0.90794068544089912</v>
      </c>
      <c r="J281">
        <v>-6.9559315273633408E-3</v>
      </c>
      <c r="K281" s="96">
        <f t="shared" si="13"/>
        <v>0</v>
      </c>
      <c r="L281" s="96">
        <f t="shared" si="14"/>
        <v>1</v>
      </c>
      <c r="M281" s="96">
        <f t="shared" si="15"/>
        <v>0</v>
      </c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9.0018604226984653</v>
      </c>
      <c r="H282">
        <v>7.6612180056514559E-3</v>
      </c>
      <c r="I282">
        <v>-0.74077228093841518</v>
      </c>
      <c r="J282">
        <v>-5.6752179368128848E-3</v>
      </c>
      <c r="K282" s="96">
        <f t="shared" si="13"/>
        <v>0</v>
      </c>
      <c r="L282" s="96">
        <f t="shared" si="14"/>
        <v>1</v>
      </c>
      <c r="M282" s="96">
        <f t="shared" si="15"/>
        <v>0</v>
      </c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13.580290634047694</v>
      </c>
      <c r="H283">
        <v>1.932559496921088E-3</v>
      </c>
      <c r="I283">
        <v>-0.63592391425800554</v>
      </c>
      <c r="J283">
        <v>-1.2289607998185403E-3</v>
      </c>
      <c r="K283" s="96">
        <f t="shared" si="13"/>
        <v>0</v>
      </c>
      <c r="L283" s="96">
        <f t="shared" si="14"/>
        <v>1</v>
      </c>
      <c r="M283" s="96">
        <f t="shared" si="15"/>
        <v>0</v>
      </c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1.3711434037830728</v>
      </c>
      <c r="H284">
        <v>7.6612180056514559E-3</v>
      </c>
      <c r="I284">
        <v>-0.95532395118068847</v>
      </c>
      <c r="J284">
        <v>-7.3189450560155831E-3</v>
      </c>
      <c r="K284" s="96">
        <f t="shared" si="13"/>
        <v>0</v>
      </c>
      <c r="L284" s="96">
        <f t="shared" si="14"/>
        <v>1</v>
      </c>
      <c r="M284" s="96">
        <f t="shared" si="15"/>
        <v>0</v>
      </c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7.4757170189153852</v>
      </c>
      <c r="H285">
        <v>7.6612180056514559E-3</v>
      </c>
      <c r="I285">
        <v>-0.77943142509091023</v>
      </c>
      <c r="J285">
        <v>-5.9713940680770558E-3</v>
      </c>
      <c r="K285" s="96">
        <f t="shared" si="13"/>
        <v>0</v>
      </c>
      <c r="L285" s="96">
        <f t="shared" si="14"/>
        <v>1</v>
      </c>
      <c r="M285" s="96">
        <f t="shared" si="15"/>
        <v>0</v>
      </c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12.054147230264624</v>
      </c>
      <c r="H286">
        <v>1.932559496921088E-3</v>
      </c>
      <c r="I286">
        <v>-0.66911127143094873</v>
      </c>
      <c r="J286">
        <v>-1.2930973421008238E-3</v>
      </c>
      <c r="K286" s="96">
        <f t="shared" si="13"/>
        <v>0</v>
      </c>
      <c r="L286" s="96">
        <f t="shared" si="14"/>
        <v>1</v>
      </c>
      <c r="M286" s="96">
        <f t="shared" si="15"/>
        <v>0</v>
      </c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-0.25</v>
      </c>
      <c r="H287">
        <v>1.932559496921088E-3</v>
      </c>
      <c r="I287">
        <v>-1.008368152207447</v>
      </c>
      <c r="J287">
        <v>-1.9487314489412709E-3</v>
      </c>
      <c r="K287" s="96">
        <f t="shared" si="13"/>
        <v>0</v>
      </c>
      <c r="L287" s="96">
        <f t="shared" si="14"/>
        <v>1</v>
      </c>
      <c r="M287" s="96">
        <f t="shared" si="15"/>
        <v>0</v>
      </c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5.9495736151323131</v>
      </c>
      <c r="H288">
        <v>1.932559496921088E-3</v>
      </c>
      <c r="I288">
        <v>-0.82010809806442142</v>
      </c>
      <c r="J288">
        <v>-1.5849076934162886E-3</v>
      </c>
      <c r="K288" s="96">
        <f t="shared" si="13"/>
        <v>0</v>
      </c>
      <c r="L288" s="96">
        <f t="shared" si="14"/>
        <v>1</v>
      </c>
      <c r="M288" s="96">
        <f t="shared" si="15"/>
        <v>0</v>
      </c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10.528003826481536</v>
      </c>
      <c r="H289">
        <v>4.8749248570982399E-4</v>
      </c>
      <c r="I289">
        <v>-0.7040305978716459</v>
      </c>
      <c r="J289">
        <v>-3.4320962617222217E-4</v>
      </c>
      <c r="K289" s="96">
        <f t="shared" si="13"/>
        <v>0</v>
      </c>
      <c r="L289" s="96">
        <f t="shared" si="14"/>
        <v>1</v>
      </c>
      <c r="M289" s="96">
        <f t="shared" si="15"/>
        <v>0</v>
      </c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2.897286807566152</v>
      </c>
      <c r="H290">
        <v>1.932559496921088E-3</v>
      </c>
      <c r="I290">
        <v>-0.90794068544089912</v>
      </c>
      <c r="J290">
        <v>-1.7546493942898517E-3</v>
      </c>
      <c r="K290" s="96">
        <f t="shared" si="13"/>
        <v>0</v>
      </c>
      <c r="L290" s="96">
        <f t="shared" si="14"/>
        <v>1</v>
      </c>
      <c r="M290" s="96">
        <f t="shared" si="15"/>
        <v>0</v>
      </c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9.0018604226984653</v>
      </c>
      <c r="H291">
        <v>1.932559496921088E-3</v>
      </c>
      <c r="I291">
        <v>-0.74077228093841518</v>
      </c>
      <c r="J291">
        <v>-1.4315865065834305E-3</v>
      </c>
      <c r="K291" s="96">
        <f t="shared" si="13"/>
        <v>0</v>
      </c>
      <c r="L291" s="96">
        <f t="shared" si="14"/>
        <v>1</v>
      </c>
      <c r="M291" s="96">
        <f t="shared" si="15"/>
        <v>0</v>
      </c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13.580290634047694</v>
      </c>
      <c r="H292">
        <v>4.8749248570982399E-4</v>
      </c>
      <c r="I292">
        <v>-0.63592391425800554</v>
      </c>
      <c r="J292">
        <v>-3.1000812968395608E-4</v>
      </c>
      <c r="K292" s="96">
        <f t="shared" si="13"/>
        <v>0</v>
      </c>
      <c r="L292" s="96">
        <f t="shared" si="14"/>
        <v>1</v>
      </c>
      <c r="M292" s="96">
        <f t="shared" si="15"/>
        <v>0</v>
      </c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1.3711434037830728</v>
      </c>
      <c r="H293">
        <v>1.932559496921088E-3</v>
      </c>
      <c r="I293">
        <v>-0.95532395118068847</v>
      </c>
      <c r="J293">
        <v>-1.8462203744904174E-3</v>
      </c>
      <c r="K293" s="96">
        <f t="shared" si="13"/>
        <v>0</v>
      </c>
      <c r="L293" s="96">
        <f t="shared" si="14"/>
        <v>1</v>
      </c>
      <c r="M293" s="96">
        <f t="shared" si="15"/>
        <v>0</v>
      </c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7.4757170189153852</v>
      </c>
      <c r="H294">
        <v>1.932559496921088E-3</v>
      </c>
      <c r="I294">
        <v>-0.77943142509091023</v>
      </c>
      <c r="J294">
        <v>-1.5062976027581762E-3</v>
      </c>
      <c r="K294" s="96">
        <f t="shared" si="13"/>
        <v>0</v>
      </c>
      <c r="L294" s="96">
        <f t="shared" si="14"/>
        <v>1</v>
      </c>
      <c r="M294" s="96">
        <f t="shared" si="15"/>
        <v>0</v>
      </c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12.054147230264624</v>
      </c>
      <c r="H295">
        <v>4.8749248570982399E-4</v>
      </c>
      <c r="I295">
        <v>-0.66911127143094873</v>
      </c>
      <c r="J295">
        <v>-3.2618671692633396E-4</v>
      </c>
      <c r="K295" s="96">
        <f t="shared" si="13"/>
        <v>0</v>
      </c>
      <c r="L295" s="96">
        <f t="shared" si="14"/>
        <v>1</v>
      </c>
      <c r="M295" s="96">
        <f t="shared" si="15"/>
        <v>0</v>
      </c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-0.25</v>
      </c>
      <c r="H296">
        <v>4.8749248570982405E-4</v>
      </c>
      <c r="I296">
        <v>-1.008368152207447</v>
      </c>
      <c r="J296">
        <v>-4.9157189703023059E-4</v>
      </c>
      <c r="K296" s="96">
        <f t="shared" si="13"/>
        <v>0</v>
      </c>
      <c r="L296" s="96">
        <f t="shared" si="14"/>
        <v>1</v>
      </c>
      <c r="M296" s="96">
        <f t="shared" si="15"/>
        <v>0</v>
      </c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5.9495736151323131</v>
      </c>
      <c r="H297">
        <v>4.8749248570982405E-4</v>
      </c>
      <c r="I297">
        <v>-0.82010809806442142</v>
      </c>
      <c r="J297">
        <v>-3.9979653527618092E-4</v>
      </c>
      <c r="K297" s="96">
        <f t="shared" si="13"/>
        <v>0</v>
      </c>
      <c r="L297" s="96">
        <f t="shared" si="14"/>
        <v>1</v>
      </c>
      <c r="M297" s="96">
        <f t="shared" si="15"/>
        <v>0</v>
      </c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10.528003826481536</v>
      </c>
      <c r="H298">
        <v>1.2297107747635201E-4</v>
      </c>
      <c r="I298">
        <v>-0.7040305978716459</v>
      </c>
      <c r="J298">
        <v>-8.6575401196596592E-5</v>
      </c>
      <c r="K298" s="96">
        <f t="shared" si="13"/>
        <v>0</v>
      </c>
      <c r="L298" s="96">
        <f t="shared" si="14"/>
        <v>1</v>
      </c>
      <c r="M298" s="96">
        <f t="shared" si="15"/>
        <v>0</v>
      </c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3.2788226585119222</v>
      </c>
      <c r="H299">
        <v>1.932559496921088E-3</v>
      </c>
      <c r="I299">
        <v>-0.89646673806433452</v>
      </c>
      <c r="J299">
        <v>-1.7324753083200991E-3</v>
      </c>
      <c r="K299" s="96">
        <f t="shared" si="13"/>
        <v>0</v>
      </c>
      <c r="L299" s="96">
        <f t="shared" si="14"/>
        <v>1</v>
      </c>
      <c r="M299" s="96">
        <f t="shared" si="15"/>
        <v>0</v>
      </c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10.146467975535774</v>
      </c>
      <c r="H300">
        <v>1.932559496921088E-3</v>
      </c>
      <c r="I300">
        <v>-0.71304154015034382</v>
      </c>
      <c r="J300">
        <v>-1.3779952001167861E-3</v>
      </c>
      <c r="K300" s="96">
        <f t="shared" si="13"/>
        <v>0</v>
      </c>
      <c r="L300" s="96">
        <f t="shared" si="14"/>
        <v>1</v>
      </c>
      <c r="M300" s="96">
        <f t="shared" si="15"/>
        <v>0</v>
      </c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15.297201963303658</v>
      </c>
      <c r="H301">
        <v>4.8749248570982399E-4</v>
      </c>
      <c r="I301">
        <v>-0.60055158837968936</v>
      </c>
      <c r="J301">
        <v>-2.9276438661619781E-4</v>
      </c>
      <c r="K301" s="96">
        <f t="shared" si="13"/>
        <v>0</v>
      </c>
      <c r="L301" s="96">
        <f t="shared" si="14"/>
        <v>1</v>
      </c>
      <c r="M301" s="96">
        <f t="shared" si="15"/>
        <v>0</v>
      </c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1.5619113292559601</v>
      </c>
      <c r="H302">
        <v>1.932559496921088E-3</v>
      </c>
      <c r="I302">
        <v>-0.94926838610166275</v>
      </c>
      <c r="J302">
        <v>-1.8345176346877224E-3</v>
      </c>
      <c r="K302" s="96">
        <f t="shared" si="13"/>
        <v>0</v>
      </c>
      <c r="L302" s="96">
        <f t="shared" si="14"/>
        <v>1</v>
      </c>
      <c r="M302" s="96">
        <f t="shared" si="15"/>
        <v>0</v>
      </c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8.4295566462798064</v>
      </c>
      <c r="H303">
        <v>1.932559496921088E-3</v>
      </c>
      <c r="I303">
        <v>-0.75503949371670476</v>
      </c>
      <c r="J303">
        <v>-1.4591587441327078E-3</v>
      </c>
      <c r="K303" s="96">
        <f t="shared" si="13"/>
        <v>0</v>
      </c>
      <c r="L303" s="96">
        <f t="shared" si="14"/>
        <v>1</v>
      </c>
      <c r="M303" s="96">
        <f t="shared" si="15"/>
        <v>0</v>
      </c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13.580290634047694</v>
      </c>
      <c r="H304">
        <v>4.8749248570982399E-4</v>
      </c>
      <c r="I304">
        <v>-0.63592391425800554</v>
      </c>
      <c r="J304">
        <v>-3.1000812968395608E-4</v>
      </c>
      <c r="K304" s="96">
        <f t="shared" si="13"/>
        <v>0</v>
      </c>
      <c r="L304" s="96">
        <f t="shared" si="14"/>
        <v>1</v>
      </c>
      <c r="M304" s="96">
        <f t="shared" si="15"/>
        <v>0</v>
      </c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-0.25</v>
      </c>
      <c r="H305">
        <v>4.8749248570982405E-4</v>
      </c>
      <c r="I305">
        <v>-1.008368152207447</v>
      </c>
      <c r="J305">
        <v>-4.9157189703023059E-4</v>
      </c>
      <c r="K305" s="96">
        <f t="shared" si="13"/>
        <v>0</v>
      </c>
      <c r="L305" s="96">
        <f t="shared" si="14"/>
        <v>1</v>
      </c>
      <c r="M305" s="96">
        <f t="shared" si="15"/>
        <v>0</v>
      </c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6.7126453170238536</v>
      </c>
      <c r="H306">
        <v>4.8749248570982405E-4</v>
      </c>
      <c r="I306">
        <v>-0.79951111537173003</v>
      </c>
      <c r="J306">
        <v>-3.8975566098519858E-4</v>
      </c>
      <c r="K306" s="96">
        <f t="shared" si="13"/>
        <v>0</v>
      </c>
      <c r="L306" s="96">
        <f t="shared" si="14"/>
        <v>1</v>
      </c>
      <c r="M306" s="96">
        <f t="shared" si="15"/>
        <v>0</v>
      </c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11.863379304791733</v>
      </c>
      <c r="H307">
        <v>1.2297107747635201E-4</v>
      </c>
      <c r="I307">
        <v>-0.67337966054890874</v>
      </c>
      <c r="J307">
        <v>-8.2806222408359477E-5</v>
      </c>
      <c r="K307" s="96">
        <f t="shared" si="13"/>
        <v>0</v>
      </c>
      <c r="L307" s="96">
        <f t="shared" si="14"/>
        <v>1</v>
      </c>
      <c r="M307" s="96">
        <f t="shared" si="15"/>
        <v>0</v>
      </c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3.2788226585119222</v>
      </c>
      <c r="H308">
        <v>1.932559496921088E-3</v>
      </c>
      <c r="I308">
        <v>-0.89646673806433452</v>
      </c>
      <c r="J308">
        <v>-1.7324753083200991E-3</v>
      </c>
      <c r="K308" s="96">
        <f t="shared" si="13"/>
        <v>0</v>
      </c>
      <c r="L308" s="96">
        <f t="shared" si="14"/>
        <v>1</v>
      </c>
      <c r="M308" s="96">
        <f t="shared" si="15"/>
        <v>0</v>
      </c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10.146467975535774</v>
      </c>
      <c r="H309">
        <v>1.932559496921088E-3</v>
      </c>
      <c r="I309">
        <v>-0.71304154015034382</v>
      </c>
      <c r="J309">
        <v>-1.3779952001167861E-3</v>
      </c>
      <c r="K309" s="96">
        <f t="shared" si="13"/>
        <v>0</v>
      </c>
      <c r="L309" s="96">
        <f t="shared" si="14"/>
        <v>1</v>
      </c>
      <c r="M309" s="96">
        <f t="shared" si="15"/>
        <v>0</v>
      </c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15.297201963303658</v>
      </c>
      <c r="H310">
        <v>4.8749248570982399E-4</v>
      </c>
      <c r="I310">
        <v>-0.60055158837968936</v>
      </c>
      <c r="J310">
        <v>-2.9276438661619781E-4</v>
      </c>
      <c r="K310" s="96">
        <f t="shared" si="13"/>
        <v>0</v>
      </c>
      <c r="L310" s="96">
        <f t="shared" si="14"/>
        <v>1</v>
      </c>
      <c r="M310" s="96">
        <f t="shared" si="15"/>
        <v>0</v>
      </c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1.5619113292559601</v>
      </c>
      <c r="H311">
        <v>1.932559496921088E-3</v>
      </c>
      <c r="I311">
        <v>-0.94926838610166275</v>
      </c>
      <c r="J311">
        <v>-1.8345176346877224E-3</v>
      </c>
      <c r="K311" s="96">
        <f t="shared" si="13"/>
        <v>0</v>
      </c>
      <c r="L311" s="96">
        <f t="shared" si="14"/>
        <v>1</v>
      </c>
      <c r="M311" s="96">
        <f t="shared" si="15"/>
        <v>0</v>
      </c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8.4295566462798064</v>
      </c>
      <c r="H312">
        <v>1.932559496921088E-3</v>
      </c>
      <c r="I312">
        <v>-0.75503949371670476</v>
      </c>
      <c r="J312">
        <v>-1.4591587441327078E-3</v>
      </c>
      <c r="K312" s="96">
        <f t="shared" si="13"/>
        <v>0</v>
      </c>
      <c r="L312" s="96">
        <f t="shared" si="14"/>
        <v>1</v>
      </c>
      <c r="M312" s="96">
        <f t="shared" si="15"/>
        <v>0</v>
      </c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13.580290634047694</v>
      </c>
      <c r="H313">
        <v>4.8749248570982399E-4</v>
      </c>
      <c r="I313">
        <v>-0.63592391425800554</v>
      </c>
      <c r="J313">
        <v>-3.1000812968395608E-4</v>
      </c>
      <c r="K313" s="96">
        <f t="shared" si="13"/>
        <v>0</v>
      </c>
      <c r="L313" s="96">
        <f t="shared" si="14"/>
        <v>1</v>
      </c>
      <c r="M313" s="96">
        <f t="shared" si="15"/>
        <v>0</v>
      </c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-0.25</v>
      </c>
      <c r="H314">
        <v>4.8749248570982405E-4</v>
      </c>
      <c r="I314">
        <v>-1.008368152207447</v>
      </c>
      <c r="J314">
        <v>-4.9157189703023059E-4</v>
      </c>
      <c r="K314" s="96">
        <f t="shared" si="13"/>
        <v>0</v>
      </c>
      <c r="L314" s="96">
        <f t="shared" si="14"/>
        <v>1</v>
      </c>
      <c r="M314" s="96">
        <f t="shared" si="15"/>
        <v>0</v>
      </c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6.7126453170238536</v>
      </c>
      <c r="H315">
        <v>4.8749248570982405E-4</v>
      </c>
      <c r="I315">
        <v>-0.79951111537173003</v>
      </c>
      <c r="J315">
        <v>-3.8975566098519858E-4</v>
      </c>
      <c r="K315" s="96">
        <f t="shared" si="13"/>
        <v>0</v>
      </c>
      <c r="L315" s="96">
        <f t="shared" si="14"/>
        <v>1</v>
      </c>
      <c r="M315" s="96">
        <f t="shared" si="15"/>
        <v>0</v>
      </c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11.863379304791733</v>
      </c>
      <c r="H316">
        <v>1.2297107747635201E-4</v>
      </c>
      <c r="I316">
        <v>-0.67337966054890874</v>
      </c>
      <c r="J316">
        <v>-8.2806222408359477E-5</v>
      </c>
      <c r="K316" s="96">
        <f t="shared" si="13"/>
        <v>0</v>
      </c>
      <c r="L316" s="96">
        <f t="shared" si="14"/>
        <v>1</v>
      </c>
      <c r="M316" s="96">
        <f t="shared" si="15"/>
        <v>0</v>
      </c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3.2788226585119222</v>
      </c>
      <c r="H317">
        <v>4.8749248570982405E-4</v>
      </c>
      <c r="I317">
        <v>-0.89646673806433452</v>
      </c>
      <c r="J317">
        <v>-4.3702079849516017E-4</v>
      </c>
      <c r="K317" s="96">
        <f t="shared" si="13"/>
        <v>0</v>
      </c>
      <c r="L317" s="96">
        <f t="shared" si="14"/>
        <v>1</v>
      </c>
      <c r="M317" s="96">
        <f t="shared" si="15"/>
        <v>0</v>
      </c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10.146467975535774</v>
      </c>
      <c r="H318">
        <v>4.8749248570982405E-4</v>
      </c>
      <c r="I318">
        <v>-0.71304154015034382</v>
      </c>
      <c r="J318">
        <v>-3.476023928222524E-4</v>
      </c>
      <c r="K318" s="96">
        <f t="shared" si="13"/>
        <v>0</v>
      </c>
      <c r="L318" s="96">
        <f t="shared" si="14"/>
        <v>1</v>
      </c>
      <c r="M318" s="96">
        <f t="shared" si="15"/>
        <v>0</v>
      </c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15.297201963303658</v>
      </c>
      <c r="H319">
        <v>1.2297107747635201E-4</v>
      </c>
      <c r="I319">
        <v>-0.60055158837968936</v>
      </c>
      <c r="J319">
        <v>-7.3850475903185044E-5</v>
      </c>
      <c r="K319" s="96">
        <f t="shared" si="13"/>
        <v>0</v>
      </c>
      <c r="L319" s="96">
        <f t="shared" si="14"/>
        <v>1</v>
      </c>
      <c r="M319" s="96">
        <f t="shared" si="15"/>
        <v>0</v>
      </c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1.5619113292559601</v>
      </c>
      <c r="H320">
        <v>4.8749248570982405E-4</v>
      </c>
      <c r="I320">
        <v>-0.94926838610166275</v>
      </c>
      <c r="J320">
        <v>-4.6276120514645257E-4</v>
      </c>
      <c r="K320" s="96">
        <f t="shared" si="13"/>
        <v>0</v>
      </c>
      <c r="L320" s="96">
        <f t="shared" si="14"/>
        <v>1</v>
      </c>
      <c r="M320" s="96">
        <f t="shared" si="15"/>
        <v>0</v>
      </c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8.4295566462798064</v>
      </c>
      <c r="H321">
        <v>4.8749248570982405E-4</v>
      </c>
      <c r="I321">
        <v>-0.75503949371670476</v>
      </c>
      <c r="J321">
        <v>-3.6807607960104348E-4</v>
      </c>
      <c r="K321" s="96">
        <f t="shared" si="13"/>
        <v>0</v>
      </c>
      <c r="L321" s="96">
        <f t="shared" si="14"/>
        <v>1</v>
      </c>
      <c r="M321" s="96">
        <f t="shared" si="15"/>
        <v>0</v>
      </c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13.580290634047694</v>
      </c>
      <c r="H322">
        <v>1.2297107747635201E-4</v>
      </c>
      <c r="I322">
        <v>-0.63592391425800554</v>
      </c>
      <c r="J322">
        <v>-7.8200248929286231E-5</v>
      </c>
      <c r="K322" s="96">
        <f t="shared" si="13"/>
        <v>0</v>
      </c>
      <c r="L322" s="96">
        <f t="shared" si="14"/>
        <v>1</v>
      </c>
      <c r="M322" s="96">
        <f t="shared" si="15"/>
        <v>0</v>
      </c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-0.25</v>
      </c>
      <c r="H323">
        <v>1.2297107747635201E-4</v>
      </c>
      <c r="I323">
        <v>-1.008368152207447</v>
      </c>
      <c r="J323">
        <v>-1.2400011816978787E-4</v>
      </c>
      <c r="K323" s="96">
        <f t="shared" ref="K323:K386" si="16">IF(A323=3,1,0)</f>
        <v>0</v>
      </c>
      <c r="L323" s="96">
        <f t="shared" ref="L323:L386" si="17">IF(A323=2,1,0)</f>
        <v>1</v>
      </c>
      <c r="M323" s="96">
        <f t="shared" ref="M323:M386" si="18">IF(A323=1,1,0)</f>
        <v>0</v>
      </c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6.7126453170238536</v>
      </c>
      <c r="H324">
        <v>1.2297107747635201E-4</v>
      </c>
      <c r="I324">
        <v>-0.79951111537173003</v>
      </c>
      <c r="J324">
        <v>-9.8316743311581623E-5</v>
      </c>
      <c r="K324" s="96">
        <f t="shared" si="16"/>
        <v>0</v>
      </c>
      <c r="L324" s="96">
        <f t="shared" si="17"/>
        <v>1</v>
      </c>
      <c r="M324" s="96">
        <f t="shared" si="18"/>
        <v>0</v>
      </c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11.863379304791733</v>
      </c>
      <c r="H325">
        <v>3.1019731255295997E-5</v>
      </c>
      <c r="I325">
        <v>-0.67337966054890874</v>
      </c>
      <c r="J325">
        <v>-2.0888056103009591E-5</v>
      </c>
      <c r="K325" s="96">
        <f t="shared" si="16"/>
        <v>0</v>
      </c>
      <c r="L325" s="96">
        <f t="shared" si="17"/>
        <v>1</v>
      </c>
      <c r="M325" s="96">
        <f t="shared" si="18"/>
        <v>0</v>
      </c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3.8078170571478434</v>
      </c>
      <c r="H326">
        <v>7.6612180056514559E-3</v>
      </c>
      <c r="I326">
        <v>-0.88079776130467013</v>
      </c>
      <c r="J326">
        <v>-6.7479836682448318E-3</v>
      </c>
      <c r="K326" s="96">
        <f t="shared" si="16"/>
        <v>0</v>
      </c>
      <c r="L326" s="96">
        <f t="shared" si="17"/>
        <v>1</v>
      </c>
      <c r="M326" s="96">
        <f t="shared" si="18"/>
        <v>0</v>
      </c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11.733451171443546</v>
      </c>
      <c r="H327">
        <v>7.6612180056514559E-3</v>
      </c>
      <c r="I327">
        <v>-0.67630235038540232</v>
      </c>
      <c r="J327">
        <v>-5.1812997440370441E-3</v>
      </c>
      <c r="K327" s="96">
        <f t="shared" si="16"/>
        <v>0</v>
      </c>
      <c r="L327" s="96">
        <f t="shared" si="17"/>
        <v>1</v>
      </c>
      <c r="M327" s="96">
        <f t="shared" si="18"/>
        <v>0</v>
      </c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17.677676757165312</v>
      </c>
      <c r="H328">
        <v>1.932559496921088E-3</v>
      </c>
      <c r="I328">
        <v>-0.55473991765678365</v>
      </c>
      <c r="J328">
        <v>-1.0720678961888396E-3</v>
      </c>
      <c r="K328" s="96">
        <f t="shared" si="16"/>
        <v>0</v>
      </c>
      <c r="L328" s="96">
        <f t="shared" si="17"/>
        <v>1</v>
      </c>
      <c r="M328" s="96">
        <f t="shared" si="18"/>
        <v>0</v>
      </c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1.8264085285739233</v>
      </c>
      <c r="H329">
        <v>7.6612180056514559E-3</v>
      </c>
      <c r="I329">
        <v>-0.94093587784423671</v>
      </c>
      <c r="J329">
        <v>-7.2087148895037248E-3</v>
      </c>
      <c r="K329" s="96">
        <f t="shared" si="16"/>
        <v>0</v>
      </c>
      <c r="L329" s="96">
        <f t="shared" si="17"/>
        <v>1</v>
      </c>
      <c r="M329" s="96">
        <f t="shared" si="18"/>
        <v>0</v>
      </c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9.7520426428696165</v>
      </c>
      <c r="H330">
        <v>7.6612180056514559E-3</v>
      </c>
      <c r="I330">
        <v>-0.72247815980528118</v>
      </c>
      <c r="J330">
        <v>-5.5350626865901505E-3</v>
      </c>
      <c r="K330" s="96">
        <f t="shared" si="16"/>
        <v>0</v>
      </c>
      <c r="L330" s="96">
        <f t="shared" si="17"/>
        <v>1</v>
      </c>
      <c r="M330" s="96">
        <f t="shared" si="18"/>
        <v>0</v>
      </c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15.696268228591389</v>
      </c>
      <c r="H331">
        <v>1.932559496921088E-3</v>
      </c>
      <c r="I331">
        <v>-0.59261582434366922</v>
      </c>
      <c r="J331">
        <v>-1.1452653393610771E-3</v>
      </c>
      <c r="K331" s="96">
        <f t="shared" si="16"/>
        <v>0</v>
      </c>
      <c r="L331" s="96">
        <f t="shared" si="17"/>
        <v>1</v>
      </c>
      <c r="M331" s="96">
        <f t="shared" si="18"/>
        <v>0</v>
      </c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-0.25</v>
      </c>
      <c r="H332">
        <v>1.932559496921088E-3</v>
      </c>
      <c r="I332">
        <v>-1.008368152207447</v>
      </c>
      <c r="J332">
        <v>-1.9487314489412709E-3</v>
      </c>
      <c r="K332" s="96">
        <f t="shared" si="16"/>
        <v>0</v>
      </c>
      <c r="L332" s="96">
        <f t="shared" si="17"/>
        <v>1</v>
      </c>
      <c r="M332" s="96">
        <f t="shared" si="18"/>
        <v>0</v>
      </c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7.7706341142957047</v>
      </c>
      <c r="H333">
        <v>1.932559496921088E-3</v>
      </c>
      <c r="I333">
        <v>-0.77180670908236382</v>
      </c>
      <c r="J333">
        <v>-1.4915623854245335E-3</v>
      </c>
      <c r="K333" s="96">
        <f t="shared" si="16"/>
        <v>0</v>
      </c>
      <c r="L333" s="96">
        <f t="shared" si="17"/>
        <v>1</v>
      </c>
      <c r="M333" s="96">
        <f t="shared" si="18"/>
        <v>0</v>
      </c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13.714859700017467</v>
      </c>
      <c r="H334">
        <v>4.8749248570982399E-4</v>
      </c>
      <c r="I334">
        <v>-0.63307777948622257</v>
      </c>
      <c r="J334">
        <v>-3.0862066036939449E-4</v>
      </c>
      <c r="K334" s="96">
        <f t="shared" si="16"/>
        <v>0</v>
      </c>
      <c r="L334" s="96">
        <f t="shared" si="17"/>
        <v>1</v>
      </c>
      <c r="M334" s="96">
        <f t="shared" si="18"/>
        <v>0</v>
      </c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3.8078170571478434</v>
      </c>
      <c r="H335">
        <v>7.6612180056514559E-3</v>
      </c>
      <c r="I335">
        <v>-0.88079776130467013</v>
      </c>
      <c r="J335">
        <v>-6.7479836682448318E-3</v>
      </c>
      <c r="K335" s="96">
        <f t="shared" si="16"/>
        <v>0</v>
      </c>
      <c r="L335" s="96">
        <f t="shared" si="17"/>
        <v>1</v>
      </c>
      <c r="M335" s="96">
        <f t="shared" si="18"/>
        <v>0</v>
      </c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11.733451171443546</v>
      </c>
      <c r="H336">
        <v>7.6612180056514559E-3</v>
      </c>
      <c r="I336">
        <v>-0.67630235038540232</v>
      </c>
      <c r="J336">
        <v>-5.1812997440370441E-3</v>
      </c>
      <c r="K336" s="96">
        <f t="shared" si="16"/>
        <v>0</v>
      </c>
      <c r="L336" s="96">
        <f t="shared" si="17"/>
        <v>1</v>
      </c>
      <c r="M336" s="96">
        <f t="shared" si="18"/>
        <v>0</v>
      </c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17.677676757165312</v>
      </c>
      <c r="H337">
        <v>1.932559496921088E-3</v>
      </c>
      <c r="I337">
        <v>-0.55473991765678365</v>
      </c>
      <c r="J337">
        <v>-1.0720678961888396E-3</v>
      </c>
      <c r="K337" s="96">
        <f t="shared" si="16"/>
        <v>0</v>
      </c>
      <c r="L337" s="96">
        <f t="shared" si="17"/>
        <v>1</v>
      </c>
      <c r="M337" s="96">
        <f t="shared" si="18"/>
        <v>0</v>
      </c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1.8264085285739233</v>
      </c>
      <c r="H338">
        <v>7.6612180056514559E-3</v>
      </c>
      <c r="I338">
        <v>-0.94093587784423671</v>
      </c>
      <c r="J338">
        <v>-7.2087148895037248E-3</v>
      </c>
      <c r="K338" s="96">
        <f t="shared" si="16"/>
        <v>0</v>
      </c>
      <c r="L338" s="96">
        <f t="shared" si="17"/>
        <v>1</v>
      </c>
      <c r="M338" s="96">
        <f t="shared" si="18"/>
        <v>0</v>
      </c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9.7520426428696165</v>
      </c>
      <c r="H339">
        <v>7.6612180056514559E-3</v>
      </c>
      <c r="I339">
        <v>-0.72247815980528118</v>
      </c>
      <c r="J339">
        <v>-5.5350626865901505E-3</v>
      </c>
      <c r="K339" s="96">
        <f t="shared" si="16"/>
        <v>0</v>
      </c>
      <c r="L339" s="96">
        <f t="shared" si="17"/>
        <v>1</v>
      </c>
      <c r="M339" s="96">
        <f t="shared" si="18"/>
        <v>0</v>
      </c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15.696268228591389</v>
      </c>
      <c r="H340">
        <v>1.932559496921088E-3</v>
      </c>
      <c r="I340">
        <v>-0.59261582434366922</v>
      </c>
      <c r="J340">
        <v>-1.1452653393610771E-3</v>
      </c>
      <c r="K340" s="96">
        <f t="shared" si="16"/>
        <v>0</v>
      </c>
      <c r="L340" s="96">
        <f t="shared" si="17"/>
        <v>1</v>
      </c>
      <c r="M340" s="96">
        <f t="shared" si="18"/>
        <v>0</v>
      </c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-0.25</v>
      </c>
      <c r="H341">
        <v>1.932559496921088E-3</v>
      </c>
      <c r="I341">
        <v>-1.008368152207447</v>
      </c>
      <c r="J341">
        <v>-1.9487314489412709E-3</v>
      </c>
      <c r="K341" s="96">
        <f t="shared" si="16"/>
        <v>0</v>
      </c>
      <c r="L341" s="96">
        <f t="shared" si="17"/>
        <v>1</v>
      </c>
      <c r="M341" s="96">
        <f t="shared" si="18"/>
        <v>0</v>
      </c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7.7706341142957047</v>
      </c>
      <c r="H342">
        <v>1.932559496921088E-3</v>
      </c>
      <c r="I342">
        <v>-0.77180670908236382</v>
      </c>
      <c r="J342">
        <v>-1.4915623854245335E-3</v>
      </c>
      <c r="K342" s="96">
        <f t="shared" si="16"/>
        <v>0</v>
      </c>
      <c r="L342" s="96">
        <f t="shared" si="17"/>
        <v>1</v>
      </c>
      <c r="M342" s="96">
        <f t="shared" si="18"/>
        <v>0</v>
      </c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13.714859700017467</v>
      </c>
      <c r="H343">
        <v>4.8749248570982399E-4</v>
      </c>
      <c r="I343">
        <v>-0.63307777948622257</v>
      </c>
      <c r="J343">
        <v>-3.0862066036939449E-4</v>
      </c>
      <c r="K343" s="96">
        <f t="shared" si="16"/>
        <v>0</v>
      </c>
      <c r="L343" s="96">
        <f t="shared" si="17"/>
        <v>1</v>
      </c>
      <c r="M343" s="96">
        <f t="shared" si="18"/>
        <v>0</v>
      </c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3.8078170571478434</v>
      </c>
      <c r="H344">
        <v>1.932559496921088E-3</v>
      </c>
      <c r="I344">
        <v>-0.88079776130467013</v>
      </c>
      <c r="J344">
        <v>-1.7021940784761739E-3</v>
      </c>
      <c r="K344" s="96">
        <f t="shared" si="16"/>
        <v>0</v>
      </c>
      <c r="L344" s="96">
        <f t="shared" si="17"/>
        <v>1</v>
      </c>
      <c r="M344" s="96">
        <f t="shared" si="18"/>
        <v>0</v>
      </c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11.733451171443546</v>
      </c>
      <c r="H345">
        <v>1.932559496921088E-3</v>
      </c>
      <c r="I345">
        <v>-0.67630235038540232</v>
      </c>
      <c r="J345">
        <v>-1.3069945300273624E-3</v>
      </c>
      <c r="K345" s="96">
        <f t="shared" si="16"/>
        <v>0</v>
      </c>
      <c r="L345" s="96">
        <f t="shared" si="17"/>
        <v>1</v>
      </c>
      <c r="M345" s="96">
        <f t="shared" si="18"/>
        <v>0</v>
      </c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17.677676757165312</v>
      </c>
      <c r="H346">
        <v>4.8749248570982399E-4</v>
      </c>
      <c r="I346">
        <v>-0.55473991765678365</v>
      </c>
      <c r="J346">
        <v>-2.7043154138096855E-4</v>
      </c>
      <c r="K346" s="96">
        <f t="shared" si="16"/>
        <v>0</v>
      </c>
      <c r="L346" s="96">
        <f t="shared" si="17"/>
        <v>1</v>
      </c>
      <c r="M346" s="96">
        <f t="shared" si="18"/>
        <v>0</v>
      </c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1.8264085285739233</v>
      </c>
      <c r="H347">
        <v>1.932559496921088E-3</v>
      </c>
      <c r="I347">
        <v>-0.94093587784423671</v>
      </c>
      <c r="J347">
        <v>-1.8184145667216605E-3</v>
      </c>
      <c r="K347" s="96">
        <f t="shared" si="16"/>
        <v>0</v>
      </c>
      <c r="L347" s="96">
        <f t="shared" si="17"/>
        <v>1</v>
      </c>
      <c r="M347" s="96">
        <f t="shared" si="18"/>
        <v>0</v>
      </c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9.7520426428696165</v>
      </c>
      <c r="H348">
        <v>1.932559496921088E-3</v>
      </c>
      <c r="I348">
        <v>-0.72247815980528118</v>
      </c>
      <c r="J348">
        <v>-1.3962320290497677E-3</v>
      </c>
      <c r="K348" s="96">
        <f t="shared" si="16"/>
        <v>0</v>
      </c>
      <c r="L348" s="96">
        <f t="shared" si="17"/>
        <v>1</v>
      </c>
      <c r="M348" s="96">
        <f t="shared" si="18"/>
        <v>0</v>
      </c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15.696268228591389</v>
      </c>
      <c r="H349">
        <v>4.8749248570982399E-4</v>
      </c>
      <c r="I349">
        <v>-0.59261582434366922</v>
      </c>
      <c r="J349">
        <v>-2.8889576128027174E-4</v>
      </c>
      <c r="K349" s="96">
        <f t="shared" si="16"/>
        <v>0</v>
      </c>
      <c r="L349" s="96">
        <f t="shared" si="17"/>
        <v>1</v>
      </c>
      <c r="M349" s="96">
        <f t="shared" si="18"/>
        <v>0</v>
      </c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-0.25</v>
      </c>
      <c r="H350">
        <v>4.8749248570982405E-4</v>
      </c>
      <c r="I350">
        <v>-1.008368152207447</v>
      </c>
      <c r="J350">
        <v>-4.9157189703023059E-4</v>
      </c>
      <c r="K350" s="96">
        <f t="shared" si="16"/>
        <v>0</v>
      </c>
      <c r="L350" s="96">
        <f t="shared" si="17"/>
        <v>1</v>
      </c>
      <c r="M350" s="96">
        <f t="shared" si="18"/>
        <v>0</v>
      </c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7.7706341142957047</v>
      </c>
      <c r="H351">
        <v>4.8749248570982405E-4</v>
      </c>
      <c r="I351">
        <v>-0.77180670908236382</v>
      </c>
      <c r="J351">
        <v>-3.7624997109808058E-4</v>
      </c>
      <c r="K351" s="96">
        <f t="shared" si="16"/>
        <v>0</v>
      </c>
      <c r="L351" s="96">
        <f t="shared" si="17"/>
        <v>1</v>
      </c>
      <c r="M351" s="96">
        <f t="shared" si="18"/>
        <v>0</v>
      </c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13.714859700017467</v>
      </c>
      <c r="H352">
        <v>1.2297107747635201E-4</v>
      </c>
      <c r="I352">
        <v>-0.63307777948622257</v>
      </c>
      <c r="J352">
        <v>-7.7850256669757166E-5</v>
      </c>
      <c r="K352" s="96">
        <f t="shared" si="16"/>
        <v>0</v>
      </c>
      <c r="L352" s="96">
        <f t="shared" si="17"/>
        <v>1</v>
      </c>
      <c r="M352" s="96">
        <f t="shared" si="18"/>
        <v>0</v>
      </c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4.7223133011050464</v>
      </c>
      <c r="H353">
        <v>7.6612180056514559E-3</v>
      </c>
      <c r="I353">
        <v>-0.8543533231867686</v>
      </c>
      <c r="J353">
        <v>-6.5453870627866289E-3</v>
      </c>
      <c r="K353" s="96">
        <f t="shared" si="16"/>
        <v>0</v>
      </c>
      <c r="L353" s="96">
        <f t="shared" si="17"/>
        <v>1</v>
      </c>
      <c r="M353" s="96">
        <f t="shared" si="18"/>
        <v>0</v>
      </c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14.476939903315126</v>
      </c>
      <c r="H354">
        <v>7.6612180056514559E-3</v>
      </c>
      <c r="I354">
        <v>-0.61719845394636053</v>
      </c>
      <c r="J354">
        <v>-4.7284919084340984E-3</v>
      </c>
      <c r="K354" s="96">
        <f t="shared" si="16"/>
        <v>0</v>
      </c>
      <c r="L354" s="96">
        <f t="shared" si="17"/>
        <v>1</v>
      </c>
      <c r="M354" s="96">
        <f t="shared" si="18"/>
        <v>0</v>
      </c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21.792909854972692</v>
      </c>
      <c r="H355">
        <v>1.932559496921088E-3</v>
      </c>
      <c r="I355">
        <v>-0.48363232091064867</v>
      </c>
      <c r="J355">
        <v>-9.3464823479386138E-4</v>
      </c>
      <c r="K355" s="96">
        <f t="shared" si="16"/>
        <v>0</v>
      </c>
      <c r="L355" s="96">
        <f t="shared" si="17"/>
        <v>1</v>
      </c>
      <c r="M355" s="96">
        <f t="shared" si="18"/>
        <v>0</v>
      </c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2.2836566505525155</v>
      </c>
      <c r="H356">
        <v>7.6612180056514559E-3</v>
      </c>
      <c r="I356">
        <v>-0.92670324534405712</v>
      </c>
      <c r="J356">
        <v>-7.0996755891255293E-3</v>
      </c>
      <c r="K356" s="96">
        <f t="shared" si="16"/>
        <v>0</v>
      </c>
      <c r="L356" s="96">
        <f t="shared" si="17"/>
        <v>1</v>
      </c>
      <c r="M356" s="96">
        <f t="shared" si="18"/>
        <v>0</v>
      </c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12.038283252762611</v>
      </c>
      <c r="H357">
        <v>7.6612180056514559E-3</v>
      </c>
      <c r="I357">
        <v>-0.66946519053732467</v>
      </c>
      <c r="J357">
        <v>-5.1289187719014348E-3</v>
      </c>
      <c r="K357" s="96">
        <f t="shared" si="16"/>
        <v>0</v>
      </c>
      <c r="L357" s="96">
        <f t="shared" si="17"/>
        <v>1</v>
      </c>
      <c r="M357" s="96">
        <f t="shared" si="18"/>
        <v>0</v>
      </c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19.354253204420171</v>
      </c>
      <c r="H358">
        <v>1.932559496921088E-3</v>
      </c>
      <c r="I358">
        <v>-0.52458816414435594</v>
      </c>
      <c r="J358">
        <v>-1.0137978385895737E-3</v>
      </c>
      <c r="K358" s="96">
        <f t="shared" si="16"/>
        <v>0</v>
      </c>
      <c r="L358" s="96">
        <f t="shared" si="17"/>
        <v>1</v>
      </c>
      <c r="M358" s="96">
        <f t="shared" si="18"/>
        <v>0</v>
      </c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-0.25</v>
      </c>
      <c r="H359">
        <v>1.932559496921088E-3</v>
      </c>
      <c r="I359">
        <v>-1.008368152207447</v>
      </c>
      <c r="J359">
        <v>-1.9487314489412709E-3</v>
      </c>
      <c r="K359" s="96">
        <f t="shared" si="16"/>
        <v>0</v>
      </c>
      <c r="L359" s="96">
        <f t="shared" si="17"/>
        <v>1</v>
      </c>
      <c r="M359" s="96">
        <f t="shared" si="18"/>
        <v>0</v>
      </c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9.5996266022100851</v>
      </c>
      <c r="H360">
        <v>1.932559496921088E-3</v>
      </c>
      <c r="I360">
        <v>-0.72615807521145759</v>
      </c>
      <c r="J360">
        <v>-1.4033436845158401E-3</v>
      </c>
      <c r="K360" s="96">
        <f t="shared" si="16"/>
        <v>0</v>
      </c>
      <c r="L360" s="96">
        <f t="shared" si="17"/>
        <v>1</v>
      </c>
      <c r="M360" s="96">
        <f t="shared" si="18"/>
        <v>0</v>
      </c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16.915596553867648</v>
      </c>
      <c r="H361">
        <v>4.8749248570982399E-4</v>
      </c>
      <c r="I361">
        <v>-0.56901230555099247</v>
      </c>
      <c r="J361">
        <v>-2.7738922323253121E-4</v>
      </c>
      <c r="K361" s="96">
        <f t="shared" si="16"/>
        <v>0</v>
      </c>
      <c r="L361" s="96">
        <f t="shared" si="17"/>
        <v>1</v>
      </c>
      <c r="M361" s="96">
        <f t="shared" si="18"/>
        <v>0</v>
      </c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4.7223133011050464</v>
      </c>
      <c r="H362">
        <v>7.6612180056514559E-3</v>
      </c>
      <c r="I362">
        <v>-0.8543533231867686</v>
      </c>
      <c r="J362">
        <v>-6.5453870627866289E-3</v>
      </c>
      <c r="K362" s="96">
        <f t="shared" si="16"/>
        <v>0</v>
      </c>
      <c r="L362" s="96">
        <f t="shared" si="17"/>
        <v>1</v>
      </c>
      <c r="M362" s="96">
        <f t="shared" si="18"/>
        <v>0</v>
      </c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14.476939903315126</v>
      </c>
      <c r="H363">
        <v>7.6612180056514559E-3</v>
      </c>
      <c r="I363">
        <v>-0.61719845394636053</v>
      </c>
      <c r="J363">
        <v>-4.7284919084340984E-3</v>
      </c>
      <c r="K363" s="96">
        <f t="shared" si="16"/>
        <v>0</v>
      </c>
      <c r="L363" s="96">
        <f t="shared" si="17"/>
        <v>1</v>
      </c>
      <c r="M363" s="96">
        <f t="shared" si="18"/>
        <v>0</v>
      </c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21.792909854972692</v>
      </c>
      <c r="H364">
        <v>1.932559496921088E-3</v>
      </c>
      <c r="I364">
        <v>-0.48363232091064867</v>
      </c>
      <c r="J364">
        <v>-9.3464823479386138E-4</v>
      </c>
      <c r="K364" s="96">
        <f t="shared" si="16"/>
        <v>0</v>
      </c>
      <c r="L364" s="96">
        <f t="shared" si="17"/>
        <v>1</v>
      </c>
      <c r="M364" s="96">
        <f t="shared" si="18"/>
        <v>0</v>
      </c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2.2836566505525155</v>
      </c>
      <c r="H365">
        <v>7.6612180056514559E-3</v>
      </c>
      <c r="I365">
        <v>-0.92670324534405712</v>
      </c>
      <c r="J365">
        <v>-7.0996755891255293E-3</v>
      </c>
      <c r="K365" s="96">
        <f t="shared" si="16"/>
        <v>0</v>
      </c>
      <c r="L365" s="96">
        <f t="shared" si="17"/>
        <v>1</v>
      </c>
      <c r="M365" s="96">
        <f t="shared" si="18"/>
        <v>0</v>
      </c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12.038283252762611</v>
      </c>
      <c r="H366">
        <v>7.6612180056514559E-3</v>
      </c>
      <c r="I366">
        <v>-0.66946519053732467</v>
      </c>
      <c r="J366">
        <v>-5.1289187719014348E-3</v>
      </c>
      <c r="K366" s="96">
        <f t="shared" si="16"/>
        <v>0</v>
      </c>
      <c r="L366" s="96">
        <f t="shared" si="17"/>
        <v>1</v>
      </c>
      <c r="M366" s="96">
        <f t="shared" si="18"/>
        <v>0</v>
      </c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19.354253204420171</v>
      </c>
      <c r="H367">
        <v>1.932559496921088E-3</v>
      </c>
      <c r="I367">
        <v>-0.52458816414435594</v>
      </c>
      <c r="J367">
        <v>-1.0137978385895737E-3</v>
      </c>
      <c r="K367" s="96">
        <f t="shared" si="16"/>
        <v>0</v>
      </c>
      <c r="L367" s="96">
        <f t="shared" si="17"/>
        <v>1</v>
      </c>
      <c r="M367" s="96">
        <f t="shared" si="18"/>
        <v>0</v>
      </c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-0.25</v>
      </c>
      <c r="H368">
        <v>1.932559496921088E-3</v>
      </c>
      <c r="I368">
        <v>-1.008368152207447</v>
      </c>
      <c r="J368">
        <v>-1.9487314489412709E-3</v>
      </c>
      <c r="K368" s="96">
        <f t="shared" si="16"/>
        <v>0</v>
      </c>
      <c r="L368" s="96">
        <f t="shared" si="17"/>
        <v>1</v>
      </c>
      <c r="M368" s="96">
        <f t="shared" si="18"/>
        <v>0</v>
      </c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9.5996266022100851</v>
      </c>
      <c r="H369">
        <v>1.932559496921088E-3</v>
      </c>
      <c r="I369">
        <v>-0.72615807521145759</v>
      </c>
      <c r="J369">
        <v>-1.4033436845158401E-3</v>
      </c>
      <c r="K369" s="96">
        <f t="shared" si="16"/>
        <v>0</v>
      </c>
      <c r="L369" s="96">
        <f t="shared" si="17"/>
        <v>1</v>
      </c>
      <c r="M369" s="96">
        <f t="shared" si="18"/>
        <v>0</v>
      </c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16.915596553867648</v>
      </c>
      <c r="H370">
        <v>4.8749248570982399E-4</v>
      </c>
      <c r="I370">
        <v>-0.56901230555099247</v>
      </c>
      <c r="J370">
        <v>-2.7738922323253121E-4</v>
      </c>
      <c r="K370" s="96">
        <f t="shared" si="16"/>
        <v>0</v>
      </c>
      <c r="L370" s="96">
        <f t="shared" si="17"/>
        <v>1</v>
      </c>
      <c r="M370" s="96">
        <f t="shared" si="18"/>
        <v>0</v>
      </c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4.7223133011050464</v>
      </c>
      <c r="H371">
        <v>1.932559496921088E-3</v>
      </c>
      <c r="I371">
        <v>-0.8543533231867686</v>
      </c>
      <c r="J371">
        <v>-1.6510886284506812E-3</v>
      </c>
      <c r="K371" s="96">
        <f t="shared" si="16"/>
        <v>0</v>
      </c>
      <c r="L371" s="96">
        <f t="shared" si="17"/>
        <v>1</v>
      </c>
      <c r="M371" s="96">
        <f t="shared" si="18"/>
        <v>0</v>
      </c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14.476939903315126</v>
      </c>
      <c r="H372">
        <v>1.932559496921088E-3</v>
      </c>
      <c r="I372">
        <v>-0.61719845394636053</v>
      </c>
      <c r="J372">
        <v>-1.1927727336590518E-3</v>
      </c>
      <c r="K372" s="96">
        <f t="shared" si="16"/>
        <v>0</v>
      </c>
      <c r="L372" s="96">
        <f t="shared" si="17"/>
        <v>1</v>
      </c>
      <c r="M372" s="96">
        <f t="shared" si="18"/>
        <v>0</v>
      </c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21.792909854972692</v>
      </c>
      <c r="H373">
        <v>4.8749248570982399E-4</v>
      </c>
      <c r="I373">
        <v>-0.48363232091064867</v>
      </c>
      <c r="J373">
        <v>-2.3576712229034341E-4</v>
      </c>
      <c r="K373" s="96">
        <f t="shared" si="16"/>
        <v>0</v>
      </c>
      <c r="L373" s="96">
        <f t="shared" si="17"/>
        <v>1</v>
      </c>
      <c r="M373" s="96">
        <f t="shared" si="18"/>
        <v>0</v>
      </c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2.2836566505525155</v>
      </c>
      <c r="H374">
        <v>1.932559496921088E-3</v>
      </c>
      <c r="I374">
        <v>-0.92670324534405712</v>
      </c>
      <c r="J374">
        <v>-1.7909091576172507E-3</v>
      </c>
      <c r="K374" s="96">
        <f t="shared" si="16"/>
        <v>0</v>
      </c>
      <c r="L374" s="96">
        <f t="shared" si="17"/>
        <v>1</v>
      </c>
      <c r="M374" s="96">
        <f t="shared" si="18"/>
        <v>0</v>
      </c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12.038283252762611</v>
      </c>
      <c r="H375">
        <v>1.932559496921088E-3</v>
      </c>
      <c r="I375">
        <v>-0.66946519053732467</v>
      </c>
      <c r="J375">
        <v>-1.2937813118309924E-3</v>
      </c>
      <c r="K375" s="96">
        <f t="shared" si="16"/>
        <v>0</v>
      </c>
      <c r="L375" s="96">
        <f t="shared" si="17"/>
        <v>1</v>
      </c>
      <c r="M375" s="96">
        <f t="shared" si="18"/>
        <v>0</v>
      </c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19.354253204420171</v>
      </c>
      <c r="H376">
        <v>4.8749248570982399E-4</v>
      </c>
      <c r="I376">
        <v>-0.52458816414435594</v>
      </c>
      <c r="J376">
        <v>-2.5573278811268524E-4</v>
      </c>
      <c r="K376" s="96">
        <f t="shared" si="16"/>
        <v>0</v>
      </c>
      <c r="L376" s="96">
        <f t="shared" si="17"/>
        <v>1</v>
      </c>
      <c r="M376" s="96">
        <f t="shared" si="18"/>
        <v>0</v>
      </c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-0.25</v>
      </c>
      <c r="H377">
        <v>4.8749248570982405E-4</v>
      </c>
      <c r="I377">
        <v>-1.008368152207447</v>
      </c>
      <c r="J377">
        <v>-4.9157189703023059E-4</v>
      </c>
      <c r="K377" s="96">
        <f t="shared" si="16"/>
        <v>0</v>
      </c>
      <c r="L377" s="96">
        <f t="shared" si="17"/>
        <v>1</v>
      </c>
      <c r="M377" s="96">
        <f t="shared" si="18"/>
        <v>0</v>
      </c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9.5996266022100851</v>
      </c>
      <c r="H378">
        <v>4.8749248570982405E-4</v>
      </c>
      <c r="I378">
        <v>-0.72615807521145759</v>
      </c>
      <c r="J378">
        <v>-3.5399660510309483E-4</v>
      </c>
      <c r="K378" s="96">
        <f t="shared" si="16"/>
        <v>0</v>
      </c>
      <c r="L378" s="96">
        <f t="shared" si="17"/>
        <v>1</v>
      </c>
      <c r="M378" s="96">
        <f t="shared" si="18"/>
        <v>0</v>
      </c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16.915596553867648</v>
      </c>
      <c r="H379">
        <v>1.2297107747635201E-4</v>
      </c>
      <c r="I379">
        <v>-0.56901230555099247</v>
      </c>
      <c r="J379">
        <v>-6.9972056310908776E-5</v>
      </c>
      <c r="K379" s="96">
        <f t="shared" si="16"/>
        <v>0</v>
      </c>
      <c r="L379" s="96">
        <f t="shared" si="17"/>
        <v>1</v>
      </c>
      <c r="M379" s="96">
        <f t="shared" si="18"/>
        <v>0</v>
      </c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5.3319774637431783</v>
      </c>
      <c r="H380">
        <v>1.932559496921088E-3</v>
      </c>
      <c r="I380">
        <v>-0.83716626678186001</v>
      </c>
      <c r="J380">
        <v>-1.6178736193712567E-3</v>
      </c>
      <c r="K380" s="96">
        <f t="shared" si="16"/>
        <v>0</v>
      </c>
      <c r="L380" s="96">
        <f t="shared" si="17"/>
        <v>1</v>
      </c>
      <c r="M380" s="96">
        <f t="shared" si="18"/>
        <v>0</v>
      </c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16.305932391229522</v>
      </c>
      <c r="H381">
        <v>1.932559496921088E-3</v>
      </c>
      <c r="I381">
        <v>-0.58069415057824814</v>
      </c>
      <c r="J381">
        <v>-1.1222259955065176E-3</v>
      </c>
      <c r="K381" s="96">
        <f t="shared" si="16"/>
        <v>0</v>
      </c>
      <c r="L381" s="96">
        <f t="shared" si="17"/>
        <v>1</v>
      </c>
      <c r="M381" s="96">
        <f t="shared" si="18"/>
        <v>0</v>
      </c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24.536398586844285</v>
      </c>
      <c r="H382">
        <v>4.8749248570982399E-4</v>
      </c>
      <c r="I382">
        <v>-0.44136638084199864</v>
      </c>
      <c r="J382">
        <v>-2.1516279410541475E-4</v>
      </c>
      <c r="K382" s="96">
        <f t="shared" si="16"/>
        <v>0</v>
      </c>
      <c r="L382" s="96">
        <f t="shared" si="17"/>
        <v>1</v>
      </c>
      <c r="M382" s="96">
        <f t="shared" si="18"/>
        <v>0</v>
      </c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2.5884887318715855</v>
      </c>
      <c r="H383">
        <v>1.932559496921088E-3</v>
      </c>
      <c r="I383">
        <v>-0.91733462757045459</v>
      </c>
      <c r="J383">
        <v>-1.7728037463658514E-3</v>
      </c>
      <c r="K383" s="96">
        <f t="shared" si="16"/>
        <v>0</v>
      </c>
      <c r="L383" s="96">
        <f t="shared" si="17"/>
        <v>1</v>
      </c>
      <c r="M383" s="96">
        <f t="shared" si="18"/>
        <v>0</v>
      </c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13.562443659357925</v>
      </c>
      <c r="H384">
        <v>1.932559496921088E-3</v>
      </c>
      <c r="I384">
        <v>-0.63630233740873099</v>
      </c>
      <c r="J384">
        <v>-1.2296921250723296E-3</v>
      </c>
      <c r="K384" s="96">
        <f t="shared" si="16"/>
        <v>0</v>
      </c>
      <c r="L384" s="96">
        <f t="shared" si="17"/>
        <v>1</v>
      </c>
      <c r="M384" s="96">
        <f t="shared" si="18"/>
        <v>0</v>
      </c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21.792909854972692</v>
      </c>
      <c r="H385">
        <v>4.8749248570982399E-4</v>
      </c>
      <c r="I385">
        <v>-0.48363232091064867</v>
      </c>
      <c r="J385">
        <v>-2.3576712229034341E-4</v>
      </c>
      <c r="K385" s="96">
        <f t="shared" si="16"/>
        <v>0</v>
      </c>
      <c r="L385" s="96">
        <f t="shared" si="17"/>
        <v>1</v>
      </c>
      <c r="M385" s="96">
        <f t="shared" si="18"/>
        <v>0</v>
      </c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-0.25</v>
      </c>
      <c r="H386">
        <v>4.8749248570982405E-4</v>
      </c>
      <c r="I386">
        <v>-1.008368152207447</v>
      </c>
      <c r="J386">
        <v>-4.9157189703023059E-4</v>
      </c>
      <c r="K386" s="96">
        <f t="shared" si="16"/>
        <v>0</v>
      </c>
      <c r="L386" s="96">
        <f t="shared" si="17"/>
        <v>1</v>
      </c>
      <c r="M386" s="96">
        <f t="shared" si="18"/>
        <v>0</v>
      </c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10.818954927486347</v>
      </c>
      <c r="H387">
        <v>4.8749248570982405E-4</v>
      </c>
      <c r="I387">
        <v>-0.69723565182917557</v>
      </c>
      <c r="J387">
        <v>-3.3989714103571422E-4</v>
      </c>
      <c r="K387" s="96">
        <f t="shared" ref="K387:K450" si="19">IF(A387=3,1,0)</f>
        <v>0</v>
      </c>
      <c r="L387" s="96">
        <f t="shared" ref="L387:L450" si="20">IF(A387=2,1,0)</f>
        <v>1</v>
      </c>
      <c r="M387" s="96">
        <f t="shared" ref="M387:M450" si="21">IF(A387=1,1,0)</f>
        <v>0</v>
      </c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19.049421123101116</v>
      </c>
      <c r="H388">
        <v>1.2297107747635201E-4</v>
      </c>
      <c r="I388">
        <v>-0.52994571399662793</v>
      </c>
      <c r="J388">
        <v>-6.5167995454140011E-5</v>
      </c>
      <c r="K388" s="96">
        <f t="shared" si="19"/>
        <v>0</v>
      </c>
      <c r="L388" s="96">
        <f t="shared" si="20"/>
        <v>1</v>
      </c>
      <c r="M388" s="96">
        <f t="shared" si="21"/>
        <v>0</v>
      </c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5.3319774637431783</v>
      </c>
      <c r="H389">
        <v>1.932559496921088E-3</v>
      </c>
      <c r="I389">
        <v>-0.83716626678186001</v>
      </c>
      <c r="J389">
        <v>-1.6178736193712567E-3</v>
      </c>
      <c r="K389" s="96">
        <f t="shared" si="19"/>
        <v>0</v>
      </c>
      <c r="L389" s="96">
        <f t="shared" si="20"/>
        <v>1</v>
      </c>
      <c r="M389" s="96">
        <f t="shared" si="21"/>
        <v>0</v>
      </c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16.305932391229522</v>
      </c>
      <c r="H390">
        <v>1.932559496921088E-3</v>
      </c>
      <c r="I390">
        <v>-0.58069415057824814</v>
      </c>
      <c r="J390">
        <v>-1.1222259955065176E-3</v>
      </c>
      <c r="K390" s="96">
        <f t="shared" si="19"/>
        <v>0</v>
      </c>
      <c r="L390" s="96">
        <f t="shared" si="20"/>
        <v>1</v>
      </c>
      <c r="M390" s="96">
        <f t="shared" si="21"/>
        <v>0</v>
      </c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24.536398586844285</v>
      </c>
      <c r="H391">
        <v>4.8749248570982399E-4</v>
      </c>
      <c r="I391">
        <v>-0.44136638084199864</v>
      </c>
      <c r="J391">
        <v>-2.1516279410541475E-4</v>
      </c>
      <c r="K391" s="96">
        <f t="shared" si="19"/>
        <v>0</v>
      </c>
      <c r="L391" s="96">
        <f t="shared" si="20"/>
        <v>1</v>
      </c>
      <c r="M391" s="96">
        <f t="shared" si="21"/>
        <v>0</v>
      </c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2.5884887318715855</v>
      </c>
      <c r="H392">
        <v>1.932559496921088E-3</v>
      </c>
      <c r="I392">
        <v>-0.91733462757045459</v>
      </c>
      <c r="J392">
        <v>-1.7728037463658514E-3</v>
      </c>
      <c r="K392" s="96">
        <f t="shared" si="19"/>
        <v>0</v>
      </c>
      <c r="L392" s="96">
        <f t="shared" si="20"/>
        <v>1</v>
      </c>
      <c r="M392" s="96">
        <f t="shared" si="21"/>
        <v>0</v>
      </c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13.562443659357925</v>
      </c>
      <c r="H393">
        <v>1.932559496921088E-3</v>
      </c>
      <c r="I393">
        <v>-0.63630233740873099</v>
      </c>
      <c r="J393">
        <v>-1.2296921250723296E-3</v>
      </c>
      <c r="K393" s="96">
        <f t="shared" si="19"/>
        <v>0</v>
      </c>
      <c r="L393" s="96">
        <f t="shared" si="20"/>
        <v>1</v>
      </c>
      <c r="M393" s="96">
        <f t="shared" si="21"/>
        <v>0</v>
      </c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21.792909854972692</v>
      </c>
      <c r="H394">
        <v>4.8749248570982399E-4</v>
      </c>
      <c r="I394">
        <v>-0.48363232091064867</v>
      </c>
      <c r="J394">
        <v>-2.3576712229034341E-4</v>
      </c>
      <c r="K394" s="96">
        <f t="shared" si="19"/>
        <v>0</v>
      </c>
      <c r="L394" s="96">
        <f t="shared" si="20"/>
        <v>1</v>
      </c>
      <c r="M394" s="96">
        <f t="shared" si="21"/>
        <v>0</v>
      </c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-0.25</v>
      </c>
      <c r="H395">
        <v>4.8749248570982405E-4</v>
      </c>
      <c r="I395">
        <v>-1.008368152207447</v>
      </c>
      <c r="J395">
        <v>-4.9157189703023059E-4</v>
      </c>
      <c r="K395" s="96">
        <f t="shared" si="19"/>
        <v>0</v>
      </c>
      <c r="L395" s="96">
        <f t="shared" si="20"/>
        <v>1</v>
      </c>
      <c r="M395" s="96">
        <f t="shared" si="21"/>
        <v>0</v>
      </c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10.818954927486347</v>
      </c>
      <c r="H396">
        <v>4.8749248570982405E-4</v>
      </c>
      <c r="I396">
        <v>-0.69723565182917557</v>
      </c>
      <c r="J396">
        <v>-3.3989714103571422E-4</v>
      </c>
      <c r="K396" s="96">
        <f t="shared" si="19"/>
        <v>0</v>
      </c>
      <c r="L396" s="96">
        <f t="shared" si="20"/>
        <v>1</v>
      </c>
      <c r="M396" s="96">
        <f t="shared" si="21"/>
        <v>0</v>
      </c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19.049421123101116</v>
      </c>
      <c r="H397">
        <v>1.2297107747635201E-4</v>
      </c>
      <c r="I397">
        <v>-0.52994571399662793</v>
      </c>
      <c r="J397">
        <v>-6.5167995454140011E-5</v>
      </c>
      <c r="K397" s="96">
        <f t="shared" si="19"/>
        <v>0</v>
      </c>
      <c r="L397" s="96">
        <f t="shared" si="20"/>
        <v>1</v>
      </c>
      <c r="M397" s="96">
        <f t="shared" si="21"/>
        <v>0</v>
      </c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5.3319774637431783</v>
      </c>
      <c r="H398">
        <v>4.8749248570982405E-4</v>
      </c>
      <c r="I398">
        <v>-0.83716626678186001</v>
      </c>
      <c r="J398">
        <v>-4.0811226434590261E-4</v>
      </c>
      <c r="K398" s="96">
        <f t="shared" si="19"/>
        <v>0</v>
      </c>
      <c r="L398" s="96">
        <f t="shared" si="20"/>
        <v>1</v>
      </c>
      <c r="M398" s="96">
        <f t="shared" si="21"/>
        <v>0</v>
      </c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16.305932391229522</v>
      </c>
      <c r="H399">
        <v>4.8749248570982405E-4</v>
      </c>
      <c r="I399">
        <v>-0.58069415057824814</v>
      </c>
      <c r="J399">
        <v>-2.8308403490254506E-4</v>
      </c>
      <c r="K399" s="96">
        <f t="shared" si="19"/>
        <v>0</v>
      </c>
      <c r="L399" s="96">
        <f t="shared" si="20"/>
        <v>1</v>
      </c>
      <c r="M399" s="96">
        <f t="shared" si="21"/>
        <v>0</v>
      </c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24.536398586844285</v>
      </c>
      <c r="H400">
        <v>1.2297107747635201E-4</v>
      </c>
      <c r="I400">
        <v>-0.44136638084199864</v>
      </c>
      <c r="J400">
        <v>-5.4275299413978499E-5</v>
      </c>
      <c r="K400" s="96">
        <f t="shared" si="19"/>
        <v>0</v>
      </c>
      <c r="L400" s="96">
        <f t="shared" si="20"/>
        <v>1</v>
      </c>
      <c r="M400" s="96">
        <f t="shared" si="21"/>
        <v>0</v>
      </c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2.5884887318715855</v>
      </c>
      <c r="H401">
        <v>4.8749248570982405E-4</v>
      </c>
      <c r="I401">
        <v>-0.91733462757045459</v>
      </c>
      <c r="J401">
        <v>-4.4719373782201662E-4</v>
      </c>
      <c r="K401" s="96">
        <f t="shared" si="19"/>
        <v>0</v>
      </c>
      <c r="L401" s="96">
        <f t="shared" si="20"/>
        <v>1</v>
      </c>
      <c r="M401" s="96">
        <f t="shared" si="21"/>
        <v>0</v>
      </c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13.562443659357925</v>
      </c>
      <c r="H402">
        <v>4.8749248570982405E-4</v>
      </c>
      <c r="I402">
        <v>-0.63630233740873099</v>
      </c>
      <c r="J402">
        <v>-3.1019260812635341E-4</v>
      </c>
      <c r="K402" s="96">
        <f t="shared" si="19"/>
        <v>0</v>
      </c>
      <c r="L402" s="96">
        <f t="shared" si="20"/>
        <v>1</v>
      </c>
      <c r="M402" s="96">
        <f t="shared" si="21"/>
        <v>0</v>
      </c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21.792909854972692</v>
      </c>
      <c r="H403">
        <v>1.2297107747635201E-4</v>
      </c>
      <c r="I403">
        <v>-0.48363232091064867</v>
      </c>
      <c r="J403">
        <v>-5.9472787604771315E-5</v>
      </c>
      <c r="K403" s="96">
        <f t="shared" si="19"/>
        <v>0</v>
      </c>
      <c r="L403" s="96">
        <f t="shared" si="20"/>
        <v>1</v>
      </c>
      <c r="M403" s="96">
        <f t="shared" si="21"/>
        <v>0</v>
      </c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-0.25</v>
      </c>
      <c r="H404">
        <v>1.2297107747635201E-4</v>
      </c>
      <c r="I404">
        <v>-1.008368152207447</v>
      </c>
      <c r="J404">
        <v>-1.2400011816978787E-4</v>
      </c>
      <c r="K404" s="96">
        <f t="shared" si="19"/>
        <v>0</v>
      </c>
      <c r="L404" s="96">
        <f t="shared" si="20"/>
        <v>1</v>
      </c>
      <c r="M404" s="96">
        <f t="shared" si="21"/>
        <v>0</v>
      </c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10.818954927486347</v>
      </c>
      <c r="H405">
        <v>1.2297107747635201E-4</v>
      </c>
      <c r="I405">
        <v>-0.69723565182917557</v>
      </c>
      <c r="J405">
        <v>-8.5739819360360336E-5</v>
      </c>
      <c r="K405" s="96">
        <f t="shared" si="19"/>
        <v>0</v>
      </c>
      <c r="L405" s="96">
        <f t="shared" si="20"/>
        <v>1</v>
      </c>
      <c r="M405" s="96">
        <f t="shared" si="21"/>
        <v>0</v>
      </c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19.049421123101116</v>
      </c>
      <c r="H406">
        <v>3.1019731255295997E-5</v>
      </c>
      <c r="I406">
        <v>-0.52994571399662793</v>
      </c>
      <c r="J406">
        <v>-1.6438773628071351E-5</v>
      </c>
      <c r="K406" s="96">
        <f t="shared" si="19"/>
        <v>0</v>
      </c>
      <c r="L406" s="96">
        <f t="shared" si="20"/>
        <v>1</v>
      </c>
      <c r="M406" s="96">
        <f t="shared" si="21"/>
        <v>0</v>
      </c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4.1521839587685134</v>
      </c>
      <c r="H407">
        <v>1.932559496921088E-3</v>
      </c>
      <c r="I407">
        <v>-0.8707449825588448</v>
      </c>
      <c r="J407">
        <v>-1.6827664854404826E-3</v>
      </c>
      <c r="K407" s="96">
        <f t="shared" si="19"/>
        <v>0</v>
      </c>
      <c r="L407" s="96">
        <f t="shared" si="20"/>
        <v>1</v>
      </c>
      <c r="M407" s="96">
        <f t="shared" si="21"/>
        <v>0</v>
      </c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12.766551876305542</v>
      </c>
      <c r="H408">
        <v>1.932559496921088E-3</v>
      </c>
      <c r="I408">
        <v>-0.65340918072979282</v>
      </c>
      <c r="J408">
        <v>-1.2627521175947887E-3</v>
      </c>
      <c r="K408" s="96">
        <f t="shared" si="19"/>
        <v>0</v>
      </c>
      <c r="L408" s="96">
        <f t="shared" si="20"/>
        <v>1</v>
      </c>
      <c r="M408" s="96">
        <f t="shared" si="21"/>
        <v>0</v>
      </c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19.227327814458324</v>
      </c>
      <c r="H409">
        <v>4.8749248570982399E-4</v>
      </c>
      <c r="I409">
        <v>-0.52681231776285231</v>
      </c>
      <c r="J409">
        <v>-2.5681704628876655E-4</v>
      </c>
      <c r="K409" s="96">
        <f t="shared" si="19"/>
        <v>0</v>
      </c>
      <c r="L409" s="96">
        <f t="shared" si="20"/>
        <v>1</v>
      </c>
      <c r="M409" s="96">
        <f t="shared" si="21"/>
        <v>0</v>
      </c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1.9985919793842566</v>
      </c>
      <c r="H410">
        <v>1.932559496921088E-3</v>
      </c>
      <c r="I410">
        <v>-0.9355508931660389</v>
      </c>
      <c r="J410">
        <v>-1.8080077634410347E-3</v>
      </c>
      <c r="K410" s="96">
        <f t="shared" si="19"/>
        <v>0</v>
      </c>
      <c r="L410" s="96">
        <f t="shared" si="20"/>
        <v>1</v>
      </c>
      <c r="M410" s="96">
        <f t="shared" si="21"/>
        <v>0</v>
      </c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10.612959896921287</v>
      </c>
      <c r="H411">
        <v>1.932559496921088E-3</v>
      </c>
      <c r="I411">
        <v>-0.70203969575367142</v>
      </c>
      <c r="J411">
        <v>-1.356733481244349E-3</v>
      </c>
      <c r="K411" s="96">
        <f t="shared" si="19"/>
        <v>0</v>
      </c>
      <c r="L411" s="96">
        <f t="shared" si="20"/>
        <v>1</v>
      </c>
      <c r="M411" s="96">
        <f t="shared" si="21"/>
        <v>0</v>
      </c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17.073735835074054</v>
      </c>
      <c r="H412">
        <v>4.8749248570982399E-4</v>
      </c>
      <c r="I412">
        <v>-0.56602075726643686</v>
      </c>
      <c r="J412">
        <v>-2.7593086592317222E-4</v>
      </c>
      <c r="K412" s="96">
        <f t="shared" si="19"/>
        <v>0</v>
      </c>
      <c r="L412" s="96">
        <f t="shared" si="20"/>
        <v>1</v>
      </c>
      <c r="M412" s="96">
        <f t="shared" si="21"/>
        <v>0</v>
      </c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-0.25</v>
      </c>
      <c r="H413">
        <v>4.8749248570982405E-4</v>
      </c>
      <c r="I413">
        <v>-1.008368152207447</v>
      </c>
      <c r="J413">
        <v>-4.9157189703023059E-4</v>
      </c>
      <c r="K413" s="96">
        <f t="shared" si="19"/>
        <v>0</v>
      </c>
      <c r="L413" s="96">
        <f t="shared" si="20"/>
        <v>1</v>
      </c>
      <c r="M413" s="96">
        <f t="shared" si="21"/>
        <v>0</v>
      </c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8.4593679175370351</v>
      </c>
      <c r="H414">
        <v>4.8749248570982405E-4</v>
      </c>
      <c r="I414">
        <v>-0.75428957680611775</v>
      </c>
      <c r="J414">
        <v>-3.6771050074222556E-4</v>
      </c>
      <c r="K414" s="96">
        <f t="shared" si="19"/>
        <v>0</v>
      </c>
      <c r="L414" s="96">
        <f t="shared" si="20"/>
        <v>1</v>
      </c>
      <c r="M414" s="96">
        <f t="shared" si="21"/>
        <v>0</v>
      </c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14.920143855689805</v>
      </c>
      <c r="H415">
        <v>1.2297107747635201E-4</v>
      </c>
      <c r="I415">
        <v>-0.60814731708815373</v>
      </c>
      <c r="J415">
        <v>-7.4784530846682957E-5</v>
      </c>
      <c r="K415" s="96">
        <f t="shared" si="19"/>
        <v>0</v>
      </c>
      <c r="L415" s="96">
        <f t="shared" si="20"/>
        <v>1</v>
      </c>
      <c r="M415" s="96">
        <f t="shared" si="21"/>
        <v>0</v>
      </c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4.1521839587685134</v>
      </c>
      <c r="H416">
        <v>1.932559496921088E-3</v>
      </c>
      <c r="I416">
        <v>-0.8707449825588448</v>
      </c>
      <c r="J416">
        <v>-1.6827664854404826E-3</v>
      </c>
      <c r="K416" s="96">
        <f t="shared" si="19"/>
        <v>0</v>
      </c>
      <c r="L416" s="96">
        <f t="shared" si="20"/>
        <v>1</v>
      </c>
      <c r="M416" s="96">
        <f t="shared" si="21"/>
        <v>0</v>
      </c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12.766551876305542</v>
      </c>
      <c r="H417">
        <v>1.932559496921088E-3</v>
      </c>
      <c r="I417">
        <v>-0.65340918072979282</v>
      </c>
      <c r="J417">
        <v>-1.2627521175947887E-3</v>
      </c>
      <c r="K417" s="96">
        <f t="shared" si="19"/>
        <v>0</v>
      </c>
      <c r="L417" s="96">
        <f t="shared" si="20"/>
        <v>1</v>
      </c>
      <c r="M417" s="96">
        <f t="shared" si="21"/>
        <v>0</v>
      </c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19.227327814458324</v>
      </c>
      <c r="H418">
        <v>4.8749248570982399E-4</v>
      </c>
      <c r="I418">
        <v>-0.52681231776285231</v>
      </c>
      <c r="J418">
        <v>-2.5681704628876655E-4</v>
      </c>
      <c r="K418" s="96">
        <f t="shared" si="19"/>
        <v>0</v>
      </c>
      <c r="L418" s="96">
        <f t="shared" si="20"/>
        <v>1</v>
      </c>
      <c r="M418" s="96">
        <f t="shared" si="21"/>
        <v>0</v>
      </c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1.9985919793842566</v>
      </c>
      <c r="H419">
        <v>1.932559496921088E-3</v>
      </c>
      <c r="I419">
        <v>-0.9355508931660389</v>
      </c>
      <c r="J419">
        <v>-1.8080077634410347E-3</v>
      </c>
      <c r="K419" s="96">
        <f t="shared" si="19"/>
        <v>0</v>
      </c>
      <c r="L419" s="96">
        <f t="shared" si="20"/>
        <v>1</v>
      </c>
      <c r="M419" s="96">
        <f t="shared" si="21"/>
        <v>0</v>
      </c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10.612959896921287</v>
      </c>
      <c r="H420">
        <v>1.932559496921088E-3</v>
      </c>
      <c r="I420">
        <v>-0.70203969575367142</v>
      </c>
      <c r="J420">
        <v>-1.356733481244349E-3</v>
      </c>
      <c r="K420" s="96">
        <f t="shared" si="19"/>
        <v>0</v>
      </c>
      <c r="L420" s="96">
        <f t="shared" si="20"/>
        <v>1</v>
      </c>
      <c r="M420" s="96">
        <f t="shared" si="21"/>
        <v>0</v>
      </c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17.073735835074054</v>
      </c>
      <c r="H421">
        <v>4.8749248570982399E-4</v>
      </c>
      <c r="I421">
        <v>-0.56602075726643686</v>
      </c>
      <c r="J421">
        <v>-2.7593086592317222E-4</v>
      </c>
      <c r="K421" s="96">
        <f t="shared" si="19"/>
        <v>0</v>
      </c>
      <c r="L421" s="96">
        <f t="shared" si="20"/>
        <v>1</v>
      </c>
      <c r="M421" s="96">
        <f t="shared" si="21"/>
        <v>0</v>
      </c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-0.25</v>
      </c>
      <c r="H422">
        <v>4.8749248570982405E-4</v>
      </c>
      <c r="I422">
        <v>-1.008368152207447</v>
      </c>
      <c r="J422">
        <v>-4.9157189703023059E-4</v>
      </c>
      <c r="K422" s="96">
        <f t="shared" si="19"/>
        <v>0</v>
      </c>
      <c r="L422" s="96">
        <f t="shared" si="20"/>
        <v>1</v>
      </c>
      <c r="M422" s="96">
        <f t="shared" si="21"/>
        <v>0</v>
      </c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8.4593679175370351</v>
      </c>
      <c r="H423">
        <v>4.8749248570982405E-4</v>
      </c>
      <c r="I423">
        <v>-0.75428957680611775</v>
      </c>
      <c r="J423">
        <v>-3.6771050074222556E-4</v>
      </c>
      <c r="K423" s="96">
        <f t="shared" si="19"/>
        <v>0</v>
      </c>
      <c r="L423" s="96">
        <f t="shared" si="20"/>
        <v>1</v>
      </c>
      <c r="M423" s="96">
        <f t="shared" si="21"/>
        <v>0</v>
      </c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14.920143855689805</v>
      </c>
      <c r="H424">
        <v>1.2297107747635201E-4</v>
      </c>
      <c r="I424">
        <v>-0.60814731708815373</v>
      </c>
      <c r="J424">
        <v>-7.4784530846682957E-5</v>
      </c>
      <c r="K424" s="96">
        <f t="shared" si="19"/>
        <v>0</v>
      </c>
      <c r="L424" s="96">
        <f t="shared" si="20"/>
        <v>1</v>
      </c>
      <c r="M424" s="96">
        <f t="shared" si="21"/>
        <v>0</v>
      </c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4.1521839587685134</v>
      </c>
      <c r="H425">
        <v>4.8749248570982405E-4</v>
      </c>
      <c r="I425">
        <v>-0.8707449825588448</v>
      </c>
      <c r="J425">
        <v>-4.2448163596696864E-4</v>
      </c>
      <c r="K425" s="96">
        <f t="shared" si="19"/>
        <v>0</v>
      </c>
      <c r="L425" s="96">
        <f t="shared" si="20"/>
        <v>1</v>
      </c>
      <c r="M425" s="96">
        <f t="shared" si="21"/>
        <v>0</v>
      </c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12.766551876305542</v>
      </c>
      <c r="H426">
        <v>4.8749248570982405E-4</v>
      </c>
      <c r="I426">
        <v>-0.65340918072979282</v>
      </c>
      <c r="J426">
        <v>-3.1853206569958635E-4</v>
      </c>
      <c r="K426" s="96">
        <f t="shared" si="19"/>
        <v>0</v>
      </c>
      <c r="L426" s="96">
        <f t="shared" si="20"/>
        <v>1</v>
      </c>
      <c r="M426" s="96">
        <f t="shared" si="21"/>
        <v>0</v>
      </c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19.227327814458324</v>
      </c>
      <c r="H427">
        <v>1.2297107747635201E-4</v>
      </c>
      <c r="I427">
        <v>-0.52681231776285231</v>
      </c>
      <c r="J427">
        <v>-6.478267834311229E-5</v>
      </c>
      <c r="K427" s="96">
        <f t="shared" si="19"/>
        <v>0</v>
      </c>
      <c r="L427" s="96">
        <f t="shared" si="20"/>
        <v>1</v>
      </c>
      <c r="M427" s="96">
        <f t="shared" si="21"/>
        <v>0</v>
      </c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1.9985919793842566</v>
      </c>
      <c r="H428">
        <v>4.8749248570982405E-4</v>
      </c>
      <c r="I428">
        <v>-0.9355508931660389</v>
      </c>
      <c r="J428">
        <v>-4.5607403041755834E-4</v>
      </c>
      <c r="K428" s="96">
        <f t="shared" si="19"/>
        <v>0</v>
      </c>
      <c r="L428" s="96">
        <f t="shared" si="20"/>
        <v>1</v>
      </c>
      <c r="M428" s="96">
        <f t="shared" si="21"/>
        <v>0</v>
      </c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10.612959896921287</v>
      </c>
      <c r="H429">
        <v>4.8749248570982405E-4</v>
      </c>
      <c r="I429">
        <v>-0.70203969575367142</v>
      </c>
      <c r="J429">
        <v>-3.4223907634992588E-4</v>
      </c>
      <c r="K429" s="96">
        <f t="shared" si="19"/>
        <v>0</v>
      </c>
      <c r="L429" s="96">
        <f t="shared" si="20"/>
        <v>1</v>
      </c>
      <c r="M429" s="96">
        <f t="shared" si="21"/>
        <v>0</v>
      </c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17.073735835074054</v>
      </c>
      <c r="H430">
        <v>1.2297107747635201E-4</v>
      </c>
      <c r="I430">
        <v>-0.56602075726643686</v>
      </c>
      <c r="J430">
        <v>-6.9604182395034439E-5</v>
      </c>
      <c r="K430" s="96">
        <f t="shared" si="19"/>
        <v>0</v>
      </c>
      <c r="L430" s="96">
        <f t="shared" si="20"/>
        <v>1</v>
      </c>
      <c r="M430" s="96">
        <f t="shared" si="21"/>
        <v>0</v>
      </c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-0.25</v>
      </c>
      <c r="H431">
        <v>1.2297107747635201E-4</v>
      </c>
      <c r="I431">
        <v>-1.008368152207447</v>
      </c>
      <c r="J431">
        <v>-1.2400011816978787E-4</v>
      </c>
      <c r="K431" s="96">
        <f t="shared" si="19"/>
        <v>0</v>
      </c>
      <c r="L431" s="96">
        <f t="shared" si="20"/>
        <v>1</v>
      </c>
      <c r="M431" s="96">
        <f t="shared" si="21"/>
        <v>0</v>
      </c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8.4593679175370351</v>
      </c>
      <c r="H432">
        <v>1.2297107747635201E-4</v>
      </c>
      <c r="I432">
        <v>-0.75428957680611775</v>
      </c>
      <c r="J432">
        <v>-9.2755801989029876E-5</v>
      </c>
      <c r="K432" s="96">
        <f t="shared" si="19"/>
        <v>0</v>
      </c>
      <c r="L432" s="96">
        <f t="shared" si="20"/>
        <v>1</v>
      </c>
      <c r="M432" s="96">
        <f t="shared" si="21"/>
        <v>0</v>
      </c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14.920143855689805</v>
      </c>
      <c r="H433">
        <v>3.1019731255295997E-5</v>
      </c>
      <c r="I433">
        <v>-0.60814731708815373</v>
      </c>
      <c r="J433">
        <v>-1.8864566339703806E-5</v>
      </c>
      <c r="K433" s="96">
        <f t="shared" si="19"/>
        <v>0</v>
      </c>
      <c r="L433" s="96">
        <f t="shared" si="20"/>
        <v>1</v>
      </c>
      <c r="M433" s="96">
        <f t="shared" si="21"/>
        <v>0</v>
      </c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5.1342232805691861</v>
      </c>
      <c r="H434">
        <v>1.932559496921088E-3</v>
      </c>
      <c r="I434">
        <v>-0.8427029327568818</v>
      </c>
      <c r="J434">
        <v>-1.6285735557825648E-3</v>
      </c>
      <c r="K434" s="96">
        <f t="shared" si="19"/>
        <v>0</v>
      </c>
      <c r="L434" s="96">
        <f t="shared" si="20"/>
        <v>1</v>
      </c>
      <c r="M434" s="96">
        <f t="shared" si="21"/>
        <v>0</v>
      </c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15.712669841707568</v>
      </c>
      <c r="H435">
        <v>1.932559496921088E-3</v>
      </c>
      <c r="I435">
        <v>-0.59229191771234446</v>
      </c>
      <c r="J435">
        <v>-1.1446393705245948E-3</v>
      </c>
      <c r="K435" s="96">
        <f t="shared" si="19"/>
        <v>0</v>
      </c>
      <c r="L435" s="96">
        <f t="shared" si="20"/>
        <v>1</v>
      </c>
      <c r="M435" s="96">
        <f t="shared" si="21"/>
        <v>0</v>
      </c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23.646504762561353</v>
      </c>
      <c r="H436">
        <v>4.8749248570982399E-4</v>
      </c>
      <c r="I436">
        <v>-0.45465480176200362</v>
      </c>
      <c r="J436">
        <v>-2.216407994508664E-4</v>
      </c>
      <c r="K436" s="96">
        <f t="shared" si="19"/>
        <v>0</v>
      </c>
      <c r="L436" s="96">
        <f t="shared" si="20"/>
        <v>1</v>
      </c>
      <c r="M436" s="96">
        <f t="shared" si="21"/>
        <v>0</v>
      </c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2.4896116402845991</v>
      </c>
      <c r="H437">
        <v>1.932559496921088E-3</v>
      </c>
      <c r="I437">
        <v>-0.92036306154089531</v>
      </c>
      <c r="J437">
        <v>-1.778656375196225E-3</v>
      </c>
      <c r="K437" s="96">
        <f t="shared" si="19"/>
        <v>0</v>
      </c>
      <c r="L437" s="96">
        <f t="shared" si="20"/>
        <v>1</v>
      </c>
      <c r="M437" s="96">
        <f t="shared" si="21"/>
        <v>0</v>
      </c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13.068058201422975</v>
      </c>
      <c r="H438">
        <v>1.932559496921088E-3</v>
      </c>
      <c r="I438">
        <v>-0.64687516979240012</v>
      </c>
      <c r="J438">
        <v>-1.250124752704744E-3</v>
      </c>
      <c r="K438" s="96">
        <f t="shared" si="19"/>
        <v>0</v>
      </c>
      <c r="L438" s="96">
        <f t="shared" si="20"/>
        <v>1</v>
      </c>
      <c r="M438" s="96">
        <f t="shared" si="21"/>
        <v>0</v>
      </c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21.001893122276762</v>
      </c>
      <c r="H439">
        <v>4.8749248570982399E-4</v>
      </c>
      <c r="I439">
        <v>-0.49655396822342357</v>
      </c>
      <c r="J439">
        <v>-2.4206632825831372E-4</v>
      </c>
      <c r="K439" s="96">
        <f t="shared" si="19"/>
        <v>0</v>
      </c>
      <c r="L439" s="96">
        <f t="shared" si="20"/>
        <v>1</v>
      </c>
      <c r="M439" s="96">
        <f t="shared" si="21"/>
        <v>0</v>
      </c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-0.25</v>
      </c>
      <c r="H440">
        <v>4.8749248570982405E-4</v>
      </c>
      <c r="I440">
        <v>-1.008368152207447</v>
      </c>
      <c r="J440">
        <v>-4.9157189703023059E-4</v>
      </c>
      <c r="K440" s="96">
        <f t="shared" si="19"/>
        <v>0</v>
      </c>
      <c r="L440" s="96">
        <f t="shared" si="20"/>
        <v>1</v>
      </c>
      <c r="M440" s="96">
        <f t="shared" si="21"/>
        <v>0</v>
      </c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10.423446561138384</v>
      </c>
      <c r="H441">
        <v>4.8749248570982405E-4</v>
      </c>
      <c r="I441">
        <v>-0.70648859587709567</v>
      </c>
      <c r="J441">
        <v>-3.444078817297687E-4</v>
      </c>
      <c r="K441" s="96">
        <f t="shared" si="19"/>
        <v>0</v>
      </c>
      <c r="L441" s="96">
        <f t="shared" si="20"/>
        <v>1</v>
      </c>
      <c r="M441" s="96">
        <f t="shared" si="21"/>
        <v>0</v>
      </c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18.357281481992157</v>
      </c>
      <c r="H442">
        <v>1.2297107747635201E-4</v>
      </c>
      <c r="I442">
        <v>-0.54231439413565841</v>
      </c>
      <c r="J442">
        <v>-6.6688985377796946E-5</v>
      </c>
      <c r="K442" s="96">
        <f t="shared" si="19"/>
        <v>0</v>
      </c>
      <c r="L442" s="96">
        <f t="shared" si="20"/>
        <v>1</v>
      </c>
      <c r="M442" s="96">
        <f t="shared" si="21"/>
        <v>0</v>
      </c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5.1342232805691861</v>
      </c>
      <c r="H443">
        <v>1.932559496921088E-3</v>
      </c>
      <c r="I443">
        <v>-0.8427029327568818</v>
      </c>
      <c r="J443">
        <v>-1.6285735557825648E-3</v>
      </c>
      <c r="K443" s="96">
        <f t="shared" si="19"/>
        <v>0</v>
      </c>
      <c r="L443" s="96">
        <f t="shared" si="20"/>
        <v>1</v>
      </c>
      <c r="M443" s="96">
        <f t="shared" si="21"/>
        <v>0</v>
      </c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15.712669841707568</v>
      </c>
      <c r="H444">
        <v>1.932559496921088E-3</v>
      </c>
      <c r="I444">
        <v>-0.59229191771234446</v>
      </c>
      <c r="J444">
        <v>-1.1446393705245948E-3</v>
      </c>
      <c r="K444" s="96">
        <f t="shared" si="19"/>
        <v>0</v>
      </c>
      <c r="L444" s="96">
        <f t="shared" si="20"/>
        <v>1</v>
      </c>
      <c r="M444" s="96">
        <f t="shared" si="21"/>
        <v>0</v>
      </c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23.646504762561353</v>
      </c>
      <c r="H445">
        <v>4.8749248570982399E-4</v>
      </c>
      <c r="I445">
        <v>-0.45465480176200362</v>
      </c>
      <c r="J445">
        <v>-2.216407994508664E-4</v>
      </c>
      <c r="K445" s="96">
        <f t="shared" si="19"/>
        <v>0</v>
      </c>
      <c r="L445" s="96">
        <f t="shared" si="20"/>
        <v>1</v>
      </c>
      <c r="M445" s="96">
        <f t="shared" si="21"/>
        <v>0</v>
      </c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2.4896116402845991</v>
      </c>
      <c r="H446">
        <v>1.932559496921088E-3</v>
      </c>
      <c r="I446">
        <v>-0.92036306154089531</v>
      </c>
      <c r="J446">
        <v>-1.778656375196225E-3</v>
      </c>
      <c r="K446" s="96">
        <f t="shared" si="19"/>
        <v>0</v>
      </c>
      <c r="L446" s="96">
        <f t="shared" si="20"/>
        <v>1</v>
      </c>
      <c r="M446" s="96">
        <f t="shared" si="21"/>
        <v>0</v>
      </c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13.068058201422975</v>
      </c>
      <c r="H447">
        <v>1.932559496921088E-3</v>
      </c>
      <c r="I447">
        <v>-0.64687516979240012</v>
      </c>
      <c r="J447">
        <v>-1.250124752704744E-3</v>
      </c>
      <c r="K447" s="96">
        <f t="shared" si="19"/>
        <v>0</v>
      </c>
      <c r="L447" s="96">
        <f t="shared" si="20"/>
        <v>1</v>
      </c>
      <c r="M447" s="96">
        <f t="shared" si="21"/>
        <v>0</v>
      </c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21.001893122276762</v>
      </c>
      <c r="H448">
        <v>4.8749248570982399E-4</v>
      </c>
      <c r="I448">
        <v>-0.49655396822342357</v>
      </c>
      <c r="J448">
        <v>-2.4206632825831372E-4</v>
      </c>
      <c r="K448" s="96">
        <f t="shared" si="19"/>
        <v>0</v>
      </c>
      <c r="L448" s="96">
        <f t="shared" si="20"/>
        <v>1</v>
      </c>
      <c r="M448" s="96">
        <f t="shared" si="21"/>
        <v>0</v>
      </c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-0.25</v>
      </c>
      <c r="H449">
        <v>4.8749248570982405E-4</v>
      </c>
      <c r="I449">
        <v>-1.008368152207447</v>
      </c>
      <c r="J449">
        <v>-4.9157189703023059E-4</v>
      </c>
      <c r="K449" s="96">
        <f t="shared" si="19"/>
        <v>0</v>
      </c>
      <c r="L449" s="96">
        <f t="shared" si="20"/>
        <v>1</v>
      </c>
      <c r="M449" s="96">
        <f t="shared" si="21"/>
        <v>0</v>
      </c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10.423446561138384</v>
      </c>
      <c r="H450">
        <v>4.8749248570982405E-4</v>
      </c>
      <c r="I450">
        <v>-0.70648859587709567</v>
      </c>
      <c r="J450">
        <v>-3.444078817297687E-4</v>
      </c>
      <c r="K450" s="96">
        <f t="shared" si="19"/>
        <v>0</v>
      </c>
      <c r="L450" s="96">
        <f t="shared" si="20"/>
        <v>1</v>
      </c>
      <c r="M450" s="96">
        <f t="shared" si="21"/>
        <v>0</v>
      </c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18.357281481992157</v>
      </c>
      <c r="H451">
        <v>1.2297107747635201E-4</v>
      </c>
      <c r="I451">
        <v>-0.54231439413565841</v>
      </c>
      <c r="J451">
        <v>-6.6688985377796946E-5</v>
      </c>
      <c r="K451" s="96">
        <f t="shared" ref="K451:K514" si="22">IF(A451=3,1,0)</f>
        <v>0</v>
      </c>
      <c r="L451" s="96">
        <f t="shared" ref="L451:L514" si="23">IF(A451=2,1,0)</f>
        <v>1</v>
      </c>
      <c r="M451" s="96">
        <f t="shared" ref="M451:M514" si="24">IF(A451=1,1,0)</f>
        <v>0</v>
      </c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5.1342232805691861</v>
      </c>
      <c r="H452">
        <v>4.8749248570982405E-4</v>
      </c>
      <c r="I452">
        <v>-0.8427029327568818</v>
      </c>
      <c r="J452">
        <v>-4.1081134740461101E-4</v>
      </c>
      <c r="K452" s="96">
        <f t="shared" si="22"/>
        <v>0</v>
      </c>
      <c r="L452" s="96">
        <f t="shared" si="23"/>
        <v>1</v>
      </c>
      <c r="M452" s="96">
        <f t="shared" si="24"/>
        <v>0</v>
      </c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15.712669841707568</v>
      </c>
      <c r="H453">
        <v>4.8749248570982405E-4</v>
      </c>
      <c r="I453">
        <v>-0.59229191771234446</v>
      </c>
      <c r="J453">
        <v>-2.8873785923142934E-4</v>
      </c>
      <c r="K453" s="96">
        <f t="shared" si="22"/>
        <v>0</v>
      </c>
      <c r="L453" s="96">
        <f t="shared" si="23"/>
        <v>1</v>
      </c>
      <c r="M453" s="96">
        <f t="shared" si="24"/>
        <v>0</v>
      </c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23.646504762561353</v>
      </c>
      <c r="H454">
        <v>1.2297107747635201E-4</v>
      </c>
      <c r="I454">
        <v>-0.45465480176200362</v>
      </c>
      <c r="J454">
        <v>-5.5909390852470814E-5</v>
      </c>
      <c r="K454" s="96">
        <f t="shared" si="22"/>
        <v>0</v>
      </c>
      <c r="L454" s="96">
        <f t="shared" si="23"/>
        <v>1</v>
      </c>
      <c r="M454" s="96">
        <f t="shared" si="24"/>
        <v>0</v>
      </c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2.4896116402845991</v>
      </c>
      <c r="H455">
        <v>4.8749248570982405E-4</v>
      </c>
      <c r="I455">
        <v>-0.92036306154089531</v>
      </c>
      <c r="J455">
        <v>-4.4867007662607481E-4</v>
      </c>
      <c r="K455" s="96">
        <f t="shared" si="22"/>
        <v>0</v>
      </c>
      <c r="L455" s="96">
        <f t="shared" si="23"/>
        <v>1</v>
      </c>
      <c r="M455" s="96">
        <f t="shared" si="24"/>
        <v>0</v>
      </c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13.068058201422975</v>
      </c>
      <c r="H456">
        <v>4.8749248570982405E-4</v>
      </c>
      <c r="I456">
        <v>-0.64687516979240012</v>
      </c>
      <c r="J456">
        <v>-3.1534678446606159E-4</v>
      </c>
      <c r="K456" s="96">
        <f t="shared" si="22"/>
        <v>0</v>
      </c>
      <c r="L456" s="96">
        <f t="shared" si="23"/>
        <v>1</v>
      </c>
      <c r="M456" s="96">
        <f t="shared" si="24"/>
        <v>0</v>
      </c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21.001893122276762</v>
      </c>
      <c r="H457">
        <v>1.2297107747635201E-4</v>
      </c>
      <c r="I457">
        <v>-0.49655396822342357</v>
      </c>
      <c r="J457">
        <v>-6.1061776497592656E-5</v>
      </c>
      <c r="K457" s="96">
        <f t="shared" si="22"/>
        <v>0</v>
      </c>
      <c r="L457" s="96">
        <f t="shared" si="23"/>
        <v>1</v>
      </c>
      <c r="M457" s="96">
        <f t="shared" si="24"/>
        <v>0</v>
      </c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-0.25</v>
      </c>
      <c r="H458">
        <v>1.2297107747635201E-4</v>
      </c>
      <c r="I458">
        <v>-1.008368152207447</v>
      </c>
      <c r="J458">
        <v>-1.2400011816978787E-4</v>
      </c>
      <c r="K458" s="96">
        <f t="shared" si="22"/>
        <v>0</v>
      </c>
      <c r="L458" s="96">
        <f t="shared" si="23"/>
        <v>1</v>
      </c>
      <c r="M458" s="96">
        <f t="shared" si="24"/>
        <v>0</v>
      </c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10.423446561138384</v>
      </c>
      <c r="H459">
        <v>1.2297107747635201E-4</v>
      </c>
      <c r="I459">
        <v>-0.70648859587709567</v>
      </c>
      <c r="J459">
        <v>-8.6877663859761476E-5</v>
      </c>
      <c r="K459" s="96">
        <f t="shared" si="22"/>
        <v>0</v>
      </c>
      <c r="L459" s="96">
        <f t="shared" si="23"/>
        <v>1</v>
      </c>
      <c r="M459" s="96">
        <f t="shared" si="24"/>
        <v>0</v>
      </c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18.357281481992157</v>
      </c>
      <c r="H460">
        <v>3.1019731255295997E-5</v>
      </c>
      <c r="I460">
        <v>-0.54231439413565841</v>
      </c>
      <c r="J460">
        <v>-1.6822446761966796E-5</v>
      </c>
      <c r="K460" s="96">
        <f t="shared" si="22"/>
        <v>0</v>
      </c>
      <c r="L460" s="96">
        <f t="shared" si="23"/>
        <v>1</v>
      </c>
      <c r="M460" s="96">
        <f t="shared" si="24"/>
        <v>0</v>
      </c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5.6957848007813592</v>
      </c>
      <c r="H461">
        <v>4.8749248570982405E-4</v>
      </c>
      <c r="I461">
        <v>-0.82707533535654776</v>
      </c>
      <c r="J461">
        <v>-4.031930111022498E-4</v>
      </c>
      <c r="K461" s="96">
        <f t="shared" si="22"/>
        <v>0</v>
      </c>
      <c r="L461" s="96">
        <f t="shared" si="23"/>
        <v>1</v>
      </c>
      <c r="M461" s="96">
        <f t="shared" si="24"/>
        <v>0</v>
      </c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17.397354402344053</v>
      </c>
      <c r="H462">
        <v>4.8749248570982405E-4</v>
      </c>
      <c r="I462">
        <v>-0.55994774426946747</v>
      </c>
      <c r="J462">
        <v>-2.7297031772153158E-4</v>
      </c>
      <c r="K462" s="96">
        <f t="shared" si="22"/>
        <v>0</v>
      </c>
      <c r="L462" s="96">
        <f t="shared" si="23"/>
        <v>1</v>
      </c>
      <c r="M462" s="96">
        <f t="shared" si="24"/>
        <v>0</v>
      </c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26.173531603516079</v>
      </c>
      <c r="H463">
        <v>1.2297107747635201E-4</v>
      </c>
      <c r="I463">
        <v>-0.41792593403955802</v>
      </c>
      <c r="J463">
        <v>-5.1392802414155268E-5</v>
      </c>
      <c r="K463" s="96">
        <f t="shared" si="22"/>
        <v>0</v>
      </c>
      <c r="L463" s="96">
        <f t="shared" si="23"/>
        <v>1</v>
      </c>
      <c r="M463" s="96">
        <f t="shared" si="24"/>
        <v>0</v>
      </c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2.7703924003906772</v>
      </c>
      <c r="H464">
        <v>4.8749248570982405E-4</v>
      </c>
      <c r="I464">
        <v>-0.91178923886900443</v>
      </c>
      <c r="J464">
        <v>-4.444904024997195E-4</v>
      </c>
      <c r="K464" s="96">
        <f t="shared" si="22"/>
        <v>0</v>
      </c>
      <c r="L464" s="96">
        <f t="shared" si="23"/>
        <v>1</v>
      </c>
      <c r="M464" s="96">
        <f t="shared" si="24"/>
        <v>0</v>
      </c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14.471962001953376</v>
      </c>
      <c r="H465">
        <v>4.8749248570982405E-4</v>
      </c>
      <c r="I465">
        <v>-0.61730087421090407</v>
      </c>
      <c r="J465">
        <v>-3.0092953759992103E-4</v>
      </c>
      <c r="K465" s="96">
        <f t="shared" si="22"/>
        <v>0</v>
      </c>
      <c r="L465" s="96">
        <f t="shared" si="23"/>
        <v>1</v>
      </c>
      <c r="M465" s="96">
        <f t="shared" si="24"/>
        <v>0</v>
      </c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23.24813920312539</v>
      </c>
      <c r="H466">
        <v>1.2297107747635201E-4</v>
      </c>
      <c r="I466">
        <v>-0.46073235775707583</v>
      </c>
      <c r="J466">
        <v>-5.6656754461607705E-5</v>
      </c>
      <c r="K466" s="96">
        <f t="shared" si="22"/>
        <v>0</v>
      </c>
      <c r="L466" s="96">
        <f t="shared" si="23"/>
        <v>1</v>
      </c>
      <c r="M466" s="96">
        <f t="shared" si="24"/>
        <v>0</v>
      </c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-0.25</v>
      </c>
      <c r="H467">
        <v>1.2297107747635201E-4</v>
      </c>
      <c r="I467">
        <v>-1.008368152207447</v>
      </c>
      <c r="J467">
        <v>-1.2400011816978787E-4</v>
      </c>
      <c r="K467" s="96">
        <f t="shared" si="22"/>
        <v>0</v>
      </c>
      <c r="L467" s="96">
        <f t="shared" si="23"/>
        <v>1</v>
      </c>
      <c r="M467" s="96">
        <f t="shared" si="24"/>
        <v>0</v>
      </c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11.546569601562702</v>
      </c>
      <c r="H468">
        <v>1.2297107747635201E-4</v>
      </c>
      <c r="I468">
        <v>-0.6805284478798902</v>
      </c>
      <c r="J468">
        <v>-8.3685316489099558E-5</v>
      </c>
      <c r="K468" s="96">
        <f t="shared" si="22"/>
        <v>0</v>
      </c>
      <c r="L468" s="96">
        <f t="shared" si="23"/>
        <v>1</v>
      </c>
      <c r="M468" s="96">
        <f t="shared" si="24"/>
        <v>0</v>
      </c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20.322746802734716</v>
      </c>
      <c r="H469">
        <v>3.1019731255295997E-5</v>
      </c>
      <c r="I469">
        <v>-0.50792326628933626</v>
      </c>
      <c r="J469">
        <v>-1.5755643218607355E-5</v>
      </c>
      <c r="K469" s="96">
        <f t="shared" si="22"/>
        <v>0</v>
      </c>
      <c r="L469" s="96">
        <f t="shared" si="23"/>
        <v>1</v>
      </c>
      <c r="M469" s="96">
        <f t="shared" si="24"/>
        <v>0</v>
      </c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5.6957848007813592</v>
      </c>
      <c r="H470">
        <v>4.8749248570982405E-4</v>
      </c>
      <c r="I470">
        <v>-0.82707533535654776</v>
      </c>
      <c r="J470">
        <v>-4.031930111022498E-4</v>
      </c>
      <c r="K470" s="96">
        <f t="shared" si="22"/>
        <v>0</v>
      </c>
      <c r="L470" s="96">
        <f t="shared" si="23"/>
        <v>1</v>
      </c>
      <c r="M470" s="96">
        <f t="shared" si="24"/>
        <v>0</v>
      </c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17.397354402344053</v>
      </c>
      <c r="H471">
        <v>4.8749248570982405E-4</v>
      </c>
      <c r="I471">
        <v>-0.55994774426946747</v>
      </c>
      <c r="J471">
        <v>-2.7297031772153158E-4</v>
      </c>
      <c r="K471" s="96">
        <f t="shared" si="22"/>
        <v>0</v>
      </c>
      <c r="L471" s="96">
        <f t="shared" si="23"/>
        <v>1</v>
      </c>
      <c r="M471" s="96">
        <f t="shared" si="24"/>
        <v>0</v>
      </c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26.173531603516079</v>
      </c>
      <c r="H472">
        <v>1.2297107747635201E-4</v>
      </c>
      <c r="I472">
        <v>-0.41792593403955802</v>
      </c>
      <c r="J472">
        <v>-5.1392802414155268E-5</v>
      </c>
      <c r="K472" s="96">
        <f t="shared" si="22"/>
        <v>0</v>
      </c>
      <c r="L472" s="96">
        <f t="shared" si="23"/>
        <v>1</v>
      </c>
      <c r="M472" s="96">
        <f t="shared" si="24"/>
        <v>0</v>
      </c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2.7703924003906772</v>
      </c>
      <c r="H473">
        <v>4.8749248570982405E-4</v>
      </c>
      <c r="I473">
        <v>-0.91178923886900443</v>
      </c>
      <c r="J473">
        <v>-4.444904024997195E-4</v>
      </c>
      <c r="K473" s="96">
        <f t="shared" si="22"/>
        <v>0</v>
      </c>
      <c r="L473" s="96">
        <f t="shared" si="23"/>
        <v>1</v>
      </c>
      <c r="M473" s="96">
        <f t="shared" si="24"/>
        <v>0</v>
      </c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14.471962001953376</v>
      </c>
      <c r="H474">
        <v>4.8749248570982405E-4</v>
      </c>
      <c r="I474">
        <v>-0.61730087421090407</v>
      </c>
      <c r="J474">
        <v>-3.0092953759992103E-4</v>
      </c>
      <c r="K474" s="96">
        <f t="shared" si="22"/>
        <v>0</v>
      </c>
      <c r="L474" s="96">
        <f t="shared" si="23"/>
        <v>1</v>
      </c>
      <c r="M474" s="96">
        <f t="shared" si="24"/>
        <v>0</v>
      </c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23.24813920312539</v>
      </c>
      <c r="H475">
        <v>1.2297107747635201E-4</v>
      </c>
      <c r="I475">
        <v>-0.46073235775707583</v>
      </c>
      <c r="J475">
        <v>-5.6656754461607705E-5</v>
      </c>
      <c r="K475" s="96">
        <f t="shared" si="22"/>
        <v>0</v>
      </c>
      <c r="L475" s="96">
        <f t="shared" si="23"/>
        <v>1</v>
      </c>
      <c r="M475" s="96">
        <f t="shared" si="24"/>
        <v>0</v>
      </c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-0.25</v>
      </c>
      <c r="H476">
        <v>1.2297107747635201E-4</v>
      </c>
      <c r="I476">
        <v>-1.008368152207447</v>
      </c>
      <c r="J476">
        <v>-1.2400011816978787E-4</v>
      </c>
      <c r="K476" s="96">
        <f t="shared" si="22"/>
        <v>0</v>
      </c>
      <c r="L476" s="96">
        <f t="shared" si="23"/>
        <v>1</v>
      </c>
      <c r="M476" s="96">
        <f t="shared" si="24"/>
        <v>0</v>
      </c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11.546569601562702</v>
      </c>
      <c r="H477">
        <v>1.2297107747635201E-4</v>
      </c>
      <c r="I477">
        <v>-0.6805284478798902</v>
      </c>
      <c r="J477">
        <v>-8.3685316489099558E-5</v>
      </c>
      <c r="K477" s="96">
        <f t="shared" si="22"/>
        <v>0</v>
      </c>
      <c r="L477" s="96">
        <f t="shared" si="23"/>
        <v>1</v>
      </c>
      <c r="M477" s="96">
        <f t="shared" si="24"/>
        <v>0</v>
      </c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20.322746802734716</v>
      </c>
      <c r="H478">
        <v>3.1019731255295997E-5</v>
      </c>
      <c r="I478">
        <v>-0.50792326628933626</v>
      </c>
      <c r="J478">
        <v>-1.5755643218607355E-5</v>
      </c>
      <c r="K478" s="96">
        <f t="shared" si="22"/>
        <v>0</v>
      </c>
      <c r="L478" s="96">
        <f t="shared" si="23"/>
        <v>1</v>
      </c>
      <c r="M478" s="96">
        <f t="shared" si="24"/>
        <v>0</v>
      </c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5.6957848007813592</v>
      </c>
      <c r="H479">
        <v>1.2297107747635201E-4</v>
      </c>
      <c r="I479">
        <v>-0.82707533535654776</v>
      </c>
      <c r="J479">
        <v>-1.0170634514290985E-4</v>
      </c>
      <c r="K479" s="96">
        <f t="shared" si="22"/>
        <v>0</v>
      </c>
      <c r="L479" s="96">
        <f t="shared" si="23"/>
        <v>1</v>
      </c>
      <c r="M479" s="96">
        <f t="shared" si="24"/>
        <v>0</v>
      </c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17.397354402344053</v>
      </c>
      <c r="H480">
        <v>1.2297107747635201E-4</v>
      </c>
      <c r="I480">
        <v>-0.55994774426946747</v>
      </c>
      <c r="J480">
        <v>-6.885737744326922E-5</v>
      </c>
      <c r="K480" s="96">
        <f t="shared" si="22"/>
        <v>0</v>
      </c>
      <c r="L480" s="96">
        <f t="shared" si="23"/>
        <v>1</v>
      </c>
      <c r="M480" s="96">
        <f t="shared" si="24"/>
        <v>0</v>
      </c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26.173531603516079</v>
      </c>
      <c r="H481">
        <v>3.1019731255295997E-5</v>
      </c>
      <c r="I481">
        <v>-0.41792593403955802</v>
      </c>
      <c r="J481">
        <v>-1.2963950158525651E-5</v>
      </c>
      <c r="K481" s="96">
        <f t="shared" si="22"/>
        <v>0</v>
      </c>
      <c r="L481" s="96">
        <f t="shared" si="23"/>
        <v>1</v>
      </c>
      <c r="M481" s="96">
        <f t="shared" si="24"/>
        <v>0</v>
      </c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2.7703924003906772</v>
      </c>
      <c r="H482">
        <v>1.2297107747635201E-4</v>
      </c>
      <c r="I482">
        <v>-0.91178923886900443</v>
      </c>
      <c r="J482">
        <v>-1.1212370513506438E-4</v>
      </c>
      <c r="K482" s="96">
        <f t="shared" si="22"/>
        <v>0</v>
      </c>
      <c r="L482" s="96">
        <f t="shared" si="23"/>
        <v>1</v>
      </c>
      <c r="M482" s="96">
        <f t="shared" si="24"/>
        <v>0</v>
      </c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14.471962001953376</v>
      </c>
      <c r="H483">
        <v>1.2297107747635201E-4</v>
      </c>
      <c r="I483">
        <v>-0.61730087421090407</v>
      </c>
      <c r="J483">
        <v>-7.5910153628808903E-5</v>
      </c>
      <c r="K483" s="96">
        <f t="shared" si="22"/>
        <v>0</v>
      </c>
      <c r="L483" s="96">
        <f t="shared" si="23"/>
        <v>1</v>
      </c>
      <c r="M483" s="96">
        <f t="shared" si="24"/>
        <v>0</v>
      </c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23.24813920312539</v>
      </c>
      <c r="H484">
        <v>3.1019731255295997E-5</v>
      </c>
      <c r="I484">
        <v>-0.46073235775707583</v>
      </c>
      <c r="J484">
        <v>-1.4291793918243382E-5</v>
      </c>
      <c r="K484" s="96">
        <f t="shared" si="22"/>
        <v>0</v>
      </c>
      <c r="L484" s="96">
        <f t="shared" si="23"/>
        <v>1</v>
      </c>
      <c r="M484" s="96">
        <f t="shared" si="24"/>
        <v>0</v>
      </c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-0.25</v>
      </c>
      <c r="H485">
        <v>3.1019731255296003E-5</v>
      </c>
      <c r="I485">
        <v>-1.008368152207447</v>
      </c>
      <c r="J485">
        <v>-3.1279309087874425E-5</v>
      </c>
      <c r="K485" s="96">
        <f t="shared" si="22"/>
        <v>0</v>
      </c>
      <c r="L485" s="96">
        <f t="shared" si="23"/>
        <v>1</v>
      </c>
      <c r="M485" s="96">
        <f t="shared" si="24"/>
        <v>0</v>
      </c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11.546569601562702</v>
      </c>
      <c r="H486">
        <v>3.1019731255296003E-5</v>
      </c>
      <c r="I486">
        <v>-0.6805284478798902</v>
      </c>
      <c r="J486">
        <v>-2.1109809564817907E-5</v>
      </c>
      <c r="K486" s="96">
        <f t="shared" si="22"/>
        <v>0</v>
      </c>
      <c r="L486" s="96">
        <f t="shared" si="23"/>
        <v>1</v>
      </c>
      <c r="M486" s="96">
        <f t="shared" si="24"/>
        <v>0</v>
      </c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20.322746802734716</v>
      </c>
      <c r="H487">
        <v>7.8247970734080004E-6</v>
      </c>
      <c r="I487">
        <v>-0.50792326628933626</v>
      </c>
      <c r="J487">
        <v>-3.9743964875766305E-6</v>
      </c>
      <c r="K487" s="96">
        <f t="shared" si="22"/>
        <v>0</v>
      </c>
      <c r="L487" s="96">
        <f t="shared" si="23"/>
        <v>1</v>
      </c>
      <c r="M487" s="96">
        <f t="shared" si="24"/>
        <v>0</v>
      </c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5.3009626685245079</v>
      </c>
      <c r="H488">
        <v>1.932559496921088E-3</v>
      </c>
      <c r="I488">
        <v>-0.83803219899417913</v>
      </c>
      <c r="J488">
        <v>-1.619547084891864E-3</v>
      </c>
      <c r="K488" s="96">
        <f t="shared" si="22"/>
        <v>1</v>
      </c>
      <c r="L488" s="96">
        <f t="shared" si="23"/>
        <v>0</v>
      </c>
      <c r="M488" s="96">
        <f t="shared" si="24"/>
        <v>0</v>
      </c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16.212888005573511</v>
      </c>
      <c r="H489">
        <v>1.932559496921088E-3</v>
      </c>
      <c r="I489">
        <v>-0.58249795738374133</v>
      </c>
      <c r="J489">
        <v>-1.1257119594790845E-3</v>
      </c>
      <c r="K489" s="96">
        <f t="shared" si="22"/>
        <v>1</v>
      </c>
      <c r="L489" s="96">
        <f t="shared" si="23"/>
        <v>0</v>
      </c>
      <c r="M489" s="96">
        <f t="shared" si="24"/>
        <v>0</v>
      </c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24.396832008360267</v>
      </c>
      <c r="H490">
        <v>4.8749248570982399E-4</v>
      </c>
      <c r="I490">
        <v>-0.4434244977232436</v>
      </c>
      <c r="J490">
        <v>-2.1616611061973421E-4</v>
      </c>
      <c r="K490" s="96">
        <f t="shared" si="22"/>
        <v>1</v>
      </c>
      <c r="L490" s="96">
        <f t="shared" si="23"/>
        <v>0</v>
      </c>
      <c r="M490" s="96">
        <f t="shared" si="24"/>
        <v>0</v>
      </c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2.5729813342622543</v>
      </c>
      <c r="H491">
        <v>1.932559496921088E-3</v>
      </c>
      <c r="I491">
        <v>-0.91780893257418295</v>
      </c>
      <c r="J491">
        <v>-1.7737203690052438E-3</v>
      </c>
      <c r="K491" s="96">
        <f t="shared" si="22"/>
        <v>1</v>
      </c>
      <c r="L491" s="96">
        <f t="shared" si="23"/>
        <v>0</v>
      </c>
      <c r="M491" s="96">
        <f t="shared" si="24"/>
        <v>0</v>
      </c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13.484906671311261</v>
      </c>
      <c r="H492">
        <v>1.932559496921088E-3</v>
      </c>
      <c r="I492">
        <v>-0.6379490300428502</v>
      </c>
      <c r="J492">
        <v>-1.2328744565609066E-3</v>
      </c>
      <c r="K492" s="96">
        <f t="shared" si="22"/>
        <v>1</v>
      </c>
      <c r="L492" s="96">
        <f t="shared" si="23"/>
        <v>0</v>
      </c>
      <c r="M492" s="96">
        <f t="shared" si="24"/>
        <v>0</v>
      </c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21.66885067409801</v>
      </c>
      <c r="H493">
        <v>4.8749248570982399E-4</v>
      </c>
      <c r="I493">
        <v>-0.48563642950840874</v>
      </c>
      <c r="J493">
        <v>-2.367441101722979E-4</v>
      </c>
      <c r="K493" s="96">
        <f t="shared" si="22"/>
        <v>1</v>
      </c>
      <c r="L493" s="96">
        <f t="shared" si="23"/>
        <v>0</v>
      </c>
      <c r="M493" s="96">
        <f t="shared" si="24"/>
        <v>0</v>
      </c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-0.25</v>
      </c>
      <c r="H494">
        <v>4.8749248570982405E-4</v>
      </c>
      <c r="I494">
        <v>-1.008368152207447</v>
      </c>
      <c r="J494">
        <v>-4.9157189703023059E-4</v>
      </c>
      <c r="K494" s="96">
        <f t="shared" si="22"/>
        <v>1</v>
      </c>
      <c r="L494" s="96">
        <f t="shared" si="23"/>
        <v>0</v>
      </c>
      <c r="M494" s="96">
        <f t="shared" si="24"/>
        <v>0</v>
      </c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10.756925337049005</v>
      </c>
      <c r="H495">
        <v>4.8749248570982405E-4</v>
      </c>
      <c r="I495">
        <v>-0.69867878466138822</v>
      </c>
      <c r="J495">
        <v>-3.4060065744729901E-4</v>
      </c>
      <c r="K495" s="96">
        <f t="shared" si="22"/>
        <v>1</v>
      </c>
      <c r="L495" s="96">
        <f t="shared" si="23"/>
        <v>0</v>
      </c>
      <c r="M495" s="96">
        <f t="shared" si="24"/>
        <v>0</v>
      </c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18.940869339835775</v>
      </c>
      <c r="H496">
        <v>1.2297107747635201E-4</v>
      </c>
      <c r="I496">
        <v>-0.53186673915538385</v>
      </c>
      <c r="J496">
        <v>-6.540422598777141E-5</v>
      </c>
      <c r="K496" s="96">
        <f t="shared" si="22"/>
        <v>1</v>
      </c>
      <c r="L496" s="96">
        <f t="shared" si="23"/>
        <v>0</v>
      </c>
      <c r="M496" s="96">
        <f t="shared" si="24"/>
        <v>0</v>
      </c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5.3009626685245079</v>
      </c>
      <c r="H497">
        <v>1.932559496921088E-3</v>
      </c>
      <c r="I497">
        <v>-0.83803219899417913</v>
      </c>
      <c r="J497">
        <v>-1.619547084891864E-3</v>
      </c>
      <c r="K497" s="96">
        <f t="shared" si="22"/>
        <v>1</v>
      </c>
      <c r="L497" s="96">
        <f t="shared" si="23"/>
        <v>0</v>
      </c>
      <c r="M497" s="96">
        <f t="shared" si="24"/>
        <v>0</v>
      </c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16.212888005573511</v>
      </c>
      <c r="H498">
        <v>1.932559496921088E-3</v>
      </c>
      <c r="I498">
        <v>-0.58249795738374133</v>
      </c>
      <c r="J498">
        <v>-1.1257119594790845E-3</v>
      </c>
      <c r="K498" s="96">
        <f t="shared" si="22"/>
        <v>1</v>
      </c>
      <c r="L498" s="96">
        <f t="shared" si="23"/>
        <v>0</v>
      </c>
      <c r="M498" s="96">
        <f t="shared" si="24"/>
        <v>0</v>
      </c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24.396832008360267</v>
      </c>
      <c r="H499">
        <v>4.8749248570982399E-4</v>
      </c>
      <c r="I499">
        <v>-0.4434244977232436</v>
      </c>
      <c r="J499">
        <v>-2.1616611061973421E-4</v>
      </c>
      <c r="K499" s="96">
        <f t="shared" si="22"/>
        <v>1</v>
      </c>
      <c r="L499" s="96">
        <f t="shared" si="23"/>
        <v>0</v>
      </c>
      <c r="M499" s="96">
        <f t="shared" si="24"/>
        <v>0</v>
      </c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2.5729813342622543</v>
      </c>
      <c r="H500">
        <v>1.932559496921088E-3</v>
      </c>
      <c r="I500">
        <v>-0.91780893257418295</v>
      </c>
      <c r="J500">
        <v>-1.7737203690052438E-3</v>
      </c>
      <c r="K500" s="96">
        <f t="shared" si="22"/>
        <v>1</v>
      </c>
      <c r="L500" s="96">
        <f t="shared" si="23"/>
        <v>0</v>
      </c>
      <c r="M500" s="96">
        <f t="shared" si="24"/>
        <v>0</v>
      </c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13.484906671311261</v>
      </c>
      <c r="H501">
        <v>1.932559496921088E-3</v>
      </c>
      <c r="I501">
        <v>-0.6379490300428502</v>
      </c>
      <c r="J501">
        <v>-1.2328744565609066E-3</v>
      </c>
      <c r="K501" s="96">
        <f t="shared" si="22"/>
        <v>1</v>
      </c>
      <c r="L501" s="96">
        <f t="shared" si="23"/>
        <v>0</v>
      </c>
      <c r="M501" s="96">
        <f t="shared" si="24"/>
        <v>0</v>
      </c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21.66885067409801</v>
      </c>
      <c r="H502">
        <v>4.8749248570982399E-4</v>
      </c>
      <c r="I502">
        <v>-0.48563642950840874</v>
      </c>
      <c r="J502">
        <v>-2.367441101722979E-4</v>
      </c>
      <c r="K502" s="96">
        <f t="shared" si="22"/>
        <v>1</v>
      </c>
      <c r="L502" s="96">
        <f t="shared" si="23"/>
        <v>0</v>
      </c>
      <c r="M502" s="96">
        <f t="shared" si="24"/>
        <v>0</v>
      </c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-0.25</v>
      </c>
      <c r="H503">
        <v>4.8749248570982405E-4</v>
      </c>
      <c r="I503">
        <v>-1.008368152207447</v>
      </c>
      <c r="J503">
        <v>-4.9157189703023059E-4</v>
      </c>
      <c r="K503" s="96">
        <f t="shared" si="22"/>
        <v>1</v>
      </c>
      <c r="L503" s="96">
        <f t="shared" si="23"/>
        <v>0</v>
      </c>
      <c r="M503" s="96">
        <f t="shared" si="24"/>
        <v>0</v>
      </c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10.756925337049005</v>
      </c>
      <c r="H504">
        <v>4.8749248570982405E-4</v>
      </c>
      <c r="I504">
        <v>-0.69867878466138822</v>
      </c>
      <c r="J504">
        <v>-3.4060065744729901E-4</v>
      </c>
      <c r="K504" s="96">
        <f t="shared" si="22"/>
        <v>1</v>
      </c>
      <c r="L504" s="96">
        <f t="shared" si="23"/>
        <v>0</v>
      </c>
      <c r="M504" s="96">
        <f t="shared" si="24"/>
        <v>0</v>
      </c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18.940869339835775</v>
      </c>
      <c r="H505">
        <v>1.2297107747635201E-4</v>
      </c>
      <c r="I505">
        <v>-0.53186673915538385</v>
      </c>
      <c r="J505">
        <v>-6.540422598777141E-5</v>
      </c>
      <c r="K505" s="96">
        <f t="shared" si="22"/>
        <v>1</v>
      </c>
      <c r="L505" s="96">
        <f t="shared" si="23"/>
        <v>0</v>
      </c>
      <c r="M505" s="96">
        <f t="shared" si="24"/>
        <v>0</v>
      </c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5.3009626685245079</v>
      </c>
      <c r="H506">
        <v>4.8749248570982405E-4</v>
      </c>
      <c r="I506">
        <v>-0.83803219899417913</v>
      </c>
      <c r="J506">
        <v>-4.0853439979254228E-4</v>
      </c>
      <c r="K506" s="96">
        <f t="shared" si="22"/>
        <v>1</v>
      </c>
      <c r="L506" s="96">
        <f t="shared" si="23"/>
        <v>0</v>
      </c>
      <c r="M506" s="96">
        <f t="shared" si="24"/>
        <v>0</v>
      </c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16.212888005573511</v>
      </c>
      <c r="H507">
        <v>4.8749248570982405E-4</v>
      </c>
      <c r="I507">
        <v>-0.58249795738374133</v>
      </c>
      <c r="J507">
        <v>-2.8396337716589523E-4</v>
      </c>
      <c r="K507" s="96">
        <f t="shared" si="22"/>
        <v>1</v>
      </c>
      <c r="L507" s="96">
        <f t="shared" si="23"/>
        <v>0</v>
      </c>
      <c r="M507" s="96">
        <f t="shared" si="24"/>
        <v>0</v>
      </c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24.396832008360267</v>
      </c>
      <c r="H508">
        <v>1.2297107747635201E-4</v>
      </c>
      <c r="I508">
        <v>-0.4434244977232436</v>
      </c>
      <c r="J508">
        <v>-5.4528388264437464E-5</v>
      </c>
      <c r="K508" s="96">
        <f t="shared" si="22"/>
        <v>1</v>
      </c>
      <c r="L508" s="96">
        <f t="shared" si="23"/>
        <v>0</v>
      </c>
      <c r="M508" s="96">
        <f t="shared" si="24"/>
        <v>0</v>
      </c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2.5729813342622543</v>
      </c>
      <c r="H509">
        <v>4.8749248570982405E-4</v>
      </c>
      <c r="I509">
        <v>-0.91780893257418295</v>
      </c>
      <c r="J509">
        <v>-4.4742495794726874E-4</v>
      </c>
      <c r="K509" s="96">
        <f t="shared" si="22"/>
        <v>1</v>
      </c>
      <c r="L509" s="96">
        <f t="shared" si="23"/>
        <v>0</v>
      </c>
      <c r="M509" s="96">
        <f t="shared" si="24"/>
        <v>0</v>
      </c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13.484906671311261</v>
      </c>
      <c r="H510">
        <v>4.8749248570982405E-4</v>
      </c>
      <c r="I510">
        <v>-0.6379490300428502</v>
      </c>
      <c r="J510">
        <v>-3.1099535841176029E-4</v>
      </c>
      <c r="K510" s="96">
        <f t="shared" si="22"/>
        <v>1</v>
      </c>
      <c r="L510" s="96">
        <f t="shared" si="23"/>
        <v>0</v>
      </c>
      <c r="M510" s="96">
        <f t="shared" si="24"/>
        <v>0</v>
      </c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21.66885067409801</v>
      </c>
      <c r="H511">
        <v>1.2297107747635201E-4</v>
      </c>
      <c r="I511">
        <v>-0.48563642950840874</v>
      </c>
      <c r="J511">
        <v>-5.971923499841749E-5</v>
      </c>
      <c r="K511" s="96">
        <f t="shared" si="22"/>
        <v>1</v>
      </c>
      <c r="L511" s="96">
        <f t="shared" si="23"/>
        <v>0</v>
      </c>
      <c r="M511" s="96">
        <f t="shared" si="24"/>
        <v>0</v>
      </c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-0.25</v>
      </c>
      <c r="H512">
        <v>1.2297107747635201E-4</v>
      </c>
      <c r="I512">
        <v>-1.008368152207447</v>
      </c>
      <c r="J512">
        <v>-1.2400011816978787E-4</v>
      </c>
      <c r="K512" s="96">
        <f t="shared" si="22"/>
        <v>1</v>
      </c>
      <c r="L512" s="96">
        <f t="shared" si="23"/>
        <v>0</v>
      </c>
      <c r="M512" s="96">
        <f t="shared" si="24"/>
        <v>0</v>
      </c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10.756925337049005</v>
      </c>
      <c r="H513">
        <v>1.2297107747635201E-4</v>
      </c>
      <c r="I513">
        <v>-0.69867878466138822</v>
      </c>
      <c r="J513">
        <v>-8.5917282959679028E-5</v>
      </c>
      <c r="K513" s="96">
        <f t="shared" si="22"/>
        <v>1</v>
      </c>
      <c r="L513" s="96">
        <f t="shared" si="23"/>
        <v>0</v>
      </c>
      <c r="M513" s="96">
        <f t="shared" si="24"/>
        <v>0</v>
      </c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18.940869339835775</v>
      </c>
      <c r="H514">
        <v>3.1019731255295997E-5</v>
      </c>
      <c r="I514">
        <v>-0.53186673915538385</v>
      </c>
      <c r="J514">
        <v>-1.6498363312230622E-5</v>
      </c>
      <c r="K514" s="96">
        <f t="shared" si="22"/>
        <v>1</v>
      </c>
      <c r="L514" s="96">
        <f t="shared" si="23"/>
        <v>0</v>
      </c>
      <c r="M514" s="96">
        <f t="shared" si="24"/>
        <v>0</v>
      </c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6.521900976645548</v>
      </c>
      <c r="H515">
        <v>1.932559496921088E-3</v>
      </c>
      <c r="I515">
        <v>-0.80461071754045144</v>
      </c>
      <c r="J515">
        <v>-1.5549580835072904E-3</v>
      </c>
      <c r="K515" s="96">
        <f t="shared" ref="K515:K578" si="25">IF(A515=3,1,0)</f>
        <v>1</v>
      </c>
      <c r="L515" s="96">
        <f t="shared" ref="L515:L578" si="26">IF(A515=2,1,0)</f>
        <v>0</v>
      </c>
      <c r="M515" s="96">
        <f t="shared" ref="M515:M578" si="27">IF(A515=1,1,0)</f>
        <v>0</v>
      </c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19.875702929936622</v>
      </c>
      <c r="H516">
        <v>1.932559496921088E-3</v>
      </c>
      <c r="I516">
        <v>-0.51554874000780382</v>
      </c>
      <c r="J516">
        <v>-9.9632861362778215E-4</v>
      </c>
      <c r="K516" s="96">
        <f t="shared" si="25"/>
        <v>1</v>
      </c>
      <c r="L516" s="96">
        <f t="shared" si="26"/>
        <v>0</v>
      </c>
      <c r="M516" s="96">
        <f t="shared" si="27"/>
        <v>0</v>
      </c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29.891054394904934</v>
      </c>
      <c r="H517">
        <v>4.8749248570982399E-4</v>
      </c>
      <c r="I517">
        <v>-0.36921783150698972</v>
      </c>
      <c r="J517">
        <v>-1.7999091844973338E-4</v>
      </c>
      <c r="K517" s="96">
        <f t="shared" si="25"/>
        <v>1</v>
      </c>
      <c r="L517" s="96">
        <f t="shared" si="26"/>
        <v>0</v>
      </c>
      <c r="M517" s="96">
        <f t="shared" si="27"/>
        <v>0</v>
      </c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3.1834504883227654</v>
      </c>
      <c r="H518">
        <v>1.932559496921088E-3</v>
      </c>
      <c r="I518">
        <v>-0.89932120554997874</v>
      </c>
      <c r="J518">
        <v>-1.7379917365681332E-3</v>
      </c>
      <c r="K518" s="96">
        <f t="shared" si="25"/>
        <v>1</v>
      </c>
      <c r="L518" s="96">
        <f t="shared" si="26"/>
        <v>0</v>
      </c>
      <c r="M518" s="96">
        <f t="shared" si="27"/>
        <v>0</v>
      </c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16.537252441613859</v>
      </c>
      <c r="H519">
        <v>1.932559496921088E-3</v>
      </c>
      <c r="I519">
        <v>-0.57623382870273654</v>
      </c>
      <c r="J519">
        <v>-1.113606158106673E-3</v>
      </c>
      <c r="K519" s="96">
        <f t="shared" si="25"/>
        <v>1</v>
      </c>
      <c r="L519" s="96">
        <f t="shared" si="26"/>
        <v>0</v>
      </c>
      <c r="M519" s="96">
        <f t="shared" si="27"/>
        <v>0</v>
      </c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26.552603906582174</v>
      </c>
      <c r="H520">
        <v>4.8749248570982399E-4</v>
      </c>
      <c r="I520">
        <v>-0.41267835252855833</v>
      </c>
      <c r="J520">
        <v>-2.0117759587278192E-4</v>
      </c>
      <c r="K520" s="96">
        <f t="shared" si="25"/>
        <v>1</v>
      </c>
      <c r="L520" s="96">
        <f t="shared" si="26"/>
        <v>0</v>
      </c>
      <c r="M520" s="96">
        <f t="shared" si="27"/>
        <v>0</v>
      </c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-0.25</v>
      </c>
      <c r="H521">
        <v>4.8749248570982405E-4</v>
      </c>
      <c r="I521">
        <v>-1.008368152207447</v>
      </c>
      <c r="J521">
        <v>-4.9157189703023059E-4</v>
      </c>
      <c r="K521" s="96">
        <f t="shared" si="25"/>
        <v>1</v>
      </c>
      <c r="L521" s="96">
        <f t="shared" si="26"/>
        <v>0</v>
      </c>
      <c r="M521" s="96">
        <f t="shared" si="27"/>
        <v>0</v>
      </c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13.198801953291078</v>
      </c>
      <c r="H522">
        <v>4.8749248570982405E-4</v>
      </c>
      <c r="I522">
        <v>-0.64406214112052484</v>
      </c>
      <c r="J522">
        <v>-3.1397545412643614E-4</v>
      </c>
      <c r="K522" s="96">
        <f t="shared" si="25"/>
        <v>1</v>
      </c>
      <c r="L522" s="96">
        <f t="shared" si="26"/>
        <v>0</v>
      </c>
      <c r="M522" s="96">
        <f t="shared" si="27"/>
        <v>0</v>
      </c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23.214153418259389</v>
      </c>
      <c r="H523">
        <v>1.2297107747635201E-4</v>
      </c>
      <c r="I523">
        <v>-0.46125459854032319</v>
      </c>
      <c r="J523">
        <v>-5.6720974973425723E-5</v>
      </c>
      <c r="K523" s="96">
        <f t="shared" si="25"/>
        <v>1</v>
      </c>
      <c r="L523" s="96">
        <f t="shared" si="26"/>
        <v>0</v>
      </c>
      <c r="M523" s="96">
        <f t="shared" si="27"/>
        <v>0</v>
      </c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6.521900976645548</v>
      </c>
      <c r="H524">
        <v>1.932559496921088E-3</v>
      </c>
      <c r="I524">
        <v>-0.80461071754045144</v>
      </c>
      <c r="J524">
        <v>-1.5549580835072904E-3</v>
      </c>
      <c r="K524" s="96">
        <f t="shared" si="25"/>
        <v>1</v>
      </c>
      <c r="L524" s="96">
        <f t="shared" si="26"/>
        <v>0</v>
      </c>
      <c r="M524" s="96">
        <f t="shared" si="27"/>
        <v>0</v>
      </c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19.875702929936622</v>
      </c>
      <c r="H525">
        <v>1.932559496921088E-3</v>
      </c>
      <c r="I525">
        <v>-0.51554874000780382</v>
      </c>
      <c r="J525">
        <v>-9.9632861362778215E-4</v>
      </c>
      <c r="K525" s="96">
        <f t="shared" si="25"/>
        <v>1</v>
      </c>
      <c r="L525" s="96">
        <f t="shared" si="26"/>
        <v>0</v>
      </c>
      <c r="M525" s="96">
        <f t="shared" si="27"/>
        <v>0</v>
      </c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29.891054394904934</v>
      </c>
      <c r="H526">
        <v>4.8749248570982399E-4</v>
      </c>
      <c r="I526">
        <v>-0.36921783150698972</v>
      </c>
      <c r="J526">
        <v>-1.7999091844973338E-4</v>
      </c>
      <c r="K526" s="96">
        <f t="shared" si="25"/>
        <v>1</v>
      </c>
      <c r="L526" s="96">
        <f t="shared" si="26"/>
        <v>0</v>
      </c>
      <c r="M526" s="96">
        <f t="shared" si="27"/>
        <v>0</v>
      </c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3.1834504883227654</v>
      </c>
      <c r="H527">
        <v>1.932559496921088E-3</v>
      </c>
      <c r="I527">
        <v>-0.89932120554997874</v>
      </c>
      <c r="J527">
        <v>-1.7379917365681332E-3</v>
      </c>
      <c r="K527" s="96">
        <f t="shared" si="25"/>
        <v>1</v>
      </c>
      <c r="L527" s="96">
        <f t="shared" si="26"/>
        <v>0</v>
      </c>
      <c r="M527" s="96">
        <f t="shared" si="27"/>
        <v>0</v>
      </c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16.537252441613859</v>
      </c>
      <c r="H528">
        <v>1.932559496921088E-3</v>
      </c>
      <c r="I528">
        <v>-0.57623382870273654</v>
      </c>
      <c r="J528">
        <v>-1.113606158106673E-3</v>
      </c>
      <c r="K528" s="96">
        <f t="shared" si="25"/>
        <v>1</v>
      </c>
      <c r="L528" s="96">
        <f t="shared" si="26"/>
        <v>0</v>
      </c>
      <c r="M528" s="96">
        <f t="shared" si="27"/>
        <v>0</v>
      </c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26.552603906582174</v>
      </c>
      <c r="H529">
        <v>4.8749248570982399E-4</v>
      </c>
      <c r="I529">
        <v>-0.41267835252855833</v>
      </c>
      <c r="J529">
        <v>-2.0117759587278192E-4</v>
      </c>
      <c r="K529" s="96">
        <f t="shared" si="25"/>
        <v>1</v>
      </c>
      <c r="L529" s="96">
        <f t="shared" si="26"/>
        <v>0</v>
      </c>
      <c r="M529" s="96">
        <f t="shared" si="27"/>
        <v>0</v>
      </c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-0.25</v>
      </c>
      <c r="H530">
        <v>4.8749248570982405E-4</v>
      </c>
      <c r="I530">
        <v>-1.008368152207447</v>
      </c>
      <c r="J530">
        <v>-4.9157189703023059E-4</v>
      </c>
      <c r="K530" s="96">
        <f t="shared" si="25"/>
        <v>1</v>
      </c>
      <c r="L530" s="96">
        <f t="shared" si="26"/>
        <v>0</v>
      </c>
      <c r="M530" s="96">
        <f t="shared" si="27"/>
        <v>0</v>
      </c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13.198801953291078</v>
      </c>
      <c r="H531">
        <v>4.8749248570982405E-4</v>
      </c>
      <c r="I531">
        <v>-0.64406214112052484</v>
      </c>
      <c r="J531">
        <v>-3.1397545412643614E-4</v>
      </c>
      <c r="K531" s="96">
        <f t="shared" si="25"/>
        <v>1</v>
      </c>
      <c r="L531" s="96">
        <f t="shared" si="26"/>
        <v>0</v>
      </c>
      <c r="M531" s="96">
        <f t="shared" si="27"/>
        <v>0</v>
      </c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23.214153418259389</v>
      </c>
      <c r="H532">
        <v>1.2297107747635201E-4</v>
      </c>
      <c r="I532">
        <v>-0.46125459854032319</v>
      </c>
      <c r="J532">
        <v>-5.6720974973425723E-5</v>
      </c>
      <c r="K532" s="96">
        <f t="shared" si="25"/>
        <v>1</v>
      </c>
      <c r="L532" s="96">
        <f t="shared" si="26"/>
        <v>0</v>
      </c>
      <c r="M532" s="96">
        <f t="shared" si="27"/>
        <v>0</v>
      </c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6.521900976645548</v>
      </c>
      <c r="H533">
        <v>4.8749248570982405E-4</v>
      </c>
      <c r="I533">
        <v>-0.80461071754045144</v>
      </c>
      <c r="J533">
        <v>-3.922416787225598E-4</v>
      </c>
      <c r="K533" s="96">
        <f t="shared" si="25"/>
        <v>1</v>
      </c>
      <c r="L533" s="96">
        <f t="shared" si="26"/>
        <v>0</v>
      </c>
      <c r="M533" s="96">
        <f t="shared" si="27"/>
        <v>0</v>
      </c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19.875702929936622</v>
      </c>
      <c r="H534">
        <v>4.8749248570982405E-4</v>
      </c>
      <c r="I534">
        <v>-0.51554874000780382</v>
      </c>
      <c r="J534">
        <v>-2.5132613677097211E-4</v>
      </c>
      <c r="K534" s="96">
        <f t="shared" si="25"/>
        <v>1</v>
      </c>
      <c r="L534" s="96">
        <f t="shared" si="26"/>
        <v>0</v>
      </c>
      <c r="M534" s="96">
        <f t="shared" si="27"/>
        <v>0</v>
      </c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29.891054394904934</v>
      </c>
      <c r="H535">
        <v>1.2297107747635201E-4</v>
      </c>
      <c r="I535">
        <v>-0.36921783150698972</v>
      </c>
      <c r="J535">
        <v>-4.5403114563896712E-5</v>
      </c>
      <c r="K535" s="96">
        <f t="shared" si="25"/>
        <v>1</v>
      </c>
      <c r="L535" s="96">
        <f t="shared" si="26"/>
        <v>0</v>
      </c>
      <c r="M535" s="96">
        <f t="shared" si="27"/>
        <v>0</v>
      </c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3.1834504883227654</v>
      </c>
      <c r="H536">
        <v>4.8749248570982405E-4</v>
      </c>
      <c r="I536">
        <v>-0.89932120554997874</v>
      </c>
      <c r="J536">
        <v>-4.3841232994511474E-4</v>
      </c>
      <c r="K536" s="96">
        <f t="shared" si="25"/>
        <v>1</v>
      </c>
      <c r="L536" s="96">
        <f t="shared" si="26"/>
        <v>0</v>
      </c>
      <c r="M536" s="96">
        <f t="shared" si="27"/>
        <v>0</v>
      </c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16.537252441613859</v>
      </c>
      <c r="H537">
        <v>4.8749248570982405E-4</v>
      </c>
      <c r="I537">
        <v>-0.57623382870273654</v>
      </c>
      <c r="J537">
        <v>-2.8090966150438597E-4</v>
      </c>
      <c r="K537" s="96">
        <f t="shared" si="25"/>
        <v>1</v>
      </c>
      <c r="L537" s="96">
        <f t="shared" si="26"/>
        <v>0</v>
      </c>
      <c r="M537" s="96">
        <f t="shared" si="27"/>
        <v>0</v>
      </c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26.552603906582174</v>
      </c>
      <c r="H538">
        <v>1.2297107747635201E-4</v>
      </c>
      <c r="I538">
        <v>-0.41267835252855833</v>
      </c>
      <c r="J538">
        <v>-5.0747501661602654E-5</v>
      </c>
      <c r="K538" s="96">
        <f t="shared" si="25"/>
        <v>1</v>
      </c>
      <c r="L538" s="96">
        <f t="shared" si="26"/>
        <v>0</v>
      </c>
      <c r="M538" s="96">
        <f t="shared" si="27"/>
        <v>0</v>
      </c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-0.25</v>
      </c>
      <c r="H539">
        <v>1.2297107747635201E-4</v>
      </c>
      <c r="I539">
        <v>-1.008368152207447</v>
      </c>
      <c r="J539">
        <v>-1.2400011816978787E-4</v>
      </c>
      <c r="K539" s="96">
        <f t="shared" si="25"/>
        <v>1</v>
      </c>
      <c r="L539" s="96">
        <f t="shared" si="26"/>
        <v>0</v>
      </c>
      <c r="M539" s="96">
        <f t="shared" si="27"/>
        <v>0</v>
      </c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13.198801953291078</v>
      </c>
      <c r="H540">
        <v>1.2297107747635201E-4</v>
      </c>
      <c r="I540">
        <v>-0.64406214112052484</v>
      </c>
      <c r="J540">
        <v>-7.9201015455317218E-5</v>
      </c>
      <c r="K540" s="96">
        <f t="shared" si="25"/>
        <v>1</v>
      </c>
      <c r="L540" s="96">
        <f t="shared" si="26"/>
        <v>0</v>
      </c>
      <c r="M540" s="96">
        <f t="shared" si="27"/>
        <v>0</v>
      </c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23.214153418259389</v>
      </c>
      <c r="H541">
        <v>3.1019731255295997E-5</v>
      </c>
      <c r="I541">
        <v>-0.46125459854032319</v>
      </c>
      <c r="J541">
        <v>-1.430799368699027E-5</v>
      </c>
      <c r="K541" s="96">
        <f t="shared" si="25"/>
        <v>1</v>
      </c>
      <c r="L541" s="96">
        <f t="shared" si="26"/>
        <v>0</v>
      </c>
      <c r="M541" s="96">
        <f t="shared" si="27"/>
        <v>0</v>
      </c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7.0675910207084023</v>
      </c>
      <c r="H542">
        <v>4.8749248570982405E-4</v>
      </c>
      <c r="I542">
        <v>-0.79010742057227334</v>
      </c>
      <c r="J542">
        <v>-3.851714304325549E-4</v>
      </c>
      <c r="K542" s="96">
        <f t="shared" si="25"/>
        <v>1</v>
      </c>
      <c r="L542" s="96">
        <f t="shared" si="26"/>
        <v>0</v>
      </c>
      <c r="M542" s="96">
        <f t="shared" si="27"/>
        <v>0</v>
      </c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21.512773062125213</v>
      </c>
      <c r="H543">
        <v>4.8749248570982405E-4</v>
      </c>
      <c r="I543">
        <v>-0.48816957906708702</v>
      </c>
      <c r="J543">
        <v>-2.3797900154733274E-4</v>
      </c>
      <c r="K543" s="96">
        <f t="shared" si="25"/>
        <v>1</v>
      </c>
      <c r="L543" s="96">
        <f t="shared" si="26"/>
        <v>0</v>
      </c>
      <c r="M543" s="96">
        <f t="shared" si="27"/>
        <v>0</v>
      </c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32.346659593187809</v>
      </c>
      <c r="H544">
        <v>1.2297107747635201E-4</v>
      </c>
      <c r="I544">
        <v>-0.34019986820000758</v>
      </c>
      <c r="J544">
        <v>-4.1834744349867875E-5</v>
      </c>
      <c r="K544" s="96">
        <f t="shared" si="25"/>
        <v>1</v>
      </c>
      <c r="L544" s="96">
        <f t="shared" si="26"/>
        <v>0</v>
      </c>
      <c r="M544" s="96">
        <f t="shared" si="27"/>
        <v>0</v>
      </c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3.4562955103542046</v>
      </c>
      <c r="H545">
        <v>4.8749248570982405E-4</v>
      </c>
      <c r="I545">
        <v>-0.89117911003913353</v>
      </c>
      <c r="J545">
        <v>-4.3444311956564603E-4</v>
      </c>
      <c r="K545" s="96">
        <f t="shared" si="25"/>
        <v>1</v>
      </c>
      <c r="L545" s="96">
        <f t="shared" si="26"/>
        <v>0</v>
      </c>
      <c r="M545" s="96">
        <f t="shared" si="27"/>
        <v>0</v>
      </c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17.901477551771016</v>
      </c>
      <c r="H546">
        <v>4.8749248570982405E-4</v>
      </c>
      <c r="I546">
        <v>-0.5506169410560422</v>
      </c>
      <c r="J546">
        <v>-2.6842162126934968E-4</v>
      </c>
      <c r="K546" s="96">
        <f t="shared" si="25"/>
        <v>1</v>
      </c>
      <c r="L546" s="96">
        <f t="shared" si="26"/>
        <v>0</v>
      </c>
      <c r="M546" s="96">
        <f t="shared" si="27"/>
        <v>0</v>
      </c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28.735364082833602</v>
      </c>
      <c r="H547">
        <v>1.2297107747635201E-4</v>
      </c>
      <c r="I547">
        <v>-0.38371872973718102</v>
      </c>
      <c r="J547">
        <v>-4.7186305643638266E-5</v>
      </c>
      <c r="K547" s="96">
        <f t="shared" si="25"/>
        <v>1</v>
      </c>
      <c r="L547" s="96">
        <f t="shared" si="26"/>
        <v>0</v>
      </c>
      <c r="M547" s="96">
        <f t="shared" si="27"/>
        <v>0</v>
      </c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-0.25</v>
      </c>
      <c r="H548">
        <v>1.2297107747635201E-4</v>
      </c>
      <c r="I548">
        <v>-1.008368152207447</v>
      </c>
      <c r="J548">
        <v>-1.2400011816978787E-4</v>
      </c>
      <c r="K548" s="96">
        <f t="shared" si="25"/>
        <v>1</v>
      </c>
      <c r="L548" s="96">
        <f t="shared" si="26"/>
        <v>0</v>
      </c>
      <c r="M548" s="96">
        <f t="shared" si="27"/>
        <v>0</v>
      </c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14.290182041416802</v>
      </c>
      <c r="H549">
        <v>1.2297107747635201E-4</v>
      </c>
      <c r="I549">
        <v>-0.62105266034254192</v>
      </c>
      <c r="J549">
        <v>-7.6371514811877255E-5</v>
      </c>
      <c r="K549" s="96">
        <f t="shared" si="25"/>
        <v>1</v>
      </c>
      <c r="L549" s="96">
        <f t="shared" si="26"/>
        <v>0</v>
      </c>
      <c r="M549" s="96">
        <f t="shared" si="27"/>
        <v>0</v>
      </c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25.124068572479384</v>
      </c>
      <c r="H550">
        <v>3.1019731255295997E-5</v>
      </c>
      <c r="I550">
        <v>-0.4328045872861761</v>
      </c>
      <c r="J550">
        <v>-1.342548198367648E-5</v>
      </c>
      <c r="K550" s="96">
        <f t="shared" si="25"/>
        <v>1</v>
      </c>
      <c r="L550" s="96">
        <f t="shared" si="26"/>
        <v>0</v>
      </c>
      <c r="M550" s="96">
        <f t="shared" si="27"/>
        <v>0</v>
      </c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7.0675910207084023</v>
      </c>
      <c r="H551">
        <v>4.8749248570982405E-4</v>
      </c>
      <c r="I551">
        <v>-0.79010742057227334</v>
      </c>
      <c r="J551">
        <v>-3.851714304325549E-4</v>
      </c>
      <c r="K551" s="96">
        <f t="shared" si="25"/>
        <v>1</v>
      </c>
      <c r="L551" s="96">
        <f t="shared" si="26"/>
        <v>0</v>
      </c>
      <c r="M551" s="96">
        <f t="shared" si="27"/>
        <v>0</v>
      </c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21.512773062125213</v>
      </c>
      <c r="H552">
        <v>4.8749248570982405E-4</v>
      </c>
      <c r="I552">
        <v>-0.48816957906708702</v>
      </c>
      <c r="J552">
        <v>-2.3797900154733274E-4</v>
      </c>
      <c r="K552" s="96">
        <f t="shared" si="25"/>
        <v>1</v>
      </c>
      <c r="L552" s="96">
        <f t="shared" si="26"/>
        <v>0</v>
      </c>
      <c r="M552" s="96">
        <f t="shared" si="27"/>
        <v>0</v>
      </c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32.346659593187809</v>
      </c>
      <c r="H553">
        <v>1.2297107747635201E-4</v>
      </c>
      <c r="I553">
        <v>-0.34019986820000758</v>
      </c>
      <c r="J553">
        <v>-4.1834744349867875E-5</v>
      </c>
      <c r="K553" s="96">
        <f t="shared" si="25"/>
        <v>1</v>
      </c>
      <c r="L553" s="96">
        <f t="shared" si="26"/>
        <v>0</v>
      </c>
      <c r="M553" s="96">
        <f t="shared" si="27"/>
        <v>0</v>
      </c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3.4562955103542046</v>
      </c>
      <c r="H554">
        <v>4.8749248570982405E-4</v>
      </c>
      <c r="I554">
        <v>-0.89117911003913353</v>
      </c>
      <c r="J554">
        <v>-4.3444311956564603E-4</v>
      </c>
      <c r="K554" s="96">
        <f t="shared" si="25"/>
        <v>1</v>
      </c>
      <c r="L554" s="96">
        <f t="shared" si="26"/>
        <v>0</v>
      </c>
      <c r="M554" s="96">
        <f t="shared" si="27"/>
        <v>0</v>
      </c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17.901477551771016</v>
      </c>
      <c r="H555">
        <v>4.8749248570982405E-4</v>
      </c>
      <c r="I555">
        <v>-0.5506169410560422</v>
      </c>
      <c r="J555">
        <v>-2.6842162126934968E-4</v>
      </c>
      <c r="K555" s="96">
        <f t="shared" si="25"/>
        <v>1</v>
      </c>
      <c r="L555" s="96">
        <f t="shared" si="26"/>
        <v>0</v>
      </c>
      <c r="M555" s="96">
        <f t="shared" si="27"/>
        <v>0</v>
      </c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28.735364082833602</v>
      </c>
      <c r="H556">
        <v>1.2297107747635201E-4</v>
      </c>
      <c r="I556">
        <v>-0.38371872973718102</v>
      </c>
      <c r="J556">
        <v>-4.7186305643638266E-5</v>
      </c>
      <c r="K556" s="96">
        <f t="shared" si="25"/>
        <v>1</v>
      </c>
      <c r="L556" s="96">
        <f t="shared" si="26"/>
        <v>0</v>
      </c>
      <c r="M556" s="96">
        <f t="shared" si="27"/>
        <v>0</v>
      </c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-0.25</v>
      </c>
      <c r="H557">
        <v>1.2297107747635201E-4</v>
      </c>
      <c r="I557">
        <v>-1.008368152207447</v>
      </c>
      <c r="J557">
        <v>-1.2400011816978787E-4</v>
      </c>
      <c r="K557" s="96">
        <f t="shared" si="25"/>
        <v>1</v>
      </c>
      <c r="L557" s="96">
        <f t="shared" si="26"/>
        <v>0</v>
      </c>
      <c r="M557" s="96">
        <f t="shared" si="27"/>
        <v>0</v>
      </c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14.290182041416802</v>
      </c>
      <c r="H558">
        <v>1.2297107747635201E-4</v>
      </c>
      <c r="I558">
        <v>-0.62105266034254192</v>
      </c>
      <c r="J558">
        <v>-7.6371514811877255E-5</v>
      </c>
      <c r="K558" s="96">
        <f t="shared" si="25"/>
        <v>1</v>
      </c>
      <c r="L558" s="96">
        <f t="shared" si="26"/>
        <v>0</v>
      </c>
      <c r="M558" s="96">
        <f t="shared" si="27"/>
        <v>0</v>
      </c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25.124068572479384</v>
      </c>
      <c r="H559">
        <v>3.1019731255295997E-5</v>
      </c>
      <c r="I559">
        <v>-0.4328045872861761</v>
      </c>
      <c r="J559">
        <v>-1.342548198367648E-5</v>
      </c>
      <c r="K559" s="96">
        <f t="shared" si="25"/>
        <v>1</v>
      </c>
      <c r="L559" s="96">
        <f t="shared" si="26"/>
        <v>0</v>
      </c>
      <c r="M559" s="96">
        <f t="shared" si="27"/>
        <v>0</v>
      </c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7.0675910207084023</v>
      </c>
      <c r="H560">
        <v>1.2297107747635201E-4</v>
      </c>
      <c r="I560">
        <v>-0.79010742057227334</v>
      </c>
      <c r="J560">
        <v>-9.7160360829833662E-5</v>
      </c>
      <c r="K560" s="96">
        <f t="shared" si="25"/>
        <v>1</v>
      </c>
      <c r="L560" s="96">
        <f t="shared" si="26"/>
        <v>0</v>
      </c>
      <c r="M560" s="96">
        <f t="shared" si="27"/>
        <v>0</v>
      </c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21.512773062125213</v>
      </c>
      <c r="H561">
        <v>1.2297107747635201E-4</v>
      </c>
      <c r="I561">
        <v>-0.48816957906708702</v>
      </c>
      <c r="J561">
        <v>-6.0030739129056902E-5</v>
      </c>
      <c r="K561" s="96">
        <f t="shared" si="25"/>
        <v>1</v>
      </c>
      <c r="L561" s="96">
        <f t="shared" si="26"/>
        <v>0</v>
      </c>
      <c r="M561" s="96">
        <f t="shared" si="27"/>
        <v>0</v>
      </c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32.346659593187809</v>
      </c>
      <c r="H562">
        <v>3.1019731255295997E-5</v>
      </c>
      <c r="I562">
        <v>-0.34019986820000758</v>
      </c>
      <c r="J562">
        <v>-1.0552908484651353E-5</v>
      </c>
      <c r="K562" s="96">
        <f t="shared" si="25"/>
        <v>1</v>
      </c>
      <c r="L562" s="96">
        <f t="shared" si="26"/>
        <v>0</v>
      </c>
      <c r="M562" s="96">
        <f t="shared" si="27"/>
        <v>0</v>
      </c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3.4562955103542046</v>
      </c>
      <c r="H563">
        <v>1.2297107747635201E-4</v>
      </c>
      <c r="I563">
        <v>-0.89117911003913353</v>
      </c>
      <c r="J563">
        <v>-1.0958925538592872E-4</v>
      </c>
      <c r="K563" s="96">
        <f t="shared" si="25"/>
        <v>1</v>
      </c>
      <c r="L563" s="96">
        <f t="shared" si="26"/>
        <v>0</v>
      </c>
      <c r="M563" s="96">
        <f t="shared" si="27"/>
        <v>0</v>
      </c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17.901477551771016</v>
      </c>
      <c r="H564">
        <v>1.2297107747635201E-4</v>
      </c>
      <c r="I564">
        <v>-0.5506169410560422</v>
      </c>
      <c r="J564">
        <v>-6.770995851839451E-5</v>
      </c>
      <c r="K564" s="96">
        <f t="shared" si="25"/>
        <v>1</v>
      </c>
      <c r="L564" s="96">
        <f t="shared" si="26"/>
        <v>0</v>
      </c>
      <c r="M564" s="96">
        <f t="shared" si="27"/>
        <v>0</v>
      </c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28.735364082833602</v>
      </c>
      <c r="H565">
        <v>3.1019731255295997E-5</v>
      </c>
      <c r="I565">
        <v>-0.38371872973718102</v>
      </c>
      <c r="J565">
        <v>-1.1902851874070912E-5</v>
      </c>
      <c r="K565" s="96">
        <f t="shared" si="25"/>
        <v>1</v>
      </c>
      <c r="L565" s="96">
        <f t="shared" si="26"/>
        <v>0</v>
      </c>
      <c r="M565" s="96">
        <f t="shared" si="27"/>
        <v>0</v>
      </c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-0.25</v>
      </c>
      <c r="H566">
        <v>3.1019731255296003E-5</v>
      </c>
      <c r="I566">
        <v>-1.008368152207447</v>
      </c>
      <c r="J566">
        <v>-3.1279309087874425E-5</v>
      </c>
      <c r="K566" s="96">
        <f t="shared" si="25"/>
        <v>1</v>
      </c>
      <c r="L566" s="96">
        <f t="shared" si="26"/>
        <v>0</v>
      </c>
      <c r="M566" s="96">
        <f t="shared" si="27"/>
        <v>0</v>
      </c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14.290182041416802</v>
      </c>
      <c r="H567">
        <v>3.1019731255296003E-5</v>
      </c>
      <c r="I567">
        <v>-0.62105266034254192</v>
      </c>
      <c r="J567">
        <v>-1.926488661921228E-5</v>
      </c>
      <c r="K567" s="96">
        <f t="shared" si="25"/>
        <v>1</v>
      </c>
      <c r="L567" s="96">
        <f t="shared" si="26"/>
        <v>0</v>
      </c>
      <c r="M567" s="96">
        <f t="shared" si="27"/>
        <v>0</v>
      </c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25.124068572479384</v>
      </c>
      <c r="H568">
        <v>7.8247970734080004E-6</v>
      </c>
      <c r="I568">
        <v>-0.4328045872861761</v>
      </c>
      <c r="J568">
        <v>-3.3866080679544283E-6</v>
      </c>
      <c r="K568" s="96">
        <f t="shared" si="25"/>
        <v>1</v>
      </c>
      <c r="L568" s="96">
        <f t="shared" si="26"/>
        <v>0</v>
      </c>
      <c r="M568" s="96">
        <f t="shared" si="27"/>
        <v>0</v>
      </c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7.3684047256360969</v>
      </c>
      <c r="H569">
        <v>1.932559496921088E-3</v>
      </c>
      <c r="I569">
        <v>-0.78222450342939209</v>
      </c>
      <c r="J569">
        <v>-1.5116953928268539E-3</v>
      </c>
      <c r="K569" s="96">
        <f t="shared" si="25"/>
        <v>1</v>
      </c>
      <c r="L569" s="96">
        <f t="shared" si="26"/>
        <v>0</v>
      </c>
      <c r="M569" s="96">
        <f t="shared" si="27"/>
        <v>0</v>
      </c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22.415214176908233</v>
      </c>
      <c r="H570">
        <v>1.932559496921088E-3</v>
      </c>
      <c r="I570">
        <v>-0.47370344056925023</v>
      </c>
      <c r="J570">
        <v>-9.1546008279629867E-4</v>
      </c>
      <c r="K570" s="96">
        <f t="shared" si="25"/>
        <v>1</v>
      </c>
      <c r="L570" s="96">
        <f t="shared" si="26"/>
        <v>0</v>
      </c>
      <c r="M570" s="96">
        <f t="shared" si="27"/>
        <v>0</v>
      </c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33.700321265362341</v>
      </c>
      <c r="H571">
        <v>4.8749248570982399E-4</v>
      </c>
      <c r="I571">
        <v>-0.32519052352706745</v>
      </c>
      <c r="J571">
        <v>-1.5852793664348911E-4</v>
      </c>
      <c r="K571" s="96">
        <f t="shared" si="25"/>
        <v>1</v>
      </c>
      <c r="L571" s="96">
        <f t="shared" si="26"/>
        <v>0</v>
      </c>
      <c r="M571" s="96">
        <f t="shared" si="27"/>
        <v>0</v>
      </c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3.6067023628180488</v>
      </c>
      <c r="H572">
        <v>1.932559496921088E-3</v>
      </c>
      <c r="I572">
        <v>-0.8867223100980024</v>
      </c>
      <c r="J572">
        <v>-1.7136436215117005E-3</v>
      </c>
      <c r="K572" s="96">
        <f t="shared" si="25"/>
        <v>1</v>
      </c>
      <c r="L572" s="96">
        <f t="shared" si="26"/>
        <v>0</v>
      </c>
      <c r="M572" s="96">
        <f t="shared" si="27"/>
        <v>0</v>
      </c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18.653511814090194</v>
      </c>
      <c r="H573">
        <v>1.932559496921088E-3</v>
      </c>
      <c r="I573">
        <v>-0.53698574677909283</v>
      </c>
      <c r="J573">
        <v>-1.0377569046491984E-3</v>
      </c>
      <c r="K573" s="96">
        <f t="shared" si="25"/>
        <v>1</v>
      </c>
      <c r="L573" s="96">
        <f t="shared" si="26"/>
        <v>0</v>
      </c>
      <c r="M573" s="96">
        <f t="shared" si="27"/>
        <v>0</v>
      </c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29.938618902544288</v>
      </c>
      <c r="H574">
        <v>4.8749248570982399E-4</v>
      </c>
      <c r="I574">
        <v>-0.3686329065117665</v>
      </c>
      <c r="J574">
        <v>-1.7970577190985822E-4</v>
      </c>
      <c r="K574" s="96">
        <f t="shared" si="25"/>
        <v>1</v>
      </c>
      <c r="L574" s="96">
        <f t="shared" si="26"/>
        <v>0</v>
      </c>
      <c r="M574" s="96">
        <f t="shared" si="27"/>
        <v>0</v>
      </c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-0.25</v>
      </c>
      <c r="H575">
        <v>4.8749248570982405E-4</v>
      </c>
      <c r="I575">
        <v>-1.008368152207447</v>
      </c>
      <c r="J575">
        <v>-4.9157189703023059E-4</v>
      </c>
      <c r="K575" s="96">
        <f t="shared" si="25"/>
        <v>1</v>
      </c>
      <c r="L575" s="96">
        <f t="shared" si="26"/>
        <v>0</v>
      </c>
      <c r="M575" s="96">
        <f t="shared" si="27"/>
        <v>0</v>
      </c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14.891809451272147</v>
      </c>
      <c r="H576">
        <v>4.8749248570982405E-4</v>
      </c>
      <c r="I576">
        <v>-0.608721971487868</v>
      </c>
      <c r="J576">
        <v>-2.9674738698680543E-4</v>
      </c>
      <c r="K576" s="96">
        <f t="shared" si="25"/>
        <v>1</v>
      </c>
      <c r="L576" s="96">
        <f t="shared" si="26"/>
        <v>0</v>
      </c>
      <c r="M576" s="96">
        <f t="shared" si="27"/>
        <v>0</v>
      </c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26.176916539726246</v>
      </c>
      <c r="H577">
        <v>1.2297107747635201E-4</v>
      </c>
      <c r="I577">
        <v>-0.41787878161216407</v>
      </c>
      <c r="J577">
        <v>-5.1387004029353011E-5</v>
      </c>
      <c r="K577" s="96">
        <f t="shared" si="25"/>
        <v>1</v>
      </c>
      <c r="L577" s="96">
        <f t="shared" si="26"/>
        <v>0</v>
      </c>
      <c r="M577" s="96">
        <f t="shared" si="27"/>
        <v>0</v>
      </c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7.3684047256360969</v>
      </c>
      <c r="H578">
        <v>1.932559496921088E-3</v>
      </c>
      <c r="I578">
        <v>-0.78222450342939209</v>
      </c>
      <c r="J578">
        <v>-1.5116953928268539E-3</v>
      </c>
      <c r="K578" s="96">
        <f t="shared" si="25"/>
        <v>1</v>
      </c>
      <c r="L578" s="96">
        <f t="shared" si="26"/>
        <v>0</v>
      </c>
      <c r="M578" s="96">
        <f t="shared" si="27"/>
        <v>0</v>
      </c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22.415214176908233</v>
      </c>
      <c r="H579">
        <v>1.932559496921088E-3</v>
      </c>
      <c r="I579">
        <v>-0.47370344056925023</v>
      </c>
      <c r="J579">
        <v>-9.1546008279629867E-4</v>
      </c>
      <c r="K579" s="96">
        <f t="shared" ref="K579:K642" si="28">IF(A579=3,1,0)</f>
        <v>1</v>
      </c>
      <c r="L579" s="96">
        <f t="shared" ref="L579:L642" si="29">IF(A579=2,1,0)</f>
        <v>0</v>
      </c>
      <c r="M579" s="96">
        <f t="shared" ref="M579:M642" si="30">IF(A579=1,1,0)</f>
        <v>0</v>
      </c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33.700321265362341</v>
      </c>
      <c r="H580">
        <v>4.8749248570982399E-4</v>
      </c>
      <c r="I580">
        <v>-0.32519052352706745</v>
      </c>
      <c r="J580">
        <v>-1.5852793664348911E-4</v>
      </c>
      <c r="K580" s="96">
        <f t="shared" si="28"/>
        <v>1</v>
      </c>
      <c r="L580" s="96">
        <f t="shared" si="29"/>
        <v>0</v>
      </c>
      <c r="M580" s="96">
        <f t="shared" si="30"/>
        <v>0</v>
      </c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3.6067023628180488</v>
      </c>
      <c r="H581">
        <v>1.932559496921088E-3</v>
      </c>
      <c r="I581">
        <v>-0.8867223100980024</v>
      </c>
      <c r="J581">
        <v>-1.7136436215117005E-3</v>
      </c>
      <c r="K581" s="96">
        <f t="shared" si="28"/>
        <v>1</v>
      </c>
      <c r="L581" s="96">
        <f t="shared" si="29"/>
        <v>0</v>
      </c>
      <c r="M581" s="96">
        <f t="shared" si="30"/>
        <v>0</v>
      </c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18.653511814090194</v>
      </c>
      <c r="H582">
        <v>1.932559496921088E-3</v>
      </c>
      <c r="I582">
        <v>-0.53698574677909283</v>
      </c>
      <c r="J582">
        <v>-1.0377569046491984E-3</v>
      </c>
      <c r="K582" s="96">
        <f t="shared" si="28"/>
        <v>1</v>
      </c>
      <c r="L582" s="96">
        <f t="shared" si="29"/>
        <v>0</v>
      </c>
      <c r="M582" s="96">
        <f t="shared" si="30"/>
        <v>0</v>
      </c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29.938618902544288</v>
      </c>
      <c r="H583">
        <v>4.8749248570982399E-4</v>
      </c>
      <c r="I583">
        <v>-0.3686329065117665</v>
      </c>
      <c r="J583">
        <v>-1.7970577190985822E-4</v>
      </c>
      <c r="K583" s="96">
        <f t="shared" si="28"/>
        <v>1</v>
      </c>
      <c r="L583" s="96">
        <f t="shared" si="29"/>
        <v>0</v>
      </c>
      <c r="M583" s="96">
        <f t="shared" si="30"/>
        <v>0</v>
      </c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-0.25</v>
      </c>
      <c r="H584">
        <v>4.8749248570982405E-4</v>
      </c>
      <c r="I584">
        <v>-1.008368152207447</v>
      </c>
      <c r="J584">
        <v>-4.9157189703023059E-4</v>
      </c>
      <c r="K584" s="96">
        <f t="shared" si="28"/>
        <v>1</v>
      </c>
      <c r="L584" s="96">
        <f t="shared" si="29"/>
        <v>0</v>
      </c>
      <c r="M584" s="96">
        <f t="shared" si="30"/>
        <v>0</v>
      </c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14.891809451272147</v>
      </c>
      <c r="H585">
        <v>4.8749248570982405E-4</v>
      </c>
      <c r="I585">
        <v>-0.608721971487868</v>
      </c>
      <c r="J585">
        <v>-2.9674738698680543E-4</v>
      </c>
      <c r="K585" s="96">
        <f t="shared" si="28"/>
        <v>1</v>
      </c>
      <c r="L585" s="96">
        <f t="shared" si="29"/>
        <v>0</v>
      </c>
      <c r="M585" s="96">
        <f t="shared" si="30"/>
        <v>0</v>
      </c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26.176916539726246</v>
      </c>
      <c r="H586">
        <v>1.2297107747635201E-4</v>
      </c>
      <c r="I586">
        <v>-0.41787878161216407</v>
      </c>
      <c r="J586">
        <v>-5.1387004029353011E-5</v>
      </c>
      <c r="K586" s="96">
        <f t="shared" si="28"/>
        <v>1</v>
      </c>
      <c r="L586" s="96">
        <f t="shared" si="29"/>
        <v>0</v>
      </c>
      <c r="M586" s="96">
        <f t="shared" si="30"/>
        <v>0</v>
      </c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7.3684047256360969</v>
      </c>
      <c r="H587">
        <v>4.8749248570982405E-4</v>
      </c>
      <c r="I587">
        <v>-0.78222450342939209</v>
      </c>
      <c r="J587">
        <v>-3.8132856755992712E-4</v>
      </c>
      <c r="K587" s="96">
        <f t="shared" si="28"/>
        <v>1</v>
      </c>
      <c r="L587" s="96">
        <f t="shared" si="29"/>
        <v>0</v>
      </c>
      <c r="M587" s="96">
        <f t="shared" si="30"/>
        <v>0</v>
      </c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22.415214176908233</v>
      </c>
      <c r="H588">
        <v>4.8749248570982405E-4</v>
      </c>
      <c r="I588">
        <v>-0.47370344056925023</v>
      </c>
      <c r="J588">
        <v>-2.3092686773239969E-4</v>
      </c>
      <c r="K588" s="96">
        <f t="shared" si="28"/>
        <v>1</v>
      </c>
      <c r="L588" s="96">
        <f t="shared" si="29"/>
        <v>0</v>
      </c>
      <c r="M588" s="96">
        <f t="shared" si="30"/>
        <v>0</v>
      </c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33.700321265362341</v>
      </c>
      <c r="H589">
        <v>1.2297107747635201E-4</v>
      </c>
      <c r="I589">
        <v>-0.32519052352706745</v>
      </c>
      <c r="J589">
        <v>-3.9989029063222484E-5</v>
      </c>
      <c r="K589" s="96">
        <f t="shared" si="28"/>
        <v>1</v>
      </c>
      <c r="L589" s="96">
        <f t="shared" si="29"/>
        <v>0</v>
      </c>
      <c r="M589" s="96">
        <f t="shared" si="30"/>
        <v>0</v>
      </c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3.6067023628180488</v>
      </c>
      <c r="H590">
        <v>4.8749248570982405E-4</v>
      </c>
      <c r="I590">
        <v>-0.8867223100980024</v>
      </c>
      <c r="J590">
        <v>-4.3227046308403261E-4</v>
      </c>
      <c r="K590" s="96">
        <f t="shared" si="28"/>
        <v>1</v>
      </c>
      <c r="L590" s="96">
        <f t="shared" si="29"/>
        <v>0</v>
      </c>
      <c r="M590" s="96">
        <f t="shared" si="30"/>
        <v>0</v>
      </c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18.653511814090194</v>
      </c>
      <c r="H591">
        <v>4.8749248570982405E-4</v>
      </c>
      <c r="I591">
        <v>-0.53698574677909283</v>
      </c>
      <c r="J591">
        <v>-2.617765164880861E-4</v>
      </c>
      <c r="K591" s="96">
        <f t="shared" si="28"/>
        <v>1</v>
      </c>
      <c r="L591" s="96">
        <f t="shared" si="29"/>
        <v>0</v>
      </c>
      <c r="M591" s="96">
        <f t="shared" si="30"/>
        <v>0</v>
      </c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29.938618902544288</v>
      </c>
      <c r="H592">
        <v>1.2297107747635201E-4</v>
      </c>
      <c r="I592">
        <v>-0.3686329065117665</v>
      </c>
      <c r="J592">
        <v>-4.5331185706991265E-5</v>
      </c>
      <c r="K592" s="96">
        <f t="shared" si="28"/>
        <v>1</v>
      </c>
      <c r="L592" s="96">
        <f t="shared" si="29"/>
        <v>0</v>
      </c>
      <c r="M592" s="96">
        <f t="shared" si="30"/>
        <v>0</v>
      </c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-0.25</v>
      </c>
      <c r="H593">
        <v>1.2297107747635201E-4</v>
      </c>
      <c r="I593">
        <v>-1.008368152207447</v>
      </c>
      <c r="J593">
        <v>-1.2400011816978787E-4</v>
      </c>
      <c r="K593" s="96">
        <f t="shared" si="28"/>
        <v>1</v>
      </c>
      <c r="L593" s="96">
        <f t="shared" si="29"/>
        <v>0</v>
      </c>
      <c r="M593" s="96">
        <f t="shared" si="30"/>
        <v>0</v>
      </c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14.891809451272147</v>
      </c>
      <c r="H594">
        <v>1.2297107747635201E-4</v>
      </c>
      <c r="I594">
        <v>-0.608721971487868</v>
      </c>
      <c r="J594">
        <v>-7.4855196717392349E-5</v>
      </c>
      <c r="K594" s="96">
        <f t="shared" si="28"/>
        <v>1</v>
      </c>
      <c r="L594" s="96">
        <f t="shared" si="29"/>
        <v>0</v>
      </c>
      <c r="M594" s="96">
        <f t="shared" si="30"/>
        <v>0</v>
      </c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26.176916539726246</v>
      </c>
      <c r="H595">
        <v>3.1019731255295997E-5</v>
      </c>
      <c r="I595">
        <v>-0.41787878161216407</v>
      </c>
      <c r="J595">
        <v>-1.2962487502899855E-5</v>
      </c>
      <c r="K595" s="96">
        <f t="shared" si="28"/>
        <v>1</v>
      </c>
      <c r="L595" s="96">
        <f t="shared" si="29"/>
        <v>0</v>
      </c>
      <c r="M595" s="96">
        <f t="shared" si="30"/>
        <v>0</v>
      </c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7.6741753544941282</v>
      </c>
      <c r="H596">
        <v>1.932559496921088E-3</v>
      </c>
      <c r="I596">
        <v>-0.7742922868022426</v>
      </c>
      <c r="J596">
        <v>-1.4963659122524207E-3</v>
      </c>
      <c r="K596" s="96">
        <f t="shared" si="28"/>
        <v>1</v>
      </c>
      <c r="L596" s="96">
        <f t="shared" si="29"/>
        <v>0</v>
      </c>
      <c r="M596" s="96">
        <f t="shared" si="30"/>
        <v>0</v>
      </c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23.332526063482323</v>
      </c>
      <c r="H597">
        <v>1.932559496921088E-3</v>
      </c>
      <c r="I597">
        <v>-0.45943818688947918</v>
      </c>
      <c r="J597">
        <v>-8.8789163132146865E-4</v>
      </c>
      <c r="K597" s="96">
        <f t="shared" si="28"/>
        <v>1</v>
      </c>
      <c r="L597" s="96">
        <f t="shared" si="29"/>
        <v>0</v>
      </c>
      <c r="M597" s="96">
        <f t="shared" si="30"/>
        <v>0</v>
      </c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35.076289095223459</v>
      </c>
      <c r="H598">
        <v>4.8749248570982399E-4</v>
      </c>
      <c r="I598">
        <v>-0.31061234092984941</v>
      </c>
      <c r="J598">
        <v>-1.5142118217203958E-4</v>
      </c>
      <c r="K598" s="96">
        <f t="shared" si="28"/>
        <v>1</v>
      </c>
      <c r="L598" s="96">
        <f t="shared" si="29"/>
        <v>0</v>
      </c>
      <c r="M598" s="96">
        <f t="shared" si="30"/>
        <v>0</v>
      </c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3.7595876772470644</v>
      </c>
      <c r="H599">
        <v>1.932559496921088E-3</v>
      </c>
      <c r="I599">
        <v>-0.88221491113192896</v>
      </c>
      <c r="J599">
        <v>-1.704932804833403E-3</v>
      </c>
      <c r="K599" s="96">
        <f t="shared" si="28"/>
        <v>1</v>
      </c>
      <c r="L599" s="96">
        <f t="shared" si="29"/>
        <v>0</v>
      </c>
      <c r="M599" s="96">
        <f t="shared" si="30"/>
        <v>0</v>
      </c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19.41793838623526</v>
      </c>
      <c r="H600">
        <v>1.932559496921088E-3</v>
      </c>
      <c r="I600">
        <v>-0.52347572890240823</v>
      </c>
      <c r="J600">
        <v>-1.0116479912980379E-3</v>
      </c>
      <c r="K600" s="96">
        <f t="shared" si="28"/>
        <v>1</v>
      </c>
      <c r="L600" s="96">
        <f t="shared" si="29"/>
        <v>0</v>
      </c>
      <c r="M600" s="96">
        <f t="shared" si="30"/>
        <v>0</v>
      </c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31.161701417976392</v>
      </c>
      <c r="H601">
        <v>4.8749248570982399E-4</v>
      </c>
      <c r="I601">
        <v>-0.35390619720830968</v>
      </c>
      <c r="J601">
        <v>-1.7252661178519005E-4</v>
      </c>
      <c r="K601" s="96">
        <f t="shared" si="28"/>
        <v>1</v>
      </c>
      <c r="L601" s="96">
        <f t="shared" si="29"/>
        <v>0</v>
      </c>
      <c r="M601" s="96">
        <f t="shared" si="30"/>
        <v>0</v>
      </c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-0.25</v>
      </c>
      <c r="H602">
        <v>4.8749248570982405E-4</v>
      </c>
      <c r="I602">
        <v>-1.008368152207447</v>
      </c>
      <c r="J602">
        <v>-4.9157189703023059E-4</v>
      </c>
      <c r="K602" s="96">
        <f t="shared" si="28"/>
        <v>1</v>
      </c>
      <c r="L602" s="96">
        <f t="shared" si="29"/>
        <v>0</v>
      </c>
      <c r="M602" s="96">
        <f t="shared" si="30"/>
        <v>0</v>
      </c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15.503350708988195</v>
      </c>
      <c r="H603">
        <v>4.8749248570982405E-4</v>
      </c>
      <c r="I603">
        <v>-0.59643896952742081</v>
      </c>
      <c r="J603">
        <v>-2.9075951582912835E-4</v>
      </c>
      <c r="K603" s="96">
        <f t="shared" si="28"/>
        <v>1</v>
      </c>
      <c r="L603" s="96">
        <f t="shared" si="29"/>
        <v>0</v>
      </c>
      <c r="M603" s="96">
        <f t="shared" si="30"/>
        <v>0</v>
      </c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27.247113740729322</v>
      </c>
      <c r="H604">
        <v>1.2297107747635201E-4</v>
      </c>
      <c r="I604">
        <v>-0.40323444988534479</v>
      </c>
      <c r="J604">
        <v>-4.9586174777984914E-5</v>
      </c>
      <c r="K604" s="96">
        <f t="shared" si="28"/>
        <v>1</v>
      </c>
      <c r="L604" s="96">
        <f t="shared" si="29"/>
        <v>0</v>
      </c>
      <c r="M604" s="96">
        <f t="shared" si="30"/>
        <v>0</v>
      </c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7.6741753544941282</v>
      </c>
      <c r="H605">
        <v>1.932559496921088E-3</v>
      </c>
      <c r="I605">
        <v>-0.7742922868022426</v>
      </c>
      <c r="J605">
        <v>-1.4963659122524207E-3</v>
      </c>
      <c r="K605" s="96">
        <f t="shared" si="28"/>
        <v>1</v>
      </c>
      <c r="L605" s="96">
        <f t="shared" si="29"/>
        <v>0</v>
      </c>
      <c r="M605" s="96">
        <f t="shared" si="30"/>
        <v>0</v>
      </c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23.332526063482323</v>
      </c>
      <c r="H606">
        <v>1.932559496921088E-3</v>
      </c>
      <c r="I606">
        <v>-0.45943818688947918</v>
      </c>
      <c r="J606">
        <v>-8.8789163132146865E-4</v>
      </c>
      <c r="K606" s="96">
        <f t="shared" si="28"/>
        <v>1</v>
      </c>
      <c r="L606" s="96">
        <f t="shared" si="29"/>
        <v>0</v>
      </c>
      <c r="M606" s="96">
        <f t="shared" si="30"/>
        <v>0</v>
      </c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35.076289095223459</v>
      </c>
      <c r="H607">
        <v>4.8749248570982399E-4</v>
      </c>
      <c r="I607">
        <v>-0.31061234092984941</v>
      </c>
      <c r="J607">
        <v>-1.5142118217203958E-4</v>
      </c>
      <c r="K607" s="96">
        <f t="shared" si="28"/>
        <v>1</v>
      </c>
      <c r="L607" s="96">
        <f t="shared" si="29"/>
        <v>0</v>
      </c>
      <c r="M607" s="96">
        <f t="shared" si="30"/>
        <v>0</v>
      </c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3.7595876772470644</v>
      </c>
      <c r="H608">
        <v>1.932559496921088E-3</v>
      </c>
      <c r="I608">
        <v>-0.88221491113192896</v>
      </c>
      <c r="J608">
        <v>-1.704932804833403E-3</v>
      </c>
      <c r="K608" s="96">
        <f t="shared" si="28"/>
        <v>1</v>
      </c>
      <c r="L608" s="96">
        <f t="shared" si="29"/>
        <v>0</v>
      </c>
      <c r="M608" s="96">
        <f t="shared" si="30"/>
        <v>0</v>
      </c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19.41793838623526</v>
      </c>
      <c r="H609">
        <v>1.932559496921088E-3</v>
      </c>
      <c r="I609">
        <v>-0.52347572890240823</v>
      </c>
      <c r="J609">
        <v>-1.0116479912980379E-3</v>
      </c>
      <c r="K609" s="96">
        <f t="shared" si="28"/>
        <v>1</v>
      </c>
      <c r="L609" s="96">
        <f t="shared" si="29"/>
        <v>0</v>
      </c>
      <c r="M609" s="96">
        <f t="shared" si="30"/>
        <v>0</v>
      </c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31.161701417976392</v>
      </c>
      <c r="H610">
        <v>4.8749248570982399E-4</v>
      </c>
      <c r="I610">
        <v>-0.35390619720830968</v>
      </c>
      <c r="J610">
        <v>-1.7252661178519005E-4</v>
      </c>
      <c r="K610" s="96">
        <f t="shared" si="28"/>
        <v>1</v>
      </c>
      <c r="L610" s="96">
        <f t="shared" si="29"/>
        <v>0</v>
      </c>
      <c r="M610" s="96">
        <f t="shared" si="30"/>
        <v>0</v>
      </c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-0.25</v>
      </c>
      <c r="H611">
        <v>4.8749248570982405E-4</v>
      </c>
      <c r="I611">
        <v>-1.008368152207447</v>
      </c>
      <c r="J611">
        <v>-4.9157189703023059E-4</v>
      </c>
      <c r="K611" s="96">
        <f t="shared" si="28"/>
        <v>1</v>
      </c>
      <c r="L611" s="96">
        <f t="shared" si="29"/>
        <v>0</v>
      </c>
      <c r="M611" s="96">
        <f t="shared" si="30"/>
        <v>0</v>
      </c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15.503350708988195</v>
      </c>
      <c r="H612">
        <v>4.8749248570982405E-4</v>
      </c>
      <c r="I612">
        <v>-0.59643896952742081</v>
      </c>
      <c r="J612">
        <v>-2.9075951582912835E-4</v>
      </c>
      <c r="K612" s="96">
        <f t="shared" si="28"/>
        <v>1</v>
      </c>
      <c r="L612" s="96">
        <f t="shared" si="29"/>
        <v>0</v>
      </c>
      <c r="M612" s="96">
        <f t="shared" si="30"/>
        <v>0</v>
      </c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27.247113740729322</v>
      </c>
      <c r="H613">
        <v>1.2297107747635201E-4</v>
      </c>
      <c r="I613">
        <v>-0.40323444988534479</v>
      </c>
      <c r="J613">
        <v>-4.9586174777984914E-5</v>
      </c>
      <c r="K613" s="96">
        <f t="shared" si="28"/>
        <v>1</v>
      </c>
      <c r="L613" s="96">
        <f t="shared" si="29"/>
        <v>0</v>
      </c>
      <c r="M613" s="96">
        <f t="shared" si="30"/>
        <v>0</v>
      </c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7.6741753544941282</v>
      </c>
      <c r="H614">
        <v>4.8749248570982405E-4</v>
      </c>
      <c r="I614">
        <v>-0.7742922868022426</v>
      </c>
      <c r="J614">
        <v>-3.7746167155916922E-4</v>
      </c>
      <c r="K614" s="96">
        <f t="shared" si="28"/>
        <v>1</v>
      </c>
      <c r="L614" s="96">
        <f t="shared" si="29"/>
        <v>0</v>
      </c>
      <c r="M614" s="96">
        <f t="shared" si="30"/>
        <v>0</v>
      </c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23.332526063482323</v>
      </c>
      <c r="H615">
        <v>4.8749248570982405E-4</v>
      </c>
      <c r="I615">
        <v>-0.45943818688947918</v>
      </c>
      <c r="J615">
        <v>-2.2397266375676691E-4</v>
      </c>
      <c r="K615" s="96">
        <f t="shared" si="28"/>
        <v>1</v>
      </c>
      <c r="L615" s="96">
        <f t="shared" si="29"/>
        <v>0</v>
      </c>
      <c r="M615" s="96">
        <f t="shared" si="30"/>
        <v>0</v>
      </c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35.076289095223459</v>
      </c>
      <c r="H616">
        <v>1.2297107747635201E-4</v>
      </c>
      <c r="I616">
        <v>-0.31061234092984941</v>
      </c>
      <c r="J616">
        <v>-3.8196334241595574E-5</v>
      </c>
      <c r="K616" s="96">
        <f t="shared" si="28"/>
        <v>1</v>
      </c>
      <c r="L616" s="96">
        <f t="shared" si="29"/>
        <v>0</v>
      </c>
      <c r="M616" s="96">
        <f t="shared" si="30"/>
        <v>0</v>
      </c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3.7595876772470644</v>
      </c>
      <c r="H617">
        <v>4.8749248570982405E-4</v>
      </c>
      <c r="I617">
        <v>-0.88221491113192896</v>
      </c>
      <c r="J617">
        <v>-4.3007313995797555E-4</v>
      </c>
      <c r="K617" s="96">
        <f t="shared" si="28"/>
        <v>1</v>
      </c>
      <c r="L617" s="96">
        <f t="shared" si="29"/>
        <v>0</v>
      </c>
      <c r="M617" s="96">
        <f t="shared" si="30"/>
        <v>0</v>
      </c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19.41793838623526</v>
      </c>
      <c r="H618">
        <v>4.8749248570982405E-4</v>
      </c>
      <c r="I618">
        <v>-0.52347572890240823</v>
      </c>
      <c r="J618">
        <v>-2.55190484291397E-4</v>
      </c>
      <c r="K618" s="96">
        <f t="shared" si="28"/>
        <v>1</v>
      </c>
      <c r="L618" s="96">
        <f t="shared" si="29"/>
        <v>0</v>
      </c>
      <c r="M618" s="96">
        <f t="shared" si="30"/>
        <v>0</v>
      </c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31.161701417976392</v>
      </c>
      <c r="H619">
        <v>1.2297107747635201E-4</v>
      </c>
      <c r="I619">
        <v>-0.35390619720830968</v>
      </c>
      <c r="J619">
        <v>-4.3520226396264159E-5</v>
      </c>
      <c r="K619" s="96">
        <f t="shared" si="28"/>
        <v>1</v>
      </c>
      <c r="L619" s="96">
        <f t="shared" si="29"/>
        <v>0</v>
      </c>
      <c r="M619" s="96">
        <f t="shared" si="30"/>
        <v>0</v>
      </c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-0.25</v>
      </c>
      <c r="H620">
        <v>1.2297107747635201E-4</v>
      </c>
      <c r="I620">
        <v>-1.008368152207447</v>
      </c>
      <c r="J620">
        <v>-1.2400011816978787E-4</v>
      </c>
      <c r="K620" s="96">
        <f t="shared" si="28"/>
        <v>1</v>
      </c>
      <c r="L620" s="96">
        <f t="shared" si="29"/>
        <v>0</v>
      </c>
      <c r="M620" s="96">
        <f t="shared" si="30"/>
        <v>0</v>
      </c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15.503350708988195</v>
      </c>
      <c r="H621">
        <v>1.2297107747635201E-4</v>
      </c>
      <c r="I621">
        <v>-0.59643896952742081</v>
      </c>
      <c r="J621">
        <v>-7.3344742731672018E-5</v>
      </c>
      <c r="K621" s="96">
        <f t="shared" si="28"/>
        <v>1</v>
      </c>
      <c r="L621" s="96">
        <f t="shared" si="29"/>
        <v>0</v>
      </c>
      <c r="M621" s="96">
        <f t="shared" si="30"/>
        <v>0</v>
      </c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27.247113740729322</v>
      </c>
      <c r="H622">
        <v>3.1019731255295997E-5</v>
      </c>
      <c r="I622">
        <v>-0.40323444988534479</v>
      </c>
      <c r="J622">
        <v>-1.2508224268320518E-5</v>
      </c>
      <c r="K622" s="96">
        <f t="shared" si="28"/>
        <v>1</v>
      </c>
      <c r="L622" s="96">
        <f t="shared" si="29"/>
        <v>0</v>
      </c>
      <c r="M622" s="96">
        <f t="shared" si="30"/>
        <v>0</v>
      </c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7.6741753544941282</v>
      </c>
      <c r="H623">
        <v>4.8749248570982405E-4</v>
      </c>
      <c r="I623">
        <v>-0.7742922868022426</v>
      </c>
      <c r="J623">
        <v>-3.7746167155916922E-4</v>
      </c>
      <c r="K623" s="96">
        <f t="shared" si="28"/>
        <v>1</v>
      </c>
      <c r="L623" s="96">
        <f t="shared" si="29"/>
        <v>0</v>
      </c>
      <c r="M623" s="96">
        <f t="shared" si="30"/>
        <v>0</v>
      </c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23.332526063482323</v>
      </c>
      <c r="H624">
        <v>4.8749248570982405E-4</v>
      </c>
      <c r="I624">
        <v>-0.45943818688947918</v>
      </c>
      <c r="J624">
        <v>-2.2397266375676691E-4</v>
      </c>
      <c r="K624" s="96">
        <f t="shared" si="28"/>
        <v>1</v>
      </c>
      <c r="L624" s="96">
        <f t="shared" si="29"/>
        <v>0</v>
      </c>
      <c r="M624" s="96">
        <f t="shared" si="30"/>
        <v>0</v>
      </c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35.076289095223459</v>
      </c>
      <c r="H625">
        <v>1.2297107747635201E-4</v>
      </c>
      <c r="I625">
        <v>-0.31061234092984941</v>
      </c>
      <c r="J625">
        <v>-3.8196334241595574E-5</v>
      </c>
      <c r="K625" s="96">
        <f t="shared" si="28"/>
        <v>1</v>
      </c>
      <c r="L625" s="96">
        <f t="shared" si="29"/>
        <v>0</v>
      </c>
      <c r="M625" s="96">
        <f t="shared" si="30"/>
        <v>0</v>
      </c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3.7595876772470644</v>
      </c>
      <c r="H626">
        <v>4.8749248570982405E-4</v>
      </c>
      <c r="I626">
        <v>-0.88221491113192896</v>
      </c>
      <c r="J626">
        <v>-4.3007313995797555E-4</v>
      </c>
      <c r="K626" s="96">
        <f t="shared" si="28"/>
        <v>1</v>
      </c>
      <c r="L626" s="96">
        <f t="shared" si="29"/>
        <v>0</v>
      </c>
      <c r="M626" s="96">
        <f t="shared" si="30"/>
        <v>0</v>
      </c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19.41793838623526</v>
      </c>
      <c r="H627">
        <v>4.8749248570982405E-4</v>
      </c>
      <c r="I627">
        <v>-0.52347572890240823</v>
      </c>
      <c r="J627">
        <v>-2.55190484291397E-4</v>
      </c>
      <c r="K627" s="96">
        <f t="shared" si="28"/>
        <v>1</v>
      </c>
      <c r="L627" s="96">
        <f t="shared" si="29"/>
        <v>0</v>
      </c>
      <c r="M627" s="96">
        <f t="shared" si="30"/>
        <v>0</v>
      </c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31.161701417976392</v>
      </c>
      <c r="H628">
        <v>1.2297107747635201E-4</v>
      </c>
      <c r="I628">
        <v>-0.35390619720830968</v>
      </c>
      <c r="J628">
        <v>-4.3520226396264159E-5</v>
      </c>
      <c r="K628" s="96">
        <f t="shared" si="28"/>
        <v>1</v>
      </c>
      <c r="L628" s="96">
        <f t="shared" si="29"/>
        <v>0</v>
      </c>
      <c r="M628" s="96">
        <f t="shared" si="30"/>
        <v>0</v>
      </c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-0.25</v>
      </c>
      <c r="H629">
        <v>1.2297107747635201E-4</v>
      </c>
      <c r="I629">
        <v>-1.008368152207447</v>
      </c>
      <c r="J629">
        <v>-1.2400011816978787E-4</v>
      </c>
      <c r="K629" s="96">
        <f t="shared" si="28"/>
        <v>1</v>
      </c>
      <c r="L629" s="96">
        <f t="shared" si="29"/>
        <v>0</v>
      </c>
      <c r="M629" s="96">
        <f t="shared" si="30"/>
        <v>0</v>
      </c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15.503350708988195</v>
      </c>
      <c r="H630">
        <v>1.2297107747635201E-4</v>
      </c>
      <c r="I630">
        <v>-0.59643896952742081</v>
      </c>
      <c r="J630">
        <v>-7.3344742731672018E-5</v>
      </c>
      <c r="K630" s="96">
        <f t="shared" si="28"/>
        <v>1</v>
      </c>
      <c r="L630" s="96">
        <f t="shared" si="29"/>
        <v>0</v>
      </c>
      <c r="M630" s="96">
        <f t="shared" si="30"/>
        <v>0</v>
      </c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27.247113740729322</v>
      </c>
      <c r="H631">
        <v>3.1019731255295997E-5</v>
      </c>
      <c r="I631">
        <v>-0.40323444988534479</v>
      </c>
      <c r="J631">
        <v>-1.2508224268320518E-5</v>
      </c>
      <c r="K631" s="96">
        <f t="shared" si="28"/>
        <v>1</v>
      </c>
      <c r="L631" s="96">
        <f t="shared" si="29"/>
        <v>0</v>
      </c>
      <c r="M631" s="96">
        <f t="shared" si="30"/>
        <v>0</v>
      </c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7.6741753544941282</v>
      </c>
      <c r="H632">
        <v>4.8749248570982405E-4</v>
      </c>
      <c r="I632">
        <v>-0.7742922868022426</v>
      </c>
      <c r="J632">
        <v>-3.7746167155916922E-4</v>
      </c>
      <c r="K632" s="96">
        <f t="shared" si="28"/>
        <v>1</v>
      </c>
      <c r="L632" s="96">
        <f t="shared" si="29"/>
        <v>0</v>
      </c>
      <c r="M632" s="96">
        <f t="shared" si="30"/>
        <v>0</v>
      </c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23.332526063482323</v>
      </c>
      <c r="H633">
        <v>4.8749248570982405E-4</v>
      </c>
      <c r="I633">
        <v>-0.45943818688947918</v>
      </c>
      <c r="J633">
        <v>-2.2397266375676691E-4</v>
      </c>
      <c r="K633" s="96">
        <f t="shared" si="28"/>
        <v>1</v>
      </c>
      <c r="L633" s="96">
        <f t="shared" si="29"/>
        <v>0</v>
      </c>
      <c r="M633" s="96">
        <f t="shared" si="30"/>
        <v>0</v>
      </c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35.076289095223459</v>
      </c>
      <c r="H634">
        <v>1.2297107747635201E-4</v>
      </c>
      <c r="I634">
        <v>-0.31061234092984941</v>
      </c>
      <c r="J634">
        <v>-3.8196334241595574E-5</v>
      </c>
      <c r="K634" s="96">
        <f t="shared" si="28"/>
        <v>1</v>
      </c>
      <c r="L634" s="96">
        <f t="shared" si="29"/>
        <v>0</v>
      </c>
      <c r="M634" s="96">
        <f t="shared" si="30"/>
        <v>0</v>
      </c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3.7595876772470644</v>
      </c>
      <c r="H635">
        <v>4.8749248570982405E-4</v>
      </c>
      <c r="I635">
        <v>-0.88221491113192896</v>
      </c>
      <c r="J635">
        <v>-4.3007313995797555E-4</v>
      </c>
      <c r="K635" s="96">
        <f t="shared" si="28"/>
        <v>1</v>
      </c>
      <c r="L635" s="96">
        <f t="shared" si="29"/>
        <v>0</v>
      </c>
      <c r="M635" s="96">
        <f t="shared" si="30"/>
        <v>0</v>
      </c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19.41793838623526</v>
      </c>
      <c r="H636">
        <v>4.8749248570982405E-4</v>
      </c>
      <c r="I636">
        <v>-0.52347572890240823</v>
      </c>
      <c r="J636">
        <v>-2.55190484291397E-4</v>
      </c>
      <c r="K636" s="96">
        <f t="shared" si="28"/>
        <v>1</v>
      </c>
      <c r="L636" s="96">
        <f t="shared" si="29"/>
        <v>0</v>
      </c>
      <c r="M636" s="96">
        <f t="shared" si="30"/>
        <v>0</v>
      </c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31.161701417976392</v>
      </c>
      <c r="H637">
        <v>1.2297107747635201E-4</v>
      </c>
      <c r="I637">
        <v>-0.35390619720830968</v>
      </c>
      <c r="J637">
        <v>-4.3520226396264159E-5</v>
      </c>
      <c r="K637" s="96">
        <f t="shared" si="28"/>
        <v>1</v>
      </c>
      <c r="L637" s="96">
        <f t="shared" si="29"/>
        <v>0</v>
      </c>
      <c r="M637" s="96">
        <f t="shared" si="30"/>
        <v>0</v>
      </c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-0.25</v>
      </c>
      <c r="H638">
        <v>1.2297107747635201E-4</v>
      </c>
      <c r="I638">
        <v>-1.008368152207447</v>
      </c>
      <c r="J638">
        <v>-1.2400011816978787E-4</v>
      </c>
      <c r="K638" s="96">
        <f t="shared" si="28"/>
        <v>1</v>
      </c>
      <c r="L638" s="96">
        <f t="shared" si="29"/>
        <v>0</v>
      </c>
      <c r="M638" s="96">
        <f t="shared" si="30"/>
        <v>0</v>
      </c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15.503350708988195</v>
      </c>
      <c r="H639">
        <v>1.2297107747635201E-4</v>
      </c>
      <c r="I639">
        <v>-0.59643896952742081</v>
      </c>
      <c r="J639">
        <v>-7.3344742731672018E-5</v>
      </c>
      <c r="K639" s="96">
        <f t="shared" si="28"/>
        <v>1</v>
      </c>
      <c r="L639" s="96">
        <f t="shared" si="29"/>
        <v>0</v>
      </c>
      <c r="M639" s="96">
        <f t="shared" si="30"/>
        <v>0</v>
      </c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27.247113740729322</v>
      </c>
      <c r="H640">
        <v>3.1019731255295997E-5</v>
      </c>
      <c r="I640">
        <v>-0.40323444988534479</v>
      </c>
      <c r="J640">
        <v>-1.2508224268320518E-5</v>
      </c>
      <c r="K640" s="96">
        <f t="shared" si="28"/>
        <v>1</v>
      </c>
      <c r="L640" s="96">
        <f t="shared" si="29"/>
        <v>0</v>
      </c>
      <c r="M640" s="96">
        <f t="shared" si="30"/>
        <v>0</v>
      </c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7.6741753544941282</v>
      </c>
      <c r="H641">
        <v>1.2297107747635201E-4</v>
      </c>
      <c r="I641">
        <v>-0.7742922868022426</v>
      </c>
      <c r="J641">
        <v>-9.521555678970034E-5</v>
      </c>
      <c r="K641" s="96">
        <f t="shared" si="28"/>
        <v>1</v>
      </c>
      <c r="L641" s="96">
        <f t="shared" si="29"/>
        <v>0</v>
      </c>
      <c r="M641" s="96">
        <f t="shared" si="30"/>
        <v>0</v>
      </c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23.332526063482323</v>
      </c>
      <c r="H642">
        <v>1.2297107747635201E-4</v>
      </c>
      <c r="I642">
        <v>-0.45943818688947918</v>
      </c>
      <c r="J642">
        <v>-5.6497608875580839E-5</v>
      </c>
      <c r="K642" s="96">
        <f t="shared" si="28"/>
        <v>1</v>
      </c>
      <c r="L642" s="96">
        <f t="shared" si="29"/>
        <v>0</v>
      </c>
      <c r="M642" s="96">
        <f t="shared" si="30"/>
        <v>0</v>
      </c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35.076289095223459</v>
      </c>
      <c r="H643">
        <v>3.1019731255295997E-5</v>
      </c>
      <c r="I643">
        <v>-0.31061234092984941</v>
      </c>
      <c r="J643">
        <v>-9.635111340222305E-6</v>
      </c>
      <c r="K643" s="96">
        <f t="shared" ref="K643:K706" si="31">IF(A643=3,1,0)</f>
        <v>1</v>
      </c>
      <c r="L643" s="96">
        <f t="shared" ref="L643:L706" si="32">IF(A643=2,1,0)</f>
        <v>0</v>
      </c>
      <c r="M643" s="96">
        <f t="shared" ref="M643:M706" si="33">IF(A643=1,1,0)</f>
        <v>0</v>
      </c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3.7595876772470644</v>
      </c>
      <c r="H644">
        <v>1.2297107747635201E-4</v>
      </c>
      <c r="I644">
        <v>-0.88221491113192896</v>
      </c>
      <c r="J644">
        <v>-1.0848691818759744E-4</v>
      </c>
      <c r="K644" s="96">
        <f t="shared" si="31"/>
        <v>1</v>
      </c>
      <c r="L644" s="96">
        <f t="shared" si="32"/>
        <v>0</v>
      </c>
      <c r="M644" s="96">
        <f t="shared" si="33"/>
        <v>0</v>
      </c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19.41793838623526</v>
      </c>
      <c r="H645">
        <v>1.2297107747635201E-4</v>
      </c>
      <c r="I645">
        <v>-0.52347572890240823</v>
      </c>
      <c r="J645">
        <v>-6.4372374415847881E-5</v>
      </c>
      <c r="K645" s="96">
        <f t="shared" si="31"/>
        <v>1</v>
      </c>
      <c r="L645" s="96">
        <f t="shared" si="32"/>
        <v>0</v>
      </c>
      <c r="M645" s="96">
        <f t="shared" si="33"/>
        <v>0</v>
      </c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31.161701417976392</v>
      </c>
      <c r="H646">
        <v>3.1019731255295997E-5</v>
      </c>
      <c r="I646">
        <v>-0.35390619720830968</v>
      </c>
      <c r="J646">
        <v>-1.0978075126985552E-5</v>
      </c>
      <c r="K646" s="96">
        <f t="shared" si="31"/>
        <v>1</v>
      </c>
      <c r="L646" s="96">
        <f t="shared" si="32"/>
        <v>0</v>
      </c>
      <c r="M646" s="96">
        <f t="shared" si="33"/>
        <v>0</v>
      </c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-0.25</v>
      </c>
      <c r="H647">
        <v>3.1019731255296003E-5</v>
      </c>
      <c r="I647">
        <v>-1.008368152207447</v>
      </c>
      <c r="J647">
        <v>-3.1279309087874425E-5</v>
      </c>
      <c r="K647" s="96">
        <f t="shared" si="31"/>
        <v>1</v>
      </c>
      <c r="L647" s="96">
        <f t="shared" si="32"/>
        <v>0</v>
      </c>
      <c r="M647" s="96">
        <f t="shared" si="33"/>
        <v>0</v>
      </c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15.503350708988195</v>
      </c>
      <c r="H648">
        <v>3.1019731255296003E-5</v>
      </c>
      <c r="I648">
        <v>-0.59643896952742081</v>
      </c>
      <c r="J648">
        <v>-1.8501376544926276E-5</v>
      </c>
      <c r="K648" s="96">
        <f t="shared" si="31"/>
        <v>1</v>
      </c>
      <c r="L648" s="96">
        <f t="shared" si="32"/>
        <v>0</v>
      </c>
      <c r="M648" s="96">
        <f t="shared" si="33"/>
        <v>0</v>
      </c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27.247113740729322</v>
      </c>
      <c r="H649">
        <v>7.8247970734080004E-6</v>
      </c>
      <c r="I649">
        <v>-0.40323444988534479</v>
      </c>
      <c r="J649">
        <v>-3.1552277433601311E-6</v>
      </c>
      <c r="K649" s="96">
        <f t="shared" si="31"/>
        <v>1</v>
      </c>
      <c r="L649" s="96">
        <f t="shared" si="32"/>
        <v>0</v>
      </c>
      <c r="M649" s="96">
        <f t="shared" si="33"/>
        <v>0</v>
      </c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7.4188916700805354</v>
      </c>
      <c r="H650">
        <v>4.8749248570982415E-4</v>
      </c>
      <c r="I650">
        <v>-0.78090920632708982</v>
      </c>
      <c r="J650">
        <v>-3.8068737010607897E-4</v>
      </c>
      <c r="K650" s="96">
        <f t="shared" si="31"/>
        <v>1</v>
      </c>
      <c r="L650" s="96">
        <f t="shared" si="32"/>
        <v>0</v>
      </c>
      <c r="M650" s="96">
        <f t="shared" si="33"/>
        <v>0</v>
      </c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22.566675010241571</v>
      </c>
      <c r="H651">
        <v>4.8749248570982415E-4</v>
      </c>
      <c r="I651">
        <v>-0.47131788368161892</v>
      </c>
      <c r="J651">
        <v>-2.2976392667544616E-4</v>
      </c>
      <c r="K651" s="96">
        <f t="shared" si="31"/>
        <v>1</v>
      </c>
      <c r="L651" s="96">
        <f t="shared" si="32"/>
        <v>0</v>
      </c>
      <c r="M651" s="96">
        <f t="shared" si="33"/>
        <v>0</v>
      </c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33.927512515362338</v>
      </c>
      <c r="H652">
        <v>1.2297107747635203E-4</v>
      </c>
      <c r="I652">
        <v>-0.32273714364213468</v>
      </c>
      <c r="J652">
        <v>-3.9687334295313499E-5</v>
      </c>
      <c r="K652" s="96">
        <f t="shared" si="31"/>
        <v>1</v>
      </c>
      <c r="L652" s="96">
        <f t="shared" si="32"/>
        <v>0</v>
      </c>
      <c r="M652" s="96">
        <f t="shared" si="33"/>
        <v>0</v>
      </c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3.6319458350402725</v>
      </c>
      <c r="H653">
        <v>4.8749248570982415E-4</v>
      </c>
      <c r="I653">
        <v>-0.88597649225908004</v>
      </c>
      <c r="J653">
        <v>-4.3190688249184969E-4</v>
      </c>
      <c r="K653" s="96">
        <f t="shared" si="31"/>
        <v>1</v>
      </c>
      <c r="L653" s="96">
        <f t="shared" si="32"/>
        <v>0</v>
      </c>
      <c r="M653" s="96">
        <f t="shared" si="33"/>
        <v>0</v>
      </c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18.779729175201307</v>
      </c>
      <c r="H654">
        <v>4.8749248570982415E-4</v>
      </c>
      <c r="I654">
        <v>-0.53473126189308706</v>
      </c>
      <c r="J654">
        <v>-2.60677472047012E-4</v>
      </c>
      <c r="K654" s="96">
        <f t="shared" si="31"/>
        <v>1</v>
      </c>
      <c r="L654" s="96">
        <f t="shared" si="32"/>
        <v>0</v>
      </c>
      <c r="M654" s="96">
        <f t="shared" si="33"/>
        <v>0</v>
      </c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30.14056668032207</v>
      </c>
      <c r="H655">
        <v>1.2297107747635203E-4</v>
      </c>
      <c r="I655">
        <v>-0.36615975343746454</v>
      </c>
      <c r="J655">
        <v>-4.5027059408680409E-5</v>
      </c>
      <c r="K655" s="96">
        <f t="shared" si="31"/>
        <v>1</v>
      </c>
      <c r="L655" s="96">
        <f t="shared" si="32"/>
        <v>0</v>
      </c>
      <c r="M655" s="96">
        <f t="shared" si="33"/>
        <v>0</v>
      </c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-0.25</v>
      </c>
      <c r="H656">
        <v>1.2297107747635203E-4</v>
      </c>
      <c r="I656">
        <v>-1.008368152207447</v>
      </c>
      <c r="J656">
        <v>-1.240001181697879E-4</v>
      </c>
      <c r="K656" s="96">
        <f t="shared" si="31"/>
        <v>1</v>
      </c>
      <c r="L656" s="96">
        <f t="shared" si="32"/>
        <v>0</v>
      </c>
      <c r="M656" s="96">
        <f t="shared" si="33"/>
        <v>0</v>
      </c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14.992783340161035</v>
      </c>
      <c r="H657">
        <v>1.2297107747635203E-4</v>
      </c>
      <c r="I657">
        <v>-0.60667658144482317</v>
      </c>
      <c r="J657">
        <v>-7.4603672899939739E-5</v>
      </c>
      <c r="K657" s="96">
        <f t="shared" si="31"/>
        <v>1</v>
      </c>
      <c r="L657" s="96">
        <f t="shared" si="32"/>
        <v>0</v>
      </c>
      <c r="M657" s="96">
        <f t="shared" si="33"/>
        <v>0</v>
      </c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26.353620845281799</v>
      </c>
      <c r="H658">
        <v>3.1019731255296003E-5</v>
      </c>
      <c r="I658">
        <v>-0.41542465030319209</v>
      </c>
      <c r="J658">
        <v>-1.2886361009230341E-5</v>
      </c>
      <c r="K658" s="96">
        <f t="shared" si="31"/>
        <v>1</v>
      </c>
      <c r="L658" s="96">
        <f t="shared" si="32"/>
        <v>0</v>
      </c>
      <c r="M658" s="96">
        <f t="shared" si="33"/>
        <v>0</v>
      </c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7.4188916700805354</v>
      </c>
      <c r="H659">
        <v>4.8749248570982415E-4</v>
      </c>
      <c r="I659">
        <v>-0.78090920632708982</v>
      </c>
      <c r="J659">
        <v>-3.8068737010607897E-4</v>
      </c>
      <c r="K659" s="96">
        <f t="shared" si="31"/>
        <v>1</v>
      </c>
      <c r="L659" s="96">
        <f t="shared" si="32"/>
        <v>0</v>
      </c>
      <c r="M659" s="96">
        <f t="shared" si="33"/>
        <v>0</v>
      </c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22.566675010241571</v>
      </c>
      <c r="H660">
        <v>4.8749248570982415E-4</v>
      </c>
      <c r="I660">
        <v>-0.47131788368161892</v>
      </c>
      <c r="J660">
        <v>-2.2976392667544616E-4</v>
      </c>
      <c r="K660" s="96">
        <f t="shared" si="31"/>
        <v>1</v>
      </c>
      <c r="L660" s="96">
        <f t="shared" si="32"/>
        <v>0</v>
      </c>
      <c r="M660" s="96">
        <f t="shared" si="33"/>
        <v>0</v>
      </c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33.927512515362338</v>
      </c>
      <c r="H661">
        <v>1.2297107747635203E-4</v>
      </c>
      <c r="I661">
        <v>-0.32273714364213468</v>
      </c>
      <c r="J661">
        <v>-3.9687334295313499E-5</v>
      </c>
      <c r="K661" s="96">
        <f t="shared" si="31"/>
        <v>1</v>
      </c>
      <c r="L661" s="96">
        <f t="shared" si="32"/>
        <v>0</v>
      </c>
      <c r="M661" s="96">
        <f t="shared" si="33"/>
        <v>0</v>
      </c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3.6319458350402725</v>
      </c>
      <c r="H662">
        <v>4.8749248570982415E-4</v>
      </c>
      <c r="I662">
        <v>-0.88597649225908004</v>
      </c>
      <c r="J662">
        <v>-4.3190688249184969E-4</v>
      </c>
      <c r="K662" s="96">
        <f t="shared" si="31"/>
        <v>1</v>
      </c>
      <c r="L662" s="96">
        <f t="shared" si="32"/>
        <v>0</v>
      </c>
      <c r="M662" s="96">
        <f t="shared" si="33"/>
        <v>0</v>
      </c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18.779729175201307</v>
      </c>
      <c r="H663">
        <v>4.8749248570982415E-4</v>
      </c>
      <c r="I663">
        <v>-0.53473126189308706</v>
      </c>
      <c r="J663">
        <v>-2.60677472047012E-4</v>
      </c>
      <c r="K663" s="96">
        <f t="shared" si="31"/>
        <v>1</v>
      </c>
      <c r="L663" s="96">
        <f t="shared" si="32"/>
        <v>0</v>
      </c>
      <c r="M663" s="96">
        <f t="shared" si="33"/>
        <v>0</v>
      </c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30.14056668032207</v>
      </c>
      <c r="H664">
        <v>1.2297107747635203E-4</v>
      </c>
      <c r="I664">
        <v>-0.36615975343746454</v>
      </c>
      <c r="J664">
        <v>-4.5027059408680409E-5</v>
      </c>
      <c r="K664" s="96">
        <f t="shared" si="31"/>
        <v>1</v>
      </c>
      <c r="L664" s="96">
        <f t="shared" si="32"/>
        <v>0</v>
      </c>
      <c r="M664" s="96">
        <f t="shared" si="33"/>
        <v>0</v>
      </c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-0.25</v>
      </c>
      <c r="H665">
        <v>1.2297107747635203E-4</v>
      </c>
      <c r="I665">
        <v>-1.008368152207447</v>
      </c>
      <c r="J665">
        <v>-1.240001181697879E-4</v>
      </c>
      <c r="K665" s="96">
        <f t="shared" si="31"/>
        <v>1</v>
      </c>
      <c r="L665" s="96">
        <f t="shared" si="32"/>
        <v>0</v>
      </c>
      <c r="M665" s="96">
        <f t="shared" si="33"/>
        <v>0</v>
      </c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14.992783340161035</v>
      </c>
      <c r="H666">
        <v>1.2297107747635203E-4</v>
      </c>
      <c r="I666">
        <v>-0.60667658144482317</v>
      </c>
      <c r="J666">
        <v>-7.4603672899939739E-5</v>
      </c>
      <c r="K666" s="96">
        <f t="shared" si="31"/>
        <v>1</v>
      </c>
      <c r="L666" s="96">
        <f t="shared" si="32"/>
        <v>0</v>
      </c>
      <c r="M666" s="96">
        <f t="shared" si="33"/>
        <v>0</v>
      </c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26.353620845281799</v>
      </c>
      <c r="H667">
        <v>3.1019731255296003E-5</v>
      </c>
      <c r="I667">
        <v>-0.41542465030319209</v>
      </c>
      <c r="J667">
        <v>-1.2886361009230341E-5</v>
      </c>
      <c r="K667" s="96">
        <f t="shared" si="31"/>
        <v>1</v>
      </c>
      <c r="L667" s="96">
        <f t="shared" si="32"/>
        <v>0</v>
      </c>
      <c r="M667" s="96">
        <f t="shared" si="33"/>
        <v>0</v>
      </c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7.4188916700805354</v>
      </c>
      <c r="H668">
        <v>1.2297107747635203E-4</v>
      </c>
      <c r="I668">
        <v>-0.78090920632708982</v>
      </c>
      <c r="J668">
        <v>-9.6029246513245145E-5</v>
      </c>
      <c r="K668" s="96">
        <f t="shared" si="31"/>
        <v>1</v>
      </c>
      <c r="L668" s="96">
        <f t="shared" si="32"/>
        <v>0</v>
      </c>
      <c r="M668" s="96">
        <f t="shared" si="33"/>
        <v>0</v>
      </c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22.566675010241571</v>
      </c>
      <c r="H669">
        <v>1.2297107747635203E-4</v>
      </c>
      <c r="I669">
        <v>-0.47131788368161892</v>
      </c>
      <c r="J669">
        <v>-5.7958467990202638E-5</v>
      </c>
      <c r="K669" s="96">
        <f t="shared" si="31"/>
        <v>1</v>
      </c>
      <c r="L669" s="96">
        <f t="shared" si="32"/>
        <v>0</v>
      </c>
      <c r="M669" s="96">
        <f t="shared" si="33"/>
        <v>0</v>
      </c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33.927512515362338</v>
      </c>
      <c r="H670">
        <v>3.1019731255296003E-5</v>
      </c>
      <c r="I670">
        <v>-0.32273714364213468</v>
      </c>
      <c r="J670">
        <v>-1.0011219461880881E-5</v>
      </c>
      <c r="K670" s="96">
        <f t="shared" si="31"/>
        <v>1</v>
      </c>
      <c r="L670" s="96">
        <f t="shared" si="32"/>
        <v>0</v>
      </c>
      <c r="M670" s="96">
        <f t="shared" si="33"/>
        <v>0</v>
      </c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3.6319458350402725</v>
      </c>
      <c r="H671">
        <v>1.2297107747635203E-4</v>
      </c>
      <c r="I671">
        <v>-0.88597649225908004</v>
      </c>
      <c r="J671">
        <v>-1.0894948387181794E-4</v>
      </c>
      <c r="K671" s="96">
        <f t="shared" si="31"/>
        <v>1</v>
      </c>
      <c r="L671" s="96">
        <f t="shared" si="32"/>
        <v>0</v>
      </c>
      <c r="M671" s="96">
        <f t="shared" si="33"/>
        <v>0</v>
      </c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18.779729175201307</v>
      </c>
      <c r="H672">
        <v>1.2297107747635203E-4</v>
      </c>
      <c r="I672">
        <v>-0.53473126189308706</v>
      </c>
      <c r="J672">
        <v>-6.5756479435282299E-5</v>
      </c>
      <c r="K672" s="96">
        <f t="shared" si="31"/>
        <v>1</v>
      </c>
      <c r="L672" s="96">
        <f t="shared" si="32"/>
        <v>0</v>
      </c>
      <c r="M672" s="96">
        <f t="shared" si="33"/>
        <v>0</v>
      </c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30.14056668032207</v>
      </c>
      <c r="H673">
        <v>3.1019731255296003E-5</v>
      </c>
      <c r="I673">
        <v>-0.36615975343746454</v>
      </c>
      <c r="J673">
        <v>-1.1358177148135598E-5</v>
      </c>
      <c r="K673" s="96">
        <f t="shared" si="31"/>
        <v>1</v>
      </c>
      <c r="L673" s="96">
        <f t="shared" si="32"/>
        <v>0</v>
      </c>
      <c r="M673" s="96">
        <f t="shared" si="33"/>
        <v>0</v>
      </c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-0.25</v>
      </c>
      <c r="H674">
        <v>3.1019731255296003E-5</v>
      </c>
      <c r="I674">
        <v>-1.008368152207447</v>
      </c>
      <c r="J674">
        <v>-3.1279309087874425E-5</v>
      </c>
      <c r="K674" s="96">
        <f t="shared" si="31"/>
        <v>1</v>
      </c>
      <c r="L674" s="96">
        <f t="shared" si="32"/>
        <v>0</v>
      </c>
      <c r="M674" s="96">
        <f t="shared" si="33"/>
        <v>0</v>
      </c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14.992783340161035</v>
      </c>
      <c r="H675">
        <v>3.1019731255296003E-5</v>
      </c>
      <c r="I675">
        <v>-0.60667658144482317</v>
      </c>
      <c r="J675">
        <v>-1.8818944515300114E-5</v>
      </c>
      <c r="K675" s="96">
        <f t="shared" si="31"/>
        <v>1</v>
      </c>
      <c r="L675" s="96">
        <f t="shared" si="32"/>
        <v>0</v>
      </c>
      <c r="M675" s="96">
        <f t="shared" si="33"/>
        <v>0</v>
      </c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26.353620845281799</v>
      </c>
      <c r="H676">
        <v>7.8247970734080021E-6</v>
      </c>
      <c r="I676">
        <v>-0.41542465030319209</v>
      </c>
      <c r="J676">
        <v>-3.2506135879139601E-6</v>
      </c>
      <c r="K676" s="96">
        <f t="shared" si="31"/>
        <v>1</v>
      </c>
      <c r="L676" s="96">
        <f t="shared" si="32"/>
        <v>0</v>
      </c>
      <c r="M676" s="96">
        <f t="shared" si="33"/>
        <v>0</v>
      </c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7.6741753544941282</v>
      </c>
      <c r="H677">
        <v>4.8749248570982415E-4</v>
      </c>
      <c r="I677">
        <v>-0.7742922868022426</v>
      </c>
      <c r="J677">
        <v>-3.7746167155916933E-4</v>
      </c>
      <c r="K677" s="96">
        <f t="shared" si="31"/>
        <v>1</v>
      </c>
      <c r="L677" s="96">
        <f t="shared" si="32"/>
        <v>0</v>
      </c>
      <c r="M677" s="96">
        <f t="shared" si="33"/>
        <v>0</v>
      </c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23.332526063482323</v>
      </c>
      <c r="H678">
        <v>4.8749248570982415E-4</v>
      </c>
      <c r="I678">
        <v>-0.45943818688947918</v>
      </c>
      <c r="J678">
        <v>-2.2397266375676696E-4</v>
      </c>
      <c r="K678" s="96">
        <f t="shared" si="31"/>
        <v>1</v>
      </c>
      <c r="L678" s="96">
        <f t="shared" si="32"/>
        <v>0</v>
      </c>
      <c r="M678" s="96">
        <f t="shared" si="33"/>
        <v>0</v>
      </c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35.076289095223459</v>
      </c>
      <c r="H679">
        <v>1.2297107747635203E-4</v>
      </c>
      <c r="I679">
        <v>-0.31061234092984941</v>
      </c>
      <c r="J679">
        <v>-3.8196334241595581E-5</v>
      </c>
      <c r="K679" s="96">
        <f t="shared" si="31"/>
        <v>1</v>
      </c>
      <c r="L679" s="96">
        <f t="shared" si="32"/>
        <v>0</v>
      </c>
      <c r="M679" s="96">
        <f t="shared" si="33"/>
        <v>0</v>
      </c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3.7595876772470644</v>
      </c>
      <c r="H680">
        <v>4.8749248570982415E-4</v>
      </c>
      <c r="I680">
        <v>-0.88221491113192896</v>
      </c>
      <c r="J680">
        <v>-4.3007313995797566E-4</v>
      </c>
      <c r="K680" s="96">
        <f t="shared" si="31"/>
        <v>1</v>
      </c>
      <c r="L680" s="96">
        <f t="shared" si="32"/>
        <v>0</v>
      </c>
      <c r="M680" s="96">
        <f t="shared" si="33"/>
        <v>0</v>
      </c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19.41793838623526</v>
      </c>
      <c r="H681">
        <v>4.8749248570982415E-4</v>
      </c>
      <c r="I681">
        <v>-0.52347572890240823</v>
      </c>
      <c r="J681">
        <v>-2.5519048429139705E-4</v>
      </c>
      <c r="K681" s="96">
        <f t="shared" si="31"/>
        <v>1</v>
      </c>
      <c r="L681" s="96">
        <f t="shared" si="32"/>
        <v>0</v>
      </c>
      <c r="M681" s="96">
        <f t="shared" si="33"/>
        <v>0</v>
      </c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31.161701417976392</v>
      </c>
      <c r="H682">
        <v>1.2297107747635203E-4</v>
      </c>
      <c r="I682">
        <v>-0.35390619720830968</v>
      </c>
      <c r="J682">
        <v>-4.3520226396264173E-5</v>
      </c>
      <c r="K682" s="96">
        <f t="shared" si="31"/>
        <v>1</v>
      </c>
      <c r="L682" s="96">
        <f t="shared" si="32"/>
        <v>0</v>
      </c>
      <c r="M682" s="96">
        <f t="shared" si="33"/>
        <v>0</v>
      </c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-0.25</v>
      </c>
      <c r="H683">
        <v>1.2297107747635203E-4</v>
      </c>
      <c r="I683">
        <v>-1.008368152207447</v>
      </c>
      <c r="J683">
        <v>-1.240001181697879E-4</v>
      </c>
      <c r="K683" s="96">
        <f t="shared" si="31"/>
        <v>1</v>
      </c>
      <c r="L683" s="96">
        <f t="shared" si="32"/>
        <v>0</v>
      </c>
      <c r="M683" s="96">
        <f t="shared" si="33"/>
        <v>0</v>
      </c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15.503350708988195</v>
      </c>
      <c r="H684">
        <v>1.2297107747635203E-4</v>
      </c>
      <c r="I684">
        <v>-0.59643896952742081</v>
      </c>
      <c r="J684">
        <v>-7.3344742731672031E-5</v>
      </c>
      <c r="K684" s="96">
        <f t="shared" si="31"/>
        <v>1</v>
      </c>
      <c r="L684" s="96">
        <f t="shared" si="32"/>
        <v>0</v>
      </c>
      <c r="M684" s="96">
        <f t="shared" si="33"/>
        <v>0</v>
      </c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27.247113740729322</v>
      </c>
      <c r="H685">
        <v>3.1019731255296003E-5</v>
      </c>
      <c r="I685">
        <v>-0.40323444988534479</v>
      </c>
      <c r="J685">
        <v>-1.2508224268320519E-5</v>
      </c>
      <c r="K685" s="96">
        <f t="shared" si="31"/>
        <v>1</v>
      </c>
      <c r="L685" s="96">
        <f t="shared" si="32"/>
        <v>0</v>
      </c>
      <c r="M685" s="96">
        <f t="shared" si="33"/>
        <v>0</v>
      </c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7.6741753544941282</v>
      </c>
      <c r="H686">
        <v>4.8749248570982415E-4</v>
      </c>
      <c r="I686">
        <v>-0.7742922868022426</v>
      </c>
      <c r="J686">
        <v>-3.7746167155916933E-4</v>
      </c>
      <c r="K686" s="96">
        <f t="shared" si="31"/>
        <v>1</v>
      </c>
      <c r="L686" s="96">
        <f t="shared" si="32"/>
        <v>0</v>
      </c>
      <c r="M686" s="96">
        <f t="shared" si="33"/>
        <v>0</v>
      </c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23.332526063482323</v>
      </c>
      <c r="H687">
        <v>4.8749248570982415E-4</v>
      </c>
      <c r="I687">
        <v>-0.45943818688947918</v>
      </c>
      <c r="J687">
        <v>-2.2397266375676696E-4</v>
      </c>
      <c r="K687" s="96">
        <f t="shared" si="31"/>
        <v>1</v>
      </c>
      <c r="L687" s="96">
        <f t="shared" si="32"/>
        <v>0</v>
      </c>
      <c r="M687" s="96">
        <f t="shared" si="33"/>
        <v>0</v>
      </c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35.076289095223459</v>
      </c>
      <c r="H688">
        <v>1.2297107747635203E-4</v>
      </c>
      <c r="I688">
        <v>-0.31061234092984941</v>
      </c>
      <c r="J688">
        <v>-3.8196334241595581E-5</v>
      </c>
      <c r="K688" s="96">
        <f t="shared" si="31"/>
        <v>1</v>
      </c>
      <c r="L688" s="96">
        <f t="shared" si="32"/>
        <v>0</v>
      </c>
      <c r="M688" s="96">
        <f t="shared" si="33"/>
        <v>0</v>
      </c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3.7595876772470644</v>
      </c>
      <c r="H689">
        <v>4.8749248570982415E-4</v>
      </c>
      <c r="I689">
        <v>-0.88221491113192896</v>
      </c>
      <c r="J689">
        <v>-4.3007313995797566E-4</v>
      </c>
      <c r="K689" s="96">
        <f t="shared" si="31"/>
        <v>1</v>
      </c>
      <c r="L689" s="96">
        <f t="shared" si="32"/>
        <v>0</v>
      </c>
      <c r="M689" s="96">
        <f t="shared" si="33"/>
        <v>0</v>
      </c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19.41793838623526</v>
      </c>
      <c r="H690">
        <v>4.8749248570982415E-4</v>
      </c>
      <c r="I690">
        <v>-0.52347572890240823</v>
      </c>
      <c r="J690">
        <v>-2.5519048429139705E-4</v>
      </c>
      <c r="K690" s="96">
        <f t="shared" si="31"/>
        <v>1</v>
      </c>
      <c r="L690" s="96">
        <f t="shared" si="32"/>
        <v>0</v>
      </c>
      <c r="M690" s="96">
        <f t="shared" si="33"/>
        <v>0</v>
      </c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31.161701417976392</v>
      </c>
      <c r="H691">
        <v>1.2297107747635203E-4</v>
      </c>
      <c r="I691">
        <v>-0.35390619720830968</v>
      </c>
      <c r="J691">
        <v>-4.3520226396264173E-5</v>
      </c>
      <c r="K691" s="96">
        <f t="shared" si="31"/>
        <v>1</v>
      </c>
      <c r="L691" s="96">
        <f t="shared" si="32"/>
        <v>0</v>
      </c>
      <c r="M691" s="96">
        <f t="shared" si="33"/>
        <v>0</v>
      </c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-0.25</v>
      </c>
      <c r="H692">
        <v>1.2297107747635203E-4</v>
      </c>
      <c r="I692">
        <v>-1.008368152207447</v>
      </c>
      <c r="J692">
        <v>-1.240001181697879E-4</v>
      </c>
      <c r="K692" s="96">
        <f t="shared" si="31"/>
        <v>1</v>
      </c>
      <c r="L692" s="96">
        <f t="shared" si="32"/>
        <v>0</v>
      </c>
      <c r="M692" s="96">
        <f t="shared" si="33"/>
        <v>0</v>
      </c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15.503350708988195</v>
      </c>
      <c r="H693">
        <v>1.2297107747635203E-4</v>
      </c>
      <c r="I693">
        <v>-0.59643896952742081</v>
      </c>
      <c r="J693">
        <v>-7.3344742731672031E-5</v>
      </c>
      <c r="K693" s="96">
        <f t="shared" si="31"/>
        <v>1</v>
      </c>
      <c r="L693" s="96">
        <f t="shared" si="32"/>
        <v>0</v>
      </c>
      <c r="M693" s="96">
        <f t="shared" si="33"/>
        <v>0</v>
      </c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27.247113740729322</v>
      </c>
      <c r="H694">
        <v>3.1019731255296003E-5</v>
      </c>
      <c r="I694">
        <v>-0.40323444988534479</v>
      </c>
      <c r="J694">
        <v>-1.2508224268320519E-5</v>
      </c>
      <c r="K694" s="96">
        <f t="shared" si="31"/>
        <v>1</v>
      </c>
      <c r="L694" s="96">
        <f t="shared" si="32"/>
        <v>0</v>
      </c>
      <c r="M694" s="96">
        <f t="shared" si="33"/>
        <v>0</v>
      </c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7.6741753544941282</v>
      </c>
      <c r="H695">
        <v>1.2297107747635203E-4</v>
      </c>
      <c r="I695">
        <v>-0.7742922868022426</v>
      </c>
      <c r="J695">
        <v>-9.5215556789700367E-5</v>
      </c>
      <c r="K695" s="96">
        <f t="shared" si="31"/>
        <v>1</v>
      </c>
      <c r="L695" s="96">
        <f t="shared" si="32"/>
        <v>0</v>
      </c>
      <c r="M695" s="96">
        <f t="shared" si="33"/>
        <v>0</v>
      </c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23.332526063482323</v>
      </c>
      <c r="H696">
        <v>1.2297107747635203E-4</v>
      </c>
      <c r="I696">
        <v>-0.45943818688947918</v>
      </c>
      <c r="J696">
        <v>-5.6497608875580852E-5</v>
      </c>
      <c r="K696" s="96">
        <f t="shared" si="31"/>
        <v>1</v>
      </c>
      <c r="L696" s="96">
        <f t="shared" si="32"/>
        <v>0</v>
      </c>
      <c r="M696" s="96">
        <f t="shared" si="33"/>
        <v>0</v>
      </c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35.076289095223459</v>
      </c>
      <c r="H697">
        <v>3.1019731255296003E-5</v>
      </c>
      <c r="I697">
        <v>-0.31061234092984941</v>
      </c>
      <c r="J697">
        <v>-9.6351113402223084E-6</v>
      </c>
      <c r="K697" s="96">
        <f t="shared" si="31"/>
        <v>1</v>
      </c>
      <c r="L697" s="96">
        <f t="shared" si="32"/>
        <v>0</v>
      </c>
      <c r="M697" s="96">
        <f t="shared" si="33"/>
        <v>0</v>
      </c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3.7595876772470644</v>
      </c>
      <c r="H698">
        <v>1.2297107747635203E-4</v>
      </c>
      <c r="I698">
        <v>-0.88221491113192896</v>
      </c>
      <c r="J698">
        <v>-1.0848691818759746E-4</v>
      </c>
      <c r="K698" s="96">
        <f t="shared" si="31"/>
        <v>1</v>
      </c>
      <c r="L698" s="96">
        <f t="shared" si="32"/>
        <v>0</v>
      </c>
      <c r="M698" s="96">
        <f t="shared" si="33"/>
        <v>0</v>
      </c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19.41793838623526</v>
      </c>
      <c r="H699">
        <v>1.2297107747635203E-4</v>
      </c>
      <c r="I699">
        <v>-0.52347572890240823</v>
      </c>
      <c r="J699">
        <v>-6.4372374415847894E-5</v>
      </c>
      <c r="K699" s="96">
        <f t="shared" si="31"/>
        <v>1</v>
      </c>
      <c r="L699" s="96">
        <f t="shared" si="32"/>
        <v>0</v>
      </c>
      <c r="M699" s="96">
        <f t="shared" si="33"/>
        <v>0</v>
      </c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31.161701417976392</v>
      </c>
      <c r="H700">
        <v>3.1019731255296003E-5</v>
      </c>
      <c r="I700">
        <v>-0.35390619720830968</v>
      </c>
      <c r="J700">
        <v>-1.0978075126985556E-5</v>
      </c>
      <c r="K700" s="96">
        <f t="shared" si="31"/>
        <v>1</v>
      </c>
      <c r="L700" s="96">
        <f t="shared" si="32"/>
        <v>0</v>
      </c>
      <c r="M700" s="96">
        <f t="shared" si="33"/>
        <v>0</v>
      </c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-0.25</v>
      </c>
      <c r="H701">
        <v>3.1019731255296003E-5</v>
      </c>
      <c r="I701">
        <v>-1.008368152207447</v>
      </c>
      <c r="J701">
        <v>-3.1279309087874425E-5</v>
      </c>
      <c r="K701" s="96">
        <f t="shared" si="31"/>
        <v>1</v>
      </c>
      <c r="L701" s="96">
        <f t="shared" si="32"/>
        <v>0</v>
      </c>
      <c r="M701" s="96">
        <f t="shared" si="33"/>
        <v>0</v>
      </c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15.503350708988195</v>
      </c>
      <c r="H702">
        <v>3.1019731255296003E-5</v>
      </c>
      <c r="I702">
        <v>-0.59643896952742081</v>
      </c>
      <c r="J702">
        <v>-1.8501376544926276E-5</v>
      </c>
      <c r="K702" s="96">
        <f t="shared" si="31"/>
        <v>1</v>
      </c>
      <c r="L702" s="96">
        <f t="shared" si="32"/>
        <v>0</v>
      </c>
      <c r="M702" s="96">
        <f t="shared" si="33"/>
        <v>0</v>
      </c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27.247113740729322</v>
      </c>
      <c r="H703">
        <v>7.8247970734080021E-6</v>
      </c>
      <c r="I703">
        <v>-0.40323444988534479</v>
      </c>
      <c r="J703">
        <v>-3.1552277433601316E-6</v>
      </c>
      <c r="K703" s="96">
        <f t="shared" si="31"/>
        <v>1</v>
      </c>
      <c r="L703" s="96">
        <f t="shared" si="32"/>
        <v>0</v>
      </c>
      <c r="M703" s="96">
        <f t="shared" si="33"/>
        <v>0</v>
      </c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7.6741753544941282</v>
      </c>
      <c r="H704">
        <v>1.2297107747635203E-4</v>
      </c>
      <c r="I704">
        <v>-0.7742922868022426</v>
      </c>
      <c r="J704">
        <v>-9.5215556789700367E-5</v>
      </c>
      <c r="K704" s="96">
        <f t="shared" si="31"/>
        <v>1</v>
      </c>
      <c r="L704" s="96">
        <f t="shared" si="32"/>
        <v>0</v>
      </c>
      <c r="M704" s="96">
        <f t="shared" si="33"/>
        <v>0</v>
      </c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23.332526063482323</v>
      </c>
      <c r="H705">
        <v>1.2297107747635203E-4</v>
      </c>
      <c r="I705">
        <v>-0.45943818688947918</v>
      </c>
      <c r="J705">
        <v>-5.6497608875580852E-5</v>
      </c>
      <c r="K705" s="96">
        <f t="shared" si="31"/>
        <v>1</v>
      </c>
      <c r="L705" s="96">
        <f t="shared" si="32"/>
        <v>0</v>
      </c>
      <c r="M705" s="96">
        <f t="shared" si="33"/>
        <v>0</v>
      </c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35.076289095223459</v>
      </c>
      <c r="H706">
        <v>3.1019731255296003E-5</v>
      </c>
      <c r="I706">
        <v>-0.31061234092984941</v>
      </c>
      <c r="J706">
        <v>-9.6351113402223084E-6</v>
      </c>
      <c r="K706" s="96">
        <f t="shared" si="31"/>
        <v>1</v>
      </c>
      <c r="L706" s="96">
        <f t="shared" si="32"/>
        <v>0</v>
      </c>
      <c r="M706" s="96">
        <f t="shared" si="33"/>
        <v>0</v>
      </c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3.7595876772470644</v>
      </c>
      <c r="H707">
        <v>1.2297107747635203E-4</v>
      </c>
      <c r="I707">
        <v>-0.88221491113192896</v>
      </c>
      <c r="J707">
        <v>-1.0848691818759746E-4</v>
      </c>
      <c r="K707" s="96">
        <f t="shared" ref="K707:K730" si="34">IF(A707=3,1,0)</f>
        <v>1</v>
      </c>
      <c r="L707" s="96">
        <f t="shared" ref="L707:L730" si="35">IF(A707=2,1,0)</f>
        <v>0</v>
      </c>
      <c r="M707" s="96">
        <f t="shared" ref="M707:M730" si="36">IF(A707=1,1,0)</f>
        <v>0</v>
      </c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19.41793838623526</v>
      </c>
      <c r="H708">
        <v>1.2297107747635203E-4</v>
      </c>
      <c r="I708">
        <v>-0.52347572890240823</v>
      </c>
      <c r="J708">
        <v>-6.4372374415847894E-5</v>
      </c>
      <c r="K708" s="96">
        <f t="shared" si="34"/>
        <v>1</v>
      </c>
      <c r="L708" s="96">
        <f t="shared" si="35"/>
        <v>0</v>
      </c>
      <c r="M708" s="96">
        <f t="shared" si="36"/>
        <v>0</v>
      </c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31.161701417976392</v>
      </c>
      <c r="H709">
        <v>3.1019731255296003E-5</v>
      </c>
      <c r="I709">
        <v>-0.35390619720830968</v>
      </c>
      <c r="J709">
        <v>-1.0978075126985556E-5</v>
      </c>
      <c r="K709" s="96">
        <f t="shared" si="34"/>
        <v>1</v>
      </c>
      <c r="L709" s="96">
        <f t="shared" si="35"/>
        <v>0</v>
      </c>
      <c r="M709" s="96">
        <f t="shared" si="36"/>
        <v>0</v>
      </c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-0.25</v>
      </c>
      <c r="H710">
        <v>3.1019731255296003E-5</v>
      </c>
      <c r="I710">
        <v>-1.008368152207447</v>
      </c>
      <c r="J710">
        <v>-3.1279309087874425E-5</v>
      </c>
      <c r="K710" s="96">
        <f t="shared" si="34"/>
        <v>1</v>
      </c>
      <c r="L710" s="96">
        <f t="shared" si="35"/>
        <v>0</v>
      </c>
      <c r="M710" s="96">
        <f t="shared" si="36"/>
        <v>0</v>
      </c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15.503350708988195</v>
      </c>
      <c r="H711">
        <v>3.1019731255296003E-5</v>
      </c>
      <c r="I711">
        <v>-0.59643896952742081</v>
      </c>
      <c r="J711">
        <v>-1.8501376544926276E-5</v>
      </c>
      <c r="K711" s="96">
        <f t="shared" si="34"/>
        <v>1</v>
      </c>
      <c r="L711" s="96">
        <f t="shared" si="35"/>
        <v>0</v>
      </c>
      <c r="M711" s="96">
        <f t="shared" si="36"/>
        <v>0</v>
      </c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27.247113740729322</v>
      </c>
      <c r="H712">
        <v>7.8247970734080021E-6</v>
      </c>
      <c r="I712">
        <v>-0.40323444988534479</v>
      </c>
      <c r="J712">
        <v>-3.1552277433601316E-6</v>
      </c>
      <c r="K712" s="96">
        <f t="shared" si="34"/>
        <v>1</v>
      </c>
      <c r="L712" s="96">
        <f t="shared" si="35"/>
        <v>0</v>
      </c>
      <c r="M712" s="96">
        <f t="shared" si="36"/>
        <v>0</v>
      </c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7.6741753544941282</v>
      </c>
      <c r="H713">
        <v>1.2297107747635203E-4</v>
      </c>
      <c r="I713">
        <v>-0.7742922868022426</v>
      </c>
      <c r="J713">
        <v>-9.5215556789700367E-5</v>
      </c>
      <c r="K713" s="96">
        <f t="shared" si="34"/>
        <v>1</v>
      </c>
      <c r="L713" s="96">
        <f t="shared" si="35"/>
        <v>0</v>
      </c>
      <c r="M713" s="96">
        <f t="shared" si="36"/>
        <v>0</v>
      </c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23.332526063482323</v>
      </c>
      <c r="H714">
        <v>1.2297107747635203E-4</v>
      </c>
      <c r="I714">
        <v>-0.45943818688947918</v>
      </c>
      <c r="J714">
        <v>-5.6497608875580852E-5</v>
      </c>
      <c r="K714" s="96">
        <f t="shared" si="34"/>
        <v>1</v>
      </c>
      <c r="L714" s="96">
        <f t="shared" si="35"/>
        <v>0</v>
      </c>
      <c r="M714" s="96">
        <f t="shared" si="36"/>
        <v>0</v>
      </c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35.076289095223459</v>
      </c>
      <c r="H715">
        <v>3.1019731255296003E-5</v>
      </c>
      <c r="I715">
        <v>-0.31061234092984941</v>
      </c>
      <c r="J715">
        <v>-9.6351113402223084E-6</v>
      </c>
      <c r="K715" s="96">
        <f t="shared" si="34"/>
        <v>1</v>
      </c>
      <c r="L715" s="96">
        <f t="shared" si="35"/>
        <v>0</v>
      </c>
      <c r="M715" s="96">
        <f t="shared" si="36"/>
        <v>0</v>
      </c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3.7595876772470644</v>
      </c>
      <c r="H716">
        <v>1.2297107747635203E-4</v>
      </c>
      <c r="I716">
        <v>-0.88221491113192896</v>
      </c>
      <c r="J716">
        <v>-1.0848691818759746E-4</v>
      </c>
      <c r="K716" s="96">
        <f t="shared" si="34"/>
        <v>1</v>
      </c>
      <c r="L716" s="96">
        <f t="shared" si="35"/>
        <v>0</v>
      </c>
      <c r="M716" s="96">
        <f t="shared" si="36"/>
        <v>0</v>
      </c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19.41793838623526</v>
      </c>
      <c r="H717">
        <v>1.2297107747635203E-4</v>
      </c>
      <c r="I717">
        <v>-0.52347572890240823</v>
      </c>
      <c r="J717">
        <v>-6.4372374415847894E-5</v>
      </c>
      <c r="K717" s="96">
        <f t="shared" si="34"/>
        <v>1</v>
      </c>
      <c r="L717" s="96">
        <f t="shared" si="35"/>
        <v>0</v>
      </c>
      <c r="M717" s="96">
        <f t="shared" si="36"/>
        <v>0</v>
      </c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31.161701417976392</v>
      </c>
      <c r="H718">
        <v>3.1019731255296003E-5</v>
      </c>
      <c r="I718">
        <v>-0.35390619720830968</v>
      </c>
      <c r="J718">
        <v>-1.0978075126985556E-5</v>
      </c>
      <c r="K718" s="96">
        <f t="shared" si="34"/>
        <v>1</v>
      </c>
      <c r="L718" s="96">
        <f t="shared" si="35"/>
        <v>0</v>
      </c>
      <c r="M718" s="96">
        <f t="shared" si="36"/>
        <v>0</v>
      </c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-0.25</v>
      </c>
      <c r="H719">
        <v>3.1019731255296003E-5</v>
      </c>
      <c r="I719">
        <v>-1.008368152207447</v>
      </c>
      <c r="J719">
        <v>-3.1279309087874425E-5</v>
      </c>
      <c r="K719" s="96">
        <f t="shared" si="34"/>
        <v>1</v>
      </c>
      <c r="L719" s="96">
        <f t="shared" si="35"/>
        <v>0</v>
      </c>
      <c r="M719" s="96">
        <f t="shared" si="36"/>
        <v>0</v>
      </c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15.503350708988195</v>
      </c>
      <c r="H720">
        <v>3.1019731255296003E-5</v>
      </c>
      <c r="I720">
        <v>-0.59643896952742081</v>
      </c>
      <c r="J720">
        <v>-1.8501376544926276E-5</v>
      </c>
      <c r="K720" s="96">
        <f t="shared" si="34"/>
        <v>1</v>
      </c>
      <c r="L720" s="96">
        <f t="shared" si="35"/>
        <v>0</v>
      </c>
      <c r="M720" s="96">
        <f t="shared" si="36"/>
        <v>0</v>
      </c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27.247113740729322</v>
      </c>
      <c r="H721">
        <v>7.8247970734080021E-6</v>
      </c>
      <c r="I721">
        <v>-0.40323444988534479</v>
      </c>
      <c r="J721">
        <v>-3.1552277433601316E-6</v>
      </c>
      <c r="K721" s="96">
        <f t="shared" si="34"/>
        <v>1</v>
      </c>
      <c r="L721" s="96">
        <f t="shared" si="35"/>
        <v>0</v>
      </c>
      <c r="M721" s="96">
        <f t="shared" si="36"/>
        <v>0</v>
      </c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7.6741753544941282</v>
      </c>
      <c r="H722">
        <v>3.1019731255296003E-5</v>
      </c>
      <c r="I722">
        <v>-0.7742922868022426</v>
      </c>
      <c r="J722">
        <v>-2.4018338649654142E-5</v>
      </c>
      <c r="K722" s="96">
        <f t="shared" si="34"/>
        <v>1</v>
      </c>
      <c r="L722" s="96">
        <f t="shared" si="35"/>
        <v>0</v>
      </c>
      <c r="M722" s="96">
        <f t="shared" si="36"/>
        <v>0</v>
      </c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23.332526063482323</v>
      </c>
      <c r="H723">
        <v>3.1019731255296003E-5</v>
      </c>
      <c r="I723">
        <v>-0.45943818688947918</v>
      </c>
      <c r="J723">
        <v>-1.4251649085732104E-5</v>
      </c>
      <c r="K723" s="96">
        <f t="shared" si="34"/>
        <v>1</v>
      </c>
      <c r="L723" s="96">
        <f t="shared" si="35"/>
        <v>0</v>
      </c>
      <c r="M723" s="96">
        <f t="shared" si="36"/>
        <v>0</v>
      </c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35.076289095223459</v>
      </c>
      <c r="H724">
        <v>7.8247970734080021E-6</v>
      </c>
      <c r="I724">
        <v>-0.31061234092984941</v>
      </c>
      <c r="J724">
        <v>-2.4304785362722943E-6</v>
      </c>
      <c r="K724" s="96">
        <f t="shared" si="34"/>
        <v>1</v>
      </c>
      <c r="L724" s="96">
        <f t="shared" si="35"/>
        <v>0</v>
      </c>
      <c r="M724" s="96">
        <f t="shared" si="36"/>
        <v>0</v>
      </c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3.7595876772470644</v>
      </c>
      <c r="H725">
        <v>3.1019731255296003E-5</v>
      </c>
      <c r="I725">
        <v>-0.88221491113192896</v>
      </c>
      <c r="J725">
        <v>-2.7366069452727283E-5</v>
      </c>
      <c r="K725" s="96">
        <f t="shared" si="34"/>
        <v>1</v>
      </c>
      <c r="L725" s="96">
        <f t="shared" si="35"/>
        <v>0</v>
      </c>
      <c r="M725" s="96">
        <f t="shared" si="36"/>
        <v>0</v>
      </c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19.41793838623526</v>
      </c>
      <c r="H726">
        <v>3.1019731255296003E-5</v>
      </c>
      <c r="I726">
        <v>-0.52347572890240823</v>
      </c>
      <c r="J726">
        <v>-1.6238076429222891E-5</v>
      </c>
      <c r="K726" s="96">
        <f t="shared" si="34"/>
        <v>1</v>
      </c>
      <c r="L726" s="96">
        <f t="shared" si="35"/>
        <v>0</v>
      </c>
      <c r="M726" s="96">
        <f t="shared" si="36"/>
        <v>0</v>
      </c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31.161701417976392</v>
      </c>
      <c r="H727">
        <v>7.8247970734080021E-6</v>
      </c>
      <c r="I727">
        <v>-0.35390619720830968</v>
      </c>
      <c r="J727">
        <v>-2.7692441761765367E-6</v>
      </c>
      <c r="K727" s="96">
        <f t="shared" si="34"/>
        <v>1</v>
      </c>
      <c r="L727" s="96">
        <f t="shared" si="35"/>
        <v>0</v>
      </c>
      <c r="M727" s="96">
        <f t="shared" si="36"/>
        <v>0</v>
      </c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-0.25</v>
      </c>
      <c r="H728">
        <v>7.8247970734080004E-6</v>
      </c>
      <c r="I728">
        <v>-1.008368152207447</v>
      </c>
      <c r="J728">
        <v>-7.8902761663106644E-6</v>
      </c>
      <c r="K728" s="96">
        <f t="shared" si="34"/>
        <v>1</v>
      </c>
      <c r="L728" s="96">
        <f t="shared" si="35"/>
        <v>0</v>
      </c>
      <c r="M728" s="96">
        <f t="shared" si="36"/>
        <v>0</v>
      </c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15.503350708988195</v>
      </c>
      <c r="H729">
        <v>7.8247970734080004E-6</v>
      </c>
      <c r="I729">
        <v>-0.59643896952742081</v>
      </c>
      <c r="J729">
        <v>-4.6670139032246455E-6</v>
      </c>
      <c r="K729" s="96">
        <f t="shared" si="34"/>
        <v>1</v>
      </c>
      <c r="L729" s="96">
        <f t="shared" si="35"/>
        <v>0</v>
      </c>
      <c r="M729" s="96">
        <f t="shared" si="36"/>
        <v>0</v>
      </c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27.247113740729322</v>
      </c>
      <c r="H730">
        <v>1.9738226851840002E-6</v>
      </c>
      <c r="I730">
        <v>-0.40323444988534479</v>
      </c>
      <c r="J730">
        <v>-7.9591330463138445E-7</v>
      </c>
      <c r="K730" s="96">
        <f t="shared" si="34"/>
        <v>1</v>
      </c>
      <c r="L730" s="96">
        <f t="shared" si="35"/>
        <v>0</v>
      </c>
      <c r="M730" s="96">
        <f t="shared" si="36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730"/>
  <sheetViews>
    <sheetView workbookViewId="0">
      <selection activeCell="R20" sqref="R20"/>
    </sheetView>
  </sheetViews>
  <sheetFormatPr defaultRowHeight="14.25" x14ac:dyDescent="0.45"/>
  <sheetData>
    <row r="1" spans="1:22" x14ac:dyDescent="0.45">
      <c r="G1" t="s">
        <v>84</v>
      </c>
      <c r="H1" t="s">
        <v>75</v>
      </c>
      <c r="I1" t="s">
        <v>87</v>
      </c>
      <c r="J1" t="s">
        <v>88</v>
      </c>
      <c r="K1" s="96" t="s">
        <v>89</v>
      </c>
      <c r="L1" s="96" t="s">
        <v>91</v>
      </c>
      <c r="M1" s="96" t="s">
        <v>90</v>
      </c>
      <c r="N1" s="96" t="s">
        <v>89</v>
      </c>
      <c r="O1" s="96" t="s">
        <v>91</v>
      </c>
      <c r="P1" s="96" t="s">
        <v>90</v>
      </c>
    </row>
    <row r="2" spans="1:22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1.1020342087434447</v>
      </c>
      <c r="H2">
        <v>7.6612180056514559E-3</v>
      </c>
      <c r="I2">
        <v>-0.96393205075479871</v>
      </c>
      <c r="J2">
        <v>-7.3848935834671973E-3</v>
      </c>
      <c r="K2" s="96">
        <f>IF(A2=3,1,0)</f>
        <v>0</v>
      </c>
      <c r="L2" s="96">
        <f>IF(A2=2,1,0)</f>
        <v>0</v>
      </c>
      <c r="M2" s="96">
        <f>IF(A2=1,1,0)</f>
        <v>1</v>
      </c>
      <c r="N2">
        <f>SUMPRODUCT($G$2:$G$730,$H$2:$H$730,K2:K730)</f>
        <v>1.4000117705584485</v>
      </c>
      <c r="O2">
        <f>SUMPRODUCT($G$2:$G$730,$H$2:$H$730,L2:L730)</f>
        <v>2.447672119025778</v>
      </c>
      <c r="P2">
        <f t="shared" ref="P2" si="0">SUMPRODUCT($G$2:$G$730,$H$2:$H$730,M2:M730)</f>
        <v>0.89588001625500457</v>
      </c>
      <c r="R2" s="97" t="s">
        <v>86</v>
      </c>
      <c r="S2" s="97">
        <f>SUM(J2:J730)</f>
        <v>-0.85951141996115432</v>
      </c>
    </row>
    <row r="3" spans="1:22" x14ac:dyDescent="0.45">
      <c r="A3">
        <v>1</v>
      </c>
      <c r="B3">
        <v>1</v>
      </c>
      <c r="C3">
        <v>1</v>
      </c>
      <c r="D3">
        <v>1</v>
      </c>
      <c r="E3">
        <v>1</v>
      </c>
      <c r="F3">
        <v>2</v>
      </c>
      <c r="G3">
        <v>1.2483017249298549</v>
      </c>
      <c r="H3">
        <v>7.6612180056514559E-3</v>
      </c>
      <c r="I3">
        <v>-0.95924375756416069</v>
      </c>
      <c r="J3">
        <v>-7.348975547259308E-3</v>
      </c>
      <c r="K3" s="96">
        <f t="shared" ref="K3:K66" si="1">IF(A3=3,1,0)</f>
        <v>0</v>
      </c>
      <c r="L3" s="96">
        <f t="shared" ref="L3:L66" si="2">IF(A3=2,1,0)</f>
        <v>0</v>
      </c>
      <c r="M3" s="96">
        <f t="shared" ref="M3:M66" si="3">IF(A3=1,1,0)</f>
        <v>1</v>
      </c>
      <c r="R3" s="97"/>
      <c r="S3" s="97"/>
    </row>
    <row r="4" spans="1:22" x14ac:dyDescent="0.45">
      <c r="A4">
        <v>1</v>
      </c>
      <c r="B4">
        <v>1</v>
      </c>
      <c r="C4">
        <v>1</v>
      </c>
      <c r="D4">
        <v>1</v>
      </c>
      <c r="E4">
        <v>1</v>
      </c>
      <c r="F4">
        <v>3</v>
      </c>
      <c r="G4">
        <v>1.3580023620696648</v>
      </c>
      <c r="H4">
        <v>1.932559496921088E-3</v>
      </c>
      <c r="I4">
        <v>-0.95574250790826232</v>
      </c>
      <c r="J4">
        <v>-1.8470292602692903E-3</v>
      </c>
      <c r="K4" s="96">
        <f t="shared" si="1"/>
        <v>0</v>
      </c>
      <c r="L4" s="96">
        <f t="shared" si="2"/>
        <v>0</v>
      </c>
      <c r="M4" s="96">
        <f t="shared" si="3"/>
        <v>1</v>
      </c>
      <c r="R4" s="97" t="s">
        <v>92</v>
      </c>
      <c r="S4" s="97">
        <f>-LN(-1*S2)/(1/risk_tol)</f>
        <v>4.5417350249414641</v>
      </c>
    </row>
    <row r="5" spans="1:22" x14ac:dyDescent="0.45">
      <c r="A5">
        <v>1</v>
      </c>
      <c r="B5">
        <v>1</v>
      </c>
      <c r="C5">
        <v>1</v>
      </c>
      <c r="D5">
        <v>1</v>
      </c>
      <c r="E5">
        <v>2</v>
      </c>
      <c r="F5">
        <v>1</v>
      </c>
      <c r="G5">
        <v>1.1020342087434447</v>
      </c>
      <c r="H5">
        <v>7.6612180056514559E-3</v>
      </c>
      <c r="I5">
        <v>-0.96393205075479871</v>
      </c>
      <c r="J5">
        <v>-7.3848935834671973E-3</v>
      </c>
      <c r="K5" s="96">
        <f t="shared" si="1"/>
        <v>0</v>
      </c>
      <c r="L5" s="96">
        <f t="shared" si="2"/>
        <v>0</v>
      </c>
      <c r="M5" s="96">
        <f t="shared" si="3"/>
        <v>1</v>
      </c>
      <c r="R5" s="97"/>
      <c r="S5" s="97"/>
    </row>
    <row r="6" spans="1:22" x14ac:dyDescent="0.45">
      <c r="A6">
        <v>1</v>
      </c>
      <c r="B6">
        <v>1</v>
      </c>
      <c r="C6">
        <v>1</v>
      </c>
      <c r="D6">
        <v>1</v>
      </c>
      <c r="E6">
        <v>2</v>
      </c>
      <c r="F6">
        <v>2</v>
      </c>
      <c r="G6">
        <v>1.2483017249298549</v>
      </c>
      <c r="H6">
        <v>7.6612180056514559E-3</v>
      </c>
      <c r="I6">
        <v>-0.95924375756416069</v>
      </c>
      <c r="J6">
        <v>-7.348975547259308E-3</v>
      </c>
      <c r="K6" s="96">
        <f t="shared" si="1"/>
        <v>0</v>
      </c>
      <c r="L6" s="96">
        <f t="shared" si="2"/>
        <v>0</v>
      </c>
      <c r="M6" s="96">
        <f t="shared" si="3"/>
        <v>1</v>
      </c>
      <c r="R6" s="97" t="s">
        <v>83</v>
      </c>
      <c r="S6" s="97">
        <f>SUMPRODUCT(G2:G730,H2:H730)</f>
        <v>4.7435639058392374</v>
      </c>
    </row>
    <row r="7" spans="1:22" x14ac:dyDescent="0.45">
      <c r="A7">
        <v>1</v>
      </c>
      <c r="B7">
        <v>1</v>
      </c>
      <c r="C7">
        <v>1</v>
      </c>
      <c r="D7">
        <v>1</v>
      </c>
      <c r="E7">
        <v>2</v>
      </c>
      <c r="F7">
        <v>3</v>
      </c>
      <c r="G7">
        <v>1.3580023620696648</v>
      </c>
      <c r="H7">
        <v>1.932559496921088E-3</v>
      </c>
      <c r="I7">
        <v>-0.95574250790826232</v>
      </c>
      <c r="J7">
        <v>-1.8470292602692903E-3</v>
      </c>
      <c r="K7" s="96">
        <f t="shared" si="1"/>
        <v>0</v>
      </c>
      <c r="L7" s="96">
        <f t="shared" si="2"/>
        <v>0</v>
      </c>
      <c r="M7" s="96">
        <f t="shared" si="3"/>
        <v>1</v>
      </c>
    </row>
    <row r="8" spans="1:22" x14ac:dyDescent="0.45">
      <c r="A8">
        <v>1</v>
      </c>
      <c r="B8">
        <v>1</v>
      </c>
      <c r="C8">
        <v>1</v>
      </c>
      <c r="D8">
        <v>1</v>
      </c>
      <c r="E8">
        <v>3</v>
      </c>
      <c r="F8">
        <v>1</v>
      </c>
      <c r="G8">
        <v>1.1020342087434447</v>
      </c>
      <c r="H8">
        <v>1.932559496921088E-3</v>
      </c>
      <c r="I8">
        <v>-0.96393205075479871</v>
      </c>
      <c r="J8">
        <v>-1.8628560390728064E-3</v>
      </c>
      <c r="K8" s="96">
        <f t="shared" si="1"/>
        <v>0</v>
      </c>
      <c r="L8" s="96">
        <f t="shared" si="2"/>
        <v>0</v>
      </c>
      <c r="M8" s="96">
        <f t="shared" si="3"/>
        <v>1</v>
      </c>
    </row>
    <row r="9" spans="1:22" x14ac:dyDescent="0.45">
      <c r="A9">
        <v>1</v>
      </c>
      <c r="B9">
        <v>1</v>
      </c>
      <c r="C9">
        <v>1</v>
      </c>
      <c r="D9">
        <v>1</v>
      </c>
      <c r="E9">
        <v>3</v>
      </c>
      <c r="F9">
        <v>2</v>
      </c>
      <c r="G9">
        <v>1.2483017249298549</v>
      </c>
      <c r="H9">
        <v>1.932559496921088E-3</v>
      </c>
      <c r="I9">
        <v>-0.95924375756416069</v>
      </c>
      <c r="J9">
        <v>-1.8537956335428884E-3</v>
      </c>
      <c r="K9" s="96">
        <f t="shared" si="1"/>
        <v>0</v>
      </c>
      <c r="L9" s="96">
        <f t="shared" si="2"/>
        <v>0</v>
      </c>
      <c r="M9" s="96">
        <f t="shared" si="3"/>
        <v>1</v>
      </c>
    </row>
    <row r="10" spans="1:22" x14ac:dyDescent="0.45">
      <c r="A10">
        <v>1</v>
      </c>
      <c r="B10">
        <v>1</v>
      </c>
      <c r="C10">
        <v>1</v>
      </c>
      <c r="D10">
        <v>1</v>
      </c>
      <c r="E10">
        <v>3</v>
      </c>
      <c r="F10">
        <v>3</v>
      </c>
      <c r="G10">
        <v>1.3580023620696648</v>
      </c>
      <c r="H10">
        <v>4.8749248570982399E-4</v>
      </c>
      <c r="I10">
        <v>-0.95574250790826232</v>
      </c>
      <c r="J10">
        <v>-4.6591729087873992E-4</v>
      </c>
      <c r="K10" s="96">
        <f t="shared" si="1"/>
        <v>0</v>
      </c>
      <c r="L10" s="96">
        <f t="shared" si="2"/>
        <v>0</v>
      </c>
      <c r="M10" s="96">
        <f t="shared" si="3"/>
        <v>1</v>
      </c>
    </row>
    <row r="11" spans="1:22" x14ac:dyDescent="0.45">
      <c r="A11">
        <v>1</v>
      </c>
      <c r="B11">
        <v>1</v>
      </c>
      <c r="C11">
        <v>1</v>
      </c>
      <c r="D11">
        <v>2</v>
      </c>
      <c r="E11">
        <v>1</v>
      </c>
      <c r="F11">
        <v>1</v>
      </c>
      <c r="G11">
        <v>1.1020342087434447</v>
      </c>
      <c r="H11">
        <v>7.6612180056514559E-3</v>
      </c>
      <c r="I11">
        <v>-0.96393205075479871</v>
      </c>
      <c r="J11">
        <v>-7.3848935834671973E-3</v>
      </c>
      <c r="K11" s="96">
        <f t="shared" si="1"/>
        <v>0</v>
      </c>
      <c r="L11" s="96">
        <f t="shared" si="2"/>
        <v>0</v>
      </c>
      <c r="M11" s="96">
        <f t="shared" si="3"/>
        <v>1</v>
      </c>
    </row>
    <row r="12" spans="1:22" x14ac:dyDescent="0.45">
      <c r="A12">
        <v>1</v>
      </c>
      <c r="B12">
        <v>1</v>
      </c>
      <c r="C12">
        <v>1</v>
      </c>
      <c r="D12">
        <v>2</v>
      </c>
      <c r="E12">
        <v>1</v>
      </c>
      <c r="F12">
        <v>2</v>
      </c>
      <c r="G12">
        <v>1.2483017249298549</v>
      </c>
      <c r="H12">
        <v>7.6612180056514559E-3</v>
      </c>
      <c r="I12">
        <v>-0.95924375756416069</v>
      </c>
      <c r="J12">
        <v>-7.348975547259308E-3</v>
      </c>
      <c r="K12" s="96">
        <f t="shared" si="1"/>
        <v>0</v>
      </c>
      <c r="L12" s="96">
        <f t="shared" si="2"/>
        <v>0</v>
      </c>
      <c r="M12" s="96">
        <f t="shared" si="3"/>
        <v>1</v>
      </c>
    </row>
    <row r="13" spans="1:22" x14ac:dyDescent="0.45">
      <c r="A13">
        <v>1</v>
      </c>
      <c r="B13">
        <v>1</v>
      </c>
      <c r="C13">
        <v>1</v>
      </c>
      <c r="D13">
        <v>2</v>
      </c>
      <c r="E13">
        <v>1</v>
      </c>
      <c r="F13">
        <v>3</v>
      </c>
      <c r="G13">
        <v>1.3580023620696648</v>
      </c>
      <c r="H13">
        <v>1.932559496921088E-3</v>
      </c>
      <c r="I13">
        <v>-0.95574250790826232</v>
      </c>
      <c r="J13">
        <v>-1.8470292602692903E-3</v>
      </c>
      <c r="K13" s="96">
        <f t="shared" si="1"/>
        <v>0</v>
      </c>
      <c r="L13" s="96">
        <f t="shared" si="2"/>
        <v>0</v>
      </c>
      <c r="M13" s="96">
        <f t="shared" si="3"/>
        <v>1</v>
      </c>
      <c r="R13" t="s">
        <v>95</v>
      </c>
      <c r="S13">
        <v>12.016861032418722</v>
      </c>
      <c r="T13">
        <v>10.01946117017515</v>
      </c>
      <c r="U13">
        <v>11.594696759797737</v>
      </c>
      <c r="V13">
        <v>8.8114346921202618</v>
      </c>
    </row>
    <row r="14" spans="1:22" x14ac:dyDescent="0.45">
      <c r="A14">
        <v>1</v>
      </c>
      <c r="B14">
        <v>1</v>
      </c>
      <c r="C14">
        <v>1</v>
      </c>
      <c r="D14">
        <v>2</v>
      </c>
      <c r="E14">
        <v>2</v>
      </c>
      <c r="F14">
        <v>1</v>
      </c>
      <c r="G14">
        <v>1.1020342087434447</v>
      </c>
      <c r="H14">
        <v>7.6612180056514559E-3</v>
      </c>
      <c r="I14">
        <v>-0.96393205075479871</v>
      </c>
      <c r="J14">
        <v>-7.3848935834671973E-3</v>
      </c>
      <c r="K14" s="96">
        <f t="shared" si="1"/>
        <v>0</v>
      </c>
      <c r="L14" s="96">
        <f t="shared" si="2"/>
        <v>0</v>
      </c>
      <c r="M14" s="96">
        <f t="shared" si="3"/>
        <v>1</v>
      </c>
      <c r="R14" t="s">
        <v>37</v>
      </c>
      <c r="S14">
        <v>4.1490697942127079</v>
      </c>
      <c r="T14">
        <v>7.9092671265669594</v>
      </c>
      <c r="U14">
        <v>5.4019034698408328</v>
      </c>
      <c r="V14">
        <v>4.7473852218770398</v>
      </c>
    </row>
    <row r="15" spans="1:22" x14ac:dyDescent="0.45">
      <c r="A15">
        <v>1</v>
      </c>
      <c r="B15">
        <v>1</v>
      </c>
      <c r="C15">
        <v>1</v>
      </c>
      <c r="D15">
        <v>2</v>
      </c>
      <c r="E15">
        <v>2</v>
      </c>
      <c r="F15">
        <v>2</v>
      </c>
      <c r="G15">
        <v>1.2483017249298549</v>
      </c>
      <c r="H15">
        <v>7.6612180056514559E-3</v>
      </c>
      <c r="I15">
        <v>-0.95924375756416069</v>
      </c>
      <c r="J15">
        <v>-7.348975547259308E-3</v>
      </c>
      <c r="K15" s="96">
        <f t="shared" si="1"/>
        <v>0</v>
      </c>
      <c r="L15" s="96">
        <f t="shared" si="2"/>
        <v>0</v>
      </c>
      <c r="M15" s="96">
        <f t="shared" si="3"/>
        <v>1</v>
      </c>
      <c r="R15" t="s">
        <v>36</v>
      </c>
      <c r="S15">
        <v>6.3157969057780319</v>
      </c>
      <c r="T15">
        <v>3.1673125354751499</v>
      </c>
      <c r="U15">
        <v>5.2041729002002759</v>
      </c>
      <c r="V15">
        <v>3.4166787581690814</v>
      </c>
    </row>
    <row r="16" spans="1:22" x14ac:dyDescent="0.45">
      <c r="A16">
        <v>1</v>
      </c>
      <c r="B16">
        <v>1</v>
      </c>
      <c r="C16">
        <v>1</v>
      </c>
      <c r="D16">
        <v>2</v>
      </c>
      <c r="E16">
        <v>2</v>
      </c>
      <c r="F16">
        <v>3</v>
      </c>
      <c r="G16">
        <v>1.3580023620696648</v>
      </c>
      <c r="H16">
        <v>1.932559496921088E-3</v>
      </c>
      <c r="I16">
        <v>-0.95574250790826232</v>
      </c>
      <c r="J16">
        <v>-1.8470292602692903E-3</v>
      </c>
      <c r="K16" s="96">
        <f t="shared" si="1"/>
        <v>0</v>
      </c>
      <c r="L16" s="96">
        <f t="shared" si="2"/>
        <v>0</v>
      </c>
      <c r="M16" s="96">
        <f t="shared" si="3"/>
        <v>1</v>
      </c>
      <c r="R16" t="s">
        <v>35</v>
      </c>
      <c r="S16">
        <v>1.5519943324279974</v>
      </c>
      <c r="T16">
        <v>-1.0571184918669532</v>
      </c>
      <c r="U16">
        <v>0.98862038975663391</v>
      </c>
      <c r="V16">
        <v>0.64737071207414154</v>
      </c>
    </row>
    <row r="17" spans="1:18" x14ac:dyDescent="0.45">
      <c r="A17">
        <v>1</v>
      </c>
      <c r="B17">
        <v>1</v>
      </c>
      <c r="C17">
        <v>1</v>
      </c>
      <c r="D17">
        <v>2</v>
      </c>
      <c r="E17">
        <v>3</v>
      </c>
      <c r="F17">
        <v>1</v>
      </c>
      <c r="G17">
        <v>1.1020342087434447</v>
      </c>
      <c r="H17">
        <v>1.932559496921088E-3</v>
      </c>
      <c r="I17">
        <v>-0.96393205075479871</v>
      </c>
      <c r="J17">
        <v>-1.8628560390728064E-3</v>
      </c>
      <c r="K17" s="96">
        <f t="shared" si="1"/>
        <v>0</v>
      </c>
      <c r="L17" s="96">
        <f t="shared" si="2"/>
        <v>0</v>
      </c>
      <c r="M17" s="96">
        <f t="shared" si="3"/>
        <v>1</v>
      </c>
    </row>
    <row r="18" spans="1:18" x14ac:dyDescent="0.45">
      <c r="A18">
        <v>1</v>
      </c>
      <c r="B18">
        <v>1</v>
      </c>
      <c r="C18">
        <v>1</v>
      </c>
      <c r="D18">
        <v>2</v>
      </c>
      <c r="E18">
        <v>3</v>
      </c>
      <c r="F18">
        <v>2</v>
      </c>
      <c r="G18">
        <v>1.2483017249298549</v>
      </c>
      <c r="H18">
        <v>1.932559496921088E-3</v>
      </c>
      <c r="I18">
        <v>-0.95924375756416069</v>
      </c>
      <c r="J18">
        <v>-1.8537956335428884E-3</v>
      </c>
      <c r="K18" s="96">
        <f t="shared" si="1"/>
        <v>0</v>
      </c>
      <c r="L18" s="96">
        <f t="shared" si="2"/>
        <v>0</v>
      </c>
      <c r="M18" s="96">
        <f t="shared" si="3"/>
        <v>1</v>
      </c>
    </row>
    <row r="19" spans="1:18" x14ac:dyDescent="0.45">
      <c r="A19">
        <v>1</v>
      </c>
      <c r="B19">
        <v>1</v>
      </c>
      <c r="C19">
        <v>1</v>
      </c>
      <c r="D19">
        <v>2</v>
      </c>
      <c r="E19">
        <v>3</v>
      </c>
      <c r="F19">
        <v>3</v>
      </c>
      <c r="G19">
        <v>1.3580023620696648</v>
      </c>
      <c r="H19">
        <v>4.8749248570982399E-4</v>
      </c>
      <c r="I19">
        <v>-0.95574250790826232</v>
      </c>
      <c r="J19">
        <v>-4.6591729087873992E-4</v>
      </c>
      <c r="K19" s="96">
        <f t="shared" si="1"/>
        <v>0</v>
      </c>
      <c r="L19" s="96">
        <f t="shared" si="2"/>
        <v>0</v>
      </c>
      <c r="M19" s="96">
        <f t="shared" si="3"/>
        <v>1</v>
      </c>
      <c r="R19" s="112">
        <v>4.1000000000000002E-2</v>
      </c>
    </row>
    <row r="20" spans="1:18" x14ac:dyDescent="0.45">
      <c r="A20">
        <v>1</v>
      </c>
      <c r="B20">
        <v>1</v>
      </c>
      <c r="C20">
        <v>1</v>
      </c>
      <c r="D20">
        <v>3</v>
      </c>
      <c r="E20">
        <v>1</v>
      </c>
      <c r="F20">
        <v>1</v>
      </c>
      <c r="G20">
        <v>1.1020342087434447</v>
      </c>
      <c r="H20">
        <v>1.932559496921088E-3</v>
      </c>
      <c r="I20">
        <v>-0.96393205075479871</v>
      </c>
      <c r="J20">
        <v>-1.8628560390728064E-3</v>
      </c>
      <c r="K20" s="96">
        <f t="shared" si="1"/>
        <v>0</v>
      </c>
      <c r="L20" s="96">
        <f t="shared" si="2"/>
        <v>0</v>
      </c>
      <c r="M20" s="96">
        <f t="shared" si="3"/>
        <v>1</v>
      </c>
    </row>
    <row r="21" spans="1:18" x14ac:dyDescent="0.45">
      <c r="A21">
        <v>1</v>
      </c>
      <c r="B21">
        <v>1</v>
      </c>
      <c r="C21">
        <v>1</v>
      </c>
      <c r="D21">
        <v>3</v>
      </c>
      <c r="E21">
        <v>1</v>
      </c>
      <c r="F21">
        <v>2</v>
      </c>
      <c r="G21">
        <v>1.2483017249298549</v>
      </c>
      <c r="H21">
        <v>1.932559496921088E-3</v>
      </c>
      <c r="I21">
        <v>-0.95924375756416069</v>
      </c>
      <c r="J21">
        <v>-1.8537956335428884E-3</v>
      </c>
      <c r="K21" s="96">
        <f t="shared" si="1"/>
        <v>0</v>
      </c>
      <c r="L21" s="96">
        <f t="shared" si="2"/>
        <v>0</v>
      </c>
      <c r="M21" s="96">
        <f t="shared" si="3"/>
        <v>1</v>
      </c>
    </row>
    <row r="22" spans="1:18" x14ac:dyDescent="0.45">
      <c r="A22">
        <v>1</v>
      </c>
      <c r="B22">
        <v>1</v>
      </c>
      <c r="C22">
        <v>1</v>
      </c>
      <c r="D22">
        <v>3</v>
      </c>
      <c r="E22">
        <v>1</v>
      </c>
      <c r="F22">
        <v>3</v>
      </c>
      <c r="G22">
        <v>1.3580023620696648</v>
      </c>
      <c r="H22">
        <v>4.8749248570982399E-4</v>
      </c>
      <c r="I22">
        <v>-0.95574250790826232</v>
      </c>
      <c r="J22">
        <v>-4.6591729087873992E-4</v>
      </c>
      <c r="K22" s="96">
        <f t="shared" si="1"/>
        <v>0</v>
      </c>
      <c r="L22" s="96">
        <f t="shared" si="2"/>
        <v>0</v>
      </c>
      <c r="M22" s="96">
        <f t="shared" si="3"/>
        <v>1</v>
      </c>
    </row>
    <row r="23" spans="1:18" x14ac:dyDescent="0.45">
      <c r="A23">
        <v>1</v>
      </c>
      <c r="B23">
        <v>1</v>
      </c>
      <c r="C23">
        <v>1</v>
      </c>
      <c r="D23">
        <v>3</v>
      </c>
      <c r="E23">
        <v>2</v>
      </c>
      <c r="F23">
        <v>1</v>
      </c>
      <c r="G23">
        <v>1.1020342087434447</v>
      </c>
      <c r="H23">
        <v>1.932559496921088E-3</v>
      </c>
      <c r="I23">
        <v>-0.96393205075479871</v>
      </c>
      <c r="J23">
        <v>-1.8628560390728064E-3</v>
      </c>
      <c r="K23" s="96">
        <f t="shared" si="1"/>
        <v>0</v>
      </c>
      <c r="L23" s="96">
        <f t="shared" si="2"/>
        <v>0</v>
      </c>
      <c r="M23" s="96">
        <f t="shared" si="3"/>
        <v>1</v>
      </c>
    </row>
    <row r="24" spans="1:18" x14ac:dyDescent="0.45">
      <c r="A24">
        <v>1</v>
      </c>
      <c r="B24">
        <v>1</v>
      </c>
      <c r="C24">
        <v>1</v>
      </c>
      <c r="D24">
        <v>3</v>
      </c>
      <c r="E24">
        <v>2</v>
      </c>
      <c r="F24">
        <v>2</v>
      </c>
      <c r="G24">
        <v>1.2483017249298549</v>
      </c>
      <c r="H24">
        <v>1.932559496921088E-3</v>
      </c>
      <c r="I24">
        <v>-0.95924375756416069</v>
      </c>
      <c r="J24">
        <v>-1.8537956335428884E-3</v>
      </c>
      <c r="K24" s="96">
        <f t="shared" si="1"/>
        <v>0</v>
      </c>
      <c r="L24" s="96">
        <f t="shared" si="2"/>
        <v>0</v>
      </c>
      <c r="M24" s="96">
        <f t="shared" si="3"/>
        <v>1</v>
      </c>
    </row>
    <row r="25" spans="1:18" x14ac:dyDescent="0.45">
      <c r="A25">
        <v>1</v>
      </c>
      <c r="B25">
        <v>1</v>
      </c>
      <c r="C25">
        <v>1</v>
      </c>
      <c r="D25">
        <v>3</v>
      </c>
      <c r="E25">
        <v>2</v>
      </c>
      <c r="F25">
        <v>3</v>
      </c>
      <c r="G25">
        <v>1.3580023620696648</v>
      </c>
      <c r="H25">
        <v>4.8749248570982399E-4</v>
      </c>
      <c r="I25">
        <v>-0.95574250790826232</v>
      </c>
      <c r="J25">
        <v>-4.6591729087873992E-4</v>
      </c>
      <c r="K25" s="96">
        <f t="shared" si="1"/>
        <v>0</v>
      </c>
      <c r="L25" s="96">
        <f t="shared" si="2"/>
        <v>0</v>
      </c>
      <c r="M25" s="96">
        <f t="shared" si="3"/>
        <v>1</v>
      </c>
    </row>
    <row r="26" spans="1:18" x14ac:dyDescent="0.45">
      <c r="A26">
        <v>1</v>
      </c>
      <c r="B26">
        <v>1</v>
      </c>
      <c r="C26">
        <v>1</v>
      </c>
      <c r="D26">
        <v>3</v>
      </c>
      <c r="E26">
        <v>3</v>
      </c>
      <c r="F26">
        <v>1</v>
      </c>
      <c r="G26">
        <v>1.1020342087434447</v>
      </c>
      <c r="H26">
        <v>4.8749248570982405E-4</v>
      </c>
      <c r="I26">
        <v>-0.96393205075479871</v>
      </c>
      <c r="J26">
        <v>-4.6990963147782507E-4</v>
      </c>
      <c r="K26" s="96">
        <f t="shared" si="1"/>
        <v>0</v>
      </c>
      <c r="L26" s="96">
        <f t="shared" si="2"/>
        <v>0</v>
      </c>
      <c r="M26" s="96">
        <f t="shared" si="3"/>
        <v>1</v>
      </c>
    </row>
    <row r="27" spans="1:18" x14ac:dyDescent="0.45">
      <c r="A27">
        <v>1</v>
      </c>
      <c r="B27">
        <v>1</v>
      </c>
      <c r="C27">
        <v>1</v>
      </c>
      <c r="D27">
        <v>3</v>
      </c>
      <c r="E27">
        <v>3</v>
      </c>
      <c r="F27">
        <v>2</v>
      </c>
      <c r="G27">
        <v>1.2483017249298549</v>
      </c>
      <c r="H27">
        <v>4.8749248570982405E-4</v>
      </c>
      <c r="I27">
        <v>-0.95924375756416069</v>
      </c>
      <c r="J27">
        <v>-4.676241237765845E-4</v>
      </c>
      <c r="K27" s="96">
        <f t="shared" si="1"/>
        <v>0</v>
      </c>
      <c r="L27" s="96">
        <f t="shared" si="2"/>
        <v>0</v>
      </c>
      <c r="M27" s="96">
        <f t="shared" si="3"/>
        <v>1</v>
      </c>
    </row>
    <row r="28" spans="1:18" x14ac:dyDescent="0.45">
      <c r="A28">
        <v>1</v>
      </c>
      <c r="B28">
        <v>1</v>
      </c>
      <c r="C28">
        <v>1</v>
      </c>
      <c r="D28">
        <v>3</v>
      </c>
      <c r="E28">
        <v>3</v>
      </c>
      <c r="F28">
        <v>3</v>
      </c>
      <c r="G28">
        <v>1.3580023620696648</v>
      </c>
      <c r="H28">
        <v>1.2297107747635201E-4</v>
      </c>
      <c r="I28">
        <v>-0.95574250790826232</v>
      </c>
      <c r="J28">
        <v>-1.175286859874299E-4</v>
      </c>
      <c r="K28" s="96">
        <f t="shared" si="1"/>
        <v>0</v>
      </c>
      <c r="L28" s="96">
        <f t="shared" si="2"/>
        <v>0</v>
      </c>
      <c r="M28" s="96">
        <f t="shared" si="3"/>
        <v>1</v>
      </c>
    </row>
    <row r="29" spans="1:18" x14ac:dyDescent="0.45">
      <c r="A29">
        <v>1</v>
      </c>
      <c r="B29">
        <v>1</v>
      </c>
      <c r="C29">
        <v>2</v>
      </c>
      <c r="D29">
        <v>1</v>
      </c>
      <c r="E29">
        <v>1</v>
      </c>
      <c r="F29">
        <v>1</v>
      </c>
      <c r="G29">
        <v>1.4311361201628718</v>
      </c>
      <c r="H29">
        <v>7.6612180056514559E-3</v>
      </c>
      <c r="I29">
        <v>-0.95341544413027235</v>
      </c>
      <c r="J29">
        <v>-7.3043235674370224E-3</v>
      </c>
      <c r="K29" s="96">
        <f t="shared" si="1"/>
        <v>0</v>
      </c>
      <c r="L29" s="96">
        <f t="shared" si="2"/>
        <v>0</v>
      </c>
      <c r="M29" s="96">
        <f t="shared" si="3"/>
        <v>1</v>
      </c>
    </row>
    <row r="30" spans="1:18" x14ac:dyDescent="0.45">
      <c r="A30">
        <v>1</v>
      </c>
      <c r="B30">
        <v>1</v>
      </c>
      <c r="C30">
        <v>2</v>
      </c>
      <c r="D30">
        <v>1</v>
      </c>
      <c r="E30">
        <v>1</v>
      </c>
      <c r="F30">
        <v>2</v>
      </c>
      <c r="G30">
        <v>1.6107073081757775</v>
      </c>
      <c r="H30">
        <v>7.6612180056514559E-3</v>
      </c>
      <c r="I30">
        <v>-0.94772562511208769</v>
      </c>
      <c r="J30">
        <v>-7.2607326235260075E-3</v>
      </c>
      <c r="K30" s="96">
        <f t="shared" si="1"/>
        <v>0</v>
      </c>
      <c r="L30" s="96">
        <f t="shared" si="2"/>
        <v>0</v>
      </c>
      <c r="M30" s="96">
        <f t="shared" si="3"/>
        <v>1</v>
      </c>
    </row>
    <row r="31" spans="1:18" x14ac:dyDescent="0.45">
      <c r="A31">
        <v>1</v>
      </c>
      <c r="B31">
        <v>1</v>
      </c>
      <c r="C31">
        <v>2</v>
      </c>
      <c r="D31">
        <v>1</v>
      </c>
      <c r="E31">
        <v>1</v>
      </c>
      <c r="F31">
        <v>3</v>
      </c>
      <c r="G31">
        <v>1.7447101436299011</v>
      </c>
      <c r="H31">
        <v>1.932559496921088E-3</v>
      </c>
      <c r="I31">
        <v>-0.94350180150728713</v>
      </c>
      <c r="J31">
        <v>-1.8233733668650629E-3</v>
      </c>
      <c r="K31" s="96">
        <f t="shared" si="1"/>
        <v>0</v>
      </c>
      <c r="L31" s="96">
        <f t="shared" si="2"/>
        <v>0</v>
      </c>
      <c r="M31" s="96">
        <f t="shared" si="3"/>
        <v>1</v>
      </c>
    </row>
    <row r="32" spans="1:18" x14ac:dyDescent="0.45">
      <c r="A32">
        <v>1</v>
      </c>
      <c r="B32">
        <v>1</v>
      </c>
      <c r="C32">
        <v>2</v>
      </c>
      <c r="D32">
        <v>1</v>
      </c>
      <c r="E32">
        <v>2</v>
      </c>
      <c r="F32">
        <v>1</v>
      </c>
      <c r="G32">
        <v>1.4311361201628718</v>
      </c>
      <c r="H32">
        <v>7.6612180056514559E-3</v>
      </c>
      <c r="I32">
        <v>-0.95341544413027235</v>
      </c>
      <c r="J32">
        <v>-7.3043235674370224E-3</v>
      </c>
      <c r="K32" s="96">
        <f t="shared" si="1"/>
        <v>0</v>
      </c>
      <c r="L32" s="96">
        <f t="shared" si="2"/>
        <v>0</v>
      </c>
      <c r="M32" s="96">
        <f t="shared" si="3"/>
        <v>1</v>
      </c>
    </row>
    <row r="33" spans="1:13" x14ac:dyDescent="0.45">
      <c r="A33">
        <v>1</v>
      </c>
      <c r="B33">
        <v>1</v>
      </c>
      <c r="C33">
        <v>2</v>
      </c>
      <c r="D33">
        <v>1</v>
      </c>
      <c r="E33">
        <v>2</v>
      </c>
      <c r="F33">
        <v>2</v>
      </c>
      <c r="G33">
        <v>1.6107073081757775</v>
      </c>
      <c r="H33">
        <v>7.6612180056514559E-3</v>
      </c>
      <c r="I33">
        <v>-0.94772562511208769</v>
      </c>
      <c r="J33">
        <v>-7.2607326235260075E-3</v>
      </c>
      <c r="K33" s="96">
        <f t="shared" si="1"/>
        <v>0</v>
      </c>
      <c r="L33" s="96">
        <f t="shared" si="2"/>
        <v>0</v>
      </c>
      <c r="M33" s="96">
        <f t="shared" si="3"/>
        <v>1</v>
      </c>
    </row>
    <row r="34" spans="1:13" x14ac:dyDescent="0.45">
      <c r="A34">
        <v>1</v>
      </c>
      <c r="B34">
        <v>1</v>
      </c>
      <c r="C34">
        <v>2</v>
      </c>
      <c r="D34">
        <v>1</v>
      </c>
      <c r="E34">
        <v>2</v>
      </c>
      <c r="F34">
        <v>3</v>
      </c>
      <c r="G34">
        <v>1.7447101436299011</v>
      </c>
      <c r="H34">
        <v>1.932559496921088E-3</v>
      </c>
      <c r="I34">
        <v>-0.94350180150728713</v>
      </c>
      <c r="J34">
        <v>-1.8233733668650629E-3</v>
      </c>
      <c r="K34" s="96">
        <f t="shared" si="1"/>
        <v>0</v>
      </c>
      <c r="L34" s="96">
        <f t="shared" si="2"/>
        <v>0</v>
      </c>
      <c r="M34" s="96">
        <f t="shared" si="3"/>
        <v>1</v>
      </c>
    </row>
    <row r="35" spans="1:13" x14ac:dyDescent="0.45">
      <c r="A35">
        <v>1</v>
      </c>
      <c r="B35">
        <v>1</v>
      </c>
      <c r="C35">
        <v>2</v>
      </c>
      <c r="D35">
        <v>1</v>
      </c>
      <c r="E35">
        <v>3</v>
      </c>
      <c r="F35">
        <v>1</v>
      </c>
      <c r="G35">
        <v>1.4311361201628718</v>
      </c>
      <c r="H35">
        <v>1.932559496921088E-3</v>
      </c>
      <c r="I35">
        <v>-0.95341544413027235</v>
      </c>
      <c r="J35">
        <v>-1.8425320710651948E-3</v>
      </c>
      <c r="K35" s="96">
        <f t="shared" si="1"/>
        <v>0</v>
      </c>
      <c r="L35" s="96">
        <f t="shared" si="2"/>
        <v>0</v>
      </c>
      <c r="M35" s="96">
        <f t="shared" si="3"/>
        <v>1</v>
      </c>
    </row>
    <row r="36" spans="1:13" x14ac:dyDescent="0.45">
      <c r="A36">
        <v>1</v>
      </c>
      <c r="B36">
        <v>1</v>
      </c>
      <c r="C36">
        <v>2</v>
      </c>
      <c r="D36">
        <v>1</v>
      </c>
      <c r="E36">
        <v>3</v>
      </c>
      <c r="F36">
        <v>2</v>
      </c>
      <c r="G36">
        <v>1.6107073081757775</v>
      </c>
      <c r="H36">
        <v>1.932559496921088E-3</v>
      </c>
      <c r="I36">
        <v>-0.94772562511208769</v>
      </c>
      <c r="J36">
        <v>-1.8315361572858399E-3</v>
      </c>
      <c r="K36" s="96">
        <f t="shared" si="1"/>
        <v>0</v>
      </c>
      <c r="L36" s="96">
        <f t="shared" si="2"/>
        <v>0</v>
      </c>
      <c r="M36" s="96">
        <f t="shared" si="3"/>
        <v>1</v>
      </c>
    </row>
    <row r="37" spans="1:13" x14ac:dyDescent="0.45">
      <c r="A37">
        <v>1</v>
      </c>
      <c r="B37">
        <v>1</v>
      </c>
      <c r="C37">
        <v>2</v>
      </c>
      <c r="D37">
        <v>1</v>
      </c>
      <c r="E37">
        <v>3</v>
      </c>
      <c r="F37">
        <v>3</v>
      </c>
      <c r="G37">
        <v>1.7447101436299011</v>
      </c>
      <c r="H37">
        <v>4.8749248570982399E-4</v>
      </c>
      <c r="I37">
        <v>-0.94350180150728713</v>
      </c>
      <c r="J37">
        <v>-4.5995003848848436E-4</v>
      </c>
      <c r="K37" s="96">
        <f t="shared" si="1"/>
        <v>0</v>
      </c>
      <c r="L37" s="96">
        <f t="shared" si="2"/>
        <v>0</v>
      </c>
      <c r="M37" s="96">
        <f t="shared" si="3"/>
        <v>1</v>
      </c>
    </row>
    <row r="38" spans="1:13" x14ac:dyDescent="0.45">
      <c r="A38">
        <v>1</v>
      </c>
      <c r="B38">
        <v>1</v>
      </c>
      <c r="C38">
        <v>2</v>
      </c>
      <c r="D38">
        <v>2</v>
      </c>
      <c r="E38">
        <v>1</v>
      </c>
      <c r="F38">
        <v>1</v>
      </c>
      <c r="G38">
        <v>1.4311361201628718</v>
      </c>
      <c r="H38">
        <v>7.6612180056514559E-3</v>
      </c>
      <c r="I38">
        <v>-0.95341544413027235</v>
      </c>
      <c r="J38">
        <v>-7.3043235674370224E-3</v>
      </c>
      <c r="K38" s="96">
        <f t="shared" si="1"/>
        <v>0</v>
      </c>
      <c r="L38" s="96">
        <f t="shared" si="2"/>
        <v>0</v>
      </c>
      <c r="M38" s="96">
        <f t="shared" si="3"/>
        <v>1</v>
      </c>
    </row>
    <row r="39" spans="1:13" x14ac:dyDescent="0.45">
      <c r="A39">
        <v>1</v>
      </c>
      <c r="B39">
        <v>1</v>
      </c>
      <c r="C39">
        <v>2</v>
      </c>
      <c r="D39">
        <v>2</v>
      </c>
      <c r="E39">
        <v>1</v>
      </c>
      <c r="F39">
        <v>2</v>
      </c>
      <c r="G39">
        <v>1.6107073081757775</v>
      </c>
      <c r="H39">
        <v>7.6612180056514559E-3</v>
      </c>
      <c r="I39">
        <v>-0.94772562511208769</v>
      </c>
      <c r="J39">
        <v>-7.2607326235260075E-3</v>
      </c>
      <c r="K39" s="96">
        <f t="shared" si="1"/>
        <v>0</v>
      </c>
      <c r="L39" s="96">
        <f t="shared" si="2"/>
        <v>0</v>
      </c>
      <c r="M39" s="96">
        <f t="shared" si="3"/>
        <v>1</v>
      </c>
    </row>
    <row r="40" spans="1:13" x14ac:dyDescent="0.45">
      <c r="A40">
        <v>1</v>
      </c>
      <c r="B40">
        <v>1</v>
      </c>
      <c r="C40">
        <v>2</v>
      </c>
      <c r="D40">
        <v>2</v>
      </c>
      <c r="E40">
        <v>1</v>
      </c>
      <c r="F40">
        <v>3</v>
      </c>
      <c r="G40">
        <v>1.7447101436299011</v>
      </c>
      <c r="H40">
        <v>1.932559496921088E-3</v>
      </c>
      <c r="I40">
        <v>-0.94350180150728713</v>
      </c>
      <c r="J40">
        <v>-1.8233733668650629E-3</v>
      </c>
      <c r="K40" s="96">
        <f t="shared" si="1"/>
        <v>0</v>
      </c>
      <c r="L40" s="96">
        <f t="shared" si="2"/>
        <v>0</v>
      </c>
      <c r="M40" s="96">
        <f t="shared" si="3"/>
        <v>1</v>
      </c>
    </row>
    <row r="41" spans="1:13" x14ac:dyDescent="0.45">
      <c r="A41">
        <v>1</v>
      </c>
      <c r="B41">
        <v>1</v>
      </c>
      <c r="C41">
        <v>2</v>
      </c>
      <c r="D41">
        <v>2</v>
      </c>
      <c r="E41">
        <v>2</v>
      </c>
      <c r="F41">
        <v>1</v>
      </c>
      <c r="G41">
        <v>1.4311361201628718</v>
      </c>
      <c r="H41">
        <v>7.6612180056514559E-3</v>
      </c>
      <c r="I41">
        <v>-0.95341544413027235</v>
      </c>
      <c r="J41">
        <v>-7.3043235674370224E-3</v>
      </c>
      <c r="K41" s="96">
        <f t="shared" si="1"/>
        <v>0</v>
      </c>
      <c r="L41" s="96">
        <f t="shared" si="2"/>
        <v>0</v>
      </c>
      <c r="M41" s="96">
        <f t="shared" si="3"/>
        <v>1</v>
      </c>
    </row>
    <row r="42" spans="1:13" x14ac:dyDescent="0.45">
      <c r="A42">
        <v>1</v>
      </c>
      <c r="B42">
        <v>1</v>
      </c>
      <c r="C42">
        <v>2</v>
      </c>
      <c r="D42">
        <v>2</v>
      </c>
      <c r="E42">
        <v>2</v>
      </c>
      <c r="F42">
        <v>2</v>
      </c>
      <c r="G42">
        <v>1.6107073081757775</v>
      </c>
      <c r="H42">
        <v>7.6612180056514559E-3</v>
      </c>
      <c r="I42">
        <v>-0.94772562511208769</v>
      </c>
      <c r="J42">
        <v>-7.2607326235260075E-3</v>
      </c>
      <c r="K42" s="96">
        <f t="shared" si="1"/>
        <v>0</v>
      </c>
      <c r="L42" s="96">
        <f t="shared" si="2"/>
        <v>0</v>
      </c>
      <c r="M42" s="96">
        <f t="shared" si="3"/>
        <v>1</v>
      </c>
    </row>
    <row r="43" spans="1:13" x14ac:dyDescent="0.45">
      <c r="A43">
        <v>1</v>
      </c>
      <c r="B43">
        <v>1</v>
      </c>
      <c r="C43">
        <v>2</v>
      </c>
      <c r="D43">
        <v>2</v>
      </c>
      <c r="E43">
        <v>2</v>
      </c>
      <c r="F43">
        <v>3</v>
      </c>
      <c r="G43">
        <v>1.7447101436299011</v>
      </c>
      <c r="H43">
        <v>1.932559496921088E-3</v>
      </c>
      <c r="I43">
        <v>-0.94350180150728713</v>
      </c>
      <c r="J43">
        <v>-1.8233733668650629E-3</v>
      </c>
      <c r="K43" s="96">
        <f t="shared" si="1"/>
        <v>0</v>
      </c>
      <c r="L43" s="96">
        <f t="shared" si="2"/>
        <v>0</v>
      </c>
      <c r="M43" s="96">
        <f t="shared" si="3"/>
        <v>1</v>
      </c>
    </row>
    <row r="44" spans="1:13" x14ac:dyDescent="0.45">
      <c r="A44">
        <v>1</v>
      </c>
      <c r="B44">
        <v>1</v>
      </c>
      <c r="C44">
        <v>2</v>
      </c>
      <c r="D44">
        <v>2</v>
      </c>
      <c r="E44">
        <v>3</v>
      </c>
      <c r="F44">
        <v>1</v>
      </c>
      <c r="G44">
        <v>1.4311361201628718</v>
      </c>
      <c r="H44">
        <v>1.932559496921088E-3</v>
      </c>
      <c r="I44">
        <v>-0.95341544413027235</v>
      </c>
      <c r="J44">
        <v>-1.8425320710651948E-3</v>
      </c>
      <c r="K44" s="96">
        <f t="shared" si="1"/>
        <v>0</v>
      </c>
      <c r="L44" s="96">
        <f t="shared" si="2"/>
        <v>0</v>
      </c>
      <c r="M44" s="96">
        <f t="shared" si="3"/>
        <v>1</v>
      </c>
    </row>
    <row r="45" spans="1:13" x14ac:dyDescent="0.45">
      <c r="A45">
        <v>1</v>
      </c>
      <c r="B45">
        <v>1</v>
      </c>
      <c r="C45">
        <v>2</v>
      </c>
      <c r="D45">
        <v>2</v>
      </c>
      <c r="E45">
        <v>3</v>
      </c>
      <c r="F45">
        <v>2</v>
      </c>
      <c r="G45">
        <v>1.6107073081757775</v>
      </c>
      <c r="H45">
        <v>1.932559496921088E-3</v>
      </c>
      <c r="I45">
        <v>-0.94772562511208769</v>
      </c>
      <c r="J45">
        <v>-1.8315361572858399E-3</v>
      </c>
      <c r="K45" s="96">
        <f t="shared" si="1"/>
        <v>0</v>
      </c>
      <c r="L45" s="96">
        <f t="shared" si="2"/>
        <v>0</v>
      </c>
      <c r="M45" s="96">
        <f t="shared" si="3"/>
        <v>1</v>
      </c>
    </row>
    <row r="46" spans="1:13" x14ac:dyDescent="0.45">
      <c r="A46">
        <v>1</v>
      </c>
      <c r="B46">
        <v>1</v>
      </c>
      <c r="C46">
        <v>2</v>
      </c>
      <c r="D46">
        <v>2</v>
      </c>
      <c r="E46">
        <v>3</v>
      </c>
      <c r="F46">
        <v>3</v>
      </c>
      <c r="G46">
        <v>1.7447101436299011</v>
      </c>
      <c r="H46">
        <v>4.8749248570982399E-4</v>
      </c>
      <c r="I46">
        <v>-0.94350180150728713</v>
      </c>
      <c r="J46">
        <v>-4.5995003848848436E-4</v>
      </c>
      <c r="K46" s="96">
        <f t="shared" si="1"/>
        <v>0</v>
      </c>
      <c r="L46" s="96">
        <f t="shared" si="2"/>
        <v>0</v>
      </c>
      <c r="M46" s="96">
        <f t="shared" si="3"/>
        <v>1</v>
      </c>
    </row>
    <row r="47" spans="1:13" x14ac:dyDescent="0.45">
      <c r="A47">
        <v>1</v>
      </c>
      <c r="B47">
        <v>1</v>
      </c>
      <c r="C47">
        <v>2</v>
      </c>
      <c r="D47">
        <v>3</v>
      </c>
      <c r="E47">
        <v>1</v>
      </c>
      <c r="F47">
        <v>1</v>
      </c>
      <c r="G47">
        <v>1.4311361201628718</v>
      </c>
      <c r="H47">
        <v>1.932559496921088E-3</v>
      </c>
      <c r="I47">
        <v>-0.95341544413027235</v>
      </c>
      <c r="J47">
        <v>-1.8425320710651948E-3</v>
      </c>
      <c r="K47" s="96">
        <f t="shared" si="1"/>
        <v>0</v>
      </c>
      <c r="L47" s="96">
        <f t="shared" si="2"/>
        <v>0</v>
      </c>
      <c r="M47" s="96">
        <f t="shared" si="3"/>
        <v>1</v>
      </c>
    </row>
    <row r="48" spans="1:13" x14ac:dyDescent="0.45">
      <c r="A48">
        <v>1</v>
      </c>
      <c r="B48">
        <v>1</v>
      </c>
      <c r="C48">
        <v>2</v>
      </c>
      <c r="D48">
        <v>3</v>
      </c>
      <c r="E48">
        <v>1</v>
      </c>
      <c r="F48">
        <v>2</v>
      </c>
      <c r="G48">
        <v>1.6107073081757775</v>
      </c>
      <c r="H48">
        <v>1.932559496921088E-3</v>
      </c>
      <c r="I48">
        <v>-0.94772562511208769</v>
      </c>
      <c r="J48">
        <v>-1.8315361572858399E-3</v>
      </c>
      <c r="K48" s="96">
        <f t="shared" si="1"/>
        <v>0</v>
      </c>
      <c r="L48" s="96">
        <f t="shared" si="2"/>
        <v>0</v>
      </c>
      <c r="M48" s="96">
        <f t="shared" si="3"/>
        <v>1</v>
      </c>
    </row>
    <row r="49" spans="1:13" x14ac:dyDescent="0.45">
      <c r="A49">
        <v>1</v>
      </c>
      <c r="B49">
        <v>1</v>
      </c>
      <c r="C49">
        <v>2</v>
      </c>
      <c r="D49">
        <v>3</v>
      </c>
      <c r="E49">
        <v>1</v>
      </c>
      <c r="F49">
        <v>3</v>
      </c>
      <c r="G49">
        <v>1.7447101436299011</v>
      </c>
      <c r="H49">
        <v>4.8749248570982399E-4</v>
      </c>
      <c r="I49">
        <v>-0.94350180150728713</v>
      </c>
      <c r="J49">
        <v>-4.5995003848848436E-4</v>
      </c>
      <c r="K49" s="96">
        <f t="shared" si="1"/>
        <v>0</v>
      </c>
      <c r="L49" s="96">
        <f t="shared" si="2"/>
        <v>0</v>
      </c>
      <c r="M49" s="96">
        <f t="shared" si="3"/>
        <v>1</v>
      </c>
    </row>
    <row r="50" spans="1:13" x14ac:dyDescent="0.45">
      <c r="A50">
        <v>1</v>
      </c>
      <c r="B50">
        <v>1</v>
      </c>
      <c r="C50">
        <v>2</v>
      </c>
      <c r="D50">
        <v>3</v>
      </c>
      <c r="E50">
        <v>2</v>
      </c>
      <c r="F50">
        <v>1</v>
      </c>
      <c r="G50">
        <v>1.4311361201628718</v>
      </c>
      <c r="H50">
        <v>1.932559496921088E-3</v>
      </c>
      <c r="I50">
        <v>-0.95341544413027235</v>
      </c>
      <c r="J50">
        <v>-1.8425320710651948E-3</v>
      </c>
      <c r="K50" s="96">
        <f t="shared" si="1"/>
        <v>0</v>
      </c>
      <c r="L50" s="96">
        <f t="shared" si="2"/>
        <v>0</v>
      </c>
      <c r="M50" s="96">
        <f t="shared" si="3"/>
        <v>1</v>
      </c>
    </row>
    <row r="51" spans="1:13" x14ac:dyDescent="0.45">
      <c r="A51">
        <v>1</v>
      </c>
      <c r="B51">
        <v>1</v>
      </c>
      <c r="C51">
        <v>2</v>
      </c>
      <c r="D51">
        <v>3</v>
      </c>
      <c r="E51">
        <v>2</v>
      </c>
      <c r="F51">
        <v>2</v>
      </c>
      <c r="G51">
        <v>1.6107073081757775</v>
      </c>
      <c r="H51">
        <v>1.932559496921088E-3</v>
      </c>
      <c r="I51">
        <v>-0.94772562511208769</v>
      </c>
      <c r="J51">
        <v>-1.8315361572858399E-3</v>
      </c>
      <c r="K51" s="96">
        <f t="shared" si="1"/>
        <v>0</v>
      </c>
      <c r="L51" s="96">
        <f t="shared" si="2"/>
        <v>0</v>
      </c>
      <c r="M51" s="96">
        <f t="shared" si="3"/>
        <v>1</v>
      </c>
    </row>
    <row r="52" spans="1:13" x14ac:dyDescent="0.45">
      <c r="A52">
        <v>1</v>
      </c>
      <c r="B52">
        <v>1</v>
      </c>
      <c r="C52">
        <v>2</v>
      </c>
      <c r="D52">
        <v>3</v>
      </c>
      <c r="E52">
        <v>2</v>
      </c>
      <c r="F52">
        <v>3</v>
      </c>
      <c r="G52">
        <v>1.7447101436299011</v>
      </c>
      <c r="H52">
        <v>4.8749248570982399E-4</v>
      </c>
      <c r="I52">
        <v>-0.94350180150728713</v>
      </c>
      <c r="J52">
        <v>-4.5995003848848436E-4</v>
      </c>
      <c r="K52" s="96">
        <f t="shared" si="1"/>
        <v>0</v>
      </c>
      <c r="L52" s="96">
        <f t="shared" si="2"/>
        <v>0</v>
      </c>
      <c r="M52" s="96">
        <f t="shared" si="3"/>
        <v>1</v>
      </c>
    </row>
    <row r="53" spans="1:13" x14ac:dyDescent="0.45">
      <c r="A53">
        <v>1</v>
      </c>
      <c r="B53">
        <v>1</v>
      </c>
      <c r="C53">
        <v>2</v>
      </c>
      <c r="D53">
        <v>3</v>
      </c>
      <c r="E53">
        <v>3</v>
      </c>
      <c r="F53">
        <v>1</v>
      </c>
      <c r="G53">
        <v>1.4311361201628718</v>
      </c>
      <c r="H53">
        <v>4.8749248570982405E-4</v>
      </c>
      <c r="I53">
        <v>-0.95341544413027235</v>
      </c>
      <c r="J53">
        <v>-4.6478286477320233E-4</v>
      </c>
      <c r="K53" s="96">
        <f t="shared" si="1"/>
        <v>0</v>
      </c>
      <c r="L53" s="96">
        <f t="shared" si="2"/>
        <v>0</v>
      </c>
      <c r="M53" s="96">
        <f t="shared" si="3"/>
        <v>1</v>
      </c>
    </row>
    <row r="54" spans="1:13" x14ac:dyDescent="0.45">
      <c r="A54">
        <v>1</v>
      </c>
      <c r="B54">
        <v>1</v>
      </c>
      <c r="C54">
        <v>2</v>
      </c>
      <c r="D54">
        <v>3</v>
      </c>
      <c r="E54">
        <v>3</v>
      </c>
      <c r="F54">
        <v>2</v>
      </c>
      <c r="G54">
        <v>1.6107073081757775</v>
      </c>
      <c r="H54">
        <v>4.8749248570982405E-4</v>
      </c>
      <c r="I54">
        <v>-0.94772562511208769</v>
      </c>
      <c r="J54">
        <v>-4.6200912075678845E-4</v>
      </c>
      <c r="K54" s="96">
        <f t="shared" si="1"/>
        <v>0</v>
      </c>
      <c r="L54" s="96">
        <f t="shared" si="2"/>
        <v>0</v>
      </c>
      <c r="M54" s="96">
        <f t="shared" si="3"/>
        <v>1</v>
      </c>
    </row>
    <row r="55" spans="1:13" x14ac:dyDescent="0.45">
      <c r="A55">
        <v>1</v>
      </c>
      <c r="B55">
        <v>1</v>
      </c>
      <c r="C55">
        <v>2</v>
      </c>
      <c r="D55">
        <v>3</v>
      </c>
      <c r="E55">
        <v>3</v>
      </c>
      <c r="F55">
        <v>3</v>
      </c>
      <c r="G55">
        <v>1.7447101436299011</v>
      </c>
      <c r="H55">
        <v>1.2297107747635201E-4</v>
      </c>
      <c r="I55">
        <v>-0.94350180150728713</v>
      </c>
      <c r="J55">
        <v>-1.160234331322303E-4</v>
      </c>
      <c r="K55" s="96">
        <f t="shared" si="1"/>
        <v>0</v>
      </c>
      <c r="L55" s="96">
        <f t="shared" si="2"/>
        <v>0</v>
      </c>
      <c r="M55" s="96">
        <f t="shared" si="3"/>
        <v>1</v>
      </c>
    </row>
    <row r="56" spans="1:13" x14ac:dyDescent="0.45">
      <c r="A56">
        <v>1</v>
      </c>
      <c r="B56">
        <v>1</v>
      </c>
      <c r="C56">
        <v>3</v>
      </c>
      <c r="D56">
        <v>1</v>
      </c>
      <c r="E56">
        <v>1</v>
      </c>
      <c r="F56">
        <v>1</v>
      </c>
      <c r="G56">
        <v>1.6497914685165642</v>
      </c>
      <c r="H56">
        <v>1.932559496921088E-3</v>
      </c>
      <c r="I56">
        <v>-0.94649172704141471</v>
      </c>
      <c r="J56">
        <v>-1.8291515758511281E-3</v>
      </c>
      <c r="K56" s="96">
        <f t="shared" si="1"/>
        <v>0</v>
      </c>
      <c r="L56" s="96">
        <f t="shared" si="2"/>
        <v>0</v>
      </c>
      <c r="M56" s="96">
        <f t="shared" si="3"/>
        <v>1</v>
      </c>
    </row>
    <row r="57" spans="1:13" x14ac:dyDescent="0.45">
      <c r="A57">
        <v>1</v>
      </c>
      <c r="B57">
        <v>1</v>
      </c>
      <c r="C57">
        <v>3</v>
      </c>
      <c r="D57">
        <v>1</v>
      </c>
      <c r="E57">
        <v>1</v>
      </c>
      <c r="F57">
        <v>2</v>
      </c>
      <c r="G57">
        <v>1.8507957216977495</v>
      </c>
      <c r="H57">
        <v>1.932559496921088E-3</v>
      </c>
      <c r="I57">
        <v>-0.9401712958208277</v>
      </c>
      <c r="J57">
        <v>-1.8169369664711461E-3</v>
      </c>
      <c r="K57" s="96">
        <f t="shared" si="1"/>
        <v>0</v>
      </c>
      <c r="L57" s="96">
        <f t="shared" si="2"/>
        <v>0</v>
      </c>
      <c r="M57" s="96">
        <f t="shared" si="3"/>
        <v>1</v>
      </c>
    </row>
    <row r="58" spans="1:13" x14ac:dyDescent="0.45">
      <c r="A58">
        <v>1</v>
      </c>
      <c r="B58">
        <v>1</v>
      </c>
      <c r="C58">
        <v>3</v>
      </c>
      <c r="D58">
        <v>1</v>
      </c>
      <c r="E58">
        <v>1</v>
      </c>
      <c r="F58">
        <v>3</v>
      </c>
      <c r="G58">
        <v>2.0015489115836398</v>
      </c>
      <c r="H58">
        <v>4.8749248570982399E-4</v>
      </c>
      <c r="I58">
        <v>-0.93545868569162882</v>
      </c>
      <c r="J58">
        <v>-4.560290799666571E-4</v>
      </c>
      <c r="K58" s="96">
        <f t="shared" si="1"/>
        <v>0</v>
      </c>
      <c r="L58" s="96">
        <f t="shared" si="2"/>
        <v>0</v>
      </c>
      <c r="M58" s="96">
        <f t="shared" si="3"/>
        <v>1</v>
      </c>
    </row>
    <row r="59" spans="1:13" x14ac:dyDescent="0.45">
      <c r="A59">
        <v>1</v>
      </c>
      <c r="B59">
        <v>1</v>
      </c>
      <c r="C59">
        <v>3</v>
      </c>
      <c r="D59">
        <v>1</v>
      </c>
      <c r="E59">
        <v>2</v>
      </c>
      <c r="F59">
        <v>1</v>
      </c>
      <c r="G59">
        <v>1.6497914685165642</v>
      </c>
      <c r="H59">
        <v>1.932559496921088E-3</v>
      </c>
      <c r="I59">
        <v>-0.94649172704141471</v>
      </c>
      <c r="J59">
        <v>-1.8291515758511281E-3</v>
      </c>
      <c r="K59" s="96">
        <f t="shared" si="1"/>
        <v>0</v>
      </c>
      <c r="L59" s="96">
        <f t="shared" si="2"/>
        <v>0</v>
      </c>
      <c r="M59" s="96">
        <f t="shared" si="3"/>
        <v>1</v>
      </c>
    </row>
    <row r="60" spans="1:13" x14ac:dyDescent="0.45">
      <c r="A60">
        <v>1</v>
      </c>
      <c r="B60">
        <v>1</v>
      </c>
      <c r="C60">
        <v>3</v>
      </c>
      <c r="D60">
        <v>1</v>
      </c>
      <c r="E60">
        <v>2</v>
      </c>
      <c r="F60">
        <v>2</v>
      </c>
      <c r="G60">
        <v>1.8507957216977495</v>
      </c>
      <c r="H60">
        <v>1.932559496921088E-3</v>
      </c>
      <c r="I60">
        <v>-0.9401712958208277</v>
      </c>
      <c r="J60">
        <v>-1.8169369664711461E-3</v>
      </c>
      <c r="K60" s="96">
        <f t="shared" si="1"/>
        <v>0</v>
      </c>
      <c r="L60" s="96">
        <f t="shared" si="2"/>
        <v>0</v>
      </c>
      <c r="M60" s="96">
        <f t="shared" si="3"/>
        <v>1</v>
      </c>
    </row>
    <row r="61" spans="1:13" x14ac:dyDescent="0.45">
      <c r="A61">
        <v>1</v>
      </c>
      <c r="B61">
        <v>1</v>
      </c>
      <c r="C61">
        <v>3</v>
      </c>
      <c r="D61">
        <v>1</v>
      </c>
      <c r="E61">
        <v>2</v>
      </c>
      <c r="F61">
        <v>3</v>
      </c>
      <c r="G61">
        <v>2.0015489115836398</v>
      </c>
      <c r="H61">
        <v>4.8749248570982399E-4</v>
      </c>
      <c r="I61">
        <v>-0.93545868569162882</v>
      </c>
      <c r="J61">
        <v>-4.560290799666571E-4</v>
      </c>
      <c r="K61" s="96">
        <f t="shared" si="1"/>
        <v>0</v>
      </c>
      <c r="L61" s="96">
        <f t="shared" si="2"/>
        <v>0</v>
      </c>
      <c r="M61" s="96">
        <f t="shared" si="3"/>
        <v>1</v>
      </c>
    </row>
    <row r="62" spans="1:13" x14ac:dyDescent="0.45">
      <c r="A62">
        <v>1</v>
      </c>
      <c r="B62">
        <v>1</v>
      </c>
      <c r="C62">
        <v>3</v>
      </c>
      <c r="D62">
        <v>1</v>
      </c>
      <c r="E62">
        <v>3</v>
      </c>
      <c r="F62">
        <v>1</v>
      </c>
      <c r="G62">
        <v>1.6497914685165642</v>
      </c>
      <c r="H62">
        <v>4.8749248570982405E-4</v>
      </c>
      <c r="I62">
        <v>-0.94649172704141471</v>
      </c>
      <c r="J62">
        <v>-4.6140760471920353E-4</v>
      </c>
      <c r="K62" s="96">
        <f t="shared" si="1"/>
        <v>0</v>
      </c>
      <c r="L62" s="96">
        <f t="shared" si="2"/>
        <v>0</v>
      </c>
      <c r="M62" s="96">
        <f t="shared" si="3"/>
        <v>1</v>
      </c>
    </row>
    <row r="63" spans="1:13" x14ac:dyDescent="0.45">
      <c r="A63">
        <v>1</v>
      </c>
      <c r="B63">
        <v>1</v>
      </c>
      <c r="C63">
        <v>3</v>
      </c>
      <c r="D63">
        <v>1</v>
      </c>
      <c r="E63">
        <v>3</v>
      </c>
      <c r="F63">
        <v>2</v>
      </c>
      <c r="G63">
        <v>1.8507957216977495</v>
      </c>
      <c r="H63">
        <v>4.8749248570982405E-4</v>
      </c>
      <c r="I63">
        <v>-0.9401712958208277</v>
      </c>
      <c r="J63">
        <v>-4.5832644199272161E-4</v>
      </c>
      <c r="K63" s="96">
        <f t="shared" si="1"/>
        <v>0</v>
      </c>
      <c r="L63" s="96">
        <f t="shared" si="2"/>
        <v>0</v>
      </c>
      <c r="M63" s="96">
        <f t="shared" si="3"/>
        <v>1</v>
      </c>
    </row>
    <row r="64" spans="1:13" x14ac:dyDescent="0.45">
      <c r="A64">
        <v>1</v>
      </c>
      <c r="B64">
        <v>1</v>
      </c>
      <c r="C64">
        <v>3</v>
      </c>
      <c r="D64">
        <v>1</v>
      </c>
      <c r="E64">
        <v>3</v>
      </c>
      <c r="F64">
        <v>3</v>
      </c>
      <c r="G64">
        <v>2.0015489115836398</v>
      </c>
      <c r="H64">
        <v>1.2297107747635201E-4</v>
      </c>
      <c r="I64">
        <v>-0.93545868569162882</v>
      </c>
      <c r="J64">
        <v>-1.150343625141117E-4</v>
      </c>
      <c r="K64" s="96">
        <f t="shared" si="1"/>
        <v>0</v>
      </c>
      <c r="L64" s="96">
        <f t="shared" si="2"/>
        <v>0</v>
      </c>
      <c r="M64" s="96">
        <f t="shared" si="3"/>
        <v>1</v>
      </c>
    </row>
    <row r="65" spans="1:13" x14ac:dyDescent="0.45">
      <c r="A65">
        <v>1</v>
      </c>
      <c r="B65">
        <v>1</v>
      </c>
      <c r="C65">
        <v>3</v>
      </c>
      <c r="D65">
        <v>2</v>
      </c>
      <c r="E65">
        <v>1</v>
      </c>
      <c r="F65">
        <v>1</v>
      </c>
      <c r="G65">
        <v>1.6497914685165642</v>
      </c>
      <c r="H65">
        <v>1.932559496921088E-3</v>
      </c>
      <c r="I65">
        <v>-0.94649172704141471</v>
      </c>
      <c r="J65">
        <v>-1.8291515758511281E-3</v>
      </c>
      <c r="K65" s="96">
        <f t="shared" si="1"/>
        <v>0</v>
      </c>
      <c r="L65" s="96">
        <f t="shared" si="2"/>
        <v>0</v>
      </c>
      <c r="M65" s="96">
        <f t="shared" si="3"/>
        <v>1</v>
      </c>
    </row>
    <row r="66" spans="1:13" x14ac:dyDescent="0.45">
      <c r="A66">
        <v>1</v>
      </c>
      <c r="B66">
        <v>1</v>
      </c>
      <c r="C66">
        <v>3</v>
      </c>
      <c r="D66">
        <v>2</v>
      </c>
      <c r="E66">
        <v>1</v>
      </c>
      <c r="F66">
        <v>2</v>
      </c>
      <c r="G66">
        <v>1.8507957216977495</v>
      </c>
      <c r="H66">
        <v>1.932559496921088E-3</v>
      </c>
      <c r="I66">
        <v>-0.9401712958208277</v>
      </c>
      <c r="J66">
        <v>-1.8169369664711461E-3</v>
      </c>
      <c r="K66" s="96">
        <f t="shared" si="1"/>
        <v>0</v>
      </c>
      <c r="L66" s="96">
        <f t="shared" si="2"/>
        <v>0</v>
      </c>
      <c r="M66" s="96">
        <f t="shared" si="3"/>
        <v>1</v>
      </c>
    </row>
    <row r="67" spans="1:13" x14ac:dyDescent="0.45">
      <c r="A67">
        <v>1</v>
      </c>
      <c r="B67">
        <v>1</v>
      </c>
      <c r="C67">
        <v>3</v>
      </c>
      <c r="D67">
        <v>2</v>
      </c>
      <c r="E67">
        <v>1</v>
      </c>
      <c r="F67">
        <v>3</v>
      </c>
      <c r="G67">
        <v>2.0015489115836398</v>
      </c>
      <c r="H67">
        <v>4.8749248570982399E-4</v>
      </c>
      <c r="I67">
        <v>-0.93545868569162882</v>
      </c>
      <c r="J67">
        <v>-4.560290799666571E-4</v>
      </c>
      <c r="K67" s="96">
        <f t="shared" ref="K67:K130" si="4">IF(A67=3,1,0)</f>
        <v>0</v>
      </c>
      <c r="L67" s="96">
        <f t="shared" ref="L67:L130" si="5">IF(A67=2,1,0)</f>
        <v>0</v>
      </c>
      <c r="M67" s="96">
        <f t="shared" ref="M67:M130" si="6">IF(A67=1,1,0)</f>
        <v>1</v>
      </c>
    </row>
    <row r="68" spans="1:13" x14ac:dyDescent="0.45">
      <c r="A68">
        <v>1</v>
      </c>
      <c r="B68">
        <v>1</v>
      </c>
      <c r="C68">
        <v>3</v>
      </c>
      <c r="D68">
        <v>2</v>
      </c>
      <c r="E68">
        <v>2</v>
      </c>
      <c r="F68">
        <v>1</v>
      </c>
      <c r="G68">
        <v>1.6497914685165642</v>
      </c>
      <c r="H68">
        <v>1.932559496921088E-3</v>
      </c>
      <c r="I68">
        <v>-0.94649172704141471</v>
      </c>
      <c r="J68">
        <v>-1.8291515758511281E-3</v>
      </c>
      <c r="K68" s="96">
        <f t="shared" si="4"/>
        <v>0</v>
      </c>
      <c r="L68" s="96">
        <f t="shared" si="5"/>
        <v>0</v>
      </c>
      <c r="M68" s="96">
        <f t="shared" si="6"/>
        <v>1</v>
      </c>
    </row>
    <row r="69" spans="1:13" x14ac:dyDescent="0.45">
      <c r="A69">
        <v>1</v>
      </c>
      <c r="B69">
        <v>1</v>
      </c>
      <c r="C69">
        <v>3</v>
      </c>
      <c r="D69">
        <v>2</v>
      </c>
      <c r="E69">
        <v>2</v>
      </c>
      <c r="F69">
        <v>2</v>
      </c>
      <c r="G69">
        <v>1.8507957216977495</v>
      </c>
      <c r="H69">
        <v>1.932559496921088E-3</v>
      </c>
      <c r="I69">
        <v>-0.9401712958208277</v>
      </c>
      <c r="J69">
        <v>-1.8169369664711461E-3</v>
      </c>
      <c r="K69" s="96">
        <f t="shared" si="4"/>
        <v>0</v>
      </c>
      <c r="L69" s="96">
        <f t="shared" si="5"/>
        <v>0</v>
      </c>
      <c r="M69" s="96">
        <f t="shared" si="6"/>
        <v>1</v>
      </c>
    </row>
    <row r="70" spans="1:13" x14ac:dyDescent="0.45">
      <c r="A70">
        <v>1</v>
      </c>
      <c r="B70">
        <v>1</v>
      </c>
      <c r="C70">
        <v>3</v>
      </c>
      <c r="D70">
        <v>2</v>
      </c>
      <c r="E70">
        <v>2</v>
      </c>
      <c r="F70">
        <v>3</v>
      </c>
      <c r="G70">
        <v>2.0015489115836398</v>
      </c>
      <c r="H70">
        <v>4.8749248570982399E-4</v>
      </c>
      <c r="I70">
        <v>-0.93545868569162882</v>
      </c>
      <c r="J70">
        <v>-4.560290799666571E-4</v>
      </c>
      <c r="K70" s="96">
        <f t="shared" si="4"/>
        <v>0</v>
      </c>
      <c r="L70" s="96">
        <f t="shared" si="5"/>
        <v>0</v>
      </c>
      <c r="M70" s="96">
        <f t="shared" si="6"/>
        <v>1</v>
      </c>
    </row>
    <row r="71" spans="1:13" x14ac:dyDescent="0.45">
      <c r="A71">
        <v>1</v>
      </c>
      <c r="B71">
        <v>1</v>
      </c>
      <c r="C71">
        <v>3</v>
      </c>
      <c r="D71">
        <v>2</v>
      </c>
      <c r="E71">
        <v>3</v>
      </c>
      <c r="F71">
        <v>1</v>
      </c>
      <c r="G71">
        <v>1.6497914685165642</v>
      </c>
      <c r="H71">
        <v>4.8749248570982405E-4</v>
      </c>
      <c r="I71">
        <v>-0.94649172704141471</v>
      </c>
      <c r="J71">
        <v>-4.6140760471920353E-4</v>
      </c>
      <c r="K71" s="96">
        <f t="shared" si="4"/>
        <v>0</v>
      </c>
      <c r="L71" s="96">
        <f t="shared" si="5"/>
        <v>0</v>
      </c>
      <c r="M71" s="96">
        <f t="shared" si="6"/>
        <v>1</v>
      </c>
    </row>
    <row r="72" spans="1:13" x14ac:dyDescent="0.45">
      <c r="A72">
        <v>1</v>
      </c>
      <c r="B72">
        <v>1</v>
      </c>
      <c r="C72">
        <v>3</v>
      </c>
      <c r="D72">
        <v>2</v>
      </c>
      <c r="E72">
        <v>3</v>
      </c>
      <c r="F72">
        <v>2</v>
      </c>
      <c r="G72">
        <v>1.8507957216977495</v>
      </c>
      <c r="H72">
        <v>4.8749248570982405E-4</v>
      </c>
      <c r="I72">
        <v>-0.9401712958208277</v>
      </c>
      <c r="J72">
        <v>-4.5832644199272161E-4</v>
      </c>
      <c r="K72" s="96">
        <f t="shared" si="4"/>
        <v>0</v>
      </c>
      <c r="L72" s="96">
        <f t="shared" si="5"/>
        <v>0</v>
      </c>
      <c r="M72" s="96">
        <f t="shared" si="6"/>
        <v>1</v>
      </c>
    </row>
    <row r="73" spans="1:13" x14ac:dyDescent="0.45">
      <c r="A73">
        <v>1</v>
      </c>
      <c r="B73">
        <v>1</v>
      </c>
      <c r="C73">
        <v>3</v>
      </c>
      <c r="D73">
        <v>2</v>
      </c>
      <c r="E73">
        <v>3</v>
      </c>
      <c r="F73">
        <v>3</v>
      </c>
      <c r="G73">
        <v>2.0015489115836398</v>
      </c>
      <c r="H73">
        <v>1.2297107747635201E-4</v>
      </c>
      <c r="I73">
        <v>-0.93545868569162882</v>
      </c>
      <c r="J73">
        <v>-1.150343625141117E-4</v>
      </c>
      <c r="K73" s="96">
        <f t="shared" si="4"/>
        <v>0</v>
      </c>
      <c r="L73" s="96">
        <f t="shared" si="5"/>
        <v>0</v>
      </c>
      <c r="M73" s="96">
        <f t="shared" si="6"/>
        <v>1</v>
      </c>
    </row>
    <row r="74" spans="1:13" x14ac:dyDescent="0.45">
      <c r="A74">
        <v>1</v>
      </c>
      <c r="B74">
        <v>1</v>
      </c>
      <c r="C74">
        <v>3</v>
      </c>
      <c r="D74">
        <v>3</v>
      </c>
      <c r="E74">
        <v>1</v>
      </c>
      <c r="F74">
        <v>1</v>
      </c>
      <c r="G74">
        <v>1.6497914685165642</v>
      </c>
      <c r="H74">
        <v>4.8749248570982405E-4</v>
      </c>
      <c r="I74">
        <v>-0.94649172704141471</v>
      </c>
      <c r="J74">
        <v>-4.6140760471920353E-4</v>
      </c>
      <c r="K74" s="96">
        <f t="shared" si="4"/>
        <v>0</v>
      </c>
      <c r="L74" s="96">
        <f t="shared" si="5"/>
        <v>0</v>
      </c>
      <c r="M74" s="96">
        <f t="shared" si="6"/>
        <v>1</v>
      </c>
    </row>
    <row r="75" spans="1:13" x14ac:dyDescent="0.45">
      <c r="A75">
        <v>1</v>
      </c>
      <c r="B75">
        <v>1</v>
      </c>
      <c r="C75">
        <v>3</v>
      </c>
      <c r="D75">
        <v>3</v>
      </c>
      <c r="E75">
        <v>1</v>
      </c>
      <c r="F75">
        <v>2</v>
      </c>
      <c r="G75">
        <v>1.8507957216977495</v>
      </c>
      <c r="H75">
        <v>4.8749248570982405E-4</v>
      </c>
      <c r="I75">
        <v>-0.9401712958208277</v>
      </c>
      <c r="J75">
        <v>-4.5832644199272161E-4</v>
      </c>
      <c r="K75" s="96">
        <f t="shared" si="4"/>
        <v>0</v>
      </c>
      <c r="L75" s="96">
        <f t="shared" si="5"/>
        <v>0</v>
      </c>
      <c r="M75" s="96">
        <f t="shared" si="6"/>
        <v>1</v>
      </c>
    </row>
    <row r="76" spans="1:13" x14ac:dyDescent="0.45">
      <c r="A76">
        <v>1</v>
      </c>
      <c r="B76">
        <v>1</v>
      </c>
      <c r="C76">
        <v>3</v>
      </c>
      <c r="D76">
        <v>3</v>
      </c>
      <c r="E76">
        <v>1</v>
      </c>
      <c r="F76">
        <v>3</v>
      </c>
      <c r="G76">
        <v>2.0015489115836398</v>
      </c>
      <c r="H76">
        <v>1.2297107747635201E-4</v>
      </c>
      <c r="I76">
        <v>-0.93545868569162882</v>
      </c>
      <c r="J76">
        <v>-1.150343625141117E-4</v>
      </c>
      <c r="K76" s="96">
        <f t="shared" si="4"/>
        <v>0</v>
      </c>
      <c r="L76" s="96">
        <f t="shared" si="5"/>
        <v>0</v>
      </c>
      <c r="M76" s="96">
        <f t="shared" si="6"/>
        <v>1</v>
      </c>
    </row>
    <row r="77" spans="1:13" x14ac:dyDescent="0.45">
      <c r="A77">
        <v>1</v>
      </c>
      <c r="B77">
        <v>1</v>
      </c>
      <c r="C77">
        <v>3</v>
      </c>
      <c r="D77">
        <v>3</v>
      </c>
      <c r="E77">
        <v>2</v>
      </c>
      <c r="F77">
        <v>1</v>
      </c>
      <c r="G77">
        <v>1.6497914685165642</v>
      </c>
      <c r="H77">
        <v>4.8749248570982405E-4</v>
      </c>
      <c r="I77">
        <v>-0.94649172704141471</v>
      </c>
      <c r="J77">
        <v>-4.6140760471920353E-4</v>
      </c>
      <c r="K77" s="96">
        <f t="shared" si="4"/>
        <v>0</v>
      </c>
      <c r="L77" s="96">
        <f t="shared" si="5"/>
        <v>0</v>
      </c>
      <c r="M77" s="96">
        <f t="shared" si="6"/>
        <v>1</v>
      </c>
    </row>
    <row r="78" spans="1:13" x14ac:dyDescent="0.45">
      <c r="A78">
        <v>1</v>
      </c>
      <c r="B78">
        <v>1</v>
      </c>
      <c r="C78">
        <v>3</v>
      </c>
      <c r="D78">
        <v>3</v>
      </c>
      <c r="E78">
        <v>2</v>
      </c>
      <c r="F78">
        <v>2</v>
      </c>
      <c r="G78">
        <v>1.8507957216977495</v>
      </c>
      <c r="H78">
        <v>4.8749248570982405E-4</v>
      </c>
      <c r="I78">
        <v>-0.9401712958208277</v>
      </c>
      <c r="J78">
        <v>-4.5832644199272161E-4</v>
      </c>
      <c r="K78" s="96">
        <f t="shared" si="4"/>
        <v>0</v>
      </c>
      <c r="L78" s="96">
        <f t="shared" si="5"/>
        <v>0</v>
      </c>
      <c r="M78" s="96">
        <f t="shared" si="6"/>
        <v>1</v>
      </c>
    </row>
    <row r="79" spans="1:13" x14ac:dyDescent="0.45">
      <c r="A79">
        <v>1</v>
      </c>
      <c r="B79">
        <v>1</v>
      </c>
      <c r="C79">
        <v>3</v>
      </c>
      <c r="D79">
        <v>3</v>
      </c>
      <c r="E79">
        <v>2</v>
      </c>
      <c r="F79">
        <v>3</v>
      </c>
      <c r="G79">
        <v>2.0015489115836398</v>
      </c>
      <c r="H79">
        <v>1.2297107747635201E-4</v>
      </c>
      <c r="I79">
        <v>-0.93545868569162882</v>
      </c>
      <c r="J79">
        <v>-1.150343625141117E-4</v>
      </c>
      <c r="K79" s="96">
        <f t="shared" si="4"/>
        <v>0</v>
      </c>
      <c r="L79" s="96">
        <f t="shared" si="5"/>
        <v>0</v>
      </c>
      <c r="M79" s="96">
        <f t="shared" si="6"/>
        <v>1</v>
      </c>
    </row>
    <row r="80" spans="1:13" x14ac:dyDescent="0.45">
      <c r="A80">
        <v>1</v>
      </c>
      <c r="B80">
        <v>1</v>
      </c>
      <c r="C80">
        <v>3</v>
      </c>
      <c r="D80">
        <v>3</v>
      </c>
      <c r="E80">
        <v>3</v>
      </c>
      <c r="F80">
        <v>1</v>
      </c>
      <c r="G80">
        <v>1.6497914685165642</v>
      </c>
      <c r="H80">
        <v>1.2297107747635201E-4</v>
      </c>
      <c r="I80">
        <v>-0.94649172704141471</v>
      </c>
      <c r="J80">
        <v>-1.1639110749673602E-4</v>
      </c>
      <c r="K80" s="96">
        <f t="shared" si="4"/>
        <v>0</v>
      </c>
      <c r="L80" s="96">
        <f t="shared" si="5"/>
        <v>0</v>
      </c>
      <c r="M80" s="96">
        <f t="shared" si="6"/>
        <v>1</v>
      </c>
    </row>
    <row r="81" spans="1:13" x14ac:dyDescent="0.45">
      <c r="A81">
        <v>1</v>
      </c>
      <c r="B81">
        <v>1</v>
      </c>
      <c r="C81">
        <v>3</v>
      </c>
      <c r="D81">
        <v>3</v>
      </c>
      <c r="E81">
        <v>3</v>
      </c>
      <c r="F81">
        <v>2</v>
      </c>
      <c r="G81">
        <v>1.8507957216977495</v>
      </c>
      <c r="H81">
        <v>1.2297107747635201E-4</v>
      </c>
      <c r="I81">
        <v>-0.9401712958208277</v>
      </c>
      <c r="J81">
        <v>-1.1561387725942526E-4</v>
      </c>
      <c r="K81" s="96">
        <f t="shared" si="4"/>
        <v>0</v>
      </c>
      <c r="L81" s="96">
        <f t="shared" si="5"/>
        <v>0</v>
      </c>
      <c r="M81" s="96">
        <f t="shared" si="6"/>
        <v>1</v>
      </c>
    </row>
    <row r="82" spans="1:13" x14ac:dyDescent="0.45">
      <c r="A82">
        <v>1</v>
      </c>
      <c r="B82">
        <v>1</v>
      </c>
      <c r="C82">
        <v>3</v>
      </c>
      <c r="D82">
        <v>3</v>
      </c>
      <c r="E82">
        <v>3</v>
      </c>
      <c r="F82">
        <v>3</v>
      </c>
      <c r="G82">
        <v>2.0015489115836398</v>
      </c>
      <c r="H82">
        <v>3.1019731255295997E-5</v>
      </c>
      <c r="I82">
        <v>-0.93545868569162882</v>
      </c>
      <c r="J82">
        <v>-2.9017677030586731E-5</v>
      </c>
      <c r="K82" s="96">
        <f t="shared" si="4"/>
        <v>0</v>
      </c>
      <c r="L82" s="96">
        <f t="shared" si="5"/>
        <v>0</v>
      </c>
      <c r="M82" s="96">
        <f t="shared" si="6"/>
        <v>1</v>
      </c>
    </row>
    <row r="83" spans="1:13" x14ac:dyDescent="0.45">
      <c r="A83">
        <v>1</v>
      </c>
      <c r="B83">
        <v>2</v>
      </c>
      <c r="C83">
        <v>1</v>
      </c>
      <c r="D83">
        <v>1</v>
      </c>
      <c r="E83">
        <v>1</v>
      </c>
      <c r="F83">
        <v>1</v>
      </c>
      <c r="G83">
        <v>1.9483346040704708</v>
      </c>
      <c r="H83">
        <v>7.6612180056514559E-3</v>
      </c>
      <c r="I83">
        <v>-0.93711948443262438</v>
      </c>
      <c r="J83">
        <v>-7.1794766675820311E-3</v>
      </c>
      <c r="K83" s="96">
        <f t="shared" si="4"/>
        <v>0</v>
      </c>
      <c r="L83" s="96">
        <f t="shared" si="5"/>
        <v>0</v>
      </c>
      <c r="M83" s="96">
        <f t="shared" si="6"/>
        <v>1</v>
      </c>
    </row>
    <row r="84" spans="1:13" x14ac:dyDescent="0.45">
      <c r="A84">
        <v>1</v>
      </c>
      <c r="B84">
        <v>2</v>
      </c>
      <c r="C84">
        <v>1</v>
      </c>
      <c r="D84">
        <v>1</v>
      </c>
      <c r="E84">
        <v>1</v>
      </c>
      <c r="F84">
        <v>2</v>
      </c>
      <c r="G84">
        <v>2.181402160803243</v>
      </c>
      <c r="H84">
        <v>7.6612180056514559E-3</v>
      </c>
      <c r="I84">
        <v>-0.92986728682163811</v>
      </c>
      <c r="J84">
        <v>-7.1239160006642006E-3</v>
      </c>
      <c r="K84" s="96">
        <f t="shared" si="4"/>
        <v>0</v>
      </c>
      <c r="L84" s="96">
        <f t="shared" si="5"/>
        <v>0</v>
      </c>
      <c r="M84" s="96">
        <f t="shared" si="6"/>
        <v>1</v>
      </c>
    </row>
    <row r="85" spans="1:13" x14ac:dyDescent="0.45">
      <c r="A85">
        <v>1</v>
      </c>
      <c r="B85">
        <v>2</v>
      </c>
      <c r="C85">
        <v>1</v>
      </c>
      <c r="D85">
        <v>1</v>
      </c>
      <c r="E85">
        <v>1</v>
      </c>
      <c r="F85">
        <v>3</v>
      </c>
      <c r="G85">
        <v>2.3562028283528269</v>
      </c>
      <c r="H85">
        <v>1.932559496921088E-3</v>
      </c>
      <c r="I85">
        <v>-0.92446499343163768</v>
      </c>
      <c r="J85">
        <v>-1.7865836026274026E-3</v>
      </c>
      <c r="K85" s="96">
        <f t="shared" si="4"/>
        <v>0</v>
      </c>
      <c r="L85" s="96">
        <f t="shared" si="5"/>
        <v>0</v>
      </c>
      <c r="M85" s="96">
        <f t="shared" si="6"/>
        <v>1</v>
      </c>
    </row>
    <row r="86" spans="1:13" x14ac:dyDescent="0.45">
      <c r="A86">
        <v>1</v>
      </c>
      <c r="B86">
        <v>2</v>
      </c>
      <c r="C86">
        <v>1</v>
      </c>
      <c r="D86">
        <v>1</v>
      </c>
      <c r="E86">
        <v>2</v>
      </c>
      <c r="F86">
        <v>1</v>
      </c>
      <c r="G86">
        <v>1.9483346040704708</v>
      </c>
      <c r="H86">
        <v>7.6612180056514559E-3</v>
      </c>
      <c r="I86">
        <v>-0.93711948443262438</v>
      </c>
      <c r="J86">
        <v>-7.1794766675820311E-3</v>
      </c>
      <c r="K86" s="96">
        <f t="shared" si="4"/>
        <v>0</v>
      </c>
      <c r="L86" s="96">
        <f t="shared" si="5"/>
        <v>0</v>
      </c>
      <c r="M86" s="96">
        <f t="shared" si="6"/>
        <v>1</v>
      </c>
    </row>
    <row r="87" spans="1:13" x14ac:dyDescent="0.45">
      <c r="A87">
        <v>1</v>
      </c>
      <c r="B87">
        <v>2</v>
      </c>
      <c r="C87">
        <v>1</v>
      </c>
      <c r="D87">
        <v>1</v>
      </c>
      <c r="E87">
        <v>2</v>
      </c>
      <c r="F87">
        <v>2</v>
      </c>
      <c r="G87">
        <v>2.181402160803243</v>
      </c>
      <c r="H87">
        <v>7.6612180056514559E-3</v>
      </c>
      <c r="I87">
        <v>-0.92986728682163811</v>
      </c>
      <c r="J87">
        <v>-7.1239160006642006E-3</v>
      </c>
      <c r="K87" s="96">
        <f t="shared" si="4"/>
        <v>0</v>
      </c>
      <c r="L87" s="96">
        <f t="shared" si="5"/>
        <v>0</v>
      </c>
      <c r="M87" s="96">
        <f t="shared" si="6"/>
        <v>1</v>
      </c>
    </row>
    <row r="88" spans="1:13" x14ac:dyDescent="0.45">
      <c r="A88">
        <v>1</v>
      </c>
      <c r="B88">
        <v>2</v>
      </c>
      <c r="C88">
        <v>1</v>
      </c>
      <c r="D88">
        <v>1</v>
      </c>
      <c r="E88">
        <v>2</v>
      </c>
      <c r="F88">
        <v>3</v>
      </c>
      <c r="G88">
        <v>2.3562028283528269</v>
      </c>
      <c r="H88">
        <v>1.932559496921088E-3</v>
      </c>
      <c r="I88">
        <v>-0.92446499343163768</v>
      </c>
      <c r="J88">
        <v>-1.7865836026274026E-3</v>
      </c>
      <c r="K88" s="96">
        <f t="shared" si="4"/>
        <v>0</v>
      </c>
      <c r="L88" s="96">
        <f t="shared" si="5"/>
        <v>0</v>
      </c>
      <c r="M88" s="96">
        <f t="shared" si="6"/>
        <v>1</v>
      </c>
    </row>
    <row r="89" spans="1:13" x14ac:dyDescent="0.45">
      <c r="A89">
        <v>1</v>
      </c>
      <c r="B89">
        <v>2</v>
      </c>
      <c r="C89">
        <v>1</v>
      </c>
      <c r="D89">
        <v>1</v>
      </c>
      <c r="E89">
        <v>3</v>
      </c>
      <c r="F89">
        <v>1</v>
      </c>
      <c r="G89">
        <v>1.9483346040704708</v>
      </c>
      <c r="H89">
        <v>1.932559496921088E-3</v>
      </c>
      <c r="I89">
        <v>-0.93711948443262438</v>
      </c>
      <c r="J89">
        <v>-1.8110391593900619E-3</v>
      </c>
      <c r="K89" s="96">
        <f t="shared" si="4"/>
        <v>0</v>
      </c>
      <c r="L89" s="96">
        <f t="shared" si="5"/>
        <v>0</v>
      </c>
      <c r="M89" s="96">
        <f t="shared" si="6"/>
        <v>1</v>
      </c>
    </row>
    <row r="90" spans="1:13" x14ac:dyDescent="0.45">
      <c r="A90">
        <v>1</v>
      </c>
      <c r="B90">
        <v>2</v>
      </c>
      <c r="C90">
        <v>1</v>
      </c>
      <c r="D90">
        <v>1</v>
      </c>
      <c r="E90">
        <v>3</v>
      </c>
      <c r="F90">
        <v>2</v>
      </c>
      <c r="G90">
        <v>2.181402160803243</v>
      </c>
      <c r="H90">
        <v>1.932559496921088E-3</v>
      </c>
      <c r="I90">
        <v>-0.92986728682163811</v>
      </c>
      <c r="J90">
        <v>-1.7970238560234019E-3</v>
      </c>
      <c r="K90" s="96">
        <f t="shared" si="4"/>
        <v>0</v>
      </c>
      <c r="L90" s="96">
        <f t="shared" si="5"/>
        <v>0</v>
      </c>
      <c r="M90" s="96">
        <f t="shared" si="6"/>
        <v>1</v>
      </c>
    </row>
    <row r="91" spans="1:13" x14ac:dyDescent="0.45">
      <c r="A91">
        <v>1</v>
      </c>
      <c r="B91">
        <v>2</v>
      </c>
      <c r="C91">
        <v>1</v>
      </c>
      <c r="D91">
        <v>1</v>
      </c>
      <c r="E91">
        <v>3</v>
      </c>
      <c r="F91">
        <v>3</v>
      </c>
      <c r="G91">
        <v>2.3562028283528269</v>
      </c>
      <c r="H91">
        <v>4.8749248570982399E-4</v>
      </c>
      <c r="I91">
        <v>-0.92446499343163768</v>
      </c>
      <c r="J91">
        <v>-4.5066973759970517E-4</v>
      </c>
      <c r="K91" s="96">
        <f t="shared" si="4"/>
        <v>0</v>
      </c>
      <c r="L91" s="96">
        <f t="shared" si="5"/>
        <v>0</v>
      </c>
      <c r="M91" s="96">
        <f t="shared" si="6"/>
        <v>1</v>
      </c>
    </row>
    <row r="92" spans="1:13" x14ac:dyDescent="0.45">
      <c r="A92">
        <v>1</v>
      </c>
      <c r="B92">
        <v>2</v>
      </c>
      <c r="C92">
        <v>1</v>
      </c>
      <c r="D92">
        <v>2</v>
      </c>
      <c r="E92">
        <v>1</v>
      </c>
      <c r="F92">
        <v>1</v>
      </c>
      <c r="G92">
        <v>1.9483346040704708</v>
      </c>
      <c r="H92">
        <v>7.6612180056514559E-3</v>
      </c>
      <c r="I92">
        <v>-0.93711948443262438</v>
      </c>
      <c r="J92">
        <v>-7.1794766675820311E-3</v>
      </c>
      <c r="K92" s="96">
        <f t="shared" si="4"/>
        <v>0</v>
      </c>
      <c r="L92" s="96">
        <f t="shared" si="5"/>
        <v>0</v>
      </c>
      <c r="M92" s="96">
        <f t="shared" si="6"/>
        <v>1</v>
      </c>
    </row>
    <row r="93" spans="1:13" x14ac:dyDescent="0.45">
      <c r="A93">
        <v>1</v>
      </c>
      <c r="B93">
        <v>2</v>
      </c>
      <c r="C93">
        <v>1</v>
      </c>
      <c r="D93">
        <v>2</v>
      </c>
      <c r="E93">
        <v>1</v>
      </c>
      <c r="F93">
        <v>2</v>
      </c>
      <c r="G93">
        <v>2.181402160803243</v>
      </c>
      <c r="H93">
        <v>7.6612180056514559E-3</v>
      </c>
      <c r="I93">
        <v>-0.92986728682163811</v>
      </c>
      <c r="J93">
        <v>-7.1239160006642006E-3</v>
      </c>
      <c r="K93" s="96">
        <f t="shared" si="4"/>
        <v>0</v>
      </c>
      <c r="L93" s="96">
        <f t="shared" si="5"/>
        <v>0</v>
      </c>
      <c r="M93" s="96">
        <f t="shared" si="6"/>
        <v>1</v>
      </c>
    </row>
    <row r="94" spans="1:13" x14ac:dyDescent="0.45">
      <c r="A94">
        <v>1</v>
      </c>
      <c r="B94">
        <v>2</v>
      </c>
      <c r="C94">
        <v>1</v>
      </c>
      <c r="D94">
        <v>2</v>
      </c>
      <c r="E94">
        <v>1</v>
      </c>
      <c r="F94">
        <v>3</v>
      </c>
      <c r="G94">
        <v>2.3562028283528269</v>
      </c>
      <c r="H94">
        <v>1.932559496921088E-3</v>
      </c>
      <c r="I94">
        <v>-0.92446499343163768</v>
      </c>
      <c r="J94">
        <v>-1.7865836026274026E-3</v>
      </c>
      <c r="K94" s="96">
        <f t="shared" si="4"/>
        <v>0</v>
      </c>
      <c r="L94" s="96">
        <f t="shared" si="5"/>
        <v>0</v>
      </c>
      <c r="M94" s="96">
        <f t="shared" si="6"/>
        <v>1</v>
      </c>
    </row>
    <row r="95" spans="1:13" x14ac:dyDescent="0.45">
      <c r="A95">
        <v>1</v>
      </c>
      <c r="B95">
        <v>2</v>
      </c>
      <c r="C95">
        <v>1</v>
      </c>
      <c r="D95">
        <v>2</v>
      </c>
      <c r="E95">
        <v>2</v>
      </c>
      <c r="F95">
        <v>1</v>
      </c>
      <c r="G95">
        <v>1.9483346040704708</v>
      </c>
      <c r="H95">
        <v>7.6612180056514559E-3</v>
      </c>
      <c r="I95">
        <v>-0.93711948443262438</v>
      </c>
      <c r="J95">
        <v>-7.1794766675820311E-3</v>
      </c>
      <c r="K95" s="96">
        <f t="shared" si="4"/>
        <v>0</v>
      </c>
      <c r="L95" s="96">
        <f t="shared" si="5"/>
        <v>0</v>
      </c>
      <c r="M95" s="96">
        <f t="shared" si="6"/>
        <v>1</v>
      </c>
    </row>
    <row r="96" spans="1:13" x14ac:dyDescent="0.45">
      <c r="A96">
        <v>1</v>
      </c>
      <c r="B96">
        <v>2</v>
      </c>
      <c r="C96">
        <v>1</v>
      </c>
      <c r="D96">
        <v>2</v>
      </c>
      <c r="E96">
        <v>2</v>
      </c>
      <c r="F96">
        <v>2</v>
      </c>
      <c r="G96">
        <v>2.181402160803243</v>
      </c>
      <c r="H96">
        <v>7.6612180056514559E-3</v>
      </c>
      <c r="I96">
        <v>-0.92986728682163811</v>
      </c>
      <c r="J96">
        <v>-7.1239160006642006E-3</v>
      </c>
      <c r="K96" s="96">
        <f t="shared" si="4"/>
        <v>0</v>
      </c>
      <c r="L96" s="96">
        <f t="shared" si="5"/>
        <v>0</v>
      </c>
      <c r="M96" s="96">
        <f t="shared" si="6"/>
        <v>1</v>
      </c>
    </row>
    <row r="97" spans="1:13" x14ac:dyDescent="0.45">
      <c r="A97">
        <v>1</v>
      </c>
      <c r="B97">
        <v>2</v>
      </c>
      <c r="C97">
        <v>1</v>
      </c>
      <c r="D97">
        <v>2</v>
      </c>
      <c r="E97">
        <v>2</v>
      </c>
      <c r="F97">
        <v>3</v>
      </c>
      <c r="G97">
        <v>2.3562028283528269</v>
      </c>
      <c r="H97">
        <v>1.932559496921088E-3</v>
      </c>
      <c r="I97">
        <v>-0.92446499343163768</v>
      </c>
      <c r="J97">
        <v>-1.7865836026274026E-3</v>
      </c>
      <c r="K97" s="96">
        <f t="shared" si="4"/>
        <v>0</v>
      </c>
      <c r="L97" s="96">
        <f t="shared" si="5"/>
        <v>0</v>
      </c>
      <c r="M97" s="96">
        <f t="shared" si="6"/>
        <v>1</v>
      </c>
    </row>
    <row r="98" spans="1:13" x14ac:dyDescent="0.45">
      <c r="A98">
        <v>1</v>
      </c>
      <c r="B98">
        <v>2</v>
      </c>
      <c r="C98">
        <v>1</v>
      </c>
      <c r="D98">
        <v>2</v>
      </c>
      <c r="E98">
        <v>3</v>
      </c>
      <c r="F98">
        <v>1</v>
      </c>
      <c r="G98">
        <v>1.9483346040704708</v>
      </c>
      <c r="H98">
        <v>1.932559496921088E-3</v>
      </c>
      <c r="I98">
        <v>-0.93711948443262438</v>
      </c>
      <c r="J98">
        <v>-1.8110391593900619E-3</v>
      </c>
      <c r="K98" s="96">
        <f t="shared" si="4"/>
        <v>0</v>
      </c>
      <c r="L98" s="96">
        <f t="shared" si="5"/>
        <v>0</v>
      </c>
      <c r="M98" s="96">
        <f t="shared" si="6"/>
        <v>1</v>
      </c>
    </row>
    <row r="99" spans="1:13" x14ac:dyDescent="0.45">
      <c r="A99">
        <v>1</v>
      </c>
      <c r="B99">
        <v>2</v>
      </c>
      <c r="C99">
        <v>1</v>
      </c>
      <c r="D99">
        <v>2</v>
      </c>
      <c r="E99">
        <v>3</v>
      </c>
      <c r="F99">
        <v>2</v>
      </c>
      <c r="G99">
        <v>2.181402160803243</v>
      </c>
      <c r="H99">
        <v>1.932559496921088E-3</v>
      </c>
      <c r="I99">
        <v>-0.92986728682163811</v>
      </c>
      <c r="J99">
        <v>-1.7970238560234019E-3</v>
      </c>
      <c r="K99" s="96">
        <f t="shared" si="4"/>
        <v>0</v>
      </c>
      <c r="L99" s="96">
        <f t="shared" si="5"/>
        <v>0</v>
      </c>
      <c r="M99" s="96">
        <f t="shared" si="6"/>
        <v>1</v>
      </c>
    </row>
    <row r="100" spans="1:13" x14ac:dyDescent="0.45">
      <c r="A100">
        <v>1</v>
      </c>
      <c r="B100">
        <v>2</v>
      </c>
      <c r="C100">
        <v>1</v>
      </c>
      <c r="D100">
        <v>2</v>
      </c>
      <c r="E100">
        <v>3</v>
      </c>
      <c r="F100">
        <v>3</v>
      </c>
      <c r="G100">
        <v>2.3562028283528269</v>
      </c>
      <c r="H100">
        <v>4.8749248570982399E-4</v>
      </c>
      <c r="I100">
        <v>-0.92446499343163768</v>
      </c>
      <c r="J100">
        <v>-4.5066973759970517E-4</v>
      </c>
      <c r="K100" s="96">
        <f t="shared" si="4"/>
        <v>0</v>
      </c>
      <c r="L100" s="96">
        <f t="shared" si="5"/>
        <v>0</v>
      </c>
      <c r="M100" s="96">
        <f t="shared" si="6"/>
        <v>1</v>
      </c>
    </row>
    <row r="101" spans="1:13" x14ac:dyDescent="0.45">
      <c r="A101">
        <v>1</v>
      </c>
      <c r="B101">
        <v>2</v>
      </c>
      <c r="C101">
        <v>1</v>
      </c>
      <c r="D101">
        <v>3</v>
      </c>
      <c r="E101">
        <v>1</v>
      </c>
      <c r="F101">
        <v>1</v>
      </c>
      <c r="G101">
        <v>1.9483346040704708</v>
      </c>
      <c r="H101">
        <v>1.932559496921088E-3</v>
      </c>
      <c r="I101">
        <v>-0.93711948443262438</v>
      </c>
      <c r="J101">
        <v>-1.8110391593900619E-3</v>
      </c>
      <c r="K101" s="96">
        <f t="shared" si="4"/>
        <v>0</v>
      </c>
      <c r="L101" s="96">
        <f t="shared" si="5"/>
        <v>0</v>
      </c>
      <c r="M101" s="96">
        <f t="shared" si="6"/>
        <v>1</v>
      </c>
    </row>
    <row r="102" spans="1:13" x14ac:dyDescent="0.45">
      <c r="A102">
        <v>1</v>
      </c>
      <c r="B102">
        <v>2</v>
      </c>
      <c r="C102">
        <v>1</v>
      </c>
      <c r="D102">
        <v>3</v>
      </c>
      <c r="E102">
        <v>1</v>
      </c>
      <c r="F102">
        <v>2</v>
      </c>
      <c r="G102">
        <v>2.181402160803243</v>
      </c>
      <c r="H102">
        <v>1.932559496921088E-3</v>
      </c>
      <c r="I102">
        <v>-0.92986728682163811</v>
      </c>
      <c r="J102">
        <v>-1.7970238560234019E-3</v>
      </c>
      <c r="K102" s="96">
        <f t="shared" si="4"/>
        <v>0</v>
      </c>
      <c r="L102" s="96">
        <f t="shared" si="5"/>
        <v>0</v>
      </c>
      <c r="M102" s="96">
        <f t="shared" si="6"/>
        <v>1</v>
      </c>
    </row>
    <row r="103" spans="1:13" x14ac:dyDescent="0.45">
      <c r="A103">
        <v>1</v>
      </c>
      <c r="B103">
        <v>2</v>
      </c>
      <c r="C103">
        <v>1</v>
      </c>
      <c r="D103">
        <v>3</v>
      </c>
      <c r="E103">
        <v>1</v>
      </c>
      <c r="F103">
        <v>3</v>
      </c>
      <c r="G103">
        <v>2.3562028283528269</v>
      </c>
      <c r="H103">
        <v>4.8749248570982399E-4</v>
      </c>
      <c r="I103">
        <v>-0.92446499343163768</v>
      </c>
      <c r="J103">
        <v>-4.5066973759970517E-4</v>
      </c>
      <c r="K103" s="96">
        <f t="shared" si="4"/>
        <v>0</v>
      </c>
      <c r="L103" s="96">
        <f t="shared" si="5"/>
        <v>0</v>
      </c>
      <c r="M103" s="96">
        <f t="shared" si="6"/>
        <v>1</v>
      </c>
    </row>
    <row r="104" spans="1:13" x14ac:dyDescent="0.45">
      <c r="A104">
        <v>1</v>
      </c>
      <c r="B104">
        <v>2</v>
      </c>
      <c r="C104">
        <v>1</v>
      </c>
      <c r="D104">
        <v>3</v>
      </c>
      <c r="E104">
        <v>2</v>
      </c>
      <c r="F104">
        <v>1</v>
      </c>
      <c r="G104">
        <v>1.9483346040704708</v>
      </c>
      <c r="H104">
        <v>1.932559496921088E-3</v>
      </c>
      <c r="I104">
        <v>-0.93711948443262438</v>
      </c>
      <c r="J104">
        <v>-1.8110391593900619E-3</v>
      </c>
      <c r="K104" s="96">
        <f t="shared" si="4"/>
        <v>0</v>
      </c>
      <c r="L104" s="96">
        <f t="shared" si="5"/>
        <v>0</v>
      </c>
      <c r="M104" s="96">
        <f t="shared" si="6"/>
        <v>1</v>
      </c>
    </row>
    <row r="105" spans="1:13" x14ac:dyDescent="0.45">
      <c r="A105">
        <v>1</v>
      </c>
      <c r="B105">
        <v>2</v>
      </c>
      <c r="C105">
        <v>1</v>
      </c>
      <c r="D105">
        <v>3</v>
      </c>
      <c r="E105">
        <v>2</v>
      </c>
      <c r="F105">
        <v>2</v>
      </c>
      <c r="G105">
        <v>2.181402160803243</v>
      </c>
      <c r="H105">
        <v>1.932559496921088E-3</v>
      </c>
      <c r="I105">
        <v>-0.92986728682163811</v>
      </c>
      <c r="J105">
        <v>-1.7970238560234019E-3</v>
      </c>
      <c r="K105" s="96">
        <f t="shared" si="4"/>
        <v>0</v>
      </c>
      <c r="L105" s="96">
        <f t="shared" si="5"/>
        <v>0</v>
      </c>
      <c r="M105" s="96">
        <f t="shared" si="6"/>
        <v>1</v>
      </c>
    </row>
    <row r="106" spans="1:13" x14ac:dyDescent="0.45">
      <c r="A106">
        <v>1</v>
      </c>
      <c r="B106">
        <v>2</v>
      </c>
      <c r="C106">
        <v>1</v>
      </c>
      <c r="D106">
        <v>3</v>
      </c>
      <c r="E106">
        <v>2</v>
      </c>
      <c r="F106">
        <v>3</v>
      </c>
      <c r="G106">
        <v>2.3562028283528269</v>
      </c>
      <c r="H106">
        <v>4.8749248570982399E-4</v>
      </c>
      <c r="I106">
        <v>-0.92446499343163768</v>
      </c>
      <c r="J106">
        <v>-4.5066973759970517E-4</v>
      </c>
      <c r="K106" s="96">
        <f t="shared" si="4"/>
        <v>0</v>
      </c>
      <c r="L106" s="96">
        <f t="shared" si="5"/>
        <v>0</v>
      </c>
      <c r="M106" s="96">
        <f t="shared" si="6"/>
        <v>1</v>
      </c>
    </row>
    <row r="107" spans="1:13" x14ac:dyDescent="0.45">
      <c r="A107">
        <v>1</v>
      </c>
      <c r="B107">
        <v>2</v>
      </c>
      <c r="C107">
        <v>1</v>
      </c>
      <c r="D107">
        <v>3</v>
      </c>
      <c r="E107">
        <v>3</v>
      </c>
      <c r="F107">
        <v>1</v>
      </c>
      <c r="G107">
        <v>1.9483346040704708</v>
      </c>
      <c r="H107">
        <v>4.8749248570982405E-4</v>
      </c>
      <c r="I107">
        <v>-0.93711948443262438</v>
      </c>
      <c r="J107">
        <v>-4.5683870687316882E-4</v>
      </c>
      <c r="K107" s="96">
        <f t="shared" si="4"/>
        <v>0</v>
      </c>
      <c r="L107" s="96">
        <f t="shared" si="5"/>
        <v>0</v>
      </c>
      <c r="M107" s="96">
        <f t="shared" si="6"/>
        <v>1</v>
      </c>
    </row>
    <row r="108" spans="1:13" x14ac:dyDescent="0.45">
      <c r="A108">
        <v>1</v>
      </c>
      <c r="B108">
        <v>2</v>
      </c>
      <c r="C108">
        <v>1</v>
      </c>
      <c r="D108">
        <v>3</v>
      </c>
      <c r="E108">
        <v>3</v>
      </c>
      <c r="F108">
        <v>2</v>
      </c>
      <c r="G108">
        <v>2.181402160803243</v>
      </c>
      <c r="H108">
        <v>4.8749248570982405E-4</v>
      </c>
      <c r="I108">
        <v>-0.92986728682163811</v>
      </c>
      <c r="J108">
        <v>-4.5330331503293025E-4</v>
      </c>
      <c r="K108" s="96">
        <f t="shared" si="4"/>
        <v>0</v>
      </c>
      <c r="L108" s="96">
        <f t="shared" si="5"/>
        <v>0</v>
      </c>
      <c r="M108" s="96">
        <f t="shared" si="6"/>
        <v>1</v>
      </c>
    </row>
    <row r="109" spans="1:13" x14ac:dyDescent="0.45">
      <c r="A109">
        <v>1</v>
      </c>
      <c r="B109">
        <v>2</v>
      </c>
      <c r="C109">
        <v>1</v>
      </c>
      <c r="D109">
        <v>3</v>
      </c>
      <c r="E109">
        <v>3</v>
      </c>
      <c r="F109">
        <v>3</v>
      </c>
      <c r="G109">
        <v>2.3562028283528269</v>
      </c>
      <c r="H109">
        <v>1.2297107747635201E-4</v>
      </c>
      <c r="I109">
        <v>-0.92446499343163768</v>
      </c>
      <c r="J109">
        <v>-1.1368245633145717E-4</v>
      </c>
      <c r="K109" s="96">
        <f t="shared" si="4"/>
        <v>0</v>
      </c>
      <c r="L109" s="96">
        <f t="shared" si="5"/>
        <v>0</v>
      </c>
      <c r="M109" s="96">
        <f t="shared" si="6"/>
        <v>1</v>
      </c>
    </row>
    <row r="110" spans="1:13" x14ac:dyDescent="0.45">
      <c r="A110">
        <v>1</v>
      </c>
      <c r="B110">
        <v>2</v>
      </c>
      <c r="C110">
        <v>2</v>
      </c>
      <c r="D110">
        <v>1</v>
      </c>
      <c r="E110">
        <v>1</v>
      </c>
      <c r="F110">
        <v>1</v>
      </c>
      <c r="G110">
        <v>2.4727366067192129</v>
      </c>
      <c r="H110">
        <v>7.6612180056514559E-3</v>
      </c>
      <c r="I110">
        <v>-0.92088091242495329</v>
      </c>
      <c r="J110">
        <v>-7.0550694273307938E-3</v>
      </c>
      <c r="K110" s="96">
        <f t="shared" si="4"/>
        <v>0</v>
      </c>
      <c r="L110" s="96">
        <f t="shared" si="5"/>
        <v>0</v>
      </c>
      <c r="M110" s="96">
        <f t="shared" si="6"/>
        <v>1</v>
      </c>
    </row>
    <row r="111" spans="1:13" x14ac:dyDescent="0.45">
      <c r="A111">
        <v>1</v>
      </c>
      <c r="B111">
        <v>2</v>
      </c>
      <c r="C111">
        <v>2</v>
      </c>
      <c r="D111">
        <v>1</v>
      </c>
      <c r="E111">
        <v>1</v>
      </c>
      <c r="F111">
        <v>2</v>
      </c>
      <c r="G111">
        <v>2.7591386138661051</v>
      </c>
      <c r="H111">
        <v>7.6612180056514559E-3</v>
      </c>
      <c r="I111">
        <v>-0.9121313390786927</v>
      </c>
      <c r="J111">
        <v>-6.9880370384686544E-3</v>
      </c>
      <c r="K111" s="96">
        <f t="shared" si="4"/>
        <v>0</v>
      </c>
      <c r="L111" s="96">
        <f t="shared" si="5"/>
        <v>0</v>
      </c>
      <c r="M111" s="96">
        <f t="shared" si="6"/>
        <v>1</v>
      </c>
    </row>
    <row r="112" spans="1:13" x14ac:dyDescent="0.45">
      <c r="A112">
        <v>1</v>
      </c>
      <c r="B112">
        <v>2</v>
      </c>
      <c r="C112">
        <v>2</v>
      </c>
      <c r="D112">
        <v>1</v>
      </c>
      <c r="E112">
        <v>1</v>
      </c>
      <c r="F112">
        <v>3</v>
      </c>
      <c r="G112">
        <v>2.9732645636707136</v>
      </c>
      <c r="H112">
        <v>1.932559496921088E-3</v>
      </c>
      <c r="I112">
        <v>-0.90564415156138889</v>
      </c>
      <c r="J112">
        <v>-1.7502112059310032E-3</v>
      </c>
      <c r="K112" s="96">
        <f t="shared" si="4"/>
        <v>0</v>
      </c>
      <c r="L112" s="96">
        <f t="shared" si="5"/>
        <v>0</v>
      </c>
      <c r="M112" s="96">
        <f t="shared" si="6"/>
        <v>1</v>
      </c>
    </row>
    <row r="113" spans="1:13" x14ac:dyDescent="0.45">
      <c r="A113">
        <v>1</v>
      </c>
      <c r="B113">
        <v>2</v>
      </c>
      <c r="C113">
        <v>2</v>
      </c>
      <c r="D113">
        <v>1</v>
      </c>
      <c r="E113">
        <v>2</v>
      </c>
      <c r="F113">
        <v>1</v>
      </c>
      <c r="G113">
        <v>2.4727366067192129</v>
      </c>
      <c r="H113">
        <v>7.6612180056514559E-3</v>
      </c>
      <c r="I113">
        <v>-0.92088091242495329</v>
      </c>
      <c r="J113">
        <v>-7.0550694273307938E-3</v>
      </c>
      <c r="K113" s="96">
        <f t="shared" si="4"/>
        <v>0</v>
      </c>
      <c r="L113" s="96">
        <f t="shared" si="5"/>
        <v>0</v>
      </c>
      <c r="M113" s="96">
        <f t="shared" si="6"/>
        <v>1</v>
      </c>
    </row>
    <row r="114" spans="1:13" x14ac:dyDescent="0.45">
      <c r="A114">
        <v>1</v>
      </c>
      <c r="B114">
        <v>2</v>
      </c>
      <c r="C114">
        <v>2</v>
      </c>
      <c r="D114">
        <v>1</v>
      </c>
      <c r="E114">
        <v>2</v>
      </c>
      <c r="F114">
        <v>2</v>
      </c>
      <c r="G114">
        <v>2.7591386138661051</v>
      </c>
      <c r="H114">
        <v>7.6612180056514559E-3</v>
      </c>
      <c r="I114">
        <v>-0.9121313390786927</v>
      </c>
      <c r="J114">
        <v>-6.9880370384686544E-3</v>
      </c>
      <c r="K114" s="96">
        <f t="shared" si="4"/>
        <v>0</v>
      </c>
      <c r="L114" s="96">
        <f t="shared" si="5"/>
        <v>0</v>
      </c>
      <c r="M114" s="96">
        <f t="shared" si="6"/>
        <v>1</v>
      </c>
    </row>
    <row r="115" spans="1:13" x14ac:dyDescent="0.45">
      <c r="A115">
        <v>1</v>
      </c>
      <c r="B115">
        <v>2</v>
      </c>
      <c r="C115">
        <v>2</v>
      </c>
      <c r="D115">
        <v>1</v>
      </c>
      <c r="E115">
        <v>2</v>
      </c>
      <c r="F115">
        <v>3</v>
      </c>
      <c r="G115">
        <v>2.9732645636707136</v>
      </c>
      <c r="H115">
        <v>1.932559496921088E-3</v>
      </c>
      <c r="I115">
        <v>-0.90564415156138889</v>
      </c>
      <c r="J115">
        <v>-1.7502112059310032E-3</v>
      </c>
      <c r="K115" s="96">
        <f t="shared" si="4"/>
        <v>0</v>
      </c>
      <c r="L115" s="96">
        <f t="shared" si="5"/>
        <v>0</v>
      </c>
      <c r="M115" s="96">
        <f t="shared" si="6"/>
        <v>1</v>
      </c>
    </row>
    <row r="116" spans="1:13" x14ac:dyDescent="0.45">
      <c r="A116">
        <v>1</v>
      </c>
      <c r="B116">
        <v>2</v>
      </c>
      <c r="C116">
        <v>2</v>
      </c>
      <c r="D116">
        <v>1</v>
      </c>
      <c r="E116">
        <v>3</v>
      </c>
      <c r="F116">
        <v>1</v>
      </c>
      <c r="G116">
        <v>2.4727366067192129</v>
      </c>
      <c r="H116">
        <v>1.932559496921088E-3</v>
      </c>
      <c r="I116">
        <v>-0.92088091242495329</v>
      </c>
      <c r="J116">
        <v>-1.7796571528402002E-3</v>
      </c>
      <c r="K116" s="96">
        <f t="shared" si="4"/>
        <v>0</v>
      </c>
      <c r="L116" s="96">
        <f t="shared" si="5"/>
        <v>0</v>
      </c>
      <c r="M116" s="96">
        <f t="shared" si="6"/>
        <v>1</v>
      </c>
    </row>
    <row r="117" spans="1:13" x14ac:dyDescent="0.45">
      <c r="A117">
        <v>1</v>
      </c>
      <c r="B117">
        <v>2</v>
      </c>
      <c r="C117">
        <v>2</v>
      </c>
      <c r="D117">
        <v>1</v>
      </c>
      <c r="E117">
        <v>3</v>
      </c>
      <c r="F117">
        <v>2</v>
      </c>
      <c r="G117">
        <v>2.7591386138661051</v>
      </c>
      <c r="H117">
        <v>1.932559496921088E-3</v>
      </c>
      <c r="I117">
        <v>-0.9121313390786927</v>
      </c>
      <c r="J117">
        <v>-1.7627480817758766E-3</v>
      </c>
      <c r="K117" s="96">
        <f t="shared" si="4"/>
        <v>0</v>
      </c>
      <c r="L117" s="96">
        <f t="shared" si="5"/>
        <v>0</v>
      </c>
      <c r="M117" s="96">
        <f t="shared" si="6"/>
        <v>1</v>
      </c>
    </row>
    <row r="118" spans="1:13" x14ac:dyDescent="0.45">
      <c r="A118">
        <v>1</v>
      </c>
      <c r="B118">
        <v>2</v>
      </c>
      <c r="C118">
        <v>2</v>
      </c>
      <c r="D118">
        <v>1</v>
      </c>
      <c r="E118">
        <v>3</v>
      </c>
      <c r="F118">
        <v>3</v>
      </c>
      <c r="G118">
        <v>2.9732645636707136</v>
      </c>
      <c r="H118">
        <v>4.8749248570982399E-4</v>
      </c>
      <c r="I118">
        <v>-0.90564415156138889</v>
      </c>
      <c r="J118">
        <v>-4.4149471861322607E-4</v>
      </c>
      <c r="K118" s="96">
        <f t="shared" si="4"/>
        <v>0</v>
      </c>
      <c r="L118" s="96">
        <f t="shared" si="5"/>
        <v>0</v>
      </c>
      <c r="M118" s="96">
        <f t="shared" si="6"/>
        <v>1</v>
      </c>
    </row>
    <row r="119" spans="1:13" x14ac:dyDescent="0.45">
      <c r="A119">
        <v>1</v>
      </c>
      <c r="B119">
        <v>2</v>
      </c>
      <c r="C119">
        <v>2</v>
      </c>
      <c r="D119">
        <v>2</v>
      </c>
      <c r="E119">
        <v>1</v>
      </c>
      <c r="F119">
        <v>1</v>
      </c>
      <c r="G119">
        <v>2.4727366067192129</v>
      </c>
      <c r="H119">
        <v>7.6612180056514559E-3</v>
      </c>
      <c r="I119">
        <v>-0.92088091242495329</v>
      </c>
      <c r="J119">
        <v>-7.0550694273307938E-3</v>
      </c>
      <c r="K119" s="96">
        <f t="shared" si="4"/>
        <v>0</v>
      </c>
      <c r="L119" s="96">
        <f t="shared" si="5"/>
        <v>0</v>
      </c>
      <c r="M119" s="96">
        <f t="shared" si="6"/>
        <v>1</v>
      </c>
    </row>
    <row r="120" spans="1:13" x14ac:dyDescent="0.45">
      <c r="A120">
        <v>1</v>
      </c>
      <c r="B120">
        <v>2</v>
      </c>
      <c r="C120">
        <v>2</v>
      </c>
      <c r="D120">
        <v>2</v>
      </c>
      <c r="E120">
        <v>1</v>
      </c>
      <c r="F120">
        <v>2</v>
      </c>
      <c r="G120">
        <v>2.7591386138661051</v>
      </c>
      <c r="H120">
        <v>7.6612180056514559E-3</v>
      </c>
      <c r="I120">
        <v>-0.9121313390786927</v>
      </c>
      <c r="J120">
        <v>-6.9880370384686544E-3</v>
      </c>
      <c r="K120" s="96">
        <f t="shared" si="4"/>
        <v>0</v>
      </c>
      <c r="L120" s="96">
        <f t="shared" si="5"/>
        <v>0</v>
      </c>
      <c r="M120" s="96">
        <f t="shared" si="6"/>
        <v>1</v>
      </c>
    </row>
    <row r="121" spans="1:13" x14ac:dyDescent="0.45">
      <c r="A121">
        <v>1</v>
      </c>
      <c r="B121">
        <v>2</v>
      </c>
      <c r="C121">
        <v>2</v>
      </c>
      <c r="D121">
        <v>2</v>
      </c>
      <c r="E121">
        <v>1</v>
      </c>
      <c r="F121">
        <v>3</v>
      </c>
      <c r="G121">
        <v>2.9732645636707136</v>
      </c>
      <c r="H121">
        <v>1.932559496921088E-3</v>
      </c>
      <c r="I121">
        <v>-0.90564415156138889</v>
      </c>
      <c r="J121">
        <v>-1.7502112059310032E-3</v>
      </c>
      <c r="K121" s="96">
        <f t="shared" si="4"/>
        <v>0</v>
      </c>
      <c r="L121" s="96">
        <f t="shared" si="5"/>
        <v>0</v>
      </c>
      <c r="M121" s="96">
        <f t="shared" si="6"/>
        <v>1</v>
      </c>
    </row>
    <row r="122" spans="1:13" x14ac:dyDescent="0.45">
      <c r="A122">
        <v>1</v>
      </c>
      <c r="B122">
        <v>2</v>
      </c>
      <c r="C122">
        <v>2</v>
      </c>
      <c r="D122">
        <v>2</v>
      </c>
      <c r="E122">
        <v>2</v>
      </c>
      <c r="F122">
        <v>1</v>
      </c>
      <c r="G122">
        <v>2.4727366067192129</v>
      </c>
      <c r="H122">
        <v>7.6612180056514559E-3</v>
      </c>
      <c r="I122">
        <v>-0.92088091242495329</v>
      </c>
      <c r="J122">
        <v>-7.0550694273307938E-3</v>
      </c>
      <c r="K122" s="96">
        <f t="shared" si="4"/>
        <v>0</v>
      </c>
      <c r="L122" s="96">
        <f t="shared" si="5"/>
        <v>0</v>
      </c>
      <c r="M122" s="96">
        <f t="shared" si="6"/>
        <v>1</v>
      </c>
    </row>
    <row r="123" spans="1:13" x14ac:dyDescent="0.45">
      <c r="A123">
        <v>1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2.7591386138661051</v>
      </c>
      <c r="H123">
        <v>7.6612180056514559E-3</v>
      </c>
      <c r="I123">
        <v>-0.9121313390786927</v>
      </c>
      <c r="J123">
        <v>-6.9880370384686544E-3</v>
      </c>
      <c r="K123" s="96">
        <f t="shared" si="4"/>
        <v>0</v>
      </c>
      <c r="L123" s="96">
        <f t="shared" si="5"/>
        <v>0</v>
      </c>
      <c r="M123" s="96">
        <f t="shared" si="6"/>
        <v>1</v>
      </c>
    </row>
    <row r="124" spans="1:13" x14ac:dyDescent="0.45">
      <c r="A124">
        <v>1</v>
      </c>
      <c r="B124">
        <v>2</v>
      </c>
      <c r="C124">
        <v>2</v>
      </c>
      <c r="D124">
        <v>2</v>
      </c>
      <c r="E124">
        <v>2</v>
      </c>
      <c r="F124">
        <v>3</v>
      </c>
      <c r="G124">
        <v>2.9732645636707136</v>
      </c>
      <c r="H124">
        <v>1.932559496921088E-3</v>
      </c>
      <c r="I124">
        <v>-0.90564415156138889</v>
      </c>
      <c r="J124">
        <v>-1.7502112059310032E-3</v>
      </c>
      <c r="K124" s="96">
        <f t="shared" si="4"/>
        <v>0</v>
      </c>
      <c r="L124" s="96">
        <f t="shared" si="5"/>
        <v>0</v>
      </c>
      <c r="M124" s="96">
        <f t="shared" si="6"/>
        <v>1</v>
      </c>
    </row>
    <row r="125" spans="1:13" x14ac:dyDescent="0.45">
      <c r="A125">
        <v>1</v>
      </c>
      <c r="B125">
        <v>2</v>
      </c>
      <c r="C125">
        <v>2</v>
      </c>
      <c r="D125">
        <v>2</v>
      </c>
      <c r="E125">
        <v>3</v>
      </c>
      <c r="F125">
        <v>1</v>
      </c>
      <c r="G125">
        <v>2.4727366067192129</v>
      </c>
      <c r="H125">
        <v>1.932559496921088E-3</v>
      </c>
      <c r="I125">
        <v>-0.92088091242495329</v>
      </c>
      <c r="J125">
        <v>-1.7796571528402002E-3</v>
      </c>
      <c r="K125" s="96">
        <f t="shared" si="4"/>
        <v>0</v>
      </c>
      <c r="L125" s="96">
        <f t="shared" si="5"/>
        <v>0</v>
      </c>
      <c r="M125" s="96">
        <f t="shared" si="6"/>
        <v>1</v>
      </c>
    </row>
    <row r="126" spans="1:13" x14ac:dyDescent="0.45">
      <c r="A126">
        <v>1</v>
      </c>
      <c r="B126">
        <v>2</v>
      </c>
      <c r="C126">
        <v>2</v>
      </c>
      <c r="D126">
        <v>2</v>
      </c>
      <c r="E126">
        <v>3</v>
      </c>
      <c r="F126">
        <v>2</v>
      </c>
      <c r="G126">
        <v>2.7591386138661051</v>
      </c>
      <c r="H126">
        <v>1.932559496921088E-3</v>
      </c>
      <c r="I126">
        <v>-0.9121313390786927</v>
      </c>
      <c r="J126">
        <v>-1.7627480817758766E-3</v>
      </c>
      <c r="K126" s="96">
        <f t="shared" si="4"/>
        <v>0</v>
      </c>
      <c r="L126" s="96">
        <f t="shared" si="5"/>
        <v>0</v>
      </c>
      <c r="M126" s="96">
        <f t="shared" si="6"/>
        <v>1</v>
      </c>
    </row>
    <row r="127" spans="1:13" x14ac:dyDescent="0.45">
      <c r="A127">
        <v>1</v>
      </c>
      <c r="B127">
        <v>2</v>
      </c>
      <c r="C127">
        <v>2</v>
      </c>
      <c r="D127">
        <v>2</v>
      </c>
      <c r="E127">
        <v>3</v>
      </c>
      <c r="F127">
        <v>3</v>
      </c>
      <c r="G127">
        <v>2.9732645636707136</v>
      </c>
      <c r="H127">
        <v>4.8749248570982399E-4</v>
      </c>
      <c r="I127">
        <v>-0.90564415156138889</v>
      </c>
      <c r="J127">
        <v>-4.4149471861322607E-4</v>
      </c>
      <c r="K127" s="96">
        <f t="shared" si="4"/>
        <v>0</v>
      </c>
      <c r="L127" s="96">
        <f t="shared" si="5"/>
        <v>0</v>
      </c>
      <c r="M127" s="96">
        <f t="shared" si="6"/>
        <v>1</v>
      </c>
    </row>
    <row r="128" spans="1:13" x14ac:dyDescent="0.45">
      <c r="A128">
        <v>1</v>
      </c>
      <c r="B128">
        <v>2</v>
      </c>
      <c r="C128">
        <v>2</v>
      </c>
      <c r="D128">
        <v>3</v>
      </c>
      <c r="E128">
        <v>1</v>
      </c>
      <c r="F128">
        <v>1</v>
      </c>
      <c r="G128">
        <v>2.4727366067192129</v>
      </c>
      <c r="H128">
        <v>1.932559496921088E-3</v>
      </c>
      <c r="I128">
        <v>-0.92088091242495329</v>
      </c>
      <c r="J128">
        <v>-1.7796571528402002E-3</v>
      </c>
      <c r="K128" s="96">
        <f t="shared" si="4"/>
        <v>0</v>
      </c>
      <c r="L128" s="96">
        <f t="shared" si="5"/>
        <v>0</v>
      </c>
      <c r="M128" s="96">
        <f t="shared" si="6"/>
        <v>1</v>
      </c>
    </row>
    <row r="129" spans="1:13" x14ac:dyDescent="0.45">
      <c r="A129">
        <v>1</v>
      </c>
      <c r="B129">
        <v>2</v>
      </c>
      <c r="C129">
        <v>2</v>
      </c>
      <c r="D129">
        <v>3</v>
      </c>
      <c r="E129">
        <v>1</v>
      </c>
      <c r="F129">
        <v>2</v>
      </c>
      <c r="G129">
        <v>2.7591386138661051</v>
      </c>
      <c r="H129">
        <v>1.932559496921088E-3</v>
      </c>
      <c r="I129">
        <v>-0.9121313390786927</v>
      </c>
      <c r="J129">
        <v>-1.7627480817758766E-3</v>
      </c>
      <c r="K129" s="96">
        <f t="shared" si="4"/>
        <v>0</v>
      </c>
      <c r="L129" s="96">
        <f t="shared" si="5"/>
        <v>0</v>
      </c>
      <c r="M129" s="96">
        <f t="shared" si="6"/>
        <v>1</v>
      </c>
    </row>
    <row r="130" spans="1:13" x14ac:dyDescent="0.45">
      <c r="A130">
        <v>1</v>
      </c>
      <c r="B130">
        <v>2</v>
      </c>
      <c r="C130">
        <v>2</v>
      </c>
      <c r="D130">
        <v>3</v>
      </c>
      <c r="E130">
        <v>1</v>
      </c>
      <c r="F130">
        <v>3</v>
      </c>
      <c r="G130">
        <v>2.9732645636707136</v>
      </c>
      <c r="H130">
        <v>4.8749248570982399E-4</v>
      </c>
      <c r="I130">
        <v>-0.90564415156138889</v>
      </c>
      <c r="J130">
        <v>-4.4149471861322607E-4</v>
      </c>
      <c r="K130" s="96">
        <f t="shared" si="4"/>
        <v>0</v>
      </c>
      <c r="L130" s="96">
        <f t="shared" si="5"/>
        <v>0</v>
      </c>
      <c r="M130" s="96">
        <f t="shared" si="6"/>
        <v>1</v>
      </c>
    </row>
    <row r="131" spans="1:13" x14ac:dyDescent="0.45">
      <c r="A131">
        <v>1</v>
      </c>
      <c r="B131">
        <v>2</v>
      </c>
      <c r="C131">
        <v>2</v>
      </c>
      <c r="D131">
        <v>3</v>
      </c>
      <c r="E131">
        <v>2</v>
      </c>
      <c r="F131">
        <v>1</v>
      </c>
      <c r="G131">
        <v>2.4727366067192129</v>
      </c>
      <c r="H131">
        <v>1.932559496921088E-3</v>
      </c>
      <c r="I131">
        <v>-0.92088091242495329</v>
      </c>
      <c r="J131">
        <v>-1.7796571528402002E-3</v>
      </c>
      <c r="K131" s="96">
        <f t="shared" ref="K131:K194" si="7">IF(A131=3,1,0)</f>
        <v>0</v>
      </c>
      <c r="L131" s="96">
        <f t="shared" ref="L131:L194" si="8">IF(A131=2,1,0)</f>
        <v>0</v>
      </c>
      <c r="M131" s="96">
        <f t="shared" ref="M131:M194" si="9">IF(A131=1,1,0)</f>
        <v>1</v>
      </c>
    </row>
    <row r="132" spans="1:13" x14ac:dyDescent="0.45">
      <c r="A132">
        <v>1</v>
      </c>
      <c r="B132">
        <v>2</v>
      </c>
      <c r="C132">
        <v>2</v>
      </c>
      <c r="D132">
        <v>3</v>
      </c>
      <c r="E132">
        <v>2</v>
      </c>
      <c r="F132">
        <v>2</v>
      </c>
      <c r="G132">
        <v>2.7591386138661051</v>
      </c>
      <c r="H132">
        <v>1.932559496921088E-3</v>
      </c>
      <c r="I132">
        <v>-0.9121313390786927</v>
      </c>
      <c r="J132">
        <v>-1.7627480817758766E-3</v>
      </c>
      <c r="K132" s="96">
        <f t="shared" si="7"/>
        <v>0</v>
      </c>
      <c r="L132" s="96">
        <f t="shared" si="8"/>
        <v>0</v>
      </c>
      <c r="M132" s="96">
        <f t="shared" si="9"/>
        <v>1</v>
      </c>
    </row>
    <row r="133" spans="1:13" x14ac:dyDescent="0.45">
      <c r="A133">
        <v>1</v>
      </c>
      <c r="B133">
        <v>2</v>
      </c>
      <c r="C133">
        <v>2</v>
      </c>
      <c r="D133">
        <v>3</v>
      </c>
      <c r="E133">
        <v>2</v>
      </c>
      <c r="F133">
        <v>3</v>
      </c>
      <c r="G133">
        <v>2.9732645636707136</v>
      </c>
      <c r="H133">
        <v>4.8749248570982399E-4</v>
      </c>
      <c r="I133">
        <v>-0.90564415156138889</v>
      </c>
      <c r="J133">
        <v>-4.4149471861322607E-4</v>
      </c>
      <c r="K133" s="96">
        <f t="shared" si="7"/>
        <v>0</v>
      </c>
      <c r="L133" s="96">
        <f t="shared" si="8"/>
        <v>0</v>
      </c>
      <c r="M133" s="96">
        <f t="shared" si="9"/>
        <v>1</v>
      </c>
    </row>
    <row r="134" spans="1:13" x14ac:dyDescent="0.45">
      <c r="A134">
        <v>1</v>
      </c>
      <c r="B134">
        <v>2</v>
      </c>
      <c r="C134">
        <v>2</v>
      </c>
      <c r="D134">
        <v>3</v>
      </c>
      <c r="E134">
        <v>3</v>
      </c>
      <c r="F134">
        <v>1</v>
      </c>
      <c r="G134">
        <v>2.4727366067192129</v>
      </c>
      <c r="H134">
        <v>4.8749248570982405E-4</v>
      </c>
      <c r="I134">
        <v>-0.92088091242495329</v>
      </c>
      <c r="J134">
        <v>-4.4892252504077126E-4</v>
      </c>
      <c r="K134" s="96">
        <f t="shared" si="7"/>
        <v>0</v>
      </c>
      <c r="L134" s="96">
        <f t="shared" si="8"/>
        <v>0</v>
      </c>
      <c r="M134" s="96">
        <f t="shared" si="9"/>
        <v>1</v>
      </c>
    </row>
    <row r="135" spans="1:13" x14ac:dyDescent="0.45">
      <c r="A135">
        <v>1</v>
      </c>
      <c r="B135">
        <v>2</v>
      </c>
      <c r="C135">
        <v>2</v>
      </c>
      <c r="D135">
        <v>3</v>
      </c>
      <c r="E135">
        <v>3</v>
      </c>
      <c r="F135">
        <v>2</v>
      </c>
      <c r="G135">
        <v>2.7591386138661051</v>
      </c>
      <c r="H135">
        <v>4.8749248570982405E-4</v>
      </c>
      <c r="I135">
        <v>-0.9121313390786927</v>
      </c>
      <c r="J135">
        <v>-4.4465717378130228E-4</v>
      </c>
      <c r="K135" s="96">
        <f t="shared" si="7"/>
        <v>0</v>
      </c>
      <c r="L135" s="96">
        <f t="shared" si="8"/>
        <v>0</v>
      </c>
      <c r="M135" s="96">
        <f t="shared" si="9"/>
        <v>1</v>
      </c>
    </row>
    <row r="136" spans="1:13" x14ac:dyDescent="0.45">
      <c r="A136">
        <v>1</v>
      </c>
      <c r="B136">
        <v>2</v>
      </c>
      <c r="C136">
        <v>2</v>
      </c>
      <c r="D136">
        <v>3</v>
      </c>
      <c r="E136">
        <v>3</v>
      </c>
      <c r="F136">
        <v>3</v>
      </c>
      <c r="G136">
        <v>2.9732645636707136</v>
      </c>
      <c r="H136">
        <v>1.2297107747635201E-4</v>
      </c>
      <c r="I136">
        <v>-0.90564415156138889</v>
      </c>
      <c r="J136">
        <v>-1.1136803712766063E-4</v>
      </c>
      <c r="K136" s="96">
        <f t="shared" si="7"/>
        <v>0</v>
      </c>
      <c r="L136" s="96">
        <f t="shared" si="8"/>
        <v>0</v>
      </c>
      <c r="M136" s="96">
        <f t="shared" si="9"/>
        <v>1</v>
      </c>
    </row>
    <row r="137" spans="1:13" x14ac:dyDescent="0.45">
      <c r="A137">
        <v>1</v>
      </c>
      <c r="B137">
        <v>2</v>
      </c>
      <c r="C137">
        <v>3</v>
      </c>
      <c r="D137">
        <v>1</v>
      </c>
      <c r="E137">
        <v>1</v>
      </c>
      <c r="F137">
        <v>1</v>
      </c>
      <c r="G137">
        <v>2.8215920158924499</v>
      </c>
      <c r="H137">
        <v>1.932559496921088E-3</v>
      </c>
      <c r="I137">
        <v>-0.9102344573683433</v>
      </c>
      <c r="J137">
        <v>-1.759082245012005E-3</v>
      </c>
      <c r="K137" s="96">
        <f t="shared" si="7"/>
        <v>0</v>
      </c>
      <c r="L137" s="96">
        <f t="shared" si="8"/>
        <v>0</v>
      </c>
      <c r="M137" s="96">
        <f t="shared" si="9"/>
        <v>1</v>
      </c>
    </row>
    <row r="138" spans="1:13" x14ac:dyDescent="0.45">
      <c r="A138">
        <v>1</v>
      </c>
      <c r="B138">
        <v>2</v>
      </c>
      <c r="C138">
        <v>3</v>
      </c>
      <c r="D138">
        <v>1</v>
      </c>
      <c r="E138">
        <v>1</v>
      </c>
      <c r="F138">
        <v>2</v>
      </c>
      <c r="G138">
        <v>3.1427809405993674</v>
      </c>
      <c r="H138">
        <v>1.932559496921088E-3</v>
      </c>
      <c r="I138">
        <v>-0.9005411985287749</v>
      </c>
      <c r="J138">
        <v>-1.7403494455854828E-3</v>
      </c>
      <c r="K138" s="96">
        <f t="shared" si="7"/>
        <v>0</v>
      </c>
      <c r="L138" s="96">
        <f t="shared" si="8"/>
        <v>0</v>
      </c>
      <c r="M138" s="96">
        <f t="shared" si="9"/>
        <v>1</v>
      </c>
    </row>
    <row r="139" spans="1:13" x14ac:dyDescent="0.45">
      <c r="A139">
        <v>1</v>
      </c>
      <c r="B139">
        <v>2</v>
      </c>
      <c r="C139">
        <v>3</v>
      </c>
      <c r="D139">
        <v>1</v>
      </c>
      <c r="E139">
        <v>1</v>
      </c>
      <c r="F139">
        <v>3</v>
      </c>
      <c r="G139">
        <v>3.3836726341295558</v>
      </c>
      <c r="H139">
        <v>4.8749248570982399E-4</v>
      </c>
      <c r="I139">
        <v>-0.89333905634964816</v>
      </c>
      <c r="J139">
        <v>-4.3549607716155851E-4</v>
      </c>
      <c r="K139" s="96">
        <f t="shared" si="7"/>
        <v>0</v>
      </c>
      <c r="L139" s="96">
        <f t="shared" si="8"/>
        <v>0</v>
      </c>
      <c r="M139" s="96">
        <f t="shared" si="9"/>
        <v>1</v>
      </c>
    </row>
    <row r="140" spans="1:13" x14ac:dyDescent="0.45">
      <c r="A140">
        <v>1</v>
      </c>
      <c r="B140">
        <v>2</v>
      </c>
      <c r="C140">
        <v>3</v>
      </c>
      <c r="D140">
        <v>1</v>
      </c>
      <c r="E140">
        <v>2</v>
      </c>
      <c r="F140">
        <v>1</v>
      </c>
      <c r="G140">
        <v>2.8215920158924499</v>
      </c>
      <c r="H140">
        <v>1.932559496921088E-3</v>
      </c>
      <c r="I140">
        <v>-0.9102344573683433</v>
      </c>
      <c r="J140">
        <v>-1.759082245012005E-3</v>
      </c>
      <c r="K140" s="96">
        <f t="shared" si="7"/>
        <v>0</v>
      </c>
      <c r="L140" s="96">
        <f t="shared" si="8"/>
        <v>0</v>
      </c>
      <c r="M140" s="96">
        <f t="shared" si="9"/>
        <v>1</v>
      </c>
    </row>
    <row r="141" spans="1:13" x14ac:dyDescent="0.45">
      <c r="A141">
        <v>1</v>
      </c>
      <c r="B141">
        <v>2</v>
      </c>
      <c r="C141">
        <v>3</v>
      </c>
      <c r="D141">
        <v>1</v>
      </c>
      <c r="E141">
        <v>2</v>
      </c>
      <c r="F141">
        <v>2</v>
      </c>
      <c r="G141">
        <v>3.1427809405993674</v>
      </c>
      <c r="H141">
        <v>1.932559496921088E-3</v>
      </c>
      <c r="I141">
        <v>-0.9005411985287749</v>
      </c>
      <c r="J141">
        <v>-1.7403494455854828E-3</v>
      </c>
      <c r="K141" s="96">
        <f t="shared" si="7"/>
        <v>0</v>
      </c>
      <c r="L141" s="96">
        <f t="shared" si="8"/>
        <v>0</v>
      </c>
      <c r="M141" s="96">
        <f t="shared" si="9"/>
        <v>1</v>
      </c>
    </row>
    <row r="142" spans="1:13" x14ac:dyDescent="0.45">
      <c r="A142">
        <v>1</v>
      </c>
      <c r="B142">
        <v>2</v>
      </c>
      <c r="C142">
        <v>3</v>
      </c>
      <c r="D142">
        <v>1</v>
      </c>
      <c r="E142">
        <v>2</v>
      </c>
      <c r="F142">
        <v>3</v>
      </c>
      <c r="G142">
        <v>3.3836726341295558</v>
      </c>
      <c r="H142">
        <v>4.8749248570982399E-4</v>
      </c>
      <c r="I142">
        <v>-0.89333905634964816</v>
      </c>
      <c r="J142">
        <v>-4.3549607716155851E-4</v>
      </c>
      <c r="K142" s="96">
        <f t="shared" si="7"/>
        <v>0</v>
      </c>
      <c r="L142" s="96">
        <f t="shared" si="8"/>
        <v>0</v>
      </c>
      <c r="M142" s="96">
        <f t="shared" si="9"/>
        <v>1</v>
      </c>
    </row>
    <row r="143" spans="1:13" x14ac:dyDescent="0.45">
      <c r="A143">
        <v>1</v>
      </c>
      <c r="B143">
        <v>2</v>
      </c>
      <c r="C143">
        <v>3</v>
      </c>
      <c r="D143">
        <v>1</v>
      </c>
      <c r="E143">
        <v>3</v>
      </c>
      <c r="F143">
        <v>1</v>
      </c>
      <c r="G143">
        <v>2.8215920158924499</v>
      </c>
      <c r="H143">
        <v>4.8749248570982405E-4</v>
      </c>
      <c r="I143">
        <v>-0.9102344573683433</v>
      </c>
      <c r="J143">
        <v>-4.4373245820122654E-4</v>
      </c>
      <c r="K143" s="96">
        <f t="shared" si="7"/>
        <v>0</v>
      </c>
      <c r="L143" s="96">
        <f t="shared" si="8"/>
        <v>0</v>
      </c>
      <c r="M143" s="96">
        <f t="shared" si="9"/>
        <v>1</v>
      </c>
    </row>
    <row r="144" spans="1:13" x14ac:dyDescent="0.45">
      <c r="A144">
        <v>1</v>
      </c>
      <c r="B144">
        <v>2</v>
      </c>
      <c r="C144">
        <v>3</v>
      </c>
      <c r="D144">
        <v>1</v>
      </c>
      <c r="E144">
        <v>3</v>
      </c>
      <c r="F144">
        <v>2</v>
      </c>
      <c r="G144">
        <v>3.1427809405993674</v>
      </c>
      <c r="H144">
        <v>4.8749248570982405E-4</v>
      </c>
      <c r="I144">
        <v>-0.9005411985287749</v>
      </c>
      <c r="J144">
        <v>-4.3900706735489661E-4</v>
      </c>
      <c r="K144" s="96">
        <f t="shared" si="7"/>
        <v>0</v>
      </c>
      <c r="L144" s="96">
        <f t="shared" si="8"/>
        <v>0</v>
      </c>
      <c r="M144" s="96">
        <f t="shared" si="9"/>
        <v>1</v>
      </c>
    </row>
    <row r="145" spans="1:13" x14ac:dyDescent="0.45">
      <c r="A145">
        <v>1</v>
      </c>
      <c r="B145">
        <v>2</v>
      </c>
      <c r="C145">
        <v>3</v>
      </c>
      <c r="D145">
        <v>1</v>
      </c>
      <c r="E145">
        <v>3</v>
      </c>
      <c r="F145">
        <v>3</v>
      </c>
      <c r="G145">
        <v>3.3836726341295558</v>
      </c>
      <c r="H145">
        <v>1.2297107747635201E-4</v>
      </c>
      <c r="I145">
        <v>-0.89333905634964816</v>
      </c>
      <c r="J145">
        <v>-1.0985486631102378E-4</v>
      </c>
      <c r="K145" s="96">
        <f t="shared" si="7"/>
        <v>0</v>
      </c>
      <c r="L145" s="96">
        <f t="shared" si="8"/>
        <v>0</v>
      </c>
      <c r="M145" s="96">
        <f t="shared" si="9"/>
        <v>1</v>
      </c>
    </row>
    <row r="146" spans="1:13" x14ac:dyDescent="0.45">
      <c r="A146">
        <v>1</v>
      </c>
      <c r="B146">
        <v>2</v>
      </c>
      <c r="C146">
        <v>3</v>
      </c>
      <c r="D146">
        <v>2</v>
      </c>
      <c r="E146">
        <v>1</v>
      </c>
      <c r="F146">
        <v>1</v>
      </c>
      <c r="G146">
        <v>2.8215920158924499</v>
      </c>
      <c r="H146">
        <v>1.932559496921088E-3</v>
      </c>
      <c r="I146">
        <v>-0.9102344573683433</v>
      </c>
      <c r="J146">
        <v>-1.759082245012005E-3</v>
      </c>
      <c r="K146" s="96">
        <f t="shared" si="7"/>
        <v>0</v>
      </c>
      <c r="L146" s="96">
        <f t="shared" si="8"/>
        <v>0</v>
      </c>
      <c r="M146" s="96">
        <f t="shared" si="9"/>
        <v>1</v>
      </c>
    </row>
    <row r="147" spans="1:13" x14ac:dyDescent="0.45">
      <c r="A147">
        <v>1</v>
      </c>
      <c r="B147">
        <v>2</v>
      </c>
      <c r="C147">
        <v>3</v>
      </c>
      <c r="D147">
        <v>2</v>
      </c>
      <c r="E147">
        <v>1</v>
      </c>
      <c r="F147">
        <v>2</v>
      </c>
      <c r="G147">
        <v>3.1427809405993674</v>
      </c>
      <c r="H147">
        <v>1.932559496921088E-3</v>
      </c>
      <c r="I147">
        <v>-0.9005411985287749</v>
      </c>
      <c r="J147">
        <v>-1.7403494455854828E-3</v>
      </c>
      <c r="K147" s="96">
        <f t="shared" si="7"/>
        <v>0</v>
      </c>
      <c r="L147" s="96">
        <f t="shared" si="8"/>
        <v>0</v>
      </c>
      <c r="M147" s="96">
        <f t="shared" si="9"/>
        <v>1</v>
      </c>
    </row>
    <row r="148" spans="1:13" x14ac:dyDescent="0.45">
      <c r="A148">
        <v>1</v>
      </c>
      <c r="B148">
        <v>2</v>
      </c>
      <c r="C148">
        <v>3</v>
      </c>
      <c r="D148">
        <v>2</v>
      </c>
      <c r="E148">
        <v>1</v>
      </c>
      <c r="F148">
        <v>3</v>
      </c>
      <c r="G148">
        <v>3.3836726341295558</v>
      </c>
      <c r="H148">
        <v>4.8749248570982399E-4</v>
      </c>
      <c r="I148">
        <v>-0.89333905634964816</v>
      </c>
      <c r="J148">
        <v>-4.3549607716155851E-4</v>
      </c>
      <c r="K148" s="96">
        <f t="shared" si="7"/>
        <v>0</v>
      </c>
      <c r="L148" s="96">
        <f t="shared" si="8"/>
        <v>0</v>
      </c>
      <c r="M148" s="96">
        <f t="shared" si="9"/>
        <v>1</v>
      </c>
    </row>
    <row r="149" spans="1:13" x14ac:dyDescent="0.45">
      <c r="A149">
        <v>1</v>
      </c>
      <c r="B149">
        <v>2</v>
      </c>
      <c r="C149">
        <v>3</v>
      </c>
      <c r="D149">
        <v>2</v>
      </c>
      <c r="E149">
        <v>2</v>
      </c>
      <c r="F149">
        <v>1</v>
      </c>
      <c r="G149">
        <v>2.8215920158924499</v>
      </c>
      <c r="H149">
        <v>1.932559496921088E-3</v>
      </c>
      <c r="I149">
        <v>-0.9102344573683433</v>
      </c>
      <c r="J149">
        <v>-1.759082245012005E-3</v>
      </c>
      <c r="K149" s="96">
        <f t="shared" si="7"/>
        <v>0</v>
      </c>
      <c r="L149" s="96">
        <f t="shared" si="8"/>
        <v>0</v>
      </c>
      <c r="M149" s="96">
        <f t="shared" si="9"/>
        <v>1</v>
      </c>
    </row>
    <row r="150" spans="1:13" x14ac:dyDescent="0.45">
      <c r="A150">
        <v>1</v>
      </c>
      <c r="B150">
        <v>2</v>
      </c>
      <c r="C150">
        <v>3</v>
      </c>
      <c r="D150">
        <v>2</v>
      </c>
      <c r="E150">
        <v>2</v>
      </c>
      <c r="F150">
        <v>2</v>
      </c>
      <c r="G150">
        <v>3.1427809405993674</v>
      </c>
      <c r="H150">
        <v>1.932559496921088E-3</v>
      </c>
      <c r="I150">
        <v>-0.9005411985287749</v>
      </c>
      <c r="J150">
        <v>-1.7403494455854828E-3</v>
      </c>
      <c r="K150" s="96">
        <f t="shared" si="7"/>
        <v>0</v>
      </c>
      <c r="L150" s="96">
        <f t="shared" si="8"/>
        <v>0</v>
      </c>
      <c r="M150" s="96">
        <f t="shared" si="9"/>
        <v>1</v>
      </c>
    </row>
    <row r="151" spans="1:13" x14ac:dyDescent="0.45">
      <c r="A151">
        <v>1</v>
      </c>
      <c r="B151">
        <v>2</v>
      </c>
      <c r="C151">
        <v>3</v>
      </c>
      <c r="D151">
        <v>2</v>
      </c>
      <c r="E151">
        <v>2</v>
      </c>
      <c r="F151">
        <v>3</v>
      </c>
      <c r="G151">
        <v>3.3836726341295558</v>
      </c>
      <c r="H151">
        <v>4.8749248570982399E-4</v>
      </c>
      <c r="I151">
        <v>-0.89333905634964816</v>
      </c>
      <c r="J151">
        <v>-4.3549607716155851E-4</v>
      </c>
      <c r="K151" s="96">
        <f t="shared" si="7"/>
        <v>0</v>
      </c>
      <c r="L151" s="96">
        <f t="shared" si="8"/>
        <v>0</v>
      </c>
      <c r="M151" s="96">
        <f t="shared" si="9"/>
        <v>1</v>
      </c>
    </row>
    <row r="152" spans="1:13" x14ac:dyDescent="0.45">
      <c r="A152">
        <v>1</v>
      </c>
      <c r="B152">
        <v>2</v>
      </c>
      <c r="C152">
        <v>3</v>
      </c>
      <c r="D152">
        <v>2</v>
      </c>
      <c r="E152">
        <v>3</v>
      </c>
      <c r="F152">
        <v>1</v>
      </c>
      <c r="G152">
        <v>2.8215920158924499</v>
      </c>
      <c r="H152">
        <v>4.8749248570982405E-4</v>
      </c>
      <c r="I152">
        <v>-0.9102344573683433</v>
      </c>
      <c r="J152">
        <v>-4.4373245820122654E-4</v>
      </c>
      <c r="K152" s="96">
        <f t="shared" si="7"/>
        <v>0</v>
      </c>
      <c r="L152" s="96">
        <f t="shared" si="8"/>
        <v>0</v>
      </c>
      <c r="M152" s="96">
        <f t="shared" si="9"/>
        <v>1</v>
      </c>
    </row>
    <row r="153" spans="1:13" x14ac:dyDescent="0.45">
      <c r="A153">
        <v>1</v>
      </c>
      <c r="B153">
        <v>2</v>
      </c>
      <c r="C153">
        <v>3</v>
      </c>
      <c r="D153">
        <v>2</v>
      </c>
      <c r="E153">
        <v>3</v>
      </c>
      <c r="F153">
        <v>2</v>
      </c>
      <c r="G153">
        <v>3.1427809405993674</v>
      </c>
      <c r="H153">
        <v>4.8749248570982405E-4</v>
      </c>
      <c r="I153">
        <v>-0.9005411985287749</v>
      </c>
      <c r="J153">
        <v>-4.3900706735489661E-4</v>
      </c>
      <c r="K153" s="96">
        <f t="shared" si="7"/>
        <v>0</v>
      </c>
      <c r="L153" s="96">
        <f t="shared" si="8"/>
        <v>0</v>
      </c>
      <c r="M153" s="96">
        <f t="shared" si="9"/>
        <v>1</v>
      </c>
    </row>
    <row r="154" spans="1:13" x14ac:dyDescent="0.45">
      <c r="A154">
        <v>1</v>
      </c>
      <c r="B154">
        <v>2</v>
      </c>
      <c r="C154">
        <v>3</v>
      </c>
      <c r="D154">
        <v>2</v>
      </c>
      <c r="E154">
        <v>3</v>
      </c>
      <c r="F154">
        <v>3</v>
      </c>
      <c r="G154">
        <v>3.3836726341295558</v>
      </c>
      <c r="H154">
        <v>1.2297107747635201E-4</v>
      </c>
      <c r="I154">
        <v>-0.89333905634964816</v>
      </c>
      <c r="J154">
        <v>-1.0985486631102378E-4</v>
      </c>
      <c r="K154" s="96">
        <f t="shared" si="7"/>
        <v>0</v>
      </c>
      <c r="L154" s="96">
        <f t="shared" si="8"/>
        <v>0</v>
      </c>
      <c r="M154" s="96">
        <f t="shared" si="9"/>
        <v>1</v>
      </c>
    </row>
    <row r="155" spans="1:13" x14ac:dyDescent="0.45">
      <c r="A155">
        <v>1</v>
      </c>
      <c r="B155">
        <v>2</v>
      </c>
      <c r="C155">
        <v>3</v>
      </c>
      <c r="D155">
        <v>3</v>
      </c>
      <c r="E155">
        <v>1</v>
      </c>
      <c r="F155">
        <v>1</v>
      </c>
      <c r="G155">
        <v>2.8215920158924499</v>
      </c>
      <c r="H155">
        <v>4.8749248570982405E-4</v>
      </c>
      <c r="I155">
        <v>-0.9102344573683433</v>
      </c>
      <c r="J155">
        <v>-4.4373245820122654E-4</v>
      </c>
      <c r="K155" s="96">
        <f t="shared" si="7"/>
        <v>0</v>
      </c>
      <c r="L155" s="96">
        <f t="shared" si="8"/>
        <v>0</v>
      </c>
      <c r="M155" s="96">
        <f t="shared" si="9"/>
        <v>1</v>
      </c>
    </row>
    <row r="156" spans="1:13" x14ac:dyDescent="0.45">
      <c r="A156">
        <v>1</v>
      </c>
      <c r="B156">
        <v>2</v>
      </c>
      <c r="C156">
        <v>3</v>
      </c>
      <c r="D156">
        <v>3</v>
      </c>
      <c r="E156">
        <v>1</v>
      </c>
      <c r="F156">
        <v>2</v>
      </c>
      <c r="G156">
        <v>3.1427809405993674</v>
      </c>
      <c r="H156">
        <v>4.8749248570982405E-4</v>
      </c>
      <c r="I156">
        <v>-0.9005411985287749</v>
      </c>
      <c r="J156">
        <v>-4.3900706735489661E-4</v>
      </c>
      <c r="K156" s="96">
        <f t="shared" si="7"/>
        <v>0</v>
      </c>
      <c r="L156" s="96">
        <f t="shared" si="8"/>
        <v>0</v>
      </c>
      <c r="M156" s="96">
        <f t="shared" si="9"/>
        <v>1</v>
      </c>
    </row>
    <row r="157" spans="1:13" x14ac:dyDescent="0.45">
      <c r="A157">
        <v>1</v>
      </c>
      <c r="B157">
        <v>2</v>
      </c>
      <c r="C157">
        <v>3</v>
      </c>
      <c r="D157">
        <v>3</v>
      </c>
      <c r="E157">
        <v>1</v>
      </c>
      <c r="F157">
        <v>3</v>
      </c>
      <c r="G157">
        <v>3.3836726341295558</v>
      </c>
      <c r="H157">
        <v>1.2297107747635201E-4</v>
      </c>
      <c r="I157">
        <v>-0.89333905634964816</v>
      </c>
      <c r="J157">
        <v>-1.0985486631102378E-4</v>
      </c>
      <c r="K157" s="96">
        <f t="shared" si="7"/>
        <v>0</v>
      </c>
      <c r="L157" s="96">
        <f t="shared" si="8"/>
        <v>0</v>
      </c>
      <c r="M157" s="96">
        <f t="shared" si="9"/>
        <v>1</v>
      </c>
    </row>
    <row r="158" spans="1:13" x14ac:dyDescent="0.45">
      <c r="A158">
        <v>1</v>
      </c>
      <c r="B158">
        <v>2</v>
      </c>
      <c r="C158">
        <v>3</v>
      </c>
      <c r="D158">
        <v>3</v>
      </c>
      <c r="E158">
        <v>2</v>
      </c>
      <c r="F158">
        <v>1</v>
      </c>
      <c r="G158">
        <v>2.8215920158924499</v>
      </c>
      <c r="H158">
        <v>4.8749248570982405E-4</v>
      </c>
      <c r="I158">
        <v>-0.9102344573683433</v>
      </c>
      <c r="J158">
        <v>-4.4373245820122654E-4</v>
      </c>
      <c r="K158" s="96">
        <f t="shared" si="7"/>
        <v>0</v>
      </c>
      <c r="L158" s="96">
        <f t="shared" si="8"/>
        <v>0</v>
      </c>
      <c r="M158" s="96">
        <f t="shared" si="9"/>
        <v>1</v>
      </c>
    </row>
    <row r="159" spans="1:13" x14ac:dyDescent="0.45">
      <c r="A159">
        <v>1</v>
      </c>
      <c r="B159">
        <v>2</v>
      </c>
      <c r="C159">
        <v>3</v>
      </c>
      <c r="D159">
        <v>3</v>
      </c>
      <c r="E159">
        <v>2</v>
      </c>
      <c r="F159">
        <v>2</v>
      </c>
      <c r="G159">
        <v>3.1427809405993674</v>
      </c>
      <c r="H159">
        <v>4.8749248570982405E-4</v>
      </c>
      <c r="I159">
        <v>-0.9005411985287749</v>
      </c>
      <c r="J159">
        <v>-4.3900706735489661E-4</v>
      </c>
      <c r="K159" s="96">
        <f t="shared" si="7"/>
        <v>0</v>
      </c>
      <c r="L159" s="96">
        <f t="shared" si="8"/>
        <v>0</v>
      </c>
      <c r="M159" s="96">
        <f t="shared" si="9"/>
        <v>1</v>
      </c>
    </row>
    <row r="160" spans="1:13" x14ac:dyDescent="0.45">
      <c r="A160">
        <v>1</v>
      </c>
      <c r="B160">
        <v>2</v>
      </c>
      <c r="C160">
        <v>3</v>
      </c>
      <c r="D160">
        <v>3</v>
      </c>
      <c r="E160">
        <v>2</v>
      </c>
      <c r="F160">
        <v>3</v>
      </c>
      <c r="G160">
        <v>3.3836726341295558</v>
      </c>
      <c r="H160">
        <v>1.2297107747635201E-4</v>
      </c>
      <c r="I160">
        <v>-0.89333905634964816</v>
      </c>
      <c r="J160">
        <v>-1.0985486631102378E-4</v>
      </c>
      <c r="K160" s="96">
        <f t="shared" si="7"/>
        <v>0</v>
      </c>
      <c r="L160" s="96">
        <f t="shared" si="8"/>
        <v>0</v>
      </c>
      <c r="M160" s="96">
        <f t="shared" si="9"/>
        <v>1</v>
      </c>
    </row>
    <row r="161" spans="1:13" x14ac:dyDescent="0.45">
      <c r="A161">
        <v>1</v>
      </c>
      <c r="B161">
        <v>2</v>
      </c>
      <c r="C161">
        <v>3</v>
      </c>
      <c r="D161">
        <v>3</v>
      </c>
      <c r="E161">
        <v>3</v>
      </c>
      <c r="F161">
        <v>1</v>
      </c>
      <c r="G161">
        <v>2.8215920158924499</v>
      </c>
      <c r="H161">
        <v>1.2297107747635201E-4</v>
      </c>
      <c r="I161">
        <v>-0.9102344573683433</v>
      </c>
      <c r="J161">
        <v>-1.1193251197868777E-4</v>
      </c>
      <c r="K161" s="96">
        <f t="shared" si="7"/>
        <v>0</v>
      </c>
      <c r="L161" s="96">
        <f t="shared" si="8"/>
        <v>0</v>
      </c>
      <c r="M161" s="96">
        <f t="shared" si="9"/>
        <v>1</v>
      </c>
    </row>
    <row r="162" spans="1:13" x14ac:dyDescent="0.45">
      <c r="A162">
        <v>1</v>
      </c>
      <c r="B162">
        <v>2</v>
      </c>
      <c r="C162">
        <v>3</v>
      </c>
      <c r="D162">
        <v>3</v>
      </c>
      <c r="E162">
        <v>3</v>
      </c>
      <c r="F162">
        <v>2</v>
      </c>
      <c r="G162">
        <v>3.1427809405993674</v>
      </c>
      <c r="H162">
        <v>1.2297107747635201E-4</v>
      </c>
      <c r="I162">
        <v>-0.9005411985287749</v>
      </c>
      <c r="J162">
        <v>-1.1074052149492888E-4</v>
      </c>
      <c r="K162" s="96">
        <f t="shared" si="7"/>
        <v>0</v>
      </c>
      <c r="L162" s="96">
        <f t="shared" si="8"/>
        <v>0</v>
      </c>
      <c r="M162" s="96">
        <f t="shared" si="9"/>
        <v>1</v>
      </c>
    </row>
    <row r="163" spans="1:13" x14ac:dyDescent="0.45">
      <c r="A163">
        <v>1</v>
      </c>
      <c r="B163">
        <v>2</v>
      </c>
      <c r="C163">
        <v>3</v>
      </c>
      <c r="D163">
        <v>3</v>
      </c>
      <c r="E163">
        <v>3</v>
      </c>
      <c r="F163">
        <v>3</v>
      </c>
      <c r="G163">
        <v>3.3836726341295558</v>
      </c>
      <c r="H163">
        <v>3.1019731255295997E-5</v>
      </c>
      <c r="I163">
        <v>-0.89333905634964816</v>
      </c>
      <c r="J163">
        <v>-2.7711137447825812E-5</v>
      </c>
      <c r="K163" s="96">
        <f t="shared" si="7"/>
        <v>0</v>
      </c>
      <c r="L163" s="96">
        <f t="shared" si="8"/>
        <v>0</v>
      </c>
      <c r="M163" s="96">
        <f t="shared" si="9"/>
        <v>1</v>
      </c>
    </row>
    <row r="164" spans="1:13" x14ac:dyDescent="0.45">
      <c r="A164">
        <v>1</v>
      </c>
      <c r="B164">
        <v>3</v>
      </c>
      <c r="C164">
        <v>1</v>
      </c>
      <c r="D164">
        <v>1</v>
      </c>
      <c r="E164">
        <v>1</v>
      </c>
      <c r="F164">
        <v>1</v>
      </c>
      <c r="G164">
        <v>2.144875713775924</v>
      </c>
      <c r="H164">
        <v>1.932559496921088E-3</v>
      </c>
      <c r="I164">
        <v>-0.93100013460325037</v>
      </c>
      <c r="J164">
        <v>-1.7992131517623228E-3</v>
      </c>
      <c r="K164" s="96">
        <f t="shared" si="7"/>
        <v>0</v>
      </c>
      <c r="L164" s="96">
        <f t="shared" si="8"/>
        <v>0</v>
      </c>
      <c r="M164" s="96">
        <f t="shared" si="9"/>
        <v>1</v>
      </c>
    </row>
    <row r="165" spans="1:13" x14ac:dyDescent="0.45">
      <c r="A165">
        <v>1</v>
      </c>
      <c r="B165">
        <v>3</v>
      </c>
      <c r="C165">
        <v>1</v>
      </c>
      <c r="D165">
        <v>1</v>
      </c>
      <c r="E165">
        <v>1</v>
      </c>
      <c r="F165">
        <v>2</v>
      </c>
      <c r="G165">
        <v>2.3981013330425913</v>
      </c>
      <c r="H165">
        <v>1.932559496921088E-3</v>
      </c>
      <c r="I165">
        <v>-0.92317477125226322</v>
      </c>
      <c r="J165">
        <v>-1.7840901715015143E-3</v>
      </c>
      <c r="K165" s="96">
        <f t="shared" si="7"/>
        <v>0</v>
      </c>
      <c r="L165" s="96">
        <f t="shared" si="8"/>
        <v>0</v>
      </c>
      <c r="M165" s="96">
        <f t="shared" si="9"/>
        <v>1</v>
      </c>
    </row>
    <row r="166" spans="1:13" x14ac:dyDescent="0.45">
      <c r="A166">
        <v>1</v>
      </c>
      <c r="B166">
        <v>3</v>
      </c>
      <c r="C166">
        <v>1</v>
      </c>
      <c r="D166">
        <v>1</v>
      </c>
      <c r="E166">
        <v>1</v>
      </c>
      <c r="F166">
        <v>3</v>
      </c>
      <c r="G166">
        <v>2.5880205474925919</v>
      </c>
      <c r="H166">
        <v>4.8749248570982399E-4</v>
      </c>
      <c r="I166">
        <v>-0.91734894374026243</v>
      </c>
      <c r="J166">
        <v>-4.4720071684722202E-4</v>
      </c>
      <c r="K166" s="96">
        <f t="shared" si="7"/>
        <v>0</v>
      </c>
      <c r="L166" s="96">
        <f t="shared" si="8"/>
        <v>0</v>
      </c>
      <c r="M166" s="96">
        <f t="shared" si="9"/>
        <v>1</v>
      </c>
    </row>
    <row r="167" spans="1:13" x14ac:dyDescent="0.45">
      <c r="A167">
        <v>1</v>
      </c>
      <c r="B167">
        <v>3</v>
      </c>
      <c r="C167">
        <v>1</v>
      </c>
      <c r="D167">
        <v>1</v>
      </c>
      <c r="E167">
        <v>2</v>
      </c>
      <c r="F167">
        <v>1</v>
      </c>
      <c r="G167">
        <v>2.144875713775924</v>
      </c>
      <c r="H167">
        <v>1.932559496921088E-3</v>
      </c>
      <c r="I167">
        <v>-0.93100013460325037</v>
      </c>
      <c r="J167">
        <v>-1.7992131517623228E-3</v>
      </c>
      <c r="K167" s="96">
        <f t="shared" si="7"/>
        <v>0</v>
      </c>
      <c r="L167" s="96">
        <f t="shared" si="8"/>
        <v>0</v>
      </c>
      <c r="M167" s="96">
        <f t="shared" si="9"/>
        <v>1</v>
      </c>
    </row>
    <row r="168" spans="1:13" x14ac:dyDescent="0.45">
      <c r="A168">
        <v>1</v>
      </c>
      <c r="B168">
        <v>3</v>
      </c>
      <c r="C168">
        <v>1</v>
      </c>
      <c r="D168">
        <v>1</v>
      </c>
      <c r="E168">
        <v>2</v>
      </c>
      <c r="F168">
        <v>2</v>
      </c>
      <c r="G168">
        <v>2.3981013330425913</v>
      </c>
      <c r="H168">
        <v>1.932559496921088E-3</v>
      </c>
      <c r="I168">
        <v>-0.92317477125226322</v>
      </c>
      <c r="J168">
        <v>-1.7840901715015143E-3</v>
      </c>
      <c r="K168" s="96">
        <f t="shared" si="7"/>
        <v>0</v>
      </c>
      <c r="L168" s="96">
        <f t="shared" si="8"/>
        <v>0</v>
      </c>
      <c r="M168" s="96">
        <f t="shared" si="9"/>
        <v>1</v>
      </c>
    </row>
    <row r="169" spans="1:13" x14ac:dyDescent="0.45">
      <c r="A169">
        <v>1</v>
      </c>
      <c r="B169">
        <v>3</v>
      </c>
      <c r="C169">
        <v>1</v>
      </c>
      <c r="D169">
        <v>1</v>
      </c>
      <c r="E169">
        <v>2</v>
      </c>
      <c r="F169">
        <v>3</v>
      </c>
      <c r="G169">
        <v>2.5880205474925919</v>
      </c>
      <c r="H169">
        <v>4.8749248570982399E-4</v>
      </c>
      <c r="I169">
        <v>-0.91734894374026243</v>
      </c>
      <c r="J169">
        <v>-4.4720071684722202E-4</v>
      </c>
      <c r="K169" s="96">
        <f t="shared" si="7"/>
        <v>0</v>
      </c>
      <c r="L169" s="96">
        <f t="shared" si="8"/>
        <v>0</v>
      </c>
      <c r="M169" s="96">
        <f t="shared" si="9"/>
        <v>1</v>
      </c>
    </row>
    <row r="170" spans="1:13" x14ac:dyDescent="0.45">
      <c r="A170">
        <v>1</v>
      </c>
      <c r="B170">
        <v>3</v>
      </c>
      <c r="C170">
        <v>1</v>
      </c>
      <c r="D170">
        <v>1</v>
      </c>
      <c r="E170">
        <v>3</v>
      </c>
      <c r="F170">
        <v>1</v>
      </c>
      <c r="G170">
        <v>2.144875713775924</v>
      </c>
      <c r="H170">
        <v>4.8749248570982405E-4</v>
      </c>
      <c r="I170">
        <v>-0.93100013460325037</v>
      </c>
      <c r="J170">
        <v>-4.5385556981391927E-4</v>
      </c>
      <c r="K170" s="96">
        <f t="shared" si="7"/>
        <v>0</v>
      </c>
      <c r="L170" s="96">
        <f t="shared" si="8"/>
        <v>0</v>
      </c>
      <c r="M170" s="96">
        <f t="shared" si="9"/>
        <v>1</v>
      </c>
    </row>
    <row r="171" spans="1:13" x14ac:dyDescent="0.45">
      <c r="A171">
        <v>1</v>
      </c>
      <c r="B171">
        <v>3</v>
      </c>
      <c r="C171">
        <v>1</v>
      </c>
      <c r="D171">
        <v>1</v>
      </c>
      <c r="E171">
        <v>3</v>
      </c>
      <c r="F171">
        <v>2</v>
      </c>
      <c r="G171">
        <v>2.3981013330425913</v>
      </c>
      <c r="H171">
        <v>4.8749248570982405E-4</v>
      </c>
      <c r="I171">
        <v>-0.92317477125226322</v>
      </c>
      <c r="J171">
        <v>-4.5004076398236399E-4</v>
      </c>
      <c r="K171" s="96">
        <f t="shared" si="7"/>
        <v>0</v>
      </c>
      <c r="L171" s="96">
        <f t="shared" si="8"/>
        <v>0</v>
      </c>
      <c r="M171" s="96">
        <f t="shared" si="9"/>
        <v>1</v>
      </c>
    </row>
    <row r="172" spans="1:13" x14ac:dyDescent="0.45">
      <c r="A172">
        <v>1</v>
      </c>
      <c r="B172">
        <v>3</v>
      </c>
      <c r="C172">
        <v>1</v>
      </c>
      <c r="D172">
        <v>1</v>
      </c>
      <c r="E172">
        <v>3</v>
      </c>
      <c r="F172">
        <v>3</v>
      </c>
      <c r="G172">
        <v>2.5880205474925919</v>
      </c>
      <c r="H172">
        <v>1.2297107747635201E-4</v>
      </c>
      <c r="I172">
        <v>-0.91734894374026243</v>
      </c>
      <c r="J172">
        <v>-1.1280738803353349E-4</v>
      </c>
      <c r="K172" s="96">
        <f t="shared" si="7"/>
        <v>0</v>
      </c>
      <c r="L172" s="96">
        <f t="shared" si="8"/>
        <v>0</v>
      </c>
      <c r="M172" s="96">
        <f t="shared" si="9"/>
        <v>1</v>
      </c>
    </row>
    <row r="173" spans="1:13" x14ac:dyDescent="0.45">
      <c r="A173">
        <v>1</v>
      </c>
      <c r="B173">
        <v>3</v>
      </c>
      <c r="C173">
        <v>1</v>
      </c>
      <c r="D173">
        <v>2</v>
      </c>
      <c r="E173">
        <v>1</v>
      </c>
      <c r="F173">
        <v>1</v>
      </c>
      <c r="G173">
        <v>2.144875713775924</v>
      </c>
      <c r="H173">
        <v>1.932559496921088E-3</v>
      </c>
      <c r="I173">
        <v>-0.93100013460325037</v>
      </c>
      <c r="J173">
        <v>-1.7992131517623228E-3</v>
      </c>
      <c r="K173" s="96">
        <f t="shared" si="7"/>
        <v>0</v>
      </c>
      <c r="L173" s="96">
        <f t="shared" si="8"/>
        <v>0</v>
      </c>
      <c r="M173" s="96">
        <f t="shared" si="9"/>
        <v>1</v>
      </c>
    </row>
    <row r="174" spans="1:13" x14ac:dyDescent="0.45">
      <c r="A174">
        <v>1</v>
      </c>
      <c r="B174">
        <v>3</v>
      </c>
      <c r="C174">
        <v>1</v>
      </c>
      <c r="D174">
        <v>2</v>
      </c>
      <c r="E174">
        <v>1</v>
      </c>
      <c r="F174">
        <v>2</v>
      </c>
      <c r="G174">
        <v>2.3981013330425913</v>
      </c>
      <c r="H174">
        <v>1.932559496921088E-3</v>
      </c>
      <c r="I174">
        <v>-0.92317477125226322</v>
      </c>
      <c r="J174">
        <v>-1.7840901715015143E-3</v>
      </c>
      <c r="K174" s="96">
        <f t="shared" si="7"/>
        <v>0</v>
      </c>
      <c r="L174" s="96">
        <f t="shared" si="8"/>
        <v>0</v>
      </c>
      <c r="M174" s="96">
        <f t="shared" si="9"/>
        <v>1</v>
      </c>
    </row>
    <row r="175" spans="1:13" x14ac:dyDescent="0.45">
      <c r="A175">
        <v>1</v>
      </c>
      <c r="B175">
        <v>3</v>
      </c>
      <c r="C175">
        <v>1</v>
      </c>
      <c r="D175">
        <v>2</v>
      </c>
      <c r="E175">
        <v>1</v>
      </c>
      <c r="F175">
        <v>3</v>
      </c>
      <c r="G175">
        <v>2.5880205474925919</v>
      </c>
      <c r="H175">
        <v>4.8749248570982399E-4</v>
      </c>
      <c r="I175">
        <v>-0.91734894374026243</v>
      </c>
      <c r="J175">
        <v>-4.4720071684722202E-4</v>
      </c>
      <c r="K175" s="96">
        <f t="shared" si="7"/>
        <v>0</v>
      </c>
      <c r="L175" s="96">
        <f t="shared" si="8"/>
        <v>0</v>
      </c>
      <c r="M175" s="96">
        <f t="shared" si="9"/>
        <v>1</v>
      </c>
    </row>
    <row r="176" spans="1:13" x14ac:dyDescent="0.45">
      <c r="A176">
        <v>1</v>
      </c>
      <c r="B176">
        <v>3</v>
      </c>
      <c r="C176">
        <v>1</v>
      </c>
      <c r="D176">
        <v>2</v>
      </c>
      <c r="E176">
        <v>2</v>
      </c>
      <c r="F176">
        <v>1</v>
      </c>
      <c r="G176">
        <v>2.144875713775924</v>
      </c>
      <c r="H176">
        <v>1.932559496921088E-3</v>
      </c>
      <c r="I176">
        <v>-0.93100013460325037</v>
      </c>
      <c r="J176">
        <v>-1.7992131517623228E-3</v>
      </c>
      <c r="K176" s="96">
        <f t="shared" si="7"/>
        <v>0</v>
      </c>
      <c r="L176" s="96">
        <f t="shared" si="8"/>
        <v>0</v>
      </c>
      <c r="M176" s="96">
        <f t="shared" si="9"/>
        <v>1</v>
      </c>
    </row>
    <row r="177" spans="1:13" x14ac:dyDescent="0.45">
      <c r="A177">
        <v>1</v>
      </c>
      <c r="B177">
        <v>3</v>
      </c>
      <c r="C177">
        <v>1</v>
      </c>
      <c r="D177">
        <v>2</v>
      </c>
      <c r="E177">
        <v>2</v>
      </c>
      <c r="F177">
        <v>2</v>
      </c>
      <c r="G177">
        <v>2.3981013330425913</v>
      </c>
      <c r="H177">
        <v>1.932559496921088E-3</v>
      </c>
      <c r="I177">
        <v>-0.92317477125226322</v>
      </c>
      <c r="J177">
        <v>-1.7840901715015143E-3</v>
      </c>
      <c r="K177" s="96">
        <f t="shared" si="7"/>
        <v>0</v>
      </c>
      <c r="L177" s="96">
        <f t="shared" si="8"/>
        <v>0</v>
      </c>
      <c r="M177" s="96">
        <f t="shared" si="9"/>
        <v>1</v>
      </c>
    </row>
    <row r="178" spans="1:13" x14ac:dyDescent="0.45">
      <c r="A178">
        <v>1</v>
      </c>
      <c r="B178">
        <v>3</v>
      </c>
      <c r="C178">
        <v>1</v>
      </c>
      <c r="D178">
        <v>2</v>
      </c>
      <c r="E178">
        <v>2</v>
      </c>
      <c r="F178">
        <v>3</v>
      </c>
      <c r="G178">
        <v>2.5880205474925919</v>
      </c>
      <c r="H178">
        <v>4.8749248570982399E-4</v>
      </c>
      <c r="I178">
        <v>-0.91734894374026243</v>
      </c>
      <c r="J178">
        <v>-4.4720071684722202E-4</v>
      </c>
      <c r="K178" s="96">
        <f t="shared" si="7"/>
        <v>0</v>
      </c>
      <c r="L178" s="96">
        <f t="shared" si="8"/>
        <v>0</v>
      </c>
      <c r="M178" s="96">
        <f t="shared" si="9"/>
        <v>1</v>
      </c>
    </row>
    <row r="179" spans="1:13" x14ac:dyDescent="0.45">
      <c r="A179">
        <v>1</v>
      </c>
      <c r="B179">
        <v>3</v>
      </c>
      <c r="C179">
        <v>1</v>
      </c>
      <c r="D179">
        <v>2</v>
      </c>
      <c r="E179">
        <v>3</v>
      </c>
      <c r="F179">
        <v>1</v>
      </c>
      <c r="G179">
        <v>2.144875713775924</v>
      </c>
      <c r="H179">
        <v>4.8749248570982405E-4</v>
      </c>
      <c r="I179">
        <v>-0.93100013460325037</v>
      </c>
      <c r="J179">
        <v>-4.5385556981391927E-4</v>
      </c>
      <c r="K179" s="96">
        <f t="shared" si="7"/>
        <v>0</v>
      </c>
      <c r="L179" s="96">
        <f t="shared" si="8"/>
        <v>0</v>
      </c>
      <c r="M179" s="96">
        <f t="shared" si="9"/>
        <v>1</v>
      </c>
    </row>
    <row r="180" spans="1:13" x14ac:dyDescent="0.45">
      <c r="A180">
        <v>1</v>
      </c>
      <c r="B180">
        <v>3</v>
      </c>
      <c r="C180">
        <v>1</v>
      </c>
      <c r="D180">
        <v>2</v>
      </c>
      <c r="E180">
        <v>3</v>
      </c>
      <c r="F180">
        <v>2</v>
      </c>
      <c r="G180">
        <v>2.3981013330425913</v>
      </c>
      <c r="H180">
        <v>4.8749248570982405E-4</v>
      </c>
      <c r="I180">
        <v>-0.92317477125226322</v>
      </c>
      <c r="J180">
        <v>-4.5004076398236399E-4</v>
      </c>
      <c r="K180" s="96">
        <f t="shared" si="7"/>
        <v>0</v>
      </c>
      <c r="L180" s="96">
        <f t="shared" si="8"/>
        <v>0</v>
      </c>
      <c r="M180" s="96">
        <f t="shared" si="9"/>
        <v>1</v>
      </c>
    </row>
    <row r="181" spans="1:13" x14ac:dyDescent="0.45">
      <c r="A181">
        <v>1</v>
      </c>
      <c r="B181">
        <v>3</v>
      </c>
      <c r="C181">
        <v>1</v>
      </c>
      <c r="D181">
        <v>2</v>
      </c>
      <c r="E181">
        <v>3</v>
      </c>
      <c r="F181">
        <v>3</v>
      </c>
      <c r="G181">
        <v>2.5880205474925919</v>
      </c>
      <c r="H181">
        <v>1.2297107747635201E-4</v>
      </c>
      <c r="I181">
        <v>-0.91734894374026243</v>
      </c>
      <c r="J181">
        <v>-1.1280738803353349E-4</v>
      </c>
      <c r="K181" s="96">
        <f t="shared" si="7"/>
        <v>0</v>
      </c>
      <c r="L181" s="96">
        <f t="shared" si="8"/>
        <v>0</v>
      </c>
      <c r="M181" s="96">
        <f t="shared" si="9"/>
        <v>1</v>
      </c>
    </row>
    <row r="182" spans="1:13" x14ac:dyDescent="0.45">
      <c r="A182">
        <v>1</v>
      </c>
      <c r="B182">
        <v>3</v>
      </c>
      <c r="C182">
        <v>1</v>
      </c>
      <c r="D182">
        <v>3</v>
      </c>
      <c r="E182">
        <v>1</v>
      </c>
      <c r="F182">
        <v>1</v>
      </c>
      <c r="G182">
        <v>2.144875713775924</v>
      </c>
      <c r="H182">
        <v>4.8749248570982405E-4</v>
      </c>
      <c r="I182">
        <v>-0.93100013460325037</v>
      </c>
      <c r="J182">
        <v>-4.5385556981391927E-4</v>
      </c>
      <c r="K182" s="96">
        <f t="shared" si="7"/>
        <v>0</v>
      </c>
      <c r="L182" s="96">
        <f t="shared" si="8"/>
        <v>0</v>
      </c>
      <c r="M182" s="96">
        <f t="shared" si="9"/>
        <v>1</v>
      </c>
    </row>
    <row r="183" spans="1:13" x14ac:dyDescent="0.45">
      <c r="A183">
        <v>1</v>
      </c>
      <c r="B183">
        <v>3</v>
      </c>
      <c r="C183">
        <v>1</v>
      </c>
      <c r="D183">
        <v>3</v>
      </c>
      <c r="E183">
        <v>1</v>
      </c>
      <c r="F183">
        <v>2</v>
      </c>
      <c r="G183">
        <v>2.3981013330425913</v>
      </c>
      <c r="H183">
        <v>4.8749248570982405E-4</v>
      </c>
      <c r="I183">
        <v>-0.92317477125226322</v>
      </c>
      <c r="J183">
        <v>-4.5004076398236399E-4</v>
      </c>
      <c r="K183" s="96">
        <f t="shared" si="7"/>
        <v>0</v>
      </c>
      <c r="L183" s="96">
        <f t="shared" si="8"/>
        <v>0</v>
      </c>
      <c r="M183" s="96">
        <f t="shared" si="9"/>
        <v>1</v>
      </c>
    </row>
    <row r="184" spans="1:13" x14ac:dyDescent="0.45">
      <c r="A184">
        <v>1</v>
      </c>
      <c r="B184">
        <v>3</v>
      </c>
      <c r="C184">
        <v>1</v>
      </c>
      <c r="D184">
        <v>3</v>
      </c>
      <c r="E184">
        <v>1</v>
      </c>
      <c r="F184">
        <v>3</v>
      </c>
      <c r="G184">
        <v>2.5880205474925919</v>
      </c>
      <c r="H184">
        <v>1.2297107747635201E-4</v>
      </c>
      <c r="I184">
        <v>-0.91734894374026243</v>
      </c>
      <c r="J184">
        <v>-1.1280738803353349E-4</v>
      </c>
      <c r="K184" s="96">
        <f t="shared" si="7"/>
        <v>0</v>
      </c>
      <c r="L184" s="96">
        <f t="shared" si="8"/>
        <v>0</v>
      </c>
      <c r="M184" s="96">
        <f t="shared" si="9"/>
        <v>1</v>
      </c>
    </row>
    <row r="185" spans="1:13" x14ac:dyDescent="0.45">
      <c r="A185">
        <v>1</v>
      </c>
      <c r="B185">
        <v>3</v>
      </c>
      <c r="C185">
        <v>1</v>
      </c>
      <c r="D185">
        <v>3</v>
      </c>
      <c r="E185">
        <v>2</v>
      </c>
      <c r="F185">
        <v>1</v>
      </c>
      <c r="G185">
        <v>2.144875713775924</v>
      </c>
      <c r="H185">
        <v>4.8749248570982405E-4</v>
      </c>
      <c r="I185">
        <v>-0.93100013460325037</v>
      </c>
      <c r="J185">
        <v>-4.5385556981391927E-4</v>
      </c>
      <c r="K185" s="96">
        <f t="shared" si="7"/>
        <v>0</v>
      </c>
      <c r="L185" s="96">
        <f t="shared" si="8"/>
        <v>0</v>
      </c>
      <c r="M185" s="96">
        <f t="shared" si="9"/>
        <v>1</v>
      </c>
    </row>
    <row r="186" spans="1:13" x14ac:dyDescent="0.45">
      <c r="A186">
        <v>1</v>
      </c>
      <c r="B186">
        <v>3</v>
      </c>
      <c r="C186">
        <v>1</v>
      </c>
      <c r="D186">
        <v>3</v>
      </c>
      <c r="E186">
        <v>2</v>
      </c>
      <c r="F186">
        <v>2</v>
      </c>
      <c r="G186">
        <v>2.3981013330425913</v>
      </c>
      <c r="H186">
        <v>4.8749248570982405E-4</v>
      </c>
      <c r="I186">
        <v>-0.92317477125226322</v>
      </c>
      <c r="J186">
        <v>-4.5004076398236399E-4</v>
      </c>
      <c r="K186" s="96">
        <f t="shared" si="7"/>
        <v>0</v>
      </c>
      <c r="L186" s="96">
        <f t="shared" si="8"/>
        <v>0</v>
      </c>
      <c r="M186" s="96">
        <f t="shared" si="9"/>
        <v>1</v>
      </c>
    </row>
    <row r="187" spans="1:13" x14ac:dyDescent="0.45">
      <c r="A187">
        <v>1</v>
      </c>
      <c r="B187">
        <v>3</v>
      </c>
      <c r="C187">
        <v>1</v>
      </c>
      <c r="D187">
        <v>3</v>
      </c>
      <c r="E187">
        <v>2</v>
      </c>
      <c r="F187">
        <v>3</v>
      </c>
      <c r="G187">
        <v>2.5880205474925919</v>
      </c>
      <c r="H187">
        <v>1.2297107747635201E-4</v>
      </c>
      <c r="I187">
        <v>-0.91734894374026243</v>
      </c>
      <c r="J187">
        <v>-1.1280738803353349E-4</v>
      </c>
      <c r="K187" s="96">
        <f t="shared" si="7"/>
        <v>0</v>
      </c>
      <c r="L187" s="96">
        <f t="shared" si="8"/>
        <v>0</v>
      </c>
      <c r="M187" s="96">
        <f t="shared" si="9"/>
        <v>1</v>
      </c>
    </row>
    <row r="188" spans="1:13" x14ac:dyDescent="0.45">
      <c r="A188">
        <v>1</v>
      </c>
      <c r="B188">
        <v>3</v>
      </c>
      <c r="C188">
        <v>1</v>
      </c>
      <c r="D188">
        <v>3</v>
      </c>
      <c r="E188">
        <v>3</v>
      </c>
      <c r="F188">
        <v>1</v>
      </c>
      <c r="G188">
        <v>2.144875713775924</v>
      </c>
      <c r="H188">
        <v>1.2297107747635201E-4</v>
      </c>
      <c r="I188">
        <v>-0.93100013460325037</v>
      </c>
      <c r="J188">
        <v>-1.1448608968279045E-4</v>
      </c>
      <c r="K188" s="96">
        <f t="shared" si="7"/>
        <v>0</v>
      </c>
      <c r="L188" s="96">
        <f t="shared" si="8"/>
        <v>0</v>
      </c>
      <c r="M188" s="96">
        <f t="shared" si="9"/>
        <v>1</v>
      </c>
    </row>
    <row r="189" spans="1:13" x14ac:dyDescent="0.45">
      <c r="A189">
        <v>1</v>
      </c>
      <c r="B189">
        <v>3</v>
      </c>
      <c r="C189">
        <v>1</v>
      </c>
      <c r="D189">
        <v>3</v>
      </c>
      <c r="E189">
        <v>3</v>
      </c>
      <c r="F189">
        <v>2</v>
      </c>
      <c r="G189">
        <v>2.3981013330425913</v>
      </c>
      <c r="H189">
        <v>1.2297107747635201E-4</v>
      </c>
      <c r="I189">
        <v>-0.92317477125226322</v>
      </c>
      <c r="J189">
        <v>-1.135237963198756E-4</v>
      </c>
      <c r="K189" s="96">
        <f t="shared" si="7"/>
        <v>0</v>
      </c>
      <c r="L189" s="96">
        <f t="shared" si="8"/>
        <v>0</v>
      </c>
      <c r="M189" s="96">
        <f t="shared" si="9"/>
        <v>1</v>
      </c>
    </row>
    <row r="190" spans="1:13" x14ac:dyDescent="0.45">
      <c r="A190">
        <v>1</v>
      </c>
      <c r="B190">
        <v>3</v>
      </c>
      <c r="C190">
        <v>1</v>
      </c>
      <c r="D190">
        <v>3</v>
      </c>
      <c r="E190">
        <v>3</v>
      </c>
      <c r="F190">
        <v>3</v>
      </c>
      <c r="G190">
        <v>2.5880205474925919</v>
      </c>
      <c r="H190">
        <v>3.1019731255295997E-5</v>
      </c>
      <c r="I190">
        <v>-0.91734894374026243</v>
      </c>
      <c r="J190">
        <v>-2.8455917702152586E-5</v>
      </c>
      <c r="K190" s="96">
        <f t="shared" si="7"/>
        <v>0</v>
      </c>
      <c r="L190" s="96">
        <f t="shared" si="8"/>
        <v>0</v>
      </c>
      <c r="M190" s="96">
        <f t="shared" si="9"/>
        <v>1</v>
      </c>
    </row>
    <row r="191" spans="1:13" x14ac:dyDescent="0.45">
      <c r="A191">
        <v>1</v>
      </c>
      <c r="B191">
        <v>3</v>
      </c>
      <c r="C191">
        <v>2</v>
      </c>
      <c r="D191">
        <v>1</v>
      </c>
      <c r="E191">
        <v>1</v>
      </c>
      <c r="F191">
        <v>1</v>
      </c>
      <c r="G191">
        <v>2.7146333571259271</v>
      </c>
      <c r="H191">
        <v>1.932559496921088E-3</v>
      </c>
      <c r="I191">
        <v>-0.91348549793101208</v>
      </c>
      <c r="J191">
        <v>-1.7653650743262664E-3</v>
      </c>
      <c r="K191" s="96">
        <f t="shared" si="7"/>
        <v>0</v>
      </c>
      <c r="L191" s="96">
        <f t="shared" si="8"/>
        <v>0</v>
      </c>
      <c r="M191" s="96">
        <f t="shared" si="9"/>
        <v>1</v>
      </c>
    </row>
    <row r="192" spans="1:13" x14ac:dyDescent="0.45">
      <c r="A192">
        <v>1</v>
      </c>
      <c r="B192">
        <v>3</v>
      </c>
      <c r="C192">
        <v>2</v>
      </c>
      <c r="D192">
        <v>1</v>
      </c>
      <c r="E192">
        <v>1</v>
      </c>
      <c r="F192">
        <v>2</v>
      </c>
      <c r="G192">
        <v>3.0258452873914532</v>
      </c>
      <c r="H192">
        <v>1.932559496921088E-3</v>
      </c>
      <c r="I192">
        <v>-0.90405822762043342</v>
      </c>
      <c r="J192">
        <v>-1.7471463135575152E-3</v>
      </c>
      <c r="K192" s="96">
        <f t="shared" si="7"/>
        <v>0</v>
      </c>
      <c r="L192" s="96">
        <f t="shared" si="8"/>
        <v>0</v>
      </c>
      <c r="M192" s="96">
        <f t="shared" si="9"/>
        <v>1</v>
      </c>
    </row>
    <row r="193" spans="1:13" x14ac:dyDescent="0.45">
      <c r="A193">
        <v>1</v>
      </c>
      <c r="B193">
        <v>3</v>
      </c>
      <c r="C193">
        <v>2</v>
      </c>
      <c r="D193">
        <v>1</v>
      </c>
      <c r="E193">
        <v>1</v>
      </c>
      <c r="F193">
        <v>3</v>
      </c>
      <c r="G193">
        <v>3.2585786795350424</v>
      </c>
      <c r="H193">
        <v>4.8749248570982399E-4</v>
      </c>
      <c r="I193">
        <v>-0.89707187734178018</v>
      </c>
      <c r="J193">
        <v>-4.3731579934572277E-4</v>
      </c>
      <c r="K193" s="96">
        <f t="shared" si="7"/>
        <v>0</v>
      </c>
      <c r="L193" s="96">
        <f t="shared" si="8"/>
        <v>0</v>
      </c>
      <c r="M193" s="96">
        <f t="shared" si="9"/>
        <v>1</v>
      </c>
    </row>
    <row r="194" spans="1:13" x14ac:dyDescent="0.45">
      <c r="A194">
        <v>1</v>
      </c>
      <c r="B194">
        <v>3</v>
      </c>
      <c r="C194">
        <v>2</v>
      </c>
      <c r="D194">
        <v>1</v>
      </c>
      <c r="E194">
        <v>2</v>
      </c>
      <c r="F194">
        <v>1</v>
      </c>
      <c r="G194">
        <v>2.7146333571259271</v>
      </c>
      <c r="H194">
        <v>1.932559496921088E-3</v>
      </c>
      <c r="I194">
        <v>-0.91348549793101208</v>
      </c>
      <c r="J194">
        <v>-1.7653650743262664E-3</v>
      </c>
      <c r="K194" s="96">
        <f t="shared" si="7"/>
        <v>0</v>
      </c>
      <c r="L194" s="96">
        <f t="shared" si="8"/>
        <v>0</v>
      </c>
      <c r="M194" s="96">
        <f t="shared" si="9"/>
        <v>1</v>
      </c>
    </row>
    <row r="195" spans="1:13" x14ac:dyDescent="0.45">
      <c r="A195">
        <v>1</v>
      </c>
      <c r="B195">
        <v>3</v>
      </c>
      <c r="C195">
        <v>2</v>
      </c>
      <c r="D195">
        <v>1</v>
      </c>
      <c r="E195">
        <v>2</v>
      </c>
      <c r="F195">
        <v>2</v>
      </c>
      <c r="G195">
        <v>3.0258452873914532</v>
      </c>
      <c r="H195">
        <v>1.932559496921088E-3</v>
      </c>
      <c r="I195">
        <v>-0.90405822762043342</v>
      </c>
      <c r="J195">
        <v>-1.7471463135575152E-3</v>
      </c>
      <c r="K195" s="96">
        <f t="shared" ref="K195:K258" si="10">IF(A195=3,1,0)</f>
        <v>0</v>
      </c>
      <c r="L195" s="96">
        <f t="shared" ref="L195:L258" si="11">IF(A195=2,1,0)</f>
        <v>0</v>
      </c>
      <c r="M195" s="96">
        <f t="shared" ref="M195:M258" si="12">IF(A195=1,1,0)</f>
        <v>1</v>
      </c>
    </row>
    <row r="196" spans="1:13" x14ac:dyDescent="0.45">
      <c r="A196">
        <v>1</v>
      </c>
      <c r="B196">
        <v>3</v>
      </c>
      <c r="C196">
        <v>2</v>
      </c>
      <c r="D196">
        <v>1</v>
      </c>
      <c r="E196">
        <v>2</v>
      </c>
      <c r="F196">
        <v>3</v>
      </c>
      <c r="G196">
        <v>3.2585786795350424</v>
      </c>
      <c r="H196">
        <v>4.8749248570982399E-4</v>
      </c>
      <c r="I196">
        <v>-0.89707187734178018</v>
      </c>
      <c r="J196">
        <v>-4.3731579934572277E-4</v>
      </c>
      <c r="K196" s="96">
        <f t="shared" si="10"/>
        <v>0</v>
      </c>
      <c r="L196" s="96">
        <f t="shared" si="11"/>
        <v>0</v>
      </c>
      <c r="M196" s="96">
        <f t="shared" si="12"/>
        <v>1</v>
      </c>
    </row>
    <row r="197" spans="1:13" x14ac:dyDescent="0.45">
      <c r="A197">
        <v>1</v>
      </c>
      <c r="B197">
        <v>3</v>
      </c>
      <c r="C197">
        <v>2</v>
      </c>
      <c r="D197">
        <v>1</v>
      </c>
      <c r="E197">
        <v>3</v>
      </c>
      <c r="F197">
        <v>1</v>
      </c>
      <c r="G197">
        <v>2.7146333571259271</v>
      </c>
      <c r="H197">
        <v>4.8749248570982405E-4</v>
      </c>
      <c r="I197">
        <v>-0.91348549793101208</v>
      </c>
      <c r="J197">
        <v>-4.4531731604626542E-4</v>
      </c>
      <c r="K197" s="96">
        <f t="shared" si="10"/>
        <v>0</v>
      </c>
      <c r="L197" s="96">
        <f t="shared" si="11"/>
        <v>0</v>
      </c>
      <c r="M197" s="96">
        <f t="shared" si="12"/>
        <v>1</v>
      </c>
    </row>
    <row r="198" spans="1:13" x14ac:dyDescent="0.45">
      <c r="A198">
        <v>1</v>
      </c>
      <c r="B198">
        <v>3</v>
      </c>
      <c r="C198">
        <v>2</v>
      </c>
      <c r="D198">
        <v>1</v>
      </c>
      <c r="E198">
        <v>3</v>
      </c>
      <c r="F198">
        <v>2</v>
      </c>
      <c r="G198">
        <v>3.0258452873914532</v>
      </c>
      <c r="H198">
        <v>4.8749248570982405E-4</v>
      </c>
      <c r="I198">
        <v>-0.90405822762043342</v>
      </c>
      <c r="J198">
        <v>-4.40721592609103E-4</v>
      </c>
      <c r="K198" s="96">
        <f t="shared" si="10"/>
        <v>0</v>
      </c>
      <c r="L198" s="96">
        <f t="shared" si="11"/>
        <v>0</v>
      </c>
      <c r="M198" s="96">
        <f t="shared" si="12"/>
        <v>1</v>
      </c>
    </row>
    <row r="199" spans="1:13" x14ac:dyDescent="0.45">
      <c r="A199">
        <v>1</v>
      </c>
      <c r="B199">
        <v>3</v>
      </c>
      <c r="C199">
        <v>2</v>
      </c>
      <c r="D199">
        <v>1</v>
      </c>
      <c r="E199">
        <v>3</v>
      </c>
      <c r="F199">
        <v>3</v>
      </c>
      <c r="G199">
        <v>3.2585786795350424</v>
      </c>
      <c r="H199">
        <v>1.2297107747635201E-4</v>
      </c>
      <c r="I199">
        <v>-0.89707187734178018</v>
      </c>
      <c r="J199">
        <v>-1.103138953304526E-4</v>
      </c>
      <c r="K199" s="96">
        <f t="shared" si="10"/>
        <v>0</v>
      </c>
      <c r="L199" s="96">
        <f t="shared" si="11"/>
        <v>0</v>
      </c>
      <c r="M199" s="96">
        <f t="shared" si="12"/>
        <v>1</v>
      </c>
    </row>
    <row r="200" spans="1:13" x14ac:dyDescent="0.45">
      <c r="A200">
        <v>1</v>
      </c>
      <c r="B200">
        <v>3</v>
      </c>
      <c r="C200">
        <v>2</v>
      </c>
      <c r="D200">
        <v>2</v>
      </c>
      <c r="E200">
        <v>1</v>
      </c>
      <c r="F200">
        <v>1</v>
      </c>
      <c r="G200">
        <v>2.7146333571259271</v>
      </c>
      <c r="H200">
        <v>1.932559496921088E-3</v>
      </c>
      <c r="I200">
        <v>-0.91348549793101208</v>
      </c>
      <c r="J200">
        <v>-1.7653650743262664E-3</v>
      </c>
      <c r="K200" s="96">
        <f t="shared" si="10"/>
        <v>0</v>
      </c>
      <c r="L200" s="96">
        <f t="shared" si="11"/>
        <v>0</v>
      </c>
      <c r="M200" s="96">
        <f t="shared" si="12"/>
        <v>1</v>
      </c>
    </row>
    <row r="201" spans="1:13" x14ac:dyDescent="0.45">
      <c r="A201">
        <v>1</v>
      </c>
      <c r="B201">
        <v>3</v>
      </c>
      <c r="C201">
        <v>2</v>
      </c>
      <c r="D201">
        <v>2</v>
      </c>
      <c r="E201">
        <v>1</v>
      </c>
      <c r="F201">
        <v>2</v>
      </c>
      <c r="G201">
        <v>3.0258452873914532</v>
      </c>
      <c r="H201">
        <v>1.932559496921088E-3</v>
      </c>
      <c r="I201">
        <v>-0.90405822762043342</v>
      </c>
      <c r="J201">
        <v>-1.7471463135575152E-3</v>
      </c>
      <c r="K201" s="96">
        <f t="shared" si="10"/>
        <v>0</v>
      </c>
      <c r="L201" s="96">
        <f t="shared" si="11"/>
        <v>0</v>
      </c>
      <c r="M201" s="96">
        <f t="shared" si="12"/>
        <v>1</v>
      </c>
    </row>
    <row r="202" spans="1:13" x14ac:dyDescent="0.45">
      <c r="A202">
        <v>1</v>
      </c>
      <c r="B202">
        <v>3</v>
      </c>
      <c r="C202">
        <v>2</v>
      </c>
      <c r="D202">
        <v>2</v>
      </c>
      <c r="E202">
        <v>1</v>
      </c>
      <c r="F202">
        <v>3</v>
      </c>
      <c r="G202">
        <v>3.2585786795350424</v>
      </c>
      <c r="H202">
        <v>4.8749248570982399E-4</v>
      </c>
      <c r="I202">
        <v>-0.89707187734178018</v>
      </c>
      <c r="J202">
        <v>-4.3731579934572277E-4</v>
      </c>
      <c r="K202" s="96">
        <f t="shared" si="10"/>
        <v>0</v>
      </c>
      <c r="L202" s="96">
        <f t="shared" si="11"/>
        <v>0</v>
      </c>
      <c r="M202" s="96">
        <f t="shared" si="12"/>
        <v>1</v>
      </c>
    </row>
    <row r="203" spans="1:13" x14ac:dyDescent="0.45">
      <c r="A203">
        <v>1</v>
      </c>
      <c r="B203">
        <v>3</v>
      </c>
      <c r="C203">
        <v>2</v>
      </c>
      <c r="D203">
        <v>2</v>
      </c>
      <c r="E203">
        <v>2</v>
      </c>
      <c r="F203">
        <v>1</v>
      </c>
      <c r="G203">
        <v>2.7146333571259271</v>
      </c>
      <c r="H203">
        <v>1.932559496921088E-3</v>
      </c>
      <c r="I203">
        <v>-0.91348549793101208</v>
      </c>
      <c r="J203">
        <v>-1.7653650743262664E-3</v>
      </c>
      <c r="K203" s="96">
        <f t="shared" si="10"/>
        <v>0</v>
      </c>
      <c r="L203" s="96">
        <f t="shared" si="11"/>
        <v>0</v>
      </c>
      <c r="M203" s="96">
        <f t="shared" si="12"/>
        <v>1</v>
      </c>
    </row>
    <row r="204" spans="1:13" x14ac:dyDescent="0.45">
      <c r="A204">
        <v>1</v>
      </c>
      <c r="B204">
        <v>3</v>
      </c>
      <c r="C204">
        <v>2</v>
      </c>
      <c r="D204">
        <v>2</v>
      </c>
      <c r="E204">
        <v>2</v>
      </c>
      <c r="F204">
        <v>2</v>
      </c>
      <c r="G204">
        <v>3.0258452873914532</v>
      </c>
      <c r="H204">
        <v>1.932559496921088E-3</v>
      </c>
      <c r="I204">
        <v>-0.90405822762043342</v>
      </c>
      <c r="J204">
        <v>-1.7471463135575152E-3</v>
      </c>
      <c r="K204" s="96">
        <f t="shared" si="10"/>
        <v>0</v>
      </c>
      <c r="L204" s="96">
        <f t="shared" si="11"/>
        <v>0</v>
      </c>
      <c r="M204" s="96">
        <f t="shared" si="12"/>
        <v>1</v>
      </c>
    </row>
    <row r="205" spans="1:13" x14ac:dyDescent="0.45">
      <c r="A205">
        <v>1</v>
      </c>
      <c r="B205">
        <v>3</v>
      </c>
      <c r="C205">
        <v>2</v>
      </c>
      <c r="D205">
        <v>2</v>
      </c>
      <c r="E205">
        <v>2</v>
      </c>
      <c r="F205">
        <v>3</v>
      </c>
      <c r="G205">
        <v>3.2585786795350424</v>
      </c>
      <c r="H205">
        <v>4.8749248570982399E-4</v>
      </c>
      <c r="I205">
        <v>-0.89707187734178018</v>
      </c>
      <c r="J205">
        <v>-4.3731579934572277E-4</v>
      </c>
      <c r="K205" s="96">
        <f t="shared" si="10"/>
        <v>0</v>
      </c>
      <c r="L205" s="96">
        <f t="shared" si="11"/>
        <v>0</v>
      </c>
      <c r="M205" s="96">
        <f t="shared" si="12"/>
        <v>1</v>
      </c>
    </row>
    <row r="206" spans="1:13" x14ac:dyDescent="0.45">
      <c r="A206">
        <v>1</v>
      </c>
      <c r="B206">
        <v>3</v>
      </c>
      <c r="C206">
        <v>2</v>
      </c>
      <c r="D206">
        <v>2</v>
      </c>
      <c r="E206">
        <v>3</v>
      </c>
      <c r="F206">
        <v>1</v>
      </c>
      <c r="G206">
        <v>2.7146333571259271</v>
      </c>
      <c r="H206">
        <v>4.8749248570982405E-4</v>
      </c>
      <c r="I206">
        <v>-0.91348549793101208</v>
      </c>
      <c r="J206">
        <v>-4.4531731604626542E-4</v>
      </c>
      <c r="K206" s="96">
        <f t="shared" si="10"/>
        <v>0</v>
      </c>
      <c r="L206" s="96">
        <f t="shared" si="11"/>
        <v>0</v>
      </c>
      <c r="M206" s="96">
        <f t="shared" si="12"/>
        <v>1</v>
      </c>
    </row>
    <row r="207" spans="1:13" x14ac:dyDescent="0.45">
      <c r="A207">
        <v>1</v>
      </c>
      <c r="B207">
        <v>3</v>
      </c>
      <c r="C207">
        <v>2</v>
      </c>
      <c r="D207">
        <v>2</v>
      </c>
      <c r="E207">
        <v>3</v>
      </c>
      <c r="F207">
        <v>2</v>
      </c>
      <c r="G207">
        <v>3.0258452873914532</v>
      </c>
      <c r="H207">
        <v>4.8749248570982405E-4</v>
      </c>
      <c r="I207">
        <v>-0.90405822762043342</v>
      </c>
      <c r="J207">
        <v>-4.40721592609103E-4</v>
      </c>
      <c r="K207" s="96">
        <f t="shared" si="10"/>
        <v>0</v>
      </c>
      <c r="L207" s="96">
        <f t="shared" si="11"/>
        <v>0</v>
      </c>
      <c r="M207" s="96">
        <f t="shared" si="12"/>
        <v>1</v>
      </c>
    </row>
    <row r="208" spans="1:13" x14ac:dyDescent="0.45">
      <c r="A208">
        <v>1</v>
      </c>
      <c r="B208">
        <v>3</v>
      </c>
      <c r="C208">
        <v>2</v>
      </c>
      <c r="D208">
        <v>2</v>
      </c>
      <c r="E208">
        <v>3</v>
      </c>
      <c r="F208">
        <v>3</v>
      </c>
      <c r="G208">
        <v>3.2585786795350424</v>
      </c>
      <c r="H208">
        <v>1.2297107747635201E-4</v>
      </c>
      <c r="I208">
        <v>-0.89707187734178018</v>
      </c>
      <c r="J208">
        <v>-1.103138953304526E-4</v>
      </c>
      <c r="K208" s="96">
        <f t="shared" si="10"/>
        <v>0</v>
      </c>
      <c r="L208" s="96">
        <f t="shared" si="11"/>
        <v>0</v>
      </c>
      <c r="M208" s="96">
        <f t="shared" si="12"/>
        <v>1</v>
      </c>
    </row>
    <row r="209" spans="1:13" x14ac:dyDescent="0.45">
      <c r="A209">
        <v>1</v>
      </c>
      <c r="B209">
        <v>3</v>
      </c>
      <c r="C209">
        <v>2</v>
      </c>
      <c r="D209">
        <v>3</v>
      </c>
      <c r="E209">
        <v>1</v>
      </c>
      <c r="F209">
        <v>1</v>
      </c>
      <c r="G209">
        <v>2.7146333571259271</v>
      </c>
      <c r="H209">
        <v>4.8749248570982405E-4</v>
      </c>
      <c r="I209">
        <v>-0.91348549793101208</v>
      </c>
      <c r="J209">
        <v>-4.4531731604626542E-4</v>
      </c>
      <c r="K209" s="96">
        <f t="shared" si="10"/>
        <v>0</v>
      </c>
      <c r="L209" s="96">
        <f t="shared" si="11"/>
        <v>0</v>
      </c>
      <c r="M209" s="96">
        <f t="shared" si="12"/>
        <v>1</v>
      </c>
    </row>
    <row r="210" spans="1:13" x14ac:dyDescent="0.45">
      <c r="A210">
        <v>1</v>
      </c>
      <c r="B210">
        <v>3</v>
      </c>
      <c r="C210">
        <v>2</v>
      </c>
      <c r="D210">
        <v>3</v>
      </c>
      <c r="E210">
        <v>1</v>
      </c>
      <c r="F210">
        <v>2</v>
      </c>
      <c r="G210">
        <v>3.0258452873914532</v>
      </c>
      <c r="H210">
        <v>4.8749248570982405E-4</v>
      </c>
      <c r="I210">
        <v>-0.90405822762043342</v>
      </c>
      <c r="J210">
        <v>-4.40721592609103E-4</v>
      </c>
      <c r="K210" s="96">
        <f t="shared" si="10"/>
        <v>0</v>
      </c>
      <c r="L210" s="96">
        <f t="shared" si="11"/>
        <v>0</v>
      </c>
      <c r="M210" s="96">
        <f t="shared" si="12"/>
        <v>1</v>
      </c>
    </row>
    <row r="211" spans="1:13" x14ac:dyDescent="0.45">
      <c r="A211">
        <v>1</v>
      </c>
      <c r="B211">
        <v>3</v>
      </c>
      <c r="C211">
        <v>2</v>
      </c>
      <c r="D211">
        <v>3</v>
      </c>
      <c r="E211">
        <v>1</v>
      </c>
      <c r="F211">
        <v>3</v>
      </c>
      <c r="G211">
        <v>3.2585786795350424</v>
      </c>
      <c r="H211">
        <v>1.2297107747635201E-4</v>
      </c>
      <c r="I211">
        <v>-0.89707187734178018</v>
      </c>
      <c r="J211">
        <v>-1.103138953304526E-4</v>
      </c>
      <c r="K211" s="96">
        <f t="shared" si="10"/>
        <v>0</v>
      </c>
      <c r="L211" s="96">
        <f t="shared" si="11"/>
        <v>0</v>
      </c>
      <c r="M211" s="96">
        <f t="shared" si="12"/>
        <v>1</v>
      </c>
    </row>
    <row r="212" spans="1:13" x14ac:dyDescent="0.45">
      <c r="A212">
        <v>1</v>
      </c>
      <c r="B212">
        <v>3</v>
      </c>
      <c r="C212">
        <v>2</v>
      </c>
      <c r="D212">
        <v>3</v>
      </c>
      <c r="E212">
        <v>2</v>
      </c>
      <c r="F212">
        <v>1</v>
      </c>
      <c r="G212">
        <v>2.7146333571259271</v>
      </c>
      <c r="H212">
        <v>4.8749248570982405E-4</v>
      </c>
      <c r="I212">
        <v>-0.91348549793101208</v>
      </c>
      <c r="J212">
        <v>-4.4531731604626542E-4</v>
      </c>
      <c r="K212" s="96">
        <f t="shared" si="10"/>
        <v>0</v>
      </c>
      <c r="L212" s="96">
        <f t="shared" si="11"/>
        <v>0</v>
      </c>
      <c r="M212" s="96">
        <f t="shared" si="12"/>
        <v>1</v>
      </c>
    </row>
    <row r="213" spans="1:13" x14ac:dyDescent="0.45">
      <c r="A213">
        <v>1</v>
      </c>
      <c r="B213">
        <v>3</v>
      </c>
      <c r="C213">
        <v>2</v>
      </c>
      <c r="D213">
        <v>3</v>
      </c>
      <c r="E213">
        <v>2</v>
      </c>
      <c r="F213">
        <v>2</v>
      </c>
      <c r="G213">
        <v>3.0258452873914532</v>
      </c>
      <c r="H213">
        <v>4.8749248570982405E-4</v>
      </c>
      <c r="I213">
        <v>-0.90405822762043342</v>
      </c>
      <c r="J213">
        <v>-4.40721592609103E-4</v>
      </c>
      <c r="K213" s="96">
        <f t="shared" si="10"/>
        <v>0</v>
      </c>
      <c r="L213" s="96">
        <f t="shared" si="11"/>
        <v>0</v>
      </c>
      <c r="M213" s="96">
        <f t="shared" si="12"/>
        <v>1</v>
      </c>
    </row>
    <row r="214" spans="1:13" x14ac:dyDescent="0.45">
      <c r="A214">
        <v>1</v>
      </c>
      <c r="B214">
        <v>3</v>
      </c>
      <c r="C214">
        <v>2</v>
      </c>
      <c r="D214">
        <v>3</v>
      </c>
      <c r="E214">
        <v>2</v>
      </c>
      <c r="F214">
        <v>3</v>
      </c>
      <c r="G214">
        <v>3.2585786795350424</v>
      </c>
      <c r="H214">
        <v>1.2297107747635201E-4</v>
      </c>
      <c r="I214">
        <v>-0.89707187734178018</v>
      </c>
      <c r="J214">
        <v>-1.103138953304526E-4</v>
      </c>
      <c r="K214" s="96">
        <f t="shared" si="10"/>
        <v>0</v>
      </c>
      <c r="L214" s="96">
        <f t="shared" si="11"/>
        <v>0</v>
      </c>
      <c r="M214" s="96">
        <f t="shared" si="12"/>
        <v>1</v>
      </c>
    </row>
    <row r="215" spans="1:13" x14ac:dyDescent="0.45">
      <c r="A215">
        <v>1</v>
      </c>
      <c r="B215">
        <v>3</v>
      </c>
      <c r="C215">
        <v>2</v>
      </c>
      <c r="D215">
        <v>3</v>
      </c>
      <c r="E215">
        <v>3</v>
      </c>
      <c r="F215">
        <v>1</v>
      </c>
      <c r="G215">
        <v>2.7146333571259271</v>
      </c>
      <c r="H215">
        <v>1.2297107747635201E-4</v>
      </c>
      <c r="I215">
        <v>-0.91348549793101208</v>
      </c>
      <c r="J215">
        <v>-1.1233229593959848E-4</v>
      </c>
      <c r="K215" s="96">
        <f t="shared" si="10"/>
        <v>0</v>
      </c>
      <c r="L215" s="96">
        <f t="shared" si="11"/>
        <v>0</v>
      </c>
      <c r="M215" s="96">
        <f t="shared" si="12"/>
        <v>1</v>
      </c>
    </row>
    <row r="216" spans="1:13" x14ac:dyDescent="0.45">
      <c r="A216">
        <v>1</v>
      </c>
      <c r="B216">
        <v>3</v>
      </c>
      <c r="C216">
        <v>2</v>
      </c>
      <c r="D216">
        <v>3</v>
      </c>
      <c r="E216">
        <v>3</v>
      </c>
      <c r="F216">
        <v>2</v>
      </c>
      <c r="G216">
        <v>3.0258452873914532</v>
      </c>
      <c r="H216">
        <v>1.2297107747635201E-4</v>
      </c>
      <c r="I216">
        <v>-0.90405822762043342</v>
      </c>
      <c r="J216">
        <v>-1.1117301435184579E-4</v>
      </c>
      <c r="K216" s="96">
        <f t="shared" si="10"/>
        <v>0</v>
      </c>
      <c r="L216" s="96">
        <f t="shared" si="11"/>
        <v>0</v>
      </c>
      <c r="M216" s="96">
        <f t="shared" si="12"/>
        <v>1</v>
      </c>
    </row>
    <row r="217" spans="1:13" x14ac:dyDescent="0.45">
      <c r="A217">
        <v>1</v>
      </c>
      <c r="B217">
        <v>3</v>
      </c>
      <c r="C217">
        <v>2</v>
      </c>
      <c r="D217">
        <v>3</v>
      </c>
      <c r="E217">
        <v>3</v>
      </c>
      <c r="F217">
        <v>3</v>
      </c>
      <c r="G217">
        <v>3.2585786795350424</v>
      </c>
      <c r="H217">
        <v>3.1019731255295997E-5</v>
      </c>
      <c r="I217">
        <v>-0.89707187734178018</v>
      </c>
      <c r="J217">
        <v>-2.7826928551825874E-5</v>
      </c>
      <c r="K217" s="96">
        <f t="shared" si="10"/>
        <v>0</v>
      </c>
      <c r="L217" s="96">
        <f t="shared" si="11"/>
        <v>0</v>
      </c>
      <c r="M217" s="96">
        <f t="shared" si="12"/>
        <v>1</v>
      </c>
    </row>
    <row r="218" spans="1:13" x14ac:dyDescent="0.45">
      <c r="A218">
        <v>1</v>
      </c>
      <c r="B218">
        <v>3</v>
      </c>
      <c r="C218">
        <v>3</v>
      </c>
      <c r="D218">
        <v>1</v>
      </c>
      <c r="E218">
        <v>1</v>
      </c>
      <c r="F218">
        <v>1</v>
      </c>
      <c r="G218">
        <v>3.0937258601000019</v>
      </c>
      <c r="H218">
        <v>4.8749248570982405E-4</v>
      </c>
      <c r="I218">
        <v>-0.90201494047546127</v>
      </c>
      <c r="J218">
        <v>-4.3972550547978159E-4</v>
      </c>
      <c r="K218" s="96">
        <f t="shared" si="10"/>
        <v>0</v>
      </c>
      <c r="L218" s="96">
        <f t="shared" si="11"/>
        <v>0</v>
      </c>
      <c r="M218" s="96">
        <f t="shared" si="12"/>
        <v>1</v>
      </c>
    </row>
    <row r="219" spans="1:13" x14ac:dyDescent="0.45">
      <c r="A219">
        <v>1</v>
      </c>
      <c r="B219">
        <v>3</v>
      </c>
      <c r="C219">
        <v>3</v>
      </c>
      <c r="D219">
        <v>1</v>
      </c>
      <c r="E219">
        <v>1</v>
      </c>
      <c r="F219">
        <v>2</v>
      </c>
      <c r="G219">
        <v>3.442825948315388</v>
      </c>
      <c r="H219">
        <v>4.8749248570982405E-4</v>
      </c>
      <c r="I219">
        <v>-0.89157932628838255</v>
      </c>
      <c r="J219">
        <v>-4.3463822197981387E-4</v>
      </c>
      <c r="K219" s="96">
        <f t="shared" si="10"/>
        <v>0</v>
      </c>
      <c r="L219" s="96">
        <f t="shared" si="11"/>
        <v>0</v>
      </c>
      <c r="M219" s="96">
        <f t="shared" si="12"/>
        <v>1</v>
      </c>
    </row>
    <row r="220" spans="1:13" x14ac:dyDescent="0.45">
      <c r="A220">
        <v>1</v>
      </c>
      <c r="B220">
        <v>3</v>
      </c>
      <c r="C220">
        <v>3</v>
      </c>
      <c r="D220">
        <v>1</v>
      </c>
      <c r="E220">
        <v>1</v>
      </c>
      <c r="F220">
        <v>3</v>
      </c>
      <c r="G220">
        <v>3.7046510144769225</v>
      </c>
      <c r="H220">
        <v>1.2297107747635201E-4</v>
      </c>
      <c r="I220">
        <v>-0.88383192266913868</v>
      </c>
      <c r="J220">
        <v>-1.086857638386198E-4</v>
      </c>
      <c r="K220" s="96">
        <f t="shared" si="10"/>
        <v>0</v>
      </c>
      <c r="L220" s="96">
        <f t="shared" si="11"/>
        <v>0</v>
      </c>
      <c r="M220" s="96">
        <f t="shared" si="12"/>
        <v>1</v>
      </c>
    </row>
    <row r="221" spans="1:13" x14ac:dyDescent="0.45">
      <c r="A221">
        <v>1</v>
      </c>
      <c r="B221">
        <v>3</v>
      </c>
      <c r="C221">
        <v>3</v>
      </c>
      <c r="D221">
        <v>1</v>
      </c>
      <c r="E221">
        <v>2</v>
      </c>
      <c r="F221">
        <v>1</v>
      </c>
      <c r="G221">
        <v>3.0937258601000019</v>
      </c>
      <c r="H221">
        <v>4.8749248570982405E-4</v>
      </c>
      <c r="I221">
        <v>-0.90201494047546127</v>
      </c>
      <c r="J221">
        <v>-4.3972550547978159E-4</v>
      </c>
      <c r="K221" s="96">
        <f t="shared" si="10"/>
        <v>0</v>
      </c>
      <c r="L221" s="96">
        <f t="shared" si="11"/>
        <v>0</v>
      </c>
      <c r="M221" s="96">
        <f t="shared" si="12"/>
        <v>1</v>
      </c>
    </row>
    <row r="222" spans="1:13" x14ac:dyDescent="0.45">
      <c r="A222">
        <v>1</v>
      </c>
      <c r="B222">
        <v>3</v>
      </c>
      <c r="C222">
        <v>3</v>
      </c>
      <c r="D222">
        <v>1</v>
      </c>
      <c r="E222">
        <v>2</v>
      </c>
      <c r="F222">
        <v>2</v>
      </c>
      <c r="G222">
        <v>3.442825948315388</v>
      </c>
      <c r="H222">
        <v>4.8749248570982405E-4</v>
      </c>
      <c r="I222">
        <v>-0.89157932628838255</v>
      </c>
      <c r="J222">
        <v>-4.3463822197981387E-4</v>
      </c>
      <c r="K222" s="96">
        <f t="shared" si="10"/>
        <v>0</v>
      </c>
      <c r="L222" s="96">
        <f t="shared" si="11"/>
        <v>0</v>
      </c>
      <c r="M222" s="96">
        <f t="shared" si="12"/>
        <v>1</v>
      </c>
    </row>
    <row r="223" spans="1:13" x14ac:dyDescent="0.45">
      <c r="A223">
        <v>1</v>
      </c>
      <c r="B223">
        <v>3</v>
      </c>
      <c r="C223">
        <v>3</v>
      </c>
      <c r="D223">
        <v>1</v>
      </c>
      <c r="E223">
        <v>2</v>
      </c>
      <c r="F223">
        <v>3</v>
      </c>
      <c r="G223">
        <v>3.7046510144769225</v>
      </c>
      <c r="H223">
        <v>1.2297107747635201E-4</v>
      </c>
      <c r="I223">
        <v>-0.88383192266913868</v>
      </c>
      <c r="J223">
        <v>-1.086857638386198E-4</v>
      </c>
      <c r="K223" s="96">
        <f t="shared" si="10"/>
        <v>0</v>
      </c>
      <c r="L223" s="96">
        <f t="shared" si="11"/>
        <v>0</v>
      </c>
      <c r="M223" s="96">
        <f t="shared" si="12"/>
        <v>1</v>
      </c>
    </row>
    <row r="224" spans="1:13" x14ac:dyDescent="0.45">
      <c r="A224">
        <v>1</v>
      </c>
      <c r="B224">
        <v>3</v>
      </c>
      <c r="C224">
        <v>3</v>
      </c>
      <c r="D224">
        <v>1</v>
      </c>
      <c r="E224">
        <v>3</v>
      </c>
      <c r="F224">
        <v>1</v>
      </c>
      <c r="G224">
        <v>3.0937258601000019</v>
      </c>
      <c r="H224">
        <v>1.2297107747635201E-4</v>
      </c>
      <c r="I224">
        <v>-0.90201494047546127</v>
      </c>
      <c r="J224">
        <v>-1.1092174913003499E-4</v>
      </c>
      <c r="K224" s="96">
        <f t="shared" si="10"/>
        <v>0</v>
      </c>
      <c r="L224" s="96">
        <f t="shared" si="11"/>
        <v>0</v>
      </c>
      <c r="M224" s="96">
        <f t="shared" si="12"/>
        <v>1</v>
      </c>
    </row>
    <row r="225" spans="1:13" x14ac:dyDescent="0.45">
      <c r="A225">
        <v>1</v>
      </c>
      <c r="B225">
        <v>3</v>
      </c>
      <c r="C225">
        <v>3</v>
      </c>
      <c r="D225">
        <v>1</v>
      </c>
      <c r="E225">
        <v>3</v>
      </c>
      <c r="F225">
        <v>2</v>
      </c>
      <c r="G225">
        <v>3.442825948315388</v>
      </c>
      <c r="H225">
        <v>1.2297107747635201E-4</v>
      </c>
      <c r="I225">
        <v>-0.89157932628838255</v>
      </c>
      <c r="J225">
        <v>-1.0963847040932241E-4</v>
      </c>
      <c r="K225" s="96">
        <f t="shared" si="10"/>
        <v>0</v>
      </c>
      <c r="L225" s="96">
        <f t="shared" si="11"/>
        <v>0</v>
      </c>
      <c r="M225" s="96">
        <f t="shared" si="12"/>
        <v>1</v>
      </c>
    </row>
    <row r="226" spans="1:13" x14ac:dyDescent="0.45">
      <c r="A226">
        <v>1</v>
      </c>
      <c r="B226">
        <v>3</v>
      </c>
      <c r="C226">
        <v>3</v>
      </c>
      <c r="D226">
        <v>1</v>
      </c>
      <c r="E226">
        <v>3</v>
      </c>
      <c r="F226">
        <v>3</v>
      </c>
      <c r="G226">
        <v>3.7046510144769225</v>
      </c>
      <c r="H226">
        <v>3.1019731255295997E-5</v>
      </c>
      <c r="I226">
        <v>-0.88383192266913868</v>
      </c>
      <c r="J226">
        <v>-2.7416228716048237E-5</v>
      </c>
      <c r="K226" s="96">
        <f t="shared" si="10"/>
        <v>0</v>
      </c>
      <c r="L226" s="96">
        <f t="shared" si="11"/>
        <v>0</v>
      </c>
      <c r="M226" s="96">
        <f t="shared" si="12"/>
        <v>1</v>
      </c>
    </row>
    <row r="227" spans="1:13" x14ac:dyDescent="0.45">
      <c r="A227">
        <v>1</v>
      </c>
      <c r="B227">
        <v>3</v>
      </c>
      <c r="C227">
        <v>3</v>
      </c>
      <c r="D227">
        <v>2</v>
      </c>
      <c r="E227">
        <v>1</v>
      </c>
      <c r="F227">
        <v>1</v>
      </c>
      <c r="G227">
        <v>3.0937258601000019</v>
      </c>
      <c r="H227">
        <v>4.8749248570982405E-4</v>
      </c>
      <c r="I227">
        <v>-0.90201494047546127</v>
      </c>
      <c r="J227">
        <v>-4.3972550547978159E-4</v>
      </c>
      <c r="K227" s="96">
        <f t="shared" si="10"/>
        <v>0</v>
      </c>
      <c r="L227" s="96">
        <f t="shared" si="11"/>
        <v>0</v>
      </c>
      <c r="M227" s="96">
        <f t="shared" si="12"/>
        <v>1</v>
      </c>
    </row>
    <row r="228" spans="1:13" x14ac:dyDescent="0.45">
      <c r="A228">
        <v>1</v>
      </c>
      <c r="B228">
        <v>3</v>
      </c>
      <c r="C228">
        <v>3</v>
      </c>
      <c r="D228">
        <v>2</v>
      </c>
      <c r="E228">
        <v>1</v>
      </c>
      <c r="F228">
        <v>2</v>
      </c>
      <c r="G228">
        <v>3.442825948315388</v>
      </c>
      <c r="H228">
        <v>4.8749248570982405E-4</v>
      </c>
      <c r="I228">
        <v>-0.89157932628838255</v>
      </c>
      <c r="J228">
        <v>-4.3463822197981387E-4</v>
      </c>
      <c r="K228" s="96">
        <f t="shared" si="10"/>
        <v>0</v>
      </c>
      <c r="L228" s="96">
        <f t="shared" si="11"/>
        <v>0</v>
      </c>
      <c r="M228" s="96">
        <f t="shared" si="12"/>
        <v>1</v>
      </c>
    </row>
    <row r="229" spans="1:13" x14ac:dyDescent="0.45">
      <c r="A229">
        <v>1</v>
      </c>
      <c r="B229">
        <v>3</v>
      </c>
      <c r="C229">
        <v>3</v>
      </c>
      <c r="D229">
        <v>2</v>
      </c>
      <c r="E229">
        <v>1</v>
      </c>
      <c r="F229">
        <v>3</v>
      </c>
      <c r="G229">
        <v>3.7046510144769225</v>
      </c>
      <c r="H229">
        <v>1.2297107747635201E-4</v>
      </c>
      <c r="I229">
        <v>-0.88383192266913868</v>
      </c>
      <c r="J229">
        <v>-1.086857638386198E-4</v>
      </c>
      <c r="K229" s="96">
        <f t="shared" si="10"/>
        <v>0</v>
      </c>
      <c r="L229" s="96">
        <f t="shared" si="11"/>
        <v>0</v>
      </c>
      <c r="M229" s="96">
        <f t="shared" si="12"/>
        <v>1</v>
      </c>
    </row>
    <row r="230" spans="1:13" x14ac:dyDescent="0.45">
      <c r="A230">
        <v>1</v>
      </c>
      <c r="B230">
        <v>3</v>
      </c>
      <c r="C230">
        <v>3</v>
      </c>
      <c r="D230">
        <v>2</v>
      </c>
      <c r="E230">
        <v>2</v>
      </c>
      <c r="F230">
        <v>1</v>
      </c>
      <c r="G230">
        <v>3.0937258601000019</v>
      </c>
      <c r="H230">
        <v>4.8749248570982405E-4</v>
      </c>
      <c r="I230">
        <v>-0.90201494047546127</v>
      </c>
      <c r="J230">
        <v>-4.3972550547978159E-4</v>
      </c>
      <c r="K230" s="96">
        <f t="shared" si="10"/>
        <v>0</v>
      </c>
      <c r="L230" s="96">
        <f t="shared" si="11"/>
        <v>0</v>
      </c>
      <c r="M230" s="96">
        <f t="shared" si="12"/>
        <v>1</v>
      </c>
    </row>
    <row r="231" spans="1:13" x14ac:dyDescent="0.45">
      <c r="A231">
        <v>1</v>
      </c>
      <c r="B231">
        <v>3</v>
      </c>
      <c r="C231">
        <v>3</v>
      </c>
      <c r="D231">
        <v>2</v>
      </c>
      <c r="E231">
        <v>2</v>
      </c>
      <c r="F231">
        <v>2</v>
      </c>
      <c r="G231">
        <v>3.442825948315388</v>
      </c>
      <c r="H231">
        <v>4.8749248570982405E-4</v>
      </c>
      <c r="I231">
        <v>-0.89157932628838255</v>
      </c>
      <c r="J231">
        <v>-4.3463822197981387E-4</v>
      </c>
      <c r="K231" s="96">
        <f t="shared" si="10"/>
        <v>0</v>
      </c>
      <c r="L231" s="96">
        <f t="shared" si="11"/>
        <v>0</v>
      </c>
      <c r="M231" s="96">
        <f t="shared" si="12"/>
        <v>1</v>
      </c>
    </row>
    <row r="232" spans="1:13" x14ac:dyDescent="0.45">
      <c r="A232">
        <v>1</v>
      </c>
      <c r="B232">
        <v>3</v>
      </c>
      <c r="C232">
        <v>3</v>
      </c>
      <c r="D232">
        <v>2</v>
      </c>
      <c r="E232">
        <v>2</v>
      </c>
      <c r="F232">
        <v>3</v>
      </c>
      <c r="G232">
        <v>3.7046510144769225</v>
      </c>
      <c r="H232">
        <v>1.2297107747635201E-4</v>
      </c>
      <c r="I232">
        <v>-0.88383192266913868</v>
      </c>
      <c r="J232">
        <v>-1.086857638386198E-4</v>
      </c>
      <c r="K232" s="96">
        <f t="shared" si="10"/>
        <v>0</v>
      </c>
      <c r="L232" s="96">
        <f t="shared" si="11"/>
        <v>0</v>
      </c>
      <c r="M232" s="96">
        <f t="shared" si="12"/>
        <v>1</v>
      </c>
    </row>
    <row r="233" spans="1:13" x14ac:dyDescent="0.45">
      <c r="A233">
        <v>1</v>
      </c>
      <c r="B233">
        <v>3</v>
      </c>
      <c r="C233">
        <v>3</v>
      </c>
      <c r="D233">
        <v>2</v>
      </c>
      <c r="E233">
        <v>3</v>
      </c>
      <c r="F233">
        <v>1</v>
      </c>
      <c r="G233">
        <v>3.0937258601000019</v>
      </c>
      <c r="H233">
        <v>1.2297107747635201E-4</v>
      </c>
      <c r="I233">
        <v>-0.90201494047546127</v>
      </c>
      <c r="J233">
        <v>-1.1092174913003499E-4</v>
      </c>
      <c r="K233" s="96">
        <f t="shared" si="10"/>
        <v>0</v>
      </c>
      <c r="L233" s="96">
        <f t="shared" si="11"/>
        <v>0</v>
      </c>
      <c r="M233" s="96">
        <f t="shared" si="12"/>
        <v>1</v>
      </c>
    </row>
    <row r="234" spans="1:13" x14ac:dyDescent="0.45">
      <c r="A234">
        <v>1</v>
      </c>
      <c r="B234">
        <v>3</v>
      </c>
      <c r="C234">
        <v>3</v>
      </c>
      <c r="D234">
        <v>2</v>
      </c>
      <c r="E234">
        <v>3</v>
      </c>
      <c r="F234">
        <v>2</v>
      </c>
      <c r="G234">
        <v>3.442825948315388</v>
      </c>
      <c r="H234">
        <v>1.2297107747635201E-4</v>
      </c>
      <c r="I234">
        <v>-0.89157932628838255</v>
      </c>
      <c r="J234">
        <v>-1.0963847040932241E-4</v>
      </c>
      <c r="K234" s="96">
        <f t="shared" si="10"/>
        <v>0</v>
      </c>
      <c r="L234" s="96">
        <f t="shared" si="11"/>
        <v>0</v>
      </c>
      <c r="M234" s="96">
        <f t="shared" si="12"/>
        <v>1</v>
      </c>
    </row>
    <row r="235" spans="1:13" x14ac:dyDescent="0.45">
      <c r="A235">
        <v>1</v>
      </c>
      <c r="B235">
        <v>3</v>
      </c>
      <c r="C235">
        <v>3</v>
      </c>
      <c r="D235">
        <v>2</v>
      </c>
      <c r="E235">
        <v>3</v>
      </c>
      <c r="F235">
        <v>3</v>
      </c>
      <c r="G235">
        <v>3.7046510144769225</v>
      </c>
      <c r="H235">
        <v>3.1019731255295997E-5</v>
      </c>
      <c r="I235">
        <v>-0.88383192266913868</v>
      </c>
      <c r="J235">
        <v>-2.7416228716048237E-5</v>
      </c>
      <c r="K235" s="96">
        <f t="shared" si="10"/>
        <v>0</v>
      </c>
      <c r="L235" s="96">
        <f t="shared" si="11"/>
        <v>0</v>
      </c>
      <c r="M235" s="96">
        <f t="shared" si="12"/>
        <v>1</v>
      </c>
    </row>
    <row r="236" spans="1:13" x14ac:dyDescent="0.45">
      <c r="A236">
        <v>1</v>
      </c>
      <c r="B236">
        <v>3</v>
      </c>
      <c r="C236">
        <v>3</v>
      </c>
      <c r="D236">
        <v>3</v>
      </c>
      <c r="E236">
        <v>1</v>
      </c>
      <c r="F236">
        <v>1</v>
      </c>
      <c r="G236">
        <v>3.0937258601000019</v>
      </c>
      <c r="H236">
        <v>1.2297107747635201E-4</v>
      </c>
      <c r="I236">
        <v>-0.90201494047546127</v>
      </c>
      <c r="J236">
        <v>-1.1092174913003499E-4</v>
      </c>
      <c r="K236" s="96">
        <f t="shared" si="10"/>
        <v>0</v>
      </c>
      <c r="L236" s="96">
        <f t="shared" si="11"/>
        <v>0</v>
      </c>
      <c r="M236" s="96">
        <f t="shared" si="12"/>
        <v>1</v>
      </c>
    </row>
    <row r="237" spans="1:13" x14ac:dyDescent="0.45">
      <c r="A237">
        <v>1</v>
      </c>
      <c r="B237">
        <v>3</v>
      </c>
      <c r="C237">
        <v>3</v>
      </c>
      <c r="D237">
        <v>3</v>
      </c>
      <c r="E237">
        <v>1</v>
      </c>
      <c r="F237">
        <v>2</v>
      </c>
      <c r="G237">
        <v>3.442825948315388</v>
      </c>
      <c r="H237">
        <v>1.2297107747635201E-4</v>
      </c>
      <c r="I237">
        <v>-0.89157932628838255</v>
      </c>
      <c r="J237">
        <v>-1.0963847040932241E-4</v>
      </c>
      <c r="K237" s="96">
        <f t="shared" si="10"/>
        <v>0</v>
      </c>
      <c r="L237" s="96">
        <f t="shared" si="11"/>
        <v>0</v>
      </c>
      <c r="M237" s="96">
        <f t="shared" si="12"/>
        <v>1</v>
      </c>
    </row>
    <row r="238" spans="1:13" x14ac:dyDescent="0.45">
      <c r="A238">
        <v>1</v>
      </c>
      <c r="B238">
        <v>3</v>
      </c>
      <c r="C238">
        <v>3</v>
      </c>
      <c r="D238">
        <v>3</v>
      </c>
      <c r="E238">
        <v>1</v>
      </c>
      <c r="F238">
        <v>3</v>
      </c>
      <c r="G238">
        <v>3.7046510144769225</v>
      </c>
      <c r="H238">
        <v>3.1019731255295997E-5</v>
      </c>
      <c r="I238">
        <v>-0.88383192266913868</v>
      </c>
      <c r="J238">
        <v>-2.7416228716048237E-5</v>
      </c>
      <c r="K238" s="96">
        <f t="shared" si="10"/>
        <v>0</v>
      </c>
      <c r="L238" s="96">
        <f t="shared" si="11"/>
        <v>0</v>
      </c>
      <c r="M238" s="96">
        <f t="shared" si="12"/>
        <v>1</v>
      </c>
    </row>
    <row r="239" spans="1:13" x14ac:dyDescent="0.45">
      <c r="A239">
        <v>1</v>
      </c>
      <c r="B239">
        <v>3</v>
      </c>
      <c r="C239">
        <v>3</v>
      </c>
      <c r="D239">
        <v>3</v>
      </c>
      <c r="E239">
        <v>2</v>
      </c>
      <c r="F239">
        <v>1</v>
      </c>
      <c r="G239">
        <v>3.0937258601000019</v>
      </c>
      <c r="H239">
        <v>1.2297107747635201E-4</v>
      </c>
      <c r="I239">
        <v>-0.90201494047546127</v>
      </c>
      <c r="J239">
        <v>-1.1092174913003499E-4</v>
      </c>
      <c r="K239" s="96">
        <f t="shared" si="10"/>
        <v>0</v>
      </c>
      <c r="L239" s="96">
        <f t="shared" si="11"/>
        <v>0</v>
      </c>
      <c r="M239" s="96">
        <f t="shared" si="12"/>
        <v>1</v>
      </c>
    </row>
    <row r="240" spans="1:13" x14ac:dyDescent="0.45">
      <c r="A240">
        <v>1</v>
      </c>
      <c r="B240">
        <v>3</v>
      </c>
      <c r="C240">
        <v>3</v>
      </c>
      <c r="D240">
        <v>3</v>
      </c>
      <c r="E240">
        <v>2</v>
      </c>
      <c r="F240">
        <v>2</v>
      </c>
      <c r="G240">
        <v>3.442825948315388</v>
      </c>
      <c r="H240">
        <v>1.2297107747635201E-4</v>
      </c>
      <c r="I240">
        <v>-0.89157932628838255</v>
      </c>
      <c r="J240">
        <v>-1.0963847040932241E-4</v>
      </c>
      <c r="K240" s="96">
        <f t="shared" si="10"/>
        <v>0</v>
      </c>
      <c r="L240" s="96">
        <f t="shared" si="11"/>
        <v>0</v>
      </c>
      <c r="M240" s="96">
        <f t="shared" si="12"/>
        <v>1</v>
      </c>
    </row>
    <row r="241" spans="1:13" x14ac:dyDescent="0.45">
      <c r="A241">
        <v>1</v>
      </c>
      <c r="B241">
        <v>3</v>
      </c>
      <c r="C241">
        <v>3</v>
      </c>
      <c r="D241">
        <v>3</v>
      </c>
      <c r="E241">
        <v>2</v>
      </c>
      <c r="F241">
        <v>3</v>
      </c>
      <c r="G241">
        <v>3.7046510144769225</v>
      </c>
      <c r="H241">
        <v>3.1019731255295997E-5</v>
      </c>
      <c r="I241">
        <v>-0.88383192266913868</v>
      </c>
      <c r="J241">
        <v>-2.7416228716048237E-5</v>
      </c>
      <c r="K241" s="96">
        <f t="shared" si="10"/>
        <v>0</v>
      </c>
      <c r="L241" s="96">
        <f t="shared" si="11"/>
        <v>0</v>
      </c>
      <c r="M241" s="96">
        <f t="shared" si="12"/>
        <v>1</v>
      </c>
    </row>
    <row r="242" spans="1:13" x14ac:dyDescent="0.45">
      <c r="A242">
        <v>1</v>
      </c>
      <c r="B242">
        <v>3</v>
      </c>
      <c r="C242">
        <v>3</v>
      </c>
      <c r="D242">
        <v>3</v>
      </c>
      <c r="E242">
        <v>3</v>
      </c>
      <c r="F242">
        <v>1</v>
      </c>
      <c r="G242">
        <v>3.0937258601000019</v>
      </c>
      <c r="H242">
        <v>3.1019731255296003E-5</v>
      </c>
      <c r="I242">
        <v>-0.90201494047546127</v>
      </c>
      <c r="J242">
        <v>-2.7980261041810631E-5</v>
      </c>
      <c r="K242" s="96">
        <f t="shared" si="10"/>
        <v>0</v>
      </c>
      <c r="L242" s="96">
        <f t="shared" si="11"/>
        <v>0</v>
      </c>
      <c r="M242" s="96">
        <f t="shared" si="12"/>
        <v>1</v>
      </c>
    </row>
    <row r="243" spans="1:13" x14ac:dyDescent="0.45">
      <c r="A243">
        <v>1</v>
      </c>
      <c r="B243">
        <v>3</v>
      </c>
      <c r="C243">
        <v>3</v>
      </c>
      <c r="D243">
        <v>3</v>
      </c>
      <c r="E243">
        <v>3</v>
      </c>
      <c r="F243">
        <v>2</v>
      </c>
      <c r="G243">
        <v>3.442825948315388</v>
      </c>
      <c r="H243">
        <v>3.1019731255296003E-5</v>
      </c>
      <c r="I243">
        <v>-0.89157932628838255</v>
      </c>
      <c r="J243">
        <v>-2.7656551094243493E-5</v>
      </c>
      <c r="K243" s="96">
        <f t="shared" si="10"/>
        <v>0</v>
      </c>
      <c r="L243" s="96">
        <f t="shared" si="11"/>
        <v>0</v>
      </c>
      <c r="M243" s="96">
        <f t="shared" si="12"/>
        <v>1</v>
      </c>
    </row>
    <row r="244" spans="1:13" x14ac:dyDescent="0.45">
      <c r="A244">
        <v>1</v>
      </c>
      <c r="B244">
        <v>3</v>
      </c>
      <c r="C244">
        <v>3</v>
      </c>
      <c r="D244">
        <v>3</v>
      </c>
      <c r="E244">
        <v>3</v>
      </c>
      <c r="F244">
        <v>3</v>
      </c>
      <c r="G244">
        <v>3.7046510144769225</v>
      </c>
      <c r="H244">
        <v>7.8247970734080004E-6</v>
      </c>
      <c r="I244">
        <v>-0.88383192266913868</v>
      </c>
      <c r="J244">
        <v>-6.9158054418860427E-6</v>
      </c>
      <c r="K244" s="96">
        <f t="shared" si="10"/>
        <v>0</v>
      </c>
      <c r="L244" s="96">
        <f t="shared" si="11"/>
        <v>0</v>
      </c>
      <c r="M244" s="96">
        <f t="shared" si="12"/>
        <v>1</v>
      </c>
    </row>
    <row r="245" spans="1:13" x14ac:dyDescent="0.45">
      <c r="A245">
        <v>2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3.228512373710462</v>
      </c>
      <c r="H245">
        <v>7.6612180056514559E-3</v>
      </c>
      <c r="I245">
        <v>-0.89797138259351583</v>
      </c>
      <c r="J245">
        <v>-6.8795545248851757E-3</v>
      </c>
      <c r="K245" s="96">
        <f t="shared" si="10"/>
        <v>0</v>
      </c>
      <c r="L245" s="96">
        <f t="shared" si="11"/>
        <v>1</v>
      </c>
      <c r="M245" s="96">
        <f t="shared" si="12"/>
        <v>0</v>
      </c>
    </row>
    <row r="246" spans="1:13" x14ac:dyDescent="0.45">
      <c r="A246">
        <v>2</v>
      </c>
      <c r="B246">
        <v>1</v>
      </c>
      <c r="C246">
        <v>1</v>
      </c>
      <c r="D246">
        <v>1</v>
      </c>
      <c r="E246">
        <v>1</v>
      </c>
      <c r="F246">
        <v>2</v>
      </c>
      <c r="G246">
        <v>3.5914367197320454</v>
      </c>
      <c r="H246">
        <v>7.6612180056514559E-3</v>
      </c>
      <c r="I246">
        <v>-0.88717363779513447</v>
      </c>
      <c r="J246">
        <v>-6.7968306480153872E-3</v>
      </c>
      <c r="K246" s="96">
        <f t="shared" si="10"/>
        <v>0</v>
      </c>
      <c r="L246" s="96">
        <f t="shared" si="11"/>
        <v>1</v>
      </c>
      <c r="M246" s="96">
        <f t="shared" si="12"/>
        <v>0</v>
      </c>
    </row>
    <row r="247" spans="1:13" x14ac:dyDescent="0.45">
      <c r="A247">
        <v>2</v>
      </c>
      <c r="B247">
        <v>1</v>
      </c>
      <c r="C247">
        <v>1</v>
      </c>
      <c r="D247">
        <v>1</v>
      </c>
      <c r="E247">
        <v>1</v>
      </c>
      <c r="F247">
        <v>3</v>
      </c>
      <c r="G247">
        <v>3.8636299792482389</v>
      </c>
      <c r="H247">
        <v>1.932559496921088E-3</v>
      </c>
      <c r="I247">
        <v>-0.87916062144160689</v>
      </c>
      <c r="J247">
        <v>-1.6990302082860228E-3</v>
      </c>
      <c r="K247" s="96">
        <f t="shared" si="10"/>
        <v>0</v>
      </c>
      <c r="L247" s="96">
        <f t="shared" si="11"/>
        <v>1</v>
      </c>
      <c r="M247" s="96">
        <f t="shared" si="12"/>
        <v>0</v>
      </c>
    </row>
    <row r="248" spans="1:13" x14ac:dyDescent="0.45">
      <c r="A248">
        <v>2</v>
      </c>
      <c r="B248">
        <v>1</v>
      </c>
      <c r="C248">
        <v>1</v>
      </c>
      <c r="D248">
        <v>1</v>
      </c>
      <c r="E248">
        <v>2</v>
      </c>
      <c r="F248">
        <v>1</v>
      </c>
      <c r="G248">
        <v>3.228512373710462</v>
      </c>
      <c r="H248">
        <v>7.6612180056514559E-3</v>
      </c>
      <c r="I248">
        <v>-0.89797138259351583</v>
      </c>
      <c r="J248">
        <v>-6.8795545248851757E-3</v>
      </c>
      <c r="K248" s="96">
        <f t="shared" si="10"/>
        <v>0</v>
      </c>
      <c r="L248" s="96">
        <f t="shared" si="11"/>
        <v>1</v>
      </c>
      <c r="M248" s="96">
        <f t="shared" si="12"/>
        <v>0</v>
      </c>
    </row>
    <row r="249" spans="1:13" x14ac:dyDescent="0.45">
      <c r="A249">
        <v>2</v>
      </c>
      <c r="B249">
        <v>1</v>
      </c>
      <c r="C249">
        <v>1</v>
      </c>
      <c r="D249">
        <v>1</v>
      </c>
      <c r="E249">
        <v>2</v>
      </c>
      <c r="F249">
        <v>2</v>
      </c>
      <c r="G249">
        <v>3.5914367197320454</v>
      </c>
      <c r="H249">
        <v>7.6612180056514559E-3</v>
      </c>
      <c r="I249">
        <v>-0.88717363779513447</v>
      </c>
      <c r="J249">
        <v>-6.7968306480153872E-3</v>
      </c>
      <c r="K249" s="96">
        <f t="shared" si="10"/>
        <v>0</v>
      </c>
      <c r="L249" s="96">
        <f t="shared" si="11"/>
        <v>1</v>
      </c>
      <c r="M249" s="96">
        <f t="shared" si="12"/>
        <v>0</v>
      </c>
    </row>
    <row r="250" spans="1:13" x14ac:dyDescent="0.45">
      <c r="A250">
        <v>2</v>
      </c>
      <c r="B250">
        <v>1</v>
      </c>
      <c r="C250">
        <v>1</v>
      </c>
      <c r="D250">
        <v>1</v>
      </c>
      <c r="E250">
        <v>2</v>
      </c>
      <c r="F250">
        <v>3</v>
      </c>
      <c r="G250">
        <v>3.8636299792482389</v>
      </c>
      <c r="H250">
        <v>1.932559496921088E-3</v>
      </c>
      <c r="I250">
        <v>-0.87916062144160689</v>
      </c>
      <c r="J250">
        <v>-1.6990302082860228E-3</v>
      </c>
      <c r="K250" s="96">
        <f t="shared" si="10"/>
        <v>0</v>
      </c>
      <c r="L250" s="96">
        <f t="shared" si="11"/>
        <v>1</v>
      </c>
      <c r="M250" s="96">
        <f t="shared" si="12"/>
        <v>0</v>
      </c>
    </row>
    <row r="251" spans="1:13" x14ac:dyDescent="0.45">
      <c r="A251">
        <v>2</v>
      </c>
      <c r="B251">
        <v>1</v>
      </c>
      <c r="C251">
        <v>1</v>
      </c>
      <c r="D251">
        <v>1</v>
      </c>
      <c r="E251">
        <v>3</v>
      </c>
      <c r="F251">
        <v>1</v>
      </c>
      <c r="G251">
        <v>3.228512373710462</v>
      </c>
      <c r="H251">
        <v>1.932559496921088E-3</v>
      </c>
      <c r="I251">
        <v>-0.89797138259351583</v>
      </c>
      <c r="J251">
        <v>-1.7353831233944588E-3</v>
      </c>
      <c r="K251" s="96">
        <f t="shared" si="10"/>
        <v>0</v>
      </c>
      <c r="L251" s="96">
        <f t="shared" si="11"/>
        <v>1</v>
      </c>
      <c r="M251" s="96">
        <f t="shared" si="12"/>
        <v>0</v>
      </c>
    </row>
    <row r="252" spans="1:13" x14ac:dyDescent="0.45">
      <c r="A252">
        <v>2</v>
      </c>
      <c r="B252">
        <v>1</v>
      </c>
      <c r="C252">
        <v>1</v>
      </c>
      <c r="D252">
        <v>1</v>
      </c>
      <c r="E252">
        <v>3</v>
      </c>
      <c r="F252">
        <v>2</v>
      </c>
      <c r="G252">
        <v>3.5914367197320454</v>
      </c>
      <c r="H252">
        <v>1.932559496921088E-3</v>
      </c>
      <c r="I252">
        <v>-0.88717363779513447</v>
      </c>
      <c r="J252">
        <v>-1.7145158391390165E-3</v>
      </c>
      <c r="K252" s="96">
        <f t="shared" si="10"/>
        <v>0</v>
      </c>
      <c r="L252" s="96">
        <f t="shared" si="11"/>
        <v>1</v>
      </c>
      <c r="M252" s="96">
        <f t="shared" si="12"/>
        <v>0</v>
      </c>
    </row>
    <row r="253" spans="1:13" x14ac:dyDescent="0.45">
      <c r="A253">
        <v>2</v>
      </c>
      <c r="B253">
        <v>1</v>
      </c>
      <c r="C253">
        <v>1</v>
      </c>
      <c r="D253">
        <v>1</v>
      </c>
      <c r="E253">
        <v>3</v>
      </c>
      <c r="F253">
        <v>3</v>
      </c>
      <c r="G253">
        <v>3.8636299792482389</v>
      </c>
      <c r="H253">
        <v>4.8749248570982399E-4</v>
      </c>
      <c r="I253">
        <v>-0.87916062144160689</v>
      </c>
      <c r="J253">
        <v>-4.2858419668476253E-4</v>
      </c>
      <c r="K253" s="96">
        <f t="shared" si="10"/>
        <v>0</v>
      </c>
      <c r="L253" s="96">
        <f t="shared" si="11"/>
        <v>1</v>
      </c>
      <c r="M253" s="96">
        <f t="shared" si="12"/>
        <v>0</v>
      </c>
    </row>
    <row r="254" spans="1:13" x14ac:dyDescent="0.45">
      <c r="A254">
        <v>2</v>
      </c>
      <c r="B254">
        <v>1</v>
      </c>
      <c r="C254">
        <v>1</v>
      </c>
      <c r="D254">
        <v>2</v>
      </c>
      <c r="E254">
        <v>1</v>
      </c>
      <c r="F254">
        <v>1</v>
      </c>
      <c r="G254">
        <v>3.228512373710462</v>
      </c>
      <c r="H254">
        <v>7.6612180056514559E-3</v>
      </c>
      <c r="I254">
        <v>-0.89797138259351583</v>
      </c>
      <c r="J254">
        <v>-6.8795545248851757E-3</v>
      </c>
      <c r="K254" s="96">
        <f t="shared" si="10"/>
        <v>0</v>
      </c>
      <c r="L254" s="96">
        <f t="shared" si="11"/>
        <v>1</v>
      </c>
      <c r="M254" s="96">
        <f t="shared" si="12"/>
        <v>0</v>
      </c>
    </row>
    <row r="255" spans="1:13" x14ac:dyDescent="0.45">
      <c r="A255">
        <v>2</v>
      </c>
      <c r="B255">
        <v>1</v>
      </c>
      <c r="C255">
        <v>1</v>
      </c>
      <c r="D255">
        <v>2</v>
      </c>
      <c r="E255">
        <v>1</v>
      </c>
      <c r="F255">
        <v>2</v>
      </c>
      <c r="G255">
        <v>3.5914367197320454</v>
      </c>
      <c r="H255">
        <v>7.6612180056514559E-3</v>
      </c>
      <c r="I255">
        <v>-0.88717363779513447</v>
      </c>
      <c r="J255">
        <v>-6.7968306480153872E-3</v>
      </c>
      <c r="K255" s="96">
        <f t="shared" si="10"/>
        <v>0</v>
      </c>
      <c r="L255" s="96">
        <f t="shared" si="11"/>
        <v>1</v>
      </c>
      <c r="M255" s="96">
        <f t="shared" si="12"/>
        <v>0</v>
      </c>
    </row>
    <row r="256" spans="1:13" x14ac:dyDescent="0.45">
      <c r="A256">
        <v>2</v>
      </c>
      <c r="B256">
        <v>1</v>
      </c>
      <c r="C256">
        <v>1</v>
      </c>
      <c r="D256">
        <v>2</v>
      </c>
      <c r="E256">
        <v>1</v>
      </c>
      <c r="F256">
        <v>3</v>
      </c>
      <c r="G256">
        <v>3.8636299792482389</v>
      </c>
      <c r="H256">
        <v>1.932559496921088E-3</v>
      </c>
      <c r="I256">
        <v>-0.87916062144160689</v>
      </c>
      <c r="J256">
        <v>-1.6990302082860228E-3</v>
      </c>
      <c r="K256" s="96">
        <f t="shared" si="10"/>
        <v>0</v>
      </c>
      <c r="L256" s="96">
        <f t="shared" si="11"/>
        <v>1</v>
      </c>
      <c r="M256" s="96">
        <f t="shared" si="12"/>
        <v>0</v>
      </c>
    </row>
    <row r="257" spans="1:13" x14ac:dyDescent="0.45">
      <c r="A257">
        <v>2</v>
      </c>
      <c r="B257">
        <v>1</v>
      </c>
      <c r="C257">
        <v>1</v>
      </c>
      <c r="D257">
        <v>2</v>
      </c>
      <c r="E257">
        <v>2</v>
      </c>
      <c r="F257">
        <v>1</v>
      </c>
      <c r="G257">
        <v>3.228512373710462</v>
      </c>
      <c r="H257">
        <v>7.6612180056514559E-3</v>
      </c>
      <c r="I257">
        <v>-0.89797138259351583</v>
      </c>
      <c r="J257">
        <v>-6.8795545248851757E-3</v>
      </c>
      <c r="K257" s="96">
        <f t="shared" si="10"/>
        <v>0</v>
      </c>
      <c r="L257" s="96">
        <f t="shared" si="11"/>
        <v>1</v>
      </c>
      <c r="M257" s="96">
        <f t="shared" si="12"/>
        <v>0</v>
      </c>
    </row>
    <row r="258" spans="1:13" x14ac:dyDescent="0.45">
      <c r="A258">
        <v>2</v>
      </c>
      <c r="B258">
        <v>1</v>
      </c>
      <c r="C258">
        <v>1</v>
      </c>
      <c r="D258">
        <v>2</v>
      </c>
      <c r="E258">
        <v>2</v>
      </c>
      <c r="F258">
        <v>2</v>
      </c>
      <c r="G258">
        <v>3.5914367197320454</v>
      </c>
      <c r="H258">
        <v>7.6612180056514559E-3</v>
      </c>
      <c r="I258">
        <v>-0.88717363779513447</v>
      </c>
      <c r="J258">
        <v>-6.7968306480153872E-3</v>
      </c>
      <c r="K258" s="96">
        <f t="shared" si="10"/>
        <v>0</v>
      </c>
      <c r="L258" s="96">
        <f t="shared" si="11"/>
        <v>1</v>
      </c>
      <c r="M258" s="96">
        <f t="shared" si="12"/>
        <v>0</v>
      </c>
    </row>
    <row r="259" spans="1:13" x14ac:dyDescent="0.45">
      <c r="A259">
        <v>2</v>
      </c>
      <c r="B259">
        <v>1</v>
      </c>
      <c r="C259">
        <v>1</v>
      </c>
      <c r="D259">
        <v>2</v>
      </c>
      <c r="E259">
        <v>2</v>
      </c>
      <c r="F259">
        <v>3</v>
      </c>
      <c r="G259">
        <v>3.8636299792482389</v>
      </c>
      <c r="H259">
        <v>1.932559496921088E-3</v>
      </c>
      <c r="I259">
        <v>-0.87916062144160689</v>
      </c>
      <c r="J259">
        <v>-1.6990302082860228E-3</v>
      </c>
      <c r="K259" s="96">
        <f t="shared" ref="K259:K322" si="13">IF(A259=3,1,0)</f>
        <v>0</v>
      </c>
      <c r="L259" s="96">
        <f t="shared" ref="L259:L322" si="14">IF(A259=2,1,0)</f>
        <v>1</v>
      </c>
      <c r="M259" s="96">
        <f t="shared" ref="M259:M322" si="15">IF(A259=1,1,0)</f>
        <v>0</v>
      </c>
    </row>
    <row r="260" spans="1:13" x14ac:dyDescent="0.45">
      <c r="A260">
        <v>2</v>
      </c>
      <c r="B260">
        <v>1</v>
      </c>
      <c r="C260">
        <v>1</v>
      </c>
      <c r="D260">
        <v>2</v>
      </c>
      <c r="E260">
        <v>3</v>
      </c>
      <c r="F260">
        <v>1</v>
      </c>
      <c r="G260">
        <v>3.228512373710462</v>
      </c>
      <c r="H260">
        <v>1.932559496921088E-3</v>
      </c>
      <c r="I260">
        <v>-0.89797138259351583</v>
      </c>
      <c r="J260">
        <v>-1.7353831233944588E-3</v>
      </c>
      <c r="K260" s="96">
        <f t="shared" si="13"/>
        <v>0</v>
      </c>
      <c r="L260" s="96">
        <f t="shared" si="14"/>
        <v>1</v>
      </c>
      <c r="M260" s="96">
        <f t="shared" si="15"/>
        <v>0</v>
      </c>
    </row>
    <row r="261" spans="1:13" x14ac:dyDescent="0.45">
      <c r="A261">
        <v>2</v>
      </c>
      <c r="B261">
        <v>1</v>
      </c>
      <c r="C261">
        <v>1</v>
      </c>
      <c r="D261">
        <v>2</v>
      </c>
      <c r="E261">
        <v>3</v>
      </c>
      <c r="F261">
        <v>2</v>
      </c>
      <c r="G261">
        <v>3.5914367197320454</v>
      </c>
      <c r="H261">
        <v>1.932559496921088E-3</v>
      </c>
      <c r="I261">
        <v>-0.88717363779513447</v>
      </c>
      <c r="J261">
        <v>-1.7145158391390165E-3</v>
      </c>
      <c r="K261" s="96">
        <f t="shared" si="13"/>
        <v>0</v>
      </c>
      <c r="L261" s="96">
        <f t="shared" si="14"/>
        <v>1</v>
      </c>
      <c r="M261" s="96">
        <f t="shared" si="15"/>
        <v>0</v>
      </c>
    </row>
    <row r="262" spans="1:13" x14ac:dyDescent="0.45">
      <c r="A262">
        <v>2</v>
      </c>
      <c r="B262">
        <v>1</v>
      </c>
      <c r="C262">
        <v>1</v>
      </c>
      <c r="D262">
        <v>2</v>
      </c>
      <c r="E262">
        <v>3</v>
      </c>
      <c r="F262">
        <v>3</v>
      </c>
      <c r="G262">
        <v>3.8636299792482389</v>
      </c>
      <c r="H262">
        <v>4.8749248570982399E-4</v>
      </c>
      <c r="I262">
        <v>-0.87916062144160689</v>
      </c>
      <c r="J262">
        <v>-4.2858419668476253E-4</v>
      </c>
      <c r="K262" s="96">
        <f t="shared" si="13"/>
        <v>0</v>
      </c>
      <c r="L262" s="96">
        <f t="shared" si="14"/>
        <v>1</v>
      </c>
      <c r="M262" s="96">
        <f t="shared" si="15"/>
        <v>0</v>
      </c>
    </row>
    <row r="263" spans="1:13" x14ac:dyDescent="0.45">
      <c r="A263">
        <v>2</v>
      </c>
      <c r="B263">
        <v>1</v>
      </c>
      <c r="C263">
        <v>1</v>
      </c>
      <c r="D263">
        <v>3</v>
      </c>
      <c r="E263">
        <v>1</v>
      </c>
      <c r="F263">
        <v>1</v>
      </c>
      <c r="G263">
        <v>3.228512373710462</v>
      </c>
      <c r="H263">
        <v>1.932559496921088E-3</v>
      </c>
      <c r="I263">
        <v>-0.89797138259351583</v>
      </c>
      <c r="J263">
        <v>-1.7353831233944588E-3</v>
      </c>
      <c r="K263" s="96">
        <f t="shared" si="13"/>
        <v>0</v>
      </c>
      <c r="L263" s="96">
        <f t="shared" si="14"/>
        <v>1</v>
      </c>
      <c r="M263" s="96">
        <f t="shared" si="15"/>
        <v>0</v>
      </c>
    </row>
    <row r="264" spans="1:13" x14ac:dyDescent="0.45">
      <c r="A264">
        <v>2</v>
      </c>
      <c r="B264">
        <v>1</v>
      </c>
      <c r="C264">
        <v>1</v>
      </c>
      <c r="D264">
        <v>3</v>
      </c>
      <c r="E264">
        <v>1</v>
      </c>
      <c r="F264">
        <v>2</v>
      </c>
      <c r="G264">
        <v>3.5914367197320454</v>
      </c>
      <c r="H264">
        <v>1.932559496921088E-3</v>
      </c>
      <c r="I264">
        <v>-0.88717363779513447</v>
      </c>
      <c r="J264">
        <v>-1.7145158391390165E-3</v>
      </c>
      <c r="K264" s="96">
        <f t="shared" si="13"/>
        <v>0</v>
      </c>
      <c r="L264" s="96">
        <f t="shared" si="14"/>
        <v>1</v>
      </c>
      <c r="M264" s="96">
        <f t="shared" si="15"/>
        <v>0</v>
      </c>
    </row>
    <row r="265" spans="1:13" x14ac:dyDescent="0.45">
      <c r="A265">
        <v>2</v>
      </c>
      <c r="B265">
        <v>1</v>
      </c>
      <c r="C265">
        <v>1</v>
      </c>
      <c r="D265">
        <v>3</v>
      </c>
      <c r="E265">
        <v>1</v>
      </c>
      <c r="F265">
        <v>3</v>
      </c>
      <c r="G265">
        <v>3.8636299792482389</v>
      </c>
      <c r="H265">
        <v>4.8749248570982399E-4</v>
      </c>
      <c r="I265">
        <v>-0.87916062144160689</v>
      </c>
      <c r="J265">
        <v>-4.2858419668476253E-4</v>
      </c>
      <c r="K265" s="96">
        <f t="shared" si="13"/>
        <v>0</v>
      </c>
      <c r="L265" s="96">
        <f t="shared" si="14"/>
        <v>1</v>
      </c>
      <c r="M265" s="96">
        <f t="shared" si="15"/>
        <v>0</v>
      </c>
    </row>
    <row r="266" spans="1:13" x14ac:dyDescent="0.45">
      <c r="A266">
        <v>2</v>
      </c>
      <c r="B266">
        <v>1</v>
      </c>
      <c r="C266">
        <v>1</v>
      </c>
      <c r="D266">
        <v>3</v>
      </c>
      <c r="E266">
        <v>2</v>
      </c>
      <c r="F266">
        <v>1</v>
      </c>
      <c r="G266">
        <v>3.228512373710462</v>
      </c>
      <c r="H266">
        <v>1.932559496921088E-3</v>
      </c>
      <c r="I266">
        <v>-0.89797138259351583</v>
      </c>
      <c r="J266">
        <v>-1.7353831233944588E-3</v>
      </c>
      <c r="K266" s="96">
        <f t="shared" si="13"/>
        <v>0</v>
      </c>
      <c r="L266" s="96">
        <f t="shared" si="14"/>
        <v>1</v>
      </c>
      <c r="M266" s="96">
        <f t="shared" si="15"/>
        <v>0</v>
      </c>
    </row>
    <row r="267" spans="1:13" x14ac:dyDescent="0.45">
      <c r="A267">
        <v>2</v>
      </c>
      <c r="B267">
        <v>1</v>
      </c>
      <c r="C267">
        <v>1</v>
      </c>
      <c r="D267">
        <v>3</v>
      </c>
      <c r="E267">
        <v>2</v>
      </c>
      <c r="F267">
        <v>2</v>
      </c>
      <c r="G267">
        <v>3.5914367197320454</v>
      </c>
      <c r="H267">
        <v>1.932559496921088E-3</v>
      </c>
      <c r="I267">
        <v>-0.88717363779513447</v>
      </c>
      <c r="J267">
        <v>-1.7145158391390165E-3</v>
      </c>
      <c r="K267" s="96">
        <f t="shared" si="13"/>
        <v>0</v>
      </c>
      <c r="L267" s="96">
        <f t="shared" si="14"/>
        <v>1</v>
      </c>
      <c r="M267" s="96">
        <f t="shared" si="15"/>
        <v>0</v>
      </c>
    </row>
    <row r="268" spans="1:13" x14ac:dyDescent="0.45">
      <c r="A268">
        <v>2</v>
      </c>
      <c r="B268">
        <v>1</v>
      </c>
      <c r="C268">
        <v>1</v>
      </c>
      <c r="D268">
        <v>3</v>
      </c>
      <c r="E268">
        <v>2</v>
      </c>
      <c r="F268">
        <v>3</v>
      </c>
      <c r="G268">
        <v>3.8636299792482389</v>
      </c>
      <c r="H268">
        <v>4.8749248570982399E-4</v>
      </c>
      <c r="I268">
        <v>-0.87916062144160689</v>
      </c>
      <c r="J268">
        <v>-4.2858419668476253E-4</v>
      </c>
      <c r="K268" s="96">
        <f t="shared" si="13"/>
        <v>0</v>
      </c>
      <c r="L268" s="96">
        <f t="shared" si="14"/>
        <v>1</v>
      </c>
      <c r="M268" s="96">
        <f t="shared" si="15"/>
        <v>0</v>
      </c>
    </row>
    <row r="269" spans="1:13" x14ac:dyDescent="0.45">
      <c r="A269">
        <v>2</v>
      </c>
      <c r="B269">
        <v>1</v>
      </c>
      <c r="C269">
        <v>1</v>
      </c>
      <c r="D269">
        <v>3</v>
      </c>
      <c r="E269">
        <v>3</v>
      </c>
      <c r="F269">
        <v>1</v>
      </c>
      <c r="G269">
        <v>3.228512373710462</v>
      </c>
      <c r="H269">
        <v>4.8749248570982405E-4</v>
      </c>
      <c r="I269">
        <v>-0.89797138259351583</v>
      </c>
      <c r="J269">
        <v>-4.3775430139680047E-4</v>
      </c>
      <c r="K269" s="96">
        <f t="shared" si="13"/>
        <v>0</v>
      </c>
      <c r="L269" s="96">
        <f t="shared" si="14"/>
        <v>1</v>
      </c>
      <c r="M269" s="96">
        <f t="shared" si="15"/>
        <v>0</v>
      </c>
    </row>
    <row r="270" spans="1:13" x14ac:dyDescent="0.45">
      <c r="A270">
        <v>2</v>
      </c>
      <c r="B270">
        <v>1</v>
      </c>
      <c r="C270">
        <v>1</v>
      </c>
      <c r="D270">
        <v>3</v>
      </c>
      <c r="E270">
        <v>3</v>
      </c>
      <c r="F270">
        <v>2</v>
      </c>
      <c r="G270">
        <v>3.5914367197320454</v>
      </c>
      <c r="H270">
        <v>4.8749248570982405E-4</v>
      </c>
      <c r="I270">
        <v>-0.88717363779513447</v>
      </c>
      <c r="J270">
        <v>-4.324904819449772E-4</v>
      </c>
      <c r="K270" s="96">
        <f t="shared" si="13"/>
        <v>0</v>
      </c>
      <c r="L270" s="96">
        <f t="shared" si="14"/>
        <v>1</v>
      </c>
      <c r="M270" s="96">
        <f t="shared" si="15"/>
        <v>0</v>
      </c>
    </row>
    <row r="271" spans="1:13" x14ac:dyDescent="0.45">
      <c r="A271">
        <v>2</v>
      </c>
      <c r="B271">
        <v>1</v>
      </c>
      <c r="C271">
        <v>1</v>
      </c>
      <c r="D271">
        <v>3</v>
      </c>
      <c r="E271">
        <v>3</v>
      </c>
      <c r="F271">
        <v>3</v>
      </c>
      <c r="G271">
        <v>3.8636299792482389</v>
      </c>
      <c r="H271">
        <v>1.2297107747635201E-4</v>
      </c>
      <c r="I271">
        <v>-0.87916062144160689</v>
      </c>
      <c r="J271">
        <v>-1.0811132889345362E-4</v>
      </c>
      <c r="K271" s="96">
        <f t="shared" si="13"/>
        <v>0</v>
      </c>
      <c r="L271" s="96">
        <f t="shared" si="14"/>
        <v>1</v>
      </c>
      <c r="M271" s="96">
        <f t="shared" si="15"/>
        <v>0</v>
      </c>
    </row>
    <row r="272" spans="1:13" x14ac:dyDescent="0.45">
      <c r="A272">
        <v>2</v>
      </c>
      <c r="B272">
        <v>1</v>
      </c>
      <c r="C272">
        <v>2</v>
      </c>
      <c r="D272">
        <v>1</v>
      </c>
      <c r="E272">
        <v>1</v>
      </c>
      <c r="F272">
        <v>1</v>
      </c>
      <c r="G272">
        <v>4.0450921522590324</v>
      </c>
      <c r="H272">
        <v>7.6612180056514559E-3</v>
      </c>
      <c r="I272">
        <v>-0.87385885886921311</v>
      </c>
      <c r="J272">
        <v>-6.6948232239668502E-3</v>
      </c>
      <c r="K272" s="96">
        <f t="shared" si="13"/>
        <v>0</v>
      </c>
      <c r="L272" s="96">
        <f t="shared" si="14"/>
        <v>1</v>
      </c>
      <c r="M272" s="96">
        <f t="shared" si="15"/>
        <v>0</v>
      </c>
    </row>
    <row r="273" spans="1:13" x14ac:dyDescent="0.45">
      <c r="A273">
        <v>2</v>
      </c>
      <c r="B273">
        <v>1</v>
      </c>
      <c r="C273">
        <v>2</v>
      </c>
      <c r="D273">
        <v>1</v>
      </c>
      <c r="E273">
        <v>1</v>
      </c>
      <c r="F273">
        <v>2</v>
      </c>
      <c r="G273">
        <v>4.4917682704394455</v>
      </c>
      <c r="H273">
        <v>7.6612180056514559E-3</v>
      </c>
      <c r="I273">
        <v>-0.86094417933930245</v>
      </c>
      <c r="J273">
        <v>-6.5958810486150803E-3</v>
      </c>
      <c r="K273" s="96">
        <f t="shared" si="13"/>
        <v>0</v>
      </c>
      <c r="L273" s="96">
        <f t="shared" si="14"/>
        <v>1</v>
      </c>
      <c r="M273" s="96">
        <f t="shared" si="15"/>
        <v>0</v>
      </c>
    </row>
    <row r="274" spans="1:13" x14ac:dyDescent="0.45">
      <c r="A274">
        <v>2</v>
      </c>
      <c r="B274">
        <v>1</v>
      </c>
      <c r="C274">
        <v>2</v>
      </c>
      <c r="D274">
        <v>1</v>
      </c>
      <c r="E274">
        <v>1</v>
      </c>
      <c r="F274">
        <v>3</v>
      </c>
      <c r="G274">
        <v>4.8267753590747491</v>
      </c>
      <c r="H274">
        <v>1.932559496921088E-3</v>
      </c>
      <c r="I274">
        <v>-0.85138357973349854</v>
      </c>
      <c r="J274">
        <v>-1.6453494225366449E-3</v>
      </c>
      <c r="K274" s="96">
        <f t="shared" si="13"/>
        <v>0</v>
      </c>
      <c r="L274" s="96">
        <f t="shared" si="14"/>
        <v>1</v>
      </c>
      <c r="M274" s="96">
        <f t="shared" si="15"/>
        <v>0</v>
      </c>
    </row>
    <row r="275" spans="1:13" x14ac:dyDescent="0.45">
      <c r="A275">
        <v>2</v>
      </c>
      <c r="B275">
        <v>1</v>
      </c>
      <c r="C275">
        <v>2</v>
      </c>
      <c r="D275">
        <v>1</v>
      </c>
      <c r="E275">
        <v>2</v>
      </c>
      <c r="F275">
        <v>1</v>
      </c>
      <c r="G275">
        <v>4.0450921522590324</v>
      </c>
      <c r="H275">
        <v>7.6612180056514559E-3</v>
      </c>
      <c r="I275">
        <v>-0.87385885886921311</v>
      </c>
      <c r="J275">
        <v>-6.6948232239668502E-3</v>
      </c>
      <c r="K275" s="96">
        <f t="shared" si="13"/>
        <v>0</v>
      </c>
      <c r="L275" s="96">
        <f t="shared" si="14"/>
        <v>1</v>
      </c>
      <c r="M275" s="96">
        <f t="shared" si="15"/>
        <v>0</v>
      </c>
    </row>
    <row r="276" spans="1:13" x14ac:dyDescent="0.45">
      <c r="A276">
        <v>2</v>
      </c>
      <c r="B276">
        <v>1</v>
      </c>
      <c r="C276">
        <v>2</v>
      </c>
      <c r="D276">
        <v>1</v>
      </c>
      <c r="E276">
        <v>2</v>
      </c>
      <c r="F276">
        <v>2</v>
      </c>
      <c r="G276">
        <v>4.4917682704394455</v>
      </c>
      <c r="H276">
        <v>7.6612180056514559E-3</v>
      </c>
      <c r="I276">
        <v>-0.86094417933930245</v>
      </c>
      <c r="J276">
        <v>-6.5958810486150803E-3</v>
      </c>
      <c r="K276" s="96">
        <f t="shared" si="13"/>
        <v>0</v>
      </c>
      <c r="L276" s="96">
        <f t="shared" si="14"/>
        <v>1</v>
      </c>
      <c r="M276" s="96">
        <f t="shared" si="15"/>
        <v>0</v>
      </c>
    </row>
    <row r="277" spans="1:13" x14ac:dyDescent="0.45">
      <c r="A277">
        <v>2</v>
      </c>
      <c r="B277">
        <v>1</v>
      </c>
      <c r="C277">
        <v>2</v>
      </c>
      <c r="D277">
        <v>1</v>
      </c>
      <c r="E277">
        <v>2</v>
      </c>
      <c r="F277">
        <v>3</v>
      </c>
      <c r="G277">
        <v>4.8267753590747491</v>
      </c>
      <c r="H277">
        <v>1.932559496921088E-3</v>
      </c>
      <c r="I277">
        <v>-0.85138357973349854</v>
      </c>
      <c r="J277">
        <v>-1.6453494225366449E-3</v>
      </c>
      <c r="K277" s="96">
        <f t="shared" si="13"/>
        <v>0</v>
      </c>
      <c r="L277" s="96">
        <f t="shared" si="14"/>
        <v>1</v>
      </c>
      <c r="M277" s="96">
        <f t="shared" si="15"/>
        <v>0</v>
      </c>
    </row>
    <row r="278" spans="1:13" x14ac:dyDescent="0.45">
      <c r="A278">
        <v>2</v>
      </c>
      <c r="B278">
        <v>1</v>
      </c>
      <c r="C278">
        <v>2</v>
      </c>
      <c r="D278">
        <v>1</v>
      </c>
      <c r="E278">
        <v>3</v>
      </c>
      <c r="F278">
        <v>1</v>
      </c>
      <c r="G278">
        <v>4.0450921522590324</v>
      </c>
      <c r="H278">
        <v>1.932559496921088E-3</v>
      </c>
      <c r="I278">
        <v>-0.87385885886921311</v>
      </c>
      <c r="J278">
        <v>-1.6887842366763225E-3</v>
      </c>
      <c r="K278" s="96">
        <f t="shared" si="13"/>
        <v>0</v>
      </c>
      <c r="L278" s="96">
        <f t="shared" si="14"/>
        <v>1</v>
      </c>
      <c r="M278" s="96">
        <f t="shared" si="15"/>
        <v>0</v>
      </c>
    </row>
    <row r="279" spans="1:13" x14ac:dyDescent="0.45">
      <c r="A279">
        <v>2</v>
      </c>
      <c r="B279">
        <v>1</v>
      </c>
      <c r="C279">
        <v>2</v>
      </c>
      <c r="D279">
        <v>1</v>
      </c>
      <c r="E279">
        <v>3</v>
      </c>
      <c r="F279">
        <v>2</v>
      </c>
      <c r="G279">
        <v>4.4917682704394455</v>
      </c>
      <c r="H279">
        <v>1.932559496921088E-3</v>
      </c>
      <c r="I279">
        <v>-0.86094417933930245</v>
      </c>
      <c r="J279">
        <v>-1.6638258501011013E-3</v>
      </c>
      <c r="K279" s="96">
        <f t="shared" si="13"/>
        <v>0</v>
      </c>
      <c r="L279" s="96">
        <f t="shared" si="14"/>
        <v>1</v>
      </c>
      <c r="M279" s="96">
        <f t="shared" si="15"/>
        <v>0</v>
      </c>
    </row>
    <row r="280" spans="1:13" x14ac:dyDescent="0.45">
      <c r="A280">
        <v>2</v>
      </c>
      <c r="B280">
        <v>1</v>
      </c>
      <c r="C280">
        <v>2</v>
      </c>
      <c r="D280">
        <v>1</v>
      </c>
      <c r="E280">
        <v>3</v>
      </c>
      <c r="F280">
        <v>3</v>
      </c>
      <c r="G280">
        <v>4.8267753590747491</v>
      </c>
      <c r="H280">
        <v>4.8749248570982399E-4</v>
      </c>
      <c r="I280">
        <v>-0.85138357973349854</v>
      </c>
      <c r="J280">
        <v>-4.1504309757681135E-4</v>
      </c>
      <c r="K280" s="96">
        <f t="shared" si="13"/>
        <v>0</v>
      </c>
      <c r="L280" s="96">
        <f t="shared" si="14"/>
        <v>1</v>
      </c>
      <c r="M280" s="96">
        <f t="shared" si="15"/>
        <v>0</v>
      </c>
    </row>
    <row r="281" spans="1:13" x14ac:dyDescent="0.45">
      <c r="A281">
        <v>2</v>
      </c>
      <c r="B281">
        <v>1</v>
      </c>
      <c r="C281">
        <v>2</v>
      </c>
      <c r="D281">
        <v>2</v>
      </c>
      <c r="E281">
        <v>1</v>
      </c>
      <c r="F281">
        <v>1</v>
      </c>
      <c r="G281">
        <v>4.0450921522590324</v>
      </c>
      <c r="H281">
        <v>7.6612180056514559E-3</v>
      </c>
      <c r="I281">
        <v>-0.87385885886921311</v>
      </c>
      <c r="J281">
        <v>-6.6948232239668502E-3</v>
      </c>
      <c r="K281" s="96">
        <f t="shared" si="13"/>
        <v>0</v>
      </c>
      <c r="L281" s="96">
        <f t="shared" si="14"/>
        <v>1</v>
      </c>
      <c r="M281" s="96">
        <f t="shared" si="15"/>
        <v>0</v>
      </c>
    </row>
    <row r="282" spans="1:13" x14ac:dyDescent="0.45">
      <c r="A282">
        <v>2</v>
      </c>
      <c r="B282">
        <v>1</v>
      </c>
      <c r="C282">
        <v>2</v>
      </c>
      <c r="D282">
        <v>2</v>
      </c>
      <c r="E282">
        <v>1</v>
      </c>
      <c r="F282">
        <v>2</v>
      </c>
      <c r="G282">
        <v>4.4917682704394455</v>
      </c>
      <c r="H282">
        <v>7.6612180056514559E-3</v>
      </c>
      <c r="I282">
        <v>-0.86094417933930245</v>
      </c>
      <c r="J282">
        <v>-6.5958810486150803E-3</v>
      </c>
      <c r="K282" s="96">
        <f t="shared" si="13"/>
        <v>0</v>
      </c>
      <c r="L282" s="96">
        <f t="shared" si="14"/>
        <v>1</v>
      </c>
      <c r="M282" s="96">
        <f t="shared" si="15"/>
        <v>0</v>
      </c>
    </row>
    <row r="283" spans="1:13" x14ac:dyDescent="0.45">
      <c r="A283">
        <v>2</v>
      </c>
      <c r="B283">
        <v>1</v>
      </c>
      <c r="C283">
        <v>2</v>
      </c>
      <c r="D283">
        <v>2</v>
      </c>
      <c r="E283">
        <v>1</v>
      </c>
      <c r="F283">
        <v>3</v>
      </c>
      <c r="G283">
        <v>4.8267753590747491</v>
      </c>
      <c r="H283">
        <v>1.932559496921088E-3</v>
      </c>
      <c r="I283">
        <v>-0.85138357973349854</v>
      </c>
      <c r="J283">
        <v>-1.6453494225366449E-3</v>
      </c>
      <c r="K283" s="96">
        <f t="shared" si="13"/>
        <v>0</v>
      </c>
      <c r="L283" s="96">
        <f t="shared" si="14"/>
        <v>1</v>
      </c>
      <c r="M283" s="96">
        <f t="shared" si="15"/>
        <v>0</v>
      </c>
    </row>
    <row r="284" spans="1:13" x14ac:dyDescent="0.45">
      <c r="A284">
        <v>2</v>
      </c>
      <c r="B284">
        <v>1</v>
      </c>
      <c r="C284">
        <v>2</v>
      </c>
      <c r="D284">
        <v>2</v>
      </c>
      <c r="E284">
        <v>2</v>
      </c>
      <c r="F284">
        <v>1</v>
      </c>
      <c r="G284">
        <v>4.0450921522590324</v>
      </c>
      <c r="H284">
        <v>7.6612180056514559E-3</v>
      </c>
      <c r="I284">
        <v>-0.87385885886921311</v>
      </c>
      <c r="J284">
        <v>-6.6948232239668502E-3</v>
      </c>
      <c r="K284" s="96">
        <f t="shared" si="13"/>
        <v>0</v>
      </c>
      <c r="L284" s="96">
        <f t="shared" si="14"/>
        <v>1</v>
      </c>
      <c r="M284" s="96">
        <f t="shared" si="15"/>
        <v>0</v>
      </c>
    </row>
    <row r="285" spans="1:13" x14ac:dyDescent="0.45">
      <c r="A285">
        <v>2</v>
      </c>
      <c r="B285">
        <v>1</v>
      </c>
      <c r="C285">
        <v>2</v>
      </c>
      <c r="D285">
        <v>2</v>
      </c>
      <c r="E285">
        <v>2</v>
      </c>
      <c r="F285">
        <v>2</v>
      </c>
      <c r="G285">
        <v>4.4917682704394455</v>
      </c>
      <c r="H285">
        <v>7.6612180056514559E-3</v>
      </c>
      <c r="I285">
        <v>-0.86094417933930245</v>
      </c>
      <c r="J285">
        <v>-6.5958810486150803E-3</v>
      </c>
      <c r="K285" s="96">
        <f t="shared" si="13"/>
        <v>0</v>
      </c>
      <c r="L285" s="96">
        <f t="shared" si="14"/>
        <v>1</v>
      </c>
      <c r="M285" s="96">
        <f t="shared" si="15"/>
        <v>0</v>
      </c>
    </row>
    <row r="286" spans="1:13" x14ac:dyDescent="0.45">
      <c r="A286">
        <v>2</v>
      </c>
      <c r="B286">
        <v>1</v>
      </c>
      <c r="C286">
        <v>2</v>
      </c>
      <c r="D286">
        <v>2</v>
      </c>
      <c r="E286">
        <v>2</v>
      </c>
      <c r="F286">
        <v>3</v>
      </c>
      <c r="G286">
        <v>4.8267753590747491</v>
      </c>
      <c r="H286">
        <v>1.932559496921088E-3</v>
      </c>
      <c r="I286">
        <v>-0.85138357973349854</v>
      </c>
      <c r="J286">
        <v>-1.6453494225366449E-3</v>
      </c>
      <c r="K286" s="96">
        <f t="shared" si="13"/>
        <v>0</v>
      </c>
      <c r="L286" s="96">
        <f t="shared" si="14"/>
        <v>1</v>
      </c>
      <c r="M286" s="96">
        <f t="shared" si="15"/>
        <v>0</v>
      </c>
    </row>
    <row r="287" spans="1:13" x14ac:dyDescent="0.45">
      <c r="A287">
        <v>2</v>
      </c>
      <c r="B287">
        <v>1</v>
      </c>
      <c r="C287">
        <v>2</v>
      </c>
      <c r="D287">
        <v>2</v>
      </c>
      <c r="E287">
        <v>3</v>
      </c>
      <c r="F287">
        <v>1</v>
      </c>
      <c r="G287">
        <v>4.0450921522590324</v>
      </c>
      <c r="H287">
        <v>1.932559496921088E-3</v>
      </c>
      <c r="I287">
        <v>-0.87385885886921311</v>
      </c>
      <c r="J287">
        <v>-1.6887842366763225E-3</v>
      </c>
      <c r="K287" s="96">
        <f t="shared" si="13"/>
        <v>0</v>
      </c>
      <c r="L287" s="96">
        <f t="shared" si="14"/>
        <v>1</v>
      </c>
      <c r="M287" s="96">
        <f t="shared" si="15"/>
        <v>0</v>
      </c>
    </row>
    <row r="288" spans="1:13" x14ac:dyDescent="0.45">
      <c r="A288">
        <v>2</v>
      </c>
      <c r="B288">
        <v>1</v>
      </c>
      <c r="C288">
        <v>2</v>
      </c>
      <c r="D288">
        <v>2</v>
      </c>
      <c r="E288">
        <v>3</v>
      </c>
      <c r="F288">
        <v>2</v>
      </c>
      <c r="G288">
        <v>4.4917682704394455</v>
      </c>
      <c r="H288">
        <v>1.932559496921088E-3</v>
      </c>
      <c r="I288">
        <v>-0.86094417933930245</v>
      </c>
      <c r="J288">
        <v>-1.6638258501011013E-3</v>
      </c>
      <c r="K288" s="96">
        <f t="shared" si="13"/>
        <v>0</v>
      </c>
      <c r="L288" s="96">
        <f t="shared" si="14"/>
        <v>1</v>
      </c>
      <c r="M288" s="96">
        <f t="shared" si="15"/>
        <v>0</v>
      </c>
    </row>
    <row r="289" spans="1:13" x14ac:dyDescent="0.45">
      <c r="A289">
        <v>2</v>
      </c>
      <c r="B289">
        <v>1</v>
      </c>
      <c r="C289">
        <v>2</v>
      </c>
      <c r="D289">
        <v>2</v>
      </c>
      <c r="E289">
        <v>3</v>
      </c>
      <c r="F289">
        <v>3</v>
      </c>
      <c r="G289">
        <v>4.8267753590747491</v>
      </c>
      <c r="H289">
        <v>4.8749248570982399E-4</v>
      </c>
      <c r="I289">
        <v>-0.85138357973349854</v>
      </c>
      <c r="J289">
        <v>-4.1504309757681135E-4</v>
      </c>
      <c r="K289" s="96">
        <f t="shared" si="13"/>
        <v>0</v>
      </c>
      <c r="L289" s="96">
        <f t="shared" si="14"/>
        <v>1</v>
      </c>
      <c r="M289" s="96">
        <f t="shared" si="15"/>
        <v>0</v>
      </c>
    </row>
    <row r="290" spans="1:13" x14ac:dyDescent="0.45">
      <c r="A290">
        <v>2</v>
      </c>
      <c r="B290">
        <v>1</v>
      </c>
      <c r="C290">
        <v>2</v>
      </c>
      <c r="D290">
        <v>3</v>
      </c>
      <c r="E290">
        <v>1</v>
      </c>
      <c r="F290">
        <v>1</v>
      </c>
      <c r="G290">
        <v>4.0450921522590324</v>
      </c>
      <c r="H290">
        <v>1.932559496921088E-3</v>
      </c>
      <c r="I290">
        <v>-0.87385885886921311</v>
      </c>
      <c r="J290">
        <v>-1.6887842366763225E-3</v>
      </c>
      <c r="K290" s="96">
        <f t="shared" si="13"/>
        <v>0</v>
      </c>
      <c r="L290" s="96">
        <f t="shared" si="14"/>
        <v>1</v>
      </c>
      <c r="M290" s="96">
        <f t="shared" si="15"/>
        <v>0</v>
      </c>
    </row>
    <row r="291" spans="1:13" x14ac:dyDescent="0.45">
      <c r="A291">
        <v>2</v>
      </c>
      <c r="B291">
        <v>1</v>
      </c>
      <c r="C291">
        <v>2</v>
      </c>
      <c r="D291">
        <v>3</v>
      </c>
      <c r="E291">
        <v>1</v>
      </c>
      <c r="F291">
        <v>2</v>
      </c>
      <c r="G291">
        <v>4.4917682704394455</v>
      </c>
      <c r="H291">
        <v>1.932559496921088E-3</v>
      </c>
      <c r="I291">
        <v>-0.86094417933930245</v>
      </c>
      <c r="J291">
        <v>-1.6638258501011013E-3</v>
      </c>
      <c r="K291" s="96">
        <f t="shared" si="13"/>
        <v>0</v>
      </c>
      <c r="L291" s="96">
        <f t="shared" si="14"/>
        <v>1</v>
      </c>
      <c r="M291" s="96">
        <f t="shared" si="15"/>
        <v>0</v>
      </c>
    </row>
    <row r="292" spans="1:13" x14ac:dyDescent="0.45">
      <c r="A292">
        <v>2</v>
      </c>
      <c r="B292">
        <v>1</v>
      </c>
      <c r="C292">
        <v>2</v>
      </c>
      <c r="D292">
        <v>3</v>
      </c>
      <c r="E292">
        <v>1</v>
      </c>
      <c r="F292">
        <v>3</v>
      </c>
      <c r="G292">
        <v>4.8267753590747491</v>
      </c>
      <c r="H292">
        <v>4.8749248570982399E-4</v>
      </c>
      <c r="I292">
        <v>-0.85138357973349854</v>
      </c>
      <c r="J292">
        <v>-4.1504309757681135E-4</v>
      </c>
      <c r="K292" s="96">
        <f t="shared" si="13"/>
        <v>0</v>
      </c>
      <c r="L292" s="96">
        <f t="shared" si="14"/>
        <v>1</v>
      </c>
      <c r="M292" s="96">
        <f t="shared" si="15"/>
        <v>0</v>
      </c>
    </row>
    <row r="293" spans="1:13" x14ac:dyDescent="0.45">
      <c r="A293">
        <v>2</v>
      </c>
      <c r="B293">
        <v>1</v>
      </c>
      <c r="C293">
        <v>2</v>
      </c>
      <c r="D293">
        <v>3</v>
      </c>
      <c r="E293">
        <v>2</v>
      </c>
      <c r="F293">
        <v>1</v>
      </c>
      <c r="G293">
        <v>4.0450921522590324</v>
      </c>
      <c r="H293">
        <v>1.932559496921088E-3</v>
      </c>
      <c r="I293">
        <v>-0.87385885886921311</v>
      </c>
      <c r="J293">
        <v>-1.6887842366763225E-3</v>
      </c>
      <c r="K293" s="96">
        <f t="shared" si="13"/>
        <v>0</v>
      </c>
      <c r="L293" s="96">
        <f t="shared" si="14"/>
        <v>1</v>
      </c>
      <c r="M293" s="96">
        <f t="shared" si="15"/>
        <v>0</v>
      </c>
    </row>
    <row r="294" spans="1:13" x14ac:dyDescent="0.45">
      <c r="A294">
        <v>2</v>
      </c>
      <c r="B294">
        <v>1</v>
      </c>
      <c r="C294">
        <v>2</v>
      </c>
      <c r="D294">
        <v>3</v>
      </c>
      <c r="E294">
        <v>2</v>
      </c>
      <c r="F294">
        <v>2</v>
      </c>
      <c r="G294">
        <v>4.4917682704394455</v>
      </c>
      <c r="H294">
        <v>1.932559496921088E-3</v>
      </c>
      <c r="I294">
        <v>-0.86094417933930245</v>
      </c>
      <c r="J294">
        <v>-1.6638258501011013E-3</v>
      </c>
      <c r="K294" s="96">
        <f t="shared" si="13"/>
        <v>0</v>
      </c>
      <c r="L294" s="96">
        <f t="shared" si="14"/>
        <v>1</v>
      </c>
      <c r="M294" s="96">
        <f t="shared" si="15"/>
        <v>0</v>
      </c>
    </row>
    <row r="295" spans="1:13" x14ac:dyDescent="0.45">
      <c r="A295">
        <v>2</v>
      </c>
      <c r="B295">
        <v>1</v>
      </c>
      <c r="C295">
        <v>2</v>
      </c>
      <c r="D295">
        <v>3</v>
      </c>
      <c r="E295">
        <v>2</v>
      </c>
      <c r="F295">
        <v>3</v>
      </c>
      <c r="G295">
        <v>4.8267753590747491</v>
      </c>
      <c r="H295">
        <v>4.8749248570982399E-4</v>
      </c>
      <c r="I295">
        <v>-0.85138357973349854</v>
      </c>
      <c r="J295">
        <v>-4.1504309757681135E-4</v>
      </c>
      <c r="K295" s="96">
        <f t="shared" si="13"/>
        <v>0</v>
      </c>
      <c r="L295" s="96">
        <f t="shared" si="14"/>
        <v>1</v>
      </c>
      <c r="M295" s="96">
        <f t="shared" si="15"/>
        <v>0</v>
      </c>
    </row>
    <row r="296" spans="1:13" x14ac:dyDescent="0.45">
      <c r="A296">
        <v>2</v>
      </c>
      <c r="B296">
        <v>1</v>
      </c>
      <c r="C296">
        <v>2</v>
      </c>
      <c r="D296">
        <v>3</v>
      </c>
      <c r="E296">
        <v>3</v>
      </c>
      <c r="F296">
        <v>1</v>
      </c>
      <c r="G296">
        <v>4.0450921522590324</v>
      </c>
      <c r="H296">
        <v>4.8749248570982405E-4</v>
      </c>
      <c r="I296">
        <v>-0.87385885886921311</v>
      </c>
      <c r="J296">
        <v>-4.2599962726970302E-4</v>
      </c>
      <c r="K296" s="96">
        <f t="shared" si="13"/>
        <v>0</v>
      </c>
      <c r="L296" s="96">
        <f t="shared" si="14"/>
        <v>1</v>
      </c>
      <c r="M296" s="96">
        <f t="shared" si="15"/>
        <v>0</v>
      </c>
    </row>
    <row r="297" spans="1:13" x14ac:dyDescent="0.45">
      <c r="A297">
        <v>2</v>
      </c>
      <c r="B297">
        <v>1</v>
      </c>
      <c r="C297">
        <v>2</v>
      </c>
      <c r="D297">
        <v>3</v>
      </c>
      <c r="E297">
        <v>3</v>
      </c>
      <c r="F297">
        <v>2</v>
      </c>
      <c r="G297">
        <v>4.4917682704394455</v>
      </c>
      <c r="H297">
        <v>4.8749248570982405E-4</v>
      </c>
      <c r="I297">
        <v>-0.86094417933930245</v>
      </c>
      <c r="J297">
        <v>-4.1970381804352111E-4</v>
      </c>
      <c r="K297" s="96">
        <f t="shared" si="13"/>
        <v>0</v>
      </c>
      <c r="L297" s="96">
        <f t="shared" si="14"/>
        <v>1</v>
      </c>
      <c r="M297" s="96">
        <f t="shared" si="15"/>
        <v>0</v>
      </c>
    </row>
    <row r="298" spans="1:13" x14ac:dyDescent="0.45">
      <c r="A298">
        <v>2</v>
      </c>
      <c r="B298">
        <v>1</v>
      </c>
      <c r="C298">
        <v>2</v>
      </c>
      <c r="D298">
        <v>3</v>
      </c>
      <c r="E298">
        <v>3</v>
      </c>
      <c r="F298">
        <v>3</v>
      </c>
      <c r="G298">
        <v>4.8267753590747491</v>
      </c>
      <c r="H298">
        <v>1.2297107747635201E-4</v>
      </c>
      <c r="I298">
        <v>-0.85138357973349854</v>
      </c>
      <c r="J298">
        <v>-1.0469555614550197E-4</v>
      </c>
      <c r="K298" s="96">
        <f t="shared" si="13"/>
        <v>0</v>
      </c>
      <c r="L298" s="96">
        <f t="shared" si="14"/>
        <v>1</v>
      </c>
      <c r="M298" s="96">
        <f t="shared" si="15"/>
        <v>0</v>
      </c>
    </row>
    <row r="299" spans="1:13" x14ac:dyDescent="0.45">
      <c r="A299">
        <v>2</v>
      </c>
      <c r="B299">
        <v>1</v>
      </c>
      <c r="C299">
        <v>3</v>
      </c>
      <c r="D299">
        <v>1</v>
      </c>
      <c r="E299">
        <v>1</v>
      </c>
      <c r="F299">
        <v>1</v>
      </c>
      <c r="G299">
        <v>4.5894786712914097</v>
      </c>
      <c r="H299">
        <v>1.932559496921088E-3</v>
      </c>
      <c r="I299">
        <v>-0.85814463419628684</v>
      </c>
      <c r="J299">
        <v>-1.6584155625479072E-3</v>
      </c>
      <c r="K299" s="96">
        <f t="shared" si="13"/>
        <v>0</v>
      </c>
      <c r="L299" s="96">
        <f t="shared" si="14"/>
        <v>1</v>
      </c>
      <c r="M299" s="96">
        <f t="shared" si="15"/>
        <v>0</v>
      </c>
    </row>
    <row r="300" spans="1:13" x14ac:dyDescent="0.45">
      <c r="A300">
        <v>2</v>
      </c>
      <c r="B300">
        <v>1</v>
      </c>
      <c r="C300">
        <v>3</v>
      </c>
      <c r="D300">
        <v>1</v>
      </c>
      <c r="E300">
        <v>1</v>
      </c>
      <c r="F300">
        <v>2</v>
      </c>
      <c r="G300">
        <v>5.0919893042443727</v>
      </c>
      <c r="H300">
        <v>1.932559496921088E-3</v>
      </c>
      <c r="I300">
        <v>-0.84389012474847858</v>
      </c>
      <c r="J300">
        <v>-1.630867874940594E-3</v>
      </c>
      <c r="K300" s="96">
        <f t="shared" si="13"/>
        <v>0</v>
      </c>
      <c r="L300" s="96">
        <f t="shared" si="14"/>
        <v>1</v>
      </c>
      <c r="M300" s="96">
        <f t="shared" si="15"/>
        <v>0</v>
      </c>
    </row>
    <row r="301" spans="1:13" x14ac:dyDescent="0.45">
      <c r="A301">
        <v>2</v>
      </c>
      <c r="B301">
        <v>1</v>
      </c>
      <c r="C301">
        <v>3</v>
      </c>
      <c r="D301">
        <v>1</v>
      </c>
      <c r="E301">
        <v>1</v>
      </c>
      <c r="F301">
        <v>3</v>
      </c>
      <c r="G301">
        <v>5.4688722789590942</v>
      </c>
      <c r="H301">
        <v>4.8749248570982399E-4</v>
      </c>
      <c r="I301">
        <v>-0.83335484541264426</v>
      </c>
      <c r="J301">
        <v>-4.0625422506853606E-4</v>
      </c>
      <c r="K301" s="96">
        <f t="shared" si="13"/>
        <v>0</v>
      </c>
      <c r="L301" s="96">
        <f t="shared" si="14"/>
        <v>1</v>
      </c>
      <c r="M301" s="96">
        <f t="shared" si="15"/>
        <v>0</v>
      </c>
    </row>
    <row r="302" spans="1:13" x14ac:dyDescent="0.45">
      <c r="A302">
        <v>2</v>
      </c>
      <c r="B302">
        <v>1</v>
      </c>
      <c r="C302">
        <v>3</v>
      </c>
      <c r="D302">
        <v>1</v>
      </c>
      <c r="E302">
        <v>2</v>
      </c>
      <c r="F302">
        <v>1</v>
      </c>
      <c r="G302">
        <v>4.5894786712914097</v>
      </c>
      <c r="H302">
        <v>1.932559496921088E-3</v>
      </c>
      <c r="I302">
        <v>-0.85814463419628684</v>
      </c>
      <c r="J302">
        <v>-1.6584155625479072E-3</v>
      </c>
      <c r="K302" s="96">
        <f t="shared" si="13"/>
        <v>0</v>
      </c>
      <c r="L302" s="96">
        <f t="shared" si="14"/>
        <v>1</v>
      </c>
      <c r="M302" s="96">
        <f t="shared" si="15"/>
        <v>0</v>
      </c>
    </row>
    <row r="303" spans="1:13" x14ac:dyDescent="0.45">
      <c r="A303">
        <v>2</v>
      </c>
      <c r="B303">
        <v>1</v>
      </c>
      <c r="C303">
        <v>3</v>
      </c>
      <c r="D303">
        <v>1</v>
      </c>
      <c r="E303">
        <v>2</v>
      </c>
      <c r="F303">
        <v>2</v>
      </c>
      <c r="G303">
        <v>5.0919893042443727</v>
      </c>
      <c r="H303">
        <v>1.932559496921088E-3</v>
      </c>
      <c r="I303">
        <v>-0.84389012474847858</v>
      </c>
      <c r="J303">
        <v>-1.630867874940594E-3</v>
      </c>
      <c r="K303" s="96">
        <f t="shared" si="13"/>
        <v>0</v>
      </c>
      <c r="L303" s="96">
        <f t="shared" si="14"/>
        <v>1</v>
      </c>
      <c r="M303" s="96">
        <f t="shared" si="15"/>
        <v>0</v>
      </c>
    </row>
    <row r="304" spans="1:13" x14ac:dyDescent="0.45">
      <c r="A304">
        <v>2</v>
      </c>
      <c r="B304">
        <v>1</v>
      </c>
      <c r="C304">
        <v>3</v>
      </c>
      <c r="D304">
        <v>1</v>
      </c>
      <c r="E304">
        <v>2</v>
      </c>
      <c r="F304">
        <v>3</v>
      </c>
      <c r="G304">
        <v>5.4688722789590942</v>
      </c>
      <c r="H304">
        <v>4.8749248570982399E-4</v>
      </c>
      <c r="I304">
        <v>-0.83335484541264426</v>
      </c>
      <c r="J304">
        <v>-4.0625422506853606E-4</v>
      </c>
      <c r="K304" s="96">
        <f t="shared" si="13"/>
        <v>0</v>
      </c>
      <c r="L304" s="96">
        <f t="shared" si="14"/>
        <v>1</v>
      </c>
      <c r="M304" s="96">
        <f t="shared" si="15"/>
        <v>0</v>
      </c>
    </row>
    <row r="305" spans="1:13" x14ac:dyDescent="0.45">
      <c r="A305">
        <v>2</v>
      </c>
      <c r="B305">
        <v>1</v>
      </c>
      <c r="C305">
        <v>3</v>
      </c>
      <c r="D305">
        <v>1</v>
      </c>
      <c r="E305">
        <v>3</v>
      </c>
      <c r="F305">
        <v>1</v>
      </c>
      <c r="G305">
        <v>4.5894786712914097</v>
      </c>
      <c r="H305">
        <v>4.8749248570982405E-4</v>
      </c>
      <c r="I305">
        <v>-0.85814463419628684</v>
      </c>
      <c r="J305">
        <v>-4.1833906082289554E-4</v>
      </c>
      <c r="K305" s="96">
        <f t="shared" si="13"/>
        <v>0</v>
      </c>
      <c r="L305" s="96">
        <f t="shared" si="14"/>
        <v>1</v>
      </c>
      <c r="M305" s="96">
        <f t="shared" si="15"/>
        <v>0</v>
      </c>
    </row>
    <row r="306" spans="1:13" x14ac:dyDescent="0.45">
      <c r="A306">
        <v>2</v>
      </c>
      <c r="B306">
        <v>1</v>
      </c>
      <c r="C306">
        <v>3</v>
      </c>
      <c r="D306">
        <v>1</v>
      </c>
      <c r="E306">
        <v>3</v>
      </c>
      <c r="F306">
        <v>2</v>
      </c>
      <c r="G306">
        <v>5.0919893042443727</v>
      </c>
      <c r="H306">
        <v>4.8749248570982405E-4</v>
      </c>
      <c r="I306">
        <v>-0.84389012474847858</v>
      </c>
      <c r="J306">
        <v>-4.1139009457960931E-4</v>
      </c>
      <c r="K306" s="96">
        <f t="shared" si="13"/>
        <v>0</v>
      </c>
      <c r="L306" s="96">
        <f t="shared" si="14"/>
        <v>1</v>
      </c>
      <c r="M306" s="96">
        <f t="shared" si="15"/>
        <v>0</v>
      </c>
    </row>
    <row r="307" spans="1:13" x14ac:dyDescent="0.45">
      <c r="A307">
        <v>2</v>
      </c>
      <c r="B307">
        <v>1</v>
      </c>
      <c r="C307">
        <v>3</v>
      </c>
      <c r="D307">
        <v>1</v>
      </c>
      <c r="E307">
        <v>3</v>
      </c>
      <c r="F307">
        <v>3</v>
      </c>
      <c r="G307">
        <v>5.4688722789590942</v>
      </c>
      <c r="H307">
        <v>1.2297107747635201E-4</v>
      </c>
      <c r="I307">
        <v>-0.83335484541264426</v>
      </c>
      <c r="J307">
        <v>-1.0247854326053163E-4</v>
      </c>
      <c r="K307" s="96">
        <f t="shared" si="13"/>
        <v>0</v>
      </c>
      <c r="L307" s="96">
        <f t="shared" si="14"/>
        <v>1</v>
      </c>
      <c r="M307" s="96">
        <f t="shared" si="15"/>
        <v>0</v>
      </c>
    </row>
    <row r="308" spans="1:13" x14ac:dyDescent="0.45">
      <c r="A308">
        <v>2</v>
      </c>
      <c r="B308">
        <v>1</v>
      </c>
      <c r="C308">
        <v>3</v>
      </c>
      <c r="D308">
        <v>2</v>
      </c>
      <c r="E308">
        <v>1</v>
      </c>
      <c r="F308">
        <v>1</v>
      </c>
      <c r="G308">
        <v>4.5894786712914097</v>
      </c>
      <c r="H308">
        <v>1.932559496921088E-3</v>
      </c>
      <c r="I308">
        <v>-0.85814463419628684</v>
      </c>
      <c r="J308">
        <v>-1.6584155625479072E-3</v>
      </c>
      <c r="K308" s="96">
        <f t="shared" si="13"/>
        <v>0</v>
      </c>
      <c r="L308" s="96">
        <f t="shared" si="14"/>
        <v>1</v>
      </c>
      <c r="M308" s="96">
        <f t="shared" si="15"/>
        <v>0</v>
      </c>
    </row>
    <row r="309" spans="1:13" x14ac:dyDescent="0.45">
      <c r="A309">
        <v>2</v>
      </c>
      <c r="B309">
        <v>1</v>
      </c>
      <c r="C309">
        <v>3</v>
      </c>
      <c r="D309">
        <v>2</v>
      </c>
      <c r="E309">
        <v>1</v>
      </c>
      <c r="F309">
        <v>2</v>
      </c>
      <c r="G309">
        <v>5.0919893042443727</v>
      </c>
      <c r="H309">
        <v>1.932559496921088E-3</v>
      </c>
      <c r="I309">
        <v>-0.84389012474847858</v>
      </c>
      <c r="J309">
        <v>-1.630867874940594E-3</v>
      </c>
      <c r="K309" s="96">
        <f t="shared" si="13"/>
        <v>0</v>
      </c>
      <c r="L309" s="96">
        <f t="shared" si="14"/>
        <v>1</v>
      </c>
      <c r="M309" s="96">
        <f t="shared" si="15"/>
        <v>0</v>
      </c>
    </row>
    <row r="310" spans="1:13" x14ac:dyDescent="0.45">
      <c r="A310">
        <v>2</v>
      </c>
      <c r="B310">
        <v>1</v>
      </c>
      <c r="C310">
        <v>3</v>
      </c>
      <c r="D310">
        <v>2</v>
      </c>
      <c r="E310">
        <v>1</v>
      </c>
      <c r="F310">
        <v>3</v>
      </c>
      <c r="G310">
        <v>5.4688722789590942</v>
      </c>
      <c r="H310">
        <v>4.8749248570982399E-4</v>
      </c>
      <c r="I310">
        <v>-0.83335484541264426</v>
      </c>
      <c r="J310">
        <v>-4.0625422506853606E-4</v>
      </c>
      <c r="K310" s="96">
        <f t="shared" si="13"/>
        <v>0</v>
      </c>
      <c r="L310" s="96">
        <f t="shared" si="14"/>
        <v>1</v>
      </c>
      <c r="M310" s="96">
        <f t="shared" si="15"/>
        <v>0</v>
      </c>
    </row>
    <row r="311" spans="1:13" x14ac:dyDescent="0.45">
      <c r="A311">
        <v>2</v>
      </c>
      <c r="B311">
        <v>1</v>
      </c>
      <c r="C311">
        <v>3</v>
      </c>
      <c r="D311">
        <v>2</v>
      </c>
      <c r="E311">
        <v>2</v>
      </c>
      <c r="F311">
        <v>1</v>
      </c>
      <c r="G311">
        <v>4.5894786712914097</v>
      </c>
      <c r="H311">
        <v>1.932559496921088E-3</v>
      </c>
      <c r="I311">
        <v>-0.85814463419628684</v>
      </c>
      <c r="J311">
        <v>-1.6584155625479072E-3</v>
      </c>
      <c r="K311" s="96">
        <f t="shared" si="13"/>
        <v>0</v>
      </c>
      <c r="L311" s="96">
        <f t="shared" si="14"/>
        <v>1</v>
      </c>
      <c r="M311" s="96">
        <f t="shared" si="15"/>
        <v>0</v>
      </c>
    </row>
    <row r="312" spans="1:13" x14ac:dyDescent="0.45">
      <c r="A312">
        <v>2</v>
      </c>
      <c r="B312">
        <v>1</v>
      </c>
      <c r="C312">
        <v>3</v>
      </c>
      <c r="D312">
        <v>2</v>
      </c>
      <c r="E312">
        <v>2</v>
      </c>
      <c r="F312">
        <v>2</v>
      </c>
      <c r="G312">
        <v>5.0919893042443727</v>
      </c>
      <c r="H312">
        <v>1.932559496921088E-3</v>
      </c>
      <c r="I312">
        <v>-0.84389012474847858</v>
      </c>
      <c r="J312">
        <v>-1.630867874940594E-3</v>
      </c>
      <c r="K312" s="96">
        <f t="shared" si="13"/>
        <v>0</v>
      </c>
      <c r="L312" s="96">
        <f t="shared" si="14"/>
        <v>1</v>
      </c>
      <c r="M312" s="96">
        <f t="shared" si="15"/>
        <v>0</v>
      </c>
    </row>
    <row r="313" spans="1:13" x14ac:dyDescent="0.45">
      <c r="A313">
        <v>2</v>
      </c>
      <c r="B313">
        <v>1</v>
      </c>
      <c r="C313">
        <v>3</v>
      </c>
      <c r="D313">
        <v>2</v>
      </c>
      <c r="E313">
        <v>2</v>
      </c>
      <c r="F313">
        <v>3</v>
      </c>
      <c r="G313">
        <v>5.4688722789590942</v>
      </c>
      <c r="H313">
        <v>4.8749248570982399E-4</v>
      </c>
      <c r="I313">
        <v>-0.83335484541264426</v>
      </c>
      <c r="J313">
        <v>-4.0625422506853606E-4</v>
      </c>
      <c r="K313" s="96">
        <f t="shared" si="13"/>
        <v>0</v>
      </c>
      <c r="L313" s="96">
        <f t="shared" si="14"/>
        <v>1</v>
      </c>
      <c r="M313" s="96">
        <f t="shared" si="15"/>
        <v>0</v>
      </c>
    </row>
    <row r="314" spans="1:13" x14ac:dyDescent="0.45">
      <c r="A314">
        <v>2</v>
      </c>
      <c r="B314">
        <v>1</v>
      </c>
      <c r="C314">
        <v>3</v>
      </c>
      <c r="D314">
        <v>2</v>
      </c>
      <c r="E314">
        <v>3</v>
      </c>
      <c r="F314">
        <v>1</v>
      </c>
      <c r="G314">
        <v>4.5894786712914097</v>
      </c>
      <c r="H314">
        <v>4.8749248570982405E-4</v>
      </c>
      <c r="I314">
        <v>-0.85814463419628684</v>
      </c>
      <c r="J314">
        <v>-4.1833906082289554E-4</v>
      </c>
      <c r="K314" s="96">
        <f t="shared" si="13"/>
        <v>0</v>
      </c>
      <c r="L314" s="96">
        <f t="shared" si="14"/>
        <v>1</v>
      </c>
      <c r="M314" s="96">
        <f t="shared" si="15"/>
        <v>0</v>
      </c>
    </row>
    <row r="315" spans="1:13" x14ac:dyDescent="0.45">
      <c r="A315">
        <v>2</v>
      </c>
      <c r="B315">
        <v>1</v>
      </c>
      <c r="C315">
        <v>3</v>
      </c>
      <c r="D315">
        <v>2</v>
      </c>
      <c r="E315">
        <v>3</v>
      </c>
      <c r="F315">
        <v>2</v>
      </c>
      <c r="G315">
        <v>5.0919893042443727</v>
      </c>
      <c r="H315">
        <v>4.8749248570982405E-4</v>
      </c>
      <c r="I315">
        <v>-0.84389012474847858</v>
      </c>
      <c r="J315">
        <v>-4.1139009457960931E-4</v>
      </c>
      <c r="K315" s="96">
        <f t="shared" si="13"/>
        <v>0</v>
      </c>
      <c r="L315" s="96">
        <f t="shared" si="14"/>
        <v>1</v>
      </c>
      <c r="M315" s="96">
        <f t="shared" si="15"/>
        <v>0</v>
      </c>
    </row>
    <row r="316" spans="1:13" x14ac:dyDescent="0.45">
      <c r="A316">
        <v>2</v>
      </c>
      <c r="B316">
        <v>1</v>
      </c>
      <c r="C316">
        <v>3</v>
      </c>
      <c r="D316">
        <v>2</v>
      </c>
      <c r="E316">
        <v>3</v>
      </c>
      <c r="F316">
        <v>3</v>
      </c>
      <c r="G316">
        <v>5.4688722789590942</v>
      </c>
      <c r="H316">
        <v>1.2297107747635201E-4</v>
      </c>
      <c r="I316">
        <v>-0.83335484541264426</v>
      </c>
      <c r="J316">
        <v>-1.0247854326053163E-4</v>
      </c>
      <c r="K316" s="96">
        <f t="shared" si="13"/>
        <v>0</v>
      </c>
      <c r="L316" s="96">
        <f t="shared" si="14"/>
        <v>1</v>
      </c>
      <c r="M316" s="96">
        <f t="shared" si="15"/>
        <v>0</v>
      </c>
    </row>
    <row r="317" spans="1:13" x14ac:dyDescent="0.45">
      <c r="A317">
        <v>2</v>
      </c>
      <c r="B317">
        <v>1</v>
      </c>
      <c r="C317">
        <v>3</v>
      </c>
      <c r="D317">
        <v>3</v>
      </c>
      <c r="E317">
        <v>1</v>
      </c>
      <c r="F317">
        <v>1</v>
      </c>
      <c r="G317">
        <v>4.5894786712914097</v>
      </c>
      <c r="H317">
        <v>4.8749248570982405E-4</v>
      </c>
      <c r="I317">
        <v>-0.85814463419628684</v>
      </c>
      <c r="J317">
        <v>-4.1833906082289554E-4</v>
      </c>
      <c r="K317" s="96">
        <f t="shared" si="13"/>
        <v>0</v>
      </c>
      <c r="L317" s="96">
        <f t="shared" si="14"/>
        <v>1</v>
      </c>
      <c r="M317" s="96">
        <f t="shared" si="15"/>
        <v>0</v>
      </c>
    </row>
    <row r="318" spans="1:13" x14ac:dyDescent="0.45">
      <c r="A318">
        <v>2</v>
      </c>
      <c r="B318">
        <v>1</v>
      </c>
      <c r="C318">
        <v>3</v>
      </c>
      <c r="D318">
        <v>3</v>
      </c>
      <c r="E318">
        <v>1</v>
      </c>
      <c r="F318">
        <v>2</v>
      </c>
      <c r="G318">
        <v>5.0919893042443727</v>
      </c>
      <c r="H318">
        <v>4.8749248570982405E-4</v>
      </c>
      <c r="I318">
        <v>-0.84389012474847858</v>
      </c>
      <c r="J318">
        <v>-4.1139009457960931E-4</v>
      </c>
      <c r="K318" s="96">
        <f t="shared" si="13"/>
        <v>0</v>
      </c>
      <c r="L318" s="96">
        <f t="shared" si="14"/>
        <v>1</v>
      </c>
      <c r="M318" s="96">
        <f t="shared" si="15"/>
        <v>0</v>
      </c>
    </row>
    <row r="319" spans="1:13" x14ac:dyDescent="0.45">
      <c r="A319">
        <v>2</v>
      </c>
      <c r="B319">
        <v>1</v>
      </c>
      <c r="C319">
        <v>3</v>
      </c>
      <c r="D319">
        <v>3</v>
      </c>
      <c r="E319">
        <v>1</v>
      </c>
      <c r="F319">
        <v>3</v>
      </c>
      <c r="G319">
        <v>5.4688722789590942</v>
      </c>
      <c r="H319">
        <v>1.2297107747635201E-4</v>
      </c>
      <c r="I319">
        <v>-0.83335484541264426</v>
      </c>
      <c r="J319">
        <v>-1.0247854326053163E-4</v>
      </c>
      <c r="K319" s="96">
        <f t="shared" si="13"/>
        <v>0</v>
      </c>
      <c r="L319" s="96">
        <f t="shared" si="14"/>
        <v>1</v>
      </c>
      <c r="M319" s="96">
        <f t="shared" si="15"/>
        <v>0</v>
      </c>
    </row>
    <row r="320" spans="1:13" x14ac:dyDescent="0.45">
      <c r="A320">
        <v>2</v>
      </c>
      <c r="B320">
        <v>1</v>
      </c>
      <c r="C320">
        <v>3</v>
      </c>
      <c r="D320">
        <v>3</v>
      </c>
      <c r="E320">
        <v>2</v>
      </c>
      <c r="F320">
        <v>1</v>
      </c>
      <c r="G320">
        <v>4.5894786712914097</v>
      </c>
      <c r="H320">
        <v>4.8749248570982405E-4</v>
      </c>
      <c r="I320">
        <v>-0.85814463419628684</v>
      </c>
      <c r="J320">
        <v>-4.1833906082289554E-4</v>
      </c>
      <c r="K320" s="96">
        <f t="shared" si="13"/>
        <v>0</v>
      </c>
      <c r="L320" s="96">
        <f t="shared" si="14"/>
        <v>1</v>
      </c>
      <c r="M320" s="96">
        <f t="shared" si="15"/>
        <v>0</v>
      </c>
    </row>
    <row r="321" spans="1:13" x14ac:dyDescent="0.45">
      <c r="A321">
        <v>2</v>
      </c>
      <c r="B321">
        <v>1</v>
      </c>
      <c r="C321">
        <v>3</v>
      </c>
      <c r="D321">
        <v>3</v>
      </c>
      <c r="E321">
        <v>2</v>
      </c>
      <c r="F321">
        <v>2</v>
      </c>
      <c r="G321">
        <v>5.0919893042443727</v>
      </c>
      <c r="H321">
        <v>4.8749248570982405E-4</v>
      </c>
      <c r="I321">
        <v>-0.84389012474847858</v>
      </c>
      <c r="J321">
        <v>-4.1139009457960931E-4</v>
      </c>
      <c r="K321" s="96">
        <f t="shared" si="13"/>
        <v>0</v>
      </c>
      <c r="L321" s="96">
        <f t="shared" si="14"/>
        <v>1</v>
      </c>
      <c r="M321" s="96">
        <f t="shared" si="15"/>
        <v>0</v>
      </c>
    </row>
    <row r="322" spans="1:13" x14ac:dyDescent="0.45">
      <c r="A322">
        <v>2</v>
      </c>
      <c r="B322">
        <v>1</v>
      </c>
      <c r="C322">
        <v>3</v>
      </c>
      <c r="D322">
        <v>3</v>
      </c>
      <c r="E322">
        <v>2</v>
      </c>
      <c r="F322">
        <v>3</v>
      </c>
      <c r="G322">
        <v>5.4688722789590942</v>
      </c>
      <c r="H322">
        <v>1.2297107747635201E-4</v>
      </c>
      <c r="I322">
        <v>-0.83335484541264426</v>
      </c>
      <c r="J322">
        <v>-1.0247854326053163E-4</v>
      </c>
      <c r="K322" s="96">
        <f t="shared" si="13"/>
        <v>0</v>
      </c>
      <c r="L322" s="96">
        <f t="shared" si="14"/>
        <v>1</v>
      </c>
      <c r="M322" s="96">
        <f t="shared" si="15"/>
        <v>0</v>
      </c>
    </row>
    <row r="323" spans="1:13" x14ac:dyDescent="0.45">
      <c r="A323">
        <v>2</v>
      </c>
      <c r="B323">
        <v>1</v>
      </c>
      <c r="C323">
        <v>3</v>
      </c>
      <c r="D323">
        <v>3</v>
      </c>
      <c r="E323">
        <v>3</v>
      </c>
      <c r="F323">
        <v>1</v>
      </c>
      <c r="G323">
        <v>4.5894786712914097</v>
      </c>
      <c r="H323">
        <v>1.2297107747635201E-4</v>
      </c>
      <c r="I323">
        <v>-0.85814463419628684</v>
      </c>
      <c r="J323">
        <v>-1.0552697029766735E-4</v>
      </c>
      <c r="K323" s="96">
        <f t="shared" ref="K323:K386" si="16">IF(A323=3,1,0)</f>
        <v>0</v>
      </c>
      <c r="L323" s="96">
        <f t="shared" ref="L323:L386" si="17">IF(A323=2,1,0)</f>
        <v>1</v>
      </c>
      <c r="M323" s="96">
        <f t="shared" ref="M323:M386" si="18">IF(A323=1,1,0)</f>
        <v>0</v>
      </c>
    </row>
    <row r="324" spans="1:13" x14ac:dyDescent="0.45">
      <c r="A324">
        <v>2</v>
      </c>
      <c r="B324">
        <v>1</v>
      </c>
      <c r="C324">
        <v>3</v>
      </c>
      <c r="D324">
        <v>3</v>
      </c>
      <c r="E324">
        <v>3</v>
      </c>
      <c r="F324">
        <v>2</v>
      </c>
      <c r="G324">
        <v>5.0919893042443727</v>
      </c>
      <c r="H324">
        <v>1.2297107747635201E-4</v>
      </c>
      <c r="I324">
        <v>-0.84389012474847858</v>
      </c>
      <c r="J324">
        <v>-1.0377407791197352E-4</v>
      </c>
      <c r="K324" s="96">
        <f t="shared" si="16"/>
        <v>0</v>
      </c>
      <c r="L324" s="96">
        <f t="shared" si="17"/>
        <v>1</v>
      </c>
      <c r="M324" s="96">
        <f t="shared" si="18"/>
        <v>0</v>
      </c>
    </row>
    <row r="325" spans="1:13" x14ac:dyDescent="0.45">
      <c r="A325">
        <v>2</v>
      </c>
      <c r="B325">
        <v>1</v>
      </c>
      <c r="C325">
        <v>3</v>
      </c>
      <c r="D325">
        <v>3</v>
      </c>
      <c r="E325">
        <v>3</v>
      </c>
      <c r="F325">
        <v>3</v>
      </c>
      <c r="G325">
        <v>5.4688722789590942</v>
      </c>
      <c r="H325">
        <v>3.1019731255295997E-5</v>
      </c>
      <c r="I325">
        <v>-0.83335484541264426</v>
      </c>
      <c r="J325">
        <v>-2.5850443344998966E-5</v>
      </c>
      <c r="K325" s="96">
        <f t="shared" si="16"/>
        <v>0</v>
      </c>
      <c r="L325" s="96">
        <f t="shared" si="17"/>
        <v>1</v>
      </c>
      <c r="M325" s="96">
        <f t="shared" si="18"/>
        <v>0</v>
      </c>
    </row>
    <row r="326" spans="1:13" x14ac:dyDescent="0.45">
      <c r="A326">
        <v>2</v>
      </c>
      <c r="B326">
        <v>2</v>
      </c>
      <c r="C326">
        <v>1</v>
      </c>
      <c r="D326">
        <v>1</v>
      </c>
      <c r="E326">
        <v>1</v>
      </c>
      <c r="F326">
        <v>1</v>
      </c>
      <c r="G326">
        <v>5.3442633620280313</v>
      </c>
      <c r="H326">
        <v>7.6612180056514559E-3</v>
      </c>
      <c r="I326">
        <v>-0.83682349232148023</v>
      </c>
      <c r="J326">
        <v>-6.411087206925457E-3</v>
      </c>
      <c r="K326" s="96">
        <f t="shared" si="16"/>
        <v>0</v>
      </c>
      <c r="L326" s="96">
        <f t="shared" si="17"/>
        <v>1</v>
      </c>
      <c r="M326" s="96">
        <f t="shared" si="18"/>
        <v>0</v>
      </c>
    </row>
    <row r="327" spans="1:13" x14ac:dyDescent="0.45">
      <c r="A327">
        <v>2</v>
      </c>
      <c r="B327">
        <v>2</v>
      </c>
      <c r="C327">
        <v>1</v>
      </c>
      <c r="D327">
        <v>1</v>
      </c>
      <c r="E327">
        <v>1</v>
      </c>
      <c r="F327">
        <v>2</v>
      </c>
      <c r="G327">
        <v>5.9241878094155185</v>
      </c>
      <c r="H327">
        <v>7.6612180056514559E-3</v>
      </c>
      <c r="I327">
        <v>-0.82080236192526046</v>
      </c>
      <c r="J327">
        <v>-6.2883458342630483E-3</v>
      </c>
      <c r="K327" s="96">
        <f t="shared" si="16"/>
        <v>0</v>
      </c>
      <c r="L327" s="96">
        <f t="shared" si="17"/>
        <v>1</v>
      </c>
      <c r="M327" s="96">
        <f t="shared" si="18"/>
        <v>0</v>
      </c>
    </row>
    <row r="328" spans="1:13" x14ac:dyDescent="0.45">
      <c r="A328">
        <v>2</v>
      </c>
      <c r="B328">
        <v>2</v>
      </c>
      <c r="C328">
        <v>1</v>
      </c>
      <c r="D328">
        <v>1</v>
      </c>
      <c r="E328">
        <v>1</v>
      </c>
      <c r="F328">
        <v>3</v>
      </c>
      <c r="G328">
        <v>6.359131144956141</v>
      </c>
      <c r="H328">
        <v>1.932559496921088E-3</v>
      </c>
      <c r="I328">
        <v>-0.80898812700770417</v>
      </c>
      <c r="J328">
        <v>-1.563417687745142E-3</v>
      </c>
      <c r="K328" s="96">
        <f t="shared" si="16"/>
        <v>0</v>
      </c>
      <c r="L328" s="96">
        <f t="shared" si="17"/>
        <v>1</v>
      </c>
      <c r="M328" s="96">
        <f t="shared" si="18"/>
        <v>0</v>
      </c>
    </row>
    <row r="329" spans="1:13" x14ac:dyDescent="0.45">
      <c r="A329">
        <v>2</v>
      </c>
      <c r="B329">
        <v>2</v>
      </c>
      <c r="C329">
        <v>1</v>
      </c>
      <c r="D329">
        <v>1</v>
      </c>
      <c r="E329">
        <v>2</v>
      </c>
      <c r="F329">
        <v>1</v>
      </c>
      <c r="G329">
        <v>5.3442633620280313</v>
      </c>
      <c r="H329">
        <v>7.6612180056514559E-3</v>
      </c>
      <c r="I329">
        <v>-0.83682349232148023</v>
      </c>
      <c r="J329">
        <v>-6.411087206925457E-3</v>
      </c>
      <c r="K329" s="96">
        <f t="shared" si="16"/>
        <v>0</v>
      </c>
      <c r="L329" s="96">
        <f t="shared" si="17"/>
        <v>1</v>
      </c>
      <c r="M329" s="96">
        <f t="shared" si="18"/>
        <v>0</v>
      </c>
    </row>
    <row r="330" spans="1:13" x14ac:dyDescent="0.45">
      <c r="A330">
        <v>2</v>
      </c>
      <c r="B330">
        <v>2</v>
      </c>
      <c r="C330">
        <v>1</v>
      </c>
      <c r="D330">
        <v>1</v>
      </c>
      <c r="E330">
        <v>2</v>
      </c>
      <c r="F330">
        <v>2</v>
      </c>
      <c r="G330">
        <v>5.9241878094155185</v>
      </c>
      <c r="H330">
        <v>7.6612180056514559E-3</v>
      </c>
      <c r="I330">
        <v>-0.82080236192526046</v>
      </c>
      <c r="J330">
        <v>-6.2883458342630483E-3</v>
      </c>
      <c r="K330" s="96">
        <f t="shared" si="16"/>
        <v>0</v>
      </c>
      <c r="L330" s="96">
        <f t="shared" si="17"/>
        <v>1</v>
      </c>
      <c r="M330" s="96">
        <f t="shared" si="18"/>
        <v>0</v>
      </c>
    </row>
    <row r="331" spans="1:13" x14ac:dyDescent="0.45">
      <c r="A331">
        <v>2</v>
      </c>
      <c r="B331">
        <v>2</v>
      </c>
      <c r="C331">
        <v>1</v>
      </c>
      <c r="D331">
        <v>1</v>
      </c>
      <c r="E331">
        <v>2</v>
      </c>
      <c r="F331">
        <v>3</v>
      </c>
      <c r="G331">
        <v>6.359131144956141</v>
      </c>
      <c r="H331">
        <v>1.932559496921088E-3</v>
      </c>
      <c r="I331">
        <v>-0.80898812700770417</v>
      </c>
      <c r="J331">
        <v>-1.563417687745142E-3</v>
      </c>
      <c r="K331" s="96">
        <f t="shared" si="16"/>
        <v>0</v>
      </c>
      <c r="L331" s="96">
        <f t="shared" si="17"/>
        <v>1</v>
      </c>
      <c r="M331" s="96">
        <f t="shared" si="18"/>
        <v>0</v>
      </c>
    </row>
    <row r="332" spans="1:13" x14ac:dyDescent="0.45">
      <c r="A332">
        <v>2</v>
      </c>
      <c r="B332">
        <v>2</v>
      </c>
      <c r="C332">
        <v>1</v>
      </c>
      <c r="D332">
        <v>1</v>
      </c>
      <c r="E332">
        <v>3</v>
      </c>
      <c r="F332">
        <v>1</v>
      </c>
      <c r="G332">
        <v>5.3442633620280313</v>
      </c>
      <c r="H332">
        <v>1.932559496921088E-3</v>
      </c>
      <c r="I332">
        <v>-0.83682349232148023</v>
      </c>
      <c r="J332">
        <v>-1.6172111873325478E-3</v>
      </c>
      <c r="K332" s="96">
        <f t="shared" si="16"/>
        <v>0</v>
      </c>
      <c r="L332" s="96">
        <f t="shared" si="17"/>
        <v>1</v>
      </c>
      <c r="M332" s="96">
        <f t="shared" si="18"/>
        <v>0</v>
      </c>
    </row>
    <row r="333" spans="1:13" x14ac:dyDescent="0.45">
      <c r="A333">
        <v>2</v>
      </c>
      <c r="B333">
        <v>2</v>
      </c>
      <c r="C333">
        <v>1</v>
      </c>
      <c r="D333">
        <v>1</v>
      </c>
      <c r="E333">
        <v>3</v>
      </c>
      <c r="F333">
        <v>2</v>
      </c>
      <c r="G333">
        <v>5.9241878094155185</v>
      </c>
      <c r="H333">
        <v>1.932559496921088E-3</v>
      </c>
      <c r="I333">
        <v>-0.82080236192526046</v>
      </c>
      <c r="J333">
        <v>-1.5862493996339222E-3</v>
      </c>
      <c r="K333" s="96">
        <f t="shared" si="16"/>
        <v>0</v>
      </c>
      <c r="L333" s="96">
        <f t="shared" si="17"/>
        <v>1</v>
      </c>
      <c r="M333" s="96">
        <f t="shared" si="18"/>
        <v>0</v>
      </c>
    </row>
    <row r="334" spans="1:13" x14ac:dyDescent="0.45">
      <c r="A334">
        <v>2</v>
      </c>
      <c r="B334">
        <v>2</v>
      </c>
      <c r="C334">
        <v>1</v>
      </c>
      <c r="D334">
        <v>1</v>
      </c>
      <c r="E334">
        <v>3</v>
      </c>
      <c r="F334">
        <v>3</v>
      </c>
      <c r="G334">
        <v>6.359131144956141</v>
      </c>
      <c r="H334">
        <v>4.8749248570982399E-4</v>
      </c>
      <c r="I334">
        <v>-0.80898812700770417</v>
      </c>
      <c r="J334">
        <v>-3.9437563294472048E-4</v>
      </c>
      <c r="K334" s="96">
        <f t="shared" si="16"/>
        <v>0</v>
      </c>
      <c r="L334" s="96">
        <f t="shared" si="17"/>
        <v>1</v>
      </c>
      <c r="M334" s="96">
        <f t="shared" si="18"/>
        <v>0</v>
      </c>
    </row>
    <row r="335" spans="1:13" x14ac:dyDescent="0.45">
      <c r="A335">
        <v>2</v>
      </c>
      <c r="B335">
        <v>2</v>
      </c>
      <c r="C335">
        <v>1</v>
      </c>
      <c r="D335">
        <v>2</v>
      </c>
      <c r="E335">
        <v>1</v>
      </c>
      <c r="F335">
        <v>1</v>
      </c>
      <c r="G335">
        <v>5.3442633620280313</v>
      </c>
      <c r="H335">
        <v>7.6612180056514559E-3</v>
      </c>
      <c r="I335">
        <v>-0.83682349232148023</v>
      </c>
      <c r="J335">
        <v>-6.411087206925457E-3</v>
      </c>
      <c r="K335" s="96">
        <f t="shared" si="16"/>
        <v>0</v>
      </c>
      <c r="L335" s="96">
        <f t="shared" si="17"/>
        <v>1</v>
      </c>
      <c r="M335" s="96">
        <f t="shared" si="18"/>
        <v>0</v>
      </c>
    </row>
    <row r="336" spans="1:13" x14ac:dyDescent="0.45">
      <c r="A336">
        <v>2</v>
      </c>
      <c r="B336">
        <v>2</v>
      </c>
      <c r="C336">
        <v>1</v>
      </c>
      <c r="D336">
        <v>2</v>
      </c>
      <c r="E336">
        <v>1</v>
      </c>
      <c r="F336">
        <v>2</v>
      </c>
      <c r="G336">
        <v>5.9241878094155185</v>
      </c>
      <c r="H336">
        <v>7.6612180056514559E-3</v>
      </c>
      <c r="I336">
        <v>-0.82080236192526046</v>
      </c>
      <c r="J336">
        <v>-6.2883458342630483E-3</v>
      </c>
      <c r="K336" s="96">
        <f t="shared" si="16"/>
        <v>0</v>
      </c>
      <c r="L336" s="96">
        <f t="shared" si="17"/>
        <v>1</v>
      </c>
      <c r="M336" s="96">
        <f t="shared" si="18"/>
        <v>0</v>
      </c>
    </row>
    <row r="337" spans="1:13" x14ac:dyDescent="0.45">
      <c r="A337">
        <v>2</v>
      </c>
      <c r="B337">
        <v>2</v>
      </c>
      <c r="C337">
        <v>1</v>
      </c>
      <c r="D337">
        <v>2</v>
      </c>
      <c r="E337">
        <v>1</v>
      </c>
      <c r="F337">
        <v>3</v>
      </c>
      <c r="G337">
        <v>6.359131144956141</v>
      </c>
      <c r="H337">
        <v>1.932559496921088E-3</v>
      </c>
      <c r="I337">
        <v>-0.80898812700770417</v>
      </c>
      <c r="J337">
        <v>-1.563417687745142E-3</v>
      </c>
      <c r="K337" s="96">
        <f t="shared" si="16"/>
        <v>0</v>
      </c>
      <c r="L337" s="96">
        <f t="shared" si="17"/>
        <v>1</v>
      </c>
      <c r="M337" s="96">
        <f t="shared" si="18"/>
        <v>0</v>
      </c>
    </row>
    <row r="338" spans="1:13" x14ac:dyDescent="0.45">
      <c r="A338">
        <v>2</v>
      </c>
      <c r="B338">
        <v>2</v>
      </c>
      <c r="C338">
        <v>1</v>
      </c>
      <c r="D338">
        <v>2</v>
      </c>
      <c r="E338">
        <v>2</v>
      </c>
      <c r="F338">
        <v>1</v>
      </c>
      <c r="G338">
        <v>5.3442633620280313</v>
      </c>
      <c r="H338">
        <v>7.6612180056514559E-3</v>
      </c>
      <c r="I338">
        <v>-0.83682349232148023</v>
      </c>
      <c r="J338">
        <v>-6.411087206925457E-3</v>
      </c>
      <c r="K338" s="96">
        <f t="shared" si="16"/>
        <v>0</v>
      </c>
      <c r="L338" s="96">
        <f t="shared" si="17"/>
        <v>1</v>
      </c>
      <c r="M338" s="96">
        <f t="shared" si="18"/>
        <v>0</v>
      </c>
    </row>
    <row r="339" spans="1:13" x14ac:dyDescent="0.45">
      <c r="A339">
        <v>2</v>
      </c>
      <c r="B339">
        <v>2</v>
      </c>
      <c r="C339">
        <v>1</v>
      </c>
      <c r="D339">
        <v>2</v>
      </c>
      <c r="E339">
        <v>2</v>
      </c>
      <c r="F339">
        <v>2</v>
      </c>
      <c r="G339">
        <v>5.9241878094155185</v>
      </c>
      <c r="H339">
        <v>7.6612180056514559E-3</v>
      </c>
      <c r="I339">
        <v>-0.82080236192526046</v>
      </c>
      <c r="J339">
        <v>-6.2883458342630483E-3</v>
      </c>
      <c r="K339" s="96">
        <f t="shared" si="16"/>
        <v>0</v>
      </c>
      <c r="L339" s="96">
        <f t="shared" si="17"/>
        <v>1</v>
      </c>
      <c r="M339" s="96">
        <f t="shared" si="18"/>
        <v>0</v>
      </c>
    </row>
    <row r="340" spans="1:13" x14ac:dyDescent="0.45">
      <c r="A340">
        <v>2</v>
      </c>
      <c r="B340">
        <v>2</v>
      </c>
      <c r="C340">
        <v>1</v>
      </c>
      <c r="D340">
        <v>2</v>
      </c>
      <c r="E340">
        <v>2</v>
      </c>
      <c r="F340">
        <v>3</v>
      </c>
      <c r="G340">
        <v>6.359131144956141</v>
      </c>
      <c r="H340">
        <v>1.932559496921088E-3</v>
      </c>
      <c r="I340">
        <v>-0.80898812700770417</v>
      </c>
      <c r="J340">
        <v>-1.563417687745142E-3</v>
      </c>
      <c r="K340" s="96">
        <f t="shared" si="16"/>
        <v>0</v>
      </c>
      <c r="L340" s="96">
        <f t="shared" si="17"/>
        <v>1</v>
      </c>
      <c r="M340" s="96">
        <f t="shared" si="18"/>
        <v>0</v>
      </c>
    </row>
    <row r="341" spans="1:13" x14ac:dyDescent="0.45">
      <c r="A341">
        <v>2</v>
      </c>
      <c r="B341">
        <v>2</v>
      </c>
      <c r="C341">
        <v>1</v>
      </c>
      <c r="D341">
        <v>2</v>
      </c>
      <c r="E341">
        <v>3</v>
      </c>
      <c r="F341">
        <v>1</v>
      </c>
      <c r="G341">
        <v>5.3442633620280313</v>
      </c>
      <c r="H341">
        <v>1.932559496921088E-3</v>
      </c>
      <c r="I341">
        <v>-0.83682349232148023</v>
      </c>
      <c r="J341">
        <v>-1.6172111873325478E-3</v>
      </c>
      <c r="K341" s="96">
        <f t="shared" si="16"/>
        <v>0</v>
      </c>
      <c r="L341" s="96">
        <f t="shared" si="17"/>
        <v>1</v>
      </c>
      <c r="M341" s="96">
        <f t="shared" si="18"/>
        <v>0</v>
      </c>
    </row>
    <row r="342" spans="1:13" x14ac:dyDescent="0.45">
      <c r="A342">
        <v>2</v>
      </c>
      <c r="B342">
        <v>2</v>
      </c>
      <c r="C342">
        <v>1</v>
      </c>
      <c r="D342">
        <v>2</v>
      </c>
      <c r="E342">
        <v>3</v>
      </c>
      <c r="F342">
        <v>2</v>
      </c>
      <c r="G342">
        <v>5.9241878094155185</v>
      </c>
      <c r="H342">
        <v>1.932559496921088E-3</v>
      </c>
      <c r="I342">
        <v>-0.82080236192526046</v>
      </c>
      <c r="J342">
        <v>-1.5862493996339222E-3</v>
      </c>
      <c r="K342" s="96">
        <f t="shared" si="16"/>
        <v>0</v>
      </c>
      <c r="L342" s="96">
        <f t="shared" si="17"/>
        <v>1</v>
      </c>
      <c r="M342" s="96">
        <f t="shared" si="18"/>
        <v>0</v>
      </c>
    </row>
    <row r="343" spans="1:13" x14ac:dyDescent="0.45">
      <c r="A343">
        <v>2</v>
      </c>
      <c r="B343">
        <v>2</v>
      </c>
      <c r="C343">
        <v>1</v>
      </c>
      <c r="D343">
        <v>2</v>
      </c>
      <c r="E343">
        <v>3</v>
      </c>
      <c r="F343">
        <v>3</v>
      </c>
      <c r="G343">
        <v>6.359131144956141</v>
      </c>
      <c r="H343">
        <v>4.8749248570982399E-4</v>
      </c>
      <c r="I343">
        <v>-0.80898812700770417</v>
      </c>
      <c r="J343">
        <v>-3.9437563294472048E-4</v>
      </c>
      <c r="K343" s="96">
        <f t="shared" si="16"/>
        <v>0</v>
      </c>
      <c r="L343" s="96">
        <f t="shared" si="17"/>
        <v>1</v>
      </c>
      <c r="M343" s="96">
        <f t="shared" si="18"/>
        <v>0</v>
      </c>
    </row>
    <row r="344" spans="1:13" x14ac:dyDescent="0.45">
      <c r="A344">
        <v>2</v>
      </c>
      <c r="B344">
        <v>2</v>
      </c>
      <c r="C344">
        <v>1</v>
      </c>
      <c r="D344">
        <v>3</v>
      </c>
      <c r="E344">
        <v>1</v>
      </c>
      <c r="F344">
        <v>1</v>
      </c>
      <c r="G344">
        <v>5.3442633620280313</v>
      </c>
      <c r="H344">
        <v>1.932559496921088E-3</v>
      </c>
      <c r="I344">
        <v>-0.83682349232148023</v>
      </c>
      <c r="J344">
        <v>-1.6172111873325478E-3</v>
      </c>
      <c r="K344" s="96">
        <f t="shared" si="16"/>
        <v>0</v>
      </c>
      <c r="L344" s="96">
        <f t="shared" si="17"/>
        <v>1</v>
      </c>
      <c r="M344" s="96">
        <f t="shared" si="18"/>
        <v>0</v>
      </c>
    </row>
    <row r="345" spans="1:13" x14ac:dyDescent="0.45">
      <c r="A345">
        <v>2</v>
      </c>
      <c r="B345">
        <v>2</v>
      </c>
      <c r="C345">
        <v>1</v>
      </c>
      <c r="D345">
        <v>3</v>
      </c>
      <c r="E345">
        <v>1</v>
      </c>
      <c r="F345">
        <v>2</v>
      </c>
      <c r="G345">
        <v>5.9241878094155185</v>
      </c>
      <c r="H345">
        <v>1.932559496921088E-3</v>
      </c>
      <c r="I345">
        <v>-0.82080236192526046</v>
      </c>
      <c r="J345">
        <v>-1.5862493996339222E-3</v>
      </c>
      <c r="K345" s="96">
        <f t="shared" si="16"/>
        <v>0</v>
      </c>
      <c r="L345" s="96">
        <f t="shared" si="17"/>
        <v>1</v>
      </c>
      <c r="M345" s="96">
        <f t="shared" si="18"/>
        <v>0</v>
      </c>
    </row>
    <row r="346" spans="1:13" x14ac:dyDescent="0.45">
      <c r="A346">
        <v>2</v>
      </c>
      <c r="B346">
        <v>2</v>
      </c>
      <c r="C346">
        <v>1</v>
      </c>
      <c r="D346">
        <v>3</v>
      </c>
      <c r="E346">
        <v>1</v>
      </c>
      <c r="F346">
        <v>3</v>
      </c>
      <c r="G346">
        <v>6.359131144956141</v>
      </c>
      <c r="H346">
        <v>4.8749248570982399E-4</v>
      </c>
      <c r="I346">
        <v>-0.80898812700770417</v>
      </c>
      <c r="J346">
        <v>-3.9437563294472048E-4</v>
      </c>
      <c r="K346" s="96">
        <f t="shared" si="16"/>
        <v>0</v>
      </c>
      <c r="L346" s="96">
        <f t="shared" si="17"/>
        <v>1</v>
      </c>
      <c r="M346" s="96">
        <f t="shared" si="18"/>
        <v>0</v>
      </c>
    </row>
    <row r="347" spans="1:13" x14ac:dyDescent="0.45">
      <c r="A347">
        <v>2</v>
      </c>
      <c r="B347">
        <v>2</v>
      </c>
      <c r="C347">
        <v>1</v>
      </c>
      <c r="D347">
        <v>3</v>
      </c>
      <c r="E347">
        <v>2</v>
      </c>
      <c r="F347">
        <v>1</v>
      </c>
      <c r="G347">
        <v>5.3442633620280313</v>
      </c>
      <c r="H347">
        <v>1.932559496921088E-3</v>
      </c>
      <c r="I347">
        <v>-0.83682349232148023</v>
      </c>
      <c r="J347">
        <v>-1.6172111873325478E-3</v>
      </c>
      <c r="K347" s="96">
        <f t="shared" si="16"/>
        <v>0</v>
      </c>
      <c r="L347" s="96">
        <f t="shared" si="17"/>
        <v>1</v>
      </c>
      <c r="M347" s="96">
        <f t="shared" si="18"/>
        <v>0</v>
      </c>
    </row>
    <row r="348" spans="1:13" x14ac:dyDescent="0.45">
      <c r="A348">
        <v>2</v>
      </c>
      <c r="B348">
        <v>2</v>
      </c>
      <c r="C348">
        <v>1</v>
      </c>
      <c r="D348">
        <v>3</v>
      </c>
      <c r="E348">
        <v>2</v>
      </c>
      <c r="F348">
        <v>2</v>
      </c>
      <c r="G348">
        <v>5.9241878094155185</v>
      </c>
      <c r="H348">
        <v>1.932559496921088E-3</v>
      </c>
      <c r="I348">
        <v>-0.82080236192526046</v>
      </c>
      <c r="J348">
        <v>-1.5862493996339222E-3</v>
      </c>
      <c r="K348" s="96">
        <f t="shared" si="16"/>
        <v>0</v>
      </c>
      <c r="L348" s="96">
        <f t="shared" si="17"/>
        <v>1</v>
      </c>
      <c r="M348" s="96">
        <f t="shared" si="18"/>
        <v>0</v>
      </c>
    </row>
    <row r="349" spans="1:13" x14ac:dyDescent="0.45">
      <c r="A349">
        <v>2</v>
      </c>
      <c r="B349">
        <v>2</v>
      </c>
      <c r="C349">
        <v>1</v>
      </c>
      <c r="D349">
        <v>3</v>
      </c>
      <c r="E349">
        <v>2</v>
      </c>
      <c r="F349">
        <v>3</v>
      </c>
      <c r="G349">
        <v>6.359131144956141</v>
      </c>
      <c r="H349">
        <v>4.8749248570982399E-4</v>
      </c>
      <c r="I349">
        <v>-0.80898812700770417</v>
      </c>
      <c r="J349">
        <v>-3.9437563294472048E-4</v>
      </c>
      <c r="K349" s="96">
        <f t="shared" si="16"/>
        <v>0</v>
      </c>
      <c r="L349" s="96">
        <f t="shared" si="17"/>
        <v>1</v>
      </c>
      <c r="M349" s="96">
        <f t="shared" si="18"/>
        <v>0</v>
      </c>
    </row>
    <row r="350" spans="1:13" x14ac:dyDescent="0.45">
      <c r="A350">
        <v>2</v>
      </c>
      <c r="B350">
        <v>2</v>
      </c>
      <c r="C350">
        <v>1</v>
      </c>
      <c r="D350">
        <v>3</v>
      </c>
      <c r="E350">
        <v>3</v>
      </c>
      <c r="F350">
        <v>1</v>
      </c>
      <c r="G350">
        <v>5.3442633620280313</v>
      </c>
      <c r="H350">
        <v>4.8749248570982405E-4</v>
      </c>
      <c r="I350">
        <v>-0.83682349232148023</v>
      </c>
      <c r="J350">
        <v>-4.0794516437217424E-4</v>
      </c>
      <c r="K350" s="96">
        <f t="shared" si="16"/>
        <v>0</v>
      </c>
      <c r="L350" s="96">
        <f t="shared" si="17"/>
        <v>1</v>
      </c>
      <c r="M350" s="96">
        <f t="shared" si="18"/>
        <v>0</v>
      </c>
    </row>
    <row r="351" spans="1:13" x14ac:dyDescent="0.45">
      <c r="A351">
        <v>2</v>
      </c>
      <c r="B351">
        <v>2</v>
      </c>
      <c r="C351">
        <v>1</v>
      </c>
      <c r="D351">
        <v>3</v>
      </c>
      <c r="E351">
        <v>3</v>
      </c>
      <c r="F351">
        <v>2</v>
      </c>
      <c r="G351">
        <v>5.9241878094155185</v>
      </c>
      <c r="H351">
        <v>4.8749248570982405E-4</v>
      </c>
      <c r="I351">
        <v>-0.82080236192526046</v>
      </c>
      <c r="J351">
        <v>-4.0013498369143984E-4</v>
      </c>
      <c r="K351" s="96">
        <f t="shared" si="16"/>
        <v>0</v>
      </c>
      <c r="L351" s="96">
        <f t="shared" si="17"/>
        <v>1</v>
      </c>
      <c r="M351" s="96">
        <f t="shared" si="18"/>
        <v>0</v>
      </c>
    </row>
    <row r="352" spans="1:13" x14ac:dyDescent="0.45">
      <c r="A352">
        <v>2</v>
      </c>
      <c r="B352">
        <v>2</v>
      </c>
      <c r="C352">
        <v>1</v>
      </c>
      <c r="D352">
        <v>3</v>
      </c>
      <c r="E352">
        <v>3</v>
      </c>
      <c r="F352">
        <v>3</v>
      </c>
      <c r="G352">
        <v>6.359131144956141</v>
      </c>
      <c r="H352">
        <v>1.2297107747635201E-4</v>
      </c>
      <c r="I352">
        <v>-0.80898812700770417</v>
      </c>
      <c r="J352">
        <v>-9.9482141643713286E-5</v>
      </c>
      <c r="K352" s="96">
        <f t="shared" si="16"/>
        <v>0</v>
      </c>
      <c r="L352" s="96">
        <f t="shared" si="17"/>
        <v>1</v>
      </c>
      <c r="M352" s="96">
        <f t="shared" si="18"/>
        <v>0</v>
      </c>
    </row>
    <row r="353" spans="1:13" x14ac:dyDescent="0.45">
      <c r="A353">
        <v>2</v>
      </c>
      <c r="B353">
        <v>2</v>
      </c>
      <c r="C353">
        <v>2</v>
      </c>
      <c r="D353">
        <v>1</v>
      </c>
      <c r="E353">
        <v>1</v>
      </c>
      <c r="F353">
        <v>1</v>
      </c>
      <c r="G353">
        <v>6.6490933686498845</v>
      </c>
      <c r="H353">
        <v>7.6612180056514559E-3</v>
      </c>
      <c r="I353">
        <v>-0.80120659355766244</v>
      </c>
      <c r="J353">
        <v>-6.1382183808106313E-3</v>
      </c>
      <c r="K353" s="96">
        <f t="shared" si="16"/>
        <v>0</v>
      </c>
      <c r="L353" s="96">
        <f t="shared" si="17"/>
        <v>1</v>
      </c>
      <c r="M353" s="96">
        <f t="shared" si="18"/>
        <v>0</v>
      </c>
    </row>
    <row r="354" spans="1:13" x14ac:dyDescent="0.45">
      <c r="A354">
        <v>2</v>
      </c>
      <c r="B354">
        <v>2</v>
      </c>
      <c r="C354">
        <v>2</v>
      </c>
      <c r="D354">
        <v>1</v>
      </c>
      <c r="E354">
        <v>1</v>
      </c>
      <c r="F354">
        <v>2</v>
      </c>
      <c r="G354">
        <v>7.3628465346652527</v>
      </c>
      <c r="H354">
        <v>7.6612180056514559E-3</v>
      </c>
      <c r="I354">
        <v>-0.78236944196131597</v>
      </c>
      <c r="J354">
        <v>-5.9939028558255152E-3</v>
      </c>
      <c r="K354" s="96">
        <f t="shared" si="16"/>
        <v>0</v>
      </c>
      <c r="L354" s="96">
        <f t="shared" si="17"/>
        <v>1</v>
      </c>
      <c r="M354" s="96">
        <f t="shared" si="18"/>
        <v>0</v>
      </c>
    </row>
    <row r="355" spans="1:13" x14ac:dyDescent="0.45">
      <c r="A355">
        <v>2</v>
      </c>
      <c r="B355">
        <v>2</v>
      </c>
      <c r="C355">
        <v>2</v>
      </c>
      <c r="D355">
        <v>1</v>
      </c>
      <c r="E355">
        <v>1</v>
      </c>
      <c r="F355">
        <v>3</v>
      </c>
      <c r="G355">
        <v>7.8981614091767884</v>
      </c>
      <c r="H355">
        <v>1.932559496921088E-3</v>
      </c>
      <c r="I355">
        <v>-0.76853279184986056</v>
      </c>
      <c r="J355">
        <v>-1.4852353455847257E-3</v>
      </c>
      <c r="K355" s="96">
        <f t="shared" si="16"/>
        <v>0</v>
      </c>
      <c r="L355" s="96">
        <f t="shared" si="17"/>
        <v>1</v>
      </c>
      <c r="M355" s="96">
        <f t="shared" si="18"/>
        <v>0</v>
      </c>
    </row>
    <row r="356" spans="1:13" x14ac:dyDescent="0.45">
      <c r="A356">
        <v>2</v>
      </c>
      <c r="B356">
        <v>2</v>
      </c>
      <c r="C356">
        <v>2</v>
      </c>
      <c r="D356">
        <v>1</v>
      </c>
      <c r="E356">
        <v>2</v>
      </c>
      <c r="F356">
        <v>1</v>
      </c>
      <c r="G356">
        <v>6.6490933686498845</v>
      </c>
      <c r="H356">
        <v>7.6612180056514559E-3</v>
      </c>
      <c r="I356">
        <v>-0.80120659355766244</v>
      </c>
      <c r="J356">
        <v>-6.1382183808106313E-3</v>
      </c>
      <c r="K356" s="96">
        <f t="shared" si="16"/>
        <v>0</v>
      </c>
      <c r="L356" s="96">
        <f t="shared" si="17"/>
        <v>1</v>
      </c>
      <c r="M356" s="96">
        <f t="shared" si="18"/>
        <v>0</v>
      </c>
    </row>
    <row r="357" spans="1:13" x14ac:dyDescent="0.45">
      <c r="A357">
        <v>2</v>
      </c>
      <c r="B357">
        <v>2</v>
      </c>
      <c r="C357">
        <v>2</v>
      </c>
      <c r="D357">
        <v>1</v>
      </c>
      <c r="E357">
        <v>2</v>
      </c>
      <c r="F357">
        <v>2</v>
      </c>
      <c r="G357">
        <v>7.3628465346652527</v>
      </c>
      <c r="H357">
        <v>7.6612180056514559E-3</v>
      </c>
      <c r="I357">
        <v>-0.78236944196131597</v>
      </c>
      <c r="J357">
        <v>-5.9939028558255152E-3</v>
      </c>
      <c r="K357" s="96">
        <f t="shared" si="16"/>
        <v>0</v>
      </c>
      <c r="L357" s="96">
        <f t="shared" si="17"/>
        <v>1</v>
      </c>
      <c r="M357" s="96">
        <f t="shared" si="18"/>
        <v>0</v>
      </c>
    </row>
    <row r="358" spans="1:13" x14ac:dyDescent="0.45">
      <c r="A358">
        <v>2</v>
      </c>
      <c r="B358">
        <v>2</v>
      </c>
      <c r="C358">
        <v>2</v>
      </c>
      <c r="D358">
        <v>1</v>
      </c>
      <c r="E358">
        <v>2</v>
      </c>
      <c r="F358">
        <v>3</v>
      </c>
      <c r="G358">
        <v>7.8981614091767884</v>
      </c>
      <c r="H358">
        <v>1.932559496921088E-3</v>
      </c>
      <c r="I358">
        <v>-0.76853279184986056</v>
      </c>
      <c r="J358">
        <v>-1.4852353455847257E-3</v>
      </c>
      <c r="K358" s="96">
        <f t="shared" si="16"/>
        <v>0</v>
      </c>
      <c r="L358" s="96">
        <f t="shared" si="17"/>
        <v>1</v>
      </c>
      <c r="M358" s="96">
        <f t="shared" si="18"/>
        <v>0</v>
      </c>
    </row>
    <row r="359" spans="1:13" x14ac:dyDescent="0.45">
      <c r="A359">
        <v>2</v>
      </c>
      <c r="B359">
        <v>2</v>
      </c>
      <c r="C359">
        <v>2</v>
      </c>
      <c r="D359">
        <v>1</v>
      </c>
      <c r="E359">
        <v>3</v>
      </c>
      <c r="F359">
        <v>1</v>
      </c>
      <c r="G359">
        <v>6.6490933686498845</v>
      </c>
      <c r="H359">
        <v>1.932559496921088E-3</v>
      </c>
      <c r="I359">
        <v>-0.80120659355766244</v>
      </c>
      <c r="J359">
        <v>-1.5483794113756548E-3</v>
      </c>
      <c r="K359" s="96">
        <f t="shared" si="16"/>
        <v>0</v>
      </c>
      <c r="L359" s="96">
        <f t="shared" si="17"/>
        <v>1</v>
      </c>
      <c r="M359" s="96">
        <f t="shared" si="18"/>
        <v>0</v>
      </c>
    </row>
    <row r="360" spans="1:13" x14ac:dyDescent="0.45">
      <c r="A360">
        <v>2</v>
      </c>
      <c r="B360">
        <v>2</v>
      </c>
      <c r="C360">
        <v>2</v>
      </c>
      <c r="D360">
        <v>1</v>
      </c>
      <c r="E360">
        <v>3</v>
      </c>
      <c r="F360">
        <v>2</v>
      </c>
      <c r="G360">
        <v>7.3628465346652527</v>
      </c>
      <c r="H360">
        <v>1.932559496921088E-3</v>
      </c>
      <c r="I360">
        <v>-0.78236944196131597</v>
      </c>
      <c r="J360">
        <v>-1.511975495163193E-3</v>
      </c>
      <c r="K360" s="96">
        <f t="shared" si="16"/>
        <v>0</v>
      </c>
      <c r="L360" s="96">
        <f t="shared" si="17"/>
        <v>1</v>
      </c>
      <c r="M360" s="96">
        <f t="shared" si="18"/>
        <v>0</v>
      </c>
    </row>
    <row r="361" spans="1:13" x14ac:dyDescent="0.45">
      <c r="A361">
        <v>2</v>
      </c>
      <c r="B361">
        <v>2</v>
      </c>
      <c r="C361">
        <v>2</v>
      </c>
      <c r="D361">
        <v>1</v>
      </c>
      <c r="E361">
        <v>3</v>
      </c>
      <c r="F361">
        <v>3</v>
      </c>
      <c r="G361">
        <v>7.8981614091767884</v>
      </c>
      <c r="H361">
        <v>4.8749248570982399E-4</v>
      </c>
      <c r="I361">
        <v>-0.76853279184986056</v>
      </c>
      <c r="J361">
        <v>-3.746539610483993E-4</v>
      </c>
      <c r="K361" s="96">
        <f t="shared" si="16"/>
        <v>0</v>
      </c>
      <c r="L361" s="96">
        <f t="shared" si="17"/>
        <v>1</v>
      </c>
      <c r="M361" s="96">
        <f t="shared" si="18"/>
        <v>0</v>
      </c>
    </row>
    <row r="362" spans="1:13" x14ac:dyDescent="0.45">
      <c r="A362">
        <v>2</v>
      </c>
      <c r="B362">
        <v>2</v>
      </c>
      <c r="C362">
        <v>2</v>
      </c>
      <c r="D362">
        <v>2</v>
      </c>
      <c r="E362">
        <v>1</v>
      </c>
      <c r="F362">
        <v>1</v>
      </c>
      <c r="G362">
        <v>6.6490933686498845</v>
      </c>
      <c r="H362">
        <v>7.6612180056514559E-3</v>
      </c>
      <c r="I362">
        <v>-0.80120659355766244</v>
      </c>
      <c r="J362">
        <v>-6.1382183808106313E-3</v>
      </c>
      <c r="K362" s="96">
        <f t="shared" si="16"/>
        <v>0</v>
      </c>
      <c r="L362" s="96">
        <f t="shared" si="17"/>
        <v>1</v>
      </c>
      <c r="M362" s="96">
        <f t="shared" si="18"/>
        <v>0</v>
      </c>
    </row>
    <row r="363" spans="1:13" x14ac:dyDescent="0.45">
      <c r="A363">
        <v>2</v>
      </c>
      <c r="B363">
        <v>2</v>
      </c>
      <c r="C363">
        <v>2</v>
      </c>
      <c r="D363">
        <v>2</v>
      </c>
      <c r="E363">
        <v>1</v>
      </c>
      <c r="F363">
        <v>2</v>
      </c>
      <c r="G363">
        <v>7.3628465346652527</v>
      </c>
      <c r="H363">
        <v>7.6612180056514559E-3</v>
      </c>
      <c r="I363">
        <v>-0.78236944196131597</v>
      </c>
      <c r="J363">
        <v>-5.9939028558255152E-3</v>
      </c>
      <c r="K363" s="96">
        <f t="shared" si="16"/>
        <v>0</v>
      </c>
      <c r="L363" s="96">
        <f t="shared" si="17"/>
        <v>1</v>
      </c>
      <c r="M363" s="96">
        <f t="shared" si="18"/>
        <v>0</v>
      </c>
    </row>
    <row r="364" spans="1:13" x14ac:dyDescent="0.4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  <c r="G364">
        <v>7.8981614091767884</v>
      </c>
      <c r="H364">
        <v>1.932559496921088E-3</v>
      </c>
      <c r="I364">
        <v>-0.76853279184986056</v>
      </c>
      <c r="J364">
        <v>-1.4852353455847257E-3</v>
      </c>
      <c r="K364" s="96">
        <f t="shared" si="16"/>
        <v>0</v>
      </c>
      <c r="L364" s="96">
        <f t="shared" si="17"/>
        <v>1</v>
      </c>
      <c r="M364" s="96">
        <f t="shared" si="18"/>
        <v>0</v>
      </c>
    </row>
    <row r="365" spans="1:13" x14ac:dyDescent="0.45">
      <c r="A365">
        <v>2</v>
      </c>
      <c r="B365">
        <v>2</v>
      </c>
      <c r="C365">
        <v>2</v>
      </c>
      <c r="D365">
        <v>2</v>
      </c>
      <c r="E365">
        <v>2</v>
      </c>
      <c r="F365">
        <v>1</v>
      </c>
      <c r="G365">
        <v>6.6490933686498845</v>
      </c>
      <c r="H365">
        <v>7.6612180056514559E-3</v>
      </c>
      <c r="I365">
        <v>-0.80120659355766244</v>
      </c>
      <c r="J365">
        <v>-6.1382183808106313E-3</v>
      </c>
      <c r="K365" s="96">
        <f t="shared" si="16"/>
        <v>0</v>
      </c>
      <c r="L365" s="96">
        <f t="shared" si="17"/>
        <v>1</v>
      </c>
      <c r="M365" s="96">
        <f t="shared" si="18"/>
        <v>0</v>
      </c>
    </row>
    <row r="366" spans="1:13" x14ac:dyDescent="0.45">
      <c r="A366">
        <v>2</v>
      </c>
      <c r="B366">
        <v>2</v>
      </c>
      <c r="C366">
        <v>2</v>
      </c>
      <c r="D366">
        <v>2</v>
      </c>
      <c r="E366">
        <v>2</v>
      </c>
      <c r="F366">
        <v>2</v>
      </c>
      <c r="G366">
        <v>7.3628465346652527</v>
      </c>
      <c r="H366">
        <v>7.6612180056514559E-3</v>
      </c>
      <c r="I366">
        <v>-0.78236944196131597</v>
      </c>
      <c r="J366">
        <v>-5.9939028558255152E-3</v>
      </c>
      <c r="K366" s="96">
        <f t="shared" si="16"/>
        <v>0</v>
      </c>
      <c r="L366" s="96">
        <f t="shared" si="17"/>
        <v>1</v>
      </c>
      <c r="M366" s="96">
        <f t="shared" si="18"/>
        <v>0</v>
      </c>
    </row>
    <row r="367" spans="1:13" x14ac:dyDescent="0.45">
      <c r="A367">
        <v>2</v>
      </c>
      <c r="B367">
        <v>2</v>
      </c>
      <c r="C367">
        <v>2</v>
      </c>
      <c r="D367">
        <v>2</v>
      </c>
      <c r="E367">
        <v>2</v>
      </c>
      <c r="F367">
        <v>3</v>
      </c>
      <c r="G367">
        <v>7.8981614091767884</v>
      </c>
      <c r="H367">
        <v>1.932559496921088E-3</v>
      </c>
      <c r="I367">
        <v>-0.76853279184986056</v>
      </c>
      <c r="J367">
        <v>-1.4852353455847257E-3</v>
      </c>
      <c r="K367" s="96">
        <f t="shared" si="16"/>
        <v>0</v>
      </c>
      <c r="L367" s="96">
        <f t="shared" si="17"/>
        <v>1</v>
      </c>
      <c r="M367" s="96">
        <f t="shared" si="18"/>
        <v>0</v>
      </c>
    </row>
    <row r="368" spans="1:13" x14ac:dyDescent="0.45">
      <c r="A368">
        <v>2</v>
      </c>
      <c r="B368">
        <v>2</v>
      </c>
      <c r="C368">
        <v>2</v>
      </c>
      <c r="D368">
        <v>2</v>
      </c>
      <c r="E368">
        <v>3</v>
      </c>
      <c r="F368">
        <v>1</v>
      </c>
      <c r="G368">
        <v>6.6490933686498845</v>
      </c>
      <c r="H368">
        <v>1.932559496921088E-3</v>
      </c>
      <c r="I368">
        <v>-0.80120659355766244</v>
      </c>
      <c r="J368">
        <v>-1.5483794113756548E-3</v>
      </c>
      <c r="K368" s="96">
        <f t="shared" si="16"/>
        <v>0</v>
      </c>
      <c r="L368" s="96">
        <f t="shared" si="17"/>
        <v>1</v>
      </c>
      <c r="M368" s="96">
        <f t="shared" si="18"/>
        <v>0</v>
      </c>
    </row>
    <row r="369" spans="1:13" x14ac:dyDescent="0.45">
      <c r="A369">
        <v>2</v>
      </c>
      <c r="B369">
        <v>2</v>
      </c>
      <c r="C369">
        <v>2</v>
      </c>
      <c r="D369">
        <v>2</v>
      </c>
      <c r="E369">
        <v>3</v>
      </c>
      <c r="F369">
        <v>2</v>
      </c>
      <c r="G369">
        <v>7.3628465346652527</v>
      </c>
      <c r="H369">
        <v>1.932559496921088E-3</v>
      </c>
      <c r="I369">
        <v>-0.78236944196131597</v>
      </c>
      <c r="J369">
        <v>-1.511975495163193E-3</v>
      </c>
      <c r="K369" s="96">
        <f t="shared" si="16"/>
        <v>0</v>
      </c>
      <c r="L369" s="96">
        <f t="shared" si="17"/>
        <v>1</v>
      </c>
      <c r="M369" s="96">
        <f t="shared" si="18"/>
        <v>0</v>
      </c>
    </row>
    <row r="370" spans="1:13" x14ac:dyDescent="0.45">
      <c r="A370">
        <v>2</v>
      </c>
      <c r="B370">
        <v>2</v>
      </c>
      <c r="C370">
        <v>2</v>
      </c>
      <c r="D370">
        <v>2</v>
      </c>
      <c r="E370">
        <v>3</v>
      </c>
      <c r="F370">
        <v>3</v>
      </c>
      <c r="G370">
        <v>7.8981614091767884</v>
      </c>
      <c r="H370">
        <v>4.8749248570982399E-4</v>
      </c>
      <c r="I370">
        <v>-0.76853279184986056</v>
      </c>
      <c r="J370">
        <v>-3.746539610483993E-4</v>
      </c>
      <c r="K370" s="96">
        <f t="shared" si="16"/>
        <v>0</v>
      </c>
      <c r="L370" s="96">
        <f t="shared" si="17"/>
        <v>1</v>
      </c>
      <c r="M370" s="96">
        <f t="shared" si="18"/>
        <v>0</v>
      </c>
    </row>
    <row r="371" spans="1:13" x14ac:dyDescent="0.45">
      <c r="A371">
        <v>2</v>
      </c>
      <c r="B371">
        <v>2</v>
      </c>
      <c r="C371">
        <v>2</v>
      </c>
      <c r="D371">
        <v>3</v>
      </c>
      <c r="E371">
        <v>1</v>
      </c>
      <c r="F371">
        <v>1</v>
      </c>
      <c r="G371">
        <v>6.6490933686498845</v>
      </c>
      <c r="H371">
        <v>1.932559496921088E-3</v>
      </c>
      <c r="I371">
        <v>-0.80120659355766244</v>
      </c>
      <c r="J371">
        <v>-1.5483794113756548E-3</v>
      </c>
      <c r="K371" s="96">
        <f t="shared" si="16"/>
        <v>0</v>
      </c>
      <c r="L371" s="96">
        <f t="shared" si="17"/>
        <v>1</v>
      </c>
      <c r="M371" s="96">
        <f t="shared" si="18"/>
        <v>0</v>
      </c>
    </row>
    <row r="372" spans="1:13" x14ac:dyDescent="0.45">
      <c r="A372">
        <v>2</v>
      </c>
      <c r="B372">
        <v>2</v>
      </c>
      <c r="C372">
        <v>2</v>
      </c>
      <c r="D372">
        <v>3</v>
      </c>
      <c r="E372">
        <v>1</v>
      </c>
      <c r="F372">
        <v>2</v>
      </c>
      <c r="G372">
        <v>7.3628465346652527</v>
      </c>
      <c r="H372">
        <v>1.932559496921088E-3</v>
      </c>
      <c r="I372">
        <v>-0.78236944196131597</v>
      </c>
      <c r="J372">
        <v>-1.511975495163193E-3</v>
      </c>
      <c r="K372" s="96">
        <f t="shared" si="16"/>
        <v>0</v>
      </c>
      <c r="L372" s="96">
        <f t="shared" si="17"/>
        <v>1</v>
      </c>
      <c r="M372" s="96">
        <f t="shared" si="18"/>
        <v>0</v>
      </c>
    </row>
    <row r="373" spans="1:13" x14ac:dyDescent="0.45">
      <c r="A373">
        <v>2</v>
      </c>
      <c r="B373">
        <v>2</v>
      </c>
      <c r="C373">
        <v>2</v>
      </c>
      <c r="D373">
        <v>3</v>
      </c>
      <c r="E373">
        <v>1</v>
      </c>
      <c r="F373">
        <v>3</v>
      </c>
      <c r="G373">
        <v>7.8981614091767884</v>
      </c>
      <c r="H373">
        <v>4.8749248570982399E-4</v>
      </c>
      <c r="I373">
        <v>-0.76853279184986056</v>
      </c>
      <c r="J373">
        <v>-3.746539610483993E-4</v>
      </c>
      <c r="K373" s="96">
        <f t="shared" si="16"/>
        <v>0</v>
      </c>
      <c r="L373" s="96">
        <f t="shared" si="17"/>
        <v>1</v>
      </c>
      <c r="M373" s="96">
        <f t="shared" si="18"/>
        <v>0</v>
      </c>
    </row>
    <row r="374" spans="1:13" x14ac:dyDescent="0.45">
      <c r="A374">
        <v>2</v>
      </c>
      <c r="B374">
        <v>2</v>
      </c>
      <c r="C374">
        <v>2</v>
      </c>
      <c r="D374">
        <v>3</v>
      </c>
      <c r="E374">
        <v>2</v>
      </c>
      <c r="F374">
        <v>1</v>
      </c>
      <c r="G374">
        <v>6.6490933686498845</v>
      </c>
      <c r="H374">
        <v>1.932559496921088E-3</v>
      </c>
      <c r="I374">
        <v>-0.80120659355766244</v>
      </c>
      <c r="J374">
        <v>-1.5483794113756548E-3</v>
      </c>
      <c r="K374" s="96">
        <f t="shared" si="16"/>
        <v>0</v>
      </c>
      <c r="L374" s="96">
        <f t="shared" si="17"/>
        <v>1</v>
      </c>
      <c r="M374" s="96">
        <f t="shared" si="18"/>
        <v>0</v>
      </c>
    </row>
    <row r="375" spans="1:13" x14ac:dyDescent="0.45">
      <c r="A375">
        <v>2</v>
      </c>
      <c r="B375">
        <v>2</v>
      </c>
      <c r="C375">
        <v>2</v>
      </c>
      <c r="D375">
        <v>3</v>
      </c>
      <c r="E375">
        <v>2</v>
      </c>
      <c r="F375">
        <v>2</v>
      </c>
      <c r="G375">
        <v>7.3628465346652527</v>
      </c>
      <c r="H375">
        <v>1.932559496921088E-3</v>
      </c>
      <c r="I375">
        <v>-0.78236944196131597</v>
      </c>
      <c r="J375">
        <v>-1.511975495163193E-3</v>
      </c>
      <c r="K375" s="96">
        <f t="shared" si="16"/>
        <v>0</v>
      </c>
      <c r="L375" s="96">
        <f t="shared" si="17"/>
        <v>1</v>
      </c>
      <c r="M375" s="96">
        <f t="shared" si="18"/>
        <v>0</v>
      </c>
    </row>
    <row r="376" spans="1:13" x14ac:dyDescent="0.45">
      <c r="A376">
        <v>2</v>
      </c>
      <c r="B376">
        <v>2</v>
      </c>
      <c r="C376">
        <v>2</v>
      </c>
      <c r="D376">
        <v>3</v>
      </c>
      <c r="E376">
        <v>2</v>
      </c>
      <c r="F376">
        <v>3</v>
      </c>
      <c r="G376">
        <v>7.8981614091767884</v>
      </c>
      <c r="H376">
        <v>4.8749248570982399E-4</v>
      </c>
      <c r="I376">
        <v>-0.76853279184986056</v>
      </c>
      <c r="J376">
        <v>-3.746539610483993E-4</v>
      </c>
      <c r="K376" s="96">
        <f t="shared" si="16"/>
        <v>0</v>
      </c>
      <c r="L376" s="96">
        <f t="shared" si="17"/>
        <v>1</v>
      </c>
      <c r="M376" s="96">
        <f t="shared" si="18"/>
        <v>0</v>
      </c>
    </row>
    <row r="377" spans="1:13" x14ac:dyDescent="0.45">
      <c r="A377">
        <v>2</v>
      </c>
      <c r="B377">
        <v>2</v>
      </c>
      <c r="C377">
        <v>2</v>
      </c>
      <c r="D377">
        <v>3</v>
      </c>
      <c r="E377">
        <v>3</v>
      </c>
      <c r="F377">
        <v>1</v>
      </c>
      <c r="G377">
        <v>6.6490933686498845</v>
      </c>
      <c r="H377">
        <v>4.8749248570982405E-4</v>
      </c>
      <c r="I377">
        <v>-0.80120659355766244</v>
      </c>
      <c r="J377">
        <v>-3.9058219386052556E-4</v>
      </c>
      <c r="K377" s="96">
        <f t="shared" si="16"/>
        <v>0</v>
      </c>
      <c r="L377" s="96">
        <f t="shared" si="17"/>
        <v>1</v>
      </c>
      <c r="M377" s="96">
        <f t="shared" si="18"/>
        <v>0</v>
      </c>
    </row>
    <row r="378" spans="1:13" x14ac:dyDescent="0.45">
      <c r="A378">
        <v>2</v>
      </c>
      <c r="B378">
        <v>2</v>
      </c>
      <c r="C378">
        <v>2</v>
      </c>
      <c r="D378">
        <v>3</v>
      </c>
      <c r="E378">
        <v>3</v>
      </c>
      <c r="F378">
        <v>2</v>
      </c>
      <c r="G378">
        <v>7.3628465346652527</v>
      </c>
      <c r="H378">
        <v>4.8749248570982405E-4</v>
      </c>
      <c r="I378">
        <v>-0.78236944196131597</v>
      </c>
      <c r="J378">
        <v>-3.8139922400512986E-4</v>
      </c>
      <c r="K378" s="96">
        <f t="shared" si="16"/>
        <v>0</v>
      </c>
      <c r="L378" s="96">
        <f t="shared" si="17"/>
        <v>1</v>
      </c>
      <c r="M378" s="96">
        <f t="shared" si="18"/>
        <v>0</v>
      </c>
    </row>
    <row r="379" spans="1:13" x14ac:dyDescent="0.45">
      <c r="A379">
        <v>2</v>
      </c>
      <c r="B379">
        <v>2</v>
      </c>
      <c r="C379">
        <v>2</v>
      </c>
      <c r="D379">
        <v>3</v>
      </c>
      <c r="E379">
        <v>3</v>
      </c>
      <c r="F379">
        <v>3</v>
      </c>
      <c r="G379">
        <v>7.8981614091767884</v>
      </c>
      <c r="H379">
        <v>1.2297107747635201E-4</v>
      </c>
      <c r="I379">
        <v>-0.76853279184986056</v>
      </c>
      <c r="J379">
        <v>-9.4507305489686317E-5</v>
      </c>
      <c r="K379" s="96">
        <f t="shared" si="16"/>
        <v>0</v>
      </c>
      <c r="L379" s="96">
        <f t="shared" si="17"/>
        <v>1</v>
      </c>
      <c r="M379" s="96">
        <f t="shared" si="18"/>
        <v>0</v>
      </c>
    </row>
    <row r="380" spans="1:13" x14ac:dyDescent="0.45">
      <c r="A380">
        <v>2</v>
      </c>
      <c r="B380">
        <v>2</v>
      </c>
      <c r="C380">
        <v>3</v>
      </c>
      <c r="D380">
        <v>1</v>
      </c>
      <c r="E380">
        <v>1</v>
      </c>
      <c r="F380">
        <v>1</v>
      </c>
      <c r="G380">
        <v>7.5189800397311251</v>
      </c>
      <c r="H380">
        <v>1.932559496921088E-3</v>
      </c>
      <c r="I380">
        <v>-0.77830821657651794</v>
      </c>
      <c r="J380">
        <v>-1.5041269354766646E-3</v>
      </c>
      <c r="K380" s="96">
        <f t="shared" si="16"/>
        <v>0</v>
      </c>
      <c r="L380" s="96">
        <f t="shared" si="17"/>
        <v>1</v>
      </c>
      <c r="M380" s="96">
        <f t="shared" si="18"/>
        <v>0</v>
      </c>
    </row>
    <row r="381" spans="1:13" x14ac:dyDescent="0.45">
      <c r="A381">
        <v>2</v>
      </c>
      <c r="B381">
        <v>2</v>
      </c>
      <c r="C381">
        <v>3</v>
      </c>
      <c r="D381">
        <v>1</v>
      </c>
      <c r="E381">
        <v>1</v>
      </c>
      <c r="F381">
        <v>2</v>
      </c>
      <c r="G381">
        <v>8.3219523514984175</v>
      </c>
      <c r="H381">
        <v>1.932559496921088E-3</v>
      </c>
      <c r="I381">
        <v>-0.75775253947275223</v>
      </c>
      <c r="J381">
        <v>-1.4644018664741389E-3</v>
      </c>
      <c r="K381" s="96">
        <f t="shared" si="16"/>
        <v>0</v>
      </c>
      <c r="L381" s="96">
        <f t="shared" si="17"/>
        <v>1</v>
      </c>
      <c r="M381" s="96">
        <f t="shared" si="18"/>
        <v>0</v>
      </c>
    </row>
    <row r="382" spans="1:13" x14ac:dyDescent="0.45">
      <c r="A382">
        <v>2</v>
      </c>
      <c r="B382">
        <v>2</v>
      </c>
      <c r="C382">
        <v>3</v>
      </c>
      <c r="D382">
        <v>1</v>
      </c>
      <c r="E382">
        <v>1</v>
      </c>
      <c r="F382">
        <v>3</v>
      </c>
      <c r="G382">
        <v>8.9241815853238808</v>
      </c>
      <c r="H382">
        <v>4.8749248570982399E-4</v>
      </c>
      <c r="I382">
        <v>-0.74269284396853119</v>
      </c>
      <c r="J382">
        <v>-3.6205718062511772E-4</v>
      </c>
      <c r="K382" s="96">
        <f t="shared" si="16"/>
        <v>0</v>
      </c>
      <c r="L382" s="96">
        <f t="shared" si="17"/>
        <v>1</v>
      </c>
      <c r="M382" s="96">
        <f t="shared" si="18"/>
        <v>0</v>
      </c>
    </row>
    <row r="383" spans="1:13" x14ac:dyDescent="0.45">
      <c r="A383">
        <v>2</v>
      </c>
      <c r="B383">
        <v>2</v>
      </c>
      <c r="C383">
        <v>3</v>
      </c>
      <c r="D383">
        <v>1</v>
      </c>
      <c r="E383">
        <v>2</v>
      </c>
      <c r="F383">
        <v>1</v>
      </c>
      <c r="G383">
        <v>7.5189800397311251</v>
      </c>
      <c r="H383">
        <v>1.932559496921088E-3</v>
      </c>
      <c r="I383">
        <v>-0.77830821657651794</v>
      </c>
      <c r="J383">
        <v>-1.5041269354766646E-3</v>
      </c>
      <c r="K383" s="96">
        <f t="shared" si="16"/>
        <v>0</v>
      </c>
      <c r="L383" s="96">
        <f t="shared" si="17"/>
        <v>1</v>
      </c>
      <c r="M383" s="96">
        <f t="shared" si="18"/>
        <v>0</v>
      </c>
    </row>
    <row r="384" spans="1:13" x14ac:dyDescent="0.45">
      <c r="A384">
        <v>2</v>
      </c>
      <c r="B384">
        <v>2</v>
      </c>
      <c r="C384">
        <v>3</v>
      </c>
      <c r="D384">
        <v>1</v>
      </c>
      <c r="E384">
        <v>2</v>
      </c>
      <c r="F384">
        <v>2</v>
      </c>
      <c r="G384">
        <v>8.3219523514984175</v>
      </c>
      <c r="H384">
        <v>1.932559496921088E-3</v>
      </c>
      <c r="I384">
        <v>-0.75775253947275223</v>
      </c>
      <c r="J384">
        <v>-1.4644018664741389E-3</v>
      </c>
      <c r="K384" s="96">
        <f t="shared" si="16"/>
        <v>0</v>
      </c>
      <c r="L384" s="96">
        <f t="shared" si="17"/>
        <v>1</v>
      </c>
      <c r="M384" s="96">
        <f t="shared" si="18"/>
        <v>0</v>
      </c>
    </row>
    <row r="385" spans="1:13" x14ac:dyDescent="0.45">
      <c r="A385">
        <v>2</v>
      </c>
      <c r="B385">
        <v>2</v>
      </c>
      <c r="C385">
        <v>3</v>
      </c>
      <c r="D385">
        <v>1</v>
      </c>
      <c r="E385">
        <v>2</v>
      </c>
      <c r="F385">
        <v>3</v>
      </c>
      <c r="G385">
        <v>8.9241815853238808</v>
      </c>
      <c r="H385">
        <v>4.8749248570982399E-4</v>
      </c>
      <c r="I385">
        <v>-0.74269284396853119</v>
      </c>
      <c r="J385">
        <v>-3.6205718062511772E-4</v>
      </c>
      <c r="K385" s="96">
        <f t="shared" si="16"/>
        <v>0</v>
      </c>
      <c r="L385" s="96">
        <f t="shared" si="17"/>
        <v>1</v>
      </c>
      <c r="M385" s="96">
        <f t="shared" si="18"/>
        <v>0</v>
      </c>
    </row>
    <row r="386" spans="1:13" x14ac:dyDescent="0.45">
      <c r="A386">
        <v>2</v>
      </c>
      <c r="B386">
        <v>2</v>
      </c>
      <c r="C386">
        <v>3</v>
      </c>
      <c r="D386">
        <v>1</v>
      </c>
      <c r="E386">
        <v>3</v>
      </c>
      <c r="F386">
        <v>1</v>
      </c>
      <c r="G386">
        <v>7.5189800397311251</v>
      </c>
      <c r="H386">
        <v>4.8749248570982405E-4</v>
      </c>
      <c r="I386">
        <v>-0.77830821657651794</v>
      </c>
      <c r="J386">
        <v>-3.7941940714726684E-4</v>
      </c>
      <c r="K386" s="96">
        <f t="shared" si="16"/>
        <v>0</v>
      </c>
      <c r="L386" s="96">
        <f t="shared" si="17"/>
        <v>1</v>
      </c>
      <c r="M386" s="96">
        <f t="shared" si="18"/>
        <v>0</v>
      </c>
    </row>
    <row r="387" spans="1:13" x14ac:dyDescent="0.45">
      <c r="A387">
        <v>2</v>
      </c>
      <c r="B387">
        <v>2</v>
      </c>
      <c r="C387">
        <v>3</v>
      </c>
      <c r="D387">
        <v>1</v>
      </c>
      <c r="E387">
        <v>3</v>
      </c>
      <c r="F387">
        <v>2</v>
      </c>
      <c r="G387">
        <v>8.3219523514984175</v>
      </c>
      <c r="H387">
        <v>4.8749248570982405E-4</v>
      </c>
      <c r="I387">
        <v>-0.75775253947275223</v>
      </c>
      <c r="J387">
        <v>-3.6939866902050355E-4</v>
      </c>
      <c r="K387" s="96">
        <f t="shared" ref="K387:K450" si="19">IF(A387=3,1,0)</f>
        <v>0</v>
      </c>
      <c r="L387" s="96">
        <f t="shared" ref="L387:L450" si="20">IF(A387=2,1,0)</f>
        <v>1</v>
      </c>
      <c r="M387" s="96">
        <f t="shared" ref="M387:M450" si="21">IF(A387=1,1,0)</f>
        <v>0</v>
      </c>
    </row>
    <row r="388" spans="1:13" x14ac:dyDescent="0.45">
      <c r="A388">
        <v>2</v>
      </c>
      <c r="B388">
        <v>2</v>
      </c>
      <c r="C388">
        <v>3</v>
      </c>
      <c r="D388">
        <v>1</v>
      </c>
      <c r="E388">
        <v>3</v>
      </c>
      <c r="F388">
        <v>3</v>
      </c>
      <c r="G388">
        <v>8.9241815853238808</v>
      </c>
      <c r="H388">
        <v>1.2297107747635201E-4</v>
      </c>
      <c r="I388">
        <v>-0.74269284396853119</v>
      </c>
      <c r="J388">
        <v>-9.1329739256786462E-5</v>
      </c>
      <c r="K388" s="96">
        <f t="shared" si="19"/>
        <v>0</v>
      </c>
      <c r="L388" s="96">
        <f t="shared" si="20"/>
        <v>1</v>
      </c>
      <c r="M388" s="96">
        <f t="shared" si="21"/>
        <v>0</v>
      </c>
    </row>
    <row r="389" spans="1:13" x14ac:dyDescent="0.45">
      <c r="A389">
        <v>2</v>
      </c>
      <c r="B389">
        <v>2</v>
      </c>
      <c r="C389">
        <v>3</v>
      </c>
      <c r="D389">
        <v>2</v>
      </c>
      <c r="E389">
        <v>1</v>
      </c>
      <c r="F389">
        <v>1</v>
      </c>
      <c r="G389">
        <v>7.5189800397311251</v>
      </c>
      <c r="H389">
        <v>1.932559496921088E-3</v>
      </c>
      <c r="I389">
        <v>-0.77830821657651794</v>
      </c>
      <c r="J389">
        <v>-1.5041269354766646E-3</v>
      </c>
      <c r="K389" s="96">
        <f t="shared" si="19"/>
        <v>0</v>
      </c>
      <c r="L389" s="96">
        <f t="shared" si="20"/>
        <v>1</v>
      </c>
      <c r="M389" s="96">
        <f t="shared" si="21"/>
        <v>0</v>
      </c>
    </row>
    <row r="390" spans="1:13" x14ac:dyDescent="0.45">
      <c r="A390">
        <v>2</v>
      </c>
      <c r="B390">
        <v>2</v>
      </c>
      <c r="C390">
        <v>3</v>
      </c>
      <c r="D390">
        <v>2</v>
      </c>
      <c r="E390">
        <v>1</v>
      </c>
      <c r="F390">
        <v>2</v>
      </c>
      <c r="G390">
        <v>8.3219523514984175</v>
      </c>
      <c r="H390">
        <v>1.932559496921088E-3</v>
      </c>
      <c r="I390">
        <v>-0.75775253947275223</v>
      </c>
      <c r="J390">
        <v>-1.4644018664741389E-3</v>
      </c>
      <c r="K390" s="96">
        <f t="shared" si="19"/>
        <v>0</v>
      </c>
      <c r="L390" s="96">
        <f t="shared" si="20"/>
        <v>1</v>
      </c>
      <c r="M390" s="96">
        <f t="shared" si="21"/>
        <v>0</v>
      </c>
    </row>
    <row r="391" spans="1:13" x14ac:dyDescent="0.45">
      <c r="A391">
        <v>2</v>
      </c>
      <c r="B391">
        <v>2</v>
      </c>
      <c r="C391">
        <v>3</v>
      </c>
      <c r="D391">
        <v>2</v>
      </c>
      <c r="E391">
        <v>1</v>
      </c>
      <c r="F391">
        <v>3</v>
      </c>
      <c r="G391">
        <v>8.9241815853238808</v>
      </c>
      <c r="H391">
        <v>4.8749248570982399E-4</v>
      </c>
      <c r="I391">
        <v>-0.74269284396853119</v>
      </c>
      <c r="J391">
        <v>-3.6205718062511772E-4</v>
      </c>
      <c r="K391" s="96">
        <f t="shared" si="19"/>
        <v>0</v>
      </c>
      <c r="L391" s="96">
        <f t="shared" si="20"/>
        <v>1</v>
      </c>
      <c r="M391" s="96">
        <f t="shared" si="21"/>
        <v>0</v>
      </c>
    </row>
    <row r="392" spans="1:13" x14ac:dyDescent="0.45">
      <c r="A392">
        <v>2</v>
      </c>
      <c r="B392">
        <v>2</v>
      </c>
      <c r="C392">
        <v>3</v>
      </c>
      <c r="D392">
        <v>2</v>
      </c>
      <c r="E392">
        <v>2</v>
      </c>
      <c r="F392">
        <v>1</v>
      </c>
      <c r="G392">
        <v>7.5189800397311251</v>
      </c>
      <c r="H392">
        <v>1.932559496921088E-3</v>
      </c>
      <c r="I392">
        <v>-0.77830821657651794</v>
      </c>
      <c r="J392">
        <v>-1.5041269354766646E-3</v>
      </c>
      <c r="K392" s="96">
        <f t="shared" si="19"/>
        <v>0</v>
      </c>
      <c r="L392" s="96">
        <f t="shared" si="20"/>
        <v>1</v>
      </c>
      <c r="M392" s="96">
        <f t="shared" si="21"/>
        <v>0</v>
      </c>
    </row>
    <row r="393" spans="1:13" x14ac:dyDescent="0.45">
      <c r="A393">
        <v>2</v>
      </c>
      <c r="B393">
        <v>2</v>
      </c>
      <c r="C393">
        <v>3</v>
      </c>
      <c r="D393">
        <v>2</v>
      </c>
      <c r="E393">
        <v>2</v>
      </c>
      <c r="F393">
        <v>2</v>
      </c>
      <c r="G393">
        <v>8.3219523514984175</v>
      </c>
      <c r="H393">
        <v>1.932559496921088E-3</v>
      </c>
      <c r="I393">
        <v>-0.75775253947275223</v>
      </c>
      <c r="J393">
        <v>-1.4644018664741389E-3</v>
      </c>
      <c r="K393" s="96">
        <f t="shared" si="19"/>
        <v>0</v>
      </c>
      <c r="L393" s="96">
        <f t="shared" si="20"/>
        <v>1</v>
      </c>
      <c r="M393" s="96">
        <f t="shared" si="21"/>
        <v>0</v>
      </c>
    </row>
    <row r="394" spans="1:13" x14ac:dyDescent="0.45">
      <c r="A394">
        <v>2</v>
      </c>
      <c r="B394">
        <v>2</v>
      </c>
      <c r="C394">
        <v>3</v>
      </c>
      <c r="D394">
        <v>2</v>
      </c>
      <c r="E394">
        <v>2</v>
      </c>
      <c r="F394">
        <v>3</v>
      </c>
      <c r="G394">
        <v>8.9241815853238808</v>
      </c>
      <c r="H394">
        <v>4.8749248570982399E-4</v>
      </c>
      <c r="I394">
        <v>-0.74269284396853119</v>
      </c>
      <c r="J394">
        <v>-3.6205718062511772E-4</v>
      </c>
      <c r="K394" s="96">
        <f t="shared" si="19"/>
        <v>0</v>
      </c>
      <c r="L394" s="96">
        <f t="shared" si="20"/>
        <v>1</v>
      </c>
      <c r="M394" s="96">
        <f t="shared" si="21"/>
        <v>0</v>
      </c>
    </row>
    <row r="395" spans="1:13" x14ac:dyDescent="0.45">
      <c r="A395">
        <v>2</v>
      </c>
      <c r="B395">
        <v>2</v>
      </c>
      <c r="C395">
        <v>3</v>
      </c>
      <c r="D395">
        <v>2</v>
      </c>
      <c r="E395">
        <v>3</v>
      </c>
      <c r="F395">
        <v>1</v>
      </c>
      <c r="G395">
        <v>7.5189800397311251</v>
      </c>
      <c r="H395">
        <v>4.8749248570982405E-4</v>
      </c>
      <c r="I395">
        <v>-0.77830821657651794</v>
      </c>
      <c r="J395">
        <v>-3.7941940714726684E-4</v>
      </c>
      <c r="K395" s="96">
        <f t="shared" si="19"/>
        <v>0</v>
      </c>
      <c r="L395" s="96">
        <f t="shared" si="20"/>
        <v>1</v>
      </c>
      <c r="M395" s="96">
        <f t="shared" si="21"/>
        <v>0</v>
      </c>
    </row>
    <row r="396" spans="1:13" x14ac:dyDescent="0.45">
      <c r="A396">
        <v>2</v>
      </c>
      <c r="B396">
        <v>2</v>
      </c>
      <c r="C396">
        <v>3</v>
      </c>
      <c r="D396">
        <v>2</v>
      </c>
      <c r="E396">
        <v>3</v>
      </c>
      <c r="F396">
        <v>2</v>
      </c>
      <c r="G396">
        <v>8.3219523514984175</v>
      </c>
      <c r="H396">
        <v>4.8749248570982405E-4</v>
      </c>
      <c r="I396">
        <v>-0.75775253947275223</v>
      </c>
      <c r="J396">
        <v>-3.6939866902050355E-4</v>
      </c>
      <c r="K396" s="96">
        <f t="shared" si="19"/>
        <v>0</v>
      </c>
      <c r="L396" s="96">
        <f t="shared" si="20"/>
        <v>1</v>
      </c>
      <c r="M396" s="96">
        <f t="shared" si="21"/>
        <v>0</v>
      </c>
    </row>
    <row r="397" spans="1:13" x14ac:dyDescent="0.45">
      <c r="A397">
        <v>2</v>
      </c>
      <c r="B397">
        <v>2</v>
      </c>
      <c r="C397">
        <v>3</v>
      </c>
      <c r="D397">
        <v>2</v>
      </c>
      <c r="E397">
        <v>3</v>
      </c>
      <c r="F397">
        <v>3</v>
      </c>
      <c r="G397">
        <v>8.9241815853238808</v>
      </c>
      <c r="H397">
        <v>1.2297107747635201E-4</v>
      </c>
      <c r="I397">
        <v>-0.74269284396853119</v>
      </c>
      <c r="J397">
        <v>-9.1329739256786462E-5</v>
      </c>
      <c r="K397" s="96">
        <f t="shared" si="19"/>
        <v>0</v>
      </c>
      <c r="L397" s="96">
        <f t="shared" si="20"/>
        <v>1</v>
      </c>
      <c r="M397" s="96">
        <f t="shared" si="21"/>
        <v>0</v>
      </c>
    </row>
    <row r="398" spans="1:13" x14ac:dyDescent="0.45">
      <c r="A398">
        <v>2</v>
      </c>
      <c r="B398">
        <v>2</v>
      </c>
      <c r="C398">
        <v>3</v>
      </c>
      <c r="D398">
        <v>3</v>
      </c>
      <c r="E398">
        <v>1</v>
      </c>
      <c r="F398">
        <v>1</v>
      </c>
      <c r="G398">
        <v>7.5189800397311251</v>
      </c>
      <c r="H398">
        <v>4.8749248570982405E-4</v>
      </c>
      <c r="I398">
        <v>-0.77830821657651794</v>
      </c>
      <c r="J398">
        <v>-3.7941940714726684E-4</v>
      </c>
      <c r="K398" s="96">
        <f t="shared" si="19"/>
        <v>0</v>
      </c>
      <c r="L398" s="96">
        <f t="shared" si="20"/>
        <v>1</v>
      </c>
      <c r="M398" s="96">
        <f t="shared" si="21"/>
        <v>0</v>
      </c>
    </row>
    <row r="399" spans="1:13" x14ac:dyDescent="0.45">
      <c r="A399">
        <v>2</v>
      </c>
      <c r="B399">
        <v>2</v>
      </c>
      <c r="C399">
        <v>3</v>
      </c>
      <c r="D399">
        <v>3</v>
      </c>
      <c r="E399">
        <v>1</v>
      </c>
      <c r="F399">
        <v>2</v>
      </c>
      <c r="G399">
        <v>8.3219523514984175</v>
      </c>
      <c r="H399">
        <v>4.8749248570982405E-4</v>
      </c>
      <c r="I399">
        <v>-0.75775253947275223</v>
      </c>
      <c r="J399">
        <v>-3.6939866902050355E-4</v>
      </c>
      <c r="K399" s="96">
        <f t="shared" si="19"/>
        <v>0</v>
      </c>
      <c r="L399" s="96">
        <f t="shared" si="20"/>
        <v>1</v>
      </c>
      <c r="M399" s="96">
        <f t="shared" si="21"/>
        <v>0</v>
      </c>
    </row>
    <row r="400" spans="1:13" x14ac:dyDescent="0.45">
      <c r="A400">
        <v>2</v>
      </c>
      <c r="B400">
        <v>2</v>
      </c>
      <c r="C400">
        <v>3</v>
      </c>
      <c r="D400">
        <v>3</v>
      </c>
      <c r="E400">
        <v>1</v>
      </c>
      <c r="F400">
        <v>3</v>
      </c>
      <c r="G400">
        <v>8.9241815853238808</v>
      </c>
      <c r="H400">
        <v>1.2297107747635201E-4</v>
      </c>
      <c r="I400">
        <v>-0.74269284396853119</v>
      </c>
      <c r="J400">
        <v>-9.1329739256786462E-5</v>
      </c>
      <c r="K400" s="96">
        <f t="shared" si="19"/>
        <v>0</v>
      </c>
      <c r="L400" s="96">
        <f t="shared" si="20"/>
        <v>1</v>
      </c>
      <c r="M400" s="96">
        <f t="shared" si="21"/>
        <v>0</v>
      </c>
    </row>
    <row r="401" spans="1:13" x14ac:dyDescent="0.45">
      <c r="A401">
        <v>2</v>
      </c>
      <c r="B401">
        <v>2</v>
      </c>
      <c r="C401">
        <v>3</v>
      </c>
      <c r="D401">
        <v>3</v>
      </c>
      <c r="E401">
        <v>2</v>
      </c>
      <c r="F401">
        <v>1</v>
      </c>
      <c r="G401">
        <v>7.5189800397311251</v>
      </c>
      <c r="H401">
        <v>4.8749248570982405E-4</v>
      </c>
      <c r="I401">
        <v>-0.77830821657651794</v>
      </c>
      <c r="J401">
        <v>-3.7941940714726684E-4</v>
      </c>
      <c r="K401" s="96">
        <f t="shared" si="19"/>
        <v>0</v>
      </c>
      <c r="L401" s="96">
        <f t="shared" si="20"/>
        <v>1</v>
      </c>
      <c r="M401" s="96">
        <f t="shared" si="21"/>
        <v>0</v>
      </c>
    </row>
    <row r="402" spans="1:13" x14ac:dyDescent="0.45">
      <c r="A402">
        <v>2</v>
      </c>
      <c r="B402">
        <v>2</v>
      </c>
      <c r="C402">
        <v>3</v>
      </c>
      <c r="D402">
        <v>3</v>
      </c>
      <c r="E402">
        <v>2</v>
      </c>
      <c r="F402">
        <v>2</v>
      </c>
      <c r="G402">
        <v>8.3219523514984175</v>
      </c>
      <c r="H402">
        <v>4.8749248570982405E-4</v>
      </c>
      <c r="I402">
        <v>-0.75775253947275223</v>
      </c>
      <c r="J402">
        <v>-3.6939866902050355E-4</v>
      </c>
      <c r="K402" s="96">
        <f t="shared" si="19"/>
        <v>0</v>
      </c>
      <c r="L402" s="96">
        <f t="shared" si="20"/>
        <v>1</v>
      </c>
      <c r="M402" s="96">
        <f t="shared" si="21"/>
        <v>0</v>
      </c>
    </row>
    <row r="403" spans="1:13" x14ac:dyDescent="0.45">
      <c r="A403">
        <v>2</v>
      </c>
      <c r="B403">
        <v>2</v>
      </c>
      <c r="C403">
        <v>3</v>
      </c>
      <c r="D403">
        <v>3</v>
      </c>
      <c r="E403">
        <v>2</v>
      </c>
      <c r="F403">
        <v>3</v>
      </c>
      <c r="G403">
        <v>8.9241815853238808</v>
      </c>
      <c r="H403">
        <v>1.2297107747635201E-4</v>
      </c>
      <c r="I403">
        <v>-0.74269284396853119</v>
      </c>
      <c r="J403">
        <v>-9.1329739256786462E-5</v>
      </c>
      <c r="K403" s="96">
        <f t="shared" si="19"/>
        <v>0</v>
      </c>
      <c r="L403" s="96">
        <f t="shared" si="20"/>
        <v>1</v>
      </c>
      <c r="M403" s="96">
        <f t="shared" si="21"/>
        <v>0</v>
      </c>
    </row>
    <row r="404" spans="1:13" x14ac:dyDescent="0.45">
      <c r="A404">
        <v>2</v>
      </c>
      <c r="B404">
        <v>2</v>
      </c>
      <c r="C404">
        <v>3</v>
      </c>
      <c r="D404">
        <v>3</v>
      </c>
      <c r="E404">
        <v>3</v>
      </c>
      <c r="F404">
        <v>1</v>
      </c>
      <c r="G404">
        <v>7.5189800397311251</v>
      </c>
      <c r="H404">
        <v>1.2297107747635201E-4</v>
      </c>
      <c r="I404">
        <v>-0.77830821657651794</v>
      </c>
      <c r="J404">
        <v>-9.5709400001112339E-5</v>
      </c>
      <c r="K404" s="96">
        <f t="shared" si="19"/>
        <v>0</v>
      </c>
      <c r="L404" s="96">
        <f t="shared" si="20"/>
        <v>1</v>
      </c>
      <c r="M404" s="96">
        <f t="shared" si="21"/>
        <v>0</v>
      </c>
    </row>
    <row r="405" spans="1:13" x14ac:dyDescent="0.45">
      <c r="A405">
        <v>2</v>
      </c>
      <c r="B405">
        <v>2</v>
      </c>
      <c r="C405">
        <v>3</v>
      </c>
      <c r="D405">
        <v>3</v>
      </c>
      <c r="E405">
        <v>3</v>
      </c>
      <c r="F405">
        <v>2</v>
      </c>
      <c r="G405">
        <v>8.3219523514984175</v>
      </c>
      <c r="H405">
        <v>1.2297107747635201E-4</v>
      </c>
      <c r="I405">
        <v>-0.75775253947275223</v>
      </c>
      <c r="J405">
        <v>-9.3181646239406295E-5</v>
      </c>
      <c r="K405" s="96">
        <f t="shared" si="19"/>
        <v>0</v>
      </c>
      <c r="L405" s="96">
        <f t="shared" si="20"/>
        <v>1</v>
      </c>
      <c r="M405" s="96">
        <f t="shared" si="21"/>
        <v>0</v>
      </c>
    </row>
    <row r="406" spans="1:13" x14ac:dyDescent="0.45">
      <c r="A406">
        <v>2</v>
      </c>
      <c r="B406">
        <v>2</v>
      </c>
      <c r="C406">
        <v>3</v>
      </c>
      <c r="D406">
        <v>3</v>
      </c>
      <c r="E406">
        <v>3</v>
      </c>
      <c r="F406">
        <v>3</v>
      </c>
      <c r="G406">
        <v>8.9241815853238808</v>
      </c>
      <c r="H406">
        <v>3.1019731255295997E-5</v>
      </c>
      <c r="I406">
        <v>-0.74269284396853119</v>
      </c>
      <c r="J406">
        <v>-2.3038132425135319E-5</v>
      </c>
      <c r="K406" s="96">
        <f t="shared" si="19"/>
        <v>0</v>
      </c>
      <c r="L406" s="96">
        <f t="shared" si="20"/>
        <v>1</v>
      </c>
      <c r="M406" s="96">
        <f t="shared" si="21"/>
        <v>0</v>
      </c>
    </row>
    <row r="407" spans="1:13" x14ac:dyDescent="0.45">
      <c r="A407">
        <v>2</v>
      </c>
      <c r="B407">
        <v>3</v>
      </c>
      <c r="C407">
        <v>1</v>
      </c>
      <c r="D407">
        <v>1</v>
      </c>
      <c r="E407">
        <v>1</v>
      </c>
      <c r="F407">
        <v>1</v>
      </c>
      <c r="G407">
        <v>5.8356161362916668</v>
      </c>
      <c r="H407">
        <v>1.932559496921088E-3</v>
      </c>
      <c r="I407">
        <v>-0.82322927070189977</v>
      </c>
      <c r="J407">
        <v>-1.5909395452383776E-3</v>
      </c>
      <c r="K407" s="96">
        <f t="shared" si="19"/>
        <v>0</v>
      </c>
      <c r="L407" s="96">
        <f t="shared" si="20"/>
        <v>1</v>
      </c>
      <c r="M407" s="96">
        <f t="shared" si="21"/>
        <v>0</v>
      </c>
    </row>
    <row r="408" spans="1:13" x14ac:dyDescent="0.45">
      <c r="A408">
        <v>2</v>
      </c>
      <c r="B408">
        <v>3</v>
      </c>
      <c r="C408">
        <v>1</v>
      </c>
      <c r="D408">
        <v>1</v>
      </c>
      <c r="E408">
        <v>1</v>
      </c>
      <c r="F408">
        <v>2</v>
      </c>
      <c r="G408">
        <v>6.4659357400138884</v>
      </c>
      <c r="H408">
        <v>1.932559496921088E-3</v>
      </c>
      <c r="I408">
        <v>-0.80611312612238539</v>
      </c>
      <c r="J408">
        <v>-1.5578615774805627E-3</v>
      </c>
      <c r="K408" s="96">
        <f t="shared" si="19"/>
        <v>0</v>
      </c>
      <c r="L408" s="96">
        <f t="shared" si="20"/>
        <v>1</v>
      </c>
      <c r="M408" s="96">
        <f t="shared" si="21"/>
        <v>0</v>
      </c>
    </row>
    <row r="409" spans="1:13" x14ac:dyDescent="0.45">
      <c r="A409">
        <v>2</v>
      </c>
      <c r="B409">
        <v>3</v>
      </c>
      <c r="C409">
        <v>1</v>
      </c>
      <c r="D409">
        <v>1</v>
      </c>
      <c r="E409">
        <v>1</v>
      </c>
      <c r="F409">
        <v>3</v>
      </c>
      <c r="G409">
        <v>6.9386754428055593</v>
      </c>
      <c r="H409">
        <v>4.8749248570982399E-4</v>
      </c>
      <c r="I409">
        <v>-0.79350996450929467</v>
      </c>
      <c r="J409">
        <v>-3.8683014503415028E-4</v>
      </c>
      <c r="K409" s="96">
        <f t="shared" si="19"/>
        <v>0</v>
      </c>
      <c r="L409" s="96">
        <f t="shared" si="20"/>
        <v>1</v>
      </c>
      <c r="M409" s="96">
        <f t="shared" si="21"/>
        <v>0</v>
      </c>
    </row>
    <row r="410" spans="1:13" x14ac:dyDescent="0.45">
      <c r="A410">
        <v>2</v>
      </c>
      <c r="B410">
        <v>3</v>
      </c>
      <c r="C410">
        <v>1</v>
      </c>
      <c r="D410">
        <v>1</v>
      </c>
      <c r="E410">
        <v>2</v>
      </c>
      <c r="F410">
        <v>1</v>
      </c>
      <c r="G410">
        <v>5.8356161362916668</v>
      </c>
      <c r="H410">
        <v>1.932559496921088E-3</v>
      </c>
      <c r="I410">
        <v>-0.82322927070189977</v>
      </c>
      <c r="J410">
        <v>-1.5909395452383776E-3</v>
      </c>
      <c r="K410" s="96">
        <f t="shared" si="19"/>
        <v>0</v>
      </c>
      <c r="L410" s="96">
        <f t="shared" si="20"/>
        <v>1</v>
      </c>
      <c r="M410" s="96">
        <f t="shared" si="21"/>
        <v>0</v>
      </c>
    </row>
    <row r="411" spans="1:13" x14ac:dyDescent="0.45">
      <c r="A411">
        <v>2</v>
      </c>
      <c r="B411">
        <v>3</v>
      </c>
      <c r="C411">
        <v>1</v>
      </c>
      <c r="D411">
        <v>1</v>
      </c>
      <c r="E411">
        <v>2</v>
      </c>
      <c r="F411">
        <v>2</v>
      </c>
      <c r="G411">
        <v>6.4659357400138884</v>
      </c>
      <c r="H411">
        <v>1.932559496921088E-3</v>
      </c>
      <c r="I411">
        <v>-0.80611312612238539</v>
      </c>
      <c r="J411">
        <v>-1.5578615774805627E-3</v>
      </c>
      <c r="K411" s="96">
        <f t="shared" si="19"/>
        <v>0</v>
      </c>
      <c r="L411" s="96">
        <f t="shared" si="20"/>
        <v>1</v>
      </c>
      <c r="M411" s="96">
        <f t="shared" si="21"/>
        <v>0</v>
      </c>
    </row>
    <row r="412" spans="1:13" x14ac:dyDescent="0.45">
      <c r="A412">
        <v>2</v>
      </c>
      <c r="B412">
        <v>3</v>
      </c>
      <c r="C412">
        <v>1</v>
      </c>
      <c r="D412">
        <v>1</v>
      </c>
      <c r="E412">
        <v>2</v>
      </c>
      <c r="F412">
        <v>3</v>
      </c>
      <c r="G412">
        <v>6.9386754428055593</v>
      </c>
      <c r="H412">
        <v>4.8749248570982399E-4</v>
      </c>
      <c r="I412">
        <v>-0.79350996450929467</v>
      </c>
      <c r="J412">
        <v>-3.8683014503415028E-4</v>
      </c>
      <c r="K412" s="96">
        <f t="shared" si="19"/>
        <v>0</v>
      </c>
      <c r="L412" s="96">
        <f t="shared" si="20"/>
        <v>1</v>
      </c>
      <c r="M412" s="96">
        <f t="shared" si="21"/>
        <v>0</v>
      </c>
    </row>
    <row r="413" spans="1:13" x14ac:dyDescent="0.45">
      <c r="A413">
        <v>2</v>
      </c>
      <c r="B413">
        <v>3</v>
      </c>
      <c r="C413">
        <v>1</v>
      </c>
      <c r="D413">
        <v>1</v>
      </c>
      <c r="E413">
        <v>3</v>
      </c>
      <c r="F413">
        <v>1</v>
      </c>
      <c r="G413">
        <v>5.8356161362916668</v>
      </c>
      <c r="H413">
        <v>4.8749248570982405E-4</v>
      </c>
      <c r="I413">
        <v>-0.82322927070189977</v>
      </c>
      <c r="J413">
        <v>-4.0131808348355477E-4</v>
      </c>
      <c r="K413" s="96">
        <f t="shared" si="19"/>
        <v>0</v>
      </c>
      <c r="L413" s="96">
        <f t="shared" si="20"/>
        <v>1</v>
      </c>
      <c r="M413" s="96">
        <f t="shared" si="21"/>
        <v>0</v>
      </c>
    </row>
    <row r="414" spans="1:13" x14ac:dyDescent="0.45">
      <c r="A414">
        <v>2</v>
      </c>
      <c r="B414">
        <v>3</v>
      </c>
      <c r="C414">
        <v>1</v>
      </c>
      <c r="D414">
        <v>1</v>
      </c>
      <c r="E414">
        <v>3</v>
      </c>
      <c r="F414">
        <v>2</v>
      </c>
      <c r="G414">
        <v>6.4659357400138884</v>
      </c>
      <c r="H414">
        <v>4.8749248570982405E-4</v>
      </c>
      <c r="I414">
        <v>-0.80611312612238539</v>
      </c>
      <c r="J414">
        <v>-3.9297409161671853E-4</v>
      </c>
      <c r="K414" s="96">
        <f t="shared" si="19"/>
        <v>0</v>
      </c>
      <c r="L414" s="96">
        <f t="shared" si="20"/>
        <v>1</v>
      </c>
      <c r="M414" s="96">
        <f t="shared" si="21"/>
        <v>0</v>
      </c>
    </row>
    <row r="415" spans="1:13" x14ac:dyDescent="0.45">
      <c r="A415">
        <v>2</v>
      </c>
      <c r="B415">
        <v>3</v>
      </c>
      <c r="C415">
        <v>1</v>
      </c>
      <c r="D415">
        <v>1</v>
      </c>
      <c r="E415">
        <v>3</v>
      </c>
      <c r="F415">
        <v>3</v>
      </c>
      <c r="G415">
        <v>6.9386754428055593</v>
      </c>
      <c r="H415">
        <v>1.2297107747635201E-4</v>
      </c>
      <c r="I415">
        <v>-0.79350996450929467</v>
      </c>
      <c r="J415">
        <v>-9.7578775323929807E-5</v>
      </c>
      <c r="K415" s="96">
        <f t="shared" si="19"/>
        <v>0</v>
      </c>
      <c r="L415" s="96">
        <f t="shared" si="20"/>
        <v>1</v>
      </c>
      <c r="M415" s="96">
        <f t="shared" si="21"/>
        <v>0</v>
      </c>
    </row>
    <row r="416" spans="1:13" x14ac:dyDescent="0.45">
      <c r="A416">
        <v>2</v>
      </c>
      <c r="B416">
        <v>3</v>
      </c>
      <c r="C416">
        <v>1</v>
      </c>
      <c r="D416">
        <v>2</v>
      </c>
      <c r="E416">
        <v>1</v>
      </c>
      <c r="F416">
        <v>1</v>
      </c>
      <c r="G416">
        <v>5.8356161362916668</v>
      </c>
      <c r="H416">
        <v>1.932559496921088E-3</v>
      </c>
      <c r="I416">
        <v>-0.82322927070189977</v>
      </c>
      <c r="J416">
        <v>-1.5909395452383776E-3</v>
      </c>
      <c r="K416" s="96">
        <f t="shared" si="19"/>
        <v>0</v>
      </c>
      <c r="L416" s="96">
        <f t="shared" si="20"/>
        <v>1</v>
      </c>
      <c r="M416" s="96">
        <f t="shared" si="21"/>
        <v>0</v>
      </c>
    </row>
    <row r="417" spans="1:13" x14ac:dyDescent="0.45">
      <c r="A417">
        <v>2</v>
      </c>
      <c r="B417">
        <v>3</v>
      </c>
      <c r="C417">
        <v>1</v>
      </c>
      <c r="D417">
        <v>2</v>
      </c>
      <c r="E417">
        <v>1</v>
      </c>
      <c r="F417">
        <v>2</v>
      </c>
      <c r="G417">
        <v>6.4659357400138884</v>
      </c>
      <c r="H417">
        <v>1.932559496921088E-3</v>
      </c>
      <c r="I417">
        <v>-0.80611312612238539</v>
      </c>
      <c r="J417">
        <v>-1.5578615774805627E-3</v>
      </c>
      <c r="K417" s="96">
        <f t="shared" si="19"/>
        <v>0</v>
      </c>
      <c r="L417" s="96">
        <f t="shared" si="20"/>
        <v>1</v>
      </c>
      <c r="M417" s="96">
        <f t="shared" si="21"/>
        <v>0</v>
      </c>
    </row>
    <row r="418" spans="1:13" x14ac:dyDescent="0.45">
      <c r="A418">
        <v>2</v>
      </c>
      <c r="B418">
        <v>3</v>
      </c>
      <c r="C418">
        <v>1</v>
      </c>
      <c r="D418">
        <v>2</v>
      </c>
      <c r="E418">
        <v>1</v>
      </c>
      <c r="F418">
        <v>3</v>
      </c>
      <c r="G418">
        <v>6.9386754428055593</v>
      </c>
      <c r="H418">
        <v>4.8749248570982399E-4</v>
      </c>
      <c r="I418">
        <v>-0.79350996450929467</v>
      </c>
      <c r="J418">
        <v>-3.8683014503415028E-4</v>
      </c>
      <c r="K418" s="96">
        <f t="shared" si="19"/>
        <v>0</v>
      </c>
      <c r="L418" s="96">
        <f t="shared" si="20"/>
        <v>1</v>
      </c>
      <c r="M418" s="96">
        <f t="shared" si="21"/>
        <v>0</v>
      </c>
    </row>
    <row r="419" spans="1:13" x14ac:dyDescent="0.45">
      <c r="A419">
        <v>2</v>
      </c>
      <c r="B419">
        <v>3</v>
      </c>
      <c r="C419">
        <v>1</v>
      </c>
      <c r="D419">
        <v>2</v>
      </c>
      <c r="E419">
        <v>2</v>
      </c>
      <c r="F419">
        <v>1</v>
      </c>
      <c r="G419">
        <v>5.8356161362916668</v>
      </c>
      <c r="H419">
        <v>1.932559496921088E-3</v>
      </c>
      <c r="I419">
        <v>-0.82322927070189977</v>
      </c>
      <c r="J419">
        <v>-1.5909395452383776E-3</v>
      </c>
      <c r="K419" s="96">
        <f t="shared" si="19"/>
        <v>0</v>
      </c>
      <c r="L419" s="96">
        <f t="shared" si="20"/>
        <v>1</v>
      </c>
      <c r="M419" s="96">
        <f t="shared" si="21"/>
        <v>0</v>
      </c>
    </row>
    <row r="420" spans="1:13" x14ac:dyDescent="0.45">
      <c r="A420">
        <v>2</v>
      </c>
      <c r="B420">
        <v>3</v>
      </c>
      <c r="C420">
        <v>1</v>
      </c>
      <c r="D420">
        <v>2</v>
      </c>
      <c r="E420">
        <v>2</v>
      </c>
      <c r="F420">
        <v>2</v>
      </c>
      <c r="G420">
        <v>6.4659357400138884</v>
      </c>
      <c r="H420">
        <v>1.932559496921088E-3</v>
      </c>
      <c r="I420">
        <v>-0.80611312612238539</v>
      </c>
      <c r="J420">
        <v>-1.5578615774805627E-3</v>
      </c>
      <c r="K420" s="96">
        <f t="shared" si="19"/>
        <v>0</v>
      </c>
      <c r="L420" s="96">
        <f t="shared" si="20"/>
        <v>1</v>
      </c>
      <c r="M420" s="96">
        <f t="shared" si="21"/>
        <v>0</v>
      </c>
    </row>
    <row r="421" spans="1:13" x14ac:dyDescent="0.45">
      <c r="A421">
        <v>2</v>
      </c>
      <c r="B421">
        <v>3</v>
      </c>
      <c r="C421">
        <v>1</v>
      </c>
      <c r="D421">
        <v>2</v>
      </c>
      <c r="E421">
        <v>2</v>
      </c>
      <c r="F421">
        <v>3</v>
      </c>
      <c r="G421">
        <v>6.9386754428055593</v>
      </c>
      <c r="H421">
        <v>4.8749248570982399E-4</v>
      </c>
      <c r="I421">
        <v>-0.79350996450929467</v>
      </c>
      <c r="J421">
        <v>-3.8683014503415028E-4</v>
      </c>
      <c r="K421" s="96">
        <f t="shared" si="19"/>
        <v>0</v>
      </c>
      <c r="L421" s="96">
        <f t="shared" si="20"/>
        <v>1</v>
      </c>
      <c r="M421" s="96">
        <f t="shared" si="21"/>
        <v>0</v>
      </c>
    </row>
    <row r="422" spans="1:13" x14ac:dyDescent="0.45">
      <c r="A422">
        <v>2</v>
      </c>
      <c r="B422">
        <v>3</v>
      </c>
      <c r="C422">
        <v>1</v>
      </c>
      <c r="D422">
        <v>2</v>
      </c>
      <c r="E422">
        <v>3</v>
      </c>
      <c r="F422">
        <v>1</v>
      </c>
      <c r="G422">
        <v>5.8356161362916668</v>
      </c>
      <c r="H422">
        <v>4.8749248570982405E-4</v>
      </c>
      <c r="I422">
        <v>-0.82322927070189977</v>
      </c>
      <c r="J422">
        <v>-4.0131808348355477E-4</v>
      </c>
      <c r="K422" s="96">
        <f t="shared" si="19"/>
        <v>0</v>
      </c>
      <c r="L422" s="96">
        <f t="shared" si="20"/>
        <v>1</v>
      </c>
      <c r="M422" s="96">
        <f t="shared" si="21"/>
        <v>0</v>
      </c>
    </row>
    <row r="423" spans="1:13" x14ac:dyDescent="0.45">
      <c r="A423">
        <v>2</v>
      </c>
      <c r="B423">
        <v>3</v>
      </c>
      <c r="C423">
        <v>1</v>
      </c>
      <c r="D423">
        <v>2</v>
      </c>
      <c r="E423">
        <v>3</v>
      </c>
      <c r="F423">
        <v>2</v>
      </c>
      <c r="G423">
        <v>6.4659357400138884</v>
      </c>
      <c r="H423">
        <v>4.8749248570982405E-4</v>
      </c>
      <c r="I423">
        <v>-0.80611312612238539</v>
      </c>
      <c r="J423">
        <v>-3.9297409161671853E-4</v>
      </c>
      <c r="K423" s="96">
        <f t="shared" si="19"/>
        <v>0</v>
      </c>
      <c r="L423" s="96">
        <f t="shared" si="20"/>
        <v>1</v>
      </c>
      <c r="M423" s="96">
        <f t="shared" si="21"/>
        <v>0</v>
      </c>
    </row>
    <row r="424" spans="1:13" x14ac:dyDescent="0.45">
      <c r="A424">
        <v>2</v>
      </c>
      <c r="B424">
        <v>3</v>
      </c>
      <c r="C424">
        <v>1</v>
      </c>
      <c r="D424">
        <v>2</v>
      </c>
      <c r="E424">
        <v>3</v>
      </c>
      <c r="F424">
        <v>3</v>
      </c>
      <c r="G424">
        <v>6.9386754428055593</v>
      </c>
      <c r="H424">
        <v>1.2297107747635201E-4</v>
      </c>
      <c r="I424">
        <v>-0.79350996450929467</v>
      </c>
      <c r="J424">
        <v>-9.7578775323929807E-5</v>
      </c>
      <c r="K424" s="96">
        <f t="shared" si="19"/>
        <v>0</v>
      </c>
      <c r="L424" s="96">
        <f t="shared" si="20"/>
        <v>1</v>
      </c>
      <c r="M424" s="96">
        <f t="shared" si="21"/>
        <v>0</v>
      </c>
    </row>
    <row r="425" spans="1:13" x14ac:dyDescent="0.45">
      <c r="A425">
        <v>2</v>
      </c>
      <c r="B425">
        <v>3</v>
      </c>
      <c r="C425">
        <v>1</v>
      </c>
      <c r="D425">
        <v>3</v>
      </c>
      <c r="E425">
        <v>1</v>
      </c>
      <c r="F425">
        <v>1</v>
      </c>
      <c r="G425">
        <v>5.8356161362916668</v>
      </c>
      <c r="H425">
        <v>4.8749248570982405E-4</v>
      </c>
      <c r="I425">
        <v>-0.82322927070189977</v>
      </c>
      <c r="J425">
        <v>-4.0131808348355477E-4</v>
      </c>
      <c r="K425" s="96">
        <f t="shared" si="19"/>
        <v>0</v>
      </c>
      <c r="L425" s="96">
        <f t="shared" si="20"/>
        <v>1</v>
      </c>
      <c r="M425" s="96">
        <f t="shared" si="21"/>
        <v>0</v>
      </c>
    </row>
    <row r="426" spans="1:13" x14ac:dyDescent="0.45">
      <c r="A426">
        <v>2</v>
      </c>
      <c r="B426">
        <v>3</v>
      </c>
      <c r="C426">
        <v>1</v>
      </c>
      <c r="D426">
        <v>3</v>
      </c>
      <c r="E426">
        <v>1</v>
      </c>
      <c r="F426">
        <v>2</v>
      </c>
      <c r="G426">
        <v>6.4659357400138884</v>
      </c>
      <c r="H426">
        <v>4.8749248570982405E-4</v>
      </c>
      <c r="I426">
        <v>-0.80611312612238539</v>
      </c>
      <c r="J426">
        <v>-3.9297409161671853E-4</v>
      </c>
      <c r="K426" s="96">
        <f t="shared" si="19"/>
        <v>0</v>
      </c>
      <c r="L426" s="96">
        <f t="shared" si="20"/>
        <v>1</v>
      </c>
      <c r="M426" s="96">
        <f t="shared" si="21"/>
        <v>0</v>
      </c>
    </row>
    <row r="427" spans="1:13" x14ac:dyDescent="0.45">
      <c r="A427">
        <v>2</v>
      </c>
      <c r="B427">
        <v>3</v>
      </c>
      <c r="C427">
        <v>1</v>
      </c>
      <c r="D427">
        <v>3</v>
      </c>
      <c r="E427">
        <v>1</v>
      </c>
      <c r="F427">
        <v>3</v>
      </c>
      <c r="G427">
        <v>6.9386754428055593</v>
      </c>
      <c r="H427">
        <v>1.2297107747635201E-4</v>
      </c>
      <c r="I427">
        <v>-0.79350996450929467</v>
      </c>
      <c r="J427">
        <v>-9.7578775323929807E-5</v>
      </c>
      <c r="K427" s="96">
        <f t="shared" si="19"/>
        <v>0</v>
      </c>
      <c r="L427" s="96">
        <f t="shared" si="20"/>
        <v>1</v>
      </c>
      <c r="M427" s="96">
        <f t="shared" si="21"/>
        <v>0</v>
      </c>
    </row>
    <row r="428" spans="1:13" x14ac:dyDescent="0.45">
      <c r="A428">
        <v>2</v>
      </c>
      <c r="B428">
        <v>3</v>
      </c>
      <c r="C428">
        <v>1</v>
      </c>
      <c r="D428">
        <v>3</v>
      </c>
      <c r="E428">
        <v>2</v>
      </c>
      <c r="F428">
        <v>1</v>
      </c>
      <c r="G428">
        <v>5.8356161362916668</v>
      </c>
      <c r="H428">
        <v>4.8749248570982405E-4</v>
      </c>
      <c r="I428">
        <v>-0.82322927070189977</v>
      </c>
      <c r="J428">
        <v>-4.0131808348355477E-4</v>
      </c>
      <c r="K428" s="96">
        <f t="shared" si="19"/>
        <v>0</v>
      </c>
      <c r="L428" s="96">
        <f t="shared" si="20"/>
        <v>1</v>
      </c>
      <c r="M428" s="96">
        <f t="shared" si="21"/>
        <v>0</v>
      </c>
    </row>
    <row r="429" spans="1:13" x14ac:dyDescent="0.45">
      <c r="A429">
        <v>2</v>
      </c>
      <c r="B429">
        <v>3</v>
      </c>
      <c r="C429">
        <v>1</v>
      </c>
      <c r="D429">
        <v>3</v>
      </c>
      <c r="E429">
        <v>2</v>
      </c>
      <c r="F429">
        <v>2</v>
      </c>
      <c r="G429">
        <v>6.4659357400138884</v>
      </c>
      <c r="H429">
        <v>4.8749248570982405E-4</v>
      </c>
      <c r="I429">
        <v>-0.80611312612238539</v>
      </c>
      <c r="J429">
        <v>-3.9297409161671853E-4</v>
      </c>
      <c r="K429" s="96">
        <f t="shared" si="19"/>
        <v>0</v>
      </c>
      <c r="L429" s="96">
        <f t="shared" si="20"/>
        <v>1</v>
      </c>
      <c r="M429" s="96">
        <f t="shared" si="21"/>
        <v>0</v>
      </c>
    </row>
    <row r="430" spans="1:13" x14ac:dyDescent="0.45">
      <c r="A430">
        <v>2</v>
      </c>
      <c r="B430">
        <v>3</v>
      </c>
      <c r="C430">
        <v>1</v>
      </c>
      <c r="D430">
        <v>3</v>
      </c>
      <c r="E430">
        <v>2</v>
      </c>
      <c r="F430">
        <v>3</v>
      </c>
      <c r="G430">
        <v>6.9386754428055593</v>
      </c>
      <c r="H430">
        <v>1.2297107747635201E-4</v>
      </c>
      <c r="I430">
        <v>-0.79350996450929467</v>
      </c>
      <c r="J430">
        <v>-9.7578775323929807E-5</v>
      </c>
      <c r="K430" s="96">
        <f t="shared" si="19"/>
        <v>0</v>
      </c>
      <c r="L430" s="96">
        <f t="shared" si="20"/>
        <v>1</v>
      </c>
      <c r="M430" s="96">
        <f t="shared" si="21"/>
        <v>0</v>
      </c>
    </row>
    <row r="431" spans="1:13" x14ac:dyDescent="0.45">
      <c r="A431">
        <v>2</v>
      </c>
      <c r="B431">
        <v>3</v>
      </c>
      <c r="C431">
        <v>1</v>
      </c>
      <c r="D431">
        <v>3</v>
      </c>
      <c r="E431">
        <v>3</v>
      </c>
      <c r="F431">
        <v>1</v>
      </c>
      <c r="G431">
        <v>5.8356161362916668</v>
      </c>
      <c r="H431">
        <v>1.2297107747635201E-4</v>
      </c>
      <c r="I431">
        <v>-0.82322927070189977</v>
      </c>
      <c r="J431">
        <v>-1.0123339042828407E-4</v>
      </c>
      <c r="K431" s="96">
        <f t="shared" si="19"/>
        <v>0</v>
      </c>
      <c r="L431" s="96">
        <f t="shared" si="20"/>
        <v>1</v>
      </c>
      <c r="M431" s="96">
        <f t="shared" si="21"/>
        <v>0</v>
      </c>
    </row>
    <row r="432" spans="1:13" x14ac:dyDescent="0.45">
      <c r="A432">
        <v>2</v>
      </c>
      <c r="B432">
        <v>3</v>
      </c>
      <c r="C432">
        <v>1</v>
      </c>
      <c r="D432">
        <v>3</v>
      </c>
      <c r="E432">
        <v>3</v>
      </c>
      <c r="F432">
        <v>2</v>
      </c>
      <c r="G432">
        <v>6.4659357400138884</v>
      </c>
      <c r="H432">
        <v>1.2297107747635201E-4</v>
      </c>
      <c r="I432">
        <v>-0.80611312612238539</v>
      </c>
      <c r="J432">
        <v>-9.9128599687100166E-5</v>
      </c>
      <c r="K432" s="96">
        <f t="shared" si="19"/>
        <v>0</v>
      </c>
      <c r="L432" s="96">
        <f t="shared" si="20"/>
        <v>1</v>
      </c>
      <c r="M432" s="96">
        <f t="shared" si="21"/>
        <v>0</v>
      </c>
    </row>
    <row r="433" spans="1:13" x14ac:dyDescent="0.45">
      <c r="A433">
        <v>2</v>
      </c>
      <c r="B433">
        <v>3</v>
      </c>
      <c r="C433">
        <v>1</v>
      </c>
      <c r="D433">
        <v>3</v>
      </c>
      <c r="E433">
        <v>3</v>
      </c>
      <c r="F433">
        <v>3</v>
      </c>
      <c r="G433">
        <v>6.9386754428055593</v>
      </c>
      <c r="H433">
        <v>3.1019731255295997E-5</v>
      </c>
      <c r="I433">
        <v>-0.79350996450929467</v>
      </c>
      <c r="J433">
        <v>-2.4614465847477786E-5</v>
      </c>
      <c r="K433" s="96">
        <f t="shared" si="19"/>
        <v>0</v>
      </c>
      <c r="L433" s="96">
        <f t="shared" si="20"/>
        <v>1</v>
      </c>
      <c r="M433" s="96">
        <f t="shared" si="21"/>
        <v>0</v>
      </c>
    </row>
    <row r="434" spans="1:13" x14ac:dyDescent="0.45">
      <c r="A434">
        <v>2</v>
      </c>
      <c r="B434">
        <v>3</v>
      </c>
      <c r="C434">
        <v>2</v>
      </c>
      <c r="D434">
        <v>1</v>
      </c>
      <c r="E434">
        <v>1</v>
      </c>
      <c r="F434">
        <v>1</v>
      </c>
      <c r="G434">
        <v>7.2538352446666652</v>
      </c>
      <c r="H434">
        <v>1.932559496921088E-3</v>
      </c>
      <c r="I434">
        <v>-0.78521751677012619</v>
      </c>
      <c r="J434">
        <v>-1.5174795691829011E-3</v>
      </c>
      <c r="K434" s="96">
        <f t="shared" si="19"/>
        <v>0</v>
      </c>
      <c r="L434" s="96">
        <f t="shared" si="20"/>
        <v>1</v>
      </c>
      <c r="M434" s="96">
        <f t="shared" si="21"/>
        <v>0</v>
      </c>
    </row>
    <row r="435" spans="1:13" x14ac:dyDescent="0.45">
      <c r="A435">
        <v>2</v>
      </c>
      <c r="B435">
        <v>3</v>
      </c>
      <c r="C435">
        <v>2</v>
      </c>
      <c r="D435">
        <v>1</v>
      </c>
      <c r="E435">
        <v>1</v>
      </c>
      <c r="F435">
        <v>2</v>
      </c>
      <c r="G435">
        <v>8.0296132184786266</v>
      </c>
      <c r="H435">
        <v>1.932559496921088E-3</v>
      </c>
      <c r="I435">
        <v>-0.76517265795406153</v>
      </c>
      <c r="J435">
        <v>-1.4787416869134729E-3</v>
      </c>
      <c r="K435" s="96">
        <f t="shared" si="19"/>
        <v>0</v>
      </c>
      <c r="L435" s="96">
        <f t="shared" si="20"/>
        <v>1</v>
      </c>
      <c r="M435" s="96">
        <f t="shared" si="21"/>
        <v>0</v>
      </c>
    </row>
    <row r="436" spans="1:13" x14ac:dyDescent="0.45">
      <c r="A436">
        <v>2</v>
      </c>
      <c r="B436">
        <v>3</v>
      </c>
      <c r="C436">
        <v>2</v>
      </c>
      <c r="D436">
        <v>1</v>
      </c>
      <c r="E436">
        <v>1</v>
      </c>
      <c r="F436">
        <v>3</v>
      </c>
      <c r="G436">
        <v>8.6114466988376055</v>
      </c>
      <c r="H436">
        <v>4.8749248570982399E-4</v>
      </c>
      <c r="I436">
        <v>-0.75047553756151564</v>
      </c>
      <c r="J436">
        <v>-3.6585118527027963E-4</v>
      </c>
      <c r="K436" s="96">
        <f t="shared" si="19"/>
        <v>0</v>
      </c>
      <c r="L436" s="96">
        <f t="shared" si="20"/>
        <v>1</v>
      </c>
      <c r="M436" s="96">
        <f t="shared" si="21"/>
        <v>0</v>
      </c>
    </row>
    <row r="437" spans="1:13" x14ac:dyDescent="0.45">
      <c r="A437">
        <v>2</v>
      </c>
      <c r="B437">
        <v>3</v>
      </c>
      <c r="C437">
        <v>2</v>
      </c>
      <c r="D437">
        <v>1</v>
      </c>
      <c r="E437">
        <v>2</v>
      </c>
      <c r="F437">
        <v>1</v>
      </c>
      <c r="G437">
        <v>7.2538352446666652</v>
      </c>
      <c r="H437">
        <v>1.932559496921088E-3</v>
      </c>
      <c r="I437">
        <v>-0.78521751677012619</v>
      </c>
      <c r="J437">
        <v>-1.5174795691829011E-3</v>
      </c>
      <c r="K437" s="96">
        <f t="shared" si="19"/>
        <v>0</v>
      </c>
      <c r="L437" s="96">
        <f t="shared" si="20"/>
        <v>1</v>
      </c>
      <c r="M437" s="96">
        <f t="shared" si="21"/>
        <v>0</v>
      </c>
    </row>
    <row r="438" spans="1:13" x14ac:dyDescent="0.45">
      <c r="A438">
        <v>2</v>
      </c>
      <c r="B438">
        <v>3</v>
      </c>
      <c r="C438">
        <v>2</v>
      </c>
      <c r="D438">
        <v>1</v>
      </c>
      <c r="E438">
        <v>2</v>
      </c>
      <c r="F438">
        <v>2</v>
      </c>
      <c r="G438">
        <v>8.0296132184786266</v>
      </c>
      <c r="H438">
        <v>1.932559496921088E-3</v>
      </c>
      <c r="I438">
        <v>-0.76517265795406153</v>
      </c>
      <c r="J438">
        <v>-1.4787416869134729E-3</v>
      </c>
      <c r="K438" s="96">
        <f t="shared" si="19"/>
        <v>0</v>
      </c>
      <c r="L438" s="96">
        <f t="shared" si="20"/>
        <v>1</v>
      </c>
      <c r="M438" s="96">
        <f t="shared" si="21"/>
        <v>0</v>
      </c>
    </row>
    <row r="439" spans="1:13" x14ac:dyDescent="0.45">
      <c r="A439">
        <v>2</v>
      </c>
      <c r="B439">
        <v>3</v>
      </c>
      <c r="C439">
        <v>2</v>
      </c>
      <c r="D439">
        <v>1</v>
      </c>
      <c r="E439">
        <v>2</v>
      </c>
      <c r="F439">
        <v>3</v>
      </c>
      <c r="G439">
        <v>8.6114466988376055</v>
      </c>
      <c r="H439">
        <v>4.8749248570982399E-4</v>
      </c>
      <c r="I439">
        <v>-0.75047553756151564</v>
      </c>
      <c r="J439">
        <v>-3.6585118527027963E-4</v>
      </c>
      <c r="K439" s="96">
        <f t="shared" si="19"/>
        <v>0</v>
      </c>
      <c r="L439" s="96">
        <f t="shared" si="20"/>
        <v>1</v>
      </c>
      <c r="M439" s="96">
        <f t="shared" si="21"/>
        <v>0</v>
      </c>
    </row>
    <row r="440" spans="1:13" x14ac:dyDescent="0.45">
      <c r="A440">
        <v>2</v>
      </c>
      <c r="B440">
        <v>3</v>
      </c>
      <c r="C440">
        <v>2</v>
      </c>
      <c r="D440">
        <v>1</v>
      </c>
      <c r="E440">
        <v>3</v>
      </c>
      <c r="F440">
        <v>1</v>
      </c>
      <c r="G440">
        <v>7.2538352446666652</v>
      </c>
      <c r="H440">
        <v>4.8749248570982405E-4</v>
      </c>
      <c r="I440">
        <v>-0.78521751677012619</v>
      </c>
      <c r="J440">
        <v>-3.8278763907316428E-4</v>
      </c>
      <c r="K440" s="96">
        <f t="shared" si="19"/>
        <v>0</v>
      </c>
      <c r="L440" s="96">
        <f t="shared" si="20"/>
        <v>1</v>
      </c>
      <c r="M440" s="96">
        <f t="shared" si="21"/>
        <v>0</v>
      </c>
    </row>
    <row r="441" spans="1:13" x14ac:dyDescent="0.45">
      <c r="A441">
        <v>2</v>
      </c>
      <c r="B441">
        <v>3</v>
      </c>
      <c r="C441">
        <v>2</v>
      </c>
      <c r="D441">
        <v>1</v>
      </c>
      <c r="E441">
        <v>3</v>
      </c>
      <c r="F441">
        <v>2</v>
      </c>
      <c r="G441">
        <v>8.0296132184786266</v>
      </c>
      <c r="H441">
        <v>4.8749248570982405E-4</v>
      </c>
      <c r="I441">
        <v>-0.76517265795406153</v>
      </c>
      <c r="J441">
        <v>-3.7301592102321845E-4</v>
      </c>
      <c r="K441" s="96">
        <f t="shared" si="19"/>
        <v>0</v>
      </c>
      <c r="L441" s="96">
        <f t="shared" si="20"/>
        <v>1</v>
      </c>
      <c r="M441" s="96">
        <f t="shared" si="21"/>
        <v>0</v>
      </c>
    </row>
    <row r="442" spans="1:13" x14ac:dyDescent="0.45">
      <c r="A442">
        <v>2</v>
      </c>
      <c r="B442">
        <v>3</v>
      </c>
      <c r="C442">
        <v>2</v>
      </c>
      <c r="D442">
        <v>1</v>
      </c>
      <c r="E442">
        <v>3</v>
      </c>
      <c r="F442">
        <v>3</v>
      </c>
      <c r="G442">
        <v>8.6114466988376055</v>
      </c>
      <c r="H442">
        <v>1.2297107747635201E-4</v>
      </c>
      <c r="I442">
        <v>-0.75047553756151564</v>
      </c>
      <c r="J442">
        <v>-9.228678547358406E-5</v>
      </c>
      <c r="K442" s="96">
        <f t="shared" si="19"/>
        <v>0</v>
      </c>
      <c r="L442" s="96">
        <f t="shared" si="20"/>
        <v>1</v>
      </c>
      <c r="M442" s="96">
        <f t="shared" si="21"/>
        <v>0</v>
      </c>
    </row>
    <row r="443" spans="1:13" x14ac:dyDescent="0.45">
      <c r="A443">
        <v>2</v>
      </c>
      <c r="B443">
        <v>3</v>
      </c>
      <c r="C443">
        <v>2</v>
      </c>
      <c r="D443">
        <v>2</v>
      </c>
      <c r="E443">
        <v>1</v>
      </c>
      <c r="F443">
        <v>1</v>
      </c>
      <c r="G443">
        <v>7.2538352446666652</v>
      </c>
      <c r="H443">
        <v>1.932559496921088E-3</v>
      </c>
      <c r="I443">
        <v>-0.78521751677012619</v>
      </c>
      <c r="J443">
        <v>-1.5174795691829011E-3</v>
      </c>
      <c r="K443" s="96">
        <f t="shared" si="19"/>
        <v>0</v>
      </c>
      <c r="L443" s="96">
        <f t="shared" si="20"/>
        <v>1</v>
      </c>
      <c r="M443" s="96">
        <f t="shared" si="21"/>
        <v>0</v>
      </c>
    </row>
    <row r="444" spans="1:13" x14ac:dyDescent="0.45">
      <c r="A444">
        <v>2</v>
      </c>
      <c r="B444">
        <v>3</v>
      </c>
      <c r="C444">
        <v>2</v>
      </c>
      <c r="D444">
        <v>2</v>
      </c>
      <c r="E444">
        <v>1</v>
      </c>
      <c r="F444">
        <v>2</v>
      </c>
      <c r="G444">
        <v>8.0296132184786266</v>
      </c>
      <c r="H444">
        <v>1.932559496921088E-3</v>
      </c>
      <c r="I444">
        <v>-0.76517265795406153</v>
      </c>
      <c r="J444">
        <v>-1.4787416869134729E-3</v>
      </c>
      <c r="K444" s="96">
        <f t="shared" si="19"/>
        <v>0</v>
      </c>
      <c r="L444" s="96">
        <f t="shared" si="20"/>
        <v>1</v>
      </c>
      <c r="M444" s="96">
        <f t="shared" si="21"/>
        <v>0</v>
      </c>
    </row>
    <row r="445" spans="1:13" x14ac:dyDescent="0.45">
      <c r="A445">
        <v>2</v>
      </c>
      <c r="B445">
        <v>3</v>
      </c>
      <c r="C445">
        <v>2</v>
      </c>
      <c r="D445">
        <v>2</v>
      </c>
      <c r="E445">
        <v>1</v>
      </c>
      <c r="F445">
        <v>3</v>
      </c>
      <c r="G445">
        <v>8.6114466988376055</v>
      </c>
      <c r="H445">
        <v>4.8749248570982399E-4</v>
      </c>
      <c r="I445">
        <v>-0.75047553756151564</v>
      </c>
      <c r="J445">
        <v>-3.6585118527027963E-4</v>
      </c>
      <c r="K445" s="96">
        <f t="shared" si="19"/>
        <v>0</v>
      </c>
      <c r="L445" s="96">
        <f t="shared" si="20"/>
        <v>1</v>
      </c>
      <c r="M445" s="96">
        <f t="shared" si="21"/>
        <v>0</v>
      </c>
    </row>
    <row r="446" spans="1:13" x14ac:dyDescent="0.45">
      <c r="A446">
        <v>2</v>
      </c>
      <c r="B446">
        <v>3</v>
      </c>
      <c r="C446">
        <v>2</v>
      </c>
      <c r="D446">
        <v>2</v>
      </c>
      <c r="E446">
        <v>2</v>
      </c>
      <c r="F446">
        <v>1</v>
      </c>
      <c r="G446">
        <v>7.2538352446666652</v>
      </c>
      <c r="H446">
        <v>1.932559496921088E-3</v>
      </c>
      <c r="I446">
        <v>-0.78521751677012619</v>
      </c>
      <c r="J446">
        <v>-1.5174795691829011E-3</v>
      </c>
      <c r="K446" s="96">
        <f t="shared" si="19"/>
        <v>0</v>
      </c>
      <c r="L446" s="96">
        <f t="shared" si="20"/>
        <v>1</v>
      </c>
      <c r="M446" s="96">
        <f t="shared" si="21"/>
        <v>0</v>
      </c>
    </row>
    <row r="447" spans="1:13" x14ac:dyDescent="0.45">
      <c r="A447">
        <v>2</v>
      </c>
      <c r="B447">
        <v>3</v>
      </c>
      <c r="C447">
        <v>2</v>
      </c>
      <c r="D447">
        <v>2</v>
      </c>
      <c r="E447">
        <v>2</v>
      </c>
      <c r="F447">
        <v>2</v>
      </c>
      <c r="G447">
        <v>8.0296132184786266</v>
      </c>
      <c r="H447">
        <v>1.932559496921088E-3</v>
      </c>
      <c r="I447">
        <v>-0.76517265795406153</v>
      </c>
      <c r="J447">
        <v>-1.4787416869134729E-3</v>
      </c>
      <c r="K447" s="96">
        <f t="shared" si="19"/>
        <v>0</v>
      </c>
      <c r="L447" s="96">
        <f t="shared" si="20"/>
        <v>1</v>
      </c>
      <c r="M447" s="96">
        <f t="shared" si="21"/>
        <v>0</v>
      </c>
    </row>
    <row r="448" spans="1:13" x14ac:dyDescent="0.45">
      <c r="A448">
        <v>2</v>
      </c>
      <c r="B448">
        <v>3</v>
      </c>
      <c r="C448">
        <v>2</v>
      </c>
      <c r="D448">
        <v>2</v>
      </c>
      <c r="E448">
        <v>2</v>
      </c>
      <c r="F448">
        <v>3</v>
      </c>
      <c r="G448">
        <v>8.6114466988376055</v>
      </c>
      <c r="H448">
        <v>4.8749248570982399E-4</v>
      </c>
      <c r="I448">
        <v>-0.75047553756151564</v>
      </c>
      <c r="J448">
        <v>-3.6585118527027963E-4</v>
      </c>
      <c r="K448" s="96">
        <f t="shared" si="19"/>
        <v>0</v>
      </c>
      <c r="L448" s="96">
        <f t="shared" si="20"/>
        <v>1</v>
      </c>
      <c r="M448" s="96">
        <f t="shared" si="21"/>
        <v>0</v>
      </c>
    </row>
    <row r="449" spans="1:13" x14ac:dyDescent="0.45">
      <c r="A449">
        <v>2</v>
      </c>
      <c r="B449">
        <v>3</v>
      </c>
      <c r="C449">
        <v>2</v>
      </c>
      <c r="D449">
        <v>2</v>
      </c>
      <c r="E449">
        <v>3</v>
      </c>
      <c r="F449">
        <v>1</v>
      </c>
      <c r="G449">
        <v>7.2538352446666652</v>
      </c>
      <c r="H449">
        <v>4.8749248570982405E-4</v>
      </c>
      <c r="I449">
        <v>-0.78521751677012619</v>
      </c>
      <c r="J449">
        <v>-3.8278763907316428E-4</v>
      </c>
      <c r="K449" s="96">
        <f t="shared" si="19"/>
        <v>0</v>
      </c>
      <c r="L449" s="96">
        <f t="shared" si="20"/>
        <v>1</v>
      </c>
      <c r="M449" s="96">
        <f t="shared" si="21"/>
        <v>0</v>
      </c>
    </row>
    <row r="450" spans="1:13" x14ac:dyDescent="0.45">
      <c r="A450">
        <v>2</v>
      </c>
      <c r="B450">
        <v>3</v>
      </c>
      <c r="C450">
        <v>2</v>
      </c>
      <c r="D450">
        <v>2</v>
      </c>
      <c r="E450">
        <v>3</v>
      </c>
      <c r="F450">
        <v>2</v>
      </c>
      <c r="G450">
        <v>8.0296132184786266</v>
      </c>
      <c r="H450">
        <v>4.8749248570982405E-4</v>
      </c>
      <c r="I450">
        <v>-0.76517265795406153</v>
      </c>
      <c r="J450">
        <v>-3.7301592102321845E-4</v>
      </c>
      <c r="K450" s="96">
        <f t="shared" si="19"/>
        <v>0</v>
      </c>
      <c r="L450" s="96">
        <f t="shared" si="20"/>
        <v>1</v>
      </c>
      <c r="M450" s="96">
        <f t="shared" si="21"/>
        <v>0</v>
      </c>
    </row>
    <row r="451" spans="1:13" x14ac:dyDescent="0.45">
      <c r="A451">
        <v>2</v>
      </c>
      <c r="B451">
        <v>3</v>
      </c>
      <c r="C451">
        <v>2</v>
      </c>
      <c r="D451">
        <v>2</v>
      </c>
      <c r="E451">
        <v>3</v>
      </c>
      <c r="F451">
        <v>3</v>
      </c>
      <c r="G451">
        <v>8.6114466988376055</v>
      </c>
      <c r="H451">
        <v>1.2297107747635201E-4</v>
      </c>
      <c r="I451">
        <v>-0.75047553756151564</v>
      </c>
      <c r="J451">
        <v>-9.228678547358406E-5</v>
      </c>
      <c r="K451" s="96">
        <f t="shared" ref="K451:K514" si="22">IF(A451=3,1,0)</f>
        <v>0</v>
      </c>
      <c r="L451" s="96">
        <f t="shared" ref="L451:L514" si="23">IF(A451=2,1,0)</f>
        <v>1</v>
      </c>
      <c r="M451" s="96">
        <f t="shared" ref="M451:M514" si="24">IF(A451=1,1,0)</f>
        <v>0</v>
      </c>
    </row>
    <row r="452" spans="1:13" x14ac:dyDescent="0.45">
      <c r="A452">
        <v>2</v>
      </c>
      <c r="B452">
        <v>3</v>
      </c>
      <c r="C452">
        <v>2</v>
      </c>
      <c r="D452">
        <v>3</v>
      </c>
      <c r="E452">
        <v>1</v>
      </c>
      <c r="F452">
        <v>1</v>
      </c>
      <c r="G452">
        <v>7.2538352446666652</v>
      </c>
      <c r="H452">
        <v>4.8749248570982405E-4</v>
      </c>
      <c r="I452">
        <v>-0.78521751677012619</v>
      </c>
      <c r="J452">
        <v>-3.8278763907316428E-4</v>
      </c>
      <c r="K452" s="96">
        <f t="shared" si="22"/>
        <v>0</v>
      </c>
      <c r="L452" s="96">
        <f t="shared" si="23"/>
        <v>1</v>
      </c>
      <c r="M452" s="96">
        <f t="shared" si="24"/>
        <v>0</v>
      </c>
    </row>
    <row r="453" spans="1:13" x14ac:dyDescent="0.45">
      <c r="A453">
        <v>2</v>
      </c>
      <c r="B453">
        <v>3</v>
      </c>
      <c r="C453">
        <v>2</v>
      </c>
      <c r="D453">
        <v>3</v>
      </c>
      <c r="E453">
        <v>1</v>
      </c>
      <c r="F453">
        <v>2</v>
      </c>
      <c r="G453">
        <v>8.0296132184786266</v>
      </c>
      <c r="H453">
        <v>4.8749248570982405E-4</v>
      </c>
      <c r="I453">
        <v>-0.76517265795406153</v>
      </c>
      <c r="J453">
        <v>-3.7301592102321845E-4</v>
      </c>
      <c r="K453" s="96">
        <f t="shared" si="22"/>
        <v>0</v>
      </c>
      <c r="L453" s="96">
        <f t="shared" si="23"/>
        <v>1</v>
      </c>
      <c r="M453" s="96">
        <f t="shared" si="24"/>
        <v>0</v>
      </c>
    </row>
    <row r="454" spans="1:13" x14ac:dyDescent="0.45">
      <c r="A454">
        <v>2</v>
      </c>
      <c r="B454">
        <v>3</v>
      </c>
      <c r="C454">
        <v>2</v>
      </c>
      <c r="D454">
        <v>3</v>
      </c>
      <c r="E454">
        <v>1</v>
      </c>
      <c r="F454">
        <v>3</v>
      </c>
      <c r="G454">
        <v>8.6114466988376055</v>
      </c>
      <c r="H454">
        <v>1.2297107747635201E-4</v>
      </c>
      <c r="I454">
        <v>-0.75047553756151564</v>
      </c>
      <c r="J454">
        <v>-9.228678547358406E-5</v>
      </c>
      <c r="K454" s="96">
        <f t="shared" si="22"/>
        <v>0</v>
      </c>
      <c r="L454" s="96">
        <f t="shared" si="23"/>
        <v>1</v>
      </c>
      <c r="M454" s="96">
        <f t="shared" si="24"/>
        <v>0</v>
      </c>
    </row>
    <row r="455" spans="1:13" x14ac:dyDescent="0.45">
      <c r="A455">
        <v>2</v>
      </c>
      <c r="B455">
        <v>3</v>
      </c>
      <c r="C455">
        <v>2</v>
      </c>
      <c r="D455">
        <v>3</v>
      </c>
      <c r="E455">
        <v>2</v>
      </c>
      <c r="F455">
        <v>1</v>
      </c>
      <c r="G455">
        <v>7.2538352446666652</v>
      </c>
      <c r="H455">
        <v>4.8749248570982405E-4</v>
      </c>
      <c r="I455">
        <v>-0.78521751677012619</v>
      </c>
      <c r="J455">
        <v>-3.8278763907316428E-4</v>
      </c>
      <c r="K455" s="96">
        <f t="shared" si="22"/>
        <v>0</v>
      </c>
      <c r="L455" s="96">
        <f t="shared" si="23"/>
        <v>1</v>
      </c>
      <c r="M455" s="96">
        <f t="shared" si="24"/>
        <v>0</v>
      </c>
    </row>
    <row r="456" spans="1:13" x14ac:dyDescent="0.45">
      <c r="A456">
        <v>2</v>
      </c>
      <c r="B456">
        <v>3</v>
      </c>
      <c r="C456">
        <v>2</v>
      </c>
      <c r="D456">
        <v>3</v>
      </c>
      <c r="E456">
        <v>2</v>
      </c>
      <c r="F456">
        <v>2</v>
      </c>
      <c r="G456">
        <v>8.0296132184786266</v>
      </c>
      <c r="H456">
        <v>4.8749248570982405E-4</v>
      </c>
      <c r="I456">
        <v>-0.76517265795406153</v>
      </c>
      <c r="J456">
        <v>-3.7301592102321845E-4</v>
      </c>
      <c r="K456" s="96">
        <f t="shared" si="22"/>
        <v>0</v>
      </c>
      <c r="L456" s="96">
        <f t="shared" si="23"/>
        <v>1</v>
      </c>
      <c r="M456" s="96">
        <f t="shared" si="24"/>
        <v>0</v>
      </c>
    </row>
    <row r="457" spans="1:13" x14ac:dyDescent="0.45">
      <c r="A457">
        <v>2</v>
      </c>
      <c r="B457">
        <v>3</v>
      </c>
      <c r="C457">
        <v>2</v>
      </c>
      <c r="D457">
        <v>3</v>
      </c>
      <c r="E457">
        <v>2</v>
      </c>
      <c r="F457">
        <v>3</v>
      </c>
      <c r="G457">
        <v>8.6114466988376055</v>
      </c>
      <c r="H457">
        <v>1.2297107747635201E-4</v>
      </c>
      <c r="I457">
        <v>-0.75047553756151564</v>
      </c>
      <c r="J457">
        <v>-9.228678547358406E-5</v>
      </c>
      <c r="K457" s="96">
        <f t="shared" si="22"/>
        <v>0</v>
      </c>
      <c r="L457" s="96">
        <f t="shared" si="23"/>
        <v>1</v>
      </c>
      <c r="M457" s="96">
        <f t="shared" si="24"/>
        <v>0</v>
      </c>
    </row>
    <row r="458" spans="1:13" x14ac:dyDescent="0.45">
      <c r="A458">
        <v>2</v>
      </c>
      <c r="B458">
        <v>3</v>
      </c>
      <c r="C458">
        <v>2</v>
      </c>
      <c r="D458">
        <v>3</v>
      </c>
      <c r="E458">
        <v>3</v>
      </c>
      <c r="F458">
        <v>1</v>
      </c>
      <c r="G458">
        <v>7.2538352446666652</v>
      </c>
      <c r="H458">
        <v>1.2297107747635201E-4</v>
      </c>
      <c r="I458">
        <v>-0.78521751677012619</v>
      </c>
      <c r="J458">
        <v>-9.6559044090527922E-5</v>
      </c>
      <c r="K458" s="96">
        <f t="shared" si="22"/>
        <v>0</v>
      </c>
      <c r="L458" s="96">
        <f t="shared" si="23"/>
        <v>1</v>
      </c>
      <c r="M458" s="96">
        <f t="shared" si="24"/>
        <v>0</v>
      </c>
    </row>
    <row r="459" spans="1:13" x14ac:dyDescent="0.45">
      <c r="A459">
        <v>2</v>
      </c>
      <c r="B459">
        <v>3</v>
      </c>
      <c r="C459">
        <v>2</v>
      </c>
      <c r="D459">
        <v>3</v>
      </c>
      <c r="E459">
        <v>3</v>
      </c>
      <c r="F459">
        <v>2</v>
      </c>
      <c r="G459">
        <v>8.0296132184786266</v>
      </c>
      <c r="H459">
        <v>1.2297107747635201E-4</v>
      </c>
      <c r="I459">
        <v>-0.76517265795406153</v>
      </c>
      <c r="J459">
        <v>-9.4094106204055096E-5</v>
      </c>
      <c r="K459" s="96">
        <f t="shared" si="22"/>
        <v>0</v>
      </c>
      <c r="L459" s="96">
        <f t="shared" si="23"/>
        <v>1</v>
      </c>
      <c r="M459" s="96">
        <f t="shared" si="24"/>
        <v>0</v>
      </c>
    </row>
    <row r="460" spans="1:13" x14ac:dyDescent="0.45">
      <c r="A460">
        <v>2</v>
      </c>
      <c r="B460">
        <v>3</v>
      </c>
      <c r="C460">
        <v>2</v>
      </c>
      <c r="D460">
        <v>3</v>
      </c>
      <c r="E460">
        <v>3</v>
      </c>
      <c r="F460">
        <v>3</v>
      </c>
      <c r="G460">
        <v>8.6114466988376055</v>
      </c>
      <c r="H460">
        <v>3.1019731255295997E-5</v>
      </c>
      <c r="I460">
        <v>-0.75047553756151564</v>
      </c>
      <c r="J460">
        <v>-2.3279549488832011E-5</v>
      </c>
      <c r="K460" s="96">
        <f t="shared" si="22"/>
        <v>0</v>
      </c>
      <c r="L460" s="96">
        <f t="shared" si="23"/>
        <v>1</v>
      </c>
      <c r="M460" s="96">
        <f t="shared" si="24"/>
        <v>0</v>
      </c>
    </row>
    <row r="461" spans="1:13" x14ac:dyDescent="0.45">
      <c r="A461">
        <v>2</v>
      </c>
      <c r="B461">
        <v>3</v>
      </c>
      <c r="C461">
        <v>3</v>
      </c>
      <c r="D461">
        <v>1</v>
      </c>
      <c r="E461">
        <v>1</v>
      </c>
      <c r="F461">
        <v>1</v>
      </c>
      <c r="G461">
        <v>8.1993146502500078</v>
      </c>
      <c r="H461">
        <v>4.8749248570982405E-4</v>
      </c>
      <c r="I461">
        <v>-0.76085651387347009</v>
      </c>
      <c r="J461">
        <v>-3.7091183321668914E-4</v>
      </c>
      <c r="K461" s="96">
        <f t="shared" si="22"/>
        <v>0</v>
      </c>
      <c r="L461" s="96">
        <f t="shared" si="23"/>
        <v>1</v>
      </c>
      <c r="M461" s="96">
        <f t="shared" si="24"/>
        <v>0</v>
      </c>
    </row>
    <row r="462" spans="1:13" x14ac:dyDescent="0.45">
      <c r="A462">
        <v>2</v>
      </c>
      <c r="B462">
        <v>3</v>
      </c>
      <c r="C462">
        <v>3</v>
      </c>
      <c r="D462">
        <v>1</v>
      </c>
      <c r="E462">
        <v>1</v>
      </c>
      <c r="F462">
        <v>2</v>
      </c>
      <c r="G462">
        <v>9.072064870788461</v>
      </c>
      <c r="H462">
        <v>4.8749248570982405E-4</v>
      </c>
      <c r="I462">
        <v>-0.73904079072904794</v>
      </c>
      <c r="J462">
        <v>-3.6027683211345749E-4</v>
      </c>
      <c r="K462" s="96">
        <f t="shared" si="22"/>
        <v>0</v>
      </c>
      <c r="L462" s="96">
        <f t="shared" si="23"/>
        <v>1</v>
      </c>
      <c r="M462" s="96">
        <f t="shared" si="24"/>
        <v>0</v>
      </c>
    </row>
    <row r="463" spans="1:13" x14ac:dyDescent="0.45">
      <c r="A463">
        <v>2</v>
      </c>
      <c r="B463">
        <v>3</v>
      </c>
      <c r="C463">
        <v>3</v>
      </c>
      <c r="D463">
        <v>1</v>
      </c>
      <c r="E463">
        <v>1</v>
      </c>
      <c r="F463">
        <v>3</v>
      </c>
      <c r="G463">
        <v>9.7266275361923125</v>
      </c>
      <c r="H463">
        <v>1.2297107747635201E-4</v>
      </c>
      <c r="I463">
        <v>-0.72309048112230168</v>
      </c>
      <c r="J463">
        <v>-8.8919215576503202E-5</v>
      </c>
      <c r="K463" s="96">
        <f t="shared" si="22"/>
        <v>0</v>
      </c>
      <c r="L463" s="96">
        <f t="shared" si="23"/>
        <v>1</v>
      </c>
      <c r="M463" s="96">
        <f t="shared" si="24"/>
        <v>0</v>
      </c>
    </row>
    <row r="464" spans="1:13" x14ac:dyDescent="0.45">
      <c r="A464">
        <v>2</v>
      </c>
      <c r="B464">
        <v>3</v>
      </c>
      <c r="C464">
        <v>3</v>
      </c>
      <c r="D464">
        <v>1</v>
      </c>
      <c r="E464">
        <v>2</v>
      </c>
      <c r="F464">
        <v>1</v>
      </c>
      <c r="G464">
        <v>8.1993146502500078</v>
      </c>
      <c r="H464">
        <v>4.8749248570982405E-4</v>
      </c>
      <c r="I464">
        <v>-0.76085651387347009</v>
      </c>
      <c r="J464">
        <v>-3.7091183321668914E-4</v>
      </c>
      <c r="K464" s="96">
        <f t="shared" si="22"/>
        <v>0</v>
      </c>
      <c r="L464" s="96">
        <f t="shared" si="23"/>
        <v>1</v>
      </c>
      <c r="M464" s="96">
        <f t="shared" si="24"/>
        <v>0</v>
      </c>
    </row>
    <row r="465" spans="1:13" x14ac:dyDescent="0.45">
      <c r="A465">
        <v>2</v>
      </c>
      <c r="B465">
        <v>3</v>
      </c>
      <c r="C465">
        <v>3</v>
      </c>
      <c r="D465">
        <v>1</v>
      </c>
      <c r="E465">
        <v>2</v>
      </c>
      <c r="F465">
        <v>2</v>
      </c>
      <c r="G465">
        <v>9.072064870788461</v>
      </c>
      <c r="H465">
        <v>4.8749248570982405E-4</v>
      </c>
      <c r="I465">
        <v>-0.73904079072904794</v>
      </c>
      <c r="J465">
        <v>-3.6027683211345749E-4</v>
      </c>
      <c r="K465" s="96">
        <f t="shared" si="22"/>
        <v>0</v>
      </c>
      <c r="L465" s="96">
        <f t="shared" si="23"/>
        <v>1</v>
      </c>
      <c r="M465" s="96">
        <f t="shared" si="24"/>
        <v>0</v>
      </c>
    </row>
    <row r="466" spans="1:13" x14ac:dyDescent="0.45">
      <c r="A466">
        <v>2</v>
      </c>
      <c r="B466">
        <v>3</v>
      </c>
      <c r="C466">
        <v>3</v>
      </c>
      <c r="D466">
        <v>1</v>
      </c>
      <c r="E466">
        <v>2</v>
      </c>
      <c r="F466">
        <v>3</v>
      </c>
      <c r="G466">
        <v>9.7266275361923125</v>
      </c>
      <c r="H466">
        <v>1.2297107747635201E-4</v>
      </c>
      <c r="I466">
        <v>-0.72309048112230168</v>
      </c>
      <c r="J466">
        <v>-8.8919215576503202E-5</v>
      </c>
      <c r="K466" s="96">
        <f t="shared" si="22"/>
        <v>0</v>
      </c>
      <c r="L466" s="96">
        <f t="shared" si="23"/>
        <v>1</v>
      </c>
      <c r="M466" s="96">
        <f t="shared" si="24"/>
        <v>0</v>
      </c>
    </row>
    <row r="467" spans="1:13" x14ac:dyDescent="0.45">
      <c r="A467">
        <v>2</v>
      </c>
      <c r="B467">
        <v>3</v>
      </c>
      <c r="C467">
        <v>3</v>
      </c>
      <c r="D467">
        <v>1</v>
      </c>
      <c r="E467">
        <v>3</v>
      </c>
      <c r="F467">
        <v>1</v>
      </c>
      <c r="G467">
        <v>8.1993146502500078</v>
      </c>
      <c r="H467">
        <v>1.2297107747635201E-4</v>
      </c>
      <c r="I467">
        <v>-0.76085651387347009</v>
      </c>
      <c r="J467">
        <v>-9.356334531592158E-5</v>
      </c>
      <c r="K467" s="96">
        <f t="shared" si="22"/>
        <v>0</v>
      </c>
      <c r="L467" s="96">
        <f t="shared" si="23"/>
        <v>1</v>
      </c>
      <c r="M467" s="96">
        <f t="shared" si="24"/>
        <v>0</v>
      </c>
    </row>
    <row r="468" spans="1:13" x14ac:dyDescent="0.45">
      <c r="A468">
        <v>2</v>
      </c>
      <c r="B468">
        <v>3</v>
      </c>
      <c r="C468">
        <v>3</v>
      </c>
      <c r="D468">
        <v>1</v>
      </c>
      <c r="E468">
        <v>3</v>
      </c>
      <c r="F468">
        <v>2</v>
      </c>
      <c r="G468">
        <v>9.072064870788461</v>
      </c>
      <c r="H468">
        <v>1.2297107747635201E-4</v>
      </c>
      <c r="I468">
        <v>-0.73904079072904794</v>
      </c>
      <c r="J468">
        <v>-9.0880642334926199E-5</v>
      </c>
      <c r="K468" s="96">
        <f t="shared" si="22"/>
        <v>0</v>
      </c>
      <c r="L468" s="96">
        <f t="shared" si="23"/>
        <v>1</v>
      </c>
      <c r="M468" s="96">
        <f t="shared" si="24"/>
        <v>0</v>
      </c>
    </row>
    <row r="469" spans="1:13" x14ac:dyDescent="0.45">
      <c r="A469">
        <v>2</v>
      </c>
      <c r="B469">
        <v>3</v>
      </c>
      <c r="C469">
        <v>3</v>
      </c>
      <c r="D469">
        <v>1</v>
      </c>
      <c r="E469">
        <v>3</v>
      </c>
      <c r="F469">
        <v>3</v>
      </c>
      <c r="G469">
        <v>9.7266275361923125</v>
      </c>
      <c r="H469">
        <v>3.1019731255295997E-5</v>
      </c>
      <c r="I469">
        <v>-0.72309048112230168</v>
      </c>
      <c r="J469">
        <v>-2.2430072397676481E-5</v>
      </c>
      <c r="K469" s="96">
        <f t="shared" si="22"/>
        <v>0</v>
      </c>
      <c r="L469" s="96">
        <f t="shared" si="23"/>
        <v>1</v>
      </c>
      <c r="M469" s="96">
        <f t="shared" si="24"/>
        <v>0</v>
      </c>
    </row>
    <row r="470" spans="1:13" x14ac:dyDescent="0.45">
      <c r="A470">
        <v>2</v>
      </c>
      <c r="B470">
        <v>3</v>
      </c>
      <c r="C470">
        <v>3</v>
      </c>
      <c r="D470">
        <v>2</v>
      </c>
      <c r="E470">
        <v>1</v>
      </c>
      <c r="F470">
        <v>1</v>
      </c>
      <c r="G470">
        <v>8.1993146502500078</v>
      </c>
      <c r="H470">
        <v>4.8749248570982405E-4</v>
      </c>
      <c r="I470">
        <v>-0.76085651387347009</v>
      </c>
      <c r="J470">
        <v>-3.7091183321668914E-4</v>
      </c>
      <c r="K470" s="96">
        <f t="shared" si="22"/>
        <v>0</v>
      </c>
      <c r="L470" s="96">
        <f t="shared" si="23"/>
        <v>1</v>
      </c>
      <c r="M470" s="96">
        <f t="shared" si="24"/>
        <v>0</v>
      </c>
    </row>
    <row r="471" spans="1:13" x14ac:dyDescent="0.45">
      <c r="A471">
        <v>2</v>
      </c>
      <c r="B471">
        <v>3</v>
      </c>
      <c r="C471">
        <v>3</v>
      </c>
      <c r="D471">
        <v>2</v>
      </c>
      <c r="E471">
        <v>1</v>
      </c>
      <c r="F471">
        <v>2</v>
      </c>
      <c r="G471">
        <v>9.072064870788461</v>
      </c>
      <c r="H471">
        <v>4.8749248570982405E-4</v>
      </c>
      <c r="I471">
        <v>-0.73904079072904794</v>
      </c>
      <c r="J471">
        <v>-3.6027683211345749E-4</v>
      </c>
      <c r="K471" s="96">
        <f t="shared" si="22"/>
        <v>0</v>
      </c>
      <c r="L471" s="96">
        <f t="shared" si="23"/>
        <v>1</v>
      </c>
      <c r="M471" s="96">
        <f t="shared" si="24"/>
        <v>0</v>
      </c>
    </row>
    <row r="472" spans="1:13" x14ac:dyDescent="0.45">
      <c r="A472">
        <v>2</v>
      </c>
      <c r="B472">
        <v>3</v>
      </c>
      <c r="C472">
        <v>3</v>
      </c>
      <c r="D472">
        <v>2</v>
      </c>
      <c r="E472">
        <v>1</v>
      </c>
      <c r="F472">
        <v>3</v>
      </c>
      <c r="G472">
        <v>9.7266275361923125</v>
      </c>
      <c r="H472">
        <v>1.2297107747635201E-4</v>
      </c>
      <c r="I472">
        <v>-0.72309048112230168</v>
      </c>
      <c r="J472">
        <v>-8.8919215576503202E-5</v>
      </c>
      <c r="K472" s="96">
        <f t="shared" si="22"/>
        <v>0</v>
      </c>
      <c r="L472" s="96">
        <f t="shared" si="23"/>
        <v>1</v>
      </c>
      <c r="M472" s="96">
        <f t="shared" si="24"/>
        <v>0</v>
      </c>
    </row>
    <row r="473" spans="1:13" x14ac:dyDescent="0.45">
      <c r="A473">
        <v>2</v>
      </c>
      <c r="B473">
        <v>3</v>
      </c>
      <c r="C473">
        <v>3</v>
      </c>
      <c r="D473">
        <v>2</v>
      </c>
      <c r="E473">
        <v>2</v>
      </c>
      <c r="F473">
        <v>1</v>
      </c>
      <c r="G473">
        <v>8.1993146502500078</v>
      </c>
      <c r="H473">
        <v>4.8749248570982405E-4</v>
      </c>
      <c r="I473">
        <v>-0.76085651387347009</v>
      </c>
      <c r="J473">
        <v>-3.7091183321668914E-4</v>
      </c>
      <c r="K473" s="96">
        <f t="shared" si="22"/>
        <v>0</v>
      </c>
      <c r="L473" s="96">
        <f t="shared" si="23"/>
        <v>1</v>
      </c>
      <c r="M473" s="96">
        <f t="shared" si="24"/>
        <v>0</v>
      </c>
    </row>
    <row r="474" spans="1:13" x14ac:dyDescent="0.45">
      <c r="A474">
        <v>2</v>
      </c>
      <c r="B474">
        <v>3</v>
      </c>
      <c r="C474">
        <v>3</v>
      </c>
      <c r="D474">
        <v>2</v>
      </c>
      <c r="E474">
        <v>2</v>
      </c>
      <c r="F474">
        <v>2</v>
      </c>
      <c r="G474">
        <v>9.072064870788461</v>
      </c>
      <c r="H474">
        <v>4.8749248570982405E-4</v>
      </c>
      <c r="I474">
        <v>-0.73904079072904794</v>
      </c>
      <c r="J474">
        <v>-3.6027683211345749E-4</v>
      </c>
      <c r="K474" s="96">
        <f t="shared" si="22"/>
        <v>0</v>
      </c>
      <c r="L474" s="96">
        <f t="shared" si="23"/>
        <v>1</v>
      </c>
      <c r="M474" s="96">
        <f t="shared" si="24"/>
        <v>0</v>
      </c>
    </row>
    <row r="475" spans="1:13" x14ac:dyDescent="0.45">
      <c r="A475">
        <v>2</v>
      </c>
      <c r="B475">
        <v>3</v>
      </c>
      <c r="C475">
        <v>3</v>
      </c>
      <c r="D475">
        <v>2</v>
      </c>
      <c r="E475">
        <v>2</v>
      </c>
      <c r="F475">
        <v>3</v>
      </c>
      <c r="G475">
        <v>9.7266275361923125</v>
      </c>
      <c r="H475">
        <v>1.2297107747635201E-4</v>
      </c>
      <c r="I475">
        <v>-0.72309048112230168</v>
      </c>
      <c r="J475">
        <v>-8.8919215576503202E-5</v>
      </c>
      <c r="K475" s="96">
        <f t="shared" si="22"/>
        <v>0</v>
      </c>
      <c r="L475" s="96">
        <f t="shared" si="23"/>
        <v>1</v>
      </c>
      <c r="M475" s="96">
        <f t="shared" si="24"/>
        <v>0</v>
      </c>
    </row>
    <row r="476" spans="1:13" x14ac:dyDescent="0.45">
      <c r="A476">
        <v>2</v>
      </c>
      <c r="B476">
        <v>3</v>
      </c>
      <c r="C476">
        <v>3</v>
      </c>
      <c r="D476">
        <v>2</v>
      </c>
      <c r="E476">
        <v>3</v>
      </c>
      <c r="F476">
        <v>1</v>
      </c>
      <c r="G476">
        <v>8.1993146502500078</v>
      </c>
      <c r="H476">
        <v>1.2297107747635201E-4</v>
      </c>
      <c r="I476">
        <v>-0.76085651387347009</v>
      </c>
      <c r="J476">
        <v>-9.356334531592158E-5</v>
      </c>
      <c r="K476" s="96">
        <f t="shared" si="22"/>
        <v>0</v>
      </c>
      <c r="L476" s="96">
        <f t="shared" si="23"/>
        <v>1</v>
      </c>
      <c r="M476" s="96">
        <f t="shared" si="24"/>
        <v>0</v>
      </c>
    </row>
    <row r="477" spans="1:13" x14ac:dyDescent="0.45">
      <c r="A477">
        <v>2</v>
      </c>
      <c r="B477">
        <v>3</v>
      </c>
      <c r="C477">
        <v>3</v>
      </c>
      <c r="D477">
        <v>2</v>
      </c>
      <c r="E477">
        <v>3</v>
      </c>
      <c r="F477">
        <v>2</v>
      </c>
      <c r="G477">
        <v>9.072064870788461</v>
      </c>
      <c r="H477">
        <v>1.2297107747635201E-4</v>
      </c>
      <c r="I477">
        <v>-0.73904079072904794</v>
      </c>
      <c r="J477">
        <v>-9.0880642334926199E-5</v>
      </c>
      <c r="K477" s="96">
        <f t="shared" si="22"/>
        <v>0</v>
      </c>
      <c r="L477" s="96">
        <f t="shared" si="23"/>
        <v>1</v>
      </c>
      <c r="M477" s="96">
        <f t="shared" si="24"/>
        <v>0</v>
      </c>
    </row>
    <row r="478" spans="1:13" x14ac:dyDescent="0.45">
      <c r="A478">
        <v>2</v>
      </c>
      <c r="B478">
        <v>3</v>
      </c>
      <c r="C478">
        <v>3</v>
      </c>
      <c r="D478">
        <v>2</v>
      </c>
      <c r="E478">
        <v>3</v>
      </c>
      <c r="F478">
        <v>3</v>
      </c>
      <c r="G478">
        <v>9.7266275361923125</v>
      </c>
      <c r="H478">
        <v>3.1019731255295997E-5</v>
      </c>
      <c r="I478">
        <v>-0.72309048112230168</v>
      </c>
      <c r="J478">
        <v>-2.2430072397676481E-5</v>
      </c>
      <c r="K478" s="96">
        <f t="shared" si="22"/>
        <v>0</v>
      </c>
      <c r="L478" s="96">
        <f t="shared" si="23"/>
        <v>1</v>
      </c>
      <c r="M478" s="96">
        <f t="shared" si="24"/>
        <v>0</v>
      </c>
    </row>
    <row r="479" spans="1:13" x14ac:dyDescent="0.45">
      <c r="A479">
        <v>2</v>
      </c>
      <c r="B479">
        <v>3</v>
      </c>
      <c r="C479">
        <v>3</v>
      </c>
      <c r="D479">
        <v>3</v>
      </c>
      <c r="E479">
        <v>1</v>
      </c>
      <c r="F479">
        <v>1</v>
      </c>
      <c r="G479">
        <v>8.1993146502500078</v>
      </c>
      <c r="H479">
        <v>1.2297107747635201E-4</v>
      </c>
      <c r="I479">
        <v>-0.76085651387347009</v>
      </c>
      <c r="J479">
        <v>-9.356334531592158E-5</v>
      </c>
      <c r="K479" s="96">
        <f t="shared" si="22"/>
        <v>0</v>
      </c>
      <c r="L479" s="96">
        <f t="shared" si="23"/>
        <v>1</v>
      </c>
      <c r="M479" s="96">
        <f t="shared" si="24"/>
        <v>0</v>
      </c>
    </row>
    <row r="480" spans="1:13" x14ac:dyDescent="0.45">
      <c r="A480">
        <v>2</v>
      </c>
      <c r="B480">
        <v>3</v>
      </c>
      <c r="C480">
        <v>3</v>
      </c>
      <c r="D480">
        <v>3</v>
      </c>
      <c r="E480">
        <v>1</v>
      </c>
      <c r="F480">
        <v>2</v>
      </c>
      <c r="G480">
        <v>9.072064870788461</v>
      </c>
      <c r="H480">
        <v>1.2297107747635201E-4</v>
      </c>
      <c r="I480">
        <v>-0.73904079072904794</v>
      </c>
      <c r="J480">
        <v>-9.0880642334926199E-5</v>
      </c>
      <c r="K480" s="96">
        <f t="shared" si="22"/>
        <v>0</v>
      </c>
      <c r="L480" s="96">
        <f t="shared" si="23"/>
        <v>1</v>
      </c>
      <c r="M480" s="96">
        <f t="shared" si="24"/>
        <v>0</v>
      </c>
    </row>
    <row r="481" spans="1:13" x14ac:dyDescent="0.45">
      <c r="A481">
        <v>2</v>
      </c>
      <c r="B481">
        <v>3</v>
      </c>
      <c r="C481">
        <v>3</v>
      </c>
      <c r="D481">
        <v>3</v>
      </c>
      <c r="E481">
        <v>1</v>
      </c>
      <c r="F481">
        <v>3</v>
      </c>
      <c r="G481">
        <v>9.7266275361923125</v>
      </c>
      <c r="H481">
        <v>3.1019731255295997E-5</v>
      </c>
      <c r="I481">
        <v>-0.72309048112230168</v>
      </c>
      <c r="J481">
        <v>-2.2430072397676481E-5</v>
      </c>
      <c r="K481" s="96">
        <f t="shared" si="22"/>
        <v>0</v>
      </c>
      <c r="L481" s="96">
        <f t="shared" si="23"/>
        <v>1</v>
      </c>
      <c r="M481" s="96">
        <f t="shared" si="24"/>
        <v>0</v>
      </c>
    </row>
    <row r="482" spans="1:13" x14ac:dyDescent="0.45">
      <c r="A482">
        <v>2</v>
      </c>
      <c r="B482">
        <v>3</v>
      </c>
      <c r="C482">
        <v>3</v>
      </c>
      <c r="D482">
        <v>3</v>
      </c>
      <c r="E482">
        <v>2</v>
      </c>
      <c r="F482">
        <v>1</v>
      </c>
      <c r="G482">
        <v>8.1993146502500078</v>
      </c>
      <c r="H482">
        <v>1.2297107747635201E-4</v>
      </c>
      <c r="I482">
        <v>-0.76085651387347009</v>
      </c>
      <c r="J482">
        <v>-9.356334531592158E-5</v>
      </c>
      <c r="K482" s="96">
        <f t="shared" si="22"/>
        <v>0</v>
      </c>
      <c r="L482" s="96">
        <f t="shared" si="23"/>
        <v>1</v>
      </c>
      <c r="M482" s="96">
        <f t="shared" si="24"/>
        <v>0</v>
      </c>
    </row>
    <row r="483" spans="1:13" x14ac:dyDescent="0.45">
      <c r="A483">
        <v>2</v>
      </c>
      <c r="B483">
        <v>3</v>
      </c>
      <c r="C483">
        <v>3</v>
      </c>
      <c r="D483">
        <v>3</v>
      </c>
      <c r="E483">
        <v>2</v>
      </c>
      <c r="F483">
        <v>2</v>
      </c>
      <c r="G483">
        <v>9.072064870788461</v>
      </c>
      <c r="H483">
        <v>1.2297107747635201E-4</v>
      </c>
      <c r="I483">
        <v>-0.73904079072904794</v>
      </c>
      <c r="J483">
        <v>-9.0880642334926199E-5</v>
      </c>
      <c r="K483" s="96">
        <f t="shared" si="22"/>
        <v>0</v>
      </c>
      <c r="L483" s="96">
        <f t="shared" si="23"/>
        <v>1</v>
      </c>
      <c r="M483" s="96">
        <f t="shared" si="24"/>
        <v>0</v>
      </c>
    </row>
    <row r="484" spans="1:13" x14ac:dyDescent="0.45">
      <c r="A484">
        <v>2</v>
      </c>
      <c r="B484">
        <v>3</v>
      </c>
      <c r="C484">
        <v>3</v>
      </c>
      <c r="D484">
        <v>3</v>
      </c>
      <c r="E484">
        <v>2</v>
      </c>
      <c r="F484">
        <v>3</v>
      </c>
      <c r="G484">
        <v>9.7266275361923125</v>
      </c>
      <c r="H484">
        <v>3.1019731255295997E-5</v>
      </c>
      <c r="I484">
        <v>-0.72309048112230168</v>
      </c>
      <c r="J484">
        <v>-2.2430072397676481E-5</v>
      </c>
      <c r="K484" s="96">
        <f t="shared" si="22"/>
        <v>0</v>
      </c>
      <c r="L484" s="96">
        <f t="shared" si="23"/>
        <v>1</v>
      </c>
      <c r="M484" s="96">
        <f t="shared" si="24"/>
        <v>0</v>
      </c>
    </row>
    <row r="485" spans="1:13" x14ac:dyDescent="0.45">
      <c r="A485">
        <v>2</v>
      </c>
      <c r="B485">
        <v>3</v>
      </c>
      <c r="C485">
        <v>3</v>
      </c>
      <c r="D485">
        <v>3</v>
      </c>
      <c r="E485">
        <v>3</v>
      </c>
      <c r="F485">
        <v>1</v>
      </c>
      <c r="G485">
        <v>8.1993146502500078</v>
      </c>
      <c r="H485">
        <v>3.1019731255296003E-5</v>
      </c>
      <c r="I485">
        <v>-0.76085651387347009</v>
      </c>
      <c r="J485">
        <v>-2.3601564584196438E-5</v>
      </c>
      <c r="K485" s="96">
        <f t="shared" si="22"/>
        <v>0</v>
      </c>
      <c r="L485" s="96">
        <f t="shared" si="23"/>
        <v>1</v>
      </c>
      <c r="M485" s="96">
        <f t="shared" si="24"/>
        <v>0</v>
      </c>
    </row>
    <row r="486" spans="1:13" x14ac:dyDescent="0.45">
      <c r="A486">
        <v>2</v>
      </c>
      <c r="B486">
        <v>3</v>
      </c>
      <c r="C486">
        <v>3</v>
      </c>
      <c r="D486">
        <v>3</v>
      </c>
      <c r="E486">
        <v>3</v>
      </c>
      <c r="F486">
        <v>2</v>
      </c>
      <c r="G486">
        <v>9.072064870788461</v>
      </c>
      <c r="H486">
        <v>3.1019731255296003E-5</v>
      </c>
      <c r="I486">
        <v>-0.73904079072904794</v>
      </c>
      <c r="J486">
        <v>-2.2924846715116521E-5</v>
      </c>
      <c r="K486" s="96">
        <f t="shared" si="22"/>
        <v>0</v>
      </c>
      <c r="L486" s="96">
        <f t="shared" si="23"/>
        <v>1</v>
      </c>
      <c r="M486" s="96">
        <f t="shared" si="24"/>
        <v>0</v>
      </c>
    </row>
    <row r="487" spans="1:13" x14ac:dyDescent="0.45">
      <c r="A487">
        <v>2</v>
      </c>
      <c r="B487">
        <v>3</v>
      </c>
      <c r="C487">
        <v>3</v>
      </c>
      <c r="D487">
        <v>3</v>
      </c>
      <c r="E487">
        <v>3</v>
      </c>
      <c r="F487">
        <v>3</v>
      </c>
      <c r="G487">
        <v>9.7266275361923125</v>
      </c>
      <c r="H487">
        <v>7.8247970734080004E-6</v>
      </c>
      <c r="I487">
        <v>-0.72309048112230168</v>
      </c>
      <c r="J487">
        <v>-5.658036280494969E-6</v>
      </c>
      <c r="K487" s="96">
        <f t="shared" si="22"/>
        <v>0</v>
      </c>
      <c r="L487" s="96">
        <f t="shared" si="23"/>
        <v>1</v>
      </c>
      <c r="M487" s="96">
        <f t="shared" si="24"/>
        <v>0</v>
      </c>
    </row>
    <row r="488" spans="1:13" x14ac:dyDescent="0.45">
      <c r="A488">
        <v>3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7.4747272221630139</v>
      </c>
      <c r="H488">
        <v>1.932559496921088E-3</v>
      </c>
      <c r="I488">
        <v>-0.77945714147158274</v>
      </c>
      <c r="J488">
        <v>-1.5063473011938712E-3</v>
      </c>
      <c r="K488" s="96">
        <f t="shared" si="22"/>
        <v>1</v>
      </c>
      <c r="L488" s="96">
        <f t="shared" si="23"/>
        <v>0</v>
      </c>
      <c r="M488" s="96">
        <f t="shared" si="24"/>
        <v>0</v>
      </c>
    </row>
    <row r="489" spans="1:13" x14ac:dyDescent="0.45">
      <c r="A489">
        <v>3</v>
      </c>
      <c r="B489">
        <v>1</v>
      </c>
      <c r="C489">
        <v>1</v>
      </c>
      <c r="D489">
        <v>1</v>
      </c>
      <c r="E489">
        <v>1</v>
      </c>
      <c r="F489">
        <v>2</v>
      </c>
      <c r="G489">
        <v>8.2731607834105088</v>
      </c>
      <c r="H489">
        <v>1.932559496921088E-3</v>
      </c>
      <c r="I489">
        <v>-0.75898594001410069</v>
      </c>
      <c r="J489">
        <v>-1.4667854864038295E-3</v>
      </c>
      <c r="K489" s="96">
        <f t="shared" si="22"/>
        <v>1</v>
      </c>
      <c r="L489" s="96">
        <f t="shared" si="23"/>
        <v>0</v>
      </c>
      <c r="M489" s="96">
        <f t="shared" si="24"/>
        <v>0</v>
      </c>
    </row>
    <row r="490" spans="1:13" x14ac:dyDescent="0.45">
      <c r="A490">
        <v>3</v>
      </c>
      <c r="B490">
        <v>1</v>
      </c>
      <c r="C490">
        <v>1</v>
      </c>
      <c r="D490">
        <v>1</v>
      </c>
      <c r="E490">
        <v>1</v>
      </c>
      <c r="F490">
        <v>3</v>
      </c>
      <c r="G490">
        <v>8.8719859543461208</v>
      </c>
      <c r="H490">
        <v>4.8749248570982399E-4</v>
      </c>
      <c r="I490">
        <v>-0.74398614610809288</v>
      </c>
      <c r="J490">
        <v>-3.6268765569990647E-4</v>
      </c>
      <c r="K490" s="96">
        <f t="shared" si="22"/>
        <v>1</v>
      </c>
      <c r="L490" s="96">
        <f t="shared" si="23"/>
        <v>0</v>
      </c>
      <c r="M490" s="96">
        <f t="shared" si="24"/>
        <v>0</v>
      </c>
    </row>
    <row r="491" spans="1:13" x14ac:dyDescent="0.45">
      <c r="A491">
        <v>3</v>
      </c>
      <c r="B491">
        <v>1</v>
      </c>
      <c r="C491">
        <v>1</v>
      </c>
      <c r="D491">
        <v>1</v>
      </c>
      <c r="E491">
        <v>2</v>
      </c>
      <c r="F491">
        <v>1</v>
      </c>
      <c r="G491">
        <v>7.4747272221630139</v>
      </c>
      <c r="H491">
        <v>1.932559496921088E-3</v>
      </c>
      <c r="I491">
        <v>-0.77945714147158274</v>
      </c>
      <c r="J491">
        <v>-1.5063473011938712E-3</v>
      </c>
      <c r="K491" s="96">
        <f t="shared" si="22"/>
        <v>1</v>
      </c>
      <c r="L491" s="96">
        <f t="shared" si="23"/>
        <v>0</v>
      </c>
      <c r="M491" s="96">
        <f t="shared" si="24"/>
        <v>0</v>
      </c>
    </row>
    <row r="492" spans="1:13" x14ac:dyDescent="0.45">
      <c r="A492">
        <v>3</v>
      </c>
      <c r="B492">
        <v>1</v>
      </c>
      <c r="C492">
        <v>1</v>
      </c>
      <c r="D492">
        <v>1</v>
      </c>
      <c r="E492">
        <v>2</v>
      </c>
      <c r="F492">
        <v>2</v>
      </c>
      <c r="G492">
        <v>8.2731607834105088</v>
      </c>
      <c r="H492">
        <v>1.932559496921088E-3</v>
      </c>
      <c r="I492">
        <v>-0.75898594001410069</v>
      </c>
      <c r="J492">
        <v>-1.4667854864038295E-3</v>
      </c>
      <c r="K492" s="96">
        <f t="shared" si="22"/>
        <v>1</v>
      </c>
      <c r="L492" s="96">
        <f t="shared" si="23"/>
        <v>0</v>
      </c>
      <c r="M492" s="96">
        <f t="shared" si="24"/>
        <v>0</v>
      </c>
    </row>
    <row r="493" spans="1:13" x14ac:dyDescent="0.45">
      <c r="A493">
        <v>3</v>
      </c>
      <c r="B493">
        <v>1</v>
      </c>
      <c r="C493">
        <v>1</v>
      </c>
      <c r="D493">
        <v>1</v>
      </c>
      <c r="E493">
        <v>2</v>
      </c>
      <c r="F493">
        <v>3</v>
      </c>
      <c r="G493">
        <v>8.8719859543461208</v>
      </c>
      <c r="H493">
        <v>4.8749248570982399E-4</v>
      </c>
      <c r="I493">
        <v>-0.74398614610809288</v>
      </c>
      <c r="J493">
        <v>-3.6268765569990647E-4</v>
      </c>
      <c r="K493" s="96">
        <f t="shared" si="22"/>
        <v>1</v>
      </c>
      <c r="L493" s="96">
        <f t="shared" si="23"/>
        <v>0</v>
      </c>
      <c r="M493" s="96">
        <f t="shared" si="24"/>
        <v>0</v>
      </c>
    </row>
    <row r="494" spans="1:13" x14ac:dyDescent="0.45">
      <c r="A494">
        <v>3</v>
      </c>
      <c r="B494">
        <v>1</v>
      </c>
      <c r="C494">
        <v>1</v>
      </c>
      <c r="D494">
        <v>1</v>
      </c>
      <c r="E494">
        <v>3</v>
      </c>
      <c r="F494">
        <v>1</v>
      </c>
      <c r="G494">
        <v>7.4747272221630139</v>
      </c>
      <c r="H494">
        <v>4.8749248570982405E-4</v>
      </c>
      <c r="I494">
        <v>-0.77945714147158274</v>
      </c>
      <c r="J494">
        <v>-3.7997949940025586E-4</v>
      </c>
      <c r="K494" s="96">
        <f t="shared" si="22"/>
        <v>1</v>
      </c>
      <c r="L494" s="96">
        <f t="shared" si="23"/>
        <v>0</v>
      </c>
      <c r="M494" s="96">
        <f t="shared" si="24"/>
        <v>0</v>
      </c>
    </row>
    <row r="495" spans="1:13" x14ac:dyDescent="0.45">
      <c r="A495">
        <v>3</v>
      </c>
      <c r="B495">
        <v>1</v>
      </c>
      <c r="C495">
        <v>1</v>
      </c>
      <c r="D495">
        <v>1</v>
      </c>
      <c r="E495">
        <v>3</v>
      </c>
      <c r="F495">
        <v>2</v>
      </c>
      <c r="G495">
        <v>8.2731607834105088</v>
      </c>
      <c r="H495">
        <v>4.8749248570982405E-4</v>
      </c>
      <c r="I495">
        <v>-0.75898594001410069</v>
      </c>
      <c r="J495">
        <v>-3.6999994251628136E-4</v>
      </c>
      <c r="K495" s="96">
        <f t="shared" si="22"/>
        <v>1</v>
      </c>
      <c r="L495" s="96">
        <f t="shared" si="23"/>
        <v>0</v>
      </c>
      <c r="M495" s="96">
        <f t="shared" si="24"/>
        <v>0</v>
      </c>
    </row>
    <row r="496" spans="1:13" x14ac:dyDescent="0.45">
      <c r="A496">
        <v>3</v>
      </c>
      <c r="B496">
        <v>1</v>
      </c>
      <c r="C496">
        <v>1</v>
      </c>
      <c r="D496">
        <v>1</v>
      </c>
      <c r="E496">
        <v>3</v>
      </c>
      <c r="F496">
        <v>3</v>
      </c>
      <c r="G496">
        <v>8.8719859543461208</v>
      </c>
      <c r="H496">
        <v>1.2297107747635201E-4</v>
      </c>
      <c r="I496">
        <v>-0.74398614610809288</v>
      </c>
      <c r="J496">
        <v>-9.1488778014390829E-5</v>
      </c>
      <c r="K496" s="96">
        <f t="shared" si="22"/>
        <v>1</v>
      </c>
      <c r="L496" s="96">
        <f t="shared" si="23"/>
        <v>0</v>
      </c>
      <c r="M496" s="96">
        <f t="shared" si="24"/>
        <v>0</v>
      </c>
    </row>
    <row r="497" spans="1:13" x14ac:dyDescent="0.45">
      <c r="A497">
        <v>3</v>
      </c>
      <c r="B497">
        <v>1</v>
      </c>
      <c r="C497">
        <v>1</v>
      </c>
      <c r="D497">
        <v>2</v>
      </c>
      <c r="E497">
        <v>1</v>
      </c>
      <c r="F497">
        <v>1</v>
      </c>
      <c r="G497">
        <v>7.4747272221630139</v>
      </c>
      <c r="H497">
        <v>1.932559496921088E-3</v>
      </c>
      <c r="I497">
        <v>-0.77945714147158274</v>
      </c>
      <c r="J497">
        <v>-1.5063473011938712E-3</v>
      </c>
      <c r="K497" s="96">
        <f t="shared" si="22"/>
        <v>1</v>
      </c>
      <c r="L497" s="96">
        <f t="shared" si="23"/>
        <v>0</v>
      </c>
      <c r="M497" s="96">
        <f t="shared" si="24"/>
        <v>0</v>
      </c>
    </row>
    <row r="498" spans="1:13" x14ac:dyDescent="0.45">
      <c r="A498">
        <v>3</v>
      </c>
      <c r="B498">
        <v>1</v>
      </c>
      <c r="C498">
        <v>1</v>
      </c>
      <c r="D498">
        <v>2</v>
      </c>
      <c r="E498">
        <v>1</v>
      </c>
      <c r="F498">
        <v>2</v>
      </c>
      <c r="G498">
        <v>8.2731607834105088</v>
      </c>
      <c r="H498">
        <v>1.932559496921088E-3</v>
      </c>
      <c r="I498">
        <v>-0.75898594001410069</v>
      </c>
      <c r="J498">
        <v>-1.4667854864038295E-3</v>
      </c>
      <c r="K498" s="96">
        <f t="shared" si="22"/>
        <v>1</v>
      </c>
      <c r="L498" s="96">
        <f t="shared" si="23"/>
        <v>0</v>
      </c>
      <c r="M498" s="96">
        <f t="shared" si="24"/>
        <v>0</v>
      </c>
    </row>
    <row r="499" spans="1:13" x14ac:dyDescent="0.45">
      <c r="A499">
        <v>3</v>
      </c>
      <c r="B499">
        <v>1</v>
      </c>
      <c r="C499">
        <v>1</v>
      </c>
      <c r="D499">
        <v>2</v>
      </c>
      <c r="E499">
        <v>1</v>
      </c>
      <c r="F499">
        <v>3</v>
      </c>
      <c r="G499">
        <v>8.8719859543461208</v>
      </c>
      <c r="H499">
        <v>4.8749248570982399E-4</v>
      </c>
      <c r="I499">
        <v>-0.74398614610809288</v>
      </c>
      <c r="J499">
        <v>-3.6268765569990647E-4</v>
      </c>
      <c r="K499" s="96">
        <f t="shared" si="22"/>
        <v>1</v>
      </c>
      <c r="L499" s="96">
        <f t="shared" si="23"/>
        <v>0</v>
      </c>
      <c r="M499" s="96">
        <f t="shared" si="24"/>
        <v>0</v>
      </c>
    </row>
    <row r="500" spans="1:13" x14ac:dyDescent="0.45">
      <c r="A500">
        <v>3</v>
      </c>
      <c r="B500">
        <v>1</v>
      </c>
      <c r="C500">
        <v>1</v>
      </c>
      <c r="D500">
        <v>2</v>
      </c>
      <c r="E500">
        <v>2</v>
      </c>
      <c r="F500">
        <v>1</v>
      </c>
      <c r="G500">
        <v>7.4747272221630139</v>
      </c>
      <c r="H500">
        <v>1.932559496921088E-3</v>
      </c>
      <c r="I500">
        <v>-0.77945714147158274</v>
      </c>
      <c r="J500">
        <v>-1.5063473011938712E-3</v>
      </c>
      <c r="K500" s="96">
        <f t="shared" si="22"/>
        <v>1</v>
      </c>
      <c r="L500" s="96">
        <f t="shared" si="23"/>
        <v>0</v>
      </c>
      <c r="M500" s="96">
        <f t="shared" si="24"/>
        <v>0</v>
      </c>
    </row>
    <row r="501" spans="1:13" x14ac:dyDescent="0.45">
      <c r="A501">
        <v>3</v>
      </c>
      <c r="B501">
        <v>1</v>
      </c>
      <c r="C501">
        <v>1</v>
      </c>
      <c r="D501">
        <v>2</v>
      </c>
      <c r="E501">
        <v>2</v>
      </c>
      <c r="F501">
        <v>2</v>
      </c>
      <c r="G501">
        <v>8.2731607834105088</v>
      </c>
      <c r="H501">
        <v>1.932559496921088E-3</v>
      </c>
      <c r="I501">
        <v>-0.75898594001410069</v>
      </c>
      <c r="J501">
        <v>-1.4667854864038295E-3</v>
      </c>
      <c r="K501" s="96">
        <f t="shared" si="22"/>
        <v>1</v>
      </c>
      <c r="L501" s="96">
        <f t="shared" si="23"/>
        <v>0</v>
      </c>
      <c r="M501" s="96">
        <f t="shared" si="24"/>
        <v>0</v>
      </c>
    </row>
    <row r="502" spans="1:13" x14ac:dyDescent="0.45">
      <c r="A502">
        <v>3</v>
      </c>
      <c r="B502">
        <v>1</v>
      </c>
      <c r="C502">
        <v>1</v>
      </c>
      <c r="D502">
        <v>2</v>
      </c>
      <c r="E502">
        <v>2</v>
      </c>
      <c r="F502">
        <v>3</v>
      </c>
      <c r="G502">
        <v>8.8719859543461208</v>
      </c>
      <c r="H502">
        <v>4.8749248570982399E-4</v>
      </c>
      <c r="I502">
        <v>-0.74398614610809288</v>
      </c>
      <c r="J502">
        <v>-3.6268765569990647E-4</v>
      </c>
      <c r="K502" s="96">
        <f t="shared" si="22"/>
        <v>1</v>
      </c>
      <c r="L502" s="96">
        <f t="shared" si="23"/>
        <v>0</v>
      </c>
      <c r="M502" s="96">
        <f t="shared" si="24"/>
        <v>0</v>
      </c>
    </row>
    <row r="503" spans="1:13" x14ac:dyDescent="0.45">
      <c r="A503">
        <v>3</v>
      </c>
      <c r="B503">
        <v>1</v>
      </c>
      <c r="C503">
        <v>1</v>
      </c>
      <c r="D503">
        <v>2</v>
      </c>
      <c r="E503">
        <v>3</v>
      </c>
      <c r="F503">
        <v>1</v>
      </c>
      <c r="G503">
        <v>7.4747272221630139</v>
      </c>
      <c r="H503">
        <v>4.8749248570982405E-4</v>
      </c>
      <c r="I503">
        <v>-0.77945714147158274</v>
      </c>
      <c r="J503">
        <v>-3.7997949940025586E-4</v>
      </c>
      <c r="K503" s="96">
        <f t="shared" si="22"/>
        <v>1</v>
      </c>
      <c r="L503" s="96">
        <f t="shared" si="23"/>
        <v>0</v>
      </c>
      <c r="M503" s="96">
        <f t="shared" si="24"/>
        <v>0</v>
      </c>
    </row>
    <row r="504" spans="1:13" x14ac:dyDescent="0.45">
      <c r="A504">
        <v>3</v>
      </c>
      <c r="B504">
        <v>1</v>
      </c>
      <c r="C504">
        <v>1</v>
      </c>
      <c r="D504">
        <v>2</v>
      </c>
      <c r="E504">
        <v>3</v>
      </c>
      <c r="F504">
        <v>2</v>
      </c>
      <c r="G504">
        <v>8.2731607834105088</v>
      </c>
      <c r="H504">
        <v>4.8749248570982405E-4</v>
      </c>
      <c r="I504">
        <v>-0.75898594001410069</v>
      </c>
      <c r="J504">
        <v>-3.6999994251628136E-4</v>
      </c>
      <c r="K504" s="96">
        <f t="shared" si="22"/>
        <v>1</v>
      </c>
      <c r="L504" s="96">
        <f t="shared" si="23"/>
        <v>0</v>
      </c>
      <c r="M504" s="96">
        <f t="shared" si="24"/>
        <v>0</v>
      </c>
    </row>
    <row r="505" spans="1:13" x14ac:dyDescent="0.45">
      <c r="A505">
        <v>3</v>
      </c>
      <c r="B505">
        <v>1</v>
      </c>
      <c r="C505">
        <v>1</v>
      </c>
      <c r="D505">
        <v>2</v>
      </c>
      <c r="E505">
        <v>3</v>
      </c>
      <c r="F505">
        <v>3</v>
      </c>
      <c r="G505">
        <v>8.8719859543461208</v>
      </c>
      <c r="H505">
        <v>1.2297107747635201E-4</v>
      </c>
      <c r="I505">
        <v>-0.74398614610809288</v>
      </c>
      <c r="J505">
        <v>-9.1488778014390829E-5</v>
      </c>
      <c r="K505" s="96">
        <f t="shared" si="22"/>
        <v>1</v>
      </c>
      <c r="L505" s="96">
        <f t="shared" si="23"/>
        <v>0</v>
      </c>
      <c r="M505" s="96">
        <f t="shared" si="24"/>
        <v>0</v>
      </c>
    </row>
    <row r="506" spans="1:13" x14ac:dyDescent="0.45">
      <c r="A506">
        <v>3</v>
      </c>
      <c r="B506">
        <v>1</v>
      </c>
      <c r="C506">
        <v>1</v>
      </c>
      <c r="D506">
        <v>3</v>
      </c>
      <c r="E506">
        <v>1</v>
      </c>
      <c r="F506">
        <v>1</v>
      </c>
      <c r="G506">
        <v>7.4747272221630139</v>
      </c>
      <c r="H506">
        <v>4.8749248570982405E-4</v>
      </c>
      <c r="I506">
        <v>-0.77945714147158274</v>
      </c>
      <c r="J506">
        <v>-3.7997949940025586E-4</v>
      </c>
      <c r="K506" s="96">
        <f t="shared" si="22"/>
        <v>1</v>
      </c>
      <c r="L506" s="96">
        <f t="shared" si="23"/>
        <v>0</v>
      </c>
      <c r="M506" s="96">
        <f t="shared" si="24"/>
        <v>0</v>
      </c>
    </row>
    <row r="507" spans="1:13" x14ac:dyDescent="0.45">
      <c r="A507">
        <v>3</v>
      </c>
      <c r="B507">
        <v>1</v>
      </c>
      <c r="C507">
        <v>1</v>
      </c>
      <c r="D507">
        <v>3</v>
      </c>
      <c r="E507">
        <v>1</v>
      </c>
      <c r="F507">
        <v>2</v>
      </c>
      <c r="G507">
        <v>8.2731607834105088</v>
      </c>
      <c r="H507">
        <v>4.8749248570982405E-4</v>
      </c>
      <c r="I507">
        <v>-0.75898594001410069</v>
      </c>
      <c r="J507">
        <v>-3.6999994251628136E-4</v>
      </c>
      <c r="K507" s="96">
        <f t="shared" si="22"/>
        <v>1</v>
      </c>
      <c r="L507" s="96">
        <f t="shared" si="23"/>
        <v>0</v>
      </c>
      <c r="M507" s="96">
        <f t="shared" si="24"/>
        <v>0</v>
      </c>
    </row>
    <row r="508" spans="1:13" x14ac:dyDescent="0.45">
      <c r="A508">
        <v>3</v>
      </c>
      <c r="B508">
        <v>1</v>
      </c>
      <c r="C508">
        <v>1</v>
      </c>
      <c r="D508">
        <v>3</v>
      </c>
      <c r="E508">
        <v>1</v>
      </c>
      <c r="F508">
        <v>3</v>
      </c>
      <c r="G508">
        <v>8.8719859543461208</v>
      </c>
      <c r="H508">
        <v>1.2297107747635201E-4</v>
      </c>
      <c r="I508">
        <v>-0.74398614610809288</v>
      </c>
      <c r="J508">
        <v>-9.1488778014390829E-5</v>
      </c>
      <c r="K508" s="96">
        <f t="shared" si="22"/>
        <v>1</v>
      </c>
      <c r="L508" s="96">
        <f t="shared" si="23"/>
        <v>0</v>
      </c>
      <c r="M508" s="96">
        <f t="shared" si="24"/>
        <v>0</v>
      </c>
    </row>
    <row r="509" spans="1:13" x14ac:dyDescent="0.45">
      <c r="A509">
        <v>3</v>
      </c>
      <c r="B509">
        <v>1</v>
      </c>
      <c r="C509">
        <v>1</v>
      </c>
      <c r="D509">
        <v>3</v>
      </c>
      <c r="E509">
        <v>2</v>
      </c>
      <c r="F509">
        <v>1</v>
      </c>
      <c r="G509">
        <v>7.4747272221630139</v>
      </c>
      <c r="H509">
        <v>4.8749248570982405E-4</v>
      </c>
      <c r="I509">
        <v>-0.77945714147158274</v>
      </c>
      <c r="J509">
        <v>-3.7997949940025586E-4</v>
      </c>
      <c r="K509" s="96">
        <f t="shared" si="22"/>
        <v>1</v>
      </c>
      <c r="L509" s="96">
        <f t="shared" si="23"/>
        <v>0</v>
      </c>
      <c r="M509" s="96">
        <f t="shared" si="24"/>
        <v>0</v>
      </c>
    </row>
    <row r="510" spans="1:13" x14ac:dyDescent="0.45">
      <c r="A510">
        <v>3</v>
      </c>
      <c r="B510">
        <v>1</v>
      </c>
      <c r="C510">
        <v>1</v>
      </c>
      <c r="D510">
        <v>3</v>
      </c>
      <c r="E510">
        <v>2</v>
      </c>
      <c r="F510">
        <v>2</v>
      </c>
      <c r="G510">
        <v>8.2731607834105088</v>
      </c>
      <c r="H510">
        <v>4.8749248570982405E-4</v>
      </c>
      <c r="I510">
        <v>-0.75898594001410069</v>
      </c>
      <c r="J510">
        <v>-3.6999994251628136E-4</v>
      </c>
      <c r="K510" s="96">
        <f t="shared" si="22"/>
        <v>1</v>
      </c>
      <c r="L510" s="96">
        <f t="shared" si="23"/>
        <v>0</v>
      </c>
      <c r="M510" s="96">
        <f t="shared" si="24"/>
        <v>0</v>
      </c>
    </row>
    <row r="511" spans="1:13" x14ac:dyDescent="0.45">
      <c r="A511">
        <v>3</v>
      </c>
      <c r="B511">
        <v>1</v>
      </c>
      <c r="C511">
        <v>1</v>
      </c>
      <c r="D511">
        <v>3</v>
      </c>
      <c r="E511">
        <v>2</v>
      </c>
      <c r="F511">
        <v>3</v>
      </c>
      <c r="G511">
        <v>8.8719859543461208</v>
      </c>
      <c r="H511">
        <v>1.2297107747635201E-4</v>
      </c>
      <c r="I511">
        <v>-0.74398614610809288</v>
      </c>
      <c r="J511">
        <v>-9.1488778014390829E-5</v>
      </c>
      <c r="K511" s="96">
        <f t="shared" si="22"/>
        <v>1</v>
      </c>
      <c r="L511" s="96">
        <f t="shared" si="23"/>
        <v>0</v>
      </c>
      <c r="M511" s="96">
        <f t="shared" si="24"/>
        <v>0</v>
      </c>
    </row>
    <row r="512" spans="1:13" x14ac:dyDescent="0.45">
      <c r="A512">
        <v>3</v>
      </c>
      <c r="B512">
        <v>1</v>
      </c>
      <c r="C512">
        <v>1</v>
      </c>
      <c r="D512">
        <v>3</v>
      </c>
      <c r="E512">
        <v>3</v>
      </c>
      <c r="F512">
        <v>1</v>
      </c>
      <c r="G512">
        <v>7.4747272221630139</v>
      </c>
      <c r="H512">
        <v>1.2297107747635201E-4</v>
      </c>
      <c r="I512">
        <v>-0.77945714147158274</v>
      </c>
      <c r="J512">
        <v>-9.5850684533397873E-5</v>
      </c>
      <c r="K512" s="96">
        <f t="shared" si="22"/>
        <v>1</v>
      </c>
      <c r="L512" s="96">
        <f t="shared" si="23"/>
        <v>0</v>
      </c>
      <c r="M512" s="96">
        <f t="shared" si="24"/>
        <v>0</v>
      </c>
    </row>
    <row r="513" spans="1:13" x14ac:dyDescent="0.45">
      <c r="A513">
        <v>3</v>
      </c>
      <c r="B513">
        <v>1</v>
      </c>
      <c r="C513">
        <v>1</v>
      </c>
      <c r="D513">
        <v>3</v>
      </c>
      <c r="E513">
        <v>3</v>
      </c>
      <c r="F513">
        <v>2</v>
      </c>
      <c r="G513">
        <v>8.2731607834105088</v>
      </c>
      <c r="H513">
        <v>1.2297107747635201E-4</v>
      </c>
      <c r="I513">
        <v>-0.75898594001410069</v>
      </c>
      <c r="J513">
        <v>-9.3333318832935838E-5</v>
      </c>
      <c r="K513" s="96">
        <f t="shared" si="22"/>
        <v>1</v>
      </c>
      <c r="L513" s="96">
        <f t="shared" si="23"/>
        <v>0</v>
      </c>
      <c r="M513" s="96">
        <f t="shared" si="24"/>
        <v>0</v>
      </c>
    </row>
    <row r="514" spans="1:13" x14ac:dyDescent="0.45">
      <c r="A514">
        <v>3</v>
      </c>
      <c r="B514">
        <v>1</v>
      </c>
      <c r="C514">
        <v>1</v>
      </c>
      <c r="D514">
        <v>3</v>
      </c>
      <c r="E514">
        <v>3</v>
      </c>
      <c r="F514">
        <v>3</v>
      </c>
      <c r="G514">
        <v>8.8719859543461208</v>
      </c>
      <c r="H514">
        <v>3.1019731255295997E-5</v>
      </c>
      <c r="I514">
        <v>-0.74398614610809288</v>
      </c>
      <c r="J514">
        <v>-2.3078250309936422E-5</v>
      </c>
      <c r="K514" s="96">
        <f t="shared" si="22"/>
        <v>1</v>
      </c>
      <c r="L514" s="96">
        <f t="shared" si="23"/>
        <v>0</v>
      </c>
      <c r="M514" s="96">
        <f t="shared" si="24"/>
        <v>0</v>
      </c>
    </row>
    <row r="515" spans="1:13" x14ac:dyDescent="0.45">
      <c r="A515">
        <v>3</v>
      </c>
      <c r="B515">
        <v>1</v>
      </c>
      <c r="C515">
        <v>2</v>
      </c>
      <c r="D515">
        <v>1</v>
      </c>
      <c r="E515">
        <v>1</v>
      </c>
      <c r="F515">
        <v>1</v>
      </c>
      <c r="G515">
        <v>9.2712027349698687</v>
      </c>
      <c r="H515">
        <v>1.932559496921088E-3</v>
      </c>
      <c r="I515">
        <v>-0.73415133645340325</v>
      </c>
      <c r="J515">
        <v>-1.4187911374403334E-3</v>
      </c>
      <c r="K515" s="96">
        <f t="shared" ref="K515:K578" si="25">IF(A515=3,1,0)</f>
        <v>1</v>
      </c>
      <c r="L515" s="96">
        <f t="shared" ref="L515:L578" si="26">IF(A515=2,1,0)</f>
        <v>0</v>
      </c>
      <c r="M515" s="96">
        <f t="shared" ref="M515:M578" si="27">IF(A515=1,1,0)</f>
        <v>0</v>
      </c>
    </row>
    <row r="516" spans="1:13" x14ac:dyDescent="0.45">
      <c r="A516">
        <v>3</v>
      </c>
      <c r="B516">
        <v>1</v>
      </c>
      <c r="C516">
        <v>2</v>
      </c>
      <c r="D516">
        <v>1</v>
      </c>
      <c r="E516">
        <v>1</v>
      </c>
      <c r="F516">
        <v>2</v>
      </c>
      <c r="G516">
        <v>10.253890194966777</v>
      </c>
      <c r="H516">
        <v>1.932559496921088E-3</v>
      </c>
      <c r="I516">
        <v>-0.71049288907644748</v>
      </c>
      <c r="J516">
        <v>-1.3730697802795896E-3</v>
      </c>
      <c r="K516" s="96">
        <f t="shared" si="25"/>
        <v>1</v>
      </c>
      <c r="L516" s="96">
        <f t="shared" si="26"/>
        <v>0</v>
      </c>
      <c r="M516" s="96">
        <f t="shared" si="27"/>
        <v>0</v>
      </c>
    </row>
    <row r="517" spans="1:13" x14ac:dyDescent="0.45">
      <c r="A517">
        <v>3</v>
      </c>
      <c r="B517">
        <v>1</v>
      </c>
      <c r="C517">
        <v>2</v>
      </c>
      <c r="D517">
        <v>1</v>
      </c>
      <c r="E517">
        <v>1</v>
      </c>
      <c r="F517">
        <v>3</v>
      </c>
      <c r="G517">
        <v>10.990905789964462</v>
      </c>
      <c r="H517">
        <v>4.8749248570982399E-4</v>
      </c>
      <c r="I517">
        <v>-0.69325074049822599</v>
      </c>
      <c r="J517">
        <v>-3.3795452670565631E-4</v>
      </c>
      <c r="K517" s="96">
        <f t="shared" si="25"/>
        <v>1</v>
      </c>
      <c r="L517" s="96">
        <f t="shared" si="26"/>
        <v>0</v>
      </c>
      <c r="M517" s="96">
        <f t="shared" si="27"/>
        <v>0</v>
      </c>
    </row>
    <row r="518" spans="1:13" x14ac:dyDescent="0.45">
      <c r="A518">
        <v>3</v>
      </c>
      <c r="B518">
        <v>1</v>
      </c>
      <c r="C518">
        <v>2</v>
      </c>
      <c r="D518">
        <v>1</v>
      </c>
      <c r="E518">
        <v>2</v>
      </c>
      <c r="F518">
        <v>1</v>
      </c>
      <c r="G518">
        <v>9.2712027349698687</v>
      </c>
      <c r="H518">
        <v>1.932559496921088E-3</v>
      </c>
      <c r="I518">
        <v>-0.73415133645340325</v>
      </c>
      <c r="J518">
        <v>-1.4187911374403334E-3</v>
      </c>
      <c r="K518" s="96">
        <f t="shared" si="25"/>
        <v>1</v>
      </c>
      <c r="L518" s="96">
        <f t="shared" si="26"/>
        <v>0</v>
      </c>
      <c r="M518" s="96">
        <f t="shared" si="27"/>
        <v>0</v>
      </c>
    </row>
    <row r="519" spans="1:13" x14ac:dyDescent="0.45">
      <c r="A519">
        <v>3</v>
      </c>
      <c r="B519">
        <v>1</v>
      </c>
      <c r="C519">
        <v>2</v>
      </c>
      <c r="D519">
        <v>1</v>
      </c>
      <c r="E519">
        <v>2</v>
      </c>
      <c r="F519">
        <v>2</v>
      </c>
      <c r="G519">
        <v>10.253890194966777</v>
      </c>
      <c r="H519">
        <v>1.932559496921088E-3</v>
      </c>
      <c r="I519">
        <v>-0.71049288907644748</v>
      </c>
      <c r="J519">
        <v>-1.3730697802795896E-3</v>
      </c>
      <c r="K519" s="96">
        <f t="shared" si="25"/>
        <v>1</v>
      </c>
      <c r="L519" s="96">
        <f t="shared" si="26"/>
        <v>0</v>
      </c>
      <c r="M519" s="96">
        <f t="shared" si="27"/>
        <v>0</v>
      </c>
    </row>
    <row r="520" spans="1:13" x14ac:dyDescent="0.45">
      <c r="A520">
        <v>3</v>
      </c>
      <c r="B520">
        <v>1</v>
      </c>
      <c r="C520">
        <v>2</v>
      </c>
      <c r="D520">
        <v>1</v>
      </c>
      <c r="E520">
        <v>2</v>
      </c>
      <c r="F520">
        <v>3</v>
      </c>
      <c r="G520">
        <v>10.990905789964462</v>
      </c>
      <c r="H520">
        <v>4.8749248570982399E-4</v>
      </c>
      <c r="I520">
        <v>-0.69325074049822599</v>
      </c>
      <c r="J520">
        <v>-3.3795452670565631E-4</v>
      </c>
      <c r="K520" s="96">
        <f t="shared" si="25"/>
        <v>1</v>
      </c>
      <c r="L520" s="96">
        <f t="shared" si="26"/>
        <v>0</v>
      </c>
      <c r="M520" s="96">
        <f t="shared" si="27"/>
        <v>0</v>
      </c>
    </row>
    <row r="521" spans="1:13" x14ac:dyDescent="0.45">
      <c r="A521">
        <v>3</v>
      </c>
      <c r="B521">
        <v>1</v>
      </c>
      <c r="C521">
        <v>2</v>
      </c>
      <c r="D521">
        <v>1</v>
      </c>
      <c r="E521">
        <v>3</v>
      </c>
      <c r="F521">
        <v>1</v>
      </c>
      <c r="G521">
        <v>9.2712027349698687</v>
      </c>
      <c r="H521">
        <v>4.8749248570982405E-4</v>
      </c>
      <c r="I521">
        <v>-0.73415133645340325</v>
      </c>
      <c r="J521">
        <v>-3.5789325989485891E-4</v>
      </c>
      <c r="K521" s="96">
        <f t="shared" si="25"/>
        <v>1</v>
      </c>
      <c r="L521" s="96">
        <f t="shared" si="26"/>
        <v>0</v>
      </c>
      <c r="M521" s="96">
        <f t="shared" si="27"/>
        <v>0</v>
      </c>
    </row>
    <row r="522" spans="1:13" x14ac:dyDescent="0.45">
      <c r="A522">
        <v>3</v>
      </c>
      <c r="B522">
        <v>1</v>
      </c>
      <c r="C522">
        <v>2</v>
      </c>
      <c r="D522">
        <v>1</v>
      </c>
      <c r="E522">
        <v>3</v>
      </c>
      <c r="F522">
        <v>2</v>
      </c>
      <c r="G522">
        <v>10.253890194966777</v>
      </c>
      <c r="H522">
        <v>4.8749248570982405E-4</v>
      </c>
      <c r="I522">
        <v>-0.71049288907644748</v>
      </c>
      <c r="J522">
        <v>-3.4635994457503166E-4</v>
      </c>
      <c r="K522" s="96">
        <f t="shared" si="25"/>
        <v>1</v>
      </c>
      <c r="L522" s="96">
        <f t="shared" si="26"/>
        <v>0</v>
      </c>
      <c r="M522" s="96">
        <f t="shared" si="27"/>
        <v>0</v>
      </c>
    </row>
    <row r="523" spans="1:13" x14ac:dyDescent="0.45">
      <c r="A523">
        <v>3</v>
      </c>
      <c r="B523">
        <v>1</v>
      </c>
      <c r="C523">
        <v>2</v>
      </c>
      <c r="D523">
        <v>1</v>
      </c>
      <c r="E523">
        <v>3</v>
      </c>
      <c r="F523">
        <v>3</v>
      </c>
      <c r="G523">
        <v>10.990905789964462</v>
      </c>
      <c r="H523">
        <v>1.2297107747635201E-4</v>
      </c>
      <c r="I523">
        <v>-0.69325074049822599</v>
      </c>
      <c r="J523">
        <v>-8.5249790520345754E-5</v>
      </c>
      <c r="K523" s="96">
        <f t="shared" si="25"/>
        <v>1</v>
      </c>
      <c r="L523" s="96">
        <f t="shared" si="26"/>
        <v>0</v>
      </c>
      <c r="M523" s="96">
        <f t="shared" si="27"/>
        <v>0</v>
      </c>
    </row>
    <row r="524" spans="1:13" x14ac:dyDescent="0.45">
      <c r="A524">
        <v>3</v>
      </c>
      <c r="B524">
        <v>1</v>
      </c>
      <c r="C524">
        <v>2</v>
      </c>
      <c r="D524">
        <v>2</v>
      </c>
      <c r="E524">
        <v>1</v>
      </c>
      <c r="F524">
        <v>1</v>
      </c>
      <c r="G524">
        <v>9.2712027349698687</v>
      </c>
      <c r="H524">
        <v>1.932559496921088E-3</v>
      </c>
      <c r="I524">
        <v>-0.73415133645340325</v>
      </c>
      <c r="J524">
        <v>-1.4187911374403334E-3</v>
      </c>
      <c r="K524" s="96">
        <f t="shared" si="25"/>
        <v>1</v>
      </c>
      <c r="L524" s="96">
        <f t="shared" si="26"/>
        <v>0</v>
      </c>
      <c r="M524" s="96">
        <f t="shared" si="27"/>
        <v>0</v>
      </c>
    </row>
    <row r="525" spans="1:13" x14ac:dyDescent="0.45">
      <c r="A525">
        <v>3</v>
      </c>
      <c r="B525">
        <v>1</v>
      </c>
      <c r="C525">
        <v>2</v>
      </c>
      <c r="D525">
        <v>2</v>
      </c>
      <c r="E525">
        <v>1</v>
      </c>
      <c r="F525">
        <v>2</v>
      </c>
      <c r="G525">
        <v>10.253890194966777</v>
      </c>
      <c r="H525">
        <v>1.932559496921088E-3</v>
      </c>
      <c r="I525">
        <v>-0.71049288907644748</v>
      </c>
      <c r="J525">
        <v>-1.3730697802795896E-3</v>
      </c>
      <c r="K525" s="96">
        <f t="shared" si="25"/>
        <v>1</v>
      </c>
      <c r="L525" s="96">
        <f t="shared" si="26"/>
        <v>0</v>
      </c>
      <c r="M525" s="96">
        <f t="shared" si="27"/>
        <v>0</v>
      </c>
    </row>
    <row r="526" spans="1:13" x14ac:dyDescent="0.45">
      <c r="A526">
        <v>3</v>
      </c>
      <c r="B526">
        <v>1</v>
      </c>
      <c r="C526">
        <v>2</v>
      </c>
      <c r="D526">
        <v>2</v>
      </c>
      <c r="E526">
        <v>1</v>
      </c>
      <c r="F526">
        <v>3</v>
      </c>
      <c r="G526">
        <v>10.990905789964462</v>
      </c>
      <c r="H526">
        <v>4.8749248570982399E-4</v>
      </c>
      <c r="I526">
        <v>-0.69325074049822599</v>
      </c>
      <c r="J526">
        <v>-3.3795452670565631E-4</v>
      </c>
      <c r="K526" s="96">
        <f t="shared" si="25"/>
        <v>1</v>
      </c>
      <c r="L526" s="96">
        <f t="shared" si="26"/>
        <v>0</v>
      </c>
      <c r="M526" s="96">
        <f t="shared" si="27"/>
        <v>0</v>
      </c>
    </row>
    <row r="527" spans="1:13" x14ac:dyDescent="0.45">
      <c r="A527">
        <v>3</v>
      </c>
      <c r="B527">
        <v>1</v>
      </c>
      <c r="C527">
        <v>2</v>
      </c>
      <c r="D527">
        <v>2</v>
      </c>
      <c r="E527">
        <v>2</v>
      </c>
      <c r="F527">
        <v>1</v>
      </c>
      <c r="G527">
        <v>9.2712027349698687</v>
      </c>
      <c r="H527">
        <v>1.932559496921088E-3</v>
      </c>
      <c r="I527">
        <v>-0.73415133645340325</v>
      </c>
      <c r="J527">
        <v>-1.4187911374403334E-3</v>
      </c>
      <c r="K527" s="96">
        <f t="shared" si="25"/>
        <v>1</v>
      </c>
      <c r="L527" s="96">
        <f t="shared" si="26"/>
        <v>0</v>
      </c>
      <c r="M527" s="96">
        <f t="shared" si="27"/>
        <v>0</v>
      </c>
    </row>
    <row r="528" spans="1:13" x14ac:dyDescent="0.45">
      <c r="A528">
        <v>3</v>
      </c>
      <c r="B528">
        <v>1</v>
      </c>
      <c r="C528">
        <v>2</v>
      </c>
      <c r="D528">
        <v>2</v>
      </c>
      <c r="E528">
        <v>2</v>
      </c>
      <c r="F528">
        <v>2</v>
      </c>
      <c r="G528">
        <v>10.253890194966777</v>
      </c>
      <c r="H528">
        <v>1.932559496921088E-3</v>
      </c>
      <c r="I528">
        <v>-0.71049288907644748</v>
      </c>
      <c r="J528">
        <v>-1.3730697802795896E-3</v>
      </c>
      <c r="K528" s="96">
        <f t="shared" si="25"/>
        <v>1</v>
      </c>
      <c r="L528" s="96">
        <f t="shared" si="26"/>
        <v>0</v>
      </c>
      <c r="M528" s="96">
        <f t="shared" si="27"/>
        <v>0</v>
      </c>
    </row>
    <row r="529" spans="1:13" x14ac:dyDescent="0.45">
      <c r="A529">
        <v>3</v>
      </c>
      <c r="B529">
        <v>1</v>
      </c>
      <c r="C529">
        <v>2</v>
      </c>
      <c r="D529">
        <v>2</v>
      </c>
      <c r="E529">
        <v>2</v>
      </c>
      <c r="F529">
        <v>3</v>
      </c>
      <c r="G529">
        <v>10.990905789964462</v>
      </c>
      <c r="H529">
        <v>4.8749248570982399E-4</v>
      </c>
      <c r="I529">
        <v>-0.69325074049822599</v>
      </c>
      <c r="J529">
        <v>-3.3795452670565631E-4</v>
      </c>
      <c r="K529" s="96">
        <f t="shared" si="25"/>
        <v>1</v>
      </c>
      <c r="L529" s="96">
        <f t="shared" si="26"/>
        <v>0</v>
      </c>
      <c r="M529" s="96">
        <f t="shared" si="27"/>
        <v>0</v>
      </c>
    </row>
    <row r="530" spans="1:13" x14ac:dyDescent="0.45">
      <c r="A530">
        <v>3</v>
      </c>
      <c r="B530">
        <v>1</v>
      </c>
      <c r="C530">
        <v>2</v>
      </c>
      <c r="D530">
        <v>2</v>
      </c>
      <c r="E530">
        <v>3</v>
      </c>
      <c r="F530">
        <v>1</v>
      </c>
      <c r="G530">
        <v>9.2712027349698687</v>
      </c>
      <c r="H530">
        <v>4.8749248570982405E-4</v>
      </c>
      <c r="I530">
        <v>-0.73415133645340325</v>
      </c>
      <c r="J530">
        <v>-3.5789325989485891E-4</v>
      </c>
      <c r="K530" s="96">
        <f t="shared" si="25"/>
        <v>1</v>
      </c>
      <c r="L530" s="96">
        <f t="shared" si="26"/>
        <v>0</v>
      </c>
      <c r="M530" s="96">
        <f t="shared" si="27"/>
        <v>0</v>
      </c>
    </row>
    <row r="531" spans="1:13" x14ac:dyDescent="0.45">
      <c r="A531">
        <v>3</v>
      </c>
      <c r="B531">
        <v>1</v>
      </c>
      <c r="C531">
        <v>2</v>
      </c>
      <c r="D531">
        <v>2</v>
      </c>
      <c r="E531">
        <v>3</v>
      </c>
      <c r="F531">
        <v>2</v>
      </c>
      <c r="G531">
        <v>10.253890194966777</v>
      </c>
      <c r="H531">
        <v>4.8749248570982405E-4</v>
      </c>
      <c r="I531">
        <v>-0.71049288907644748</v>
      </c>
      <c r="J531">
        <v>-3.4635994457503166E-4</v>
      </c>
      <c r="K531" s="96">
        <f t="shared" si="25"/>
        <v>1</v>
      </c>
      <c r="L531" s="96">
        <f t="shared" si="26"/>
        <v>0</v>
      </c>
      <c r="M531" s="96">
        <f t="shared" si="27"/>
        <v>0</v>
      </c>
    </row>
    <row r="532" spans="1:13" x14ac:dyDescent="0.45">
      <c r="A532">
        <v>3</v>
      </c>
      <c r="B532">
        <v>1</v>
      </c>
      <c r="C532">
        <v>2</v>
      </c>
      <c r="D532">
        <v>2</v>
      </c>
      <c r="E532">
        <v>3</v>
      </c>
      <c r="F532">
        <v>3</v>
      </c>
      <c r="G532">
        <v>10.990905789964462</v>
      </c>
      <c r="H532">
        <v>1.2297107747635201E-4</v>
      </c>
      <c r="I532">
        <v>-0.69325074049822599</v>
      </c>
      <c r="J532">
        <v>-8.5249790520345754E-5</v>
      </c>
      <c r="K532" s="96">
        <f t="shared" si="25"/>
        <v>1</v>
      </c>
      <c r="L532" s="96">
        <f t="shared" si="26"/>
        <v>0</v>
      </c>
      <c r="M532" s="96">
        <f t="shared" si="27"/>
        <v>0</v>
      </c>
    </row>
    <row r="533" spans="1:13" x14ac:dyDescent="0.45">
      <c r="A533">
        <v>3</v>
      </c>
      <c r="B533">
        <v>1</v>
      </c>
      <c r="C533">
        <v>2</v>
      </c>
      <c r="D533">
        <v>3</v>
      </c>
      <c r="E533">
        <v>1</v>
      </c>
      <c r="F533">
        <v>1</v>
      </c>
      <c r="G533">
        <v>9.2712027349698687</v>
      </c>
      <c r="H533">
        <v>4.8749248570982405E-4</v>
      </c>
      <c r="I533">
        <v>-0.73415133645340325</v>
      </c>
      <c r="J533">
        <v>-3.5789325989485891E-4</v>
      </c>
      <c r="K533" s="96">
        <f t="shared" si="25"/>
        <v>1</v>
      </c>
      <c r="L533" s="96">
        <f t="shared" si="26"/>
        <v>0</v>
      </c>
      <c r="M533" s="96">
        <f t="shared" si="27"/>
        <v>0</v>
      </c>
    </row>
    <row r="534" spans="1:13" x14ac:dyDescent="0.45">
      <c r="A534">
        <v>3</v>
      </c>
      <c r="B534">
        <v>1</v>
      </c>
      <c r="C534">
        <v>2</v>
      </c>
      <c r="D534">
        <v>3</v>
      </c>
      <c r="E534">
        <v>1</v>
      </c>
      <c r="F534">
        <v>2</v>
      </c>
      <c r="G534">
        <v>10.253890194966777</v>
      </c>
      <c r="H534">
        <v>4.8749248570982405E-4</v>
      </c>
      <c r="I534">
        <v>-0.71049288907644748</v>
      </c>
      <c r="J534">
        <v>-3.4635994457503166E-4</v>
      </c>
      <c r="K534" s="96">
        <f t="shared" si="25"/>
        <v>1</v>
      </c>
      <c r="L534" s="96">
        <f t="shared" si="26"/>
        <v>0</v>
      </c>
      <c r="M534" s="96">
        <f t="shared" si="27"/>
        <v>0</v>
      </c>
    </row>
    <row r="535" spans="1:13" x14ac:dyDescent="0.45">
      <c r="A535">
        <v>3</v>
      </c>
      <c r="B535">
        <v>1</v>
      </c>
      <c r="C535">
        <v>2</v>
      </c>
      <c r="D535">
        <v>3</v>
      </c>
      <c r="E535">
        <v>1</v>
      </c>
      <c r="F535">
        <v>3</v>
      </c>
      <c r="G535">
        <v>10.990905789964462</v>
      </c>
      <c r="H535">
        <v>1.2297107747635201E-4</v>
      </c>
      <c r="I535">
        <v>-0.69325074049822599</v>
      </c>
      <c r="J535">
        <v>-8.5249790520345754E-5</v>
      </c>
      <c r="K535" s="96">
        <f t="shared" si="25"/>
        <v>1</v>
      </c>
      <c r="L535" s="96">
        <f t="shared" si="26"/>
        <v>0</v>
      </c>
      <c r="M535" s="96">
        <f t="shared" si="27"/>
        <v>0</v>
      </c>
    </row>
    <row r="536" spans="1:13" x14ac:dyDescent="0.45">
      <c r="A536">
        <v>3</v>
      </c>
      <c r="B536">
        <v>1</v>
      </c>
      <c r="C536">
        <v>2</v>
      </c>
      <c r="D536">
        <v>3</v>
      </c>
      <c r="E536">
        <v>2</v>
      </c>
      <c r="F536">
        <v>1</v>
      </c>
      <c r="G536">
        <v>9.2712027349698687</v>
      </c>
      <c r="H536">
        <v>4.8749248570982405E-4</v>
      </c>
      <c r="I536">
        <v>-0.73415133645340325</v>
      </c>
      <c r="J536">
        <v>-3.5789325989485891E-4</v>
      </c>
      <c r="K536" s="96">
        <f t="shared" si="25"/>
        <v>1</v>
      </c>
      <c r="L536" s="96">
        <f t="shared" si="26"/>
        <v>0</v>
      </c>
      <c r="M536" s="96">
        <f t="shared" si="27"/>
        <v>0</v>
      </c>
    </row>
    <row r="537" spans="1:13" x14ac:dyDescent="0.45">
      <c r="A537">
        <v>3</v>
      </c>
      <c r="B537">
        <v>1</v>
      </c>
      <c r="C537">
        <v>2</v>
      </c>
      <c r="D537">
        <v>3</v>
      </c>
      <c r="E537">
        <v>2</v>
      </c>
      <c r="F537">
        <v>2</v>
      </c>
      <c r="G537">
        <v>10.253890194966777</v>
      </c>
      <c r="H537">
        <v>4.8749248570982405E-4</v>
      </c>
      <c r="I537">
        <v>-0.71049288907644748</v>
      </c>
      <c r="J537">
        <v>-3.4635994457503166E-4</v>
      </c>
      <c r="K537" s="96">
        <f t="shared" si="25"/>
        <v>1</v>
      </c>
      <c r="L537" s="96">
        <f t="shared" si="26"/>
        <v>0</v>
      </c>
      <c r="M537" s="96">
        <f t="shared" si="27"/>
        <v>0</v>
      </c>
    </row>
    <row r="538" spans="1:13" x14ac:dyDescent="0.45">
      <c r="A538">
        <v>3</v>
      </c>
      <c r="B538">
        <v>1</v>
      </c>
      <c r="C538">
        <v>2</v>
      </c>
      <c r="D538">
        <v>3</v>
      </c>
      <c r="E538">
        <v>2</v>
      </c>
      <c r="F538">
        <v>3</v>
      </c>
      <c r="G538">
        <v>10.990905789964462</v>
      </c>
      <c r="H538">
        <v>1.2297107747635201E-4</v>
      </c>
      <c r="I538">
        <v>-0.69325074049822599</v>
      </c>
      <c r="J538">
        <v>-8.5249790520345754E-5</v>
      </c>
      <c r="K538" s="96">
        <f t="shared" si="25"/>
        <v>1</v>
      </c>
      <c r="L538" s="96">
        <f t="shared" si="26"/>
        <v>0</v>
      </c>
      <c r="M538" s="96">
        <f t="shared" si="27"/>
        <v>0</v>
      </c>
    </row>
    <row r="539" spans="1:13" x14ac:dyDescent="0.45">
      <c r="A539">
        <v>3</v>
      </c>
      <c r="B539">
        <v>1</v>
      </c>
      <c r="C539">
        <v>2</v>
      </c>
      <c r="D539">
        <v>3</v>
      </c>
      <c r="E539">
        <v>3</v>
      </c>
      <c r="F539">
        <v>1</v>
      </c>
      <c r="G539">
        <v>9.2712027349698687</v>
      </c>
      <c r="H539">
        <v>1.2297107747635201E-4</v>
      </c>
      <c r="I539">
        <v>-0.73415133645340325</v>
      </c>
      <c r="J539">
        <v>-9.0279380874378823E-5</v>
      </c>
      <c r="K539" s="96">
        <f t="shared" si="25"/>
        <v>1</v>
      </c>
      <c r="L539" s="96">
        <f t="shared" si="26"/>
        <v>0</v>
      </c>
      <c r="M539" s="96">
        <f t="shared" si="27"/>
        <v>0</v>
      </c>
    </row>
    <row r="540" spans="1:13" x14ac:dyDescent="0.45">
      <c r="A540">
        <v>3</v>
      </c>
      <c r="B540">
        <v>1</v>
      </c>
      <c r="C540">
        <v>2</v>
      </c>
      <c r="D540">
        <v>3</v>
      </c>
      <c r="E540">
        <v>3</v>
      </c>
      <c r="F540">
        <v>2</v>
      </c>
      <c r="G540">
        <v>10.253890194966777</v>
      </c>
      <c r="H540">
        <v>1.2297107747635201E-4</v>
      </c>
      <c r="I540">
        <v>-0.71049288907644748</v>
      </c>
      <c r="J540">
        <v>-8.7370076109016996E-5</v>
      </c>
      <c r="K540" s="96">
        <f t="shared" si="25"/>
        <v>1</v>
      </c>
      <c r="L540" s="96">
        <f t="shared" si="26"/>
        <v>0</v>
      </c>
      <c r="M540" s="96">
        <f t="shared" si="27"/>
        <v>0</v>
      </c>
    </row>
    <row r="541" spans="1:13" x14ac:dyDescent="0.45">
      <c r="A541">
        <v>3</v>
      </c>
      <c r="B541">
        <v>1</v>
      </c>
      <c r="C541">
        <v>2</v>
      </c>
      <c r="D541">
        <v>3</v>
      </c>
      <c r="E541">
        <v>3</v>
      </c>
      <c r="F541">
        <v>3</v>
      </c>
      <c r="G541">
        <v>10.990905789964462</v>
      </c>
      <c r="H541">
        <v>3.1019731255295997E-5</v>
      </c>
      <c r="I541">
        <v>-0.69325074049822599</v>
      </c>
      <c r="J541">
        <v>-2.1504451662789915E-5</v>
      </c>
      <c r="K541" s="96">
        <f t="shared" si="25"/>
        <v>1</v>
      </c>
      <c r="L541" s="96">
        <f t="shared" si="26"/>
        <v>0</v>
      </c>
      <c r="M541" s="96">
        <f t="shared" si="27"/>
        <v>0</v>
      </c>
    </row>
    <row r="542" spans="1:13" x14ac:dyDescent="0.45">
      <c r="A542">
        <v>3</v>
      </c>
      <c r="B542">
        <v>1</v>
      </c>
      <c r="C542">
        <v>3</v>
      </c>
      <c r="D542">
        <v>1</v>
      </c>
      <c r="E542">
        <v>1</v>
      </c>
      <c r="F542">
        <v>1</v>
      </c>
      <c r="G542">
        <v>10.468853076841109</v>
      </c>
      <c r="H542">
        <v>4.8749248570982405E-4</v>
      </c>
      <c r="I542">
        <v>-0.70542009850936704</v>
      </c>
      <c r="J542">
        <v>-3.4388699729200029E-4</v>
      </c>
      <c r="K542" s="96">
        <f t="shared" si="25"/>
        <v>1</v>
      </c>
      <c r="L542" s="96">
        <f t="shared" si="26"/>
        <v>0</v>
      </c>
      <c r="M542" s="96">
        <f t="shared" si="27"/>
        <v>0</v>
      </c>
    </row>
    <row r="543" spans="1:13" x14ac:dyDescent="0.45">
      <c r="A543">
        <v>3</v>
      </c>
      <c r="B543">
        <v>1</v>
      </c>
      <c r="C543">
        <v>3</v>
      </c>
      <c r="D543">
        <v>1</v>
      </c>
      <c r="E543">
        <v>1</v>
      </c>
      <c r="F543">
        <v>2</v>
      </c>
      <c r="G543">
        <v>11.574376469337615</v>
      </c>
      <c r="H543">
        <v>4.8749248570982405E-4</v>
      </c>
      <c r="I543">
        <v>-0.67989796130373514</v>
      </c>
      <c r="J543">
        <v>-3.3144514718499963E-4</v>
      </c>
      <c r="K543" s="96">
        <f t="shared" si="25"/>
        <v>1</v>
      </c>
      <c r="L543" s="96">
        <f t="shared" si="26"/>
        <v>0</v>
      </c>
      <c r="M543" s="96">
        <f t="shared" si="27"/>
        <v>0</v>
      </c>
    </row>
    <row r="544" spans="1:13" x14ac:dyDescent="0.45">
      <c r="A544">
        <v>3</v>
      </c>
      <c r="B544">
        <v>1</v>
      </c>
      <c r="C544">
        <v>3</v>
      </c>
      <c r="D544">
        <v>1</v>
      </c>
      <c r="E544">
        <v>1</v>
      </c>
      <c r="F544">
        <v>3</v>
      </c>
      <c r="G544">
        <v>12.403519013710019</v>
      </c>
      <c r="H544">
        <v>1.2297107747635201E-4</v>
      </c>
      <c r="I544">
        <v>-0.66136418261747509</v>
      </c>
      <c r="J544">
        <v>-8.1328666140737749E-5</v>
      </c>
      <c r="K544" s="96">
        <f t="shared" si="25"/>
        <v>1</v>
      </c>
      <c r="L544" s="96">
        <f t="shared" si="26"/>
        <v>0</v>
      </c>
      <c r="M544" s="96">
        <f t="shared" si="27"/>
        <v>0</v>
      </c>
    </row>
    <row r="545" spans="1:13" x14ac:dyDescent="0.45">
      <c r="A545">
        <v>3</v>
      </c>
      <c r="B545">
        <v>1</v>
      </c>
      <c r="C545">
        <v>3</v>
      </c>
      <c r="D545">
        <v>1</v>
      </c>
      <c r="E545">
        <v>2</v>
      </c>
      <c r="F545">
        <v>1</v>
      </c>
      <c r="G545">
        <v>10.468853076841109</v>
      </c>
      <c r="H545">
        <v>4.8749248570982405E-4</v>
      </c>
      <c r="I545">
        <v>-0.70542009850936704</v>
      </c>
      <c r="J545">
        <v>-3.4388699729200029E-4</v>
      </c>
      <c r="K545" s="96">
        <f t="shared" si="25"/>
        <v>1</v>
      </c>
      <c r="L545" s="96">
        <f t="shared" si="26"/>
        <v>0</v>
      </c>
      <c r="M545" s="96">
        <f t="shared" si="27"/>
        <v>0</v>
      </c>
    </row>
    <row r="546" spans="1:13" x14ac:dyDescent="0.45">
      <c r="A546">
        <v>3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11.574376469337615</v>
      </c>
      <c r="H546">
        <v>4.8749248570982405E-4</v>
      </c>
      <c r="I546">
        <v>-0.67989796130373514</v>
      </c>
      <c r="J546">
        <v>-3.3144514718499963E-4</v>
      </c>
      <c r="K546" s="96">
        <f t="shared" si="25"/>
        <v>1</v>
      </c>
      <c r="L546" s="96">
        <f t="shared" si="26"/>
        <v>0</v>
      </c>
      <c r="M546" s="96">
        <f t="shared" si="27"/>
        <v>0</v>
      </c>
    </row>
    <row r="547" spans="1:13" x14ac:dyDescent="0.45">
      <c r="A547">
        <v>3</v>
      </c>
      <c r="B547">
        <v>1</v>
      </c>
      <c r="C547">
        <v>3</v>
      </c>
      <c r="D547">
        <v>1</v>
      </c>
      <c r="E547">
        <v>2</v>
      </c>
      <c r="F547">
        <v>3</v>
      </c>
      <c r="G547">
        <v>12.403519013710019</v>
      </c>
      <c r="H547">
        <v>1.2297107747635201E-4</v>
      </c>
      <c r="I547">
        <v>-0.66136418261747509</v>
      </c>
      <c r="J547">
        <v>-8.1328666140737749E-5</v>
      </c>
      <c r="K547" s="96">
        <f t="shared" si="25"/>
        <v>1</v>
      </c>
      <c r="L547" s="96">
        <f t="shared" si="26"/>
        <v>0</v>
      </c>
      <c r="M547" s="96">
        <f t="shared" si="27"/>
        <v>0</v>
      </c>
    </row>
    <row r="548" spans="1:13" x14ac:dyDescent="0.45">
      <c r="A548">
        <v>3</v>
      </c>
      <c r="B548">
        <v>1</v>
      </c>
      <c r="C548">
        <v>3</v>
      </c>
      <c r="D548">
        <v>1</v>
      </c>
      <c r="E548">
        <v>3</v>
      </c>
      <c r="F548">
        <v>1</v>
      </c>
      <c r="G548">
        <v>10.468853076841109</v>
      </c>
      <c r="H548">
        <v>1.2297107747635201E-4</v>
      </c>
      <c r="I548">
        <v>-0.70542009850936704</v>
      </c>
      <c r="J548">
        <v>-8.6746269587171244E-5</v>
      </c>
      <c r="K548" s="96">
        <f t="shared" si="25"/>
        <v>1</v>
      </c>
      <c r="L548" s="96">
        <f t="shared" si="26"/>
        <v>0</v>
      </c>
      <c r="M548" s="96">
        <f t="shared" si="27"/>
        <v>0</v>
      </c>
    </row>
    <row r="549" spans="1:13" x14ac:dyDescent="0.45">
      <c r="A549">
        <v>3</v>
      </c>
      <c r="B549">
        <v>1</v>
      </c>
      <c r="C549">
        <v>3</v>
      </c>
      <c r="D549">
        <v>1</v>
      </c>
      <c r="E549">
        <v>3</v>
      </c>
      <c r="F549">
        <v>2</v>
      </c>
      <c r="G549">
        <v>11.574376469337615</v>
      </c>
      <c r="H549">
        <v>1.2297107747635201E-4</v>
      </c>
      <c r="I549">
        <v>-0.67989796130373514</v>
      </c>
      <c r="J549">
        <v>-8.3607784875495394E-5</v>
      </c>
      <c r="K549" s="96">
        <f t="shared" si="25"/>
        <v>1</v>
      </c>
      <c r="L549" s="96">
        <f t="shared" si="26"/>
        <v>0</v>
      </c>
      <c r="M549" s="96">
        <f t="shared" si="27"/>
        <v>0</v>
      </c>
    </row>
    <row r="550" spans="1:13" x14ac:dyDescent="0.45">
      <c r="A550">
        <v>3</v>
      </c>
      <c r="B550">
        <v>1</v>
      </c>
      <c r="C550">
        <v>3</v>
      </c>
      <c r="D550">
        <v>1</v>
      </c>
      <c r="E550">
        <v>3</v>
      </c>
      <c r="F550">
        <v>3</v>
      </c>
      <c r="G550">
        <v>12.403519013710019</v>
      </c>
      <c r="H550">
        <v>3.1019731255295997E-5</v>
      </c>
      <c r="I550">
        <v>-0.66136418261747509</v>
      </c>
      <c r="J550">
        <v>-2.051533920667258E-5</v>
      </c>
      <c r="K550" s="96">
        <f t="shared" si="25"/>
        <v>1</v>
      </c>
      <c r="L550" s="96">
        <f t="shared" si="26"/>
        <v>0</v>
      </c>
      <c r="M550" s="96">
        <f t="shared" si="27"/>
        <v>0</v>
      </c>
    </row>
    <row r="551" spans="1:13" x14ac:dyDescent="0.45">
      <c r="A551">
        <v>3</v>
      </c>
      <c r="B551">
        <v>1</v>
      </c>
      <c r="C551">
        <v>3</v>
      </c>
      <c r="D551">
        <v>2</v>
      </c>
      <c r="E551">
        <v>1</v>
      </c>
      <c r="F551">
        <v>1</v>
      </c>
      <c r="G551">
        <v>10.468853076841109</v>
      </c>
      <c r="H551">
        <v>4.8749248570982405E-4</v>
      </c>
      <c r="I551">
        <v>-0.70542009850936704</v>
      </c>
      <c r="J551">
        <v>-3.4388699729200029E-4</v>
      </c>
      <c r="K551" s="96">
        <f t="shared" si="25"/>
        <v>1</v>
      </c>
      <c r="L551" s="96">
        <f t="shared" si="26"/>
        <v>0</v>
      </c>
      <c r="M551" s="96">
        <f t="shared" si="27"/>
        <v>0</v>
      </c>
    </row>
    <row r="552" spans="1:13" x14ac:dyDescent="0.45">
      <c r="A552">
        <v>3</v>
      </c>
      <c r="B552">
        <v>1</v>
      </c>
      <c r="C552">
        <v>3</v>
      </c>
      <c r="D552">
        <v>2</v>
      </c>
      <c r="E552">
        <v>1</v>
      </c>
      <c r="F552">
        <v>2</v>
      </c>
      <c r="G552">
        <v>11.574376469337615</v>
      </c>
      <c r="H552">
        <v>4.8749248570982405E-4</v>
      </c>
      <c r="I552">
        <v>-0.67989796130373514</v>
      </c>
      <c r="J552">
        <v>-3.3144514718499963E-4</v>
      </c>
      <c r="K552" s="96">
        <f t="shared" si="25"/>
        <v>1</v>
      </c>
      <c r="L552" s="96">
        <f t="shared" si="26"/>
        <v>0</v>
      </c>
      <c r="M552" s="96">
        <f t="shared" si="27"/>
        <v>0</v>
      </c>
    </row>
    <row r="553" spans="1:13" x14ac:dyDescent="0.45">
      <c r="A553">
        <v>3</v>
      </c>
      <c r="B553">
        <v>1</v>
      </c>
      <c r="C553">
        <v>3</v>
      </c>
      <c r="D553">
        <v>2</v>
      </c>
      <c r="E553">
        <v>1</v>
      </c>
      <c r="F553">
        <v>3</v>
      </c>
      <c r="G553">
        <v>12.403519013710019</v>
      </c>
      <c r="H553">
        <v>1.2297107747635201E-4</v>
      </c>
      <c r="I553">
        <v>-0.66136418261747509</v>
      </c>
      <c r="J553">
        <v>-8.1328666140737749E-5</v>
      </c>
      <c r="K553" s="96">
        <f t="shared" si="25"/>
        <v>1</v>
      </c>
      <c r="L553" s="96">
        <f t="shared" si="26"/>
        <v>0</v>
      </c>
      <c r="M553" s="96">
        <f t="shared" si="27"/>
        <v>0</v>
      </c>
    </row>
    <row r="554" spans="1:13" x14ac:dyDescent="0.45">
      <c r="A554">
        <v>3</v>
      </c>
      <c r="B554">
        <v>1</v>
      </c>
      <c r="C554">
        <v>3</v>
      </c>
      <c r="D554">
        <v>2</v>
      </c>
      <c r="E554">
        <v>2</v>
      </c>
      <c r="F554">
        <v>1</v>
      </c>
      <c r="G554">
        <v>10.468853076841109</v>
      </c>
      <c r="H554">
        <v>4.8749248570982405E-4</v>
      </c>
      <c r="I554">
        <v>-0.70542009850936704</v>
      </c>
      <c r="J554">
        <v>-3.4388699729200029E-4</v>
      </c>
      <c r="K554" s="96">
        <f t="shared" si="25"/>
        <v>1</v>
      </c>
      <c r="L554" s="96">
        <f t="shared" si="26"/>
        <v>0</v>
      </c>
      <c r="M554" s="96">
        <f t="shared" si="27"/>
        <v>0</v>
      </c>
    </row>
    <row r="555" spans="1:13" x14ac:dyDescent="0.45">
      <c r="A555">
        <v>3</v>
      </c>
      <c r="B555">
        <v>1</v>
      </c>
      <c r="C555">
        <v>3</v>
      </c>
      <c r="D555">
        <v>2</v>
      </c>
      <c r="E555">
        <v>2</v>
      </c>
      <c r="F555">
        <v>2</v>
      </c>
      <c r="G555">
        <v>11.574376469337615</v>
      </c>
      <c r="H555">
        <v>4.8749248570982405E-4</v>
      </c>
      <c r="I555">
        <v>-0.67989796130373514</v>
      </c>
      <c r="J555">
        <v>-3.3144514718499963E-4</v>
      </c>
      <c r="K555" s="96">
        <f t="shared" si="25"/>
        <v>1</v>
      </c>
      <c r="L555" s="96">
        <f t="shared" si="26"/>
        <v>0</v>
      </c>
      <c r="M555" s="96">
        <f t="shared" si="27"/>
        <v>0</v>
      </c>
    </row>
    <row r="556" spans="1:13" x14ac:dyDescent="0.45">
      <c r="A556">
        <v>3</v>
      </c>
      <c r="B556">
        <v>1</v>
      </c>
      <c r="C556">
        <v>3</v>
      </c>
      <c r="D556">
        <v>2</v>
      </c>
      <c r="E556">
        <v>2</v>
      </c>
      <c r="F556">
        <v>3</v>
      </c>
      <c r="G556">
        <v>12.403519013710019</v>
      </c>
      <c r="H556">
        <v>1.2297107747635201E-4</v>
      </c>
      <c r="I556">
        <v>-0.66136418261747509</v>
      </c>
      <c r="J556">
        <v>-8.1328666140737749E-5</v>
      </c>
      <c r="K556" s="96">
        <f t="shared" si="25"/>
        <v>1</v>
      </c>
      <c r="L556" s="96">
        <f t="shared" si="26"/>
        <v>0</v>
      </c>
      <c r="M556" s="96">
        <f t="shared" si="27"/>
        <v>0</v>
      </c>
    </row>
    <row r="557" spans="1:13" x14ac:dyDescent="0.45">
      <c r="A557">
        <v>3</v>
      </c>
      <c r="B557">
        <v>1</v>
      </c>
      <c r="C557">
        <v>3</v>
      </c>
      <c r="D557">
        <v>2</v>
      </c>
      <c r="E557">
        <v>3</v>
      </c>
      <c r="F557">
        <v>1</v>
      </c>
      <c r="G557">
        <v>10.468853076841109</v>
      </c>
      <c r="H557">
        <v>1.2297107747635201E-4</v>
      </c>
      <c r="I557">
        <v>-0.70542009850936704</v>
      </c>
      <c r="J557">
        <v>-8.6746269587171244E-5</v>
      </c>
      <c r="K557" s="96">
        <f t="shared" si="25"/>
        <v>1</v>
      </c>
      <c r="L557" s="96">
        <f t="shared" si="26"/>
        <v>0</v>
      </c>
      <c r="M557" s="96">
        <f t="shared" si="27"/>
        <v>0</v>
      </c>
    </row>
    <row r="558" spans="1:13" x14ac:dyDescent="0.45">
      <c r="A558">
        <v>3</v>
      </c>
      <c r="B558">
        <v>1</v>
      </c>
      <c r="C558">
        <v>3</v>
      </c>
      <c r="D558">
        <v>2</v>
      </c>
      <c r="E558">
        <v>3</v>
      </c>
      <c r="F558">
        <v>2</v>
      </c>
      <c r="G558">
        <v>11.574376469337615</v>
      </c>
      <c r="H558">
        <v>1.2297107747635201E-4</v>
      </c>
      <c r="I558">
        <v>-0.67989796130373514</v>
      </c>
      <c r="J558">
        <v>-8.3607784875495394E-5</v>
      </c>
      <c r="K558" s="96">
        <f t="shared" si="25"/>
        <v>1</v>
      </c>
      <c r="L558" s="96">
        <f t="shared" si="26"/>
        <v>0</v>
      </c>
      <c r="M558" s="96">
        <f t="shared" si="27"/>
        <v>0</v>
      </c>
    </row>
    <row r="559" spans="1:13" x14ac:dyDescent="0.45">
      <c r="A559">
        <v>3</v>
      </c>
      <c r="B559">
        <v>1</v>
      </c>
      <c r="C559">
        <v>3</v>
      </c>
      <c r="D559">
        <v>2</v>
      </c>
      <c r="E559">
        <v>3</v>
      </c>
      <c r="F559">
        <v>3</v>
      </c>
      <c r="G559">
        <v>12.403519013710019</v>
      </c>
      <c r="H559">
        <v>3.1019731255295997E-5</v>
      </c>
      <c r="I559">
        <v>-0.66136418261747509</v>
      </c>
      <c r="J559">
        <v>-2.051533920667258E-5</v>
      </c>
      <c r="K559" s="96">
        <f t="shared" si="25"/>
        <v>1</v>
      </c>
      <c r="L559" s="96">
        <f t="shared" si="26"/>
        <v>0</v>
      </c>
      <c r="M559" s="96">
        <f t="shared" si="27"/>
        <v>0</v>
      </c>
    </row>
    <row r="560" spans="1:13" x14ac:dyDescent="0.45">
      <c r="A560">
        <v>3</v>
      </c>
      <c r="B560">
        <v>1</v>
      </c>
      <c r="C560">
        <v>3</v>
      </c>
      <c r="D560">
        <v>3</v>
      </c>
      <c r="E560">
        <v>1</v>
      </c>
      <c r="F560">
        <v>1</v>
      </c>
      <c r="G560">
        <v>10.468853076841109</v>
      </c>
      <c r="H560">
        <v>1.2297107747635201E-4</v>
      </c>
      <c r="I560">
        <v>-0.70542009850936704</v>
      </c>
      <c r="J560">
        <v>-8.6746269587171244E-5</v>
      </c>
      <c r="K560" s="96">
        <f t="shared" si="25"/>
        <v>1</v>
      </c>
      <c r="L560" s="96">
        <f t="shared" si="26"/>
        <v>0</v>
      </c>
      <c r="M560" s="96">
        <f t="shared" si="27"/>
        <v>0</v>
      </c>
    </row>
    <row r="561" spans="1:13" x14ac:dyDescent="0.45">
      <c r="A561">
        <v>3</v>
      </c>
      <c r="B561">
        <v>1</v>
      </c>
      <c r="C561">
        <v>3</v>
      </c>
      <c r="D561">
        <v>3</v>
      </c>
      <c r="E561">
        <v>1</v>
      </c>
      <c r="F561">
        <v>2</v>
      </c>
      <c r="G561">
        <v>11.574376469337615</v>
      </c>
      <c r="H561">
        <v>1.2297107747635201E-4</v>
      </c>
      <c r="I561">
        <v>-0.67989796130373514</v>
      </c>
      <c r="J561">
        <v>-8.3607784875495394E-5</v>
      </c>
      <c r="K561" s="96">
        <f t="shared" si="25"/>
        <v>1</v>
      </c>
      <c r="L561" s="96">
        <f t="shared" si="26"/>
        <v>0</v>
      </c>
      <c r="M561" s="96">
        <f t="shared" si="27"/>
        <v>0</v>
      </c>
    </row>
    <row r="562" spans="1:13" x14ac:dyDescent="0.45">
      <c r="A562">
        <v>3</v>
      </c>
      <c r="B562">
        <v>1</v>
      </c>
      <c r="C562">
        <v>3</v>
      </c>
      <c r="D562">
        <v>3</v>
      </c>
      <c r="E562">
        <v>1</v>
      </c>
      <c r="F562">
        <v>3</v>
      </c>
      <c r="G562">
        <v>12.403519013710019</v>
      </c>
      <c r="H562">
        <v>3.1019731255295997E-5</v>
      </c>
      <c r="I562">
        <v>-0.66136418261747509</v>
      </c>
      <c r="J562">
        <v>-2.051533920667258E-5</v>
      </c>
      <c r="K562" s="96">
        <f t="shared" si="25"/>
        <v>1</v>
      </c>
      <c r="L562" s="96">
        <f t="shared" si="26"/>
        <v>0</v>
      </c>
      <c r="M562" s="96">
        <f t="shared" si="27"/>
        <v>0</v>
      </c>
    </row>
    <row r="563" spans="1:13" x14ac:dyDescent="0.45">
      <c r="A563">
        <v>3</v>
      </c>
      <c r="B563">
        <v>1</v>
      </c>
      <c r="C563">
        <v>3</v>
      </c>
      <c r="D563">
        <v>3</v>
      </c>
      <c r="E563">
        <v>2</v>
      </c>
      <c r="F563">
        <v>1</v>
      </c>
      <c r="G563">
        <v>10.468853076841109</v>
      </c>
      <c r="H563">
        <v>1.2297107747635201E-4</v>
      </c>
      <c r="I563">
        <v>-0.70542009850936704</v>
      </c>
      <c r="J563">
        <v>-8.6746269587171244E-5</v>
      </c>
      <c r="K563" s="96">
        <f t="shared" si="25"/>
        <v>1</v>
      </c>
      <c r="L563" s="96">
        <f t="shared" si="26"/>
        <v>0</v>
      </c>
      <c r="M563" s="96">
        <f t="shared" si="27"/>
        <v>0</v>
      </c>
    </row>
    <row r="564" spans="1:13" x14ac:dyDescent="0.45">
      <c r="A564">
        <v>3</v>
      </c>
      <c r="B564">
        <v>1</v>
      </c>
      <c r="C564">
        <v>3</v>
      </c>
      <c r="D564">
        <v>3</v>
      </c>
      <c r="E564">
        <v>2</v>
      </c>
      <c r="F564">
        <v>2</v>
      </c>
      <c r="G564">
        <v>11.574376469337615</v>
      </c>
      <c r="H564">
        <v>1.2297107747635201E-4</v>
      </c>
      <c r="I564">
        <v>-0.67989796130373514</v>
      </c>
      <c r="J564">
        <v>-8.3607784875495394E-5</v>
      </c>
      <c r="K564" s="96">
        <f t="shared" si="25"/>
        <v>1</v>
      </c>
      <c r="L564" s="96">
        <f t="shared" si="26"/>
        <v>0</v>
      </c>
      <c r="M564" s="96">
        <f t="shared" si="27"/>
        <v>0</v>
      </c>
    </row>
    <row r="565" spans="1:13" x14ac:dyDescent="0.45">
      <c r="A565">
        <v>3</v>
      </c>
      <c r="B565">
        <v>1</v>
      </c>
      <c r="C565">
        <v>3</v>
      </c>
      <c r="D565">
        <v>3</v>
      </c>
      <c r="E565">
        <v>2</v>
      </c>
      <c r="F565">
        <v>3</v>
      </c>
      <c r="G565">
        <v>12.403519013710019</v>
      </c>
      <c r="H565">
        <v>3.1019731255295997E-5</v>
      </c>
      <c r="I565">
        <v>-0.66136418261747509</v>
      </c>
      <c r="J565">
        <v>-2.051533920667258E-5</v>
      </c>
      <c r="K565" s="96">
        <f t="shared" si="25"/>
        <v>1</v>
      </c>
      <c r="L565" s="96">
        <f t="shared" si="26"/>
        <v>0</v>
      </c>
      <c r="M565" s="96">
        <f t="shared" si="27"/>
        <v>0</v>
      </c>
    </row>
    <row r="566" spans="1:13" x14ac:dyDescent="0.45">
      <c r="A566">
        <v>3</v>
      </c>
      <c r="B566">
        <v>1</v>
      </c>
      <c r="C566">
        <v>3</v>
      </c>
      <c r="D566">
        <v>3</v>
      </c>
      <c r="E566">
        <v>3</v>
      </c>
      <c r="F566">
        <v>1</v>
      </c>
      <c r="G566">
        <v>10.468853076841109</v>
      </c>
      <c r="H566">
        <v>3.1019731255296003E-5</v>
      </c>
      <c r="I566">
        <v>-0.70542009850936704</v>
      </c>
      <c r="J566">
        <v>-2.1881941877844997E-5</v>
      </c>
      <c r="K566" s="96">
        <f t="shared" si="25"/>
        <v>1</v>
      </c>
      <c r="L566" s="96">
        <f t="shared" si="26"/>
        <v>0</v>
      </c>
      <c r="M566" s="96">
        <f t="shared" si="27"/>
        <v>0</v>
      </c>
    </row>
    <row r="567" spans="1:13" x14ac:dyDescent="0.45">
      <c r="A567">
        <v>3</v>
      </c>
      <c r="B567">
        <v>1</v>
      </c>
      <c r="C567">
        <v>3</v>
      </c>
      <c r="D567">
        <v>3</v>
      </c>
      <c r="E567">
        <v>3</v>
      </c>
      <c r="F567">
        <v>2</v>
      </c>
      <c r="G567">
        <v>11.574376469337615</v>
      </c>
      <c r="H567">
        <v>3.1019731255296003E-5</v>
      </c>
      <c r="I567">
        <v>-0.67989796130373514</v>
      </c>
      <c r="J567">
        <v>-2.1090252040665505E-5</v>
      </c>
      <c r="K567" s="96">
        <f t="shared" si="25"/>
        <v>1</v>
      </c>
      <c r="L567" s="96">
        <f t="shared" si="26"/>
        <v>0</v>
      </c>
      <c r="M567" s="96">
        <f t="shared" si="27"/>
        <v>0</v>
      </c>
    </row>
    <row r="568" spans="1:13" x14ac:dyDescent="0.45">
      <c r="A568">
        <v>3</v>
      </c>
      <c r="B568">
        <v>1</v>
      </c>
      <c r="C568">
        <v>3</v>
      </c>
      <c r="D568">
        <v>3</v>
      </c>
      <c r="E568">
        <v>3</v>
      </c>
      <c r="F568">
        <v>3</v>
      </c>
      <c r="G568">
        <v>12.403519013710019</v>
      </c>
      <c r="H568">
        <v>7.8247970734080004E-6</v>
      </c>
      <c r="I568">
        <v>-0.66136418261747509</v>
      </c>
      <c r="J568">
        <v>-5.1750405206020931E-6</v>
      </c>
      <c r="K568" s="96">
        <f t="shared" si="25"/>
        <v>1</v>
      </c>
      <c r="L568" s="96">
        <f t="shared" si="26"/>
        <v>0</v>
      </c>
      <c r="M568" s="96">
        <f t="shared" si="27"/>
        <v>0</v>
      </c>
    </row>
    <row r="569" spans="1:13" x14ac:dyDescent="0.45">
      <c r="A569">
        <v>3</v>
      </c>
      <c r="B569">
        <v>2</v>
      </c>
      <c r="C569">
        <v>1</v>
      </c>
      <c r="D569">
        <v>1</v>
      </c>
      <c r="E569">
        <v>1</v>
      </c>
      <c r="F569">
        <v>1</v>
      </c>
      <c r="G569">
        <v>12.129379396461667</v>
      </c>
      <c r="H569">
        <v>1.932559496921088E-3</v>
      </c>
      <c r="I569">
        <v>-0.66743541726563271</v>
      </c>
      <c r="J569">
        <v>-1.2898586542181875E-3</v>
      </c>
      <c r="K569" s="96">
        <f t="shared" si="25"/>
        <v>1</v>
      </c>
      <c r="L569" s="96">
        <f t="shared" si="26"/>
        <v>0</v>
      </c>
      <c r="M569" s="96">
        <f t="shared" si="27"/>
        <v>0</v>
      </c>
    </row>
    <row r="570" spans="1:13" x14ac:dyDescent="0.45">
      <c r="A570">
        <v>3</v>
      </c>
      <c r="B570">
        <v>2</v>
      </c>
      <c r="C570">
        <v>1</v>
      </c>
      <c r="D570">
        <v>1</v>
      </c>
      <c r="E570">
        <v>1</v>
      </c>
      <c r="F570">
        <v>2</v>
      </c>
      <c r="G570">
        <v>13.405213180714146</v>
      </c>
      <c r="H570">
        <v>1.932559496921088E-3</v>
      </c>
      <c r="I570">
        <v>-0.63964596245364225</v>
      </c>
      <c r="J570">
        <v>-1.236153879407016E-3</v>
      </c>
      <c r="K570" s="96">
        <f t="shared" si="25"/>
        <v>1</v>
      </c>
      <c r="L570" s="96">
        <f t="shared" si="26"/>
        <v>0</v>
      </c>
      <c r="M570" s="96">
        <f t="shared" si="27"/>
        <v>0</v>
      </c>
    </row>
    <row r="571" spans="1:13" x14ac:dyDescent="0.45">
      <c r="A571">
        <v>3</v>
      </c>
      <c r="B571">
        <v>2</v>
      </c>
      <c r="C571">
        <v>1</v>
      </c>
      <c r="D571">
        <v>1</v>
      </c>
      <c r="E571">
        <v>1</v>
      </c>
      <c r="F571">
        <v>3</v>
      </c>
      <c r="G571">
        <v>14.362088518903512</v>
      </c>
      <c r="H571">
        <v>4.8749248570982399E-4</v>
      </c>
      <c r="I571">
        <v>-0.61956585260151331</v>
      </c>
      <c r="J571">
        <v>-3.0203369754563817E-4</v>
      </c>
      <c r="K571" s="96">
        <f t="shared" si="25"/>
        <v>1</v>
      </c>
      <c r="L571" s="96">
        <f t="shared" si="26"/>
        <v>0</v>
      </c>
      <c r="M571" s="96">
        <f t="shared" si="27"/>
        <v>0</v>
      </c>
    </row>
    <row r="572" spans="1:13" x14ac:dyDescent="0.45">
      <c r="A572">
        <v>3</v>
      </c>
      <c r="B572">
        <v>2</v>
      </c>
      <c r="C572">
        <v>1</v>
      </c>
      <c r="D572">
        <v>1</v>
      </c>
      <c r="E572">
        <v>2</v>
      </c>
      <c r="F572">
        <v>1</v>
      </c>
      <c r="G572">
        <v>12.129379396461667</v>
      </c>
      <c r="H572">
        <v>1.932559496921088E-3</v>
      </c>
      <c r="I572">
        <v>-0.66743541726563271</v>
      </c>
      <c r="J572">
        <v>-1.2898586542181875E-3</v>
      </c>
      <c r="K572" s="96">
        <f t="shared" si="25"/>
        <v>1</v>
      </c>
      <c r="L572" s="96">
        <f t="shared" si="26"/>
        <v>0</v>
      </c>
      <c r="M572" s="96">
        <f t="shared" si="27"/>
        <v>0</v>
      </c>
    </row>
    <row r="573" spans="1:13" x14ac:dyDescent="0.45">
      <c r="A573">
        <v>3</v>
      </c>
      <c r="B573">
        <v>2</v>
      </c>
      <c r="C573">
        <v>1</v>
      </c>
      <c r="D573">
        <v>1</v>
      </c>
      <c r="E573">
        <v>2</v>
      </c>
      <c r="F573">
        <v>2</v>
      </c>
      <c r="G573">
        <v>13.405213180714146</v>
      </c>
      <c r="H573">
        <v>1.932559496921088E-3</v>
      </c>
      <c r="I573">
        <v>-0.63964596245364225</v>
      </c>
      <c r="J573">
        <v>-1.236153879407016E-3</v>
      </c>
      <c r="K573" s="96">
        <f t="shared" si="25"/>
        <v>1</v>
      </c>
      <c r="L573" s="96">
        <f t="shared" si="26"/>
        <v>0</v>
      </c>
      <c r="M573" s="96">
        <f t="shared" si="27"/>
        <v>0</v>
      </c>
    </row>
    <row r="574" spans="1:13" x14ac:dyDescent="0.45">
      <c r="A574">
        <v>3</v>
      </c>
      <c r="B574">
        <v>2</v>
      </c>
      <c r="C574">
        <v>1</v>
      </c>
      <c r="D574">
        <v>1</v>
      </c>
      <c r="E574">
        <v>2</v>
      </c>
      <c r="F574">
        <v>3</v>
      </c>
      <c r="G574">
        <v>14.362088518903512</v>
      </c>
      <c r="H574">
        <v>4.8749248570982399E-4</v>
      </c>
      <c r="I574">
        <v>-0.61956585260151331</v>
      </c>
      <c r="J574">
        <v>-3.0203369754563817E-4</v>
      </c>
      <c r="K574" s="96">
        <f t="shared" si="25"/>
        <v>1</v>
      </c>
      <c r="L574" s="96">
        <f t="shared" si="26"/>
        <v>0</v>
      </c>
      <c r="M574" s="96">
        <f t="shared" si="27"/>
        <v>0</v>
      </c>
    </row>
    <row r="575" spans="1:13" x14ac:dyDescent="0.45">
      <c r="A575">
        <v>3</v>
      </c>
      <c r="B575">
        <v>2</v>
      </c>
      <c r="C575">
        <v>1</v>
      </c>
      <c r="D575">
        <v>1</v>
      </c>
      <c r="E575">
        <v>3</v>
      </c>
      <c r="F575">
        <v>1</v>
      </c>
      <c r="G575">
        <v>12.129379396461667</v>
      </c>
      <c r="H575">
        <v>4.8749248570982405E-4</v>
      </c>
      <c r="I575">
        <v>-0.66743541726563271</v>
      </c>
      <c r="J575">
        <v>-3.2536975061359688E-4</v>
      </c>
      <c r="K575" s="96">
        <f t="shared" si="25"/>
        <v>1</v>
      </c>
      <c r="L575" s="96">
        <f t="shared" si="26"/>
        <v>0</v>
      </c>
      <c r="M575" s="96">
        <f t="shared" si="27"/>
        <v>0</v>
      </c>
    </row>
    <row r="576" spans="1:13" x14ac:dyDescent="0.45">
      <c r="A576">
        <v>3</v>
      </c>
      <c r="B576">
        <v>2</v>
      </c>
      <c r="C576">
        <v>1</v>
      </c>
      <c r="D576">
        <v>1</v>
      </c>
      <c r="E576">
        <v>3</v>
      </c>
      <c r="F576">
        <v>2</v>
      </c>
      <c r="G576">
        <v>13.405213180714146</v>
      </c>
      <c r="H576">
        <v>4.8749248570982405E-4</v>
      </c>
      <c r="I576">
        <v>-0.63964596245364225</v>
      </c>
      <c r="J576">
        <v>-3.1182260021077882E-4</v>
      </c>
      <c r="K576" s="96">
        <f t="shared" si="25"/>
        <v>1</v>
      </c>
      <c r="L576" s="96">
        <f t="shared" si="26"/>
        <v>0</v>
      </c>
      <c r="M576" s="96">
        <f t="shared" si="27"/>
        <v>0</v>
      </c>
    </row>
    <row r="577" spans="1:13" x14ac:dyDescent="0.45">
      <c r="A577">
        <v>3</v>
      </c>
      <c r="B577">
        <v>2</v>
      </c>
      <c r="C577">
        <v>1</v>
      </c>
      <c r="D577">
        <v>1</v>
      </c>
      <c r="E577">
        <v>3</v>
      </c>
      <c r="F577">
        <v>3</v>
      </c>
      <c r="G577">
        <v>14.362088518903512</v>
      </c>
      <c r="H577">
        <v>1.2297107747635201E-4</v>
      </c>
      <c r="I577">
        <v>-0.61956585260151331</v>
      </c>
      <c r="J577">
        <v>-7.6188680461962787E-5</v>
      </c>
      <c r="K577" s="96">
        <f t="shared" si="25"/>
        <v>1</v>
      </c>
      <c r="L577" s="96">
        <f t="shared" si="26"/>
        <v>0</v>
      </c>
      <c r="M577" s="96">
        <f t="shared" si="27"/>
        <v>0</v>
      </c>
    </row>
    <row r="578" spans="1:13" x14ac:dyDescent="0.45">
      <c r="A578">
        <v>3</v>
      </c>
      <c r="B578">
        <v>2</v>
      </c>
      <c r="C578">
        <v>1</v>
      </c>
      <c r="D578">
        <v>2</v>
      </c>
      <c r="E578">
        <v>1</v>
      </c>
      <c r="F578">
        <v>1</v>
      </c>
      <c r="G578">
        <v>12.129379396461667</v>
      </c>
      <c r="H578">
        <v>1.932559496921088E-3</v>
      </c>
      <c r="I578">
        <v>-0.66743541726563271</v>
      </c>
      <c r="J578">
        <v>-1.2898586542181875E-3</v>
      </c>
      <c r="K578" s="96">
        <f t="shared" si="25"/>
        <v>1</v>
      </c>
      <c r="L578" s="96">
        <f t="shared" si="26"/>
        <v>0</v>
      </c>
      <c r="M578" s="96">
        <f t="shared" si="27"/>
        <v>0</v>
      </c>
    </row>
    <row r="579" spans="1:13" x14ac:dyDescent="0.45">
      <c r="A579">
        <v>3</v>
      </c>
      <c r="B579">
        <v>2</v>
      </c>
      <c r="C579">
        <v>1</v>
      </c>
      <c r="D579">
        <v>2</v>
      </c>
      <c r="E579">
        <v>1</v>
      </c>
      <c r="F579">
        <v>2</v>
      </c>
      <c r="G579">
        <v>13.405213180714146</v>
      </c>
      <c r="H579">
        <v>1.932559496921088E-3</v>
      </c>
      <c r="I579">
        <v>-0.63964596245364225</v>
      </c>
      <c r="J579">
        <v>-1.236153879407016E-3</v>
      </c>
      <c r="K579" s="96">
        <f t="shared" ref="K579:K642" si="28">IF(A579=3,1,0)</f>
        <v>1</v>
      </c>
      <c r="L579" s="96">
        <f t="shared" ref="L579:L642" si="29">IF(A579=2,1,0)</f>
        <v>0</v>
      </c>
      <c r="M579" s="96">
        <f t="shared" ref="M579:M642" si="30">IF(A579=1,1,0)</f>
        <v>0</v>
      </c>
    </row>
    <row r="580" spans="1:13" x14ac:dyDescent="0.45">
      <c r="A580">
        <v>3</v>
      </c>
      <c r="B580">
        <v>2</v>
      </c>
      <c r="C580">
        <v>1</v>
      </c>
      <c r="D580">
        <v>2</v>
      </c>
      <c r="E580">
        <v>1</v>
      </c>
      <c r="F580">
        <v>3</v>
      </c>
      <c r="G580">
        <v>14.362088518903512</v>
      </c>
      <c r="H580">
        <v>4.8749248570982399E-4</v>
      </c>
      <c r="I580">
        <v>-0.61956585260151331</v>
      </c>
      <c r="J580">
        <v>-3.0203369754563817E-4</v>
      </c>
      <c r="K580" s="96">
        <f t="shared" si="28"/>
        <v>1</v>
      </c>
      <c r="L580" s="96">
        <f t="shared" si="29"/>
        <v>0</v>
      </c>
      <c r="M580" s="96">
        <f t="shared" si="30"/>
        <v>0</v>
      </c>
    </row>
    <row r="581" spans="1:13" x14ac:dyDescent="0.45">
      <c r="A581">
        <v>3</v>
      </c>
      <c r="B581">
        <v>2</v>
      </c>
      <c r="C581">
        <v>1</v>
      </c>
      <c r="D581">
        <v>2</v>
      </c>
      <c r="E581">
        <v>2</v>
      </c>
      <c r="F581">
        <v>1</v>
      </c>
      <c r="G581">
        <v>12.129379396461667</v>
      </c>
      <c r="H581">
        <v>1.932559496921088E-3</v>
      </c>
      <c r="I581">
        <v>-0.66743541726563271</v>
      </c>
      <c r="J581">
        <v>-1.2898586542181875E-3</v>
      </c>
      <c r="K581" s="96">
        <f t="shared" si="28"/>
        <v>1</v>
      </c>
      <c r="L581" s="96">
        <f t="shared" si="29"/>
        <v>0</v>
      </c>
      <c r="M581" s="96">
        <f t="shared" si="30"/>
        <v>0</v>
      </c>
    </row>
    <row r="582" spans="1:13" x14ac:dyDescent="0.45">
      <c r="A582">
        <v>3</v>
      </c>
      <c r="B582">
        <v>2</v>
      </c>
      <c r="C582">
        <v>1</v>
      </c>
      <c r="D582">
        <v>2</v>
      </c>
      <c r="E582">
        <v>2</v>
      </c>
      <c r="F582">
        <v>2</v>
      </c>
      <c r="G582">
        <v>13.405213180714146</v>
      </c>
      <c r="H582">
        <v>1.932559496921088E-3</v>
      </c>
      <c r="I582">
        <v>-0.63964596245364225</v>
      </c>
      <c r="J582">
        <v>-1.236153879407016E-3</v>
      </c>
      <c r="K582" s="96">
        <f t="shared" si="28"/>
        <v>1</v>
      </c>
      <c r="L582" s="96">
        <f t="shared" si="29"/>
        <v>0</v>
      </c>
      <c r="M582" s="96">
        <f t="shared" si="30"/>
        <v>0</v>
      </c>
    </row>
    <row r="583" spans="1:13" x14ac:dyDescent="0.45">
      <c r="A583">
        <v>3</v>
      </c>
      <c r="B583">
        <v>2</v>
      </c>
      <c r="C583">
        <v>1</v>
      </c>
      <c r="D583">
        <v>2</v>
      </c>
      <c r="E583">
        <v>2</v>
      </c>
      <c r="F583">
        <v>3</v>
      </c>
      <c r="G583">
        <v>14.362088518903512</v>
      </c>
      <c r="H583">
        <v>4.8749248570982399E-4</v>
      </c>
      <c r="I583">
        <v>-0.61956585260151331</v>
      </c>
      <c r="J583">
        <v>-3.0203369754563817E-4</v>
      </c>
      <c r="K583" s="96">
        <f t="shared" si="28"/>
        <v>1</v>
      </c>
      <c r="L583" s="96">
        <f t="shared" si="29"/>
        <v>0</v>
      </c>
      <c r="M583" s="96">
        <f t="shared" si="30"/>
        <v>0</v>
      </c>
    </row>
    <row r="584" spans="1:13" x14ac:dyDescent="0.45">
      <c r="A584">
        <v>3</v>
      </c>
      <c r="B584">
        <v>2</v>
      </c>
      <c r="C584">
        <v>1</v>
      </c>
      <c r="D584">
        <v>2</v>
      </c>
      <c r="E584">
        <v>3</v>
      </c>
      <c r="F584">
        <v>1</v>
      </c>
      <c r="G584">
        <v>12.129379396461667</v>
      </c>
      <c r="H584">
        <v>4.8749248570982405E-4</v>
      </c>
      <c r="I584">
        <v>-0.66743541726563271</v>
      </c>
      <c r="J584">
        <v>-3.2536975061359688E-4</v>
      </c>
      <c r="K584" s="96">
        <f t="shared" si="28"/>
        <v>1</v>
      </c>
      <c r="L584" s="96">
        <f t="shared" si="29"/>
        <v>0</v>
      </c>
      <c r="M584" s="96">
        <f t="shared" si="30"/>
        <v>0</v>
      </c>
    </row>
    <row r="585" spans="1:13" x14ac:dyDescent="0.45">
      <c r="A585">
        <v>3</v>
      </c>
      <c r="B585">
        <v>2</v>
      </c>
      <c r="C585">
        <v>1</v>
      </c>
      <c r="D585">
        <v>2</v>
      </c>
      <c r="E585">
        <v>3</v>
      </c>
      <c r="F585">
        <v>2</v>
      </c>
      <c r="G585">
        <v>13.405213180714146</v>
      </c>
      <c r="H585">
        <v>4.8749248570982405E-4</v>
      </c>
      <c r="I585">
        <v>-0.63964596245364225</v>
      </c>
      <c r="J585">
        <v>-3.1182260021077882E-4</v>
      </c>
      <c r="K585" s="96">
        <f t="shared" si="28"/>
        <v>1</v>
      </c>
      <c r="L585" s="96">
        <f t="shared" si="29"/>
        <v>0</v>
      </c>
      <c r="M585" s="96">
        <f t="shared" si="30"/>
        <v>0</v>
      </c>
    </row>
    <row r="586" spans="1:13" x14ac:dyDescent="0.45">
      <c r="A586">
        <v>3</v>
      </c>
      <c r="B586">
        <v>2</v>
      </c>
      <c r="C586">
        <v>1</v>
      </c>
      <c r="D586">
        <v>2</v>
      </c>
      <c r="E586">
        <v>3</v>
      </c>
      <c r="F586">
        <v>3</v>
      </c>
      <c r="G586">
        <v>14.362088518903512</v>
      </c>
      <c r="H586">
        <v>1.2297107747635201E-4</v>
      </c>
      <c r="I586">
        <v>-0.61956585260151331</v>
      </c>
      <c r="J586">
        <v>-7.6188680461962787E-5</v>
      </c>
      <c r="K586" s="96">
        <f t="shared" si="28"/>
        <v>1</v>
      </c>
      <c r="L586" s="96">
        <f t="shared" si="29"/>
        <v>0</v>
      </c>
      <c r="M586" s="96">
        <f t="shared" si="30"/>
        <v>0</v>
      </c>
    </row>
    <row r="587" spans="1:13" x14ac:dyDescent="0.45">
      <c r="A587">
        <v>3</v>
      </c>
      <c r="B587">
        <v>2</v>
      </c>
      <c r="C587">
        <v>1</v>
      </c>
      <c r="D587">
        <v>3</v>
      </c>
      <c r="E587">
        <v>1</v>
      </c>
      <c r="F587">
        <v>1</v>
      </c>
      <c r="G587">
        <v>12.129379396461667</v>
      </c>
      <c r="H587">
        <v>4.8749248570982405E-4</v>
      </c>
      <c r="I587">
        <v>-0.66743541726563271</v>
      </c>
      <c r="J587">
        <v>-3.2536975061359688E-4</v>
      </c>
      <c r="K587" s="96">
        <f t="shared" si="28"/>
        <v>1</v>
      </c>
      <c r="L587" s="96">
        <f t="shared" si="29"/>
        <v>0</v>
      </c>
      <c r="M587" s="96">
        <f t="shared" si="30"/>
        <v>0</v>
      </c>
    </row>
    <row r="588" spans="1:13" x14ac:dyDescent="0.45">
      <c r="A588">
        <v>3</v>
      </c>
      <c r="B588">
        <v>2</v>
      </c>
      <c r="C588">
        <v>1</v>
      </c>
      <c r="D588">
        <v>3</v>
      </c>
      <c r="E588">
        <v>1</v>
      </c>
      <c r="F588">
        <v>2</v>
      </c>
      <c r="G588">
        <v>13.405213180714146</v>
      </c>
      <c r="H588">
        <v>4.8749248570982405E-4</v>
      </c>
      <c r="I588">
        <v>-0.63964596245364225</v>
      </c>
      <c r="J588">
        <v>-3.1182260021077882E-4</v>
      </c>
      <c r="K588" s="96">
        <f t="shared" si="28"/>
        <v>1</v>
      </c>
      <c r="L588" s="96">
        <f t="shared" si="29"/>
        <v>0</v>
      </c>
      <c r="M588" s="96">
        <f t="shared" si="30"/>
        <v>0</v>
      </c>
    </row>
    <row r="589" spans="1:13" x14ac:dyDescent="0.45">
      <c r="A589">
        <v>3</v>
      </c>
      <c r="B589">
        <v>2</v>
      </c>
      <c r="C589">
        <v>1</v>
      </c>
      <c r="D589">
        <v>3</v>
      </c>
      <c r="E589">
        <v>1</v>
      </c>
      <c r="F589">
        <v>3</v>
      </c>
      <c r="G589">
        <v>14.362088518903512</v>
      </c>
      <c r="H589">
        <v>1.2297107747635201E-4</v>
      </c>
      <c r="I589">
        <v>-0.61956585260151331</v>
      </c>
      <c r="J589">
        <v>-7.6188680461962787E-5</v>
      </c>
      <c r="K589" s="96">
        <f t="shared" si="28"/>
        <v>1</v>
      </c>
      <c r="L589" s="96">
        <f t="shared" si="29"/>
        <v>0</v>
      </c>
      <c r="M589" s="96">
        <f t="shared" si="30"/>
        <v>0</v>
      </c>
    </row>
    <row r="590" spans="1:13" x14ac:dyDescent="0.45">
      <c r="A590">
        <v>3</v>
      </c>
      <c r="B590">
        <v>2</v>
      </c>
      <c r="C590">
        <v>1</v>
      </c>
      <c r="D590">
        <v>3</v>
      </c>
      <c r="E590">
        <v>2</v>
      </c>
      <c r="F590">
        <v>1</v>
      </c>
      <c r="G590">
        <v>12.129379396461667</v>
      </c>
      <c r="H590">
        <v>4.8749248570982405E-4</v>
      </c>
      <c r="I590">
        <v>-0.66743541726563271</v>
      </c>
      <c r="J590">
        <v>-3.2536975061359688E-4</v>
      </c>
      <c r="K590" s="96">
        <f t="shared" si="28"/>
        <v>1</v>
      </c>
      <c r="L590" s="96">
        <f t="shared" si="29"/>
        <v>0</v>
      </c>
      <c r="M590" s="96">
        <f t="shared" si="30"/>
        <v>0</v>
      </c>
    </row>
    <row r="591" spans="1:13" x14ac:dyDescent="0.45">
      <c r="A591">
        <v>3</v>
      </c>
      <c r="B591">
        <v>2</v>
      </c>
      <c r="C591">
        <v>1</v>
      </c>
      <c r="D591">
        <v>3</v>
      </c>
      <c r="E591">
        <v>2</v>
      </c>
      <c r="F591">
        <v>2</v>
      </c>
      <c r="G591">
        <v>13.405213180714146</v>
      </c>
      <c r="H591">
        <v>4.8749248570982405E-4</v>
      </c>
      <c r="I591">
        <v>-0.63964596245364225</v>
      </c>
      <c r="J591">
        <v>-3.1182260021077882E-4</v>
      </c>
      <c r="K591" s="96">
        <f t="shared" si="28"/>
        <v>1</v>
      </c>
      <c r="L591" s="96">
        <f t="shared" si="29"/>
        <v>0</v>
      </c>
      <c r="M591" s="96">
        <f t="shared" si="30"/>
        <v>0</v>
      </c>
    </row>
    <row r="592" spans="1:13" x14ac:dyDescent="0.45">
      <c r="A592">
        <v>3</v>
      </c>
      <c r="B592">
        <v>2</v>
      </c>
      <c r="C592">
        <v>1</v>
      </c>
      <c r="D592">
        <v>3</v>
      </c>
      <c r="E592">
        <v>2</v>
      </c>
      <c r="F592">
        <v>3</v>
      </c>
      <c r="G592">
        <v>14.362088518903512</v>
      </c>
      <c r="H592">
        <v>1.2297107747635201E-4</v>
      </c>
      <c r="I592">
        <v>-0.61956585260151331</v>
      </c>
      <c r="J592">
        <v>-7.6188680461962787E-5</v>
      </c>
      <c r="K592" s="96">
        <f t="shared" si="28"/>
        <v>1</v>
      </c>
      <c r="L592" s="96">
        <f t="shared" si="29"/>
        <v>0</v>
      </c>
      <c r="M592" s="96">
        <f t="shared" si="30"/>
        <v>0</v>
      </c>
    </row>
    <row r="593" spans="1:13" x14ac:dyDescent="0.45">
      <c r="A593">
        <v>3</v>
      </c>
      <c r="B593">
        <v>2</v>
      </c>
      <c r="C593">
        <v>1</v>
      </c>
      <c r="D593">
        <v>3</v>
      </c>
      <c r="E593">
        <v>3</v>
      </c>
      <c r="F593">
        <v>1</v>
      </c>
      <c r="G593">
        <v>12.129379396461667</v>
      </c>
      <c r="H593">
        <v>1.2297107747635201E-4</v>
      </c>
      <c r="I593">
        <v>-0.66743541726563271</v>
      </c>
      <c r="J593">
        <v>-8.2075252407033455E-5</v>
      </c>
      <c r="K593" s="96">
        <f t="shared" si="28"/>
        <v>1</v>
      </c>
      <c r="L593" s="96">
        <f t="shared" si="29"/>
        <v>0</v>
      </c>
      <c r="M593" s="96">
        <f t="shared" si="30"/>
        <v>0</v>
      </c>
    </row>
    <row r="594" spans="1:13" x14ac:dyDescent="0.45">
      <c r="A594">
        <v>3</v>
      </c>
      <c r="B594">
        <v>2</v>
      </c>
      <c r="C594">
        <v>1</v>
      </c>
      <c r="D594">
        <v>3</v>
      </c>
      <c r="E594">
        <v>3</v>
      </c>
      <c r="F594">
        <v>2</v>
      </c>
      <c r="G594">
        <v>13.405213180714146</v>
      </c>
      <c r="H594">
        <v>1.2297107747635201E-4</v>
      </c>
      <c r="I594">
        <v>-0.63964596245364225</v>
      </c>
      <c r="J594">
        <v>-7.8657953206322592E-5</v>
      </c>
      <c r="K594" s="96">
        <f t="shared" si="28"/>
        <v>1</v>
      </c>
      <c r="L594" s="96">
        <f t="shared" si="29"/>
        <v>0</v>
      </c>
      <c r="M594" s="96">
        <f t="shared" si="30"/>
        <v>0</v>
      </c>
    </row>
    <row r="595" spans="1:13" x14ac:dyDescent="0.45">
      <c r="A595">
        <v>3</v>
      </c>
      <c r="B595">
        <v>2</v>
      </c>
      <c r="C595">
        <v>1</v>
      </c>
      <c r="D595">
        <v>3</v>
      </c>
      <c r="E595">
        <v>3</v>
      </c>
      <c r="F595">
        <v>3</v>
      </c>
      <c r="G595">
        <v>14.362088518903512</v>
      </c>
      <c r="H595">
        <v>3.1019731255295997E-5</v>
      </c>
      <c r="I595">
        <v>-0.61956585260151331</v>
      </c>
      <c r="J595">
        <v>-1.9218766242657274E-5</v>
      </c>
      <c r="K595" s="96">
        <f t="shared" si="28"/>
        <v>1</v>
      </c>
      <c r="L595" s="96">
        <f t="shared" si="29"/>
        <v>0</v>
      </c>
      <c r="M595" s="96">
        <f t="shared" si="30"/>
        <v>0</v>
      </c>
    </row>
    <row r="596" spans="1:13" x14ac:dyDescent="0.45">
      <c r="A596">
        <v>3</v>
      </c>
      <c r="B596">
        <v>2</v>
      </c>
      <c r="C596">
        <v>2</v>
      </c>
      <c r="D596">
        <v>1</v>
      </c>
      <c r="E596">
        <v>1</v>
      </c>
      <c r="F596">
        <v>1</v>
      </c>
      <c r="G596">
        <v>15.000005411029752</v>
      </c>
      <c r="H596">
        <v>1.932559496921088E-3</v>
      </c>
      <c r="I596">
        <v>-0.6065305503141285</v>
      </c>
      <c r="J596">
        <v>-1.1721563751823428E-3</v>
      </c>
      <c r="K596" s="96">
        <f t="shared" si="28"/>
        <v>1</v>
      </c>
      <c r="L596" s="96">
        <f t="shared" si="29"/>
        <v>0</v>
      </c>
      <c r="M596" s="96">
        <f t="shared" si="30"/>
        <v>0</v>
      </c>
    </row>
    <row r="597" spans="1:13" x14ac:dyDescent="0.45">
      <c r="A597">
        <v>3</v>
      </c>
      <c r="B597">
        <v>2</v>
      </c>
      <c r="C597">
        <v>2</v>
      </c>
      <c r="D597">
        <v>1</v>
      </c>
      <c r="E597">
        <v>1</v>
      </c>
      <c r="F597">
        <v>2</v>
      </c>
      <c r="G597">
        <v>16.570262376263578</v>
      </c>
      <c r="H597">
        <v>1.932559496921088E-3</v>
      </c>
      <c r="I597">
        <v>-0.57560012937195015</v>
      </c>
      <c r="J597">
        <v>-1.1123814964467691E-3</v>
      </c>
      <c r="K597" s="96">
        <f t="shared" si="28"/>
        <v>1</v>
      </c>
      <c r="L597" s="96">
        <f t="shared" si="29"/>
        <v>0</v>
      </c>
      <c r="M597" s="96">
        <f t="shared" si="30"/>
        <v>0</v>
      </c>
    </row>
    <row r="598" spans="1:13" x14ac:dyDescent="0.45">
      <c r="A598">
        <v>3</v>
      </c>
      <c r="B598">
        <v>2</v>
      </c>
      <c r="C598">
        <v>2</v>
      </c>
      <c r="D598">
        <v>1</v>
      </c>
      <c r="E598">
        <v>1</v>
      </c>
      <c r="F598">
        <v>3</v>
      </c>
      <c r="G598">
        <v>17.747955100188925</v>
      </c>
      <c r="H598">
        <v>4.8749248570982399E-4</v>
      </c>
      <c r="I598">
        <v>-0.55344189855352321</v>
      </c>
      <c r="J598">
        <v>-2.6979876682182129E-4</v>
      </c>
      <c r="K598" s="96">
        <f t="shared" si="28"/>
        <v>1</v>
      </c>
      <c r="L598" s="96">
        <f t="shared" si="29"/>
        <v>0</v>
      </c>
      <c r="M598" s="96">
        <f t="shared" si="30"/>
        <v>0</v>
      </c>
    </row>
    <row r="599" spans="1:13" x14ac:dyDescent="0.45">
      <c r="A599">
        <v>3</v>
      </c>
      <c r="B599">
        <v>2</v>
      </c>
      <c r="C599">
        <v>2</v>
      </c>
      <c r="D599">
        <v>1</v>
      </c>
      <c r="E599">
        <v>2</v>
      </c>
      <c r="F599">
        <v>1</v>
      </c>
      <c r="G599">
        <v>15.000005411029752</v>
      </c>
      <c r="H599">
        <v>1.932559496921088E-3</v>
      </c>
      <c r="I599">
        <v>-0.6065305503141285</v>
      </c>
      <c r="J599">
        <v>-1.1721563751823428E-3</v>
      </c>
      <c r="K599" s="96">
        <f t="shared" si="28"/>
        <v>1</v>
      </c>
      <c r="L599" s="96">
        <f t="shared" si="29"/>
        <v>0</v>
      </c>
      <c r="M599" s="96">
        <f t="shared" si="30"/>
        <v>0</v>
      </c>
    </row>
    <row r="600" spans="1:13" x14ac:dyDescent="0.45">
      <c r="A600">
        <v>3</v>
      </c>
      <c r="B600">
        <v>2</v>
      </c>
      <c r="C600">
        <v>2</v>
      </c>
      <c r="D600">
        <v>1</v>
      </c>
      <c r="E600">
        <v>2</v>
      </c>
      <c r="F600">
        <v>2</v>
      </c>
      <c r="G600">
        <v>16.570262376263578</v>
      </c>
      <c r="H600">
        <v>1.932559496921088E-3</v>
      </c>
      <c r="I600">
        <v>-0.57560012937195015</v>
      </c>
      <c r="J600">
        <v>-1.1123814964467691E-3</v>
      </c>
      <c r="K600" s="96">
        <f t="shared" si="28"/>
        <v>1</v>
      </c>
      <c r="L600" s="96">
        <f t="shared" si="29"/>
        <v>0</v>
      </c>
      <c r="M600" s="96">
        <f t="shared" si="30"/>
        <v>0</v>
      </c>
    </row>
    <row r="601" spans="1:13" x14ac:dyDescent="0.45">
      <c r="A601">
        <v>3</v>
      </c>
      <c r="B601">
        <v>2</v>
      </c>
      <c r="C601">
        <v>2</v>
      </c>
      <c r="D601">
        <v>1</v>
      </c>
      <c r="E601">
        <v>2</v>
      </c>
      <c r="F601">
        <v>3</v>
      </c>
      <c r="G601">
        <v>17.747955100188925</v>
      </c>
      <c r="H601">
        <v>4.8749248570982399E-4</v>
      </c>
      <c r="I601">
        <v>-0.55344189855352321</v>
      </c>
      <c r="J601">
        <v>-2.6979876682182129E-4</v>
      </c>
      <c r="K601" s="96">
        <f t="shared" si="28"/>
        <v>1</v>
      </c>
      <c r="L601" s="96">
        <f t="shared" si="29"/>
        <v>0</v>
      </c>
      <c r="M601" s="96">
        <f t="shared" si="30"/>
        <v>0</v>
      </c>
    </row>
    <row r="602" spans="1:13" x14ac:dyDescent="0.45">
      <c r="A602">
        <v>3</v>
      </c>
      <c r="B602">
        <v>2</v>
      </c>
      <c r="C602">
        <v>2</v>
      </c>
      <c r="D602">
        <v>1</v>
      </c>
      <c r="E602">
        <v>3</v>
      </c>
      <c r="F602">
        <v>1</v>
      </c>
      <c r="G602">
        <v>15.000005411029752</v>
      </c>
      <c r="H602">
        <v>4.8749248570982405E-4</v>
      </c>
      <c r="I602">
        <v>-0.6065305503141285</v>
      </c>
      <c r="J602">
        <v>-2.9567908563158198E-4</v>
      </c>
      <c r="K602" s="96">
        <f t="shared" si="28"/>
        <v>1</v>
      </c>
      <c r="L602" s="96">
        <f t="shared" si="29"/>
        <v>0</v>
      </c>
      <c r="M602" s="96">
        <f t="shared" si="30"/>
        <v>0</v>
      </c>
    </row>
    <row r="603" spans="1:13" x14ac:dyDescent="0.45">
      <c r="A603">
        <v>3</v>
      </c>
      <c r="B603">
        <v>2</v>
      </c>
      <c r="C603">
        <v>2</v>
      </c>
      <c r="D603">
        <v>1</v>
      </c>
      <c r="E603">
        <v>3</v>
      </c>
      <c r="F603">
        <v>2</v>
      </c>
      <c r="G603">
        <v>16.570262376263578</v>
      </c>
      <c r="H603">
        <v>4.8749248570982405E-4</v>
      </c>
      <c r="I603">
        <v>-0.57560012937195015</v>
      </c>
      <c r="J603">
        <v>-2.8060073784242826E-4</v>
      </c>
      <c r="K603" s="96">
        <f t="shared" si="28"/>
        <v>1</v>
      </c>
      <c r="L603" s="96">
        <f t="shared" si="29"/>
        <v>0</v>
      </c>
      <c r="M603" s="96">
        <f t="shared" si="30"/>
        <v>0</v>
      </c>
    </row>
    <row r="604" spans="1:13" x14ac:dyDescent="0.45">
      <c r="A604">
        <v>3</v>
      </c>
      <c r="B604">
        <v>2</v>
      </c>
      <c r="C604">
        <v>2</v>
      </c>
      <c r="D604">
        <v>1</v>
      </c>
      <c r="E604">
        <v>3</v>
      </c>
      <c r="F604">
        <v>3</v>
      </c>
      <c r="G604">
        <v>17.747955100188925</v>
      </c>
      <c r="H604">
        <v>1.2297107747635201E-4</v>
      </c>
      <c r="I604">
        <v>-0.55344189855352321</v>
      </c>
      <c r="J604">
        <v>-6.8057346585684647E-5</v>
      </c>
      <c r="K604" s="96">
        <f t="shared" si="28"/>
        <v>1</v>
      </c>
      <c r="L604" s="96">
        <f t="shared" si="29"/>
        <v>0</v>
      </c>
      <c r="M604" s="96">
        <f t="shared" si="30"/>
        <v>0</v>
      </c>
    </row>
    <row r="605" spans="1:13" x14ac:dyDescent="0.45">
      <c r="A605">
        <v>3</v>
      </c>
      <c r="B605">
        <v>2</v>
      </c>
      <c r="C605">
        <v>2</v>
      </c>
      <c r="D605">
        <v>2</v>
      </c>
      <c r="E605">
        <v>1</v>
      </c>
      <c r="F605">
        <v>1</v>
      </c>
      <c r="G605">
        <v>15.000005411029752</v>
      </c>
      <c r="H605">
        <v>1.932559496921088E-3</v>
      </c>
      <c r="I605">
        <v>-0.6065305503141285</v>
      </c>
      <c r="J605">
        <v>-1.1721563751823428E-3</v>
      </c>
      <c r="K605" s="96">
        <f t="shared" si="28"/>
        <v>1</v>
      </c>
      <c r="L605" s="96">
        <f t="shared" si="29"/>
        <v>0</v>
      </c>
      <c r="M605" s="96">
        <f t="shared" si="30"/>
        <v>0</v>
      </c>
    </row>
    <row r="606" spans="1:13" x14ac:dyDescent="0.45">
      <c r="A606">
        <v>3</v>
      </c>
      <c r="B606">
        <v>2</v>
      </c>
      <c r="C606">
        <v>2</v>
      </c>
      <c r="D606">
        <v>2</v>
      </c>
      <c r="E606">
        <v>1</v>
      </c>
      <c r="F606">
        <v>2</v>
      </c>
      <c r="G606">
        <v>16.570262376263578</v>
      </c>
      <c r="H606">
        <v>1.932559496921088E-3</v>
      </c>
      <c r="I606">
        <v>-0.57560012937195015</v>
      </c>
      <c r="J606">
        <v>-1.1123814964467691E-3</v>
      </c>
      <c r="K606" s="96">
        <f t="shared" si="28"/>
        <v>1</v>
      </c>
      <c r="L606" s="96">
        <f t="shared" si="29"/>
        <v>0</v>
      </c>
      <c r="M606" s="96">
        <f t="shared" si="30"/>
        <v>0</v>
      </c>
    </row>
    <row r="607" spans="1:13" x14ac:dyDescent="0.45">
      <c r="A607">
        <v>3</v>
      </c>
      <c r="B607">
        <v>2</v>
      </c>
      <c r="C607">
        <v>2</v>
      </c>
      <c r="D607">
        <v>2</v>
      </c>
      <c r="E607">
        <v>1</v>
      </c>
      <c r="F607">
        <v>3</v>
      </c>
      <c r="G607">
        <v>17.747955100188925</v>
      </c>
      <c r="H607">
        <v>4.8749248570982399E-4</v>
      </c>
      <c r="I607">
        <v>-0.55344189855352321</v>
      </c>
      <c r="J607">
        <v>-2.6979876682182129E-4</v>
      </c>
      <c r="K607" s="96">
        <f t="shared" si="28"/>
        <v>1</v>
      </c>
      <c r="L607" s="96">
        <f t="shared" si="29"/>
        <v>0</v>
      </c>
      <c r="M607" s="96">
        <f t="shared" si="30"/>
        <v>0</v>
      </c>
    </row>
    <row r="608" spans="1:13" x14ac:dyDescent="0.45">
      <c r="A608">
        <v>3</v>
      </c>
      <c r="B608">
        <v>2</v>
      </c>
      <c r="C608">
        <v>2</v>
      </c>
      <c r="D608">
        <v>2</v>
      </c>
      <c r="E608">
        <v>2</v>
      </c>
      <c r="F608">
        <v>1</v>
      </c>
      <c r="G608">
        <v>15.000005411029752</v>
      </c>
      <c r="H608">
        <v>1.932559496921088E-3</v>
      </c>
      <c r="I608">
        <v>-0.6065305503141285</v>
      </c>
      <c r="J608">
        <v>-1.1721563751823428E-3</v>
      </c>
      <c r="K608" s="96">
        <f t="shared" si="28"/>
        <v>1</v>
      </c>
      <c r="L608" s="96">
        <f t="shared" si="29"/>
        <v>0</v>
      </c>
      <c r="M608" s="96">
        <f t="shared" si="30"/>
        <v>0</v>
      </c>
    </row>
    <row r="609" spans="1:13" x14ac:dyDescent="0.45">
      <c r="A609">
        <v>3</v>
      </c>
      <c r="B609">
        <v>2</v>
      </c>
      <c r="C609">
        <v>2</v>
      </c>
      <c r="D609">
        <v>2</v>
      </c>
      <c r="E609">
        <v>2</v>
      </c>
      <c r="F609">
        <v>2</v>
      </c>
      <c r="G609">
        <v>16.570262376263578</v>
      </c>
      <c r="H609">
        <v>1.932559496921088E-3</v>
      </c>
      <c r="I609">
        <v>-0.57560012937195015</v>
      </c>
      <c r="J609">
        <v>-1.1123814964467691E-3</v>
      </c>
      <c r="K609" s="96">
        <f t="shared" si="28"/>
        <v>1</v>
      </c>
      <c r="L609" s="96">
        <f t="shared" si="29"/>
        <v>0</v>
      </c>
      <c r="M609" s="96">
        <f t="shared" si="30"/>
        <v>0</v>
      </c>
    </row>
    <row r="610" spans="1:13" x14ac:dyDescent="0.45">
      <c r="A610">
        <v>3</v>
      </c>
      <c r="B610">
        <v>2</v>
      </c>
      <c r="C610">
        <v>2</v>
      </c>
      <c r="D610">
        <v>2</v>
      </c>
      <c r="E610">
        <v>2</v>
      </c>
      <c r="F610">
        <v>3</v>
      </c>
      <c r="G610">
        <v>17.747955100188925</v>
      </c>
      <c r="H610">
        <v>4.8749248570982399E-4</v>
      </c>
      <c r="I610">
        <v>-0.55344189855352321</v>
      </c>
      <c r="J610">
        <v>-2.6979876682182129E-4</v>
      </c>
      <c r="K610" s="96">
        <f t="shared" si="28"/>
        <v>1</v>
      </c>
      <c r="L610" s="96">
        <f t="shared" si="29"/>
        <v>0</v>
      </c>
      <c r="M610" s="96">
        <f t="shared" si="30"/>
        <v>0</v>
      </c>
    </row>
    <row r="611" spans="1:13" x14ac:dyDescent="0.45">
      <c r="A611">
        <v>3</v>
      </c>
      <c r="B611">
        <v>2</v>
      </c>
      <c r="C611">
        <v>2</v>
      </c>
      <c r="D611">
        <v>2</v>
      </c>
      <c r="E611">
        <v>3</v>
      </c>
      <c r="F611">
        <v>1</v>
      </c>
      <c r="G611">
        <v>15.000005411029752</v>
      </c>
      <c r="H611">
        <v>4.8749248570982405E-4</v>
      </c>
      <c r="I611">
        <v>-0.6065305503141285</v>
      </c>
      <c r="J611">
        <v>-2.9567908563158198E-4</v>
      </c>
      <c r="K611" s="96">
        <f t="shared" si="28"/>
        <v>1</v>
      </c>
      <c r="L611" s="96">
        <f t="shared" si="29"/>
        <v>0</v>
      </c>
      <c r="M611" s="96">
        <f t="shared" si="30"/>
        <v>0</v>
      </c>
    </row>
    <row r="612" spans="1:13" x14ac:dyDescent="0.45">
      <c r="A612">
        <v>3</v>
      </c>
      <c r="B612">
        <v>2</v>
      </c>
      <c r="C612">
        <v>2</v>
      </c>
      <c r="D612">
        <v>2</v>
      </c>
      <c r="E612">
        <v>3</v>
      </c>
      <c r="F612">
        <v>2</v>
      </c>
      <c r="G612">
        <v>16.570262376263578</v>
      </c>
      <c r="H612">
        <v>4.8749248570982405E-4</v>
      </c>
      <c r="I612">
        <v>-0.57560012937195015</v>
      </c>
      <c r="J612">
        <v>-2.8060073784242826E-4</v>
      </c>
      <c r="K612" s="96">
        <f t="shared" si="28"/>
        <v>1</v>
      </c>
      <c r="L612" s="96">
        <f t="shared" si="29"/>
        <v>0</v>
      </c>
      <c r="M612" s="96">
        <f t="shared" si="30"/>
        <v>0</v>
      </c>
    </row>
    <row r="613" spans="1:13" x14ac:dyDescent="0.45">
      <c r="A613">
        <v>3</v>
      </c>
      <c r="B613">
        <v>2</v>
      </c>
      <c r="C613">
        <v>2</v>
      </c>
      <c r="D613">
        <v>2</v>
      </c>
      <c r="E613">
        <v>3</v>
      </c>
      <c r="F613">
        <v>3</v>
      </c>
      <c r="G613">
        <v>17.747955100188925</v>
      </c>
      <c r="H613">
        <v>1.2297107747635201E-4</v>
      </c>
      <c r="I613">
        <v>-0.55344189855352321</v>
      </c>
      <c r="J613">
        <v>-6.8057346585684647E-5</v>
      </c>
      <c r="K613" s="96">
        <f t="shared" si="28"/>
        <v>1</v>
      </c>
      <c r="L613" s="96">
        <f t="shared" si="29"/>
        <v>0</v>
      </c>
      <c r="M613" s="96">
        <f t="shared" si="30"/>
        <v>0</v>
      </c>
    </row>
    <row r="614" spans="1:13" x14ac:dyDescent="0.45">
      <c r="A614">
        <v>3</v>
      </c>
      <c r="B614">
        <v>2</v>
      </c>
      <c r="C614">
        <v>2</v>
      </c>
      <c r="D614">
        <v>3</v>
      </c>
      <c r="E614">
        <v>1</v>
      </c>
      <c r="F614">
        <v>1</v>
      </c>
      <c r="G614">
        <v>15.000005411029752</v>
      </c>
      <c r="H614">
        <v>4.8749248570982405E-4</v>
      </c>
      <c r="I614">
        <v>-0.6065305503141285</v>
      </c>
      <c r="J614">
        <v>-2.9567908563158198E-4</v>
      </c>
      <c r="K614" s="96">
        <f t="shared" si="28"/>
        <v>1</v>
      </c>
      <c r="L614" s="96">
        <f t="shared" si="29"/>
        <v>0</v>
      </c>
      <c r="M614" s="96">
        <f t="shared" si="30"/>
        <v>0</v>
      </c>
    </row>
    <row r="615" spans="1:13" x14ac:dyDescent="0.45">
      <c r="A615">
        <v>3</v>
      </c>
      <c r="B615">
        <v>2</v>
      </c>
      <c r="C615">
        <v>2</v>
      </c>
      <c r="D615">
        <v>3</v>
      </c>
      <c r="E615">
        <v>1</v>
      </c>
      <c r="F615">
        <v>2</v>
      </c>
      <c r="G615">
        <v>16.570262376263578</v>
      </c>
      <c r="H615">
        <v>4.8749248570982405E-4</v>
      </c>
      <c r="I615">
        <v>-0.57560012937195015</v>
      </c>
      <c r="J615">
        <v>-2.8060073784242826E-4</v>
      </c>
      <c r="K615" s="96">
        <f t="shared" si="28"/>
        <v>1</v>
      </c>
      <c r="L615" s="96">
        <f t="shared" si="29"/>
        <v>0</v>
      </c>
      <c r="M615" s="96">
        <f t="shared" si="30"/>
        <v>0</v>
      </c>
    </row>
    <row r="616" spans="1:13" x14ac:dyDescent="0.45">
      <c r="A616">
        <v>3</v>
      </c>
      <c r="B616">
        <v>2</v>
      </c>
      <c r="C616">
        <v>2</v>
      </c>
      <c r="D616">
        <v>3</v>
      </c>
      <c r="E616">
        <v>1</v>
      </c>
      <c r="F616">
        <v>3</v>
      </c>
      <c r="G616">
        <v>17.747955100188925</v>
      </c>
      <c r="H616">
        <v>1.2297107747635201E-4</v>
      </c>
      <c r="I616">
        <v>-0.55344189855352321</v>
      </c>
      <c r="J616">
        <v>-6.8057346585684647E-5</v>
      </c>
      <c r="K616" s="96">
        <f t="shared" si="28"/>
        <v>1</v>
      </c>
      <c r="L616" s="96">
        <f t="shared" si="29"/>
        <v>0</v>
      </c>
      <c r="M616" s="96">
        <f t="shared" si="30"/>
        <v>0</v>
      </c>
    </row>
    <row r="617" spans="1:13" x14ac:dyDescent="0.45">
      <c r="A617">
        <v>3</v>
      </c>
      <c r="B617">
        <v>2</v>
      </c>
      <c r="C617">
        <v>2</v>
      </c>
      <c r="D617">
        <v>3</v>
      </c>
      <c r="E617">
        <v>2</v>
      </c>
      <c r="F617">
        <v>1</v>
      </c>
      <c r="G617">
        <v>15.000005411029752</v>
      </c>
      <c r="H617">
        <v>4.8749248570982405E-4</v>
      </c>
      <c r="I617">
        <v>-0.6065305503141285</v>
      </c>
      <c r="J617">
        <v>-2.9567908563158198E-4</v>
      </c>
      <c r="K617" s="96">
        <f t="shared" si="28"/>
        <v>1</v>
      </c>
      <c r="L617" s="96">
        <f t="shared" si="29"/>
        <v>0</v>
      </c>
      <c r="M617" s="96">
        <f t="shared" si="30"/>
        <v>0</v>
      </c>
    </row>
    <row r="618" spans="1:13" x14ac:dyDescent="0.45">
      <c r="A618">
        <v>3</v>
      </c>
      <c r="B618">
        <v>2</v>
      </c>
      <c r="C618">
        <v>2</v>
      </c>
      <c r="D618">
        <v>3</v>
      </c>
      <c r="E618">
        <v>2</v>
      </c>
      <c r="F618">
        <v>2</v>
      </c>
      <c r="G618">
        <v>16.570262376263578</v>
      </c>
      <c r="H618">
        <v>4.8749248570982405E-4</v>
      </c>
      <c r="I618">
        <v>-0.57560012937195015</v>
      </c>
      <c r="J618">
        <v>-2.8060073784242826E-4</v>
      </c>
      <c r="K618" s="96">
        <f t="shared" si="28"/>
        <v>1</v>
      </c>
      <c r="L618" s="96">
        <f t="shared" si="29"/>
        <v>0</v>
      </c>
      <c r="M618" s="96">
        <f t="shared" si="30"/>
        <v>0</v>
      </c>
    </row>
    <row r="619" spans="1:13" x14ac:dyDescent="0.45">
      <c r="A619">
        <v>3</v>
      </c>
      <c r="B619">
        <v>2</v>
      </c>
      <c r="C619">
        <v>2</v>
      </c>
      <c r="D619">
        <v>3</v>
      </c>
      <c r="E619">
        <v>2</v>
      </c>
      <c r="F619">
        <v>3</v>
      </c>
      <c r="G619">
        <v>17.747955100188925</v>
      </c>
      <c r="H619">
        <v>1.2297107747635201E-4</v>
      </c>
      <c r="I619">
        <v>-0.55344189855352321</v>
      </c>
      <c r="J619">
        <v>-6.8057346585684647E-5</v>
      </c>
      <c r="K619" s="96">
        <f t="shared" si="28"/>
        <v>1</v>
      </c>
      <c r="L619" s="96">
        <f t="shared" si="29"/>
        <v>0</v>
      </c>
      <c r="M619" s="96">
        <f t="shared" si="30"/>
        <v>0</v>
      </c>
    </row>
    <row r="620" spans="1:13" x14ac:dyDescent="0.45">
      <c r="A620">
        <v>3</v>
      </c>
      <c r="B620">
        <v>2</v>
      </c>
      <c r="C620">
        <v>2</v>
      </c>
      <c r="D620">
        <v>3</v>
      </c>
      <c r="E620">
        <v>3</v>
      </c>
      <c r="F620">
        <v>1</v>
      </c>
      <c r="G620">
        <v>15.000005411029752</v>
      </c>
      <c r="H620">
        <v>1.2297107747635201E-4</v>
      </c>
      <c r="I620">
        <v>-0.6065305503141285</v>
      </c>
      <c r="J620">
        <v>-7.4585715294453109E-5</v>
      </c>
      <c r="K620" s="96">
        <f t="shared" si="28"/>
        <v>1</v>
      </c>
      <c r="L620" s="96">
        <f t="shared" si="29"/>
        <v>0</v>
      </c>
      <c r="M620" s="96">
        <f t="shared" si="30"/>
        <v>0</v>
      </c>
    </row>
    <row r="621" spans="1:13" x14ac:dyDescent="0.45">
      <c r="A621">
        <v>3</v>
      </c>
      <c r="B621">
        <v>2</v>
      </c>
      <c r="C621">
        <v>2</v>
      </c>
      <c r="D621">
        <v>3</v>
      </c>
      <c r="E621">
        <v>3</v>
      </c>
      <c r="F621">
        <v>2</v>
      </c>
      <c r="G621">
        <v>16.570262376263578</v>
      </c>
      <c r="H621">
        <v>1.2297107747635201E-4</v>
      </c>
      <c r="I621">
        <v>-0.57560012937195015</v>
      </c>
      <c r="J621">
        <v>-7.0782168104396317E-5</v>
      </c>
      <c r="K621" s="96">
        <f t="shared" si="28"/>
        <v>1</v>
      </c>
      <c r="L621" s="96">
        <f t="shared" si="29"/>
        <v>0</v>
      </c>
      <c r="M621" s="96">
        <f t="shared" si="30"/>
        <v>0</v>
      </c>
    </row>
    <row r="622" spans="1:13" x14ac:dyDescent="0.45">
      <c r="A622">
        <v>3</v>
      </c>
      <c r="B622">
        <v>2</v>
      </c>
      <c r="C622">
        <v>2</v>
      </c>
      <c r="D622">
        <v>3</v>
      </c>
      <c r="E622">
        <v>3</v>
      </c>
      <c r="F622">
        <v>3</v>
      </c>
      <c r="G622">
        <v>17.747955100188925</v>
      </c>
      <c r="H622">
        <v>3.1019731255295997E-5</v>
      </c>
      <c r="I622">
        <v>-0.55344189855352321</v>
      </c>
      <c r="J622">
        <v>-1.716761895855108E-5</v>
      </c>
      <c r="K622" s="96">
        <f t="shared" si="28"/>
        <v>1</v>
      </c>
      <c r="L622" s="96">
        <f t="shared" si="29"/>
        <v>0</v>
      </c>
      <c r="M622" s="96">
        <f t="shared" si="30"/>
        <v>0</v>
      </c>
    </row>
    <row r="623" spans="1:13" x14ac:dyDescent="0.45">
      <c r="A623">
        <v>3</v>
      </c>
      <c r="B623">
        <v>2</v>
      </c>
      <c r="C623">
        <v>3</v>
      </c>
      <c r="D623">
        <v>1</v>
      </c>
      <c r="E623">
        <v>1</v>
      </c>
      <c r="F623">
        <v>1</v>
      </c>
      <c r="G623">
        <v>16.913756087408473</v>
      </c>
      <c r="H623">
        <v>4.8749248570982405E-4</v>
      </c>
      <c r="I623">
        <v>-0.56904721489058019</v>
      </c>
      <c r="J623">
        <v>-2.7740624127326136E-4</v>
      </c>
      <c r="K623" s="96">
        <f t="shared" si="28"/>
        <v>1</v>
      </c>
      <c r="L623" s="96">
        <f t="shared" si="29"/>
        <v>0</v>
      </c>
      <c r="M623" s="96">
        <f t="shared" si="30"/>
        <v>0</v>
      </c>
    </row>
    <row r="624" spans="1:13" x14ac:dyDescent="0.45">
      <c r="A624">
        <v>3</v>
      </c>
      <c r="B624">
        <v>2</v>
      </c>
      <c r="C624">
        <v>3</v>
      </c>
      <c r="D624">
        <v>1</v>
      </c>
      <c r="E624">
        <v>1</v>
      </c>
      <c r="F624">
        <v>2</v>
      </c>
      <c r="G624">
        <v>18.680295173296528</v>
      </c>
      <c r="H624">
        <v>4.8749248570982405E-4</v>
      </c>
      <c r="I624">
        <v>-0.53650655131383729</v>
      </c>
      <c r="J624">
        <v>-2.6154291229958779E-4</v>
      </c>
      <c r="K624" s="96">
        <f t="shared" si="28"/>
        <v>1</v>
      </c>
      <c r="L624" s="96">
        <f t="shared" si="29"/>
        <v>0</v>
      </c>
      <c r="M624" s="96">
        <f t="shared" si="30"/>
        <v>0</v>
      </c>
    </row>
    <row r="625" spans="1:13" x14ac:dyDescent="0.45">
      <c r="A625">
        <v>3</v>
      </c>
      <c r="B625">
        <v>2</v>
      </c>
      <c r="C625">
        <v>3</v>
      </c>
      <c r="D625">
        <v>1</v>
      </c>
      <c r="E625">
        <v>1</v>
      </c>
      <c r="F625">
        <v>3</v>
      </c>
      <c r="G625">
        <v>20.005199487712545</v>
      </c>
      <c r="H625">
        <v>1.2297107747635201E-4</v>
      </c>
      <c r="I625">
        <v>-0.51332814320989906</v>
      </c>
      <c r="J625">
        <v>-6.312451486945641E-5</v>
      </c>
      <c r="K625" s="96">
        <f t="shared" si="28"/>
        <v>1</v>
      </c>
      <c r="L625" s="96">
        <f t="shared" si="29"/>
        <v>0</v>
      </c>
      <c r="M625" s="96">
        <f t="shared" si="30"/>
        <v>0</v>
      </c>
    </row>
    <row r="626" spans="1:13" x14ac:dyDescent="0.45">
      <c r="A626">
        <v>3</v>
      </c>
      <c r="B626">
        <v>2</v>
      </c>
      <c r="C626">
        <v>3</v>
      </c>
      <c r="D626">
        <v>1</v>
      </c>
      <c r="E626">
        <v>2</v>
      </c>
      <c r="F626">
        <v>1</v>
      </c>
      <c r="G626">
        <v>16.913756087408473</v>
      </c>
      <c r="H626">
        <v>4.8749248570982405E-4</v>
      </c>
      <c r="I626">
        <v>-0.56904721489058019</v>
      </c>
      <c r="J626">
        <v>-2.7740624127326136E-4</v>
      </c>
      <c r="K626" s="96">
        <f t="shared" si="28"/>
        <v>1</v>
      </c>
      <c r="L626" s="96">
        <f t="shared" si="29"/>
        <v>0</v>
      </c>
      <c r="M626" s="96">
        <f t="shared" si="30"/>
        <v>0</v>
      </c>
    </row>
    <row r="627" spans="1:13" x14ac:dyDescent="0.45">
      <c r="A627">
        <v>3</v>
      </c>
      <c r="B627">
        <v>2</v>
      </c>
      <c r="C627">
        <v>3</v>
      </c>
      <c r="D627">
        <v>1</v>
      </c>
      <c r="E627">
        <v>2</v>
      </c>
      <c r="F627">
        <v>2</v>
      </c>
      <c r="G627">
        <v>18.680295173296528</v>
      </c>
      <c r="H627">
        <v>4.8749248570982405E-4</v>
      </c>
      <c r="I627">
        <v>-0.53650655131383729</v>
      </c>
      <c r="J627">
        <v>-2.6154291229958779E-4</v>
      </c>
      <c r="K627" s="96">
        <f t="shared" si="28"/>
        <v>1</v>
      </c>
      <c r="L627" s="96">
        <f t="shared" si="29"/>
        <v>0</v>
      </c>
      <c r="M627" s="96">
        <f t="shared" si="30"/>
        <v>0</v>
      </c>
    </row>
    <row r="628" spans="1:13" x14ac:dyDescent="0.45">
      <c r="A628">
        <v>3</v>
      </c>
      <c r="B628">
        <v>2</v>
      </c>
      <c r="C628">
        <v>3</v>
      </c>
      <c r="D628">
        <v>1</v>
      </c>
      <c r="E628">
        <v>2</v>
      </c>
      <c r="F628">
        <v>3</v>
      </c>
      <c r="G628">
        <v>20.005199487712545</v>
      </c>
      <c r="H628">
        <v>1.2297107747635201E-4</v>
      </c>
      <c r="I628">
        <v>-0.51332814320989906</v>
      </c>
      <c r="J628">
        <v>-6.312451486945641E-5</v>
      </c>
      <c r="K628" s="96">
        <f t="shared" si="28"/>
        <v>1</v>
      </c>
      <c r="L628" s="96">
        <f t="shared" si="29"/>
        <v>0</v>
      </c>
      <c r="M628" s="96">
        <f t="shared" si="30"/>
        <v>0</v>
      </c>
    </row>
    <row r="629" spans="1:13" x14ac:dyDescent="0.45">
      <c r="A629">
        <v>3</v>
      </c>
      <c r="B629">
        <v>2</v>
      </c>
      <c r="C629">
        <v>3</v>
      </c>
      <c r="D629">
        <v>1</v>
      </c>
      <c r="E629">
        <v>3</v>
      </c>
      <c r="F629">
        <v>1</v>
      </c>
      <c r="G629">
        <v>16.913756087408473</v>
      </c>
      <c r="H629">
        <v>1.2297107747635201E-4</v>
      </c>
      <c r="I629">
        <v>-0.56904721489058019</v>
      </c>
      <c r="J629">
        <v>-6.9976349150011863E-5</v>
      </c>
      <c r="K629" s="96">
        <f t="shared" si="28"/>
        <v>1</v>
      </c>
      <c r="L629" s="96">
        <f t="shared" si="29"/>
        <v>0</v>
      </c>
      <c r="M629" s="96">
        <f t="shared" si="30"/>
        <v>0</v>
      </c>
    </row>
    <row r="630" spans="1:13" x14ac:dyDescent="0.45">
      <c r="A630">
        <v>3</v>
      </c>
      <c r="B630">
        <v>2</v>
      </c>
      <c r="C630">
        <v>3</v>
      </c>
      <c r="D630">
        <v>1</v>
      </c>
      <c r="E630">
        <v>3</v>
      </c>
      <c r="F630">
        <v>2</v>
      </c>
      <c r="G630">
        <v>18.680295173296528</v>
      </c>
      <c r="H630">
        <v>1.2297107747635201E-4</v>
      </c>
      <c r="I630">
        <v>-0.53650655131383729</v>
      </c>
      <c r="J630">
        <v>-6.5974788688184303E-5</v>
      </c>
      <c r="K630" s="96">
        <f t="shared" si="28"/>
        <v>1</v>
      </c>
      <c r="L630" s="96">
        <f t="shared" si="29"/>
        <v>0</v>
      </c>
      <c r="M630" s="96">
        <f t="shared" si="30"/>
        <v>0</v>
      </c>
    </row>
    <row r="631" spans="1:13" x14ac:dyDescent="0.45">
      <c r="A631">
        <v>3</v>
      </c>
      <c r="B631">
        <v>2</v>
      </c>
      <c r="C631">
        <v>3</v>
      </c>
      <c r="D631">
        <v>1</v>
      </c>
      <c r="E631">
        <v>3</v>
      </c>
      <c r="F631">
        <v>3</v>
      </c>
      <c r="G631">
        <v>20.005199487712545</v>
      </c>
      <c r="H631">
        <v>3.1019731255295997E-5</v>
      </c>
      <c r="I631">
        <v>-0.51332814320989906</v>
      </c>
      <c r="J631">
        <v>-1.5923301048151167E-5</v>
      </c>
      <c r="K631" s="96">
        <f t="shared" si="28"/>
        <v>1</v>
      </c>
      <c r="L631" s="96">
        <f t="shared" si="29"/>
        <v>0</v>
      </c>
      <c r="M631" s="96">
        <f t="shared" si="30"/>
        <v>0</v>
      </c>
    </row>
    <row r="632" spans="1:13" x14ac:dyDescent="0.45">
      <c r="A632">
        <v>3</v>
      </c>
      <c r="B632">
        <v>2</v>
      </c>
      <c r="C632">
        <v>3</v>
      </c>
      <c r="D632">
        <v>2</v>
      </c>
      <c r="E632">
        <v>1</v>
      </c>
      <c r="F632">
        <v>1</v>
      </c>
      <c r="G632">
        <v>16.913756087408473</v>
      </c>
      <c r="H632">
        <v>4.8749248570982405E-4</v>
      </c>
      <c r="I632">
        <v>-0.56904721489058019</v>
      </c>
      <c r="J632">
        <v>-2.7740624127326136E-4</v>
      </c>
      <c r="K632" s="96">
        <f t="shared" si="28"/>
        <v>1</v>
      </c>
      <c r="L632" s="96">
        <f t="shared" si="29"/>
        <v>0</v>
      </c>
      <c r="M632" s="96">
        <f t="shared" si="30"/>
        <v>0</v>
      </c>
    </row>
    <row r="633" spans="1:13" x14ac:dyDescent="0.45">
      <c r="A633">
        <v>3</v>
      </c>
      <c r="B633">
        <v>2</v>
      </c>
      <c r="C633">
        <v>3</v>
      </c>
      <c r="D633">
        <v>2</v>
      </c>
      <c r="E633">
        <v>1</v>
      </c>
      <c r="F633">
        <v>2</v>
      </c>
      <c r="G633">
        <v>18.680295173296528</v>
      </c>
      <c r="H633">
        <v>4.8749248570982405E-4</v>
      </c>
      <c r="I633">
        <v>-0.53650655131383729</v>
      </c>
      <c r="J633">
        <v>-2.6154291229958779E-4</v>
      </c>
      <c r="K633" s="96">
        <f t="shared" si="28"/>
        <v>1</v>
      </c>
      <c r="L633" s="96">
        <f t="shared" si="29"/>
        <v>0</v>
      </c>
      <c r="M633" s="96">
        <f t="shared" si="30"/>
        <v>0</v>
      </c>
    </row>
    <row r="634" spans="1:13" x14ac:dyDescent="0.45">
      <c r="A634">
        <v>3</v>
      </c>
      <c r="B634">
        <v>2</v>
      </c>
      <c r="C634">
        <v>3</v>
      </c>
      <c r="D634">
        <v>2</v>
      </c>
      <c r="E634">
        <v>1</v>
      </c>
      <c r="F634">
        <v>3</v>
      </c>
      <c r="G634">
        <v>20.005199487712545</v>
      </c>
      <c r="H634">
        <v>1.2297107747635201E-4</v>
      </c>
      <c r="I634">
        <v>-0.51332814320989906</v>
      </c>
      <c r="J634">
        <v>-6.312451486945641E-5</v>
      </c>
      <c r="K634" s="96">
        <f t="shared" si="28"/>
        <v>1</v>
      </c>
      <c r="L634" s="96">
        <f t="shared" si="29"/>
        <v>0</v>
      </c>
      <c r="M634" s="96">
        <f t="shared" si="30"/>
        <v>0</v>
      </c>
    </row>
    <row r="635" spans="1:13" x14ac:dyDescent="0.45">
      <c r="A635">
        <v>3</v>
      </c>
      <c r="B635">
        <v>2</v>
      </c>
      <c r="C635">
        <v>3</v>
      </c>
      <c r="D635">
        <v>2</v>
      </c>
      <c r="E635">
        <v>2</v>
      </c>
      <c r="F635">
        <v>1</v>
      </c>
      <c r="G635">
        <v>16.913756087408473</v>
      </c>
      <c r="H635">
        <v>4.8749248570982405E-4</v>
      </c>
      <c r="I635">
        <v>-0.56904721489058019</v>
      </c>
      <c r="J635">
        <v>-2.7740624127326136E-4</v>
      </c>
      <c r="K635" s="96">
        <f t="shared" si="28"/>
        <v>1</v>
      </c>
      <c r="L635" s="96">
        <f t="shared" si="29"/>
        <v>0</v>
      </c>
      <c r="M635" s="96">
        <f t="shared" si="30"/>
        <v>0</v>
      </c>
    </row>
    <row r="636" spans="1:13" x14ac:dyDescent="0.45">
      <c r="A636">
        <v>3</v>
      </c>
      <c r="B636">
        <v>2</v>
      </c>
      <c r="C636">
        <v>3</v>
      </c>
      <c r="D636">
        <v>2</v>
      </c>
      <c r="E636">
        <v>2</v>
      </c>
      <c r="F636">
        <v>2</v>
      </c>
      <c r="G636">
        <v>18.680295173296528</v>
      </c>
      <c r="H636">
        <v>4.8749248570982405E-4</v>
      </c>
      <c r="I636">
        <v>-0.53650655131383729</v>
      </c>
      <c r="J636">
        <v>-2.6154291229958779E-4</v>
      </c>
      <c r="K636" s="96">
        <f t="shared" si="28"/>
        <v>1</v>
      </c>
      <c r="L636" s="96">
        <f t="shared" si="29"/>
        <v>0</v>
      </c>
      <c r="M636" s="96">
        <f t="shared" si="30"/>
        <v>0</v>
      </c>
    </row>
    <row r="637" spans="1:13" x14ac:dyDescent="0.45">
      <c r="A637">
        <v>3</v>
      </c>
      <c r="B637">
        <v>2</v>
      </c>
      <c r="C637">
        <v>3</v>
      </c>
      <c r="D637">
        <v>2</v>
      </c>
      <c r="E637">
        <v>2</v>
      </c>
      <c r="F637">
        <v>3</v>
      </c>
      <c r="G637">
        <v>20.005199487712545</v>
      </c>
      <c r="H637">
        <v>1.2297107747635201E-4</v>
      </c>
      <c r="I637">
        <v>-0.51332814320989906</v>
      </c>
      <c r="J637">
        <v>-6.312451486945641E-5</v>
      </c>
      <c r="K637" s="96">
        <f t="shared" si="28"/>
        <v>1</v>
      </c>
      <c r="L637" s="96">
        <f t="shared" si="29"/>
        <v>0</v>
      </c>
      <c r="M637" s="96">
        <f t="shared" si="30"/>
        <v>0</v>
      </c>
    </row>
    <row r="638" spans="1:13" x14ac:dyDescent="0.45">
      <c r="A638">
        <v>3</v>
      </c>
      <c r="B638">
        <v>2</v>
      </c>
      <c r="C638">
        <v>3</v>
      </c>
      <c r="D638">
        <v>2</v>
      </c>
      <c r="E638">
        <v>3</v>
      </c>
      <c r="F638">
        <v>1</v>
      </c>
      <c r="G638">
        <v>16.913756087408473</v>
      </c>
      <c r="H638">
        <v>1.2297107747635201E-4</v>
      </c>
      <c r="I638">
        <v>-0.56904721489058019</v>
      </c>
      <c r="J638">
        <v>-6.9976349150011863E-5</v>
      </c>
      <c r="K638" s="96">
        <f t="shared" si="28"/>
        <v>1</v>
      </c>
      <c r="L638" s="96">
        <f t="shared" si="29"/>
        <v>0</v>
      </c>
      <c r="M638" s="96">
        <f t="shared" si="30"/>
        <v>0</v>
      </c>
    </row>
    <row r="639" spans="1:13" x14ac:dyDescent="0.45">
      <c r="A639">
        <v>3</v>
      </c>
      <c r="B639">
        <v>2</v>
      </c>
      <c r="C639">
        <v>3</v>
      </c>
      <c r="D639">
        <v>2</v>
      </c>
      <c r="E639">
        <v>3</v>
      </c>
      <c r="F639">
        <v>2</v>
      </c>
      <c r="G639">
        <v>18.680295173296528</v>
      </c>
      <c r="H639">
        <v>1.2297107747635201E-4</v>
      </c>
      <c r="I639">
        <v>-0.53650655131383729</v>
      </c>
      <c r="J639">
        <v>-6.5974788688184303E-5</v>
      </c>
      <c r="K639" s="96">
        <f t="shared" si="28"/>
        <v>1</v>
      </c>
      <c r="L639" s="96">
        <f t="shared" si="29"/>
        <v>0</v>
      </c>
      <c r="M639" s="96">
        <f t="shared" si="30"/>
        <v>0</v>
      </c>
    </row>
    <row r="640" spans="1:13" x14ac:dyDescent="0.45">
      <c r="A640">
        <v>3</v>
      </c>
      <c r="B640">
        <v>2</v>
      </c>
      <c r="C640">
        <v>3</v>
      </c>
      <c r="D640">
        <v>2</v>
      </c>
      <c r="E640">
        <v>3</v>
      </c>
      <c r="F640">
        <v>3</v>
      </c>
      <c r="G640">
        <v>20.005199487712545</v>
      </c>
      <c r="H640">
        <v>3.1019731255295997E-5</v>
      </c>
      <c r="I640">
        <v>-0.51332814320989906</v>
      </c>
      <c r="J640">
        <v>-1.5923301048151167E-5</v>
      </c>
      <c r="K640" s="96">
        <f t="shared" si="28"/>
        <v>1</v>
      </c>
      <c r="L640" s="96">
        <f t="shared" si="29"/>
        <v>0</v>
      </c>
      <c r="M640" s="96">
        <f t="shared" si="30"/>
        <v>0</v>
      </c>
    </row>
    <row r="641" spans="1:13" x14ac:dyDescent="0.45">
      <c r="A641">
        <v>3</v>
      </c>
      <c r="B641">
        <v>2</v>
      </c>
      <c r="C641">
        <v>3</v>
      </c>
      <c r="D641">
        <v>3</v>
      </c>
      <c r="E641">
        <v>1</v>
      </c>
      <c r="F641">
        <v>1</v>
      </c>
      <c r="G641">
        <v>16.913756087408473</v>
      </c>
      <c r="H641">
        <v>1.2297107747635201E-4</v>
      </c>
      <c r="I641">
        <v>-0.56904721489058019</v>
      </c>
      <c r="J641">
        <v>-6.9976349150011863E-5</v>
      </c>
      <c r="K641" s="96">
        <f t="shared" si="28"/>
        <v>1</v>
      </c>
      <c r="L641" s="96">
        <f t="shared" si="29"/>
        <v>0</v>
      </c>
      <c r="M641" s="96">
        <f t="shared" si="30"/>
        <v>0</v>
      </c>
    </row>
    <row r="642" spans="1:13" x14ac:dyDescent="0.45">
      <c r="A642">
        <v>3</v>
      </c>
      <c r="B642">
        <v>2</v>
      </c>
      <c r="C642">
        <v>3</v>
      </c>
      <c r="D642">
        <v>3</v>
      </c>
      <c r="E642">
        <v>1</v>
      </c>
      <c r="F642">
        <v>2</v>
      </c>
      <c r="G642">
        <v>18.680295173296528</v>
      </c>
      <c r="H642">
        <v>1.2297107747635201E-4</v>
      </c>
      <c r="I642">
        <v>-0.53650655131383729</v>
      </c>
      <c r="J642">
        <v>-6.5974788688184303E-5</v>
      </c>
      <c r="K642" s="96">
        <f t="shared" si="28"/>
        <v>1</v>
      </c>
      <c r="L642" s="96">
        <f t="shared" si="29"/>
        <v>0</v>
      </c>
      <c r="M642" s="96">
        <f t="shared" si="30"/>
        <v>0</v>
      </c>
    </row>
    <row r="643" spans="1:13" x14ac:dyDescent="0.45">
      <c r="A643">
        <v>3</v>
      </c>
      <c r="B643">
        <v>2</v>
      </c>
      <c r="C643">
        <v>3</v>
      </c>
      <c r="D643">
        <v>3</v>
      </c>
      <c r="E643">
        <v>1</v>
      </c>
      <c r="F643">
        <v>3</v>
      </c>
      <c r="G643">
        <v>20.005199487712545</v>
      </c>
      <c r="H643">
        <v>3.1019731255295997E-5</v>
      </c>
      <c r="I643">
        <v>-0.51332814320989906</v>
      </c>
      <c r="J643">
        <v>-1.5923301048151167E-5</v>
      </c>
      <c r="K643" s="96">
        <f t="shared" ref="K643:K706" si="31">IF(A643=3,1,0)</f>
        <v>1</v>
      </c>
      <c r="L643" s="96">
        <f t="shared" ref="L643:L706" si="32">IF(A643=2,1,0)</f>
        <v>0</v>
      </c>
      <c r="M643" s="96">
        <f t="shared" ref="M643:M706" si="33">IF(A643=1,1,0)</f>
        <v>0</v>
      </c>
    </row>
    <row r="644" spans="1:13" x14ac:dyDescent="0.45">
      <c r="A644">
        <v>3</v>
      </c>
      <c r="B644">
        <v>2</v>
      </c>
      <c r="C644">
        <v>3</v>
      </c>
      <c r="D644">
        <v>3</v>
      </c>
      <c r="E644">
        <v>2</v>
      </c>
      <c r="F644">
        <v>1</v>
      </c>
      <c r="G644">
        <v>16.913756087408473</v>
      </c>
      <c r="H644">
        <v>1.2297107747635201E-4</v>
      </c>
      <c r="I644">
        <v>-0.56904721489058019</v>
      </c>
      <c r="J644">
        <v>-6.9976349150011863E-5</v>
      </c>
      <c r="K644" s="96">
        <f t="shared" si="31"/>
        <v>1</v>
      </c>
      <c r="L644" s="96">
        <f t="shared" si="32"/>
        <v>0</v>
      </c>
      <c r="M644" s="96">
        <f t="shared" si="33"/>
        <v>0</v>
      </c>
    </row>
    <row r="645" spans="1:13" x14ac:dyDescent="0.45">
      <c r="A645">
        <v>3</v>
      </c>
      <c r="B645">
        <v>2</v>
      </c>
      <c r="C645">
        <v>3</v>
      </c>
      <c r="D645">
        <v>3</v>
      </c>
      <c r="E645">
        <v>2</v>
      </c>
      <c r="F645">
        <v>2</v>
      </c>
      <c r="G645">
        <v>18.680295173296528</v>
      </c>
      <c r="H645">
        <v>1.2297107747635201E-4</v>
      </c>
      <c r="I645">
        <v>-0.53650655131383729</v>
      </c>
      <c r="J645">
        <v>-6.5974788688184303E-5</v>
      </c>
      <c r="K645" s="96">
        <f t="shared" si="31"/>
        <v>1</v>
      </c>
      <c r="L645" s="96">
        <f t="shared" si="32"/>
        <v>0</v>
      </c>
      <c r="M645" s="96">
        <f t="shared" si="33"/>
        <v>0</v>
      </c>
    </row>
    <row r="646" spans="1:13" x14ac:dyDescent="0.45">
      <c r="A646">
        <v>3</v>
      </c>
      <c r="B646">
        <v>2</v>
      </c>
      <c r="C646">
        <v>3</v>
      </c>
      <c r="D646">
        <v>3</v>
      </c>
      <c r="E646">
        <v>2</v>
      </c>
      <c r="F646">
        <v>3</v>
      </c>
      <c r="G646">
        <v>20.005199487712545</v>
      </c>
      <c r="H646">
        <v>3.1019731255295997E-5</v>
      </c>
      <c r="I646">
        <v>-0.51332814320989906</v>
      </c>
      <c r="J646">
        <v>-1.5923301048151167E-5</v>
      </c>
      <c r="K646" s="96">
        <f t="shared" si="31"/>
        <v>1</v>
      </c>
      <c r="L646" s="96">
        <f t="shared" si="32"/>
        <v>0</v>
      </c>
      <c r="M646" s="96">
        <f t="shared" si="33"/>
        <v>0</v>
      </c>
    </row>
    <row r="647" spans="1:13" x14ac:dyDescent="0.45">
      <c r="A647">
        <v>3</v>
      </c>
      <c r="B647">
        <v>2</v>
      </c>
      <c r="C647">
        <v>3</v>
      </c>
      <c r="D647">
        <v>3</v>
      </c>
      <c r="E647">
        <v>3</v>
      </c>
      <c r="F647">
        <v>1</v>
      </c>
      <c r="G647">
        <v>16.913756087408473</v>
      </c>
      <c r="H647">
        <v>3.1019731255296003E-5</v>
      </c>
      <c r="I647">
        <v>-0.56904721489058019</v>
      </c>
      <c r="J647">
        <v>-1.7651691677480473E-5</v>
      </c>
      <c r="K647" s="96">
        <f t="shared" si="31"/>
        <v>1</v>
      </c>
      <c r="L647" s="96">
        <f t="shared" si="32"/>
        <v>0</v>
      </c>
      <c r="M647" s="96">
        <f t="shared" si="33"/>
        <v>0</v>
      </c>
    </row>
    <row r="648" spans="1:13" x14ac:dyDescent="0.45">
      <c r="A648">
        <v>3</v>
      </c>
      <c r="B648">
        <v>2</v>
      </c>
      <c r="C648">
        <v>3</v>
      </c>
      <c r="D648">
        <v>3</v>
      </c>
      <c r="E648">
        <v>3</v>
      </c>
      <c r="F648">
        <v>2</v>
      </c>
      <c r="G648">
        <v>18.680295173296528</v>
      </c>
      <c r="H648">
        <v>3.1019731255296003E-5</v>
      </c>
      <c r="I648">
        <v>-0.53650655131383729</v>
      </c>
      <c r="J648">
        <v>-1.6642289038460908E-5</v>
      </c>
      <c r="K648" s="96">
        <f t="shared" si="31"/>
        <v>1</v>
      </c>
      <c r="L648" s="96">
        <f t="shared" si="32"/>
        <v>0</v>
      </c>
      <c r="M648" s="96">
        <f t="shared" si="33"/>
        <v>0</v>
      </c>
    </row>
    <row r="649" spans="1:13" x14ac:dyDescent="0.45">
      <c r="A649">
        <v>3</v>
      </c>
      <c r="B649">
        <v>2</v>
      </c>
      <c r="C649">
        <v>3</v>
      </c>
      <c r="D649">
        <v>3</v>
      </c>
      <c r="E649">
        <v>3</v>
      </c>
      <c r="F649">
        <v>3</v>
      </c>
      <c r="G649">
        <v>20.005199487712545</v>
      </c>
      <c r="H649">
        <v>7.8247970734080004E-6</v>
      </c>
      <c r="I649">
        <v>-0.51332814320989906</v>
      </c>
      <c r="J649">
        <v>-4.0166885526867811E-6</v>
      </c>
      <c r="K649" s="96">
        <f t="shared" si="31"/>
        <v>1</v>
      </c>
      <c r="L649" s="96">
        <f t="shared" si="32"/>
        <v>0</v>
      </c>
      <c r="M649" s="96">
        <f t="shared" si="33"/>
        <v>0</v>
      </c>
    </row>
    <row r="650" spans="1:13" x14ac:dyDescent="0.45">
      <c r="A650">
        <v>3</v>
      </c>
      <c r="B650">
        <v>3</v>
      </c>
      <c r="C650">
        <v>1</v>
      </c>
      <c r="D650">
        <v>1</v>
      </c>
      <c r="E650">
        <v>1</v>
      </c>
      <c r="F650">
        <v>1</v>
      </c>
      <c r="G650">
        <v>13.210355499841668</v>
      </c>
      <c r="H650">
        <v>4.8749248570982415E-4</v>
      </c>
      <c r="I650">
        <v>-0.6438141488124709</v>
      </c>
      <c r="J650">
        <v>-3.1385455973974606E-4</v>
      </c>
      <c r="K650" s="96">
        <f t="shared" si="31"/>
        <v>1</v>
      </c>
      <c r="L650" s="96">
        <f t="shared" si="32"/>
        <v>0</v>
      </c>
      <c r="M650" s="96">
        <f t="shared" si="33"/>
        <v>0</v>
      </c>
    </row>
    <row r="651" spans="1:13" x14ac:dyDescent="0.45">
      <c r="A651">
        <v>3</v>
      </c>
      <c r="B651">
        <v>3</v>
      </c>
      <c r="C651">
        <v>1</v>
      </c>
      <c r="D651">
        <v>1</v>
      </c>
      <c r="E651">
        <v>1</v>
      </c>
      <c r="F651">
        <v>2</v>
      </c>
      <c r="G651">
        <v>14.59705862803056</v>
      </c>
      <c r="H651">
        <v>4.8749248570982415E-4</v>
      </c>
      <c r="I651">
        <v>-0.61473215833983519</v>
      </c>
      <c r="J651">
        <v>-2.9967730791485148E-4</v>
      </c>
      <c r="K651" s="96">
        <f t="shared" si="31"/>
        <v>1</v>
      </c>
      <c r="L651" s="96">
        <f t="shared" si="32"/>
        <v>0</v>
      </c>
      <c r="M651" s="96">
        <f t="shared" si="33"/>
        <v>0</v>
      </c>
    </row>
    <row r="652" spans="1:13" x14ac:dyDescent="0.45">
      <c r="A652">
        <v>3</v>
      </c>
      <c r="B652">
        <v>3</v>
      </c>
      <c r="C652">
        <v>1</v>
      </c>
      <c r="D652">
        <v>1</v>
      </c>
      <c r="E652">
        <v>1</v>
      </c>
      <c r="F652">
        <v>3</v>
      </c>
      <c r="G652">
        <v>15.637085974172225</v>
      </c>
      <c r="H652">
        <v>1.2297107747635203E-4</v>
      </c>
      <c r="I652">
        <v>-0.59378605626317638</v>
      </c>
      <c r="J652">
        <v>-7.3018511129116596E-5</v>
      </c>
      <c r="K652" s="96">
        <f t="shared" si="31"/>
        <v>1</v>
      </c>
      <c r="L652" s="96">
        <f t="shared" si="32"/>
        <v>0</v>
      </c>
      <c r="M652" s="96">
        <f t="shared" si="33"/>
        <v>0</v>
      </c>
    </row>
    <row r="653" spans="1:13" x14ac:dyDescent="0.45">
      <c r="A653">
        <v>3</v>
      </c>
      <c r="B653">
        <v>3</v>
      </c>
      <c r="C653">
        <v>1</v>
      </c>
      <c r="D653">
        <v>1</v>
      </c>
      <c r="E653">
        <v>2</v>
      </c>
      <c r="F653">
        <v>1</v>
      </c>
      <c r="G653">
        <v>13.210355499841668</v>
      </c>
      <c r="H653">
        <v>4.8749248570982415E-4</v>
      </c>
      <c r="I653">
        <v>-0.6438141488124709</v>
      </c>
      <c r="J653">
        <v>-3.1385455973974606E-4</v>
      </c>
      <c r="K653" s="96">
        <f t="shared" si="31"/>
        <v>1</v>
      </c>
      <c r="L653" s="96">
        <f t="shared" si="32"/>
        <v>0</v>
      </c>
      <c r="M653" s="96">
        <f t="shared" si="33"/>
        <v>0</v>
      </c>
    </row>
    <row r="654" spans="1:13" x14ac:dyDescent="0.45">
      <c r="A654">
        <v>3</v>
      </c>
      <c r="B654">
        <v>3</v>
      </c>
      <c r="C654">
        <v>1</v>
      </c>
      <c r="D654">
        <v>1</v>
      </c>
      <c r="E654">
        <v>2</v>
      </c>
      <c r="F654">
        <v>2</v>
      </c>
      <c r="G654">
        <v>14.59705862803056</v>
      </c>
      <c r="H654">
        <v>4.8749248570982415E-4</v>
      </c>
      <c r="I654">
        <v>-0.61473215833983519</v>
      </c>
      <c r="J654">
        <v>-2.9967730791485148E-4</v>
      </c>
      <c r="K654" s="96">
        <f t="shared" si="31"/>
        <v>1</v>
      </c>
      <c r="L654" s="96">
        <f t="shared" si="32"/>
        <v>0</v>
      </c>
      <c r="M654" s="96">
        <f t="shared" si="33"/>
        <v>0</v>
      </c>
    </row>
    <row r="655" spans="1:13" x14ac:dyDescent="0.45">
      <c r="A655">
        <v>3</v>
      </c>
      <c r="B655">
        <v>3</v>
      </c>
      <c r="C655">
        <v>1</v>
      </c>
      <c r="D655">
        <v>1</v>
      </c>
      <c r="E655">
        <v>2</v>
      </c>
      <c r="F655">
        <v>3</v>
      </c>
      <c r="G655">
        <v>15.637085974172225</v>
      </c>
      <c r="H655">
        <v>1.2297107747635203E-4</v>
      </c>
      <c r="I655">
        <v>-0.59378605626317638</v>
      </c>
      <c r="J655">
        <v>-7.3018511129116596E-5</v>
      </c>
      <c r="K655" s="96">
        <f t="shared" si="31"/>
        <v>1</v>
      </c>
      <c r="L655" s="96">
        <f t="shared" si="32"/>
        <v>0</v>
      </c>
      <c r="M655" s="96">
        <f t="shared" si="33"/>
        <v>0</v>
      </c>
    </row>
    <row r="656" spans="1:13" x14ac:dyDescent="0.45">
      <c r="A656">
        <v>3</v>
      </c>
      <c r="B656">
        <v>3</v>
      </c>
      <c r="C656">
        <v>1</v>
      </c>
      <c r="D656">
        <v>1</v>
      </c>
      <c r="E656">
        <v>3</v>
      </c>
      <c r="F656">
        <v>1</v>
      </c>
      <c r="G656">
        <v>13.210355499841668</v>
      </c>
      <c r="H656">
        <v>1.2297107747635203E-4</v>
      </c>
      <c r="I656">
        <v>-0.6438141488124709</v>
      </c>
      <c r="J656">
        <v>-7.9170519573989995E-5</v>
      </c>
      <c r="K656" s="96">
        <f t="shared" si="31"/>
        <v>1</v>
      </c>
      <c r="L656" s="96">
        <f t="shared" si="32"/>
        <v>0</v>
      </c>
      <c r="M656" s="96">
        <f t="shared" si="33"/>
        <v>0</v>
      </c>
    </row>
    <row r="657" spans="1:13" x14ac:dyDescent="0.45">
      <c r="A657">
        <v>3</v>
      </c>
      <c r="B657">
        <v>3</v>
      </c>
      <c r="C657">
        <v>1</v>
      </c>
      <c r="D657">
        <v>1</v>
      </c>
      <c r="E657">
        <v>3</v>
      </c>
      <c r="F657">
        <v>2</v>
      </c>
      <c r="G657">
        <v>14.59705862803056</v>
      </c>
      <c r="H657">
        <v>1.2297107747635203E-4</v>
      </c>
      <c r="I657">
        <v>-0.61473215833983519</v>
      </c>
      <c r="J657">
        <v>-7.5594275870412975E-5</v>
      </c>
      <c r="K657" s="96">
        <f t="shared" si="31"/>
        <v>1</v>
      </c>
      <c r="L657" s="96">
        <f t="shared" si="32"/>
        <v>0</v>
      </c>
      <c r="M657" s="96">
        <f t="shared" si="33"/>
        <v>0</v>
      </c>
    </row>
    <row r="658" spans="1:13" x14ac:dyDescent="0.45">
      <c r="A658">
        <v>3</v>
      </c>
      <c r="B658">
        <v>3</v>
      </c>
      <c r="C658">
        <v>1</v>
      </c>
      <c r="D658">
        <v>1</v>
      </c>
      <c r="E658">
        <v>3</v>
      </c>
      <c r="F658">
        <v>3</v>
      </c>
      <c r="G658">
        <v>15.637085974172225</v>
      </c>
      <c r="H658">
        <v>3.1019731255296003E-5</v>
      </c>
      <c r="I658">
        <v>-0.59378605626317638</v>
      </c>
      <c r="J658">
        <v>-1.8419083888425802E-5</v>
      </c>
      <c r="K658" s="96">
        <f t="shared" si="31"/>
        <v>1</v>
      </c>
      <c r="L658" s="96">
        <f t="shared" si="32"/>
        <v>0</v>
      </c>
      <c r="M658" s="96">
        <f t="shared" si="33"/>
        <v>0</v>
      </c>
    </row>
    <row r="659" spans="1:13" x14ac:dyDescent="0.45">
      <c r="A659">
        <v>3</v>
      </c>
      <c r="B659">
        <v>3</v>
      </c>
      <c r="C659">
        <v>1</v>
      </c>
      <c r="D659">
        <v>2</v>
      </c>
      <c r="E659">
        <v>1</v>
      </c>
      <c r="F659">
        <v>1</v>
      </c>
      <c r="G659">
        <v>13.210355499841668</v>
      </c>
      <c r="H659">
        <v>4.8749248570982415E-4</v>
      </c>
      <c r="I659">
        <v>-0.6438141488124709</v>
      </c>
      <c r="J659">
        <v>-3.1385455973974606E-4</v>
      </c>
      <c r="K659" s="96">
        <f t="shared" si="31"/>
        <v>1</v>
      </c>
      <c r="L659" s="96">
        <f t="shared" si="32"/>
        <v>0</v>
      </c>
      <c r="M659" s="96">
        <f t="shared" si="33"/>
        <v>0</v>
      </c>
    </row>
    <row r="660" spans="1:13" x14ac:dyDescent="0.45">
      <c r="A660">
        <v>3</v>
      </c>
      <c r="B660">
        <v>3</v>
      </c>
      <c r="C660">
        <v>1</v>
      </c>
      <c r="D660">
        <v>2</v>
      </c>
      <c r="E660">
        <v>1</v>
      </c>
      <c r="F660">
        <v>2</v>
      </c>
      <c r="G660">
        <v>14.59705862803056</v>
      </c>
      <c r="H660">
        <v>4.8749248570982415E-4</v>
      </c>
      <c r="I660">
        <v>-0.61473215833983519</v>
      </c>
      <c r="J660">
        <v>-2.9967730791485148E-4</v>
      </c>
      <c r="K660" s="96">
        <f t="shared" si="31"/>
        <v>1</v>
      </c>
      <c r="L660" s="96">
        <f t="shared" si="32"/>
        <v>0</v>
      </c>
      <c r="M660" s="96">
        <f t="shared" si="33"/>
        <v>0</v>
      </c>
    </row>
    <row r="661" spans="1:13" x14ac:dyDescent="0.45">
      <c r="A661">
        <v>3</v>
      </c>
      <c r="B661">
        <v>3</v>
      </c>
      <c r="C661">
        <v>1</v>
      </c>
      <c r="D661">
        <v>2</v>
      </c>
      <c r="E661">
        <v>1</v>
      </c>
      <c r="F661">
        <v>3</v>
      </c>
      <c r="G661">
        <v>15.637085974172225</v>
      </c>
      <c r="H661">
        <v>1.2297107747635203E-4</v>
      </c>
      <c r="I661">
        <v>-0.59378605626317638</v>
      </c>
      <c r="J661">
        <v>-7.3018511129116596E-5</v>
      </c>
      <c r="K661" s="96">
        <f t="shared" si="31"/>
        <v>1</v>
      </c>
      <c r="L661" s="96">
        <f t="shared" si="32"/>
        <v>0</v>
      </c>
      <c r="M661" s="96">
        <f t="shared" si="33"/>
        <v>0</v>
      </c>
    </row>
    <row r="662" spans="1:13" x14ac:dyDescent="0.45">
      <c r="A662">
        <v>3</v>
      </c>
      <c r="B662">
        <v>3</v>
      </c>
      <c r="C662">
        <v>1</v>
      </c>
      <c r="D662">
        <v>2</v>
      </c>
      <c r="E662">
        <v>2</v>
      </c>
      <c r="F662">
        <v>1</v>
      </c>
      <c r="G662">
        <v>13.210355499841668</v>
      </c>
      <c r="H662">
        <v>4.8749248570982415E-4</v>
      </c>
      <c r="I662">
        <v>-0.6438141488124709</v>
      </c>
      <c r="J662">
        <v>-3.1385455973974606E-4</v>
      </c>
      <c r="K662" s="96">
        <f t="shared" si="31"/>
        <v>1</v>
      </c>
      <c r="L662" s="96">
        <f t="shared" si="32"/>
        <v>0</v>
      </c>
      <c r="M662" s="96">
        <f t="shared" si="33"/>
        <v>0</v>
      </c>
    </row>
    <row r="663" spans="1:13" x14ac:dyDescent="0.45">
      <c r="A663">
        <v>3</v>
      </c>
      <c r="B663">
        <v>3</v>
      </c>
      <c r="C663">
        <v>1</v>
      </c>
      <c r="D663">
        <v>2</v>
      </c>
      <c r="E663">
        <v>2</v>
      </c>
      <c r="F663">
        <v>2</v>
      </c>
      <c r="G663">
        <v>14.59705862803056</v>
      </c>
      <c r="H663">
        <v>4.8749248570982415E-4</v>
      </c>
      <c r="I663">
        <v>-0.61473215833983519</v>
      </c>
      <c r="J663">
        <v>-2.9967730791485148E-4</v>
      </c>
      <c r="K663" s="96">
        <f t="shared" si="31"/>
        <v>1</v>
      </c>
      <c r="L663" s="96">
        <f t="shared" si="32"/>
        <v>0</v>
      </c>
      <c r="M663" s="96">
        <f t="shared" si="33"/>
        <v>0</v>
      </c>
    </row>
    <row r="664" spans="1:13" x14ac:dyDescent="0.45">
      <c r="A664">
        <v>3</v>
      </c>
      <c r="B664">
        <v>3</v>
      </c>
      <c r="C664">
        <v>1</v>
      </c>
      <c r="D664">
        <v>2</v>
      </c>
      <c r="E664">
        <v>2</v>
      </c>
      <c r="F664">
        <v>3</v>
      </c>
      <c r="G664">
        <v>15.637085974172225</v>
      </c>
      <c r="H664">
        <v>1.2297107747635203E-4</v>
      </c>
      <c r="I664">
        <v>-0.59378605626317638</v>
      </c>
      <c r="J664">
        <v>-7.3018511129116596E-5</v>
      </c>
      <c r="K664" s="96">
        <f t="shared" si="31"/>
        <v>1</v>
      </c>
      <c r="L664" s="96">
        <f t="shared" si="32"/>
        <v>0</v>
      </c>
      <c r="M664" s="96">
        <f t="shared" si="33"/>
        <v>0</v>
      </c>
    </row>
    <row r="665" spans="1:13" x14ac:dyDescent="0.45">
      <c r="A665">
        <v>3</v>
      </c>
      <c r="B665">
        <v>3</v>
      </c>
      <c r="C665">
        <v>1</v>
      </c>
      <c r="D665">
        <v>2</v>
      </c>
      <c r="E665">
        <v>3</v>
      </c>
      <c r="F665">
        <v>1</v>
      </c>
      <c r="G665">
        <v>13.210355499841668</v>
      </c>
      <c r="H665">
        <v>1.2297107747635203E-4</v>
      </c>
      <c r="I665">
        <v>-0.6438141488124709</v>
      </c>
      <c r="J665">
        <v>-7.9170519573989995E-5</v>
      </c>
      <c r="K665" s="96">
        <f t="shared" si="31"/>
        <v>1</v>
      </c>
      <c r="L665" s="96">
        <f t="shared" si="32"/>
        <v>0</v>
      </c>
      <c r="M665" s="96">
        <f t="shared" si="33"/>
        <v>0</v>
      </c>
    </row>
    <row r="666" spans="1:13" x14ac:dyDescent="0.45">
      <c r="A666">
        <v>3</v>
      </c>
      <c r="B666">
        <v>3</v>
      </c>
      <c r="C666">
        <v>1</v>
      </c>
      <c r="D666">
        <v>2</v>
      </c>
      <c r="E666">
        <v>3</v>
      </c>
      <c r="F666">
        <v>2</v>
      </c>
      <c r="G666">
        <v>14.59705862803056</v>
      </c>
      <c r="H666">
        <v>1.2297107747635203E-4</v>
      </c>
      <c r="I666">
        <v>-0.61473215833983519</v>
      </c>
      <c r="J666">
        <v>-7.5594275870412975E-5</v>
      </c>
      <c r="K666" s="96">
        <f t="shared" si="31"/>
        <v>1</v>
      </c>
      <c r="L666" s="96">
        <f t="shared" si="32"/>
        <v>0</v>
      </c>
      <c r="M666" s="96">
        <f t="shared" si="33"/>
        <v>0</v>
      </c>
    </row>
    <row r="667" spans="1:13" x14ac:dyDescent="0.45">
      <c r="A667">
        <v>3</v>
      </c>
      <c r="B667">
        <v>3</v>
      </c>
      <c r="C667">
        <v>1</v>
      </c>
      <c r="D667">
        <v>2</v>
      </c>
      <c r="E667">
        <v>3</v>
      </c>
      <c r="F667">
        <v>3</v>
      </c>
      <c r="G667">
        <v>15.637085974172225</v>
      </c>
      <c r="H667">
        <v>3.1019731255296003E-5</v>
      </c>
      <c r="I667">
        <v>-0.59378605626317638</v>
      </c>
      <c r="J667">
        <v>-1.8419083888425802E-5</v>
      </c>
      <c r="K667" s="96">
        <f t="shared" si="31"/>
        <v>1</v>
      </c>
      <c r="L667" s="96">
        <f t="shared" si="32"/>
        <v>0</v>
      </c>
      <c r="M667" s="96">
        <f t="shared" si="33"/>
        <v>0</v>
      </c>
    </row>
    <row r="668" spans="1:13" x14ac:dyDescent="0.45">
      <c r="A668">
        <v>3</v>
      </c>
      <c r="B668">
        <v>3</v>
      </c>
      <c r="C668">
        <v>1</v>
      </c>
      <c r="D668">
        <v>3</v>
      </c>
      <c r="E668">
        <v>1</v>
      </c>
      <c r="F668">
        <v>1</v>
      </c>
      <c r="G668">
        <v>13.210355499841668</v>
      </c>
      <c r="H668">
        <v>1.2297107747635203E-4</v>
      </c>
      <c r="I668">
        <v>-0.6438141488124709</v>
      </c>
      <c r="J668">
        <v>-7.9170519573989995E-5</v>
      </c>
      <c r="K668" s="96">
        <f t="shared" si="31"/>
        <v>1</v>
      </c>
      <c r="L668" s="96">
        <f t="shared" si="32"/>
        <v>0</v>
      </c>
      <c r="M668" s="96">
        <f t="shared" si="33"/>
        <v>0</v>
      </c>
    </row>
    <row r="669" spans="1:13" x14ac:dyDescent="0.45">
      <c r="A669">
        <v>3</v>
      </c>
      <c r="B669">
        <v>3</v>
      </c>
      <c r="C669">
        <v>1</v>
      </c>
      <c r="D669">
        <v>3</v>
      </c>
      <c r="E669">
        <v>1</v>
      </c>
      <c r="F669">
        <v>2</v>
      </c>
      <c r="G669">
        <v>14.59705862803056</v>
      </c>
      <c r="H669">
        <v>1.2297107747635203E-4</v>
      </c>
      <c r="I669">
        <v>-0.61473215833983519</v>
      </c>
      <c r="J669">
        <v>-7.5594275870412975E-5</v>
      </c>
      <c r="K669" s="96">
        <f t="shared" si="31"/>
        <v>1</v>
      </c>
      <c r="L669" s="96">
        <f t="shared" si="32"/>
        <v>0</v>
      </c>
      <c r="M669" s="96">
        <f t="shared" si="33"/>
        <v>0</v>
      </c>
    </row>
    <row r="670" spans="1:13" x14ac:dyDescent="0.45">
      <c r="A670">
        <v>3</v>
      </c>
      <c r="B670">
        <v>3</v>
      </c>
      <c r="C670">
        <v>1</v>
      </c>
      <c r="D670">
        <v>3</v>
      </c>
      <c r="E670">
        <v>1</v>
      </c>
      <c r="F670">
        <v>3</v>
      </c>
      <c r="G670">
        <v>15.637085974172225</v>
      </c>
      <c r="H670">
        <v>3.1019731255296003E-5</v>
      </c>
      <c r="I670">
        <v>-0.59378605626317638</v>
      </c>
      <c r="J670">
        <v>-1.8419083888425802E-5</v>
      </c>
      <c r="K670" s="96">
        <f t="shared" si="31"/>
        <v>1</v>
      </c>
      <c r="L670" s="96">
        <f t="shared" si="32"/>
        <v>0</v>
      </c>
      <c r="M670" s="96">
        <f t="shared" si="33"/>
        <v>0</v>
      </c>
    </row>
    <row r="671" spans="1:13" x14ac:dyDescent="0.45">
      <c r="A671">
        <v>3</v>
      </c>
      <c r="B671">
        <v>3</v>
      </c>
      <c r="C671">
        <v>1</v>
      </c>
      <c r="D671">
        <v>3</v>
      </c>
      <c r="E671">
        <v>2</v>
      </c>
      <c r="F671">
        <v>1</v>
      </c>
      <c r="G671">
        <v>13.210355499841668</v>
      </c>
      <c r="H671">
        <v>1.2297107747635203E-4</v>
      </c>
      <c r="I671">
        <v>-0.6438141488124709</v>
      </c>
      <c r="J671">
        <v>-7.9170519573989995E-5</v>
      </c>
      <c r="K671" s="96">
        <f t="shared" si="31"/>
        <v>1</v>
      </c>
      <c r="L671" s="96">
        <f t="shared" si="32"/>
        <v>0</v>
      </c>
      <c r="M671" s="96">
        <f t="shared" si="33"/>
        <v>0</v>
      </c>
    </row>
    <row r="672" spans="1:13" x14ac:dyDescent="0.45">
      <c r="A672">
        <v>3</v>
      </c>
      <c r="B672">
        <v>3</v>
      </c>
      <c r="C672">
        <v>1</v>
      </c>
      <c r="D672">
        <v>3</v>
      </c>
      <c r="E672">
        <v>2</v>
      </c>
      <c r="F672">
        <v>2</v>
      </c>
      <c r="G672">
        <v>14.59705862803056</v>
      </c>
      <c r="H672">
        <v>1.2297107747635203E-4</v>
      </c>
      <c r="I672">
        <v>-0.61473215833983519</v>
      </c>
      <c r="J672">
        <v>-7.5594275870412975E-5</v>
      </c>
      <c r="K672" s="96">
        <f t="shared" si="31"/>
        <v>1</v>
      </c>
      <c r="L672" s="96">
        <f t="shared" si="32"/>
        <v>0</v>
      </c>
      <c r="M672" s="96">
        <f t="shared" si="33"/>
        <v>0</v>
      </c>
    </row>
    <row r="673" spans="1:13" x14ac:dyDescent="0.45">
      <c r="A673">
        <v>3</v>
      </c>
      <c r="B673">
        <v>3</v>
      </c>
      <c r="C673">
        <v>1</v>
      </c>
      <c r="D673">
        <v>3</v>
      </c>
      <c r="E673">
        <v>2</v>
      </c>
      <c r="F673">
        <v>3</v>
      </c>
      <c r="G673">
        <v>15.637085974172225</v>
      </c>
      <c r="H673">
        <v>3.1019731255296003E-5</v>
      </c>
      <c r="I673">
        <v>-0.59378605626317638</v>
      </c>
      <c r="J673">
        <v>-1.8419083888425802E-5</v>
      </c>
      <c r="K673" s="96">
        <f t="shared" si="31"/>
        <v>1</v>
      </c>
      <c r="L673" s="96">
        <f t="shared" si="32"/>
        <v>0</v>
      </c>
      <c r="M673" s="96">
        <f t="shared" si="33"/>
        <v>0</v>
      </c>
    </row>
    <row r="674" spans="1:13" x14ac:dyDescent="0.45">
      <c r="A674">
        <v>3</v>
      </c>
      <c r="B674">
        <v>3</v>
      </c>
      <c r="C674">
        <v>1</v>
      </c>
      <c r="D674">
        <v>3</v>
      </c>
      <c r="E674">
        <v>3</v>
      </c>
      <c r="F674">
        <v>1</v>
      </c>
      <c r="G674">
        <v>13.210355499841668</v>
      </c>
      <c r="H674">
        <v>3.1019731255296003E-5</v>
      </c>
      <c r="I674">
        <v>-0.6438141488124709</v>
      </c>
      <c r="J674">
        <v>-1.9970941874519997E-5</v>
      </c>
      <c r="K674" s="96">
        <f t="shared" si="31"/>
        <v>1</v>
      </c>
      <c r="L674" s="96">
        <f t="shared" si="32"/>
        <v>0</v>
      </c>
      <c r="M674" s="96">
        <f t="shared" si="33"/>
        <v>0</v>
      </c>
    </row>
    <row r="675" spans="1:13" x14ac:dyDescent="0.45">
      <c r="A675">
        <v>3</v>
      </c>
      <c r="B675">
        <v>3</v>
      </c>
      <c r="C675">
        <v>1</v>
      </c>
      <c r="D675">
        <v>3</v>
      </c>
      <c r="E675">
        <v>3</v>
      </c>
      <c r="F675">
        <v>2</v>
      </c>
      <c r="G675">
        <v>14.59705862803056</v>
      </c>
      <c r="H675">
        <v>3.1019731255296003E-5</v>
      </c>
      <c r="I675">
        <v>-0.61473215833983519</v>
      </c>
      <c r="J675">
        <v>-1.9068826345689759E-5</v>
      </c>
      <c r="K675" s="96">
        <f t="shared" si="31"/>
        <v>1</v>
      </c>
      <c r="L675" s="96">
        <f t="shared" si="32"/>
        <v>0</v>
      </c>
      <c r="M675" s="96">
        <f t="shared" si="33"/>
        <v>0</v>
      </c>
    </row>
    <row r="676" spans="1:13" x14ac:dyDescent="0.45">
      <c r="A676">
        <v>3</v>
      </c>
      <c r="B676">
        <v>3</v>
      </c>
      <c r="C676">
        <v>1</v>
      </c>
      <c r="D676">
        <v>3</v>
      </c>
      <c r="E676">
        <v>3</v>
      </c>
      <c r="F676">
        <v>3</v>
      </c>
      <c r="G676">
        <v>15.637085974172225</v>
      </c>
      <c r="H676">
        <v>7.8247970734080021E-6</v>
      </c>
      <c r="I676">
        <v>-0.59378605626317638</v>
      </c>
      <c r="J676">
        <v>-4.6462553952785815E-6</v>
      </c>
      <c r="K676" s="96">
        <f t="shared" si="31"/>
        <v>1</v>
      </c>
      <c r="L676" s="96">
        <f t="shared" si="32"/>
        <v>0</v>
      </c>
      <c r="M676" s="96">
        <f t="shared" si="33"/>
        <v>0</v>
      </c>
    </row>
    <row r="677" spans="1:13" x14ac:dyDescent="0.45">
      <c r="A677">
        <v>3</v>
      </c>
      <c r="B677">
        <v>3</v>
      </c>
      <c r="C677">
        <v>2</v>
      </c>
      <c r="D677">
        <v>1</v>
      </c>
      <c r="E677">
        <v>1</v>
      </c>
      <c r="F677">
        <v>1</v>
      </c>
      <c r="G677">
        <v>16.330437538266661</v>
      </c>
      <c r="H677">
        <v>4.8749248570982415E-4</v>
      </c>
      <c r="I677">
        <v>-0.58022001106746757</v>
      </c>
      <c r="J677">
        <v>-2.8285289545386145E-4</v>
      </c>
      <c r="K677" s="96">
        <f t="shared" si="31"/>
        <v>1</v>
      </c>
      <c r="L677" s="96">
        <f t="shared" si="32"/>
        <v>0</v>
      </c>
      <c r="M677" s="96">
        <f t="shared" si="33"/>
        <v>0</v>
      </c>
    </row>
    <row r="678" spans="1:13" x14ac:dyDescent="0.45">
      <c r="A678">
        <v>3</v>
      </c>
      <c r="B678">
        <v>3</v>
      </c>
      <c r="C678">
        <v>2</v>
      </c>
      <c r="D678">
        <v>1</v>
      </c>
      <c r="E678">
        <v>1</v>
      </c>
      <c r="F678">
        <v>2</v>
      </c>
      <c r="G678">
        <v>18.037149080652991</v>
      </c>
      <c r="H678">
        <v>4.8749248570982415E-4</v>
      </c>
      <c r="I678">
        <v>-0.54813246176809149</v>
      </c>
      <c r="J678">
        <v>-2.6721045628557208E-4</v>
      </c>
      <c r="K678" s="96">
        <f t="shared" si="31"/>
        <v>1</v>
      </c>
      <c r="L678" s="96">
        <f t="shared" si="32"/>
        <v>0</v>
      </c>
      <c r="M678" s="96">
        <f t="shared" si="33"/>
        <v>0</v>
      </c>
    </row>
    <row r="679" spans="1:13" x14ac:dyDescent="0.45">
      <c r="A679">
        <v>3</v>
      </c>
      <c r="B679">
        <v>3</v>
      </c>
      <c r="C679">
        <v>2</v>
      </c>
      <c r="D679">
        <v>1</v>
      </c>
      <c r="E679">
        <v>1</v>
      </c>
      <c r="F679">
        <v>3</v>
      </c>
      <c r="G679">
        <v>19.317182737442742</v>
      </c>
      <c r="H679">
        <v>1.2297107747635203E-4</v>
      </c>
      <c r="I679">
        <v>-0.52523678908283467</v>
      </c>
      <c r="J679">
        <v>-6.4588933883735628E-5</v>
      </c>
      <c r="K679" s="96">
        <f t="shared" si="31"/>
        <v>1</v>
      </c>
      <c r="L679" s="96">
        <f t="shared" si="32"/>
        <v>0</v>
      </c>
      <c r="M679" s="96">
        <f t="shared" si="33"/>
        <v>0</v>
      </c>
    </row>
    <row r="680" spans="1:13" x14ac:dyDescent="0.45">
      <c r="A680">
        <v>3</v>
      </c>
      <c r="B680">
        <v>3</v>
      </c>
      <c r="C680">
        <v>2</v>
      </c>
      <c r="D680">
        <v>1</v>
      </c>
      <c r="E680">
        <v>2</v>
      </c>
      <c r="F680">
        <v>1</v>
      </c>
      <c r="G680">
        <v>16.330437538266661</v>
      </c>
      <c r="H680">
        <v>4.8749248570982415E-4</v>
      </c>
      <c r="I680">
        <v>-0.58022001106746757</v>
      </c>
      <c r="J680">
        <v>-2.8285289545386145E-4</v>
      </c>
      <c r="K680" s="96">
        <f t="shared" si="31"/>
        <v>1</v>
      </c>
      <c r="L680" s="96">
        <f t="shared" si="32"/>
        <v>0</v>
      </c>
      <c r="M680" s="96">
        <f t="shared" si="33"/>
        <v>0</v>
      </c>
    </row>
    <row r="681" spans="1:13" x14ac:dyDescent="0.45">
      <c r="A681">
        <v>3</v>
      </c>
      <c r="B681">
        <v>3</v>
      </c>
      <c r="C681">
        <v>2</v>
      </c>
      <c r="D681">
        <v>1</v>
      </c>
      <c r="E681">
        <v>2</v>
      </c>
      <c r="F681">
        <v>2</v>
      </c>
      <c r="G681">
        <v>18.037149080652991</v>
      </c>
      <c r="H681">
        <v>4.8749248570982415E-4</v>
      </c>
      <c r="I681">
        <v>-0.54813246176809149</v>
      </c>
      <c r="J681">
        <v>-2.6721045628557208E-4</v>
      </c>
      <c r="K681" s="96">
        <f t="shared" si="31"/>
        <v>1</v>
      </c>
      <c r="L681" s="96">
        <f t="shared" si="32"/>
        <v>0</v>
      </c>
      <c r="M681" s="96">
        <f t="shared" si="33"/>
        <v>0</v>
      </c>
    </row>
    <row r="682" spans="1:13" x14ac:dyDescent="0.45">
      <c r="A682">
        <v>3</v>
      </c>
      <c r="B682">
        <v>3</v>
      </c>
      <c r="C682">
        <v>2</v>
      </c>
      <c r="D682">
        <v>1</v>
      </c>
      <c r="E682">
        <v>2</v>
      </c>
      <c r="F682">
        <v>3</v>
      </c>
      <c r="G682">
        <v>19.317182737442742</v>
      </c>
      <c r="H682">
        <v>1.2297107747635203E-4</v>
      </c>
      <c r="I682">
        <v>-0.52523678908283467</v>
      </c>
      <c r="J682">
        <v>-6.4588933883735628E-5</v>
      </c>
      <c r="K682" s="96">
        <f t="shared" si="31"/>
        <v>1</v>
      </c>
      <c r="L682" s="96">
        <f t="shared" si="32"/>
        <v>0</v>
      </c>
      <c r="M682" s="96">
        <f t="shared" si="33"/>
        <v>0</v>
      </c>
    </row>
    <row r="683" spans="1:13" x14ac:dyDescent="0.45">
      <c r="A683">
        <v>3</v>
      </c>
      <c r="B683">
        <v>3</v>
      </c>
      <c r="C683">
        <v>2</v>
      </c>
      <c r="D683">
        <v>1</v>
      </c>
      <c r="E683">
        <v>3</v>
      </c>
      <c r="F683">
        <v>1</v>
      </c>
      <c r="G683">
        <v>16.330437538266661</v>
      </c>
      <c r="H683">
        <v>1.2297107747635203E-4</v>
      </c>
      <c r="I683">
        <v>-0.58022001106746757</v>
      </c>
      <c r="J683">
        <v>-7.1350279934307383E-5</v>
      </c>
      <c r="K683" s="96">
        <f t="shared" si="31"/>
        <v>1</v>
      </c>
      <c r="L683" s="96">
        <f t="shared" si="32"/>
        <v>0</v>
      </c>
      <c r="M683" s="96">
        <f t="shared" si="33"/>
        <v>0</v>
      </c>
    </row>
    <row r="684" spans="1:13" x14ac:dyDescent="0.45">
      <c r="A684">
        <v>3</v>
      </c>
      <c r="B684">
        <v>3</v>
      </c>
      <c r="C684">
        <v>2</v>
      </c>
      <c r="D684">
        <v>1</v>
      </c>
      <c r="E684">
        <v>3</v>
      </c>
      <c r="F684">
        <v>2</v>
      </c>
      <c r="G684">
        <v>18.037149080652991</v>
      </c>
      <c r="H684">
        <v>1.2297107747635203E-4</v>
      </c>
      <c r="I684">
        <v>-0.54813246176809149</v>
      </c>
      <c r="J684">
        <v>-6.740443942338755E-5</v>
      </c>
      <c r="K684" s="96">
        <f t="shared" si="31"/>
        <v>1</v>
      </c>
      <c r="L684" s="96">
        <f t="shared" si="32"/>
        <v>0</v>
      </c>
      <c r="M684" s="96">
        <f t="shared" si="33"/>
        <v>0</v>
      </c>
    </row>
    <row r="685" spans="1:13" x14ac:dyDescent="0.45">
      <c r="A685">
        <v>3</v>
      </c>
      <c r="B685">
        <v>3</v>
      </c>
      <c r="C685">
        <v>2</v>
      </c>
      <c r="D685">
        <v>1</v>
      </c>
      <c r="E685">
        <v>3</v>
      </c>
      <c r="F685">
        <v>3</v>
      </c>
      <c r="G685">
        <v>19.317182737442742</v>
      </c>
      <c r="H685">
        <v>3.1019731255296003E-5</v>
      </c>
      <c r="I685">
        <v>-0.52523678908283467</v>
      </c>
      <c r="J685">
        <v>-1.629270404274412E-5</v>
      </c>
      <c r="K685" s="96">
        <f t="shared" si="31"/>
        <v>1</v>
      </c>
      <c r="L685" s="96">
        <f t="shared" si="32"/>
        <v>0</v>
      </c>
      <c r="M685" s="96">
        <f t="shared" si="33"/>
        <v>0</v>
      </c>
    </row>
    <row r="686" spans="1:13" x14ac:dyDescent="0.45">
      <c r="A686">
        <v>3</v>
      </c>
      <c r="B686">
        <v>3</v>
      </c>
      <c r="C686">
        <v>2</v>
      </c>
      <c r="D686">
        <v>2</v>
      </c>
      <c r="E686">
        <v>1</v>
      </c>
      <c r="F686">
        <v>1</v>
      </c>
      <c r="G686">
        <v>16.330437538266661</v>
      </c>
      <c r="H686">
        <v>4.8749248570982415E-4</v>
      </c>
      <c r="I686">
        <v>-0.58022001106746757</v>
      </c>
      <c r="J686">
        <v>-2.8285289545386145E-4</v>
      </c>
      <c r="K686" s="96">
        <f t="shared" si="31"/>
        <v>1</v>
      </c>
      <c r="L686" s="96">
        <f t="shared" si="32"/>
        <v>0</v>
      </c>
      <c r="M686" s="96">
        <f t="shared" si="33"/>
        <v>0</v>
      </c>
    </row>
    <row r="687" spans="1:13" x14ac:dyDescent="0.45">
      <c r="A687">
        <v>3</v>
      </c>
      <c r="B687">
        <v>3</v>
      </c>
      <c r="C687">
        <v>2</v>
      </c>
      <c r="D687">
        <v>2</v>
      </c>
      <c r="E687">
        <v>1</v>
      </c>
      <c r="F687">
        <v>2</v>
      </c>
      <c r="G687">
        <v>18.037149080652991</v>
      </c>
      <c r="H687">
        <v>4.8749248570982415E-4</v>
      </c>
      <c r="I687">
        <v>-0.54813246176809149</v>
      </c>
      <c r="J687">
        <v>-2.6721045628557208E-4</v>
      </c>
      <c r="K687" s="96">
        <f t="shared" si="31"/>
        <v>1</v>
      </c>
      <c r="L687" s="96">
        <f t="shared" si="32"/>
        <v>0</v>
      </c>
      <c r="M687" s="96">
        <f t="shared" si="33"/>
        <v>0</v>
      </c>
    </row>
    <row r="688" spans="1:13" x14ac:dyDescent="0.45">
      <c r="A688">
        <v>3</v>
      </c>
      <c r="B688">
        <v>3</v>
      </c>
      <c r="C688">
        <v>2</v>
      </c>
      <c r="D688">
        <v>2</v>
      </c>
      <c r="E688">
        <v>1</v>
      </c>
      <c r="F688">
        <v>3</v>
      </c>
      <c r="G688">
        <v>19.317182737442742</v>
      </c>
      <c r="H688">
        <v>1.2297107747635203E-4</v>
      </c>
      <c r="I688">
        <v>-0.52523678908283467</v>
      </c>
      <c r="J688">
        <v>-6.4588933883735628E-5</v>
      </c>
      <c r="K688" s="96">
        <f t="shared" si="31"/>
        <v>1</v>
      </c>
      <c r="L688" s="96">
        <f t="shared" si="32"/>
        <v>0</v>
      </c>
      <c r="M688" s="96">
        <f t="shared" si="33"/>
        <v>0</v>
      </c>
    </row>
    <row r="689" spans="1:13" x14ac:dyDescent="0.45">
      <c r="A689">
        <v>3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16.330437538266661</v>
      </c>
      <c r="H689">
        <v>4.8749248570982415E-4</v>
      </c>
      <c r="I689">
        <v>-0.58022001106746757</v>
      </c>
      <c r="J689">
        <v>-2.8285289545386145E-4</v>
      </c>
      <c r="K689" s="96">
        <f t="shared" si="31"/>
        <v>1</v>
      </c>
      <c r="L689" s="96">
        <f t="shared" si="32"/>
        <v>0</v>
      </c>
      <c r="M689" s="96">
        <f t="shared" si="33"/>
        <v>0</v>
      </c>
    </row>
    <row r="690" spans="1:13" x14ac:dyDescent="0.45">
      <c r="A690">
        <v>3</v>
      </c>
      <c r="B690">
        <v>3</v>
      </c>
      <c r="C690">
        <v>2</v>
      </c>
      <c r="D690">
        <v>2</v>
      </c>
      <c r="E690">
        <v>2</v>
      </c>
      <c r="F690">
        <v>2</v>
      </c>
      <c r="G690">
        <v>18.037149080652991</v>
      </c>
      <c r="H690">
        <v>4.8749248570982415E-4</v>
      </c>
      <c r="I690">
        <v>-0.54813246176809149</v>
      </c>
      <c r="J690">
        <v>-2.6721045628557208E-4</v>
      </c>
      <c r="K690" s="96">
        <f t="shared" si="31"/>
        <v>1</v>
      </c>
      <c r="L690" s="96">
        <f t="shared" si="32"/>
        <v>0</v>
      </c>
      <c r="M690" s="96">
        <f t="shared" si="33"/>
        <v>0</v>
      </c>
    </row>
    <row r="691" spans="1:13" x14ac:dyDescent="0.45">
      <c r="A691">
        <v>3</v>
      </c>
      <c r="B691">
        <v>3</v>
      </c>
      <c r="C691">
        <v>2</v>
      </c>
      <c r="D691">
        <v>2</v>
      </c>
      <c r="E691">
        <v>2</v>
      </c>
      <c r="F691">
        <v>3</v>
      </c>
      <c r="G691">
        <v>19.317182737442742</v>
      </c>
      <c r="H691">
        <v>1.2297107747635203E-4</v>
      </c>
      <c r="I691">
        <v>-0.52523678908283467</v>
      </c>
      <c r="J691">
        <v>-6.4588933883735628E-5</v>
      </c>
      <c r="K691" s="96">
        <f t="shared" si="31"/>
        <v>1</v>
      </c>
      <c r="L691" s="96">
        <f t="shared" si="32"/>
        <v>0</v>
      </c>
      <c r="M691" s="96">
        <f t="shared" si="33"/>
        <v>0</v>
      </c>
    </row>
    <row r="692" spans="1:13" x14ac:dyDescent="0.45">
      <c r="A692">
        <v>3</v>
      </c>
      <c r="B692">
        <v>3</v>
      </c>
      <c r="C692">
        <v>2</v>
      </c>
      <c r="D692">
        <v>2</v>
      </c>
      <c r="E692">
        <v>3</v>
      </c>
      <c r="F692">
        <v>1</v>
      </c>
      <c r="G692">
        <v>16.330437538266661</v>
      </c>
      <c r="H692">
        <v>1.2297107747635203E-4</v>
      </c>
      <c r="I692">
        <v>-0.58022001106746757</v>
      </c>
      <c r="J692">
        <v>-7.1350279934307383E-5</v>
      </c>
      <c r="K692" s="96">
        <f t="shared" si="31"/>
        <v>1</v>
      </c>
      <c r="L692" s="96">
        <f t="shared" si="32"/>
        <v>0</v>
      </c>
      <c r="M692" s="96">
        <f t="shared" si="33"/>
        <v>0</v>
      </c>
    </row>
    <row r="693" spans="1:13" x14ac:dyDescent="0.45">
      <c r="A693">
        <v>3</v>
      </c>
      <c r="B693">
        <v>3</v>
      </c>
      <c r="C693">
        <v>2</v>
      </c>
      <c r="D693">
        <v>2</v>
      </c>
      <c r="E693">
        <v>3</v>
      </c>
      <c r="F693">
        <v>2</v>
      </c>
      <c r="G693">
        <v>18.037149080652991</v>
      </c>
      <c r="H693">
        <v>1.2297107747635203E-4</v>
      </c>
      <c r="I693">
        <v>-0.54813246176809149</v>
      </c>
      <c r="J693">
        <v>-6.740443942338755E-5</v>
      </c>
      <c r="K693" s="96">
        <f t="shared" si="31"/>
        <v>1</v>
      </c>
      <c r="L693" s="96">
        <f t="shared" si="32"/>
        <v>0</v>
      </c>
      <c r="M693" s="96">
        <f t="shared" si="33"/>
        <v>0</v>
      </c>
    </row>
    <row r="694" spans="1:13" x14ac:dyDescent="0.45">
      <c r="A694">
        <v>3</v>
      </c>
      <c r="B694">
        <v>3</v>
      </c>
      <c r="C694">
        <v>2</v>
      </c>
      <c r="D694">
        <v>2</v>
      </c>
      <c r="E694">
        <v>3</v>
      </c>
      <c r="F694">
        <v>3</v>
      </c>
      <c r="G694">
        <v>19.317182737442742</v>
      </c>
      <c r="H694">
        <v>3.1019731255296003E-5</v>
      </c>
      <c r="I694">
        <v>-0.52523678908283467</v>
      </c>
      <c r="J694">
        <v>-1.629270404274412E-5</v>
      </c>
      <c r="K694" s="96">
        <f t="shared" si="31"/>
        <v>1</v>
      </c>
      <c r="L694" s="96">
        <f t="shared" si="32"/>
        <v>0</v>
      </c>
      <c r="M694" s="96">
        <f t="shared" si="33"/>
        <v>0</v>
      </c>
    </row>
    <row r="695" spans="1:13" x14ac:dyDescent="0.45">
      <c r="A695">
        <v>3</v>
      </c>
      <c r="B695">
        <v>3</v>
      </c>
      <c r="C695">
        <v>2</v>
      </c>
      <c r="D695">
        <v>3</v>
      </c>
      <c r="E695">
        <v>1</v>
      </c>
      <c r="F695">
        <v>1</v>
      </c>
      <c r="G695">
        <v>16.330437538266661</v>
      </c>
      <c r="H695">
        <v>1.2297107747635203E-4</v>
      </c>
      <c r="I695">
        <v>-0.58022001106746757</v>
      </c>
      <c r="J695">
        <v>-7.1350279934307383E-5</v>
      </c>
      <c r="K695" s="96">
        <f t="shared" si="31"/>
        <v>1</v>
      </c>
      <c r="L695" s="96">
        <f t="shared" si="32"/>
        <v>0</v>
      </c>
      <c r="M695" s="96">
        <f t="shared" si="33"/>
        <v>0</v>
      </c>
    </row>
    <row r="696" spans="1:13" x14ac:dyDescent="0.45">
      <c r="A696">
        <v>3</v>
      </c>
      <c r="B696">
        <v>3</v>
      </c>
      <c r="C696">
        <v>2</v>
      </c>
      <c r="D696">
        <v>3</v>
      </c>
      <c r="E696">
        <v>1</v>
      </c>
      <c r="F696">
        <v>2</v>
      </c>
      <c r="G696">
        <v>18.037149080652991</v>
      </c>
      <c r="H696">
        <v>1.2297107747635203E-4</v>
      </c>
      <c r="I696">
        <v>-0.54813246176809149</v>
      </c>
      <c r="J696">
        <v>-6.740443942338755E-5</v>
      </c>
      <c r="K696" s="96">
        <f t="shared" si="31"/>
        <v>1</v>
      </c>
      <c r="L696" s="96">
        <f t="shared" si="32"/>
        <v>0</v>
      </c>
      <c r="M696" s="96">
        <f t="shared" si="33"/>
        <v>0</v>
      </c>
    </row>
    <row r="697" spans="1:13" x14ac:dyDescent="0.45">
      <c r="A697">
        <v>3</v>
      </c>
      <c r="B697">
        <v>3</v>
      </c>
      <c r="C697">
        <v>2</v>
      </c>
      <c r="D697">
        <v>3</v>
      </c>
      <c r="E697">
        <v>1</v>
      </c>
      <c r="F697">
        <v>3</v>
      </c>
      <c r="G697">
        <v>19.317182737442742</v>
      </c>
      <c r="H697">
        <v>3.1019731255296003E-5</v>
      </c>
      <c r="I697">
        <v>-0.52523678908283467</v>
      </c>
      <c r="J697">
        <v>-1.629270404274412E-5</v>
      </c>
      <c r="K697" s="96">
        <f t="shared" si="31"/>
        <v>1</v>
      </c>
      <c r="L697" s="96">
        <f t="shared" si="32"/>
        <v>0</v>
      </c>
      <c r="M697" s="96">
        <f t="shared" si="33"/>
        <v>0</v>
      </c>
    </row>
    <row r="698" spans="1:13" x14ac:dyDescent="0.45">
      <c r="A698">
        <v>3</v>
      </c>
      <c r="B698">
        <v>3</v>
      </c>
      <c r="C698">
        <v>2</v>
      </c>
      <c r="D698">
        <v>3</v>
      </c>
      <c r="E698">
        <v>2</v>
      </c>
      <c r="F698">
        <v>1</v>
      </c>
      <c r="G698">
        <v>16.330437538266661</v>
      </c>
      <c r="H698">
        <v>1.2297107747635203E-4</v>
      </c>
      <c r="I698">
        <v>-0.58022001106746757</v>
      </c>
      <c r="J698">
        <v>-7.1350279934307383E-5</v>
      </c>
      <c r="K698" s="96">
        <f t="shared" si="31"/>
        <v>1</v>
      </c>
      <c r="L698" s="96">
        <f t="shared" si="32"/>
        <v>0</v>
      </c>
      <c r="M698" s="96">
        <f t="shared" si="33"/>
        <v>0</v>
      </c>
    </row>
    <row r="699" spans="1:13" x14ac:dyDescent="0.45">
      <c r="A699">
        <v>3</v>
      </c>
      <c r="B699">
        <v>3</v>
      </c>
      <c r="C699">
        <v>2</v>
      </c>
      <c r="D699">
        <v>3</v>
      </c>
      <c r="E699">
        <v>2</v>
      </c>
      <c r="F699">
        <v>2</v>
      </c>
      <c r="G699">
        <v>18.037149080652991</v>
      </c>
      <c r="H699">
        <v>1.2297107747635203E-4</v>
      </c>
      <c r="I699">
        <v>-0.54813246176809149</v>
      </c>
      <c r="J699">
        <v>-6.740443942338755E-5</v>
      </c>
      <c r="K699" s="96">
        <f t="shared" si="31"/>
        <v>1</v>
      </c>
      <c r="L699" s="96">
        <f t="shared" si="32"/>
        <v>0</v>
      </c>
      <c r="M699" s="96">
        <f t="shared" si="33"/>
        <v>0</v>
      </c>
    </row>
    <row r="700" spans="1:13" x14ac:dyDescent="0.45">
      <c r="A700">
        <v>3</v>
      </c>
      <c r="B700">
        <v>3</v>
      </c>
      <c r="C700">
        <v>2</v>
      </c>
      <c r="D700">
        <v>3</v>
      </c>
      <c r="E700">
        <v>2</v>
      </c>
      <c r="F700">
        <v>3</v>
      </c>
      <c r="G700">
        <v>19.317182737442742</v>
      </c>
      <c r="H700">
        <v>3.1019731255296003E-5</v>
      </c>
      <c r="I700">
        <v>-0.52523678908283467</v>
      </c>
      <c r="J700">
        <v>-1.629270404274412E-5</v>
      </c>
      <c r="K700" s="96">
        <f t="shared" si="31"/>
        <v>1</v>
      </c>
      <c r="L700" s="96">
        <f t="shared" si="32"/>
        <v>0</v>
      </c>
      <c r="M700" s="96">
        <f t="shared" si="33"/>
        <v>0</v>
      </c>
    </row>
    <row r="701" spans="1:13" x14ac:dyDescent="0.45">
      <c r="A701">
        <v>3</v>
      </c>
      <c r="B701">
        <v>3</v>
      </c>
      <c r="C701">
        <v>2</v>
      </c>
      <c r="D701">
        <v>3</v>
      </c>
      <c r="E701">
        <v>3</v>
      </c>
      <c r="F701">
        <v>1</v>
      </c>
      <c r="G701">
        <v>16.330437538266661</v>
      </c>
      <c r="H701">
        <v>3.1019731255296003E-5</v>
      </c>
      <c r="I701">
        <v>-0.58022001106746757</v>
      </c>
      <c r="J701">
        <v>-1.7998268812257717E-5</v>
      </c>
      <c r="K701" s="96">
        <f t="shared" si="31"/>
        <v>1</v>
      </c>
      <c r="L701" s="96">
        <f t="shared" si="32"/>
        <v>0</v>
      </c>
      <c r="M701" s="96">
        <f t="shared" si="33"/>
        <v>0</v>
      </c>
    </row>
    <row r="702" spans="1:13" x14ac:dyDescent="0.45">
      <c r="A702">
        <v>3</v>
      </c>
      <c r="B702">
        <v>3</v>
      </c>
      <c r="C702">
        <v>2</v>
      </c>
      <c r="D702">
        <v>3</v>
      </c>
      <c r="E702">
        <v>3</v>
      </c>
      <c r="F702">
        <v>2</v>
      </c>
      <c r="G702">
        <v>18.037149080652991</v>
      </c>
      <c r="H702">
        <v>3.1019731255296003E-5</v>
      </c>
      <c r="I702">
        <v>-0.54813246176809149</v>
      </c>
      <c r="J702">
        <v>-1.7002921656350008E-5</v>
      </c>
      <c r="K702" s="96">
        <f t="shared" si="31"/>
        <v>1</v>
      </c>
      <c r="L702" s="96">
        <f t="shared" si="32"/>
        <v>0</v>
      </c>
      <c r="M702" s="96">
        <f t="shared" si="33"/>
        <v>0</v>
      </c>
    </row>
    <row r="703" spans="1:13" x14ac:dyDescent="0.45">
      <c r="A703">
        <v>3</v>
      </c>
      <c r="B703">
        <v>3</v>
      </c>
      <c r="C703">
        <v>2</v>
      </c>
      <c r="D703">
        <v>3</v>
      </c>
      <c r="E703">
        <v>3</v>
      </c>
      <c r="F703">
        <v>3</v>
      </c>
      <c r="G703">
        <v>19.317182737442742</v>
      </c>
      <c r="H703">
        <v>7.8247970734080021E-6</v>
      </c>
      <c r="I703">
        <v>-0.52523678908283467</v>
      </c>
      <c r="J703">
        <v>-4.1098712900615811E-6</v>
      </c>
      <c r="K703" s="96">
        <f t="shared" si="31"/>
        <v>1</v>
      </c>
      <c r="L703" s="96">
        <f t="shared" si="32"/>
        <v>0</v>
      </c>
      <c r="M703" s="96">
        <f t="shared" si="33"/>
        <v>0</v>
      </c>
    </row>
    <row r="704" spans="1:13" x14ac:dyDescent="0.45">
      <c r="A704">
        <v>3</v>
      </c>
      <c r="B704">
        <v>3</v>
      </c>
      <c r="C704">
        <v>3</v>
      </c>
      <c r="D704">
        <v>1</v>
      </c>
      <c r="E704">
        <v>1</v>
      </c>
      <c r="F704">
        <v>1</v>
      </c>
      <c r="G704">
        <v>18.410492230550002</v>
      </c>
      <c r="H704">
        <v>1.2297107747635203E-4</v>
      </c>
      <c r="I704">
        <v>-0.54135334819165748</v>
      </c>
      <c r="J704">
        <v>-6.6570804522558892E-5</v>
      </c>
      <c r="K704" s="96">
        <f t="shared" si="31"/>
        <v>1</v>
      </c>
      <c r="L704" s="96">
        <f t="shared" si="32"/>
        <v>0</v>
      </c>
      <c r="M704" s="96">
        <f t="shared" si="33"/>
        <v>0</v>
      </c>
    </row>
    <row r="705" spans="1:13" x14ac:dyDescent="0.45">
      <c r="A705">
        <v>3</v>
      </c>
      <c r="B705">
        <v>3</v>
      </c>
      <c r="C705">
        <v>3</v>
      </c>
      <c r="D705">
        <v>1</v>
      </c>
      <c r="E705">
        <v>1</v>
      </c>
      <c r="F705">
        <v>2</v>
      </c>
      <c r="G705">
        <v>20.330542715734623</v>
      </c>
      <c r="H705">
        <v>1.2297107747635203E-4</v>
      </c>
      <c r="I705">
        <v>-0.50779129258451694</v>
      </c>
      <c r="J705">
        <v>-6.2443642382227583E-5</v>
      </c>
      <c r="K705" s="96">
        <f t="shared" si="31"/>
        <v>1</v>
      </c>
      <c r="L705" s="96">
        <f t="shared" si="32"/>
        <v>0</v>
      </c>
      <c r="M705" s="96">
        <f t="shared" si="33"/>
        <v>0</v>
      </c>
    </row>
    <row r="706" spans="1:13" x14ac:dyDescent="0.45">
      <c r="A706">
        <v>3</v>
      </c>
      <c r="B706">
        <v>3</v>
      </c>
      <c r="C706">
        <v>3</v>
      </c>
      <c r="D706">
        <v>1</v>
      </c>
      <c r="E706">
        <v>1</v>
      </c>
      <c r="F706">
        <v>3</v>
      </c>
      <c r="G706">
        <v>21.770580579623083</v>
      </c>
      <c r="H706">
        <v>3.1019731255296003E-5</v>
      </c>
      <c r="I706">
        <v>-0.48399242688450084</v>
      </c>
      <c r="J706">
        <v>-1.5013315011555717E-5</v>
      </c>
      <c r="K706" s="96">
        <f t="shared" si="31"/>
        <v>1</v>
      </c>
      <c r="L706" s="96">
        <f t="shared" si="32"/>
        <v>0</v>
      </c>
      <c r="M706" s="96">
        <f t="shared" si="33"/>
        <v>0</v>
      </c>
    </row>
    <row r="707" spans="1:13" x14ac:dyDescent="0.45">
      <c r="A707">
        <v>3</v>
      </c>
      <c r="B707">
        <v>3</v>
      </c>
      <c r="C707">
        <v>3</v>
      </c>
      <c r="D707">
        <v>1</v>
      </c>
      <c r="E707">
        <v>2</v>
      </c>
      <c r="F707">
        <v>1</v>
      </c>
      <c r="G707">
        <v>18.410492230550002</v>
      </c>
      <c r="H707">
        <v>1.2297107747635203E-4</v>
      </c>
      <c r="I707">
        <v>-0.54135334819165748</v>
      </c>
      <c r="J707">
        <v>-6.6570804522558892E-5</v>
      </c>
      <c r="K707" s="96">
        <f t="shared" ref="K707:K730" si="34">IF(A707=3,1,0)</f>
        <v>1</v>
      </c>
      <c r="L707" s="96">
        <f t="shared" ref="L707:L730" si="35">IF(A707=2,1,0)</f>
        <v>0</v>
      </c>
      <c r="M707" s="96">
        <f t="shared" ref="M707:M730" si="36">IF(A707=1,1,0)</f>
        <v>0</v>
      </c>
    </row>
    <row r="708" spans="1:13" x14ac:dyDescent="0.45">
      <c r="A708">
        <v>3</v>
      </c>
      <c r="B708">
        <v>3</v>
      </c>
      <c r="C708">
        <v>3</v>
      </c>
      <c r="D708">
        <v>1</v>
      </c>
      <c r="E708">
        <v>2</v>
      </c>
      <c r="F708">
        <v>2</v>
      </c>
      <c r="G708">
        <v>20.330542715734623</v>
      </c>
      <c r="H708">
        <v>1.2297107747635203E-4</v>
      </c>
      <c r="I708">
        <v>-0.50779129258451694</v>
      </c>
      <c r="J708">
        <v>-6.2443642382227583E-5</v>
      </c>
      <c r="K708" s="96">
        <f t="shared" si="34"/>
        <v>1</v>
      </c>
      <c r="L708" s="96">
        <f t="shared" si="35"/>
        <v>0</v>
      </c>
      <c r="M708" s="96">
        <f t="shared" si="36"/>
        <v>0</v>
      </c>
    </row>
    <row r="709" spans="1:13" x14ac:dyDescent="0.45">
      <c r="A709">
        <v>3</v>
      </c>
      <c r="B709">
        <v>3</v>
      </c>
      <c r="C709">
        <v>3</v>
      </c>
      <c r="D709">
        <v>1</v>
      </c>
      <c r="E709">
        <v>2</v>
      </c>
      <c r="F709">
        <v>3</v>
      </c>
      <c r="G709">
        <v>21.770580579623083</v>
      </c>
      <c r="H709">
        <v>3.1019731255296003E-5</v>
      </c>
      <c r="I709">
        <v>-0.48399242688450084</v>
      </c>
      <c r="J709">
        <v>-1.5013315011555717E-5</v>
      </c>
      <c r="K709" s="96">
        <f t="shared" si="34"/>
        <v>1</v>
      </c>
      <c r="L709" s="96">
        <f t="shared" si="35"/>
        <v>0</v>
      </c>
      <c r="M709" s="96">
        <f t="shared" si="36"/>
        <v>0</v>
      </c>
    </row>
    <row r="710" spans="1:13" x14ac:dyDescent="0.45">
      <c r="A710">
        <v>3</v>
      </c>
      <c r="B710">
        <v>3</v>
      </c>
      <c r="C710">
        <v>3</v>
      </c>
      <c r="D710">
        <v>1</v>
      </c>
      <c r="E710">
        <v>3</v>
      </c>
      <c r="F710">
        <v>1</v>
      </c>
      <c r="G710">
        <v>18.410492230550002</v>
      </c>
      <c r="H710">
        <v>3.1019731255296003E-5</v>
      </c>
      <c r="I710">
        <v>-0.54135334819165748</v>
      </c>
      <c r="J710">
        <v>-1.6792635375059899E-5</v>
      </c>
      <c r="K710" s="96">
        <f t="shared" si="34"/>
        <v>1</v>
      </c>
      <c r="L710" s="96">
        <f t="shared" si="35"/>
        <v>0</v>
      </c>
      <c r="M710" s="96">
        <f t="shared" si="36"/>
        <v>0</v>
      </c>
    </row>
    <row r="711" spans="1:13" x14ac:dyDescent="0.45">
      <c r="A711">
        <v>3</v>
      </c>
      <c r="B711">
        <v>3</v>
      </c>
      <c r="C711">
        <v>3</v>
      </c>
      <c r="D711">
        <v>1</v>
      </c>
      <c r="E711">
        <v>3</v>
      </c>
      <c r="F711">
        <v>2</v>
      </c>
      <c r="G711">
        <v>20.330542715734623</v>
      </c>
      <c r="H711">
        <v>3.1019731255296003E-5</v>
      </c>
      <c r="I711">
        <v>-0.50779129258451694</v>
      </c>
      <c r="J711">
        <v>-1.5751549429751097E-5</v>
      </c>
      <c r="K711" s="96">
        <f t="shared" si="34"/>
        <v>1</v>
      </c>
      <c r="L711" s="96">
        <f t="shared" si="35"/>
        <v>0</v>
      </c>
      <c r="M711" s="96">
        <f t="shared" si="36"/>
        <v>0</v>
      </c>
    </row>
    <row r="712" spans="1:13" x14ac:dyDescent="0.45">
      <c r="A712">
        <v>3</v>
      </c>
      <c r="B712">
        <v>3</v>
      </c>
      <c r="C712">
        <v>3</v>
      </c>
      <c r="D712">
        <v>1</v>
      </c>
      <c r="E712">
        <v>3</v>
      </c>
      <c r="F712">
        <v>3</v>
      </c>
      <c r="G712">
        <v>21.770580579623083</v>
      </c>
      <c r="H712">
        <v>7.8247970734080021E-6</v>
      </c>
      <c r="I712">
        <v>-0.48399242688450084</v>
      </c>
      <c r="J712">
        <v>-3.7871425254374787E-6</v>
      </c>
      <c r="K712" s="96">
        <f t="shared" si="34"/>
        <v>1</v>
      </c>
      <c r="L712" s="96">
        <f t="shared" si="35"/>
        <v>0</v>
      </c>
      <c r="M712" s="96">
        <f t="shared" si="36"/>
        <v>0</v>
      </c>
    </row>
    <row r="713" spans="1:13" x14ac:dyDescent="0.45">
      <c r="A713">
        <v>3</v>
      </c>
      <c r="B713">
        <v>3</v>
      </c>
      <c r="C713">
        <v>3</v>
      </c>
      <c r="D713">
        <v>2</v>
      </c>
      <c r="E713">
        <v>1</v>
      </c>
      <c r="F713">
        <v>1</v>
      </c>
      <c r="G713">
        <v>18.410492230550002</v>
      </c>
      <c r="H713">
        <v>1.2297107747635203E-4</v>
      </c>
      <c r="I713">
        <v>-0.54135334819165748</v>
      </c>
      <c r="J713">
        <v>-6.6570804522558892E-5</v>
      </c>
      <c r="K713" s="96">
        <f t="shared" si="34"/>
        <v>1</v>
      </c>
      <c r="L713" s="96">
        <f t="shared" si="35"/>
        <v>0</v>
      </c>
      <c r="M713" s="96">
        <f t="shared" si="36"/>
        <v>0</v>
      </c>
    </row>
    <row r="714" spans="1:13" x14ac:dyDescent="0.45">
      <c r="A714">
        <v>3</v>
      </c>
      <c r="B714">
        <v>3</v>
      </c>
      <c r="C714">
        <v>3</v>
      </c>
      <c r="D714">
        <v>2</v>
      </c>
      <c r="E714">
        <v>1</v>
      </c>
      <c r="F714">
        <v>2</v>
      </c>
      <c r="G714">
        <v>20.330542715734623</v>
      </c>
      <c r="H714">
        <v>1.2297107747635203E-4</v>
      </c>
      <c r="I714">
        <v>-0.50779129258451694</v>
      </c>
      <c r="J714">
        <v>-6.2443642382227583E-5</v>
      </c>
      <c r="K714" s="96">
        <f t="shared" si="34"/>
        <v>1</v>
      </c>
      <c r="L714" s="96">
        <f t="shared" si="35"/>
        <v>0</v>
      </c>
      <c r="M714" s="96">
        <f t="shared" si="36"/>
        <v>0</v>
      </c>
    </row>
    <row r="715" spans="1:13" x14ac:dyDescent="0.45">
      <c r="A715">
        <v>3</v>
      </c>
      <c r="B715">
        <v>3</v>
      </c>
      <c r="C715">
        <v>3</v>
      </c>
      <c r="D715">
        <v>2</v>
      </c>
      <c r="E715">
        <v>1</v>
      </c>
      <c r="F715">
        <v>3</v>
      </c>
      <c r="G715">
        <v>21.770580579623083</v>
      </c>
      <c r="H715">
        <v>3.1019731255296003E-5</v>
      </c>
      <c r="I715">
        <v>-0.48399242688450084</v>
      </c>
      <c r="J715">
        <v>-1.5013315011555717E-5</v>
      </c>
      <c r="K715" s="96">
        <f t="shared" si="34"/>
        <v>1</v>
      </c>
      <c r="L715" s="96">
        <f t="shared" si="35"/>
        <v>0</v>
      </c>
      <c r="M715" s="96">
        <f t="shared" si="36"/>
        <v>0</v>
      </c>
    </row>
    <row r="716" spans="1:13" x14ac:dyDescent="0.45">
      <c r="A716">
        <v>3</v>
      </c>
      <c r="B716">
        <v>3</v>
      </c>
      <c r="C716">
        <v>3</v>
      </c>
      <c r="D716">
        <v>2</v>
      </c>
      <c r="E716">
        <v>2</v>
      </c>
      <c r="F716">
        <v>1</v>
      </c>
      <c r="G716">
        <v>18.410492230550002</v>
      </c>
      <c r="H716">
        <v>1.2297107747635203E-4</v>
      </c>
      <c r="I716">
        <v>-0.54135334819165748</v>
      </c>
      <c r="J716">
        <v>-6.6570804522558892E-5</v>
      </c>
      <c r="K716" s="96">
        <f t="shared" si="34"/>
        <v>1</v>
      </c>
      <c r="L716" s="96">
        <f t="shared" si="35"/>
        <v>0</v>
      </c>
      <c r="M716" s="96">
        <f t="shared" si="36"/>
        <v>0</v>
      </c>
    </row>
    <row r="717" spans="1:13" x14ac:dyDescent="0.45">
      <c r="A717">
        <v>3</v>
      </c>
      <c r="B717">
        <v>3</v>
      </c>
      <c r="C717">
        <v>3</v>
      </c>
      <c r="D717">
        <v>2</v>
      </c>
      <c r="E717">
        <v>2</v>
      </c>
      <c r="F717">
        <v>2</v>
      </c>
      <c r="G717">
        <v>20.330542715734623</v>
      </c>
      <c r="H717">
        <v>1.2297107747635203E-4</v>
      </c>
      <c r="I717">
        <v>-0.50779129258451694</v>
      </c>
      <c r="J717">
        <v>-6.2443642382227583E-5</v>
      </c>
      <c r="K717" s="96">
        <f t="shared" si="34"/>
        <v>1</v>
      </c>
      <c r="L717" s="96">
        <f t="shared" si="35"/>
        <v>0</v>
      </c>
      <c r="M717" s="96">
        <f t="shared" si="36"/>
        <v>0</v>
      </c>
    </row>
    <row r="718" spans="1:13" x14ac:dyDescent="0.45">
      <c r="A718">
        <v>3</v>
      </c>
      <c r="B718">
        <v>3</v>
      </c>
      <c r="C718">
        <v>3</v>
      </c>
      <c r="D718">
        <v>2</v>
      </c>
      <c r="E718">
        <v>2</v>
      </c>
      <c r="F718">
        <v>3</v>
      </c>
      <c r="G718">
        <v>21.770580579623083</v>
      </c>
      <c r="H718">
        <v>3.1019731255296003E-5</v>
      </c>
      <c r="I718">
        <v>-0.48399242688450084</v>
      </c>
      <c r="J718">
        <v>-1.5013315011555717E-5</v>
      </c>
      <c r="K718" s="96">
        <f t="shared" si="34"/>
        <v>1</v>
      </c>
      <c r="L718" s="96">
        <f t="shared" si="35"/>
        <v>0</v>
      </c>
      <c r="M718" s="96">
        <f t="shared" si="36"/>
        <v>0</v>
      </c>
    </row>
    <row r="719" spans="1:13" x14ac:dyDescent="0.45">
      <c r="A719">
        <v>3</v>
      </c>
      <c r="B719">
        <v>3</v>
      </c>
      <c r="C719">
        <v>3</v>
      </c>
      <c r="D719">
        <v>2</v>
      </c>
      <c r="E719">
        <v>3</v>
      </c>
      <c r="F719">
        <v>1</v>
      </c>
      <c r="G719">
        <v>18.410492230550002</v>
      </c>
      <c r="H719">
        <v>3.1019731255296003E-5</v>
      </c>
      <c r="I719">
        <v>-0.54135334819165748</v>
      </c>
      <c r="J719">
        <v>-1.6792635375059899E-5</v>
      </c>
      <c r="K719" s="96">
        <f t="shared" si="34"/>
        <v>1</v>
      </c>
      <c r="L719" s="96">
        <f t="shared" si="35"/>
        <v>0</v>
      </c>
      <c r="M719" s="96">
        <f t="shared" si="36"/>
        <v>0</v>
      </c>
    </row>
    <row r="720" spans="1:13" x14ac:dyDescent="0.45">
      <c r="A720">
        <v>3</v>
      </c>
      <c r="B720">
        <v>3</v>
      </c>
      <c r="C720">
        <v>3</v>
      </c>
      <c r="D720">
        <v>2</v>
      </c>
      <c r="E720">
        <v>3</v>
      </c>
      <c r="F720">
        <v>2</v>
      </c>
      <c r="G720">
        <v>20.330542715734623</v>
      </c>
      <c r="H720">
        <v>3.1019731255296003E-5</v>
      </c>
      <c r="I720">
        <v>-0.50779129258451694</v>
      </c>
      <c r="J720">
        <v>-1.5751549429751097E-5</v>
      </c>
      <c r="K720" s="96">
        <f t="shared" si="34"/>
        <v>1</v>
      </c>
      <c r="L720" s="96">
        <f t="shared" si="35"/>
        <v>0</v>
      </c>
      <c r="M720" s="96">
        <f t="shared" si="36"/>
        <v>0</v>
      </c>
    </row>
    <row r="721" spans="1:13" x14ac:dyDescent="0.45">
      <c r="A721">
        <v>3</v>
      </c>
      <c r="B721">
        <v>3</v>
      </c>
      <c r="C721">
        <v>3</v>
      </c>
      <c r="D721">
        <v>2</v>
      </c>
      <c r="E721">
        <v>3</v>
      </c>
      <c r="F721">
        <v>3</v>
      </c>
      <c r="G721">
        <v>21.770580579623083</v>
      </c>
      <c r="H721">
        <v>7.8247970734080021E-6</v>
      </c>
      <c r="I721">
        <v>-0.48399242688450084</v>
      </c>
      <c r="J721">
        <v>-3.7871425254374787E-6</v>
      </c>
      <c r="K721" s="96">
        <f t="shared" si="34"/>
        <v>1</v>
      </c>
      <c r="L721" s="96">
        <f t="shared" si="35"/>
        <v>0</v>
      </c>
      <c r="M721" s="96">
        <f t="shared" si="36"/>
        <v>0</v>
      </c>
    </row>
    <row r="722" spans="1:13" x14ac:dyDescent="0.45">
      <c r="A722">
        <v>3</v>
      </c>
      <c r="B722">
        <v>3</v>
      </c>
      <c r="C722">
        <v>3</v>
      </c>
      <c r="D722">
        <v>3</v>
      </c>
      <c r="E722">
        <v>1</v>
      </c>
      <c r="F722">
        <v>1</v>
      </c>
      <c r="G722">
        <v>18.410492230550002</v>
      </c>
      <c r="H722">
        <v>3.1019731255296003E-5</v>
      </c>
      <c r="I722">
        <v>-0.54135334819165748</v>
      </c>
      <c r="J722">
        <v>-1.6792635375059899E-5</v>
      </c>
      <c r="K722" s="96">
        <f t="shared" si="34"/>
        <v>1</v>
      </c>
      <c r="L722" s="96">
        <f t="shared" si="35"/>
        <v>0</v>
      </c>
      <c r="M722" s="96">
        <f t="shared" si="36"/>
        <v>0</v>
      </c>
    </row>
    <row r="723" spans="1:13" x14ac:dyDescent="0.45">
      <c r="A723">
        <v>3</v>
      </c>
      <c r="B723">
        <v>3</v>
      </c>
      <c r="C723">
        <v>3</v>
      </c>
      <c r="D723">
        <v>3</v>
      </c>
      <c r="E723">
        <v>1</v>
      </c>
      <c r="F723">
        <v>2</v>
      </c>
      <c r="G723">
        <v>20.330542715734623</v>
      </c>
      <c r="H723">
        <v>3.1019731255296003E-5</v>
      </c>
      <c r="I723">
        <v>-0.50779129258451694</v>
      </c>
      <c r="J723">
        <v>-1.5751549429751097E-5</v>
      </c>
      <c r="K723" s="96">
        <f t="shared" si="34"/>
        <v>1</v>
      </c>
      <c r="L723" s="96">
        <f t="shared" si="35"/>
        <v>0</v>
      </c>
      <c r="M723" s="96">
        <f t="shared" si="36"/>
        <v>0</v>
      </c>
    </row>
    <row r="724" spans="1:13" x14ac:dyDescent="0.45">
      <c r="A724">
        <v>3</v>
      </c>
      <c r="B724">
        <v>3</v>
      </c>
      <c r="C724">
        <v>3</v>
      </c>
      <c r="D724">
        <v>3</v>
      </c>
      <c r="E724">
        <v>1</v>
      </c>
      <c r="F724">
        <v>3</v>
      </c>
      <c r="G724">
        <v>21.770580579623083</v>
      </c>
      <c r="H724">
        <v>7.8247970734080021E-6</v>
      </c>
      <c r="I724">
        <v>-0.48399242688450084</v>
      </c>
      <c r="J724">
        <v>-3.7871425254374787E-6</v>
      </c>
      <c r="K724" s="96">
        <f t="shared" si="34"/>
        <v>1</v>
      </c>
      <c r="L724" s="96">
        <f t="shared" si="35"/>
        <v>0</v>
      </c>
      <c r="M724" s="96">
        <f t="shared" si="36"/>
        <v>0</v>
      </c>
    </row>
    <row r="725" spans="1:13" x14ac:dyDescent="0.45">
      <c r="A725">
        <v>3</v>
      </c>
      <c r="B725">
        <v>3</v>
      </c>
      <c r="C725">
        <v>3</v>
      </c>
      <c r="D725">
        <v>3</v>
      </c>
      <c r="E725">
        <v>2</v>
      </c>
      <c r="F725">
        <v>1</v>
      </c>
      <c r="G725">
        <v>18.410492230550002</v>
      </c>
      <c r="H725">
        <v>3.1019731255296003E-5</v>
      </c>
      <c r="I725">
        <v>-0.54135334819165748</v>
      </c>
      <c r="J725">
        <v>-1.6792635375059899E-5</v>
      </c>
      <c r="K725" s="96">
        <f t="shared" si="34"/>
        <v>1</v>
      </c>
      <c r="L725" s="96">
        <f t="shared" si="35"/>
        <v>0</v>
      </c>
      <c r="M725" s="96">
        <f t="shared" si="36"/>
        <v>0</v>
      </c>
    </row>
    <row r="726" spans="1:13" x14ac:dyDescent="0.45">
      <c r="A726">
        <v>3</v>
      </c>
      <c r="B726">
        <v>3</v>
      </c>
      <c r="C726">
        <v>3</v>
      </c>
      <c r="D726">
        <v>3</v>
      </c>
      <c r="E726">
        <v>2</v>
      </c>
      <c r="F726">
        <v>2</v>
      </c>
      <c r="G726">
        <v>20.330542715734623</v>
      </c>
      <c r="H726">
        <v>3.1019731255296003E-5</v>
      </c>
      <c r="I726">
        <v>-0.50779129258451694</v>
      </c>
      <c r="J726">
        <v>-1.5751549429751097E-5</v>
      </c>
      <c r="K726" s="96">
        <f t="shared" si="34"/>
        <v>1</v>
      </c>
      <c r="L726" s="96">
        <f t="shared" si="35"/>
        <v>0</v>
      </c>
      <c r="M726" s="96">
        <f t="shared" si="36"/>
        <v>0</v>
      </c>
    </row>
    <row r="727" spans="1:13" x14ac:dyDescent="0.45">
      <c r="A727">
        <v>3</v>
      </c>
      <c r="B727">
        <v>3</v>
      </c>
      <c r="C727">
        <v>3</v>
      </c>
      <c r="D727">
        <v>3</v>
      </c>
      <c r="E727">
        <v>2</v>
      </c>
      <c r="F727">
        <v>3</v>
      </c>
      <c r="G727">
        <v>21.770580579623083</v>
      </c>
      <c r="H727">
        <v>7.8247970734080021E-6</v>
      </c>
      <c r="I727">
        <v>-0.48399242688450084</v>
      </c>
      <c r="J727">
        <v>-3.7871425254374787E-6</v>
      </c>
      <c r="K727" s="96">
        <f t="shared" si="34"/>
        <v>1</v>
      </c>
      <c r="L727" s="96">
        <f t="shared" si="35"/>
        <v>0</v>
      </c>
      <c r="M727" s="96">
        <f t="shared" si="36"/>
        <v>0</v>
      </c>
    </row>
    <row r="728" spans="1:13" x14ac:dyDescent="0.45">
      <c r="A728">
        <v>3</v>
      </c>
      <c r="B728">
        <v>3</v>
      </c>
      <c r="C728">
        <v>3</v>
      </c>
      <c r="D728">
        <v>3</v>
      </c>
      <c r="E728">
        <v>3</v>
      </c>
      <c r="F728">
        <v>1</v>
      </c>
      <c r="G728">
        <v>18.410492230550002</v>
      </c>
      <c r="H728">
        <v>7.8247970734080004E-6</v>
      </c>
      <c r="I728">
        <v>-0.54135334819165748</v>
      </c>
      <c r="J728">
        <v>-4.2359800946097034E-6</v>
      </c>
      <c r="K728" s="96">
        <f t="shared" si="34"/>
        <v>1</v>
      </c>
      <c r="L728" s="96">
        <f t="shared" si="35"/>
        <v>0</v>
      </c>
      <c r="M728" s="96">
        <f t="shared" si="36"/>
        <v>0</v>
      </c>
    </row>
    <row r="729" spans="1:13" x14ac:dyDescent="0.45">
      <c r="A729">
        <v>3</v>
      </c>
      <c r="B729">
        <v>3</v>
      </c>
      <c r="C729">
        <v>3</v>
      </c>
      <c r="D729">
        <v>3</v>
      </c>
      <c r="E729">
        <v>3</v>
      </c>
      <c r="F729">
        <v>2</v>
      </c>
      <c r="G729">
        <v>20.330542715734623</v>
      </c>
      <c r="H729">
        <v>7.8247970734080004E-6</v>
      </c>
      <c r="I729">
        <v>-0.50779129258451694</v>
      </c>
      <c r="J729">
        <v>-3.9733638201173941E-6</v>
      </c>
      <c r="K729" s="96">
        <f t="shared" si="34"/>
        <v>1</v>
      </c>
      <c r="L729" s="96">
        <f t="shared" si="35"/>
        <v>0</v>
      </c>
      <c r="M729" s="96">
        <f t="shared" si="36"/>
        <v>0</v>
      </c>
    </row>
    <row r="730" spans="1:13" x14ac:dyDescent="0.45">
      <c r="A730">
        <v>3</v>
      </c>
      <c r="B730">
        <v>3</v>
      </c>
      <c r="C730">
        <v>3</v>
      </c>
      <c r="D730">
        <v>3</v>
      </c>
      <c r="E730">
        <v>3</v>
      </c>
      <c r="F730">
        <v>3</v>
      </c>
      <c r="G730">
        <v>21.770580579623083</v>
      </c>
      <c r="H730">
        <v>1.9738226851840002E-6</v>
      </c>
      <c r="I730">
        <v>-0.48399242688450084</v>
      </c>
      <c r="J730">
        <v>-9.553152316418863E-7</v>
      </c>
      <c r="K730" s="96">
        <f t="shared" si="34"/>
        <v>1</v>
      </c>
      <c r="L730" s="96">
        <f t="shared" si="35"/>
        <v>0</v>
      </c>
      <c r="M730" s="96">
        <f t="shared" si="36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9"/>
  <sheetViews>
    <sheetView workbookViewId="0">
      <selection activeCell="B4" sqref="B4"/>
    </sheetView>
  </sheetViews>
  <sheetFormatPr defaultRowHeight="14.25" x14ac:dyDescent="0.45"/>
  <cols>
    <col min="1" max="1" width="21.1328125" customWidth="1"/>
    <col min="2" max="3" width="6" customWidth="1"/>
    <col min="4" max="4" width="6.73046875" customWidth="1"/>
    <col min="5" max="5" width="10" customWidth="1"/>
    <col min="8" max="8" width="22" customWidth="1"/>
    <col min="9" max="10" width="6" customWidth="1"/>
    <col min="11" max="11" width="6.73046875" customWidth="1"/>
    <col min="12" max="12" width="9" customWidth="1"/>
  </cols>
  <sheetData>
    <row r="1" spans="1:23" x14ac:dyDescent="0.45">
      <c r="A1" s="144" t="s">
        <v>109</v>
      </c>
      <c r="B1" s="144"/>
      <c r="H1" s="144" t="s">
        <v>108</v>
      </c>
      <c r="I1" s="144"/>
      <c r="P1" t="s">
        <v>84</v>
      </c>
      <c r="Q1" s="106">
        <f>[1]Sheet1!H75</f>
        <v>3.0691386138661052</v>
      </c>
      <c r="V1" t="s">
        <v>107</v>
      </c>
      <c r="W1">
        <v>4</v>
      </c>
    </row>
    <row r="2" spans="1:23" x14ac:dyDescent="0.45">
      <c r="P2" s="41" t="s">
        <v>39</v>
      </c>
      <c r="Q2" s="6"/>
      <c r="R2" s="6"/>
      <c r="S2" s="6"/>
      <c r="T2" s="6"/>
      <c r="U2" s="6"/>
      <c r="V2" s="42" t="s">
        <v>23</v>
      </c>
      <c r="W2" s="43">
        <v>1</v>
      </c>
    </row>
    <row r="3" spans="1:23" x14ac:dyDescent="0.45">
      <c r="B3" t="s">
        <v>35</v>
      </c>
      <c r="C3" t="s">
        <v>37</v>
      </c>
      <c r="D3" t="s">
        <v>104</v>
      </c>
      <c r="E3" t="s">
        <v>103</v>
      </c>
      <c r="F3" t="s">
        <v>102</v>
      </c>
      <c r="I3" t="s">
        <v>35</v>
      </c>
      <c r="J3" t="s">
        <v>37</v>
      </c>
      <c r="K3" t="s">
        <v>104</v>
      </c>
      <c r="L3" t="s">
        <v>103</v>
      </c>
      <c r="M3" t="s">
        <v>102</v>
      </c>
      <c r="P3" s="41" t="s">
        <v>41</v>
      </c>
      <c r="Q3" s="6"/>
      <c r="R3" s="6"/>
      <c r="S3" s="6"/>
      <c r="T3" s="6"/>
      <c r="U3" s="6"/>
      <c r="V3" s="42" t="s">
        <v>42</v>
      </c>
      <c r="W3" s="43">
        <v>2</v>
      </c>
    </row>
    <row r="4" spans="1:23" x14ac:dyDescent="0.45">
      <c r="A4" t="s">
        <v>101</v>
      </c>
      <c r="B4" t="s">
        <v>130</v>
      </c>
      <c r="C4">
        <v>22.47</v>
      </c>
      <c r="D4" t="e">
        <f t="shared" ref="D4:D9" si="0">C4-B4</f>
        <v>#VALUE!</v>
      </c>
      <c r="E4" t="e">
        <f t="shared" ref="E4:E9" si="1">D4^2</f>
        <v>#VALUE!</v>
      </c>
      <c r="F4" t="e">
        <f t="shared" ref="F4:F9" si="2">E4/SUM($E$4:$E$9)</f>
        <v>#VALUE!</v>
      </c>
      <c r="H4" t="s">
        <v>101</v>
      </c>
      <c r="I4">
        <v>2.38</v>
      </c>
      <c r="J4">
        <v>19.03</v>
      </c>
      <c r="K4">
        <f t="shared" ref="K4:K9" si="3">J4-I4</f>
        <v>16.650000000000002</v>
      </c>
      <c r="L4">
        <f t="shared" ref="L4:L9" si="4">K4^2</f>
        <v>277.22250000000008</v>
      </c>
      <c r="M4">
        <f t="shared" ref="M4:M9" si="5">L4/SUM($L$4:$L$9)</f>
        <v>0.50487496252900699</v>
      </c>
      <c r="P4" s="41" t="s">
        <v>44</v>
      </c>
      <c r="Q4" s="6"/>
      <c r="R4" s="6"/>
      <c r="S4" s="6"/>
      <c r="T4" s="6"/>
      <c r="U4" s="6"/>
      <c r="V4" s="42" t="s">
        <v>45</v>
      </c>
      <c r="W4" s="43">
        <v>2</v>
      </c>
    </row>
    <row r="5" spans="1:23" x14ac:dyDescent="0.45">
      <c r="A5" t="s">
        <v>100</v>
      </c>
      <c r="B5">
        <v>7.43</v>
      </c>
      <c r="C5">
        <v>14.04</v>
      </c>
      <c r="D5">
        <f t="shared" si="0"/>
        <v>6.6099999999999994</v>
      </c>
      <c r="E5">
        <f t="shared" si="1"/>
        <v>43.692099999999989</v>
      </c>
      <c r="F5" t="e">
        <f t="shared" si="2"/>
        <v>#VALUE!</v>
      </c>
      <c r="H5" t="s">
        <v>100</v>
      </c>
      <c r="I5">
        <v>4.76</v>
      </c>
      <c r="J5">
        <v>19.100000000000001</v>
      </c>
      <c r="K5">
        <f t="shared" si="3"/>
        <v>14.340000000000002</v>
      </c>
      <c r="L5">
        <f t="shared" si="4"/>
        <v>205.63560000000004</v>
      </c>
      <c r="M5">
        <f t="shared" si="5"/>
        <v>0.37450158571050279</v>
      </c>
      <c r="P5" s="24" t="s">
        <v>47</v>
      </c>
      <c r="Q5" s="6"/>
      <c r="R5" s="6"/>
      <c r="S5" s="6"/>
      <c r="T5" s="6"/>
      <c r="U5" s="6"/>
      <c r="V5" s="42" t="s">
        <v>30</v>
      </c>
      <c r="W5" s="43">
        <v>2</v>
      </c>
    </row>
    <row r="6" spans="1:23" x14ac:dyDescent="0.45">
      <c r="A6" t="s">
        <v>99</v>
      </c>
      <c r="B6">
        <v>16.850000000000001</v>
      </c>
      <c r="C6">
        <v>11.23</v>
      </c>
      <c r="D6">
        <f t="shared" si="0"/>
        <v>-5.620000000000001</v>
      </c>
      <c r="E6">
        <f t="shared" si="1"/>
        <v>31.584400000000013</v>
      </c>
      <c r="F6" t="e">
        <f t="shared" si="2"/>
        <v>#VALUE!</v>
      </c>
      <c r="H6" t="s">
        <v>99</v>
      </c>
      <c r="I6">
        <v>14.28</v>
      </c>
      <c r="J6">
        <v>9.52</v>
      </c>
      <c r="K6">
        <f t="shared" si="3"/>
        <v>-4.76</v>
      </c>
      <c r="L6">
        <f t="shared" si="4"/>
        <v>22.657599999999999</v>
      </c>
      <c r="M6">
        <f t="shared" si="5"/>
        <v>4.1263804168122087E-2</v>
      </c>
      <c r="P6" s="24" t="s">
        <v>49</v>
      </c>
      <c r="Q6" s="6"/>
      <c r="R6" s="6"/>
      <c r="S6" s="6"/>
      <c r="T6" s="6"/>
      <c r="U6" s="6"/>
      <c r="V6" s="42" t="s">
        <v>50</v>
      </c>
      <c r="W6" s="43">
        <v>2</v>
      </c>
    </row>
    <row r="7" spans="1:23" x14ac:dyDescent="0.45">
      <c r="A7" t="s">
        <v>98</v>
      </c>
      <c r="B7">
        <v>11.63</v>
      </c>
      <c r="C7">
        <v>14.04</v>
      </c>
      <c r="D7">
        <f t="shared" si="0"/>
        <v>2.4099999999999984</v>
      </c>
      <c r="E7">
        <f t="shared" si="1"/>
        <v>5.8080999999999925</v>
      </c>
      <c r="F7" t="e">
        <f t="shared" si="2"/>
        <v>#VALUE!</v>
      </c>
      <c r="H7" t="s">
        <v>98</v>
      </c>
      <c r="I7">
        <v>7.44</v>
      </c>
      <c r="J7">
        <v>12.9</v>
      </c>
      <c r="K7">
        <f t="shared" si="3"/>
        <v>5.46</v>
      </c>
      <c r="L7">
        <f t="shared" si="4"/>
        <v>29.811599999999999</v>
      </c>
      <c r="M7">
        <f t="shared" si="5"/>
        <v>5.4292600466880364E-2</v>
      </c>
      <c r="P7" s="24" t="s">
        <v>52</v>
      </c>
      <c r="Q7" s="6"/>
      <c r="R7" s="6"/>
      <c r="S7" s="6"/>
      <c r="T7" s="6"/>
      <c r="U7" s="6"/>
      <c r="V7" s="42" t="s">
        <v>50</v>
      </c>
      <c r="W7" s="43">
        <v>2</v>
      </c>
    </row>
    <row r="8" spans="1:23" x14ac:dyDescent="0.45">
      <c r="A8" t="s">
        <v>97</v>
      </c>
      <c r="B8">
        <v>14.04</v>
      </c>
      <c r="C8">
        <v>14.04</v>
      </c>
      <c r="D8">
        <f t="shared" si="0"/>
        <v>0</v>
      </c>
      <c r="E8">
        <f t="shared" si="1"/>
        <v>0</v>
      </c>
      <c r="F8" t="e">
        <f t="shared" si="2"/>
        <v>#VALUE!</v>
      </c>
      <c r="H8" t="s">
        <v>97</v>
      </c>
      <c r="I8">
        <v>11.9</v>
      </c>
      <c r="J8">
        <v>11.9</v>
      </c>
      <c r="K8">
        <f t="shared" si="3"/>
        <v>0</v>
      </c>
      <c r="L8">
        <f t="shared" si="4"/>
        <v>0</v>
      </c>
      <c r="M8">
        <f t="shared" si="5"/>
        <v>0</v>
      </c>
    </row>
    <row r="9" spans="1:23" x14ac:dyDescent="0.45">
      <c r="A9" t="s">
        <v>96</v>
      </c>
      <c r="B9">
        <v>14.04</v>
      </c>
      <c r="C9">
        <v>14.04</v>
      </c>
      <c r="D9">
        <f t="shared" si="0"/>
        <v>0</v>
      </c>
      <c r="E9">
        <f t="shared" si="1"/>
        <v>0</v>
      </c>
      <c r="F9" t="e">
        <f t="shared" si="2"/>
        <v>#VALUE!</v>
      </c>
      <c r="H9" t="s">
        <v>96</v>
      </c>
      <c r="I9">
        <v>9.67</v>
      </c>
      <c r="J9">
        <v>13.38</v>
      </c>
      <c r="K9">
        <f t="shared" si="3"/>
        <v>3.7100000000000009</v>
      </c>
      <c r="L9">
        <f t="shared" si="4"/>
        <v>13.764100000000006</v>
      </c>
      <c r="M9">
        <f t="shared" si="5"/>
        <v>2.5067047125487674E-2</v>
      </c>
      <c r="P9" s="2" t="s">
        <v>6</v>
      </c>
      <c r="Q9" s="2"/>
    </row>
    <row r="10" spans="1:23" x14ac:dyDescent="0.45">
      <c r="P10" s="2">
        <v>1</v>
      </c>
      <c r="Q10" s="15" t="s">
        <v>7</v>
      </c>
    </row>
    <row r="11" spans="1:23" x14ac:dyDescent="0.45">
      <c r="P11" s="2">
        <v>2</v>
      </c>
      <c r="Q11" s="15" t="s">
        <v>8</v>
      </c>
    </row>
    <row r="12" spans="1:23" x14ac:dyDescent="0.45">
      <c r="P12" s="2">
        <v>3</v>
      </c>
      <c r="Q12" s="15" t="s">
        <v>9</v>
      </c>
    </row>
    <row r="13" spans="1:23" x14ac:dyDescent="0.45">
      <c r="P13" s="2">
        <v>4</v>
      </c>
      <c r="Q13" s="15" t="s">
        <v>10</v>
      </c>
    </row>
    <row r="21" spans="1:13" x14ac:dyDescent="0.45">
      <c r="A21" s="144" t="s">
        <v>106</v>
      </c>
      <c r="B21" s="144"/>
      <c r="H21" s="144" t="s">
        <v>105</v>
      </c>
      <c r="I21" s="144"/>
    </row>
    <row r="23" spans="1:13" x14ac:dyDescent="0.45">
      <c r="B23" t="s">
        <v>35</v>
      </c>
      <c r="C23" t="s">
        <v>37</v>
      </c>
      <c r="D23" t="s">
        <v>104</v>
      </c>
      <c r="E23" t="s">
        <v>103</v>
      </c>
      <c r="F23" t="s">
        <v>102</v>
      </c>
      <c r="I23" t="s">
        <v>35</v>
      </c>
      <c r="J23" t="s">
        <v>37</v>
      </c>
      <c r="K23" t="s">
        <v>104</v>
      </c>
      <c r="L23" t="s">
        <v>103</v>
      </c>
      <c r="M23" t="s">
        <v>102</v>
      </c>
    </row>
    <row r="24" spans="1:13" x14ac:dyDescent="0.45">
      <c r="A24" t="s">
        <v>101</v>
      </c>
      <c r="B24">
        <v>-8.5</v>
      </c>
      <c r="C24">
        <v>20.37</v>
      </c>
      <c r="D24">
        <f t="shared" ref="D24:D29" si="6">C24-B24</f>
        <v>28.87</v>
      </c>
      <c r="E24">
        <f t="shared" ref="E24:E29" si="7">D24^2</f>
        <v>833.47690000000011</v>
      </c>
      <c r="F24">
        <f t="shared" ref="F24:F29" si="8">E24/SUM($E$24:$E$29)</f>
        <v>0.39646763471508789</v>
      </c>
      <c r="H24" t="s">
        <v>101</v>
      </c>
      <c r="I24">
        <v>6.96</v>
      </c>
      <c r="J24">
        <v>8.2100000000000009</v>
      </c>
      <c r="K24">
        <f t="shared" ref="K24:K29" si="9">J24-I24</f>
        <v>1.2500000000000009</v>
      </c>
      <c r="L24">
        <f t="shared" ref="L24:L29" si="10">K24^2</f>
        <v>1.5625000000000022</v>
      </c>
      <c r="M24" t="e">
        <f t="shared" ref="M24:M29" si="11">L24/SUM($E$4:$E$9)</f>
        <v>#VALUE!</v>
      </c>
    </row>
    <row r="25" spans="1:13" x14ac:dyDescent="0.45">
      <c r="A25" t="s">
        <v>100</v>
      </c>
      <c r="B25">
        <v>-3.04</v>
      </c>
      <c r="C25">
        <v>30.51</v>
      </c>
      <c r="D25">
        <f t="shared" si="6"/>
        <v>33.550000000000004</v>
      </c>
      <c r="E25">
        <f t="shared" si="7"/>
        <v>1125.6025000000002</v>
      </c>
      <c r="F25">
        <f t="shared" si="8"/>
        <v>0.53542570982397919</v>
      </c>
      <c r="H25" t="s">
        <v>100</v>
      </c>
      <c r="I25">
        <v>3.07</v>
      </c>
      <c r="J25">
        <v>16.88</v>
      </c>
      <c r="K25">
        <f t="shared" si="9"/>
        <v>13.809999999999999</v>
      </c>
      <c r="L25">
        <f t="shared" si="10"/>
        <v>190.71609999999995</v>
      </c>
      <c r="M25" t="e">
        <f t="shared" si="11"/>
        <v>#VALUE!</v>
      </c>
    </row>
    <row r="26" spans="1:13" x14ac:dyDescent="0.45">
      <c r="A26" t="s">
        <v>99</v>
      </c>
      <c r="B26">
        <v>12.78</v>
      </c>
      <c r="C26">
        <v>5.0599999999999996</v>
      </c>
      <c r="D26">
        <f t="shared" si="6"/>
        <v>-7.72</v>
      </c>
      <c r="E26">
        <f t="shared" si="7"/>
        <v>59.598399999999998</v>
      </c>
      <c r="F26">
        <f t="shared" si="8"/>
        <v>2.8349719927215369E-2</v>
      </c>
      <c r="H26" t="s">
        <v>99</v>
      </c>
      <c r="I26">
        <v>7.67</v>
      </c>
      <c r="J26">
        <v>7.67</v>
      </c>
      <c r="K26">
        <f t="shared" si="9"/>
        <v>0</v>
      </c>
      <c r="L26">
        <f t="shared" si="10"/>
        <v>0</v>
      </c>
      <c r="M26" t="e">
        <f t="shared" si="11"/>
        <v>#VALUE!</v>
      </c>
    </row>
    <row r="27" spans="1:13" x14ac:dyDescent="0.45">
      <c r="A27" t="s">
        <v>98</v>
      </c>
      <c r="B27">
        <v>1.9</v>
      </c>
      <c r="C27">
        <v>10.58</v>
      </c>
      <c r="D27">
        <f t="shared" si="6"/>
        <v>8.68</v>
      </c>
      <c r="E27">
        <f t="shared" si="7"/>
        <v>75.342399999999998</v>
      </c>
      <c r="F27">
        <f t="shared" si="8"/>
        <v>3.5838813435331004E-2</v>
      </c>
      <c r="H27" t="s">
        <v>98</v>
      </c>
      <c r="I27">
        <v>4.8</v>
      </c>
      <c r="J27">
        <v>8.34</v>
      </c>
      <c r="K27">
        <f t="shared" si="9"/>
        <v>3.54</v>
      </c>
      <c r="L27">
        <f t="shared" si="10"/>
        <v>12.531600000000001</v>
      </c>
      <c r="M27" t="e">
        <f t="shared" si="11"/>
        <v>#VALUE!</v>
      </c>
    </row>
    <row r="28" spans="1:13" x14ac:dyDescent="0.45">
      <c r="A28" t="s">
        <v>97</v>
      </c>
      <c r="B28">
        <v>10.01</v>
      </c>
      <c r="C28">
        <v>7.14</v>
      </c>
      <c r="D28">
        <f t="shared" si="6"/>
        <v>-2.87</v>
      </c>
      <c r="E28">
        <f t="shared" si="7"/>
        <v>8.2369000000000003</v>
      </c>
      <c r="F28">
        <f t="shared" si="8"/>
        <v>3.9181220983865389E-3</v>
      </c>
      <c r="H28" t="s">
        <v>97</v>
      </c>
      <c r="I28">
        <v>7.67</v>
      </c>
      <c r="J28">
        <v>7.67</v>
      </c>
      <c r="K28">
        <f t="shared" si="9"/>
        <v>0</v>
      </c>
      <c r="L28">
        <f t="shared" si="10"/>
        <v>0</v>
      </c>
      <c r="M28" t="e">
        <f t="shared" si="11"/>
        <v>#VALUE!</v>
      </c>
    </row>
    <row r="29" spans="1:13" x14ac:dyDescent="0.45">
      <c r="A29" t="s">
        <v>96</v>
      </c>
      <c r="B29">
        <v>8.9499999999999993</v>
      </c>
      <c r="C29">
        <v>8.9499999999999993</v>
      </c>
      <c r="D29">
        <f t="shared" si="6"/>
        <v>0</v>
      </c>
      <c r="E29">
        <f t="shared" si="7"/>
        <v>0</v>
      </c>
      <c r="F29">
        <f t="shared" si="8"/>
        <v>0</v>
      </c>
      <c r="H29" t="s">
        <v>96</v>
      </c>
      <c r="I29">
        <v>6.23</v>
      </c>
      <c r="J29">
        <v>8.6300000000000008</v>
      </c>
      <c r="K29">
        <f t="shared" si="9"/>
        <v>2.4000000000000004</v>
      </c>
      <c r="L29">
        <f t="shared" si="10"/>
        <v>5.7600000000000016</v>
      </c>
      <c r="M29" t="e">
        <f t="shared" si="11"/>
        <v>#VALUE!</v>
      </c>
    </row>
  </sheetData>
  <mergeCells count="4">
    <mergeCell ref="A1:B1"/>
    <mergeCell ref="A21:B21"/>
    <mergeCell ref="H1:I1"/>
    <mergeCell ref="H21:I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9"/>
  <sheetViews>
    <sheetView workbookViewId="0">
      <selection activeCell="I32" sqref="I32"/>
    </sheetView>
  </sheetViews>
  <sheetFormatPr defaultRowHeight="14.25" x14ac:dyDescent="0.45"/>
  <cols>
    <col min="1" max="1" width="26.3984375" customWidth="1"/>
    <col min="9" max="9" width="22" customWidth="1"/>
    <col min="15" max="15" width="22" customWidth="1"/>
    <col min="21" max="21" width="22" customWidth="1"/>
    <col min="22" max="22" width="12" customWidth="1"/>
  </cols>
  <sheetData>
    <row r="1" spans="1:24" x14ac:dyDescent="0.45">
      <c r="A1" t="s">
        <v>115</v>
      </c>
      <c r="B1">
        <v>14.040845327284968</v>
      </c>
      <c r="I1" t="s">
        <v>114</v>
      </c>
      <c r="J1">
        <v>8.9463754450642696</v>
      </c>
      <c r="O1" s="108" t="s">
        <v>113</v>
      </c>
      <c r="P1" s="108">
        <v>11.895886100256199</v>
      </c>
      <c r="U1" t="s">
        <v>112</v>
      </c>
      <c r="V1">
        <v>7.6728465346652532</v>
      </c>
    </row>
    <row r="2" spans="1:24" x14ac:dyDescent="0.45">
      <c r="A2" s="107"/>
      <c r="B2" s="107"/>
      <c r="C2" s="107"/>
      <c r="D2" s="107"/>
    </row>
    <row r="3" spans="1:24" x14ac:dyDescent="0.45">
      <c r="A3" s="107" t="s">
        <v>111</v>
      </c>
      <c r="B3" s="107" t="s">
        <v>35</v>
      </c>
      <c r="C3" s="107" t="s">
        <v>37</v>
      </c>
      <c r="D3" s="107" t="s">
        <v>110</v>
      </c>
      <c r="I3" s="107" t="s">
        <v>111</v>
      </c>
      <c r="J3" s="107" t="s">
        <v>35</v>
      </c>
      <c r="K3" s="107" t="s">
        <v>37</v>
      </c>
      <c r="L3" s="107" t="s">
        <v>110</v>
      </c>
      <c r="O3" s="107" t="s">
        <v>111</v>
      </c>
      <c r="P3" s="107" t="s">
        <v>35</v>
      </c>
      <c r="Q3" s="107" t="s">
        <v>37</v>
      </c>
      <c r="R3" s="107" t="s">
        <v>110</v>
      </c>
      <c r="U3" s="107" t="s">
        <v>111</v>
      </c>
      <c r="V3" s="107" t="s">
        <v>35</v>
      </c>
      <c r="W3" s="107" t="s">
        <v>37</v>
      </c>
      <c r="X3" s="107" t="s">
        <v>110</v>
      </c>
    </row>
    <row r="4" spans="1:24" x14ac:dyDescent="0.45">
      <c r="A4" t="s">
        <v>97</v>
      </c>
      <c r="B4">
        <v>14.04</v>
      </c>
      <c r="C4">
        <v>14.04</v>
      </c>
      <c r="D4">
        <v>0</v>
      </c>
      <c r="I4" t="s">
        <v>96</v>
      </c>
      <c r="J4">
        <v>8.9499999999999993</v>
      </c>
      <c r="K4">
        <v>8.9499999999999993</v>
      </c>
      <c r="L4">
        <v>0</v>
      </c>
      <c r="O4" t="s">
        <v>97</v>
      </c>
      <c r="P4">
        <v>11.9</v>
      </c>
      <c r="Q4">
        <v>11.9</v>
      </c>
      <c r="R4">
        <v>0</v>
      </c>
      <c r="U4" t="s">
        <v>99</v>
      </c>
      <c r="V4">
        <v>7.67</v>
      </c>
      <c r="W4">
        <v>7.67</v>
      </c>
      <c r="X4">
        <v>0</v>
      </c>
    </row>
    <row r="5" spans="1:24" x14ac:dyDescent="0.45">
      <c r="A5" t="s">
        <v>96</v>
      </c>
      <c r="B5">
        <v>14.04</v>
      </c>
      <c r="C5">
        <v>14.04</v>
      </c>
      <c r="D5">
        <v>0</v>
      </c>
      <c r="I5" t="s">
        <v>97</v>
      </c>
      <c r="J5">
        <v>10.01</v>
      </c>
      <c r="K5">
        <v>7.14</v>
      </c>
      <c r="L5">
        <v>3.9181220983865389E-3</v>
      </c>
      <c r="O5" t="s">
        <v>96</v>
      </c>
      <c r="P5">
        <v>9.67</v>
      </c>
      <c r="Q5">
        <v>13.38</v>
      </c>
      <c r="R5">
        <v>2.5067047125487674E-2</v>
      </c>
      <c r="U5" t="s">
        <v>97</v>
      </c>
      <c r="V5">
        <v>7.67</v>
      </c>
      <c r="W5">
        <v>7.67</v>
      </c>
      <c r="X5">
        <v>0</v>
      </c>
    </row>
    <row r="6" spans="1:24" x14ac:dyDescent="0.45">
      <c r="A6" t="s">
        <v>98</v>
      </c>
      <c r="B6">
        <v>11.63</v>
      </c>
      <c r="C6">
        <v>14.04</v>
      </c>
      <c r="D6">
        <v>1.2421081085936219E-2</v>
      </c>
      <c r="I6" t="s">
        <v>99</v>
      </c>
      <c r="J6">
        <v>12.78</v>
      </c>
      <c r="K6">
        <v>5.0599999999999996</v>
      </c>
      <c r="L6">
        <v>2.8349719927215369E-2</v>
      </c>
      <c r="O6" t="s">
        <v>99</v>
      </c>
      <c r="P6">
        <v>14.28</v>
      </c>
      <c r="Q6">
        <v>9.52</v>
      </c>
      <c r="R6">
        <v>4.1263804168122087E-2</v>
      </c>
      <c r="U6" t="s">
        <v>101</v>
      </c>
      <c r="V6">
        <v>6.96</v>
      </c>
      <c r="W6">
        <v>8.2100000000000009</v>
      </c>
      <c r="X6">
        <v>3.341529794042009E-3</v>
      </c>
    </row>
    <row r="7" spans="1:24" x14ac:dyDescent="0.45">
      <c r="A7" t="s">
        <v>99</v>
      </c>
      <c r="B7">
        <v>16.850000000000001</v>
      </c>
      <c r="C7">
        <v>11.23</v>
      </c>
      <c r="D7">
        <v>6.7545736721241811E-2</v>
      </c>
      <c r="I7" t="s">
        <v>98</v>
      </c>
      <c r="J7">
        <v>1.9</v>
      </c>
      <c r="K7">
        <v>10.58</v>
      </c>
      <c r="L7">
        <v>3.5838813435331004E-2</v>
      </c>
      <c r="O7" t="s">
        <v>98</v>
      </c>
      <c r="P7">
        <v>7.44</v>
      </c>
      <c r="Q7">
        <v>12.9</v>
      </c>
      <c r="R7">
        <v>5.4292600466880364E-2</v>
      </c>
      <c r="U7" t="s">
        <v>96</v>
      </c>
      <c r="V7">
        <v>6.23</v>
      </c>
      <c r="W7">
        <v>8.6300000000000008</v>
      </c>
      <c r="X7">
        <v>1.2318215432756449E-2</v>
      </c>
    </row>
    <row r="8" spans="1:24" x14ac:dyDescent="0.45">
      <c r="A8" t="s">
        <v>100</v>
      </c>
      <c r="B8">
        <v>7.43</v>
      </c>
      <c r="C8">
        <v>14.04</v>
      </c>
      <c r="D8">
        <v>9.3439010505128081E-2</v>
      </c>
      <c r="I8" t="s">
        <v>101</v>
      </c>
      <c r="J8">
        <v>-8.5</v>
      </c>
      <c r="K8">
        <v>20.37</v>
      </c>
      <c r="L8">
        <v>0.39646763471508789</v>
      </c>
      <c r="O8" t="s">
        <v>100</v>
      </c>
      <c r="P8">
        <v>4.76</v>
      </c>
      <c r="Q8">
        <v>19.100000000000001</v>
      </c>
      <c r="R8">
        <v>0.37450158571050279</v>
      </c>
      <c r="U8" t="s">
        <v>98</v>
      </c>
      <c r="V8">
        <v>4.8</v>
      </c>
      <c r="W8">
        <v>8.34</v>
      </c>
      <c r="X8">
        <v>2.6799817450890741E-2</v>
      </c>
    </row>
    <row r="9" spans="1:24" x14ac:dyDescent="0.45">
      <c r="A9" t="s">
        <v>101</v>
      </c>
      <c r="B9">
        <v>2.81</v>
      </c>
      <c r="C9">
        <v>22.47</v>
      </c>
      <c r="D9">
        <v>0.826594171687694</v>
      </c>
      <c r="I9" t="s">
        <v>100</v>
      </c>
      <c r="J9">
        <v>-3.04</v>
      </c>
      <c r="K9">
        <v>30.51</v>
      </c>
      <c r="L9">
        <v>0.53542570982397919</v>
      </c>
      <c r="O9" t="s">
        <v>101</v>
      </c>
      <c r="P9">
        <v>2.38</v>
      </c>
      <c r="Q9">
        <v>19.03</v>
      </c>
      <c r="R9">
        <v>0.50487496252900699</v>
      </c>
      <c r="U9" t="s">
        <v>100</v>
      </c>
      <c r="V9">
        <v>3.07</v>
      </c>
      <c r="W9">
        <v>16.88</v>
      </c>
      <c r="X9">
        <v>0.40786145942623625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"/>
  <sheetViews>
    <sheetView workbookViewId="0">
      <selection activeCell="F13" sqref="F13"/>
    </sheetView>
  </sheetViews>
  <sheetFormatPr defaultRowHeight="14.25" x14ac:dyDescent="0.45"/>
  <sheetData>
    <row r="1" spans="1:12" x14ac:dyDescent="0.45">
      <c r="B1" t="s">
        <v>121</v>
      </c>
      <c r="C1" t="s">
        <v>120</v>
      </c>
      <c r="D1" t="s">
        <v>35</v>
      </c>
      <c r="E1" t="s">
        <v>119</v>
      </c>
      <c r="G1" s="144" t="s">
        <v>83</v>
      </c>
      <c r="H1" s="144"/>
      <c r="I1" s="144"/>
      <c r="J1" s="144"/>
      <c r="K1" s="144"/>
      <c r="L1" s="144"/>
    </row>
    <row r="2" spans="1:12" x14ac:dyDescent="0.45">
      <c r="A2" t="s">
        <v>118</v>
      </c>
      <c r="B2">
        <v>14.04</v>
      </c>
      <c r="C2">
        <v>19.66</v>
      </c>
      <c r="D2">
        <v>1.86</v>
      </c>
      <c r="E2">
        <v>14.04</v>
      </c>
      <c r="I2" t="s">
        <v>79</v>
      </c>
      <c r="J2" t="s">
        <v>80</v>
      </c>
      <c r="K2" t="s">
        <v>81</v>
      </c>
      <c r="L2" t="s">
        <v>82</v>
      </c>
    </row>
    <row r="3" spans="1:12" x14ac:dyDescent="0.45">
      <c r="A3" t="s">
        <v>117</v>
      </c>
      <c r="B3">
        <v>8.9499999999999993</v>
      </c>
      <c r="C3">
        <v>46.69</v>
      </c>
      <c r="D3">
        <v>-10</v>
      </c>
      <c r="E3">
        <v>8.9499999999999993</v>
      </c>
      <c r="G3" t="s">
        <v>93</v>
      </c>
      <c r="I3">
        <v>11.357047462671101</v>
      </c>
      <c r="J3">
        <v>7.8869277911037461</v>
      </c>
      <c r="K3">
        <v>10.497902148367951</v>
      </c>
      <c r="L3">
        <v>8.0151921863284343</v>
      </c>
    </row>
    <row r="4" spans="1:12" x14ac:dyDescent="0.45">
      <c r="A4" t="s">
        <v>116</v>
      </c>
      <c r="B4">
        <v>11.9</v>
      </c>
      <c r="C4">
        <v>26.73</v>
      </c>
      <c r="D4">
        <v>0.97</v>
      </c>
      <c r="E4">
        <v>11.9</v>
      </c>
      <c r="G4" t="s">
        <v>92</v>
      </c>
      <c r="I4">
        <v>10.545158200350798</v>
      </c>
      <c r="J4">
        <v>3.8440140967086935</v>
      </c>
      <c r="K4">
        <v>9.4896107545675843</v>
      </c>
      <c r="L4">
        <v>7.615184434899497</v>
      </c>
    </row>
    <row r="5" spans="1:12" x14ac:dyDescent="0.45">
      <c r="A5" t="s">
        <v>112</v>
      </c>
      <c r="B5">
        <v>7.67</v>
      </c>
      <c r="C5">
        <v>22.08</v>
      </c>
      <c r="D5">
        <v>1.42</v>
      </c>
      <c r="E5">
        <v>7.67</v>
      </c>
      <c r="G5" t="s">
        <v>86</v>
      </c>
      <c r="I5">
        <v>-0.70362813947826464</v>
      </c>
      <c r="J5">
        <v>-0.87973565980198798</v>
      </c>
      <c r="K5">
        <v>-0.72882592719379613</v>
      </c>
      <c r="L5">
        <v>-0.77581632518605281</v>
      </c>
    </row>
  </sheetData>
  <mergeCells count="1">
    <mergeCell ref="G1:L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40" zoomScaleNormal="40" workbookViewId="0">
      <selection activeCell="Q29" sqref="Q29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730"/>
  <sheetViews>
    <sheetView topLeftCell="E1" workbookViewId="0">
      <selection activeCell="Q23" sqref="Q23"/>
    </sheetView>
  </sheetViews>
  <sheetFormatPr defaultRowHeight="14.25" x14ac:dyDescent="0.45"/>
  <cols>
    <col min="1" max="1" width="14.33203125" customWidth="1"/>
    <col min="2" max="2" width="11.73046875" customWidth="1"/>
  </cols>
  <sheetData>
    <row r="1" spans="1:11" x14ac:dyDescent="0.45">
      <c r="A1" t="s">
        <v>84</v>
      </c>
      <c r="B1" t="s">
        <v>76</v>
      </c>
      <c r="D1" t="s">
        <v>84</v>
      </c>
      <c r="E1" t="s">
        <v>76</v>
      </c>
      <c r="G1" t="s">
        <v>84</v>
      </c>
      <c r="H1" t="s">
        <v>76</v>
      </c>
      <c r="J1" t="s">
        <v>84</v>
      </c>
      <c r="K1" t="s">
        <v>83</v>
      </c>
    </row>
    <row r="2" spans="1:11" x14ac:dyDescent="0.45">
      <c r="A2">
        <v>0</v>
      </c>
      <c r="B2">
        <v>2.44140625E-4</v>
      </c>
      <c r="D2">
        <v>-17</v>
      </c>
      <c r="E2">
        <v>2.44140625E-4</v>
      </c>
      <c r="G2">
        <v>0</v>
      </c>
      <c r="H2">
        <v>2.44140625E-4</v>
      </c>
      <c r="J2">
        <v>1.4154049494841852</v>
      </c>
      <c r="K2">
        <v>2.44140625E-4</v>
      </c>
    </row>
    <row r="3" spans="1:11" x14ac:dyDescent="0.45">
      <c r="A3">
        <v>0</v>
      </c>
      <c r="B3">
        <v>7.32421875E-4</v>
      </c>
      <c r="D3">
        <v>-17</v>
      </c>
      <c r="E3">
        <v>7.32421875E-4</v>
      </c>
      <c r="G3">
        <v>0</v>
      </c>
      <c r="H3">
        <v>7.32421875E-4</v>
      </c>
      <c r="J3">
        <v>1.4154049494841852</v>
      </c>
      <c r="K3">
        <v>7.32421875E-4</v>
      </c>
    </row>
    <row r="4" spans="1:11" x14ac:dyDescent="0.45">
      <c r="A4">
        <v>0</v>
      </c>
      <c r="B4">
        <v>9.765625E-4</v>
      </c>
      <c r="D4">
        <v>-17</v>
      </c>
      <c r="E4">
        <v>9.765625E-4</v>
      </c>
      <c r="G4">
        <v>0</v>
      </c>
      <c r="H4">
        <v>9.765625E-4</v>
      </c>
      <c r="J4">
        <v>1.4154049494841852</v>
      </c>
      <c r="K4">
        <v>9.765625E-4</v>
      </c>
    </row>
    <row r="5" spans="1:11" x14ac:dyDescent="0.45">
      <c r="A5">
        <v>0</v>
      </c>
      <c r="B5">
        <v>1.46484375E-3</v>
      </c>
      <c r="D5">
        <v>-17</v>
      </c>
      <c r="E5">
        <v>1.46484375E-3</v>
      </c>
      <c r="G5">
        <v>0</v>
      </c>
      <c r="H5">
        <v>1.46484375E-3</v>
      </c>
      <c r="J5">
        <v>1.4154049494841852</v>
      </c>
      <c r="K5">
        <v>1.46484375E-3</v>
      </c>
    </row>
    <row r="6" spans="1:11" x14ac:dyDescent="0.45">
      <c r="A6">
        <v>0</v>
      </c>
      <c r="B6">
        <v>2.44140625E-3</v>
      </c>
      <c r="D6">
        <v>-17</v>
      </c>
      <c r="E6">
        <v>2.44140625E-3</v>
      </c>
      <c r="G6">
        <v>0</v>
      </c>
      <c r="H6">
        <v>2.44140625E-3</v>
      </c>
      <c r="J6">
        <v>1.4154049494841852</v>
      </c>
      <c r="K6">
        <v>2.44140625E-3</v>
      </c>
    </row>
    <row r="7" spans="1:11" x14ac:dyDescent="0.45">
      <c r="A7">
        <v>0</v>
      </c>
      <c r="B7">
        <v>2.9296875E-3</v>
      </c>
      <c r="D7">
        <v>-17</v>
      </c>
      <c r="E7">
        <v>2.9296875E-3</v>
      </c>
      <c r="G7">
        <v>0</v>
      </c>
      <c r="H7">
        <v>2.9296875E-3</v>
      </c>
      <c r="J7">
        <v>1.4154049494841852</v>
      </c>
      <c r="K7">
        <v>2.9296875E-3</v>
      </c>
    </row>
    <row r="8" spans="1:11" x14ac:dyDescent="0.45">
      <c r="A8">
        <v>0</v>
      </c>
      <c r="B8">
        <v>3.173828125E-3</v>
      </c>
      <c r="D8">
        <v>-17</v>
      </c>
      <c r="E8">
        <v>3.173828125E-3</v>
      </c>
      <c r="G8">
        <v>0</v>
      </c>
      <c r="H8">
        <v>3.173828125E-3</v>
      </c>
      <c r="J8">
        <v>1.4154049494841852</v>
      </c>
      <c r="K8">
        <v>3.173828125E-3</v>
      </c>
    </row>
    <row r="9" spans="1:11" x14ac:dyDescent="0.45">
      <c r="A9">
        <v>0</v>
      </c>
      <c r="B9">
        <v>3.662109375E-3</v>
      </c>
      <c r="D9">
        <v>-17</v>
      </c>
      <c r="E9">
        <v>3.662109375E-3</v>
      </c>
      <c r="G9">
        <v>0</v>
      </c>
      <c r="H9">
        <v>3.662109375E-3</v>
      </c>
      <c r="J9">
        <v>1.4154049494841852</v>
      </c>
      <c r="K9">
        <v>3.662109375E-3</v>
      </c>
    </row>
    <row r="10" spans="1:11" x14ac:dyDescent="0.45">
      <c r="A10">
        <v>0</v>
      </c>
      <c r="B10">
        <v>3.90625E-3</v>
      </c>
      <c r="D10">
        <v>-17</v>
      </c>
      <c r="E10">
        <v>3.90625E-3</v>
      </c>
      <c r="G10">
        <v>0</v>
      </c>
      <c r="H10">
        <v>3.90625E-3</v>
      </c>
      <c r="J10">
        <v>1.4154049494841852</v>
      </c>
      <c r="K10">
        <v>3.90625E-3</v>
      </c>
    </row>
    <row r="11" spans="1:11" x14ac:dyDescent="0.45">
      <c r="A11">
        <v>0</v>
      </c>
      <c r="B11">
        <v>4.39453125E-3</v>
      </c>
      <c r="D11">
        <v>-17</v>
      </c>
      <c r="E11">
        <v>4.39453125E-3</v>
      </c>
      <c r="G11">
        <v>0</v>
      </c>
      <c r="H11">
        <v>4.39453125E-3</v>
      </c>
      <c r="J11">
        <v>1.5605746878928177</v>
      </c>
      <c r="K11">
        <v>4.39453125E-3</v>
      </c>
    </row>
    <row r="12" spans="1:11" x14ac:dyDescent="0.45">
      <c r="A12">
        <v>0</v>
      </c>
      <c r="B12">
        <v>5.37109375E-3</v>
      </c>
      <c r="D12">
        <v>-17</v>
      </c>
      <c r="E12">
        <v>5.37109375E-3</v>
      </c>
      <c r="G12">
        <v>0</v>
      </c>
      <c r="H12">
        <v>5.37109375E-3</v>
      </c>
      <c r="J12">
        <v>1.5605746878928177</v>
      </c>
      <c r="K12">
        <v>5.37109375E-3</v>
      </c>
    </row>
    <row r="13" spans="1:11" x14ac:dyDescent="0.45">
      <c r="A13">
        <v>0</v>
      </c>
      <c r="B13">
        <v>5.859375E-3</v>
      </c>
      <c r="D13">
        <v>-17</v>
      </c>
      <c r="E13">
        <v>5.859375E-3</v>
      </c>
      <c r="G13">
        <v>0</v>
      </c>
      <c r="H13">
        <v>5.859375E-3</v>
      </c>
      <c r="J13">
        <v>1.5605746878928177</v>
      </c>
      <c r="K13">
        <v>5.859375E-3</v>
      </c>
    </row>
    <row r="14" spans="1:11" x14ac:dyDescent="0.45">
      <c r="A14">
        <v>0</v>
      </c>
      <c r="B14">
        <v>6.8359375E-3</v>
      </c>
      <c r="D14">
        <v>-17</v>
      </c>
      <c r="E14">
        <v>6.8359375E-3</v>
      </c>
      <c r="G14">
        <v>0</v>
      </c>
      <c r="H14">
        <v>6.8359375E-3</v>
      </c>
      <c r="J14">
        <v>1.5605746878928177</v>
      </c>
      <c r="K14">
        <v>6.8359375E-3</v>
      </c>
    </row>
    <row r="15" spans="1:11" x14ac:dyDescent="0.45">
      <c r="A15">
        <v>0</v>
      </c>
      <c r="B15">
        <v>8.7890625E-3</v>
      </c>
      <c r="D15">
        <v>-17</v>
      </c>
      <c r="E15">
        <v>8.7890625E-3</v>
      </c>
      <c r="G15">
        <v>0</v>
      </c>
      <c r="H15">
        <v>8.7890625E-3</v>
      </c>
      <c r="J15">
        <v>1.5605746878928177</v>
      </c>
      <c r="K15">
        <v>8.7890625E-3</v>
      </c>
    </row>
    <row r="16" spans="1:11" x14ac:dyDescent="0.45">
      <c r="A16">
        <v>0</v>
      </c>
      <c r="B16">
        <v>9.765625E-3</v>
      </c>
      <c r="D16">
        <v>-17</v>
      </c>
      <c r="E16">
        <v>9.765625E-3</v>
      </c>
      <c r="G16">
        <v>0</v>
      </c>
      <c r="H16">
        <v>9.765625E-3</v>
      </c>
      <c r="J16">
        <v>1.5605746878928177</v>
      </c>
      <c r="K16">
        <v>9.765625E-3</v>
      </c>
    </row>
    <row r="17" spans="1:11" x14ac:dyDescent="0.45">
      <c r="A17">
        <v>0</v>
      </c>
      <c r="B17">
        <v>1.025390625E-2</v>
      </c>
      <c r="D17">
        <v>-17</v>
      </c>
      <c r="E17">
        <v>1.025390625E-2</v>
      </c>
      <c r="G17">
        <v>0</v>
      </c>
      <c r="H17">
        <v>1.025390625E-2</v>
      </c>
      <c r="J17">
        <v>1.5605746878928177</v>
      </c>
      <c r="K17">
        <v>1.025390625E-2</v>
      </c>
    </row>
    <row r="18" spans="1:11" x14ac:dyDescent="0.45">
      <c r="A18">
        <v>0</v>
      </c>
      <c r="B18">
        <v>1.123046875E-2</v>
      </c>
      <c r="D18">
        <v>-17</v>
      </c>
      <c r="E18">
        <v>1.123046875E-2</v>
      </c>
      <c r="G18">
        <v>0</v>
      </c>
      <c r="H18">
        <v>1.123046875E-2</v>
      </c>
      <c r="J18">
        <v>1.5605746878928177</v>
      </c>
      <c r="K18">
        <v>1.123046875E-2</v>
      </c>
    </row>
    <row r="19" spans="1:11" x14ac:dyDescent="0.45">
      <c r="A19">
        <v>0</v>
      </c>
      <c r="B19">
        <v>1.171875E-2</v>
      </c>
      <c r="D19">
        <v>-17</v>
      </c>
      <c r="E19">
        <v>1.171875E-2</v>
      </c>
      <c r="G19">
        <v>0</v>
      </c>
      <c r="H19">
        <v>1.171875E-2</v>
      </c>
      <c r="J19">
        <v>1.5605746878928177</v>
      </c>
      <c r="K19">
        <v>1.171875E-2</v>
      </c>
    </row>
    <row r="20" spans="1:11" x14ac:dyDescent="0.45">
      <c r="A20">
        <v>0</v>
      </c>
      <c r="B20">
        <v>1.1962890625E-2</v>
      </c>
      <c r="D20">
        <v>-17</v>
      </c>
      <c r="E20">
        <v>1.1962890625E-2</v>
      </c>
      <c r="G20">
        <v>0</v>
      </c>
      <c r="H20">
        <v>1.1962890625E-2</v>
      </c>
      <c r="J20">
        <v>1.6694519916992943</v>
      </c>
      <c r="K20">
        <v>1.1962890625E-2</v>
      </c>
    </row>
    <row r="21" spans="1:11" x14ac:dyDescent="0.45">
      <c r="A21">
        <v>0</v>
      </c>
      <c r="B21">
        <v>1.2451171875E-2</v>
      </c>
      <c r="D21">
        <v>-17</v>
      </c>
      <c r="E21">
        <v>1.2451171875E-2</v>
      </c>
      <c r="G21">
        <v>0</v>
      </c>
      <c r="H21">
        <v>1.2451171875E-2</v>
      </c>
      <c r="J21">
        <v>1.6694519916992943</v>
      </c>
      <c r="K21">
        <v>1.2451171875E-2</v>
      </c>
    </row>
    <row r="22" spans="1:11" x14ac:dyDescent="0.45">
      <c r="A22">
        <v>0</v>
      </c>
      <c r="B22">
        <v>1.26953125E-2</v>
      </c>
      <c r="D22">
        <v>-17</v>
      </c>
      <c r="E22">
        <v>1.26953125E-2</v>
      </c>
      <c r="G22">
        <v>0</v>
      </c>
      <c r="H22">
        <v>1.26953125E-2</v>
      </c>
      <c r="J22">
        <v>1.6694519916992943</v>
      </c>
      <c r="K22">
        <v>1.26953125E-2</v>
      </c>
    </row>
    <row r="23" spans="1:11" x14ac:dyDescent="0.45">
      <c r="A23">
        <v>0</v>
      </c>
      <c r="B23">
        <v>1.318359375E-2</v>
      </c>
      <c r="D23">
        <v>-17</v>
      </c>
      <c r="E23">
        <v>1.318359375E-2</v>
      </c>
      <c r="G23">
        <v>0</v>
      </c>
      <c r="H23">
        <v>1.318359375E-2</v>
      </c>
      <c r="J23">
        <v>1.6694519916992943</v>
      </c>
      <c r="K23">
        <v>1.318359375E-2</v>
      </c>
    </row>
    <row r="24" spans="1:11" x14ac:dyDescent="0.45">
      <c r="A24">
        <v>0</v>
      </c>
      <c r="B24">
        <v>1.416015625E-2</v>
      </c>
      <c r="D24">
        <v>-17</v>
      </c>
      <c r="E24">
        <v>1.416015625E-2</v>
      </c>
      <c r="G24">
        <v>0</v>
      </c>
      <c r="H24">
        <v>1.416015625E-2</v>
      </c>
      <c r="J24">
        <v>1.6694519916992943</v>
      </c>
      <c r="K24">
        <v>1.416015625E-2</v>
      </c>
    </row>
    <row r="25" spans="1:11" x14ac:dyDescent="0.45">
      <c r="A25">
        <v>0</v>
      </c>
      <c r="B25">
        <v>1.46484375E-2</v>
      </c>
      <c r="D25">
        <v>-17</v>
      </c>
      <c r="E25">
        <v>1.46484375E-2</v>
      </c>
      <c r="G25">
        <v>0</v>
      </c>
      <c r="H25">
        <v>1.46484375E-2</v>
      </c>
      <c r="J25">
        <v>1.6694519916992943</v>
      </c>
      <c r="K25">
        <v>1.46484375E-2</v>
      </c>
    </row>
    <row r="26" spans="1:11" x14ac:dyDescent="0.45">
      <c r="A26">
        <v>0</v>
      </c>
      <c r="B26">
        <v>1.4892578125E-2</v>
      </c>
      <c r="D26">
        <v>-17</v>
      </c>
      <c r="E26">
        <v>1.4892578125E-2</v>
      </c>
      <c r="G26">
        <v>0</v>
      </c>
      <c r="H26">
        <v>1.4892578125E-2</v>
      </c>
      <c r="J26">
        <v>1.6694519916992943</v>
      </c>
      <c r="K26">
        <v>1.4892578125E-2</v>
      </c>
    </row>
    <row r="27" spans="1:11" x14ac:dyDescent="0.45">
      <c r="A27">
        <v>0</v>
      </c>
      <c r="B27">
        <v>1.5380859375E-2</v>
      </c>
      <c r="D27">
        <v>-17</v>
      </c>
      <c r="E27">
        <v>1.5380859375E-2</v>
      </c>
      <c r="G27">
        <v>0</v>
      </c>
      <c r="H27">
        <v>1.5380859375E-2</v>
      </c>
      <c r="J27">
        <v>1.6694519916992943</v>
      </c>
      <c r="K27">
        <v>1.5380859375E-2</v>
      </c>
    </row>
    <row r="28" spans="1:11" x14ac:dyDescent="0.45">
      <c r="A28">
        <v>0</v>
      </c>
      <c r="B28">
        <v>1.5625E-2</v>
      </c>
      <c r="D28">
        <v>-17</v>
      </c>
      <c r="E28">
        <v>1.5625E-2</v>
      </c>
      <c r="G28">
        <v>0</v>
      </c>
      <c r="H28">
        <v>1.5625E-2</v>
      </c>
      <c r="J28">
        <v>1.6694519916992943</v>
      </c>
      <c r="K28">
        <v>1.5625E-2</v>
      </c>
    </row>
    <row r="29" spans="1:11" x14ac:dyDescent="0.45">
      <c r="A29">
        <v>0</v>
      </c>
      <c r="B29">
        <v>1.611328125E-2</v>
      </c>
      <c r="D29">
        <v>-15.499072183533563</v>
      </c>
      <c r="E29">
        <v>1.611328125E-2</v>
      </c>
      <c r="G29">
        <v>0</v>
      </c>
      <c r="H29">
        <v>1.611328125E-2</v>
      </c>
      <c r="J29">
        <v>1.7420368609036128</v>
      </c>
      <c r="K29">
        <v>1.611328125E-2</v>
      </c>
    </row>
    <row r="30" spans="1:11" x14ac:dyDescent="0.45">
      <c r="A30">
        <v>0</v>
      </c>
      <c r="B30">
        <v>1.708984375E-2</v>
      </c>
      <c r="D30">
        <v>-15.499072183533563</v>
      </c>
      <c r="E30">
        <v>1.708984375E-2</v>
      </c>
      <c r="G30">
        <v>0</v>
      </c>
      <c r="H30">
        <v>1.708984375E-2</v>
      </c>
      <c r="J30">
        <v>1.7420368609036128</v>
      </c>
      <c r="K30">
        <v>1.708984375E-2</v>
      </c>
    </row>
    <row r="31" spans="1:11" x14ac:dyDescent="0.45">
      <c r="A31">
        <v>0</v>
      </c>
      <c r="B31">
        <v>1.7578125E-2</v>
      </c>
      <c r="D31">
        <v>-15.499072183533563</v>
      </c>
      <c r="E31">
        <v>1.7578125E-2</v>
      </c>
      <c r="G31">
        <v>0</v>
      </c>
      <c r="H31">
        <v>1.7578125E-2</v>
      </c>
      <c r="J31">
        <v>1.7420368609036128</v>
      </c>
      <c r="K31">
        <v>1.7578125E-2</v>
      </c>
    </row>
    <row r="32" spans="1:11" x14ac:dyDescent="0.45">
      <c r="A32">
        <v>0</v>
      </c>
      <c r="B32">
        <v>1.85546875E-2</v>
      </c>
      <c r="D32">
        <v>-14.60163586688383</v>
      </c>
      <c r="E32">
        <v>1.85546875E-2</v>
      </c>
      <c r="G32">
        <v>0</v>
      </c>
      <c r="H32">
        <v>1.85546875E-2</v>
      </c>
      <c r="J32">
        <v>1.7420368609036128</v>
      </c>
      <c r="K32">
        <v>1.85546875E-2</v>
      </c>
    </row>
    <row r="33" spans="1:11" x14ac:dyDescent="0.45">
      <c r="A33">
        <v>0</v>
      </c>
      <c r="B33">
        <v>2.05078125E-2</v>
      </c>
      <c r="D33">
        <v>-14.60163586688383</v>
      </c>
      <c r="E33">
        <v>2.05078125E-2</v>
      </c>
      <c r="G33">
        <v>0</v>
      </c>
      <c r="H33">
        <v>2.05078125E-2</v>
      </c>
      <c r="J33">
        <v>1.7420368609036128</v>
      </c>
      <c r="K33">
        <v>2.05078125E-2</v>
      </c>
    </row>
    <row r="34" spans="1:11" x14ac:dyDescent="0.45">
      <c r="A34">
        <v>0</v>
      </c>
      <c r="B34">
        <v>2.1484375E-2</v>
      </c>
      <c r="D34">
        <v>-14.60163586688383</v>
      </c>
      <c r="E34">
        <v>2.1484375E-2</v>
      </c>
      <c r="G34">
        <v>0</v>
      </c>
      <c r="H34">
        <v>2.1484375E-2</v>
      </c>
      <c r="J34">
        <v>1.7420368609036128</v>
      </c>
      <c r="K34">
        <v>2.1484375E-2</v>
      </c>
    </row>
    <row r="35" spans="1:11" x14ac:dyDescent="0.45">
      <c r="A35">
        <v>0</v>
      </c>
      <c r="B35">
        <v>2.197265625E-2</v>
      </c>
      <c r="D35">
        <v>-14.5</v>
      </c>
      <c r="E35">
        <v>2.197265625E-2</v>
      </c>
      <c r="G35">
        <v>0</v>
      </c>
      <c r="H35">
        <v>2.197265625E-2</v>
      </c>
      <c r="J35">
        <v>1.7420368609036128</v>
      </c>
      <c r="K35">
        <v>2.197265625E-2</v>
      </c>
    </row>
    <row r="36" spans="1:11" x14ac:dyDescent="0.45">
      <c r="A36">
        <v>0</v>
      </c>
      <c r="B36">
        <v>2.294921875E-2</v>
      </c>
      <c r="D36">
        <v>-14.5</v>
      </c>
      <c r="E36">
        <v>2.294921875E-2</v>
      </c>
      <c r="G36">
        <v>0</v>
      </c>
      <c r="H36">
        <v>2.294921875E-2</v>
      </c>
      <c r="J36">
        <v>1.7420368609036128</v>
      </c>
      <c r="K36">
        <v>2.294921875E-2</v>
      </c>
    </row>
    <row r="37" spans="1:11" x14ac:dyDescent="0.45">
      <c r="A37">
        <v>0</v>
      </c>
      <c r="B37">
        <v>2.34375E-2</v>
      </c>
      <c r="D37">
        <v>-14.5</v>
      </c>
      <c r="E37">
        <v>2.34375E-2</v>
      </c>
      <c r="G37">
        <v>0</v>
      </c>
      <c r="H37">
        <v>2.34375E-2</v>
      </c>
      <c r="J37">
        <v>1.7420368609036128</v>
      </c>
      <c r="K37">
        <v>2.34375E-2</v>
      </c>
    </row>
    <row r="38" spans="1:11" x14ac:dyDescent="0.45">
      <c r="A38">
        <v>0</v>
      </c>
      <c r="B38">
        <v>2.44140625E-2</v>
      </c>
      <c r="D38">
        <v>-14.5</v>
      </c>
      <c r="E38">
        <v>2.44140625E-2</v>
      </c>
      <c r="G38">
        <v>0</v>
      </c>
      <c r="H38">
        <v>2.44140625E-2</v>
      </c>
      <c r="J38">
        <v>1.9207073081757775</v>
      </c>
      <c r="K38">
        <v>2.44140625E-2</v>
      </c>
    </row>
    <row r="39" spans="1:11" x14ac:dyDescent="0.45">
      <c r="A39">
        <v>0</v>
      </c>
      <c r="B39">
        <v>2.63671875E-2</v>
      </c>
      <c r="D39">
        <v>-14.5</v>
      </c>
      <c r="E39">
        <v>2.63671875E-2</v>
      </c>
      <c r="G39">
        <v>0</v>
      </c>
      <c r="H39">
        <v>2.63671875E-2</v>
      </c>
      <c r="J39">
        <v>1.9207073081757775</v>
      </c>
      <c r="K39">
        <v>2.63671875E-2</v>
      </c>
    </row>
    <row r="40" spans="1:11" x14ac:dyDescent="0.45">
      <c r="A40">
        <v>0</v>
      </c>
      <c r="B40">
        <v>2.734375E-2</v>
      </c>
      <c r="D40">
        <v>-14.5</v>
      </c>
      <c r="E40">
        <v>2.734375E-2</v>
      </c>
      <c r="G40">
        <v>0</v>
      </c>
      <c r="H40">
        <v>2.734375E-2</v>
      </c>
      <c r="J40">
        <v>1.9207073081757775</v>
      </c>
      <c r="K40">
        <v>2.734375E-2</v>
      </c>
    </row>
    <row r="41" spans="1:11" x14ac:dyDescent="0.45">
      <c r="A41">
        <v>0</v>
      </c>
      <c r="B41">
        <v>2.9296875E-2</v>
      </c>
      <c r="D41">
        <v>-14.5</v>
      </c>
      <c r="E41">
        <v>2.783203125E-2</v>
      </c>
      <c r="G41">
        <v>0</v>
      </c>
      <c r="H41">
        <v>2.9296875E-2</v>
      </c>
      <c r="J41">
        <v>1.9207073081757775</v>
      </c>
      <c r="K41">
        <v>2.9296875E-2</v>
      </c>
    </row>
    <row r="42" spans="1:11" x14ac:dyDescent="0.45">
      <c r="A42">
        <v>0</v>
      </c>
      <c r="B42">
        <v>3.3203125E-2</v>
      </c>
      <c r="D42">
        <v>-14.5</v>
      </c>
      <c r="E42">
        <v>2.880859375E-2</v>
      </c>
      <c r="G42">
        <v>0</v>
      </c>
      <c r="H42">
        <v>3.3203125E-2</v>
      </c>
      <c r="J42">
        <v>1.9207073081757775</v>
      </c>
      <c r="K42">
        <v>3.3203125E-2</v>
      </c>
    </row>
    <row r="43" spans="1:11" x14ac:dyDescent="0.45">
      <c r="A43">
        <v>0</v>
      </c>
      <c r="B43">
        <v>3.515625E-2</v>
      </c>
      <c r="D43">
        <v>-14.5</v>
      </c>
      <c r="E43">
        <v>2.9296875E-2</v>
      </c>
      <c r="G43">
        <v>0</v>
      </c>
      <c r="H43">
        <v>3.515625E-2</v>
      </c>
      <c r="J43">
        <v>1.9207073081757775</v>
      </c>
      <c r="K43">
        <v>3.515625E-2</v>
      </c>
    </row>
    <row r="44" spans="1:11" x14ac:dyDescent="0.45">
      <c r="A44">
        <v>0</v>
      </c>
      <c r="B44">
        <v>3.61328125E-2</v>
      </c>
      <c r="D44">
        <v>-14.5</v>
      </c>
      <c r="E44">
        <v>3.02734375E-2</v>
      </c>
      <c r="G44">
        <v>0</v>
      </c>
      <c r="H44">
        <v>3.61328125E-2</v>
      </c>
      <c r="J44">
        <v>1.9207073081757775</v>
      </c>
      <c r="K44">
        <v>3.61328125E-2</v>
      </c>
    </row>
    <row r="45" spans="1:11" x14ac:dyDescent="0.45">
      <c r="A45">
        <v>0</v>
      </c>
      <c r="B45">
        <v>3.80859375E-2</v>
      </c>
      <c r="D45">
        <v>-14.5</v>
      </c>
      <c r="E45">
        <v>3.22265625E-2</v>
      </c>
      <c r="G45">
        <v>0</v>
      </c>
      <c r="H45">
        <v>3.80859375E-2</v>
      </c>
      <c r="J45">
        <v>1.9207073081757775</v>
      </c>
      <c r="K45">
        <v>3.80859375E-2</v>
      </c>
    </row>
    <row r="46" spans="1:11" x14ac:dyDescent="0.45">
      <c r="A46">
        <v>0</v>
      </c>
      <c r="B46">
        <v>3.90625E-2</v>
      </c>
      <c r="D46">
        <v>-14.5</v>
      </c>
      <c r="E46">
        <v>3.3203125E-2</v>
      </c>
      <c r="G46">
        <v>0</v>
      </c>
      <c r="H46">
        <v>3.90625E-2</v>
      </c>
      <c r="J46">
        <v>1.9207073081757775</v>
      </c>
      <c r="K46">
        <v>3.90625E-2</v>
      </c>
    </row>
    <row r="47" spans="1:11" x14ac:dyDescent="0.45">
      <c r="A47">
        <v>0</v>
      </c>
      <c r="B47">
        <v>3.955078125E-2</v>
      </c>
      <c r="D47">
        <v>-14.5</v>
      </c>
      <c r="E47">
        <v>3.515625E-2</v>
      </c>
      <c r="G47">
        <v>0</v>
      </c>
      <c r="H47">
        <v>3.955078125E-2</v>
      </c>
      <c r="J47">
        <v>1.9597914685165641</v>
      </c>
      <c r="K47">
        <v>3.9306640625E-2</v>
      </c>
    </row>
    <row r="48" spans="1:11" x14ac:dyDescent="0.45">
      <c r="A48">
        <v>0</v>
      </c>
      <c r="B48">
        <v>4.052734375E-2</v>
      </c>
      <c r="D48">
        <v>-14.5</v>
      </c>
      <c r="E48">
        <v>3.90625E-2</v>
      </c>
      <c r="G48">
        <v>0</v>
      </c>
      <c r="H48">
        <v>4.052734375E-2</v>
      </c>
      <c r="J48">
        <v>1.9597914685165641</v>
      </c>
      <c r="K48">
        <v>3.9794921875E-2</v>
      </c>
    </row>
    <row r="49" spans="1:11" x14ac:dyDescent="0.45">
      <c r="A49">
        <v>0</v>
      </c>
      <c r="B49">
        <v>4.1015625E-2</v>
      </c>
      <c r="D49">
        <v>-14.5</v>
      </c>
      <c r="E49">
        <v>4.1015625E-2</v>
      </c>
      <c r="G49">
        <v>0</v>
      </c>
      <c r="H49">
        <v>4.1015625E-2</v>
      </c>
      <c r="J49">
        <v>1.9597914685165641</v>
      </c>
      <c r="K49">
        <v>4.00390625E-2</v>
      </c>
    </row>
    <row r="50" spans="1:11" x14ac:dyDescent="0.45">
      <c r="A50">
        <v>0</v>
      </c>
      <c r="B50">
        <v>4.19921875E-2</v>
      </c>
      <c r="D50">
        <v>-14.5</v>
      </c>
      <c r="E50">
        <v>4.19921875E-2</v>
      </c>
      <c r="G50">
        <v>0</v>
      </c>
      <c r="H50">
        <v>4.19921875E-2</v>
      </c>
      <c r="J50">
        <v>1.9597914685165641</v>
      </c>
      <c r="K50">
        <v>4.052734375E-2</v>
      </c>
    </row>
    <row r="51" spans="1:11" x14ac:dyDescent="0.45">
      <c r="A51">
        <v>0</v>
      </c>
      <c r="B51">
        <v>4.39453125E-2</v>
      </c>
      <c r="D51">
        <v>-14.5</v>
      </c>
      <c r="E51">
        <v>4.39453125E-2</v>
      </c>
      <c r="G51">
        <v>0</v>
      </c>
      <c r="H51">
        <v>4.39453125E-2</v>
      </c>
      <c r="J51">
        <v>1.9597914685165641</v>
      </c>
      <c r="K51">
        <v>4.150390625E-2</v>
      </c>
    </row>
    <row r="52" spans="1:11" x14ac:dyDescent="0.45">
      <c r="A52">
        <v>0</v>
      </c>
      <c r="B52">
        <v>4.4921875E-2</v>
      </c>
      <c r="D52">
        <v>-14.5</v>
      </c>
      <c r="E52">
        <v>4.4921875E-2</v>
      </c>
      <c r="G52">
        <v>0</v>
      </c>
      <c r="H52">
        <v>4.4921875E-2</v>
      </c>
      <c r="J52">
        <v>1.9597914685165641</v>
      </c>
      <c r="K52">
        <v>4.19921875E-2</v>
      </c>
    </row>
    <row r="53" spans="1:11" x14ac:dyDescent="0.45">
      <c r="A53">
        <v>0</v>
      </c>
      <c r="B53">
        <v>4.541015625E-2</v>
      </c>
      <c r="D53">
        <v>-14.5</v>
      </c>
      <c r="E53">
        <v>4.541015625E-2</v>
      </c>
      <c r="G53">
        <v>0</v>
      </c>
      <c r="H53">
        <v>4.541015625E-2</v>
      </c>
      <c r="J53">
        <v>1.9597914685165641</v>
      </c>
      <c r="K53">
        <v>4.2236328125E-2</v>
      </c>
    </row>
    <row r="54" spans="1:11" x14ac:dyDescent="0.45">
      <c r="A54">
        <v>0</v>
      </c>
      <c r="B54">
        <v>4.638671875E-2</v>
      </c>
      <c r="D54">
        <v>-14.5</v>
      </c>
      <c r="E54">
        <v>4.638671875E-2</v>
      </c>
      <c r="G54">
        <v>0</v>
      </c>
      <c r="H54">
        <v>4.638671875E-2</v>
      </c>
      <c r="J54">
        <v>1.9597914685165641</v>
      </c>
      <c r="K54">
        <v>4.2724609375E-2</v>
      </c>
    </row>
    <row r="55" spans="1:11" x14ac:dyDescent="0.45">
      <c r="A55">
        <v>0</v>
      </c>
      <c r="B55">
        <v>4.6875E-2</v>
      </c>
      <c r="D55">
        <v>-14.5</v>
      </c>
      <c r="E55">
        <v>4.6875E-2</v>
      </c>
      <c r="G55">
        <v>0</v>
      </c>
      <c r="H55">
        <v>4.6875E-2</v>
      </c>
      <c r="J55">
        <v>1.9597914685165641</v>
      </c>
      <c r="K55">
        <v>4.296875E-2</v>
      </c>
    </row>
    <row r="56" spans="1:11" x14ac:dyDescent="0.45">
      <c r="A56">
        <v>0</v>
      </c>
      <c r="B56">
        <v>4.7119140625E-2</v>
      </c>
      <c r="D56">
        <v>-14.5</v>
      </c>
      <c r="E56">
        <v>4.78515625E-2</v>
      </c>
      <c r="G56">
        <v>0</v>
      </c>
      <c r="H56">
        <v>4.7119140625E-2</v>
      </c>
      <c r="J56">
        <v>2.0547101436299009</v>
      </c>
      <c r="K56">
        <v>4.345703125E-2</v>
      </c>
    </row>
    <row r="57" spans="1:11" x14ac:dyDescent="0.45">
      <c r="A57">
        <v>0</v>
      </c>
      <c r="B57">
        <v>4.7607421875E-2</v>
      </c>
      <c r="D57">
        <v>-14.5</v>
      </c>
      <c r="E57">
        <v>4.98046875E-2</v>
      </c>
      <c r="G57">
        <v>0</v>
      </c>
      <c r="H57">
        <v>4.7607421875E-2</v>
      </c>
      <c r="J57">
        <v>2.0547101436299009</v>
      </c>
      <c r="K57">
        <v>4.443359375E-2</v>
      </c>
    </row>
    <row r="58" spans="1:11" x14ac:dyDescent="0.45">
      <c r="A58">
        <v>0</v>
      </c>
      <c r="B58">
        <v>4.78515625E-2</v>
      </c>
      <c r="D58">
        <v>-14.5</v>
      </c>
      <c r="E58">
        <v>5.078125E-2</v>
      </c>
      <c r="G58">
        <v>0</v>
      </c>
      <c r="H58">
        <v>4.78515625E-2</v>
      </c>
      <c r="J58">
        <v>2.0547101436299009</v>
      </c>
      <c r="K58">
        <v>4.4921875E-2</v>
      </c>
    </row>
    <row r="59" spans="1:11" x14ac:dyDescent="0.45">
      <c r="A59">
        <v>0</v>
      </c>
      <c r="B59">
        <v>4.833984375E-2</v>
      </c>
      <c r="D59">
        <v>-14.5</v>
      </c>
      <c r="E59">
        <v>5.126953125E-2</v>
      </c>
      <c r="G59">
        <v>0</v>
      </c>
      <c r="H59">
        <v>4.833984375E-2</v>
      </c>
      <c r="J59">
        <v>2.0547101436299009</v>
      </c>
      <c r="K59">
        <v>4.58984375E-2</v>
      </c>
    </row>
    <row r="60" spans="1:11" x14ac:dyDescent="0.45">
      <c r="A60">
        <v>0</v>
      </c>
      <c r="B60">
        <v>4.931640625E-2</v>
      </c>
      <c r="D60">
        <v>-14.5</v>
      </c>
      <c r="E60">
        <v>5.224609375E-2</v>
      </c>
      <c r="G60">
        <v>0</v>
      </c>
      <c r="H60">
        <v>4.931640625E-2</v>
      </c>
      <c r="J60">
        <v>2.0547101436299009</v>
      </c>
      <c r="K60">
        <v>4.78515625E-2</v>
      </c>
    </row>
    <row r="61" spans="1:11" x14ac:dyDescent="0.45">
      <c r="A61">
        <v>0</v>
      </c>
      <c r="B61">
        <v>4.98046875E-2</v>
      </c>
      <c r="D61">
        <v>-14.5</v>
      </c>
      <c r="E61">
        <v>5.2734375E-2</v>
      </c>
      <c r="G61">
        <v>0</v>
      </c>
      <c r="H61">
        <v>4.98046875E-2</v>
      </c>
      <c r="J61">
        <v>2.0547101436299009</v>
      </c>
      <c r="K61">
        <v>4.8828125E-2</v>
      </c>
    </row>
    <row r="62" spans="1:11" x14ac:dyDescent="0.45">
      <c r="A62">
        <v>0</v>
      </c>
      <c r="B62">
        <v>5.0048828125E-2</v>
      </c>
      <c r="D62">
        <v>-14.393219174018933</v>
      </c>
      <c r="E62">
        <v>5.322265625E-2</v>
      </c>
      <c r="G62">
        <v>0</v>
      </c>
      <c r="H62">
        <v>5.0048828125E-2</v>
      </c>
      <c r="J62">
        <v>2.0547101436299009</v>
      </c>
      <c r="K62">
        <v>4.931640625E-2</v>
      </c>
    </row>
    <row r="63" spans="1:11" x14ac:dyDescent="0.45">
      <c r="A63">
        <v>0</v>
      </c>
      <c r="B63">
        <v>5.0537109375E-2</v>
      </c>
      <c r="D63">
        <v>-14.393219174018933</v>
      </c>
      <c r="E63">
        <v>5.419921875E-2</v>
      </c>
      <c r="G63">
        <v>0</v>
      </c>
      <c r="H63">
        <v>5.0537109375E-2</v>
      </c>
      <c r="J63">
        <v>2.0547101436299009</v>
      </c>
      <c r="K63">
        <v>5.029296875E-2</v>
      </c>
    </row>
    <row r="64" spans="1:11" x14ac:dyDescent="0.45">
      <c r="A64">
        <v>0</v>
      </c>
      <c r="B64">
        <v>5.078125E-2</v>
      </c>
      <c r="D64">
        <v>-14.393219174018933</v>
      </c>
      <c r="E64">
        <v>5.46875E-2</v>
      </c>
      <c r="G64">
        <v>0</v>
      </c>
      <c r="H64">
        <v>5.078125E-2</v>
      </c>
      <c r="J64">
        <v>2.0547101436299009</v>
      </c>
      <c r="K64">
        <v>5.078125E-2</v>
      </c>
    </row>
    <row r="65" spans="1:11" x14ac:dyDescent="0.45">
      <c r="A65">
        <v>0</v>
      </c>
      <c r="B65">
        <v>5.126953125E-2</v>
      </c>
      <c r="D65">
        <v>-13.998144367067118</v>
      </c>
      <c r="E65">
        <v>5.4931640625E-2</v>
      </c>
      <c r="G65">
        <v>0</v>
      </c>
      <c r="H65">
        <v>5.126953125E-2</v>
      </c>
      <c r="J65">
        <v>2.1607957216977498</v>
      </c>
      <c r="K65">
        <v>5.126953125E-2</v>
      </c>
    </row>
    <row r="66" spans="1:11" x14ac:dyDescent="0.45">
      <c r="A66">
        <v>0</v>
      </c>
      <c r="B66">
        <v>5.224609375E-2</v>
      </c>
      <c r="D66">
        <v>-13.998144367067118</v>
      </c>
      <c r="E66">
        <v>5.5419921875E-2</v>
      </c>
      <c r="G66">
        <v>0</v>
      </c>
      <c r="H66">
        <v>5.224609375E-2</v>
      </c>
      <c r="J66">
        <v>2.1607957216977498</v>
      </c>
      <c r="K66">
        <v>5.224609375E-2</v>
      </c>
    </row>
    <row r="67" spans="1:11" x14ac:dyDescent="0.45">
      <c r="A67">
        <v>0</v>
      </c>
      <c r="B67">
        <v>5.2734375E-2</v>
      </c>
      <c r="D67">
        <v>-13.998144367067118</v>
      </c>
      <c r="E67">
        <v>5.56640625E-2</v>
      </c>
      <c r="G67">
        <v>0</v>
      </c>
      <c r="H67">
        <v>5.2734375E-2</v>
      </c>
      <c r="J67">
        <v>2.1607957216977498</v>
      </c>
      <c r="K67">
        <v>5.2734375E-2</v>
      </c>
    </row>
    <row r="68" spans="1:11" x14ac:dyDescent="0.45">
      <c r="A68">
        <v>0</v>
      </c>
      <c r="B68">
        <v>5.37109375E-2</v>
      </c>
      <c r="D68">
        <v>-13.247680458833893</v>
      </c>
      <c r="E68">
        <v>5.6640625E-2</v>
      </c>
      <c r="G68">
        <v>0</v>
      </c>
      <c r="H68">
        <v>5.37109375E-2</v>
      </c>
      <c r="J68">
        <v>2.1607957216977498</v>
      </c>
      <c r="K68">
        <v>5.37109375E-2</v>
      </c>
    </row>
    <row r="69" spans="1:11" x14ac:dyDescent="0.45">
      <c r="A69">
        <v>0</v>
      </c>
      <c r="B69">
        <v>5.56640625E-2</v>
      </c>
      <c r="D69">
        <v>-13.247680458833893</v>
      </c>
      <c r="E69">
        <v>5.859375E-2</v>
      </c>
      <c r="G69">
        <v>0</v>
      </c>
      <c r="H69">
        <v>5.56640625E-2</v>
      </c>
      <c r="J69">
        <v>2.1607957216977498</v>
      </c>
      <c r="K69">
        <v>5.56640625E-2</v>
      </c>
    </row>
    <row r="70" spans="1:11" x14ac:dyDescent="0.45">
      <c r="A70">
        <v>0</v>
      </c>
      <c r="B70">
        <v>5.6640625E-2</v>
      </c>
      <c r="D70">
        <v>-13.247680458833893</v>
      </c>
      <c r="E70">
        <v>5.95703125E-2</v>
      </c>
      <c r="G70">
        <v>0</v>
      </c>
      <c r="H70">
        <v>5.6640625E-2</v>
      </c>
      <c r="J70">
        <v>2.1607957216977498</v>
      </c>
      <c r="K70">
        <v>5.6640625E-2</v>
      </c>
    </row>
    <row r="71" spans="1:11" x14ac:dyDescent="0.45">
      <c r="A71">
        <v>0</v>
      </c>
      <c r="B71">
        <v>5.712890625E-2</v>
      </c>
      <c r="D71">
        <v>-13</v>
      </c>
      <c r="E71">
        <v>5.9814453125E-2</v>
      </c>
      <c r="G71">
        <v>0</v>
      </c>
      <c r="H71">
        <v>5.712890625E-2</v>
      </c>
      <c r="J71">
        <v>2.1607957216977498</v>
      </c>
      <c r="K71">
        <v>5.712890625E-2</v>
      </c>
    </row>
    <row r="72" spans="1:11" x14ac:dyDescent="0.45">
      <c r="A72">
        <v>0</v>
      </c>
      <c r="B72">
        <v>5.810546875E-2</v>
      </c>
      <c r="D72">
        <v>-13</v>
      </c>
      <c r="E72">
        <v>6.0302734375E-2</v>
      </c>
      <c r="G72">
        <v>0</v>
      </c>
      <c r="H72">
        <v>5.810546875E-2</v>
      </c>
      <c r="J72">
        <v>2.1607957216977498</v>
      </c>
      <c r="K72">
        <v>5.810546875E-2</v>
      </c>
    </row>
    <row r="73" spans="1:11" x14ac:dyDescent="0.45">
      <c r="A73">
        <v>0</v>
      </c>
      <c r="B73">
        <v>5.859375E-2</v>
      </c>
      <c r="D73">
        <v>-13</v>
      </c>
      <c r="E73">
        <v>6.0546875E-2</v>
      </c>
      <c r="G73">
        <v>0</v>
      </c>
      <c r="H73">
        <v>5.859375E-2</v>
      </c>
      <c r="J73">
        <v>2.1607957216977498</v>
      </c>
      <c r="K73">
        <v>5.859375E-2</v>
      </c>
    </row>
    <row r="74" spans="1:11" x14ac:dyDescent="0.45">
      <c r="A74">
        <v>0</v>
      </c>
      <c r="B74">
        <v>5.8837890625E-2</v>
      </c>
      <c r="D74">
        <v>-13</v>
      </c>
      <c r="E74">
        <v>6.103515625E-2</v>
      </c>
      <c r="G74">
        <v>0</v>
      </c>
      <c r="H74">
        <v>5.8837890625E-2</v>
      </c>
      <c r="J74">
        <v>2.2617053448112117</v>
      </c>
      <c r="K74">
        <v>5.908203125E-2</v>
      </c>
    </row>
    <row r="75" spans="1:11" x14ac:dyDescent="0.45">
      <c r="A75">
        <v>0</v>
      </c>
      <c r="B75">
        <v>5.9326171875E-2</v>
      </c>
      <c r="D75">
        <v>-13</v>
      </c>
      <c r="E75">
        <v>6.201171875E-2</v>
      </c>
      <c r="G75">
        <v>0</v>
      </c>
      <c r="H75">
        <v>5.9326171875E-2</v>
      </c>
      <c r="J75">
        <v>2.2617053448112117</v>
      </c>
      <c r="K75">
        <v>6.005859375E-2</v>
      </c>
    </row>
    <row r="76" spans="1:11" x14ac:dyDescent="0.45">
      <c r="A76">
        <v>0</v>
      </c>
      <c r="B76">
        <v>5.95703125E-2</v>
      </c>
      <c r="D76">
        <v>-13</v>
      </c>
      <c r="E76">
        <v>6.25E-2</v>
      </c>
      <c r="G76">
        <v>0</v>
      </c>
      <c r="H76">
        <v>5.95703125E-2</v>
      </c>
      <c r="J76">
        <v>2.2617053448112117</v>
      </c>
      <c r="K76">
        <v>6.0546875E-2</v>
      </c>
    </row>
    <row r="77" spans="1:11" x14ac:dyDescent="0.45">
      <c r="A77">
        <v>0</v>
      </c>
      <c r="B77">
        <v>6.005859375E-2</v>
      </c>
      <c r="D77">
        <v>-13</v>
      </c>
      <c r="E77">
        <v>6.2744140625E-2</v>
      </c>
      <c r="G77">
        <v>0</v>
      </c>
      <c r="H77">
        <v>6.005859375E-2</v>
      </c>
      <c r="J77">
        <v>2.2617053448112117</v>
      </c>
      <c r="K77">
        <v>6.15234375E-2</v>
      </c>
    </row>
    <row r="78" spans="1:11" x14ac:dyDescent="0.45">
      <c r="A78">
        <v>0</v>
      </c>
      <c r="B78">
        <v>6.103515625E-2</v>
      </c>
      <c r="D78">
        <v>-13</v>
      </c>
      <c r="E78">
        <v>6.3232421875E-2</v>
      </c>
      <c r="G78">
        <v>0</v>
      </c>
      <c r="H78">
        <v>6.103515625E-2</v>
      </c>
      <c r="J78">
        <v>2.2617053448112117</v>
      </c>
      <c r="K78">
        <v>6.34765625E-2</v>
      </c>
    </row>
    <row r="79" spans="1:11" x14ac:dyDescent="0.45">
      <c r="A79">
        <v>0</v>
      </c>
      <c r="B79">
        <v>6.15234375E-2</v>
      </c>
      <c r="D79">
        <v>-13</v>
      </c>
      <c r="E79">
        <v>6.34765625E-2</v>
      </c>
      <c r="G79">
        <v>0</v>
      </c>
      <c r="H79">
        <v>6.15234375E-2</v>
      </c>
      <c r="J79">
        <v>2.2617053448112117</v>
      </c>
      <c r="K79">
        <v>6.4453125E-2</v>
      </c>
    </row>
    <row r="80" spans="1:11" x14ac:dyDescent="0.45">
      <c r="A80">
        <v>0</v>
      </c>
      <c r="B80">
        <v>6.1767578125E-2</v>
      </c>
      <c r="D80">
        <v>-13</v>
      </c>
      <c r="E80">
        <v>6.396484375E-2</v>
      </c>
      <c r="G80">
        <v>0</v>
      </c>
      <c r="H80">
        <v>6.1767578125E-2</v>
      </c>
      <c r="J80">
        <v>2.2617053448112117</v>
      </c>
      <c r="K80">
        <v>6.494140625E-2</v>
      </c>
    </row>
    <row r="81" spans="1:11" x14ac:dyDescent="0.45">
      <c r="A81">
        <v>0</v>
      </c>
      <c r="B81">
        <v>6.2255859375E-2</v>
      </c>
      <c r="D81">
        <v>-13</v>
      </c>
      <c r="E81">
        <v>6.494140625E-2</v>
      </c>
      <c r="G81">
        <v>0</v>
      </c>
      <c r="H81">
        <v>6.2255859375E-2</v>
      </c>
      <c r="J81">
        <v>2.2617053448112117</v>
      </c>
      <c r="K81">
        <v>6.591796875E-2</v>
      </c>
    </row>
    <row r="82" spans="1:11" x14ac:dyDescent="0.45">
      <c r="A82">
        <v>0</v>
      </c>
      <c r="B82">
        <v>6.25E-2</v>
      </c>
      <c r="D82">
        <v>-13</v>
      </c>
      <c r="E82">
        <v>6.54296875E-2</v>
      </c>
      <c r="G82">
        <v>0</v>
      </c>
      <c r="H82">
        <v>6.25E-2</v>
      </c>
      <c r="J82">
        <v>2.2617053448112117</v>
      </c>
      <c r="K82">
        <v>6.640625E-2</v>
      </c>
    </row>
    <row r="83" spans="1:11" x14ac:dyDescent="0.45">
      <c r="A83">
        <v>0.93057524620919363</v>
      </c>
      <c r="B83">
        <v>6.298828125E-2</v>
      </c>
      <c r="D83">
        <v>-13</v>
      </c>
      <c r="E83">
        <v>6.640625E-2</v>
      </c>
      <c r="G83">
        <v>0.48389912802878188</v>
      </c>
      <c r="H83">
        <v>6.298828125E-2</v>
      </c>
      <c r="J83">
        <v>2.3115489115836398</v>
      </c>
      <c r="K83">
        <v>6.6650390625E-2</v>
      </c>
    </row>
    <row r="84" spans="1:11" x14ac:dyDescent="0.45">
      <c r="A84">
        <v>0.93057524620919363</v>
      </c>
      <c r="B84">
        <v>6.396484375E-2</v>
      </c>
      <c r="D84">
        <v>-13</v>
      </c>
      <c r="E84">
        <v>6.8359375E-2</v>
      </c>
      <c r="G84">
        <v>0.48389912802878188</v>
      </c>
      <c r="H84">
        <v>6.396484375E-2</v>
      </c>
      <c r="J84">
        <v>2.3115489115836398</v>
      </c>
      <c r="K84">
        <v>6.7138671875E-2</v>
      </c>
    </row>
    <row r="85" spans="1:11" x14ac:dyDescent="0.45">
      <c r="A85">
        <v>0.93057524620919363</v>
      </c>
      <c r="B85">
        <v>6.4453125E-2</v>
      </c>
      <c r="D85">
        <v>-13</v>
      </c>
      <c r="E85">
        <v>6.93359375E-2</v>
      </c>
      <c r="G85">
        <v>0.48389912802878188</v>
      </c>
      <c r="H85">
        <v>6.4453125E-2</v>
      </c>
      <c r="J85">
        <v>2.3115489115836398</v>
      </c>
      <c r="K85">
        <v>6.73828125E-2</v>
      </c>
    </row>
    <row r="86" spans="1:11" x14ac:dyDescent="0.45">
      <c r="A86">
        <v>0.93057524620919363</v>
      </c>
      <c r="B86">
        <v>6.54296875E-2</v>
      </c>
      <c r="D86">
        <v>-13</v>
      </c>
      <c r="E86">
        <v>6.982421875E-2</v>
      </c>
      <c r="G86">
        <v>0.59556815757388393</v>
      </c>
      <c r="H86">
        <v>6.54296875E-2</v>
      </c>
      <c r="J86">
        <v>2.3115489115836398</v>
      </c>
      <c r="K86">
        <v>6.787109375E-2</v>
      </c>
    </row>
    <row r="87" spans="1:11" x14ac:dyDescent="0.45">
      <c r="A87">
        <v>0.93057524620919363</v>
      </c>
      <c r="B87">
        <v>6.73828125E-2</v>
      </c>
      <c r="D87">
        <v>-13</v>
      </c>
      <c r="E87">
        <v>7.080078125E-2</v>
      </c>
      <c r="G87">
        <v>0.59556815757388393</v>
      </c>
      <c r="H87">
        <v>6.73828125E-2</v>
      </c>
      <c r="J87">
        <v>2.3115489115836398</v>
      </c>
      <c r="K87">
        <v>6.884765625E-2</v>
      </c>
    </row>
    <row r="88" spans="1:11" x14ac:dyDescent="0.45">
      <c r="A88">
        <v>0.93057524620919363</v>
      </c>
      <c r="B88">
        <v>6.8359375E-2</v>
      </c>
      <c r="D88">
        <v>-13</v>
      </c>
      <c r="E88">
        <v>7.12890625E-2</v>
      </c>
      <c r="G88">
        <v>0.59556815757388393</v>
      </c>
      <c r="H88">
        <v>6.8359375E-2</v>
      </c>
      <c r="J88">
        <v>2.3115489115836398</v>
      </c>
      <c r="K88">
        <v>6.93359375E-2</v>
      </c>
    </row>
    <row r="89" spans="1:11" x14ac:dyDescent="0.45">
      <c r="A89">
        <v>0.93057524620919363</v>
      </c>
      <c r="B89">
        <v>6.884765625E-2</v>
      </c>
      <c r="D89">
        <v>-13</v>
      </c>
      <c r="E89">
        <v>7.1533203125E-2</v>
      </c>
      <c r="G89">
        <v>0.67001417727061796</v>
      </c>
      <c r="H89">
        <v>6.884765625E-2</v>
      </c>
      <c r="J89">
        <v>2.3115489115836398</v>
      </c>
      <c r="K89">
        <v>6.9580078125E-2</v>
      </c>
    </row>
    <row r="90" spans="1:11" x14ac:dyDescent="0.45">
      <c r="A90">
        <v>0.93057524620919363</v>
      </c>
      <c r="B90">
        <v>6.982421875E-2</v>
      </c>
      <c r="D90">
        <v>-13</v>
      </c>
      <c r="E90">
        <v>7.2021484375E-2</v>
      </c>
      <c r="G90">
        <v>0.67001417727061796</v>
      </c>
      <c r="H90">
        <v>6.982421875E-2</v>
      </c>
      <c r="J90">
        <v>2.3115489115836398</v>
      </c>
      <c r="K90">
        <v>7.0068359375E-2</v>
      </c>
    </row>
    <row r="91" spans="1:11" x14ac:dyDescent="0.45">
      <c r="A91">
        <v>0.93057524620919363</v>
      </c>
      <c r="B91">
        <v>7.03125E-2</v>
      </c>
      <c r="D91">
        <v>-13</v>
      </c>
      <c r="E91">
        <v>7.2265625E-2</v>
      </c>
      <c r="G91">
        <v>0.67001417727061796</v>
      </c>
      <c r="H91">
        <v>7.03125E-2</v>
      </c>
      <c r="J91">
        <v>2.3115489115836398</v>
      </c>
      <c r="K91">
        <v>7.03125E-2</v>
      </c>
    </row>
    <row r="92" spans="1:11" x14ac:dyDescent="0.45">
      <c r="A92">
        <v>1.4869857625320251</v>
      </c>
      <c r="B92">
        <v>7.12890625E-2</v>
      </c>
      <c r="D92">
        <v>-13</v>
      </c>
      <c r="E92">
        <v>7.275390625E-2</v>
      </c>
      <c r="G92">
        <v>0.77323259651665233</v>
      </c>
      <c r="H92">
        <v>7.12890625E-2</v>
      </c>
      <c r="J92">
        <v>2.4582464545166651</v>
      </c>
      <c r="K92">
        <v>7.0556640625E-2</v>
      </c>
    </row>
    <row r="93" spans="1:11" x14ac:dyDescent="0.45">
      <c r="A93">
        <v>1.4869857625320251</v>
      </c>
      <c r="B93">
        <v>7.32421875E-2</v>
      </c>
      <c r="D93">
        <v>-13</v>
      </c>
      <c r="E93">
        <v>7.373046875E-2</v>
      </c>
      <c r="G93">
        <v>0.77323259651665233</v>
      </c>
      <c r="H93">
        <v>7.32421875E-2</v>
      </c>
      <c r="J93">
        <v>2.4582464545166651</v>
      </c>
      <c r="K93">
        <v>7.1044921875E-2</v>
      </c>
    </row>
    <row r="94" spans="1:11" x14ac:dyDescent="0.45">
      <c r="A94">
        <v>1.4869857625320251</v>
      </c>
      <c r="B94">
        <v>7.421875E-2</v>
      </c>
      <c r="D94">
        <v>-13</v>
      </c>
      <c r="E94">
        <v>7.421875E-2</v>
      </c>
      <c r="G94">
        <v>0.77323259651665233</v>
      </c>
      <c r="H94">
        <v>7.421875E-2</v>
      </c>
      <c r="J94">
        <v>2.4582464545166651</v>
      </c>
      <c r="K94">
        <v>7.12890625E-2</v>
      </c>
    </row>
    <row r="95" spans="1:11" x14ac:dyDescent="0.45">
      <c r="A95">
        <v>1.4869857625320251</v>
      </c>
      <c r="B95">
        <v>7.6171875E-2</v>
      </c>
      <c r="D95">
        <v>-13</v>
      </c>
      <c r="E95">
        <v>7.4462890625E-2</v>
      </c>
      <c r="G95">
        <v>0.84042613829629575</v>
      </c>
      <c r="H95">
        <v>7.470703125E-2</v>
      </c>
      <c r="J95">
        <v>2.4582464545166651</v>
      </c>
      <c r="K95">
        <v>7.177734375E-2</v>
      </c>
    </row>
    <row r="96" spans="1:11" x14ac:dyDescent="0.45">
      <c r="A96">
        <v>1.4869857625320251</v>
      </c>
      <c r="B96">
        <v>8.0078125E-2</v>
      </c>
      <c r="D96">
        <v>-13</v>
      </c>
      <c r="E96">
        <v>7.4951171875E-2</v>
      </c>
      <c r="G96">
        <v>0.84042613829629575</v>
      </c>
      <c r="H96">
        <v>7.568359375E-2</v>
      </c>
      <c r="J96">
        <v>2.4582464545166651</v>
      </c>
      <c r="K96">
        <v>7.275390625E-2</v>
      </c>
    </row>
    <row r="97" spans="1:11" x14ac:dyDescent="0.45">
      <c r="A97">
        <v>1.4869857625320251</v>
      </c>
      <c r="B97">
        <v>8.203125E-2</v>
      </c>
      <c r="D97">
        <v>-13</v>
      </c>
      <c r="E97">
        <v>7.51953125E-2</v>
      </c>
      <c r="G97">
        <v>0.84042613829629575</v>
      </c>
      <c r="H97">
        <v>7.6171875E-2</v>
      </c>
      <c r="J97">
        <v>2.4582464545166651</v>
      </c>
      <c r="K97">
        <v>7.32421875E-2</v>
      </c>
    </row>
    <row r="98" spans="1:11" x14ac:dyDescent="0.45">
      <c r="A98">
        <v>1.4869857625320251</v>
      </c>
      <c r="B98">
        <v>8.30078125E-2</v>
      </c>
      <c r="D98">
        <v>-12.999072183533562</v>
      </c>
      <c r="E98">
        <v>7.6171875E-2</v>
      </c>
      <c r="G98">
        <v>0.9516708880204956</v>
      </c>
      <c r="H98">
        <v>7.8125E-2</v>
      </c>
      <c r="J98">
        <v>2.4582464545166651</v>
      </c>
      <c r="K98">
        <v>7.3486328125E-2</v>
      </c>
    </row>
    <row r="99" spans="1:11" x14ac:dyDescent="0.45">
      <c r="A99">
        <v>1.4869857625320251</v>
      </c>
      <c r="B99">
        <v>8.49609375E-2</v>
      </c>
      <c r="D99">
        <v>-12.999072183533562</v>
      </c>
      <c r="E99">
        <v>7.8125E-2</v>
      </c>
      <c r="G99">
        <v>0.9516708880204956</v>
      </c>
      <c r="H99">
        <v>8.203125E-2</v>
      </c>
      <c r="J99">
        <v>2.4582464545166651</v>
      </c>
      <c r="K99">
        <v>7.3974609375E-2</v>
      </c>
    </row>
    <row r="100" spans="1:11" x14ac:dyDescent="0.45">
      <c r="A100">
        <v>1.4869857625320251</v>
      </c>
      <c r="B100">
        <v>8.59375E-2</v>
      </c>
      <c r="D100">
        <v>-12.999072183533562</v>
      </c>
      <c r="E100">
        <v>7.91015625E-2</v>
      </c>
      <c r="G100">
        <v>0.9516708880204956</v>
      </c>
      <c r="H100">
        <v>8.3984375E-2</v>
      </c>
      <c r="J100">
        <v>2.4582464545166651</v>
      </c>
      <c r="K100">
        <v>7.421875E-2</v>
      </c>
    </row>
    <row r="101" spans="1:11" x14ac:dyDescent="0.45">
      <c r="A101">
        <v>1.6162041121082618</v>
      </c>
      <c r="B101">
        <v>8.642578125E-2</v>
      </c>
      <c r="D101">
        <v>-12.203271733767659</v>
      </c>
      <c r="E101">
        <v>7.958984375E-2</v>
      </c>
      <c r="G101">
        <v>0.96779825605756109</v>
      </c>
      <c r="H101">
        <v>8.4228515625E-2</v>
      </c>
      <c r="J101">
        <v>2.4936751237662054</v>
      </c>
      <c r="K101">
        <v>7.51953125E-2</v>
      </c>
    </row>
    <row r="102" spans="1:11" x14ac:dyDescent="0.45">
      <c r="A102">
        <v>1.6162041121082618</v>
      </c>
      <c r="B102">
        <v>8.740234375E-2</v>
      </c>
      <c r="D102">
        <v>-12.203271733767659</v>
      </c>
      <c r="E102">
        <v>8.056640625E-2</v>
      </c>
      <c r="G102">
        <v>0.96779825605756109</v>
      </c>
      <c r="H102">
        <v>8.4716796875E-2</v>
      </c>
      <c r="J102">
        <v>2.4936751237662054</v>
      </c>
      <c r="K102">
        <v>7.71484375E-2</v>
      </c>
    </row>
    <row r="103" spans="1:11" x14ac:dyDescent="0.45">
      <c r="A103">
        <v>1.6162041121082618</v>
      </c>
      <c r="B103">
        <v>8.7890625E-2</v>
      </c>
      <c r="D103">
        <v>-12.203271733767659</v>
      </c>
      <c r="E103">
        <v>8.10546875E-2</v>
      </c>
      <c r="G103">
        <v>0.96779825605756109</v>
      </c>
      <c r="H103">
        <v>8.49609375E-2</v>
      </c>
      <c r="J103">
        <v>2.4936751237662054</v>
      </c>
      <c r="K103">
        <v>7.8125E-2</v>
      </c>
    </row>
    <row r="104" spans="1:11" x14ac:dyDescent="0.45">
      <c r="A104">
        <v>1.6162041121082618</v>
      </c>
      <c r="B104">
        <v>8.88671875E-2</v>
      </c>
      <c r="D104">
        <v>-12.10163586688383</v>
      </c>
      <c r="E104">
        <v>8.30078125E-2</v>
      </c>
      <c r="G104">
        <v>1.0343706317492853</v>
      </c>
      <c r="H104">
        <v>8.59375E-2</v>
      </c>
      <c r="J104">
        <v>2.4936751237662054</v>
      </c>
      <c r="K104">
        <v>8.0078125E-2</v>
      </c>
    </row>
    <row r="105" spans="1:11" x14ac:dyDescent="0.45">
      <c r="A105">
        <v>1.6162041121082618</v>
      </c>
      <c r="B105">
        <v>9.08203125E-2</v>
      </c>
      <c r="D105">
        <v>-12.10163586688383</v>
      </c>
      <c r="E105">
        <v>8.69140625E-2</v>
      </c>
      <c r="G105">
        <v>1.0343706317492853</v>
      </c>
      <c r="H105">
        <v>8.7890625E-2</v>
      </c>
      <c r="J105">
        <v>2.4936751237662054</v>
      </c>
      <c r="K105">
        <v>8.3984375E-2</v>
      </c>
    </row>
    <row r="106" spans="1:11" x14ac:dyDescent="0.45">
      <c r="A106">
        <v>1.6162041121082618</v>
      </c>
      <c r="B106">
        <v>9.1796875E-2</v>
      </c>
      <c r="D106">
        <v>-12.10163586688383</v>
      </c>
      <c r="E106">
        <v>8.88671875E-2</v>
      </c>
      <c r="G106">
        <v>1.0343706317492853</v>
      </c>
      <c r="H106">
        <v>8.88671875E-2</v>
      </c>
      <c r="J106">
        <v>2.4936751237662054</v>
      </c>
      <c r="K106">
        <v>8.59375E-2</v>
      </c>
    </row>
    <row r="107" spans="1:11" x14ac:dyDescent="0.45">
      <c r="A107">
        <v>1.6162041121082618</v>
      </c>
      <c r="B107">
        <v>9.228515625E-2</v>
      </c>
      <c r="D107">
        <v>-11.893219174018935</v>
      </c>
      <c r="E107">
        <v>8.984375E-2</v>
      </c>
      <c r="G107">
        <v>1.0706297490230596</v>
      </c>
      <c r="H107">
        <v>8.984375E-2</v>
      </c>
      <c r="J107">
        <v>2.4936751237662054</v>
      </c>
      <c r="K107">
        <v>8.69140625E-2</v>
      </c>
    </row>
    <row r="108" spans="1:11" x14ac:dyDescent="0.45">
      <c r="A108">
        <v>1.6162041121082618</v>
      </c>
      <c r="B108">
        <v>9.326171875E-2</v>
      </c>
      <c r="D108">
        <v>-11.893219174018935</v>
      </c>
      <c r="E108">
        <v>9.1796875E-2</v>
      </c>
      <c r="G108">
        <v>1.0706297490230596</v>
      </c>
      <c r="H108">
        <v>9.1796875E-2</v>
      </c>
      <c r="J108">
        <v>2.4936751237662054</v>
      </c>
      <c r="K108">
        <v>8.88671875E-2</v>
      </c>
    </row>
    <row r="109" spans="1:11" x14ac:dyDescent="0.45">
      <c r="A109">
        <v>1.6162041121082618</v>
      </c>
      <c r="B109">
        <v>9.375E-2</v>
      </c>
      <c r="D109">
        <v>-11.893219174018935</v>
      </c>
      <c r="E109">
        <v>9.27734375E-2</v>
      </c>
      <c r="G109">
        <v>1.0706297490230596</v>
      </c>
      <c r="H109">
        <v>9.27734375E-2</v>
      </c>
      <c r="J109">
        <v>2.4936751237662054</v>
      </c>
      <c r="K109">
        <v>8.984375E-2</v>
      </c>
    </row>
    <row r="110" spans="1:11" x14ac:dyDescent="0.45">
      <c r="A110">
        <v>1.8611504924183875</v>
      </c>
      <c r="B110">
        <v>9.3994140625E-2</v>
      </c>
      <c r="D110">
        <v>-11.786438348037867</v>
      </c>
      <c r="E110">
        <v>9.3017578125E-2</v>
      </c>
      <c r="G110">
        <v>1.1636669607179451</v>
      </c>
      <c r="H110">
        <v>9.326171875E-2</v>
      </c>
      <c r="J110">
        <v>2.6676524579824568</v>
      </c>
      <c r="K110">
        <v>9.033203125E-2</v>
      </c>
    </row>
    <row r="111" spans="1:11" x14ac:dyDescent="0.45">
      <c r="A111">
        <v>1.8611504924183875</v>
      </c>
      <c r="B111">
        <v>9.4482421875E-2</v>
      </c>
      <c r="D111">
        <v>-11.786438348037867</v>
      </c>
      <c r="E111">
        <v>9.3505859375E-2</v>
      </c>
      <c r="G111">
        <v>1.1636669607179451</v>
      </c>
      <c r="H111">
        <v>9.423828125E-2</v>
      </c>
      <c r="J111">
        <v>2.6676524579824568</v>
      </c>
      <c r="K111">
        <v>9.130859375E-2</v>
      </c>
    </row>
    <row r="112" spans="1:11" x14ac:dyDescent="0.45">
      <c r="A112">
        <v>1.8611504924183875</v>
      </c>
      <c r="B112">
        <v>9.47265625E-2</v>
      </c>
      <c r="D112">
        <v>-11.786438348037867</v>
      </c>
      <c r="E112">
        <v>9.375E-2</v>
      </c>
      <c r="G112">
        <v>1.1636669607179451</v>
      </c>
      <c r="H112">
        <v>9.47265625E-2</v>
      </c>
      <c r="J112">
        <v>2.6676524579824568</v>
      </c>
      <c r="K112">
        <v>9.1796875E-2</v>
      </c>
    </row>
    <row r="113" spans="1:11" x14ac:dyDescent="0.45">
      <c r="A113">
        <v>1.8611504924183875</v>
      </c>
      <c r="B113">
        <v>9.521484375E-2</v>
      </c>
      <c r="D113">
        <v>-11.499072183533562</v>
      </c>
      <c r="E113">
        <v>9.423828125E-2</v>
      </c>
      <c r="G113">
        <v>1.1911363151477687</v>
      </c>
      <c r="H113">
        <v>9.521484375E-2</v>
      </c>
      <c r="J113">
        <v>2.6676524579824568</v>
      </c>
      <c r="K113">
        <v>9.27734375E-2</v>
      </c>
    </row>
    <row r="114" spans="1:11" x14ac:dyDescent="0.45">
      <c r="A114">
        <v>1.8611504924183875</v>
      </c>
      <c r="B114">
        <v>9.619140625E-2</v>
      </c>
      <c r="D114">
        <v>-11.499072183533562</v>
      </c>
      <c r="E114">
        <v>9.521484375E-2</v>
      </c>
      <c r="G114">
        <v>1.1911363151477687</v>
      </c>
      <c r="H114">
        <v>9.619140625E-2</v>
      </c>
      <c r="J114">
        <v>2.6676524579824568</v>
      </c>
      <c r="K114">
        <v>9.47265625E-2</v>
      </c>
    </row>
    <row r="115" spans="1:11" x14ac:dyDescent="0.45">
      <c r="A115">
        <v>1.8611504924183875</v>
      </c>
      <c r="B115">
        <v>9.66796875E-2</v>
      </c>
      <c r="D115">
        <v>-11.499072183533562</v>
      </c>
      <c r="E115">
        <v>9.5703125E-2</v>
      </c>
      <c r="G115">
        <v>1.1911363151477687</v>
      </c>
      <c r="H115">
        <v>9.66796875E-2</v>
      </c>
      <c r="J115">
        <v>2.6676524579824568</v>
      </c>
      <c r="K115">
        <v>9.5703125E-2</v>
      </c>
    </row>
    <row r="116" spans="1:11" x14ac:dyDescent="0.45">
      <c r="A116">
        <v>1.8611504924183875</v>
      </c>
      <c r="B116">
        <v>9.6923828125E-2</v>
      </c>
      <c r="D116">
        <v>-11.498144367067116</v>
      </c>
      <c r="E116">
        <v>9.619140625E-2</v>
      </c>
      <c r="G116">
        <v>1.2097478200719514</v>
      </c>
      <c r="H116">
        <v>9.765625E-2</v>
      </c>
      <c r="J116">
        <v>2.6676524579824568</v>
      </c>
      <c r="K116">
        <v>9.619140625E-2</v>
      </c>
    </row>
    <row r="117" spans="1:11" x14ac:dyDescent="0.45">
      <c r="A117">
        <v>1.8611504924183875</v>
      </c>
      <c r="B117">
        <v>9.7412109375E-2</v>
      </c>
      <c r="D117">
        <v>-11.498144367067116</v>
      </c>
      <c r="E117">
        <v>9.716796875E-2</v>
      </c>
      <c r="G117">
        <v>1.2097478200719514</v>
      </c>
      <c r="H117">
        <v>9.9609375E-2</v>
      </c>
      <c r="J117">
        <v>2.6676524579824568</v>
      </c>
      <c r="K117">
        <v>9.716796875E-2</v>
      </c>
    </row>
    <row r="118" spans="1:11" x14ac:dyDescent="0.45">
      <c r="A118">
        <v>1.8611504924183875</v>
      </c>
      <c r="B118">
        <v>9.765625E-2</v>
      </c>
      <c r="D118">
        <v>-11.498144367067116</v>
      </c>
      <c r="E118">
        <v>9.765625E-2</v>
      </c>
      <c r="G118">
        <v>1.2097478200719514</v>
      </c>
      <c r="H118">
        <v>0.1005859375</v>
      </c>
      <c r="J118">
        <v>2.6676524579824568</v>
      </c>
      <c r="K118">
        <v>9.765625E-2</v>
      </c>
    </row>
    <row r="119" spans="1:11" x14ac:dyDescent="0.45">
      <c r="A119">
        <v>2.3264381155229863</v>
      </c>
      <c r="B119">
        <v>9.86328125E-2</v>
      </c>
      <c r="D119">
        <v>-11.004089667209579</v>
      </c>
      <c r="E119">
        <v>9.9609375E-2</v>
      </c>
      <c r="G119">
        <v>1.3400283545412375</v>
      </c>
      <c r="H119">
        <v>0.100830078125</v>
      </c>
      <c r="J119">
        <v>2.7103742960055541</v>
      </c>
      <c r="K119">
        <v>9.814453125E-2</v>
      </c>
    </row>
    <row r="120" spans="1:11" x14ac:dyDescent="0.45">
      <c r="A120">
        <v>2.3264381155229863</v>
      </c>
      <c r="B120">
        <v>0.1005859375</v>
      </c>
      <c r="D120">
        <v>-11.004089667209579</v>
      </c>
      <c r="E120">
        <v>0.103515625</v>
      </c>
      <c r="G120">
        <v>1.3400283545412375</v>
      </c>
      <c r="H120">
        <v>0.101318359375</v>
      </c>
      <c r="J120">
        <v>2.7103742960055541</v>
      </c>
      <c r="K120">
        <v>9.912109375E-2</v>
      </c>
    </row>
    <row r="121" spans="1:11" x14ac:dyDescent="0.45">
      <c r="A121">
        <v>2.3264381155229863</v>
      </c>
      <c r="B121">
        <v>0.1015625</v>
      </c>
      <c r="D121">
        <v>-11.004089667209579</v>
      </c>
      <c r="E121">
        <v>0.10546875</v>
      </c>
      <c r="G121">
        <v>1.3400283545412375</v>
      </c>
      <c r="H121">
        <v>0.1015625</v>
      </c>
      <c r="J121">
        <v>2.7103742960055541</v>
      </c>
      <c r="K121">
        <v>9.9609375E-2</v>
      </c>
    </row>
    <row r="122" spans="1:11" x14ac:dyDescent="0.45">
      <c r="A122">
        <v>2.3264381155229863</v>
      </c>
      <c r="B122">
        <v>0.103515625</v>
      </c>
      <c r="D122">
        <v>-10.996288734134236</v>
      </c>
      <c r="E122">
        <v>0.10595703125</v>
      </c>
      <c r="G122">
        <v>1.4889203939347078</v>
      </c>
      <c r="H122">
        <v>0.103515625</v>
      </c>
      <c r="J122">
        <v>2.7103742960055541</v>
      </c>
      <c r="K122">
        <v>0.1005859375</v>
      </c>
    </row>
    <row r="123" spans="1:11" x14ac:dyDescent="0.45">
      <c r="A123">
        <v>2.3264381155229863</v>
      </c>
      <c r="B123">
        <v>0.107421875</v>
      </c>
      <c r="D123">
        <v>-10.996288734134236</v>
      </c>
      <c r="E123">
        <v>0.10693359375</v>
      </c>
      <c r="G123">
        <v>1.4889203939347078</v>
      </c>
      <c r="H123">
        <v>0.107421875</v>
      </c>
      <c r="J123">
        <v>2.7103742960055541</v>
      </c>
      <c r="K123">
        <v>0.1025390625</v>
      </c>
    </row>
    <row r="124" spans="1:11" x14ac:dyDescent="0.45">
      <c r="A124">
        <v>2.3264381155229863</v>
      </c>
      <c r="B124">
        <v>0.109375</v>
      </c>
      <c r="D124">
        <v>-10.996288734134236</v>
      </c>
      <c r="E124">
        <v>0.107421875</v>
      </c>
      <c r="G124">
        <v>1.4889203939347078</v>
      </c>
      <c r="H124">
        <v>0.109375</v>
      </c>
      <c r="J124">
        <v>2.7103742960055541</v>
      </c>
      <c r="K124">
        <v>0.103515625</v>
      </c>
    </row>
    <row r="125" spans="1:11" x14ac:dyDescent="0.45">
      <c r="A125">
        <v>2.3264381155229863</v>
      </c>
      <c r="B125">
        <v>0.1103515625</v>
      </c>
      <c r="D125">
        <v>-10.747680458833893</v>
      </c>
      <c r="E125">
        <v>0.109375</v>
      </c>
      <c r="G125">
        <v>1.5464651930333067</v>
      </c>
      <c r="H125">
        <v>0.10986328125</v>
      </c>
      <c r="J125">
        <v>2.7103742960055541</v>
      </c>
      <c r="K125">
        <v>0.10400390625</v>
      </c>
    </row>
    <row r="126" spans="1:11" x14ac:dyDescent="0.45">
      <c r="A126">
        <v>2.3264381155229863</v>
      </c>
      <c r="B126">
        <v>0.1123046875</v>
      </c>
      <c r="D126">
        <v>-10.747680458833893</v>
      </c>
      <c r="E126">
        <v>0.11328125</v>
      </c>
      <c r="G126">
        <v>1.5464651930333067</v>
      </c>
      <c r="H126">
        <v>0.11083984375</v>
      </c>
      <c r="J126">
        <v>2.7103742960055541</v>
      </c>
      <c r="K126">
        <v>0.10498046875</v>
      </c>
    </row>
    <row r="127" spans="1:11" x14ac:dyDescent="0.45">
      <c r="A127">
        <v>2.3264381155229863</v>
      </c>
      <c r="B127">
        <v>0.11328125</v>
      </c>
      <c r="D127">
        <v>-10.747680458833893</v>
      </c>
      <c r="E127">
        <v>0.115234375</v>
      </c>
      <c r="G127">
        <v>1.5464651930333067</v>
      </c>
      <c r="H127">
        <v>0.111328125</v>
      </c>
      <c r="J127">
        <v>2.7103742960055541</v>
      </c>
      <c r="K127">
        <v>0.10546875</v>
      </c>
    </row>
    <row r="128" spans="1:11" x14ac:dyDescent="0.45">
      <c r="A128">
        <v>2.8081690654569935</v>
      </c>
      <c r="B128">
        <v>0.115234375</v>
      </c>
      <c r="D128">
        <v>-10.60163586688383</v>
      </c>
      <c r="E128">
        <v>0.1162109375</v>
      </c>
      <c r="G128">
        <v>1.6750354431765495</v>
      </c>
      <c r="H128">
        <v>0.1123046875</v>
      </c>
      <c r="J128">
        <v>2.7836373474599538</v>
      </c>
      <c r="K128">
        <v>0.1064453125</v>
      </c>
    </row>
    <row r="129" spans="1:11" x14ac:dyDescent="0.45">
      <c r="A129">
        <v>2.8081690654569935</v>
      </c>
      <c r="B129">
        <v>0.119140625</v>
      </c>
      <c r="D129">
        <v>-10.60163586688383</v>
      </c>
      <c r="E129">
        <v>0.1181640625</v>
      </c>
      <c r="G129">
        <v>1.6750354431765495</v>
      </c>
      <c r="H129">
        <v>0.1142578125</v>
      </c>
      <c r="J129">
        <v>2.7836373474599538</v>
      </c>
      <c r="K129">
        <v>0.1083984375</v>
      </c>
    </row>
    <row r="130" spans="1:11" x14ac:dyDescent="0.45">
      <c r="A130">
        <v>2.8081690654569935</v>
      </c>
      <c r="B130">
        <v>0.12109375</v>
      </c>
      <c r="D130">
        <v>-10.60163586688383</v>
      </c>
      <c r="E130">
        <v>0.119140625</v>
      </c>
      <c r="G130">
        <v>1.6750354431765495</v>
      </c>
      <c r="H130">
        <v>0.115234375</v>
      </c>
      <c r="J130">
        <v>2.7836373474599538</v>
      </c>
      <c r="K130">
        <v>0.109375</v>
      </c>
    </row>
    <row r="131" spans="1:11" x14ac:dyDescent="0.45">
      <c r="A131">
        <v>2.8081690654569935</v>
      </c>
      <c r="B131">
        <v>0.125</v>
      </c>
      <c r="D131">
        <v>-10.483047935047331</v>
      </c>
      <c r="E131">
        <v>0.1201171875</v>
      </c>
      <c r="G131">
        <v>1.6808522765925888</v>
      </c>
      <c r="H131">
        <v>0.115478515625</v>
      </c>
      <c r="J131">
        <v>2.7836373474599538</v>
      </c>
      <c r="K131">
        <v>0.111328125</v>
      </c>
    </row>
    <row r="132" spans="1:11" x14ac:dyDescent="0.45">
      <c r="A132">
        <v>2.8081690654569935</v>
      </c>
      <c r="B132">
        <v>0.1328125</v>
      </c>
      <c r="D132">
        <v>-10.483047935047331</v>
      </c>
      <c r="E132">
        <v>0.1220703125</v>
      </c>
      <c r="G132">
        <v>1.6808522765925888</v>
      </c>
      <c r="H132">
        <v>0.115966796875</v>
      </c>
      <c r="J132">
        <v>2.7836373474599538</v>
      </c>
      <c r="K132">
        <v>0.115234375</v>
      </c>
    </row>
    <row r="133" spans="1:11" x14ac:dyDescent="0.45">
      <c r="A133">
        <v>2.8081690654569935</v>
      </c>
      <c r="B133">
        <v>0.13671875</v>
      </c>
      <c r="D133">
        <v>-10.483047935047331</v>
      </c>
      <c r="E133">
        <v>0.123046875</v>
      </c>
      <c r="G133">
        <v>1.6808522765925888</v>
      </c>
      <c r="H133">
        <v>0.1162109375</v>
      </c>
      <c r="J133">
        <v>2.7836373474599538</v>
      </c>
      <c r="K133">
        <v>0.1171875</v>
      </c>
    </row>
    <row r="134" spans="1:11" x14ac:dyDescent="0.45">
      <c r="A134">
        <v>2.8081690654569935</v>
      </c>
      <c r="B134">
        <v>0.138671875</v>
      </c>
      <c r="D134">
        <v>-10.393219174018935</v>
      </c>
      <c r="E134">
        <v>0.12353515625</v>
      </c>
      <c r="G134">
        <v>1.9033417760409903</v>
      </c>
      <c r="H134">
        <v>0.1171875</v>
      </c>
      <c r="J134">
        <v>2.7836373474599538</v>
      </c>
      <c r="K134">
        <v>0.1181640625</v>
      </c>
    </row>
    <row r="135" spans="1:11" x14ac:dyDescent="0.45">
      <c r="A135">
        <v>2.8081690654569935</v>
      </c>
      <c r="B135">
        <v>0.142578125</v>
      </c>
      <c r="D135">
        <v>-10.393219174018935</v>
      </c>
      <c r="E135">
        <v>0.12451171875</v>
      </c>
      <c r="G135">
        <v>1.9033417760409903</v>
      </c>
      <c r="H135">
        <v>0.119140625</v>
      </c>
      <c r="J135">
        <v>2.7836373474599538</v>
      </c>
      <c r="K135">
        <v>0.1201171875</v>
      </c>
    </row>
    <row r="136" spans="1:11" x14ac:dyDescent="0.45">
      <c r="A136">
        <v>2.8081690654569935</v>
      </c>
      <c r="B136">
        <v>0.14453125</v>
      </c>
      <c r="D136">
        <v>-10.393219174018935</v>
      </c>
      <c r="E136">
        <v>0.125</v>
      </c>
      <c r="G136">
        <v>1.9033417760409903</v>
      </c>
      <c r="H136">
        <v>0.1201171875</v>
      </c>
      <c r="J136">
        <v>2.7836373474599538</v>
      </c>
      <c r="K136">
        <v>0.12109375</v>
      </c>
    </row>
    <row r="137" spans="1:11" x14ac:dyDescent="0.45">
      <c r="A137">
        <v>2.8081690654569935</v>
      </c>
      <c r="B137">
        <v>0.1455078125</v>
      </c>
      <c r="D137">
        <v>-9.9981443670671162</v>
      </c>
      <c r="E137">
        <v>0.125244140625</v>
      </c>
      <c r="G137">
        <v>1.933081491291633</v>
      </c>
      <c r="H137">
        <v>0.1220703125</v>
      </c>
      <c r="J137">
        <v>2.8994701771222213</v>
      </c>
      <c r="K137">
        <v>0.121337890625</v>
      </c>
    </row>
    <row r="138" spans="1:11" x14ac:dyDescent="0.45">
      <c r="A138">
        <v>2.8081690654569935</v>
      </c>
      <c r="B138">
        <v>0.1474609375</v>
      </c>
      <c r="D138">
        <v>-9.9981443670671162</v>
      </c>
      <c r="E138">
        <v>0.125732421875</v>
      </c>
      <c r="G138">
        <v>1.933081491291633</v>
      </c>
      <c r="H138">
        <v>0.1259765625</v>
      </c>
      <c r="J138">
        <v>2.8994701771222213</v>
      </c>
      <c r="K138">
        <v>0.121826171875</v>
      </c>
    </row>
    <row r="139" spans="1:11" x14ac:dyDescent="0.45">
      <c r="A139">
        <v>2.8081690654569935</v>
      </c>
      <c r="B139">
        <v>0.1484375</v>
      </c>
      <c r="D139">
        <v>-9.9981443670671162</v>
      </c>
      <c r="E139">
        <v>0.1259765625</v>
      </c>
      <c r="G139">
        <v>1.933081491291633</v>
      </c>
      <c r="H139">
        <v>0.1279296875</v>
      </c>
      <c r="J139">
        <v>2.8994701771222213</v>
      </c>
      <c r="K139">
        <v>0.1220703125</v>
      </c>
    </row>
    <row r="140" spans="1:11" x14ac:dyDescent="0.45">
      <c r="A140">
        <v>2.8081690654569935</v>
      </c>
      <c r="B140">
        <v>0.150390625</v>
      </c>
      <c r="D140">
        <v>-9.7032717337676591</v>
      </c>
      <c r="E140">
        <v>0.126953125</v>
      </c>
      <c r="G140">
        <v>1.9355965121151222</v>
      </c>
      <c r="H140">
        <v>0.12841796875</v>
      </c>
      <c r="J140">
        <v>2.8994701771222213</v>
      </c>
      <c r="K140">
        <v>0.12255859375</v>
      </c>
    </row>
    <row r="141" spans="1:11" x14ac:dyDescent="0.45">
      <c r="A141">
        <v>2.8081690654569935</v>
      </c>
      <c r="B141">
        <v>0.154296875</v>
      </c>
      <c r="D141">
        <v>-9.7032717337676591</v>
      </c>
      <c r="E141">
        <v>0.12890625</v>
      </c>
      <c r="G141">
        <v>1.9355965121151222</v>
      </c>
      <c r="H141">
        <v>0.12939453125</v>
      </c>
      <c r="J141">
        <v>2.8994701771222213</v>
      </c>
      <c r="K141">
        <v>0.12353515625</v>
      </c>
    </row>
    <row r="142" spans="1:11" x14ac:dyDescent="0.45">
      <c r="A142">
        <v>2.8081690654569935</v>
      </c>
      <c r="B142">
        <v>0.15625</v>
      </c>
      <c r="D142">
        <v>-9.7032717337676591</v>
      </c>
      <c r="E142">
        <v>0.1298828125</v>
      </c>
      <c r="G142">
        <v>1.9355965121151222</v>
      </c>
      <c r="H142">
        <v>0.1298828125</v>
      </c>
      <c r="J142">
        <v>2.8994701771222213</v>
      </c>
      <c r="K142">
        <v>0.1240234375</v>
      </c>
    </row>
    <row r="143" spans="1:11" x14ac:dyDescent="0.45">
      <c r="A143">
        <v>2.8081690654569935</v>
      </c>
      <c r="B143">
        <v>0.1572265625</v>
      </c>
      <c r="D143">
        <v>-9.495360917667794</v>
      </c>
      <c r="E143">
        <v>0.130859375</v>
      </c>
      <c r="G143">
        <v>2.0687412634985751</v>
      </c>
      <c r="H143">
        <v>0.13037109375</v>
      </c>
      <c r="J143">
        <v>2.8994701771222213</v>
      </c>
      <c r="K143">
        <v>0.124267578125</v>
      </c>
    </row>
    <row r="144" spans="1:11" x14ac:dyDescent="0.45">
      <c r="A144">
        <v>2.8081690654569935</v>
      </c>
      <c r="B144">
        <v>0.1591796875</v>
      </c>
      <c r="D144">
        <v>-9.495360917667794</v>
      </c>
      <c r="E144">
        <v>0.1328125</v>
      </c>
      <c r="G144">
        <v>2.0687412634985751</v>
      </c>
      <c r="H144">
        <v>0.13134765625</v>
      </c>
      <c r="J144">
        <v>2.8994701771222213</v>
      </c>
      <c r="K144">
        <v>0.124755859375</v>
      </c>
    </row>
    <row r="145" spans="1:11" x14ac:dyDescent="0.45">
      <c r="A145">
        <v>2.8081690654569935</v>
      </c>
      <c r="B145">
        <v>0.16015625</v>
      </c>
      <c r="D145">
        <v>-9.495360917667794</v>
      </c>
      <c r="E145">
        <v>0.1337890625</v>
      </c>
      <c r="G145">
        <v>2.0687412634985751</v>
      </c>
      <c r="H145">
        <v>0.1318359375</v>
      </c>
      <c r="J145">
        <v>2.8994701771222213</v>
      </c>
      <c r="K145">
        <v>0.125</v>
      </c>
    </row>
    <row r="146" spans="1:11" x14ac:dyDescent="0.45">
      <c r="A146">
        <v>2.8081690654569935</v>
      </c>
      <c r="B146">
        <v>0.16064453125</v>
      </c>
      <c r="D146">
        <v>-9.4953609176677851</v>
      </c>
      <c r="E146">
        <v>0.13427734375</v>
      </c>
      <c r="G146">
        <v>2.1010653457407376</v>
      </c>
      <c r="H146">
        <v>0.1328125</v>
      </c>
      <c r="J146">
        <v>3.0255340978666676</v>
      </c>
      <c r="K146">
        <v>0.12548828125</v>
      </c>
    </row>
    <row r="147" spans="1:11" x14ac:dyDescent="0.45">
      <c r="A147">
        <v>2.8081690654569935</v>
      </c>
      <c r="B147">
        <v>0.16162109375</v>
      </c>
      <c r="D147">
        <v>-9.4953609176677851</v>
      </c>
      <c r="E147">
        <v>0.13525390625</v>
      </c>
      <c r="G147">
        <v>2.1010653457407376</v>
      </c>
      <c r="H147">
        <v>0.134765625</v>
      </c>
      <c r="J147">
        <v>3.0255340978666676</v>
      </c>
      <c r="K147">
        <v>0.12646484375</v>
      </c>
    </row>
    <row r="148" spans="1:11" x14ac:dyDescent="0.45">
      <c r="A148">
        <v>2.8081690654569935</v>
      </c>
      <c r="B148">
        <v>0.162109375</v>
      </c>
      <c r="D148">
        <v>-9.4953609176677851</v>
      </c>
      <c r="E148">
        <v>0.1357421875</v>
      </c>
      <c r="G148">
        <v>2.1010653457407376</v>
      </c>
      <c r="H148">
        <v>0.1357421875</v>
      </c>
      <c r="J148">
        <v>3.0255340978666676</v>
      </c>
      <c r="K148">
        <v>0.126953125</v>
      </c>
    </row>
    <row r="149" spans="1:11" x14ac:dyDescent="0.45">
      <c r="A149">
        <v>2.8081690654569935</v>
      </c>
      <c r="B149">
        <v>0.1630859375</v>
      </c>
      <c r="D149">
        <v>-9.2864383480378674</v>
      </c>
      <c r="E149">
        <v>0.13623046875</v>
      </c>
      <c r="G149">
        <v>2.1412594980461193</v>
      </c>
      <c r="H149">
        <v>0.13623046875</v>
      </c>
      <c r="J149">
        <v>3.0255340978666676</v>
      </c>
      <c r="K149">
        <v>0.1279296875</v>
      </c>
    </row>
    <row r="150" spans="1:11" x14ac:dyDescent="0.45">
      <c r="A150">
        <v>2.8081690654569935</v>
      </c>
      <c r="B150">
        <v>0.1650390625</v>
      </c>
      <c r="D150">
        <v>-9.2864383480378674</v>
      </c>
      <c r="E150">
        <v>0.13720703125</v>
      </c>
      <c r="G150">
        <v>2.1412594980461193</v>
      </c>
      <c r="H150">
        <v>0.13720703125</v>
      </c>
      <c r="J150">
        <v>3.0255340978666676</v>
      </c>
      <c r="K150">
        <v>0.1298828125</v>
      </c>
    </row>
    <row r="151" spans="1:11" x14ac:dyDescent="0.45">
      <c r="A151">
        <v>2.8081690654569935</v>
      </c>
      <c r="B151">
        <v>0.166015625</v>
      </c>
      <c r="D151">
        <v>-9.2864383480378674</v>
      </c>
      <c r="E151">
        <v>0.1376953125</v>
      </c>
      <c r="G151">
        <v>2.1412594980461193</v>
      </c>
      <c r="H151">
        <v>0.1376953125</v>
      </c>
      <c r="J151">
        <v>3.0255340978666676</v>
      </c>
      <c r="K151">
        <v>0.130859375</v>
      </c>
    </row>
    <row r="152" spans="1:11" x14ac:dyDescent="0.45">
      <c r="A152">
        <v>2.8081690654569935</v>
      </c>
      <c r="B152">
        <v>0.16650390625</v>
      </c>
      <c r="D152">
        <v>-9.2476804588338926</v>
      </c>
      <c r="E152">
        <v>0.138671875</v>
      </c>
      <c r="G152">
        <v>2.3273339214358928</v>
      </c>
      <c r="H152">
        <v>0.137939453125</v>
      </c>
      <c r="J152">
        <v>3.0255340978666676</v>
      </c>
      <c r="K152">
        <v>0.13134765625</v>
      </c>
    </row>
    <row r="153" spans="1:11" x14ac:dyDescent="0.45">
      <c r="A153">
        <v>2.8081690654569935</v>
      </c>
      <c r="B153">
        <v>0.16748046875</v>
      </c>
      <c r="D153">
        <v>-9.2476804588338926</v>
      </c>
      <c r="E153">
        <v>0.140625</v>
      </c>
      <c r="G153">
        <v>2.3273339214358928</v>
      </c>
      <c r="H153">
        <v>0.138427734375</v>
      </c>
      <c r="J153">
        <v>3.0255340978666676</v>
      </c>
      <c r="K153">
        <v>0.13232421875</v>
      </c>
    </row>
    <row r="154" spans="1:11" x14ac:dyDescent="0.45">
      <c r="A154">
        <v>2.8081690654569935</v>
      </c>
      <c r="B154">
        <v>0.16796875</v>
      </c>
      <c r="D154">
        <v>-9.2476804588338926</v>
      </c>
      <c r="E154">
        <v>0.1416015625</v>
      </c>
      <c r="G154">
        <v>2.3273339214358928</v>
      </c>
      <c r="H154">
        <v>0.138671875</v>
      </c>
      <c r="J154">
        <v>3.0255340978666676</v>
      </c>
      <c r="K154">
        <v>0.1328125</v>
      </c>
    </row>
    <row r="155" spans="1:11" x14ac:dyDescent="0.45">
      <c r="A155">
        <v>2.8081690654569935</v>
      </c>
      <c r="B155">
        <v>0.1689453125</v>
      </c>
      <c r="D155">
        <v>-8.7448970094345775</v>
      </c>
      <c r="E155">
        <v>0.14208984375</v>
      </c>
      <c r="G155">
        <v>2.3791772200512344</v>
      </c>
      <c r="H155">
        <v>0.142578125</v>
      </c>
      <c r="J155">
        <v>3.0691386138661052</v>
      </c>
      <c r="K155">
        <v>0.134765625</v>
      </c>
    </row>
    <row r="156" spans="1:11" x14ac:dyDescent="0.45">
      <c r="A156">
        <v>2.8081690654569935</v>
      </c>
      <c r="B156">
        <v>0.1708984375</v>
      </c>
      <c r="D156">
        <v>-8.7448970094345775</v>
      </c>
      <c r="E156">
        <v>0.14306640625</v>
      </c>
      <c r="G156">
        <v>2.3791772200512344</v>
      </c>
      <c r="H156">
        <v>0.150390625</v>
      </c>
      <c r="J156">
        <v>3.0691386138661052</v>
      </c>
      <c r="K156">
        <v>0.138671875</v>
      </c>
    </row>
    <row r="157" spans="1:11" x14ac:dyDescent="0.45">
      <c r="A157">
        <v>2.8081690654569935</v>
      </c>
      <c r="B157">
        <v>0.171875</v>
      </c>
      <c r="D157">
        <v>-8.7448970094345775</v>
      </c>
      <c r="E157">
        <v>0.1435546875</v>
      </c>
      <c r="G157">
        <v>2.3791772200512344</v>
      </c>
      <c r="H157">
        <v>0.154296875</v>
      </c>
      <c r="J157">
        <v>3.0691386138661052</v>
      </c>
      <c r="K157">
        <v>0.140625</v>
      </c>
    </row>
    <row r="158" spans="1:11" x14ac:dyDescent="0.45">
      <c r="A158">
        <v>2.8081690654569935</v>
      </c>
      <c r="B158">
        <v>0.173828125</v>
      </c>
      <c r="D158">
        <v>-8.5040896672095787</v>
      </c>
      <c r="E158">
        <v>0.1474609375</v>
      </c>
      <c r="G158">
        <v>2.3822726302955366</v>
      </c>
      <c r="H158">
        <v>0.1552734375</v>
      </c>
      <c r="J158">
        <v>3.0691386138661052</v>
      </c>
      <c r="K158">
        <v>0.14453125</v>
      </c>
    </row>
    <row r="159" spans="1:11" x14ac:dyDescent="0.45">
      <c r="A159">
        <v>2.8081690654569935</v>
      </c>
      <c r="B159">
        <v>0.177734375</v>
      </c>
      <c r="D159">
        <v>-8.5040896672095787</v>
      </c>
      <c r="E159">
        <v>0.1552734375</v>
      </c>
      <c r="G159">
        <v>2.3822726302955366</v>
      </c>
      <c r="H159">
        <v>0.1572265625</v>
      </c>
      <c r="J159">
        <v>3.0691386138661052</v>
      </c>
      <c r="K159">
        <v>0.15234375</v>
      </c>
    </row>
    <row r="160" spans="1:11" x14ac:dyDescent="0.45">
      <c r="A160">
        <v>2.8081690654569935</v>
      </c>
      <c r="B160">
        <v>0.1796875</v>
      </c>
      <c r="D160">
        <v>-8.5040896672095787</v>
      </c>
      <c r="E160">
        <v>0.1591796875</v>
      </c>
      <c r="G160">
        <v>2.3822726302955366</v>
      </c>
      <c r="H160">
        <v>0.158203125</v>
      </c>
      <c r="J160">
        <v>3.0691386138661052</v>
      </c>
      <c r="K160">
        <v>0.15625</v>
      </c>
    </row>
    <row r="161" spans="1:11" x14ac:dyDescent="0.45">
      <c r="A161">
        <v>2.8081690654569935</v>
      </c>
      <c r="B161">
        <v>0.1806640625</v>
      </c>
      <c r="D161">
        <v>-8.4962887341342359</v>
      </c>
      <c r="E161">
        <v>0.16015625</v>
      </c>
      <c r="G161">
        <v>2.4194956401439001</v>
      </c>
      <c r="H161">
        <v>0.15869140625</v>
      </c>
      <c r="J161">
        <v>3.0691386138661052</v>
      </c>
      <c r="K161">
        <v>0.158203125</v>
      </c>
    </row>
    <row r="162" spans="1:11" x14ac:dyDescent="0.45">
      <c r="A162">
        <v>2.8081690654569935</v>
      </c>
      <c r="B162">
        <v>0.1826171875</v>
      </c>
      <c r="D162">
        <v>-8.4962887341342359</v>
      </c>
      <c r="E162">
        <v>0.162109375</v>
      </c>
      <c r="G162">
        <v>2.4194956401439001</v>
      </c>
      <c r="H162">
        <v>0.15966796875</v>
      </c>
      <c r="J162">
        <v>3.0691386138661052</v>
      </c>
      <c r="K162">
        <v>0.162109375</v>
      </c>
    </row>
    <row r="163" spans="1:11" x14ac:dyDescent="0.45">
      <c r="A163">
        <v>2.8081690654569935</v>
      </c>
      <c r="B163">
        <v>0.18359375</v>
      </c>
      <c r="D163">
        <v>-8.4962887341342359</v>
      </c>
      <c r="E163">
        <v>0.1630859375</v>
      </c>
      <c r="G163">
        <v>2.4194956401439001</v>
      </c>
      <c r="H163">
        <v>0.16015625</v>
      </c>
      <c r="J163">
        <v>3.0691386138661052</v>
      </c>
      <c r="K163">
        <v>0.1640625</v>
      </c>
    </row>
    <row r="164" spans="1:11" x14ac:dyDescent="0.45">
      <c r="A164">
        <v>2.8081690654569935</v>
      </c>
      <c r="B164">
        <v>0.18408203125</v>
      </c>
      <c r="D164">
        <v>-8.2032717337676591</v>
      </c>
      <c r="E164">
        <v>0.16357421875</v>
      </c>
      <c r="G164">
        <v>2.4194956401439036</v>
      </c>
      <c r="H164">
        <v>0.1611328125</v>
      </c>
      <c r="J164">
        <v>3.1315920158924504</v>
      </c>
      <c r="K164">
        <v>0.16455078125</v>
      </c>
    </row>
    <row r="165" spans="1:11" x14ac:dyDescent="0.45">
      <c r="A165">
        <v>2.8081690654569935</v>
      </c>
      <c r="B165">
        <v>0.18505859375</v>
      </c>
      <c r="D165">
        <v>-8.2032717337676591</v>
      </c>
      <c r="E165">
        <v>0.16455078125</v>
      </c>
      <c r="G165">
        <v>2.4194956401439036</v>
      </c>
      <c r="H165">
        <v>0.1630859375</v>
      </c>
      <c r="J165">
        <v>3.1315920158924504</v>
      </c>
      <c r="K165">
        <v>0.16552734375</v>
      </c>
    </row>
    <row r="166" spans="1:11" x14ac:dyDescent="0.45">
      <c r="A166">
        <v>2.8081690654569935</v>
      </c>
      <c r="B166">
        <v>0.185546875</v>
      </c>
      <c r="D166">
        <v>-8.2032717337676591</v>
      </c>
      <c r="E166">
        <v>0.1650390625</v>
      </c>
      <c r="G166">
        <v>2.4194956401439036</v>
      </c>
      <c r="H166">
        <v>0.1640625</v>
      </c>
      <c r="J166">
        <v>3.1315920158924504</v>
      </c>
      <c r="K166">
        <v>0.166015625</v>
      </c>
    </row>
    <row r="167" spans="1:11" x14ac:dyDescent="0.45">
      <c r="A167">
        <v>2.8081690654569935</v>
      </c>
      <c r="B167">
        <v>0.1865234375</v>
      </c>
      <c r="D167">
        <v>-7.9944331012013539</v>
      </c>
      <c r="E167">
        <v>0.16552734375</v>
      </c>
      <c r="G167">
        <v>2.5801089173508185</v>
      </c>
      <c r="H167">
        <v>0.166015625</v>
      </c>
      <c r="J167">
        <v>3.1315920158924504</v>
      </c>
      <c r="K167">
        <v>0.1669921875</v>
      </c>
    </row>
    <row r="168" spans="1:11" x14ac:dyDescent="0.45">
      <c r="A168">
        <v>2.8081690654569935</v>
      </c>
      <c r="B168">
        <v>0.1884765625</v>
      </c>
      <c r="D168">
        <v>-7.9944331012013539</v>
      </c>
      <c r="E168">
        <v>0.16650390625</v>
      </c>
      <c r="G168">
        <v>2.5801089173508185</v>
      </c>
      <c r="H168">
        <v>0.169921875</v>
      </c>
      <c r="J168">
        <v>3.1315920158924504</v>
      </c>
      <c r="K168">
        <v>0.1689453125</v>
      </c>
    </row>
    <row r="169" spans="1:11" x14ac:dyDescent="0.45">
      <c r="A169">
        <v>2.8081690654569935</v>
      </c>
      <c r="B169">
        <v>0.189453125</v>
      </c>
      <c r="D169">
        <v>-7.9944331012013539</v>
      </c>
      <c r="E169">
        <v>0.1669921875</v>
      </c>
      <c r="G169">
        <v>2.5801089173508185</v>
      </c>
      <c r="H169">
        <v>0.171875</v>
      </c>
      <c r="J169">
        <v>3.1315920158924504</v>
      </c>
      <c r="K169">
        <v>0.169921875</v>
      </c>
    </row>
    <row r="170" spans="1:11" x14ac:dyDescent="0.45">
      <c r="A170">
        <v>2.8081690654569935</v>
      </c>
      <c r="B170">
        <v>0.18994140625</v>
      </c>
      <c r="D170">
        <v>-7.9830479350473311</v>
      </c>
      <c r="E170">
        <v>0.1689453125</v>
      </c>
      <c r="G170">
        <v>2.6614452041582859</v>
      </c>
      <c r="H170">
        <v>0.17236328125</v>
      </c>
      <c r="J170">
        <v>3.1315920158924504</v>
      </c>
      <c r="K170">
        <v>0.17041015625</v>
      </c>
    </row>
    <row r="171" spans="1:11" x14ac:dyDescent="0.45">
      <c r="A171">
        <v>2.8081690654569935</v>
      </c>
      <c r="B171">
        <v>0.19091796875</v>
      </c>
      <c r="D171">
        <v>-7.9830479350473311</v>
      </c>
      <c r="E171">
        <v>0.1728515625</v>
      </c>
      <c r="G171">
        <v>2.6614452041582859</v>
      </c>
      <c r="H171">
        <v>0.17333984375</v>
      </c>
      <c r="J171">
        <v>3.1315920158924504</v>
      </c>
      <c r="K171">
        <v>0.17138671875</v>
      </c>
    </row>
    <row r="172" spans="1:11" x14ac:dyDescent="0.45">
      <c r="A172">
        <v>2.8081690654569935</v>
      </c>
      <c r="B172">
        <v>0.19140625</v>
      </c>
      <c r="D172">
        <v>-7.9830479350473311</v>
      </c>
      <c r="E172">
        <v>0.1748046875</v>
      </c>
      <c r="G172">
        <v>2.6614452041582859</v>
      </c>
      <c r="H172">
        <v>0.173828125</v>
      </c>
      <c r="J172">
        <v>3.1315920158924504</v>
      </c>
      <c r="K172">
        <v>0.171875</v>
      </c>
    </row>
    <row r="173" spans="1:11" x14ac:dyDescent="0.45">
      <c r="A173">
        <v>2.9739715250640515</v>
      </c>
      <c r="B173">
        <v>0.19189453125</v>
      </c>
      <c r="D173">
        <v>-7.7864383480378674</v>
      </c>
      <c r="E173">
        <v>0.175048828125</v>
      </c>
      <c r="G173">
        <v>2.6765743725576416</v>
      </c>
      <c r="H173">
        <v>0.17578125</v>
      </c>
      <c r="J173">
        <v>3.2832645636707141</v>
      </c>
      <c r="K173">
        <v>0.1728515625</v>
      </c>
    </row>
    <row r="174" spans="1:11" x14ac:dyDescent="0.45">
      <c r="A174">
        <v>2.9739715250640515</v>
      </c>
      <c r="B174">
        <v>0.19287109375</v>
      </c>
      <c r="D174">
        <v>-7.7864383480378674</v>
      </c>
      <c r="E174">
        <v>0.175537109375</v>
      </c>
      <c r="G174">
        <v>2.6765743725576416</v>
      </c>
      <c r="H174">
        <v>0.1796875</v>
      </c>
      <c r="J174">
        <v>3.2832645636707141</v>
      </c>
      <c r="K174">
        <v>0.1748046875</v>
      </c>
    </row>
    <row r="175" spans="1:11" x14ac:dyDescent="0.45">
      <c r="A175">
        <v>2.9739715250640515</v>
      </c>
      <c r="B175">
        <v>0.193359375</v>
      </c>
      <c r="D175">
        <v>-7.7864383480378674</v>
      </c>
      <c r="E175">
        <v>0.17578125</v>
      </c>
      <c r="G175">
        <v>2.6765743725576416</v>
      </c>
      <c r="H175">
        <v>0.181640625</v>
      </c>
      <c r="J175">
        <v>3.2832645636707141</v>
      </c>
      <c r="K175">
        <v>0.17578125</v>
      </c>
    </row>
    <row r="176" spans="1:11" x14ac:dyDescent="0.45">
      <c r="A176">
        <v>2.9739715250640515</v>
      </c>
      <c r="B176">
        <v>0.1943359375</v>
      </c>
      <c r="D176">
        <v>-7.4065434675353199</v>
      </c>
      <c r="E176">
        <v>0.1767578125</v>
      </c>
      <c r="G176">
        <v>2.6800567090824772</v>
      </c>
      <c r="H176">
        <v>0.18212890625</v>
      </c>
      <c r="J176">
        <v>3.2832645636707141</v>
      </c>
      <c r="K176">
        <v>0.177734375</v>
      </c>
    </row>
    <row r="177" spans="1:11" x14ac:dyDescent="0.45">
      <c r="A177">
        <v>2.9739715250640515</v>
      </c>
      <c r="B177">
        <v>0.1962890625</v>
      </c>
      <c r="D177">
        <v>-7.4065434675353199</v>
      </c>
      <c r="E177">
        <v>0.1787109375</v>
      </c>
      <c r="G177">
        <v>2.6800567090824772</v>
      </c>
      <c r="H177">
        <v>0.18310546875</v>
      </c>
      <c r="J177">
        <v>3.2832645636707141</v>
      </c>
      <c r="K177">
        <v>0.181640625</v>
      </c>
    </row>
    <row r="178" spans="1:11" x14ac:dyDescent="0.45">
      <c r="A178">
        <v>2.9739715250640515</v>
      </c>
      <c r="B178">
        <v>0.197265625</v>
      </c>
      <c r="D178">
        <v>-7.4065434675353199</v>
      </c>
      <c r="E178">
        <v>0.1796875</v>
      </c>
      <c r="G178">
        <v>2.6800567090824772</v>
      </c>
      <c r="H178">
        <v>0.18359375</v>
      </c>
      <c r="J178">
        <v>3.2832645636707141</v>
      </c>
      <c r="K178">
        <v>0.18359375</v>
      </c>
    </row>
    <row r="179" spans="1:11" x14ac:dyDescent="0.45">
      <c r="A179">
        <v>2.9739715250640515</v>
      </c>
      <c r="B179">
        <v>0.19775390625</v>
      </c>
      <c r="D179">
        <v>-7.0040896672095787</v>
      </c>
      <c r="E179">
        <v>0.181640625</v>
      </c>
      <c r="G179">
        <v>2.8540413662347963</v>
      </c>
      <c r="H179">
        <v>0.1845703125</v>
      </c>
      <c r="J179">
        <v>3.2832645636707141</v>
      </c>
      <c r="K179">
        <v>0.1845703125</v>
      </c>
    </row>
    <row r="180" spans="1:11" x14ac:dyDescent="0.45">
      <c r="A180">
        <v>2.9739715250640515</v>
      </c>
      <c r="B180">
        <v>0.19873046875</v>
      </c>
      <c r="D180">
        <v>-7.0040896672095787</v>
      </c>
      <c r="E180">
        <v>0.185546875</v>
      </c>
      <c r="G180">
        <v>2.8540413662347963</v>
      </c>
      <c r="H180">
        <v>0.1865234375</v>
      </c>
      <c r="J180">
        <v>3.2832645636707141</v>
      </c>
      <c r="K180">
        <v>0.1865234375</v>
      </c>
    </row>
    <row r="181" spans="1:11" x14ac:dyDescent="0.45">
      <c r="A181">
        <v>2.9739715250640515</v>
      </c>
      <c r="B181">
        <v>0.19921875</v>
      </c>
      <c r="D181">
        <v>-7.0040896672095787</v>
      </c>
      <c r="E181">
        <v>0.1875</v>
      </c>
      <c r="G181">
        <v>2.8540413662347963</v>
      </c>
      <c r="H181">
        <v>0.1875</v>
      </c>
      <c r="J181">
        <v>3.2832645636707141</v>
      </c>
      <c r="K181">
        <v>0.1875</v>
      </c>
    </row>
    <row r="182" spans="1:11" x14ac:dyDescent="0.45">
      <c r="A182">
        <v>3.2324082242165226</v>
      </c>
      <c r="B182">
        <v>0.199462890625</v>
      </c>
      <c r="D182">
        <v>-6.9962887341342359</v>
      </c>
      <c r="E182">
        <v>0.18798828125</v>
      </c>
      <c r="G182">
        <v>2.9033947681726828</v>
      </c>
      <c r="H182">
        <v>0.18798828125</v>
      </c>
      <c r="J182">
        <v>3.3358452873914528</v>
      </c>
      <c r="K182">
        <v>0.1884765625</v>
      </c>
    </row>
    <row r="183" spans="1:11" x14ac:dyDescent="0.45">
      <c r="A183">
        <v>3.2324082242165226</v>
      </c>
      <c r="B183">
        <v>0.199951171875</v>
      </c>
      <c r="D183">
        <v>-6.9962887341342359</v>
      </c>
      <c r="E183">
        <v>0.18896484375</v>
      </c>
      <c r="G183">
        <v>2.9033947681726828</v>
      </c>
      <c r="H183">
        <v>0.18896484375</v>
      </c>
      <c r="J183">
        <v>3.3358452873914528</v>
      </c>
      <c r="K183">
        <v>0.1904296875</v>
      </c>
    </row>
    <row r="184" spans="1:11" x14ac:dyDescent="0.45">
      <c r="A184">
        <v>3.2324082242165226</v>
      </c>
      <c r="B184">
        <v>0.2001953125</v>
      </c>
      <c r="D184">
        <v>-6.9962887341342359</v>
      </c>
      <c r="E184">
        <v>0.189453125</v>
      </c>
      <c r="G184">
        <v>2.9033947681726828</v>
      </c>
      <c r="H184">
        <v>0.189453125</v>
      </c>
      <c r="J184">
        <v>3.3358452873914528</v>
      </c>
      <c r="K184">
        <v>0.19140625</v>
      </c>
    </row>
    <row r="185" spans="1:11" x14ac:dyDescent="0.45">
      <c r="A185">
        <v>3.2324082242165226</v>
      </c>
      <c r="B185">
        <v>0.20068359375</v>
      </c>
      <c r="D185">
        <v>-6.995360917667794</v>
      </c>
      <c r="E185">
        <v>0.19140625</v>
      </c>
      <c r="G185">
        <v>2.9778407878694191</v>
      </c>
      <c r="H185">
        <v>0.19140625</v>
      </c>
      <c r="J185">
        <v>3.3358452873914528</v>
      </c>
      <c r="K185">
        <v>0.193359375</v>
      </c>
    </row>
    <row r="186" spans="1:11" x14ac:dyDescent="0.45">
      <c r="A186">
        <v>3.2324082242165226</v>
      </c>
      <c r="B186">
        <v>0.20166015625</v>
      </c>
      <c r="D186">
        <v>-6.995360917667794</v>
      </c>
      <c r="E186">
        <v>0.1953125</v>
      </c>
      <c r="G186">
        <v>2.9778407878694191</v>
      </c>
      <c r="H186">
        <v>0.1953125</v>
      </c>
      <c r="J186">
        <v>3.3358452873914528</v>
      </c>
      <c r="K186">
        <v>0.197265625</v>
      </c>
    </row>
    <row r="187" spans="1:11" x14ac:dyDescent="0.45">
      <c r="A187">
        <v>3.2324082242165226</v>
      </c>
      <c r="B187">
        <v>0.2021484375</v>
      </c>
      <c r="D187">
        <v>-6.995360917667794</v>
      </c>
      <c r="E187">
        <v>0.197265625</v>
      </c>
      <c r="G187">
        <v>2.9778407878694191</v>
      </c>
      <c r="H187">
        <v>0.197265625</v>
      </c>
      <c r="J187">
        <v>3.3358452873914528</v>
      </c>
      <c r="K187">
        <v>0.19921875</v>
      </c>
    </row>
    <row r="188" spans="1:11" x14ac:dyDescent="0.45">
      <c r="A188">
        <v>3.2324082242165226</v>
      </c>
      <c r="B188">
        <v>0.202392578125</v>
      </c>
      <c r="D188">
        <v>-6.995360917667786</v>
      </c>
      <c r="E188">
        <v>0.1982421875</v>
      </c>
      <c r="G188">
        <v>2.9778407878694204</v>
      </c>
      <c r="H188">
        <v>0.1982421875</v>
      </c>
      <c r="J188">
        <v>3.3358452873914528</v>
      </c>
      <c r="K188">
        <v>0.2001953125</v>
      </c>
    </row>
    <row r="189" spans="1:11" x14ac:dyDescent="0.45">
      <c r="A189">
        <v>3.2324082242165226</v>
      </c>
      <c r="B189">
        <v>0.202880859375</v>
      </c>
      <c r="D189">
        <v>-6.995360917667786</v>
      </c>
      <c r="E189">
        <v>0.2001953125</v>
      </c>
      <c r="G189">
        <v>2.9778407878694204</v>
      </c>
      <c r="H189">
        <v>0.2001953125</v>
      </c>
      <c r="J189">
        <v>3.3358452873914528</v>
      </c>
      <c r="K189">
        <v>0.2021484375</v>
      </c>
    </row>
    <row r="190" spans="1:11" x14ac:dyDescent="0.45">
      <c r="A190">
        <v>3.2324082242165226</v>
      </c>
      <c r="B190">
        <v>0.203125</v>
      </c>
      <c r="D190">
        <v>-6.995360917667786</v>
      </c>
      <c r="E190">
        <v>0.201171875</v>
      </c>
      <c r="G190">
        <v>2.9778407878694204</v>
      </c>
      <c r="H190">
        <v>0.201171875</v>
      </c>
      <c r="J190">
        <v>3.3358452873914528</v>
      </c>
      <c r="K190">
        <v>0.203125</v>
      </c>
    </row>
    <row r="191" spans="1:11" x14ac:dyDescent="0.45">
      <c r="A191">
        <v>3.7223009848367745</v>
      </c>
      <c r="B191">
        <v>0.20361328125</v>
      </c>
      <c r="D191">
        <v>-6.5728766960757419</v>
      </c>
      <c r="E191">
        <v>0.20166015625</v>
      </c>
      <c r="G191">
        <v>3.0929303860666124</v>
      </c>
      <c r="H191">
        <v>0.2021484375</v>
      </c>
      <c r="J191">
        <v>3.403725860100002</v>
      </c>
      <c r="K191">
        <v>0.203369140625</v>
      </c>
    </row>
    <row r="192" spans="1:11" x14ac:dyDescent="0.45">
      <c r="A192">
        <v>3.7223009848367745</v>
      </c>
      <c r="B192">
        <v>0.20458984375</v>
      </c>
      <c r="D192">
        <v>-6.5728766960757419</v>
      </c>
      <c r="E192">
        <v>0.20263671875</v>
      </c>
      <c r="G192">
        <v>3.0929303860666124</v>
      </c>
      <c r="H192">
        <v>0.2041015625</v>
      </c>
      <c r="J192">
        <v>3.403725860100002</v>
      </c>
      <c r="K192">
        <v>0.203857421875</v>
      </c>
    </row>
    <row r="193" spans="1:11" x14ac:dyDescent="0.45">
      <c r="A193">
        <v>3.7223009848367745</v>
      </c>
      <c r="B193">
        <v>0.205078125</v>
      </c>
      <c r="D193">
        <v>-6.5728766960757419</v>
      </c>
      <c r="E193">
        <v>0.203125</v>
      </c>
      <c r="G193">
        <v>3.0929303860666124</v>
      </c>
      <c r="H193">
        <v>0.205078125</v>
      </c>
      <c r="J193">
        <v>3.403725860100002</v>
      </c>
      <c r="K193">
        <v>0.2041015625</v>
      </c>
    </row>
    <row r="194" spans="1:11" x14ac:dyDescent="0.45">
      <c r="A194">
        <v>3.7223009848367745</v>
      </c>
      <c r="B194">
        <v>0.2060546875</v>
      </c>
      <c r="D194">
        <v>-6.4935052847349111</v>
      </c>
      <c r="E194">
        <v>0.203369140625</v>
      </c>
      <c r="G194">
        <v>3.2570248666563648</v>
      </c>
      <c r="H194">
        <v>0.2060546875</v>
      </c>
      <c r="J194">
        <v>3.403725860100002</v>
      </c>
      <c r="K194">
        <v>0.20458984375</v>
      </c>
    </row>
    <row r="195" spans="1:11" x14ac:dyDescent="0.45">
      <c r="A195">
        <v>3.7223009848367745</v>
      </c>
      <c r="B195">
        <v>0.2080078125</v>
      </c>
      <c r="D195">
        <v>-6.4935052847349111</v>
      </c>
      <c r="E195">
        <v>0.203857421875</v>
      </c>
      <c r="G195">
        <v>3.2570248666563648</v>
      </c>
      <c r="H195">
        <v>0.2080078125</v>
      </c>
      <c r="J195">
        <v>3.403725860100002</v>
      </c>
      <c r="K195">
        <v>0.20556640625</v>
      </c>
    </row>
    <row r="196" spans="1:11" x14ac:dyDescent="0.45">
      <c r="A196">
        <v>3.7223009848367745</v>
      </c>
      <c r="B196">
        <v>0.208984375</v>
      </c>
      <c r="D196">
        <v>-6.4935052847349111</v>
      </c>
      <c r="E196">
        <v>0.2041015625</v>
      </c>
      <c r="G196">
        <v>3.2570248666563648</v>
      </c>
      <c r="H196">
        <v>0.208984375</v>
      </c>
      <c r="J196">
        <v>3.403725860100002</v>
      </c>
      <c r="K196">
        <v>0.2060546875</v>
      </c>
    </row>
    <row r="197" spans="1:11" x14ac:dyDescent="0.45">
      <c r="A197">
        <v>3.7223009848367745</v>
      </c>
      <c r="B197">
        <v>0.20947265625</v>
      </c>
      <c r="D197">
        <v>-6.4830479350473311</v>
      </c>
      <c r="E197">
        <v>0.205078125</v>
      </c>
      <c r="G197">
        <v>3.3500708863530946</v>
      </c>
      <c r="H197">
        <v>0.20947265625</v>
      </c>
      <c r="J197">
        <v>3.403725860100002</v>
      </c>
      <c r="K197">
        <v>0.206298828125</v>
      </c>
    </row>
    <row r="198" spans="1:11" x14ac:dyDescent="0.45">
      <c r="A198">
        <v>3.7223009848367745</v>
      </c>
      <c r="B198">
        <v>0.21044921875</v>
      </c>
      <c r="D198">
        <v>-6.4830479350473311</v>
      </c>
      <c r="E198">
        <v>0.20703125</v>
      </c>
      <c r="G198">
        <v>3.3500708863530946</v>
      </c>
      <c r="H198">
        <v>0.21044921875</v>
      </c>
      <c r="J198">
        <v>3.403725860100002</v>
      </c>
      <c r="K198">
        <v>0.206787109375</v>
      </c>
    </row>
    <row r="199" spans="1:11" x14ac:dyDescent="0.45">
      <c r="A199">
        <v>3.7223009848367745</v>
      </c>
      <c r="B199">
        <v>0.2109375</v>
      </c>
      <c r="D199">
        <v>-6.4830479350473311</v>
      </c>
      <c r="E199">
        <v>0.2080078125</v>
      </c>
      <c r="G199">
        <v>3.3500708863530946</v>
      </c>
      <c r="H199">
        <v>0.2109375</v>
      </c>
      <c r="J199">
        <v>3.403725860100002</v>
      </c>
      <c r="K199">
        <v>0.20703125</v>
      </c>
    </row>
    <row r="200" spans="1:11" x14ac:dyDescent="0.45">
      <c r="A200">
        <v>4.6528762310459681</v>
      </c>
      <c r="B200">
        <v>0.2119140625</v>
      </c>
      <c r="D200">
        <v>-6.2448970094345793</v>
      </c>
      <c r="E200">
        <v>0.208984375</v>
      </c>
      <c r="G200">
        <v>3.3500708863530968</v>
      </c>
      <c r="H200">
        <v>0.2119140625</v>
      </c>
      <c r="J200">
        <v>3.4527809405993679</v>
      </c>
      <c r="K200">
        <v>0.2080078125</v>
      </c>
    </row>
    <row r="201" spans="1:11" x14ac:dyDescent="0.45">
      <c r="A201">
        <v>4.6528762310459681</v>
      </c>
      <c r="B201">
        <v>0.2138671875</v>
      </c>
      <c r="D201">
        <v>-6.2448970094345793</v>
      </c>
      <c r="E201">
        <v>0.2109375</v>
      </c>
      <c r="G201">
        <v>3.3500708863530968</v>
      </c>
      <c r="H201">
        <v>0.2138671875</v>
      </c>
      <c r="J201">
        <v>3.4527809405993679</v>
      </c>
      <c r="K201">
        <v>0.2099609375</v>
      </c>
    </row>
    <row r="202" spans="1:11" x14ac:dyDescent="0.45">
      <c r="A202">
        <v>4.6528762310459681</v>
      </c>
      <c r="B202">
        <v>0.21484375</v>
      </c>
      <c r="D202">
        <v>-6.2448970094345793</v>
      </c>
      <c r="E202">
        <v>0.2119140625</v>
      </c>
      <c r="G202">
        <v>3.3500708863530968</v>
      </c>
      <c r="H202">
        <v>0.21484375</v>
      </c>
      <c r="J202">
        <v>3.4527809405993679</v>
      </c>
      <c r="K202">
        <v>0.2109375</v>
      </c>
    </row>
    <row r="203" spans="1:11" x14ac:dyDescent="0.45">
      <c r="A203">
        <v>4.6528762310459681</v>
      </c>
      <c r="B203">
        <v>0.216796875</v>
      </c>
      <c r="D203">
        <v>-5.495360917667794</v>
      </c>
      <c r="E203">
        <v>0.212890625</v>
      </c>
      <c r="G203">
        <v>3.3617045531851804</v>
      </c>
      <c r="H203">
        <v>0.21533203125</v>
      </c>
      <c r="J203">
        <v>3.4527809405993679</v>
      </c>
      <c r="K203">
        <v>0.212890625</v>
      </c>
    </row>
    <row r="204" spans="1:11" x14ac:dyDescent="0.45">
      <c r="A204">
        <v>4.6528762310459681</v>
      </c>
      <c r="B204">
        <v>0.220703125</v>
      </c>
      <c r="D204">
        <v>-5.495360917667794</v>
      </c>
      <c r="E204">
        <v>0.21484375</v>
      </c>
      <c r="G204">
        <v>3.3617045531851804</v>
      </c>
      <c r="H204">
        <v>0.21630859375</v>
      </c>
      <c r="J204">
        <v>3.4527809405993679</v>
      </c>
      <c r="K204">
        <v>0.216796875</v>
      </c>
    </row>
    <row r="205" spans="1:11" x14ac:dyDescent="0.45">
      <c r="A205">
        <v>4.6528762310459681</v>
      </c>
      <c r="B205">
        <v>0.22265625</v>
      </c>
      <c r="D205">
        <v>-5.495360917667794</v>
      </c>
      <c r="E205">
        <v>0.2158203125</v>
      </c>
      <c r="G205">
        <v>3.3617045531851804</v>
      </c>
      <c r="H205">
        <v>0.216796875</v>
      </c>
      <c r="J205">
        <v>3.4527809405993679</v>
      </c>
      <c r="K205">
        <v>0.21875</v>
      </c>
    </row>
    <row r="206" spans="1:11" x14ac:dyDescent="0.45">
      <c r="A206">
        <v>4.6528762310459681</v>
      </c>
      <c r="B206">
        <v>0.2236328125</v>
      </c>
      <c r="D206">
        <v>-5.4953609176677878</v>
      </c>
      <c r="E206">
        <v>0.21630859375</v>
      </c>
      <c r="G206">
        <v>3.3872938962014643</v>
      </c>
      <c r="H206">
        <v>0.217041015625</v>
      </c>
      <c r="J206">
        <v>3.4527809405993679</v>
      </c>
      <c r="K206">
        <v>0.2197265625</v>
      </c>
    </row>
    <row r="207" spans="1:11" x14ac:dyDescent="0.45">
      <c r="A207">
        <v>4.6528762310459681</v>
      </c>
      <c r="B207">
        <v>0.2255859375</v>
      </c>
      <c r="D207">
        <v>-5.4953609176677878</v>
      </c>
      <c r="E207">
        <v>0.21728515625</v>
      </c>
      <c r="G207">
        <v>3.3872938962014643</v>
      </c>
      <c r="H207">
        <v>0.217529296875</v>
      </c>
      <c r="J207">
        <v>3.4527809405993679</v>
      </c>
      <c r="K207">
        <v>0.2216796875</v>
      </c>
    </row>
    <row r="208" spans="1:11" x14ac:dyDescent="0.45">
      <c r="A208">
        <v>4.6528762310459681</v>
      </c>
      <c r="B208">
        <v>0.2265625</v>
      </c>
      <c r="D208">
        <v>-5.4953609176677878</v>
      </c>
      <c r="E208">
        <v>0.2177734375</v>
      </c>
      <c r="G208">
        <v>3.3872938962014643</v>
      </c>
      <c r="H208">
        <v>0.2177734375</v>
      </c>
      <c r="J208">
        <v>3.4527809405993679</v>
      </c>
      <c r="K208">
        <v>0.22265625</v>
      </c>
    </row>
    <row r="209" spans="1:11" x14ac:dyDescent="0.45">
      <c r="A209">
        <v>4.6528762310459726</v>
      </c>
      <c r="B209">
        <v>0.22705078125</v>
      </c>
      <c r="D209">
        <v>-5.4944331012013539</v>
      </c>
      <c r="E209">
        <v>0.21875</v>
      </c>
      <c r="G209">
        <v>3.5232151320528735</v>
      </c>
      <c r="H209">
        <v>0.21826171875</v>
      </c>
      <c r="J209">
        <v>3.5385123737104625</v>
      </c>
      <c r="K209">
        <v>0.22314453125</v>
      </c>
    </row>
    <row r="210" spans="1:11" x14ac:dyDescent="0.45">
      <c r="A210">
        <v>4.6528762310459726</v>
      </c>
      <c r="B210">
        <v>0.22802734375</v>
      </c>
      <c r="D210">
        <v>-5.4944331012013539</v>
      </c>
      <c r="E210">
        <v>0.220703125</v>
      </c>
      <c r="G210">
        <v>3.5232151320528735</v>
      </c>
      <c r="H210">
        <v>0.21923828125</v>
      </c>
      <c r="J210">
        <v>3.5385123737104625</v>
      </c>
      <c r="K210">
        <v>0.22412109375</v>
      </c>
    </row>
    <row r="211" spans="1:11" x14ac:dyDescent="0.45">
      <c r="A211">
        <v>4.6528762310459726</v>
      </c>
      <c r="B211">
        <v>0.228515625</v>
      </c>
      <c r="D211">
        <v>-5.4944331012013539</v>
      </c>
      <c r="E211">
        <v>0.2216796875</v>
      </c>
      <c r="G211">
        <v>3.5232151320528735</v>
      </c>
      <c r="H211">
        <v>0.2197265625</v>
      </c>
      <c r="J211">
        <v>3.5385123737104625</v>
      </c>
      <c r="K211">
        <v>0.224609375</v>
      </c>
    </row>
    <row r="212" spans="1:11" x14ac:dyDescent="0.45">
      <c r="A212">
        <v>4.6528762310459726</v>
      </c>
      <c r="B212">
        <v>0.2294921875</v>
      </c>
      <c r="D212">
        <v>-5.0596113222263472</v>
      </c>
      <c r="E212">
        <v>0.2236328125</v>
      </c>
      <c r="G212">
        <v>3.5734089454433042</v>
      </c>
      <c r="H212">
        <v>0.220703125</v>
      </c>
      <c r="J212">
        <v>3.5385123737104625</v>
      </c>
      <c r="K212">
        <v>0.2255859375</v>
      </c>
    </row>
    <row r="213" spans="1:11" x14ac:dyDescent="0.45">
      <c r="A213">
        <v>4.6528762310459726</v>
      </c>
      <c r="B213">
        <v>0.2314453125</v>
      </c>
      <c r="D213">
        <v>-5.0596113222263472</v>
      </c>
      <c r="E213">
        <v>0.2275390625</v>
      </c>
      <c r="G213">
        <v>3.5734089454433042</v>
      </c>
      <c r="H213">
        <v>0.22265625</v>
      </c>
      <c r="J213">
        <v>3.5385123737104625</v>
      </c>
      <c r="K213">
        <v>0.2275390625</v>
      </c>
    </row>
    <row r="214" spans="1:11" x14ac:dyDescent="0.45">
      <c r="A214">
        <v>4.6528762310459726</v>
      </c>
      <c r="B214">
        <v>0.232421875</v>
      </c>
      <c r="D214">
        <v>-5.0596113222263472</v>
      </c>
      <c r="E214">
        <v>0.2294921875</v>
      </c>
      <c r="G214">
        <v>3.5734089454433042</v>
      </c>
      <c r="H214">
        <v>0.2236328125</v>
      </c>
      <c r="J214">
        <v>3.5385123737104625</v>
      </c>
      <c r="K214">
        <v>0.228515625</v>
      </c>
    </row>
    <row r="215" spans="1:11" x14ac:dyDescent="0.45">
      <c r="A215">
        <v>4.6528762310459726</v>
      </c>
      <c r="B215">
        <v>0.23291015625</v>
      </c>
      <c r="D215">
        <v>-5.0596113222263472</v>
      </c>
      <c r="E215">
        <v>0.23046875</v>
      </c>
      <c r="G215">
        <v>3.6699535247005088</v>
      </c>
      <c r="H215">
        <v>0.224609375</v>
      </c>
      <c r="J215">
        <v>3.5385123737104625</v>
      </c>
      <c r="K215">
        <v>0.22900390625</v>
      </c>
    </row>
    <row r="216" spans="1:11" x14ac:dyDescent="0.45">
      <c r="A216">
        <v>4.6528762310459726</v>
      </c>
      <c r="B216">
        <v>0.23388671875</v>
      </c>
      <c r="D216">
        <v>-5.0596113222263472</v>
      </c>
      <c r="E216">
        <v>0.232421875</v>
      </c>
      <c r="G216">
        <v>3.6699535247005088</v>
      </c>
      <c r="H216">
        <v>0.2265625</v>
      </c>
      <c r="J216">
        <v>3.5385123737104625</v>
      </c>
      <c r="K216">
        <v>0.22998046875</v>
      </c>
    </row>
    <row r="217" spans="1:11" x14ac:dyDescent="0.45">
      <c r="A217">
        <v>4.6528762310459726</v>
      </c>
      <c r="B217">
        <v>0.234375</v>
      </c>
      <c r="D217">
        <v>-5.0596113222263472</v>
      </c>
      <c r="E217">
        <v>0.2333984375</v>
      </c>
      <c r="G217">
        <v>3.6699535247005088</v>
      </c>
      <c r="H217">
        <v>0.2275390625</v>
      </c>
      <c r="J217">
        <v>3.5385123737104625</v>
      </c>
      <c r="K217">
        <v>0.23046875</v>
      </c>
    </row>
    <row r="218" spans="1:11" x14ac:dyDescent="0.45">
      <c r="A218">
        <v>5.5834514772551609</v>
      </c>
      <c r="B218">
        <v>0.23486328125</v>
      </c>
      <c r="D218">
        <v>-4.9925774682684709</v>
      </c>
      <c r="E218">
        <v>0.23388671875</v>
      </c>
      <c r="G218">
        <v>3.6945813024782841</v>
      </c>
      <c r="H218">
        <v>0.22802734375</v>
      </c>
      <c r="J218">
        <v>3.5685786795350425</v>
      </c>
      <c r="K218">
        <v>0.23095703125</v>
      </c>
    </row>
    <row r="219" spans="1:11" x14ac:dyDescent="0.45">
      <c r="A219">
        <v>5.5834514772551609</v>
      </c>
      <c r="B219">
        <v>0.23583984375</v>
      </c>
      <c r="D219">
        <v>-4.9925774682684709</v>
      </c>
      <c r="E219">
        <v>0.23486328125</v>
      </c>
      <c r="G219">
        <v>3.6945813024782841</v>
      </c>
      <c r="H219">
        <v>0.22900390625</v>
      </c>
      <c r="J219">
        <v>3.5685786795350425</v>
      </c>
      <c r="K219">
        <v>0.23193359375</v>
      </c>
    </row>
    <row r="220" spans="1:11" x14ac:dyDescent="0.45">
      <c r="A220">
        <v>5.5834514772551609</v>
      </c>
      <c r="B220">
        <v>0.236328125</v>
      </c>
      <c r="D220">
        <v>-4.9925774682684709</v>
      </c>
      <c r="E220">
        <v>0.2353515625</v>
      </c>
      <c r="G220">
        <v>3.6945813024782841</v>
      </c>
      <c r="H220">
        <v>0.2294921875</v>
      </c>
      <c r="J220">
        <v>3.5685786795350425</v>
      </c>
      <c r="K220">
        <v>0.232421875</v>
      </c>
    </row>
    <row r="221" spans="1:11" x14ac:dyDescent="0.45">
      <c r="A221">
        <v>5.5834514772551609</v>
      </c>
      <c r="B221">
        <v>0.2373046875</v>
      </c>
      <c r="D221">
        <v>-4.9065434675353217</v>
      </c>
      <c r="E221">
        <v>0.2373046875</v>
      </c>
      <c r="G221">
        <v>3.8066835520819877</v>
      </c>
      <c r="H221">
        <v>0.2314453125</v>
      </c>
      <c r="J221">
        <v>3.5685786795350425</v>
      </c>
      <c r="K221">
        <v>0.2333984375</v>
      </c>
    </row>
    <row r="222" spans="1:11" x14ac:dyDescent="0.45">
      <c r="A222">
        <v>5.5834514772551609</v>
      </c>
      <c r="B222">
        <v>0.2392578125</v>
      </c>
      <c r="D222">
        <v>-4.9065434675353217</v>
      </c>
      <c r="E222">
        <v>0.2412109375</v>
      </c>
      <c r="G222">
        <v>3.8066835520819877</v>
      </c>
      <c r="H222">
        <v>0.2353515625</v>
      </c>
      <c r="J222">
        <v>3.5685786795350425</v>
      </c>
      <c r="K222">
        <v>0.2353515625</v>
      </c>
    </row>
    <row r="223" spans="1:11" x14ac:dyDescent="0.45">
      <c r="A223">
        <v>5.5834514772551609</v>
      </c>
      <c r="B223">
        <v>0.240234375</v>
      </c>
      <c r="D223">
        <v>-4.9065434675353217</v>
      </c>
      <c r="E223">
        <v>0.2431640625</v>
      </c>
      <c r="G223">
        <v>3.8066835520819877</v>
      </c>
      <c r="H223">
        <v>0.2373046875</v>
      </c>
      <c r="J223">
        <v>3.5685786795350425</v>
      </c>
      <c r="K223">
        <v>0.236328125</v>
      </c>
    </row>
    <row r="224" spans="1:11" x14ac:dyDescent="0.45">
      <c r="A224">
        <v>5.5834514772551609</v>
      </c>
      <c r="B224">
        <v>0.24072265625</v>
      </c>
      <c r="D224">
        <v>-4.7448970094345793</v>
      </c>
      <c r="E224">
        <v>0.24365234375</v>
      </c>
      <c r="G224">
        <v>3.819109929021486</v>
      </c>
      <c r="H224">
        <v>0.2392578125</v>
      </c>
      <c r="J224">
        <v>3.5685786795350425</v>
      </c>
      <c r="K224">
        <v>0.23681640625</v>
      </c>
    </row>
    <row r="225" spans="1:11" x14ac:dyDescent="0.45">
      <c r="A225">
        <v>5.5834514772551609</v>
      </c>
      <c r="B225">
        <v>0.24169921875</v>
      </c>
      <c r="D225">
        <v>-4.7448970094345793</v>
      </c>
      <c r="E225">
        <v>0.24462890625</v>
      </c>
      <c r="G225">
        <v>3.819109929021486</v>
      </c>
      <c r="H225">
        <v>0.2431640625</v>
      </c>
      <c r="J225">
        <v>3.5685786795350425</v>
      </c>
      <c r="K225">
        <v>0.23779296875</v>
      </c>
    </row>
    <row r="226" spans="1:11" x14ac:dyDescent="0.45">
      <c r="A226">
        <v>5.5834514772551609</v>
      </c>
      <c r="B226">
        <v>0.2421875</v>
      </c>
      <c r="D226">
        <v>-4.7448970094345793</v>
      </c>
      <c r="E226">
        <v>0.2451171875</v>
      </c>
      <c r="G226">
        <v>3.819109929021486</v>
      </c>
      <c r="H226">
        <v>0.2451171875</v>
      </c>
      <c r="J226">
        <v>3.5685786795350425</v>
      </c>
      <c r="K226">
        <v>0.23828125</v>
      </c>
    </row>
    <row r="227" spans="1:11" x14ac:dyDescent="0.45">
      <c r="A227">
        <v>5.616338130913987</v>
      </c>
      <c r="B227">
        <v>0.2431640625</v>
      </c>
      <c r="D227">
        <v>-4.4294892017680674</v>
      </c>
      <c r="E227">
        <v>0.24609375</v>
      </c>
      <c r="G227">
        <v>3.819109929021486</v>
      </c>
      <c r="H227">
        <v>0.24609375</v>
      </c>
      <c r="J227">
        <v>3.6936726341295558</v>
      </c>
      <c r="K227">
        <v>0.23876953125</v>
      </c>
    </row>
    <row r="228" spans="1:11" x14ac:dyDescent="0.45">
      <c r="A228">
        <v>5.616338130913987</v>
      </c>
      <c r="B228">
        <v>0.2451171875</v>
      </c>
      <c r="D228">
        <v>-4.4294892017680674</v>
      </c>
      <c r="E228">
        <v>0.248046875</v>
      </c>
      <c r="G228">
        <v>3.819109929021486</v>
      </c>
      <c r="H228">
        <v>0.248046875</v>
      </c>
      <c r="J228">
        <v>3.6936726341295558</v>
      </c>
      <c r="K228">
        <v>0.23974609375</v>
      </c>
    </row>
    <row r="229" spans="1:11" x14ac:dyDescent="0.45">
      <c r="A229">
        <v>5.616338130913987</v>
      </c>
      <c r="B229">
        <v>0.24609375</v>
      </c>
      <c r="D229">
        <v>-4.4294892017680674</v>
      </c>
      <c r="E229">
        <v>0.2490234375</v>
      </c>
      <c r="G229">
        <v>3.819109929021486</v>
      </c>
      <c r="H229">
        <v>0.2490234375</v>
      </c>
      <c r="J229">
        <v>3.6936726341295558</v>
      </c>
      <c r="K229">
        <v>0.240234375</v>
      </c>
    </row>
    <row r="230" spans="1:11" x14ac:dyDescent="0.45">
      <c r="A230">
        <v>5.616338130913987</v>
      </c>
      <c r="B230">
        <v>0.248046875</v>
      </c>
      <c r="D230">
        <v>-4.3446050569387502</v>
      </c>
      <c r="E230">
        <v>0.25</v>
      </c>
      <c r="G230">
        <v>3.819109929021486</v>
      </c>
      <c r="H230">
        <v>0.25</v>
      </c>
      <c r="J230">
        <v>3.6936726341295558</v>
      </c>
      <c r="K230">
        <v>0.2412109375</v>
      </c>
    </row>
    <row r="231" spans="1:11" x14ac:dyDescent="0.45">
      <c r="A231">
        <v>5.616338130913987</v>
      </c>
      <c r="B231">
        <v>0.251953125</v>
      </c>
      <c r="D231">
        <v>-4.3446050569387502</v>
      </c>
      <c r="E231">
        <v>0.251953125</v>
      </c>
      <c r="G231">
        <v>3.819109929021486</v>
      </c>
      <c r="H231">
        <v>0.251953125</v>
      </c>
      <c r="J231">
        <v>3.6936726341295558</v>
      </c>
      <c r="K231">
        <v>0.2431640625</v>
      </c>
    </row>
    <row r="232" spans="1:11" x14ac:dyDescent="0.45">
      <c r="A232">
        <v>5.616338130913987</v>
      </c>
      <c r="B232">
        <v>0.25390625</v>
      </c>
      <c r="D232">
        <v>-4.3446050569387502</v>
      </c>
      <c r="E232">
        <v>0.2529296875</v>
      </c>
      <c r="G232">
        <v>3.819109929021486</v>
      </c>
      <c r="H232">
        <v>0.2529296875</v>
      </c>
      <c r="J232">
        <v>3.6936726341295558</v>
      </c>
      <c r="K232">
        <v>0.244140625</v>
      </c>
    </row>
    <row r="233" spans="1:11" x14ac:dyDescent="0.45">
      <c r="A233">
        <v>5.616338130913987</v>
      </c>
      <c r="B233">
        <v>0.2548828125</v>
      </c>
      <c r="D233">
        <v>-4.3446050569387475</v>
      </c>
      <c r="E233">
        <v>0.25341796875</v>
      </c>
      <c r="G233">
        <v>3.819109929021486</v>
      </c>
      <c r="H233">
        <v>0.25341796875</v>
      </c>
      <c r="J233">
        <v>3.6936726341295558</v>
      </c>
      <c r="K233">
        <v>0.24462890625</v>
      </c>
    </row>
    <row r="234" spans="1:11" x14ac:dyDescent="0.45">
      <c r="A234">
        <v>5.616338130913987</v>
      </c>
      <c r="B234">
        <v>0.2568359375</v>
      </c>
      <c r="D234">
        <v>-4.3446050569387475</v>
      </c>
      <c r="E234">
        <v>0.25439453125</v>
      </c>
      <c r="G234">
        <v>3.819109929021486</v>
      </c>
      <c r="H234">
        <v>0.25439453125</v>
      </c>
      <c r="J234">
        <v>3.6936726341295558</v>
      </c>
      <c r="K234">
        <v>0.24560546875</v>
      </c>
    </row>
    <row r="235" spans="1:11" x14ac:dyDescent="0.45">
      <c r="A235">
        <v>5.616338130913987</v>
      </c>
      <c r="B235">
        <v>0.2578125</v>
      </c>
      <c r="D235">
        <v>-4.3446050569387475</v>
      </c>
      <c r="E235">
        <v>0.2548828125</v>
      </c>
      <c r="G235">
        <v>3.819109929021486</v>
      </c>
      <c r="H235">
        <v>0.2548828125</v>
      </c>
      <c r="J235">
        <v>3.6936726341295558</v>
      </c>
      <c r="K235">
        <v>0.24609375</v>
      </c>
    </row>
    <row r="236" spans="1:11" x14ac:dyDescent="0.45">
      <c r="A236">
        <v>5.616338130913987</v>
      </c>
      <c r="B236">
        <v>0.25830078125</v>
      </c>
      <c r="D236">
        <v>-4.2045988987920433</v>
      </c>
      <c r="E236">
        <v>0.255859375</v>
      </c>
      <c r="G236">
        <v>3.8661629825832633</v>
      </c>
      <c r="H236">
        <v>0.2568359375</v>
      </c>
      <c r="J236">
        <v>3.7528259483153876</v>
      </c>
      <c r="K236">
        <v>0.24658203125</v>
      </c>
    </row>
    <row r="237" spans="1:11" x14ac:dyDescent="0.45">
      <c r="A237">
        <v>5.616338130913987</v>
      </c>
      <c r="B237">
        <v>0.25927734375</v>
      </c>
      <c r="D237">
        <v>-4.2045988987920433</v>
      </c>
      <c r="E237">
        <v>0.2578125</v>
      </c>
      <c r="G237">
        <v>3.8661629825832633</v>
      </c>
      <c r="H237">
        <v>0.2607421875</v>
      </c>
      <c r="J237">
        <v>3.7528259483153876</v>
      </c>
      <c r="K237">
        <v>0.24755859375</v>
      </c>
    </row>
    <row r="238" spans="1:11" x14ac:dyDescent="0.45">
      <c r="A238">
        <v>5.616338130913987</v>
      </c>
      <c r="B238">
        <v>0.259765625</v>
      </c>
      <c r="D238">
        <v>-4.2045988987920433</v>
      </c>
      <c r="E238">
        <v>0.2587890625</v>
      </c>
      <c r="G238">
        <v>3.8661629825832633</v>
      </c>
      <c r="H238">
        <v>0.2626953125</v>
      </c>
      <c r="J238">
        <v>3.7528259483153876</v>
      </c>
      <c r="K238">
        <v>0.248046875</v>
      </c>
    </row>
    <row r="239" spans="1:11" x14ac:dyDescent="0.45">
      <c r="A239">
        <v>5.616338130913987</v>
      </c>
      <c r="B239">
        <v>0.2607421875</v>
      </c>
      <c r="D239">
        <v>-4.1171713473951597</v>
      </c>
      <c r="E239">
        <v>0.25927734375</v>
      </c>
      <c r="G239">
        <v>3.8661629825832646</v>
      </c>
      <c r="H239">
        <v>0.263671875</v>
      </c>
      <c r="J239">
        <v>3.7528259483153876</v>
      </c>
      <c r="K239">
        <v>0.2490234375</v>
      </c>
    </row>
    <row r="240" spans="1:11" x14ac:dyDescent="0.45">
      <c r="A240">
        <v>5.616338130913987</v>
      </c>
      <c r="B240">
        <v>0.2626953125</v>
      </c>
      <c r="D240">
        <v>-4.1171713473951597</v>
      </c>
      <c r="E240">
        <v>0.26025390625</v>
      </c>
      <c r="G240">
        <v>3.8661629825832646</v>
      </c>
      <c r="H240">
        <v>0.265625</v>
      </c>
      <c r="J240">
        <v>3.7528259483153876</v>
      </c>
      <c r="K240">
        <v>0.2509765625</v>
      </c>
    </row>
    <row r="241" spans="1:11" x14ac:dyDescent="0.45">
      <c r="A241">
        <v>5.616338130913987</v>
      </c>
      <c r="B241">
        <v>0.263671875</v>
      </c>
      <c r="D241">
        <v>-4.1171713473951597</v>
      </c>
      <c r="E241">
        <v>0.2607421875</v>
      </c>
      <c r="G241">
        <v>3.8661629825832646</v>
      </c>
      <c r="H241">
        <v>0.2666015625</v>
      </c>
      <c r="J241">
        <v>3.7528259483153876</v>
      </c>
      <c r="K241">
        <v>0.251953125</v>
      </c>
    </row>
    <row r="242" spans="1:11" x14ac:dyDescent="0.45">
      <c r="A242">
        <v>5.616338130913987</v>
      </c>
      <c r="B242">
        <v>0.26416015625</v>
      </c>
      <c r="D242">
        <v>-3.9944331012013521</v>
      </c>
      <c r="E242">
        <v>0.26123046875</v>
      </c>
      <c r="G242">
        <v>3.8711930242302457</v>
      </c>
      <c r="H242">
        <v>0.26708984375</v>
      </c>
      <c r="J242">
        <v>3.7528259483153876</v>
      </c>
      <c r="K242">
        <v>0.25244140625</v>
      </c>
    </row>
    <row r="243" spans="1:11" x14ac:dyDescent="0.45">
      <c r="A243">
        <v>5.616338130913987</v>
      </c>
      <c r="B243">
        <v>0.26513671875</v>
      </c>
      <c r="D243">
        <v>-3.9944331012013521</v>
      </c>
      <c r="E243">
        <v>0.26220703125</v>
      </c>
      <c r="G243">
        <v>3.8711930242302457</v>
      </c>
      <c r="H243">
        <v>0.26806640625</v>
      </c>
      <c r="J243">
        <v>3.7528259483153876</v>
      </c>
      <c r="K243">
        <v>0.25341796875</v>
      </c>
    </row>
    <row r="244" spans="1:11" x14ac:dyDescent="0.45">
      <c r="A244">
        <v>5.616338130913987</v>
      </c>
      <c r="B244">
        <v>0.265625</v>
      </c>
      <c r="D244">
        <v>-3.9944331012013521</v>
      </c>
      <c r="E244">
        <v>0.2626953125</v>
      </c>
      <c r="G244">
        <v>3.8711930242302457</v>
      </c>
      <c r="H244">
        <v>0.2685546875</v>
      </c>
      <c r="J244">
        <v>3.7528259483153876</v>
      </c>
      <c r="K244">
        <v>0.25390625</v>
      </c>
    </row>
    <row r="245" spans="1:11" x14ac:dyDescent="0.45">
      <c r="A245">
        <v>5.616338130913987</v>
      </c>
      <c r="B245">
        <v>0.265869140625</v>
      </c>
      <c r="D245">
        <v>-3.9935052847349115</v>
      </c>
      <c r="E245">
        <v>0.26318359375</v>
      </c>
      <c r="G245">
        <v>4.0200850636237142</v>
      </c>
      <c r="H245">
        <v>0.26904296875</v>
      </c>
      <c r="J245">
        <v>3.901436719732045</v>
      </c>
      <c r="K245">
        <v>0.2548828125</v>
      </c>
    </row>
    <row r="246" spans="1:11" x14ac:dyDescent="0.45">
      <c r="A246">
        <v>5.616338130913987</v>
      </c>
      <c r="B246">
        <v>0.266357421875</v>
      </c>
      <c r="D246">
        <v>-3.9935052847349115</v>
      </c>
      <c r="E246">
        <v>0.26416015625</v>
      </c>
      <c r="G246">
        <v>4.0200850636237142</v>
      </c>
      <c r="H246">
        <v>0.27001953125</v>
      </c>
      <c r="J246">
        <v>3.901436719732045</v>
      </c>
      <c r="K246">
        <v>0.2568359375</v>
      </c>
    </row>
    <row r="247" spans="1:11" x14ac:dyDescent="0.45">
      <c r="A247">
        <v>5.616338130913987</v>
      </c>
      <c r="B247">
        <v>0.2666015625</v>
      </c>
      <c r="D247">
        <v>-3.9935052847349115</v>
      </c>
      <c r="E247">
        <v>0.2646484375</v>
      </c>
      <c r="G247">
        <v>4.0200850636237142</v>
      </c>
      <c r="H247">
        <v>0.2705078125</v>
      </c>
      <c r="J247">
        <v>3.901436719732045</v>
      </c>
      <c r="K247">
        <v>0.2578125</v>
      </c>
    </row>
    <row r="248" spans="1:11" x14ac:dyDescent="0.45">
      <c r="A248">
        <v>5.616338130913987</v>
      </c>
      <c r="B248">
        <v>0.26708984375</v>
      </c>
      <c r="D248">
        <v>-3.6925488061003531</v>
      </c>
      <c r="E248">
        <v>0.264892578125</v>
      </c>
      <c r="G248">
        <v>4.1374825269971502</v>
      </c>
      <c r="H248">
        <v>0.271484375</v>
      </c>
      <c r="J248">
        <v>3.901436719732045</v>
      </c>
      <c r="K248">
        <v>0.259765625</v>
      </c>
    </row>
    <row r="249" spans="1:11" x14ac:dyDescent="0.45">
      <c r="A249">
        <v>5.616338130913987</v>
      </c>
      <c r="B249">
        <v>0.26806640625</v>
      </c>
      <c r="D249">
        <v>-3.6925488061003531</v>
      </c>
      <c r="E249">
        <v>0.265380859375</v>
      </c>
      <c r="G249">
        <v>4.1374825269971502</v>
      </c>
      <c r="H249">
        <v>0.2734375</v>
      </c>
      <c r="J249">
        <v>3.901436719732045</v>
      </c>
      <c r="K249">
        <v>0.263671875</v>
      </c>
    </row>
    <row r="250" spans="1:11" x14ac:dyDescent="0.45">
      <c r="A250">
        <v>5.616338130913987</v>
      </c>
      <c r="B250">
        <v>0.2685546875</v>
      </c>
      <c r="D250">
        <v>-3.6925488061003531</v>
      </c>
      <c r="E250">
        <v>0.265625</v>
      </c>
      <c r="G250">
        <v>4.1374825269971502</v>
      </c>
      <c r="H250">
        <v>0.2744140625</v>
      </c>
      <c r="J250">
        <v>3.901436719732045</v>
      </c>
      <c r="K250">
        <v>0.265625</v>
      </c>
    </row>
    <row r="251" spans="1:11" x14ac:dyDescent="0.45">
      <c r="A251">
        <v>5.616338130913987</v>
      </c>
      <c r="B251">
        <v>0.268798828125</v>
      </c>
      <c r="D251">
        <v>-3.5617458222870511</v>
      </c>
      <c r="E251">
        <v>0.2666015625</v>
      </c>
      <c r="G251">
        <v>4.1689771030171885</v>
      </c>
      <c r="H251">
        <v>0.27490234375</v>
      </c>
      <c r="J251">
        <v>3.901436719732045</v>
      </c>
      <c r="K251">
        <v>0.2666015625</v>
      </c>
    </row>
    <row r="252" spans="1:11" x14ac:dyDescent="0.45">
      <c r="A252">
        <v>5.616338130913987</v>
      </c>
      <c r="B252">
        <v>0.269287109375</v>
      </c>
      <c r="D252">
        <v>-3.5617458222870511</v>
      </c>
      <c r="E252">
        <v>0.2685546875</v>
      </c>
      <c r="G252">
        <v>4.1689771030171885</v>
      </c>
      <c r="H252">
        <v>0.27587890625</v>
      </c>
      <c r="J252">
        <v>3.901436719732045</v>
      </c>
      <c r="K252">
        <v>0.2685546875</v>
      </c>
    </row>
    <row r="253" spans="1:11" x14ac:dyDescent="0.45">
      <c r="A253">
        <v>5.616338130913987</v>
      </c>
      <c r="B253">
        <v>0.26953125</v>
      </c>
      <c r="D253">
        <v>-3.5617458222870511</v>
      </c>
      <c r="E253">
        <v>0.26953125</v>
      </c>
      <c r="G253">
        <v>4.1689771030171885</v>
      </c>
      <c r="H253">
        <v>0.2763671875</v>
      </c>
      <c r="J253">
        <v>3.901436719732045</v>
      </c>
      <c r="K253">
        <v>0.26953125</v>
      </c>
    </row>
    <row r="254" spans="1:11" x14ac:dyDescent="0.45">
      <c r="A254">
        <v>5.616338130913987</v>
      </c>
      <c r="B254">
        <v>0.27001953125</v>
      </c>
      <c r="D254">
        <v>-3.3325607143886926</v>
      </c>
      <c r="E254">
        <v>0.2705078125</v>
      </c>
      <c r="G254">
        <v>4.2021306914814778</v>
      </c>
      <c r="H254">
        <v>0.27685546875</v>
      </c>
      <c r="J254">
        <v>4.0146510144769225</v>
      </c>
      <c r="K254">
        <v>0.269775390625</v>
      </c>
    </row>
    <row r="255" spans="1:11" x14ac:dyDescent="0.45">
      <c r="A255">
        <v>5.616338130913987</v>
      </c>
      <c r="B255">
        <v>0.27099609375</v>
      </c>
      <c r="D255">
        <v>-3.3325607143886926</v>
      </c>
      <c r="E255">
        <v>0.2724609375</v>
      </c>
      <c r="G255">
        <v>4.2021306914814778</v>
      </c>
      <c r="H255">
        <v>0.27783203125</v>
      </c>
      <c r="J255">
        <v>4.0146510144769225</v>
      </c>
      <c r="K255">
        <v>0.270263671875</v>
      </c>
    </row>
    <row r="256" spans="1:11" x14ac:dyDescent="0.45">
      <c r="A256">
        <v>5.616338130913987</v>
      </c>
      <c r="B256">
        <v>0.271484375</v>
      </c>
      <c r="D256">
        <v>-3.3325607143886926</v>
      </c>
      <c r="E256">
        <v>0.2734375</v>
      </c>
      <c r="G256">
        <v>4.2021306914814778</v>
      </c>
      <c r="H256">
        <v>0.2783203125</v>
      </c>
      <c r="J256">
        <v>4.0146510144769225</v>
      </c>
      <c r="K256">
        <v>0.2705078125</v>
      </c>
    </row>
    <row r="257" spans="1:11" x14ac:dyDescent="0.45">
      <c r="A257">
        <v>5.616338130913987</v>
      </c>
      <c r="B257">
        <v>0.2724609375</v>
      </c>
      <c r="D257">
        <v>-3.0420332032869952</v>
      </c>
      <c r="E257">
        <v>0.27734375</v>
      </c>
      <c r="G257">
        <v>4.2021306914814804</v>
      </c>
      <c r="H257">
        <v>0.279296875</v>
      </c>
      <c r="J257">
        <v>4.0146510144769225</v>
      </c>
      <c r="K257">
        <v>0.27099609375</v>
      </c>
    </row>
    <row r="258" spans="1:11" x14ac:dyDescent="0.45">
      <c r="A258">
        <v>5.616338130913987</v>
      </c>
      <c r="B258">
        <v>0.2744140625</v>
      </c>
      <c r="D258">
        <v>-3.0420332032869952</v>
      </c>
      <c r="E258">
        <v>0.28515625</v>
      </c>
      <c r="G258">
        <v>4.2021306914814804</v>
      </c>
      <c r="H258">
        <v>0.28125</v>
      </c>
      <c r="J258">
        <v>4.0146510144769225</v>
      </c>
      <c r="K258">
        <v>0.27197265625</v>
      </c>
    </row>
    <row r="259" spans="1:11" x14ac:dyDescent="0.45">
      <c r="A259">
        <v>5.616338130913987</v>
      </c>
      <c r="B259">
        <v>0.275390625</v>
      </c>
      <c r="D259">
        <v>-3.0420332032869952</v>
      </c>
      <c r="E259">
        <v>0.2890625</v>
      </c>
      <c r="G259">
        <v>4.2021306914814804</v>
      </c>
      <c r="H259">
        <v>0.2822265625</v>
      </c>
      <c r="J259">
        <v>4.0146510144769225</v>
      </c>
      <c r="K259">
        <v>0.2724609375</v>
      </c>
    </row>
    <row r="260" spans="1:11" x14ac:dyDescent="0.45">
      <c r="A260">
        <v>5.616338130913987</v>
      </c>
      <c r="B260">
        <v>0.27587890625</v>
      </c>
      <c r="D260">
        <v>-3.0420332032869939</v>
      </c>
      <c r="E260">
        <v>0.291015625</v>
      </c>
      <c r="G260">
        <v>4.2825189960922359</v>
      </c>
      <c r="H260">
        <v>0.283203125</v>
      </c>
      <c r="J260">
        <v>4.0146510144769225</v>
      </c>
      <c r="K260">
        <v>0.272705078125</v>
      </c>
    </row>
    <row r="261" spans="1:11" x14ac:dyDescent="0.45">
      <c r="A261">
        <v>5.616338130913987</v>
      </c>
      <c r="B261">
        <v>0.27685546875</v>
      </c>
      <c r="D261">
        <v>-3.0420332032869939</v>
      </c>
      <c r="E261">
        <v>0.294921875</v>
      </c>
      <c r="G261">
        <v>4.2825189960922359</v>
      </c>
      <c r="H261">
        <v>0.28515625</v>
      </c>
      <c r="J261">
        <v>4.0146510144769225</v>
      </c>
      <c r="K261">
        <v>0.273193359375</v>
      </c>
    </row>
    <row r="262" spans="1:11" x14ac:dyDescent="0.45">
      <c r="A262">
        <v>5.616338130913987</v>
      </c>
      <c r="B262">
        <v>0.27734375</v>
      </c>
      <c r="D262">
        <v>-3.0420332032869939</v>
      </c>
      <c r="E262">
        <v>0.296875</v>
      </c>
      <c r="G262">
        <v>4.2825189960922359</v>
      </c>
      <c r="H262">
        <v>0.2861328125</v>
      </c>
      <c r="J262">
        <v>4.0146510144769225</v>
      </c>
      <c r="K262">
        <v>0.2734375</v>
      </c>
    </row>
    <row r="263" spans="1:11" x14ac:dyDescent="0.45">
      <c r="A263">
        <v>5.616338130913987</v>
      </c>
      <c r="B263">
        <v>0.277587890625</v>
      </c>
      <c r="D263">
        <v>-2.9900607231347447</v>
      </c>
      <c r="E263">
        <v>0.29736328125</v>
      </c>
      <c r="G263">
        <v>4.3550921522590267</v>
      </c>
      <c r="H263">
        <v>0.286376953125</v>
      </c>
      <c r="J263">
        <v>4.173629979248239</v>
      </c>
      <c r="K263">
        <v>0.27392578125</v>
      </c>
    </row>
    <row r="264" spans="1:11" x14ac:dyDescent="0.45">
      <c r="A264">
        <v>5.616338130913987</v>
      </c>
      <c r="B264">
        <v>0.278076171875</v>
      </c>
      <c r="D264">
        <v>-2.9900607231347447</v>
      </c>
      <c r="E264">
        <v>0.29833984375</v>
      </c>
      <c r="G264">
        <v>4.3550921522590267</v>
      </c>
      <c r="H264">
        <v>0.286865234375</v>
      </c>
      <c r="J264">
        <v>4.173629979248239</v>
      </c>
      <c r="K264">
        <v>0.27490234375</v>
      </c>
    </row>
    <row r="265" spans="1:11" x14ac:dyDescent="0.45">
      <c r="A265">
        <v>5.616338130913987</v>
      </c>
      <c r="B265">
        <v>0.2783203125</v>
      </c>
      <c r="D265">
        <v>-2.9900607231347447</v>
      </c>
      <c r="E265">
        <v>0.298828125</v>
      </c>
      <c r="G265">
        <v>4.3550921522590267</v>
      </c>
      <c r="H265">
        <v>0.287109375</v>
      </c>
      <c r="J265">
        <v>4.173629979248239</v>
      </c>
      <c r="K265">
        <v>0.275390625</v>
      </c>
    </row>
    <row r="266" spans="1:11" x14ac:dyDescent="0.45">
      <c r="A266">
        <v>5.616338130913987</v>
      </c>
      <c r="B266">
        <v>0.27880859375</v>
      </c>
      <c r="D266">
        <v>-2.7917339750834369</v>
      </c>
      <c r="E266">
        <v>0.2998046875</v>
      </c>
      <c r="G266">
        <v>4.6393955790999195</v>
      </c>
      <c r="H266">
        <v>0.2880859375</v>
      </c>
      <c r="J266">
        <v>4.173629979248239</v>
      </c>
      <c r="K266">
        <v>0.2763671875</v>
      </c>
    </row>
    <row r="267" spans="1:11" x14ac:dyDescent="0.45">
      <c r="A267">
        <v>5.616338130913987</v>
      </c>
      <c r="B267">
        <v>0.27978515625</v>
      </c>
      <c r="D267">
        <v>-2.7917339750834369</v>
      </c>
      <c r="E267">
        <v>0.3017578125</v>
      </c>
      <c r="G267">
        <v>4.6393955790999195</v>
      </c>
      <c r="H267">
        <v>0.2900390625</v>
      </c>
      <c r="J267">
        <v>4.173629979248239</v>
      </c>
      <c r="K267">
        <v>0.2783203125</v>
      </c>
    </row>
    <row r="268" spans="1:11" x14ac:dyDescent="0.45">
      <c r="A268">
        <v>5.616338130913987</v>
      </c>
      <c r="B268">
        <v>0.2802734375</v>
      </c>
      <c r="D268">
        <v>-2.7917339750834369</v>
      </c>
      <c r="E268">
        <v>0.302734375</v>
      </c>
      <c r="G268">
        <v>4.6393955790999195</v>
      </c>
      <c r="H268">
        <v>0.291015625</v>
      </c>
      <c r="J268">
        <v>4.173629979248239</v>
      </c>
      <c r="K268">
        <v>0.279296875</v>
      </c>
    </row>
    <row r="269" spans="1:11" x14ac:dyDescent="0.45">
      <c r="A269">
        <v>5.616338130913987</v>
      </c>
      <c r="B269">
        <v>0.280517578125</v>
      </c>
      <c r="D269">
        <v>-2.6920034286358208</v>
      </c>
      <c r="E269">
        <v>0.302978515625</v>
      </c>
      <c r="G269">
        <v>4.65466784287179</v>
      </c>
      <c r="H269">
        <v>0.29150390625</v>
      </c>
      <c r="J269">
        <v>4.173629979248239</v>
      </c>
      <c r="K269">
        <v>0.27978515625</v>
      </c>
    </row>
    <row r="270" spans="1:11" x14ac:dyDescent="0.45">
      <c r="A270">
        <v>5.616338130913987</v>
      </c>
      <c r="B270">
        <v>0.281005859375</v>
      </c>
      <c r="D270">
        <v>-2.6920034286358208</v>
      </c>
      <c r="E270">
        <v>0.303466796875</v>
      </c>
      <c r="G270">
        <v>4.65466784287179</v>
      </c>
      <c r="H270">
        <v>0.29248046875</v>
      </c>
      <c r="J270">
        <v>4.173629979248239</v>
      </c>
      <c r="K270">
        <v>0.28076171875</v>
      </c>
    </row>
    <row r="271" spans="1:11" x14ac:dyDescent="0.45">
      <c r="A271">
        <v>5.616338130913987</v>
      </c>
      <c r="B271">
        <v>0.28125</v>
      </c>
      <c r="D271">
        <v>-2.6920034286358208</v>
      </c>
      <c r="E271">
        <v>0.3037109375</v>
      </c>
      <c r="G271">
        <v>4.65466784287179</v>
      </c>
      <c r="H271">
        <v>0.29296875</v>
      </c>
      <c r="J271">
        <v>4.173629979248239</v>
      </c>
      <c r="K271">
        <v>0.28125</v>
      </c>
    </row>
    <row r="272" spans="1:11" x14ac:dyDescent="0.45">
      <c r="A272">
        <v>5.9479430501281003</v>
      </c>
      <c r="B272">
        <v>0.2822265625</v>
      </c>
      <c r="D272">
        <v>-2.5956324169788907</v>
      </c>
      <c r="E272">
        <v>0.3046875</v>
      </c>
      <c r="G272">
        <v>4.6900992408943338</v>
      </c>
      <c r="H272">
        <v>0.293212890625</v>
      </c>
      <c r="J272">
        <v>4.3550921522590311</v>
      </c>
      <c r="K272">
        <v>0.2822265625</v>
      </c>
    </row>
    <row r="273" spans="1:11" x14ac:dyDescent="0.45">
      <c r="A273">
        <v>5.9479430501281003</v>
      </c>
      <c r="B273">
        <v>0.2841796875</v>
      </c>
      <c r="D273">
        <v>-2.5956324169788907</v>
      </c>
      <c r="E273">
        <v>0.306640625</v>
      </c>
      <c r="G273">
        <v>4.6900992408943338</v>
      </c>
      <c r="H273">
        <v>0.293701171875</v>
      </c>
      <c r="J273">
        <v>4.3550921522590311</v>
      </c>
      <c r="K273">
        <v>0.2841796875</v>
      </c>
    </row>
    <row r="274" spans="1:11" x14ac:dyDescent="0.45">
      <c r="A274">
        <v>5.9479430501281003</v>
      </c>
      <c r="B274">
        <v>0.28515625</v>
      </c>
      <c r="D274">
        <v>-2.5956324169788907</v>
      </c>
      <c r="E274">
        <v>0.3076171875</v>
      </c>
      <c r="G274">
        <v>4.6900992408943338</v>
      </c>
      <c r="H274">
        <v>0.2939453125</v>
      </c>
      <c r="J274">
        <v>4.3550921522590311</v>
      </c>
      <c r="K274">
        <v>0.28515625</v>
      </c>
    </row>
    <row r="275" spans="1:11" x14ac:dyDescent="0.45">
      <c r="A275">
        <v>5.9479430501281003</v>
      </c>
      <c r="B275">
        <v>0.287109375</v>
      </c>
      <c r="D275">
        <v>-2.4983465249789889</v>
      </c>
      <c r="E275">
        <v>0.30810546875</v>
      </c>
      <c r="G275">
        <v>4.7583544401024813</v>
      </c>
      <c r="H275">
        <v>0.2958984375</v>
      </c>
      <c r="J275">
        <v>4.3550921522590311</v>
      </c>
      <c r="K275">
        <v>0.287109375</v>
      </c>
    </row>
    <row r="276" spans="1:11" x14ac:dyDescent="0.45">
      <c r="A276">
        <v>5.9479430501281003</v>
      </c>
      <c r="B276">
        <v>0.291015625</v>
      </c>
      <c r="D276">
        <v>-2.4983465249789889</v>
      </c>
      <c r="E276">
        <v>0.30908203125</v>
      </c>
      <c r="G276">
        <v>4.7583544401024813</v>
      </c>
      <c r="H276">
        <v>0.2998046875</v>
      </c>
      <c r="J276">
        <v>4.3550921522590311</v>
      </c>
      <c r="K276">
        <v>0.291015625</v>
      </c>
    </row>
    <row r="277" spans="1:11" x14ac:dyDescent="0.45">
      <c r="A277">
        <v>5.9479430501281003</v>
      </c>
      <c r="B277">
        <v>0.29296875</v>
      </c>
      <c r="D277">
        <v>-2.4983465249789889</v>
      </c>
      <c r="E277">
        <v>0.3095703125</v>
      </c>
      <c r="G277">
        <v>4.7583544401024813</v>
      </c>
      <c r="H277">
        <v>0.3017578125</v>
      </c>
      <c r="J277">
        <v>4.3550921522590311</v>
      </c>
      <c r="K277">
        <v>0.29296875</v>
      </c>
    </row>
    <row r="278" spans="1:11" x14ac:dyDescent="0.45">
      <c r="A278">
        <v>5.9479430501281003</v>
      </c>
      <c r="B278">
        <v>0.2939453125</v>
      </c>
      <c r="D278">
        <v>-2.4298072441115979</v>
      </c>
      <c r="E278">
        <v>0.3115234375</v>
      </c>
      <c r="G278">
        <v>4.7583544401024831</v>
      </c>
      <c r="H278">
        <v>0.3056640625</v>
      </c>
      <c r="J278">
        <v>4.3550921522590311</v>
      </c>
      <c r="K278">
        <v>0.2939453125</v>
      </c>
    </row>
    <row r="279" spans="1:11" x14ac:dyDescent="0.45">
      <c r="A279">
        <v>5.9479430501281003</v>
      </c>
      <c r="B279">
        <v>0.2958984375</v>
      </c>
      <c r="D279">
        <v>-2.4298072441115979</v>
      </c>
      <c r="E279">
        <v>0.3154296875</v>
      </c>
      <c r="G279">
        <v>4.7583544401024831</v>
      </c>
      <c r="H279">
        <v>0.3134765625</v>
      </c>
      <c r="J279">
        <v>4.3550921522590311</v>
      </c>
      <c r="K279">
        <v>0.2958984375</v>
      </c>
    </row>
    <row r="280" spans="1:11" x14ac:dyDescent="0.45">
      <c r="A280">
        <v>5.9479430501281003</v>
      </c>
      <c r="B280">
        <v>0.296875</v>
      </c>
      <c r="D280">
        <v>-2.4298072441115979</v>
      </c>
      <c r="E280">
        <v>0.3173828125</v>
      </c>
      <c r="G280">
        <v>4.7583544401024831</v>
      </c>
      <c r="H280">
        <v>0.3173828125</v>
      </c>
      <c r="J280">
        <v>4.3550921522590311</v>
      </c>
      <c r="K280">
        <v>0.296875</v>
      </c>
    </row>
    <row r="281" spans="1:11" x14ac:dyDescent="0.45">
      <c r="A281">
        <v>6.4648164484330399</v>
      </c>
      <c r="B281">
        <v>0.29736328125</v>
      </c>
      <c r="D281">
        <v>-2.3468547121122434</v>
      </c>
      <c r="E281">
        <v>0.3193359375</v>
      </c>
      <c r="G281">
        <v>4.7645452605910714</v>
      </c>
      <c r="H281">
        <v>0.318359375</v>
      </c>
      <c r="J281">
        <v>4.8017682704394451</v>
      </c>
      <c r="K281">
        <v>0.298828125</v>
      </c>
    </row>
    <row r="282" spans="1:11" x14ac:dyDescent="0.45">
      <c r="A282">
        <v>6.4648164484330399</v>
      </c>
      <c r="B282">
        <v>0.29833984375</v>
      </c>
      <c r="D282">
        <v>-2.3468547121122434</v>
      </c>
      <c r="E282">
        <v>0.3232421875</v>
      </c>
      <c r="G282">
        <v>4.7645452605910714</v>
      </c>
      <c r="H282">
        <v>0.3203125</v>
      </c>
      <c r="J282">
        <v>4.8017682704394451</v>
      </c>
      <c r="K282">
        <v>0.302734375</v>
      </c>
    </row>
    <row r="283" spans="1:11" x14ac:dyDescent="0.45">
      <c r="A283">
        <v>6.4648164484330399</v>
      </c>
      <c r="B283">
        <v>0.298828125</v>
      </c>
      <c r="D283">
        <v>-2.3468547121122434</v>
      </c>
      <c r="E283">
        <v>0.3251953125</v>
      </c>
      <c r="G283">
        <v>4.7645452605910714</v>
      </c>
      <c r="H283">
        <v>0.3212890625</v>
      </c>
      <c r="J283">
        <v>4.8017682704394451</v>
      </c>
      <c r="K283">
        <v>0.3046875</v>
      </c>
    </row>
    <row r="284" spans="1:11" x14ac:dyDescent="0.45">
      <c r="A284">
        <v>6.4648164484330399</v>
      </c>
      <c r="B284">
        <v>0.2998046875</v>
      </c>
      <c r="D284">
        <v>-2.3468547121122407</v>
      </c>
      <c r="E284">
        <v>0.326171875</v>
      </c>
      <c r="G284">
        <v>4.8389912802878055</v>
      </c>
      <c r="H284">
        <v>0.322265625</v>
      </c>
      <c r="J284">
        <v>4.8017682704394451</v>
      </c>
      <c r="K284">
        <v>0.30859375</v>
      </c>
    </row>
    <row r="285" spans="1:11" x14ac:dyDescent="0.45">
      <c r="A285">
        <v>6.4648164484330399</v>
      </c>
      <c r="B285">
        <v>0.3017578125</v>
      </c>
      <c r="D285">
        <v>-2.3468547121122407</v>
      </c>
      <c r="E285">
        <v>0.328125</v>
      </c>
      <c r="G285">
        <v>4.8389912802878055</v>
      </c>
      <c r="H285">
        <v>0.32421875</v>
      </c>
      <c r="J285">
        <v>4.8017682704394451</v>
      </c>
      <c r="K285">
        <v>0.31640625</v>
      </c>
    </row>
    <row r="286" spans="1:11" x14ac:dyDescent="0.45">
      <c r="A286">
        <v>6.4648164484330399</v>
      </c>
      <c r="B286">
        <v>0.302734375</v>
      </c>
      <c r="D286">
        <v>-2.3468547121122407</v>
      </c>
      <c r="E286">
        <v>0.3291015625</v>
      </c>
      <c r="G286">
        <v>4.8389912802878055</v>
      </c>
      <c r="H286">
        <v>0.3251953125</v>
      </c>
      <c r="J286">
        <v>4.8017682704394451</v>
      </c>
      <c r="K286">
        <v>0.3203125</v>
      </c>
    </row>
    <row r="287" spans="1:11" x14ac:dyDescent="0.45">
      <c r="A287">
        <v>6.4648164484330399</v>
      </c>
      <c r="B287">
        <v>0.30322265625</v>
      </c>
      <c r="D287">
        <v>-2.127715838674793</v>
      </c>
      <c r="E287">
        <v>0.330078125</v>
      </c>
      <c r="G287">
        <v>5.0425568297777739</v>
      </c>
      <c r="H287">
        <v>0.32568359375</v>
      </c>
      <c r="J287">
        <v>4.8017682704394451</v>
      </c>
      <c r="K287">
        <v>0.322265625</v>
      </c>
    </row>
    <row r="288" spans="1:11" x14ac:dyDescent="0.45">
      <c r="A288">
        <v>6.4648164484330399</v>
      </c>
      <c r="B288">
        <v>0.30419921875</v>
      </c>
      <c r="D288">
        <v>-2.127715838674793</v>
      </c>
      <c r="E288">
        <v>0.33203125</v>
      </c>
      <c r="G288">
        <v>5.0425568297777739</v>
      </c>
      <c r="H288">
        <v>0.32666015625</v>
      </c>
      <c r="J288">
        <v>4.8017682704394451</v>
      </c>
      <c r="K288">
        <v>0.326171875</v>
      </c>
    </row>
    <row r="289" spans="1:11" x14ac:dyDescent="0.45">
      <c r="A289">
        <v>6.4648164484330399</v>
      </c>
      <c r="B289">
        <v>0.3046875</v>
      </c>
      <c r="D289">
        <v>-2.127715838674793</v>
      </c>
      <c r="E289">
        <v>0.3330078125</v>
      </c>
      <c r="G289">
        <v>5.0425568297777739</v>
      </c>
      <c r="H289">
        <v>0.3271484375</v>
      </c>
      <c r="J289">
        <v>4.8017682704394451</v>
      </c>
      <c r="K289">
        <v>0.328125</v>
      </c>
    </row>
    <row r="290" spans="1:11" x14ac:dyDescent="0.45">
      <c r="A290">
        <v>6.5140267234643545</v>
      </c>
      <c r="B290">
        <v>0.304931640625</v>
      </c>
      <c r="D290">
        <v>-1.849986467453121</v>
      </c>
      <c r="E290">
        <v>0.333984375</v>
      </c>
      <c r="G290">
        <v>5.1602178347016467</v>
      </c>
      <c r="H290">
        <v>0.328125</v>
      </c>
      <c r="J290">
        <v>4.8994786712914102</v>
      </c>
      <c r="K290">
        <v>0.32861328125</v>
      </c>
    </row>
    <row r="291" spans="1:11" x14ac:dyDescent="0.45">
      <c r="A291">
        <v>6.5140267234643545</v>
      </c>
      <c r="B291">
        <v>0.305419921875</v>
      </c>
      <c r="D291">
        <v>-1.849986467453121</v>
      </c>
      <c r="E291">
        <v>0.3359375</v>
      </c>
      <c r="G291">
        <v>5.1602178347016467</v>
      </c>
      <c r="H291">
        <v>0.330078125</v>
      </c>
      <c r="J291">
        <v>4.8994786712914102</v>
      </c>
      <c r="K291">
        <v>0.32958984375</v>
      </c>
    </row>
    <row r="292" spans="1:11" x14ac:dyDescent="0.45">
      <c r="A292">
        <v>6.5140267234643545</v>
      </c>
      <c r="B292">
        <v>0.3056640625</v>
      </c>
      <c r="D292">
        <v>-1.849986467453121</v>
      </c>
      <c r="E292">
        <v>0.3369140625</v>
      </c>
      <c r="G292">
        <v>5.1602178347016467</v>
      </c>
      <c r="H292">
        <v>0.3310546875</v>
      </c>
      <c r="J292">
        <v>4.8994786712914102</v>
      </c>
      <c r="K292">
        <v>0.330078125</v>
      </c>
    </row>
    <row r="293" spans="1:11" x14ac:dyDescent="0.45">
      <c r="A293">
        <v>6.5140267234643545</v>
      </c>
      <c r="B293">
        <v>0.30615234375</v>
      </c>
      <c r="D293">
        <v>-1.8499864674531208</v>
      </c>
      <c r="E293">
        <v>0.3388671875</v>
      </c>
      <c r="G293">
        <v>5.1718531587464351</v>
      </c>
      <c r="H293">
        <v>0.3330078125</v>
      </c>
      <c r="J293">
        <v>4.8994786712914102</v>
      </c>
      <c r="K293">
        <v>0.3310546875</v>
      </c>
    </row>
    <row r="294" spans="1:11" x14ac:dyDescent="0.45">
      <c r="A294">
        <v>6.5140267234643545</v>
      </c>
      <c r="B294">
        <v>0.30712890625</v>
      </c>
      <c r="D294">
        <v>-1.8499864674531208</v>
      </c>
      <c r="E294">
        <v>0.3427734375</v>
      </c>
      <c r="G294">
        <v>5.1718531587464351</v>
      </c>
      <c r="H294">
        <v>0.3369140625</v>
      </c>
      <c r="J294">
        <v>4.8994786712914102</v>
      </c>
      <c r="K294">
        <v>0.3330078125</v>
      </c>
    </row>
    <row r="295" spans="1:11" x14ac:dyDescent="0.45">
      <c r="A295">
        <v>6.5140267234643545</v>
      </c>
      <c r="B295">
        <v>0.3076171875</v>
      </c>
      <c r="D295">
        <v>-1.8499864674531208</v>
      </c>
      <c r="E295">
        <v>0.3447265625</v>
      </c>
      <c r="G295">
        <v>5.1718531587464351</v>
      </c>
      <c r="H295">
        <v>0.3388671875</v>
      </c>
      <c r="J295">
        <v>4.8994786712914102</v>
      </c>
      <c r="K295">
        <v>0.333984375</v>
      </c>
    </row>
    <row r="296" spans="1:11" x14ac:dyDescent="0.45">
      <c r="A296">
        <v>6.5140267234643545</v>
      </c>
      <c r="B296">
        <v>0.307861328125</v>
      </c>
      <c r="D296">
        <v>-1.7109222562879141</v>
      </c>
      <c r="E296">
        <v>0.34521484375</v>
      </c>
      <c r="G296">
        <v>5.3228904083165913</v>
      </c>
      <c r="H296">
        <v>0.339111328125</v>
      </c>
      <c r="J296">
        <v>4.8994786712914102</v>
      </c>
      <c r="K296">
        <v>0.33447265625</v>
      </c>
    </row>
    <row r="297" spans="1:11" x14ac:dyDescent="0.45">
      <c r="A297">
        <v>6.5140267234643545</v>
      </c>
      <c r="B297">
        <v>0.308349609375</v>
      </c>
      <c r="D297">
        <v>-1.7109222562879141</v>
      </c>
      <c r="E297">
        <v>0.34619140625</v>
      </c>
      <c r="G297">
        <v>5.3228904083165913</v>
      </c>
      <c r="H297">
        <v>0.339599609375</v>
      </c>
      <c r="J297">
        <v>4.8994786712914102</v>
      </c>
      <c r="K297">
        <v>0.33544921875</v>
      </c>
    </row>
    <row r="298" spans="1:11" x14ac:dyDescent="0.45">
      <c r="A298">
        <v>6.5140267234643545</v>
      </c>
      <c r="B298">
        <v>0.30859375</v>
      </c>
      <c r="D298">
        <v>-1.7109222562879141</v>
      </c>
      <c r="E298">
        <v>0.3466796875</v>
      </c>
      <c r="G298">
        <v>5.3228904083165913</v>
      </c>
      <c r="H298">
        <v>0.33984375</v>
      </c>
      <c r="J298">
        <v>4.8994786712914102</v>
      </c>
      <c r="K298">
        <v>0.3359375</v>
      </c>
    </row>
    <row r="299" spans="1:11" x14ac:dyDescent="0.45">
      <c r="A299">
        <v>7.4349288126601252</v>
      </c>
      <c r="B299">
        <v>0.310546875</v>
      </c>
      <c r="D299">
        <v>-1.6520230774009681</v>
      </c>
      <c r="E299">
        <v>0.34716796875</v>
      </c>
      <c r="G299">
        <v>5.353148745115285</v>
      </c>
      <c r="H299">
        <v>0.3408203125</v>
      </c>
      <c r="J299">
        <v>5.1367753590747496</v>
      </c>
      <c r="K299">
        <v>0.3369140625</v>
      </c>
    </row>
    <row r="300" spans="1:11" x14ac:dyDescent="0.45">
      <c r="A300">
        <v>7.4349288126601252</v>
      </c>
      <c r="B300">
        <v>0.314453125</v>
      </c>
      <c r="D300">
        <v>-1.6520230774009681</v>
      </c>
      <c r="E300">
        <v>0.34814453125</v>
      </c>
      <c r="G300">
        <v>5.353148745115285</v>
      </c>
      <c r="H300">
        <v>0.3427734375</v>
      </c>
      <c r="J300">
        <v>5.1367753590747496</v>
      </c>
      <c r="K300">
        <v>0.3388671875</v>
      </c>
    </row>
    <row r="301" spans="1:11" x14ac:dyDescent="0.45">
      <c r="A301">
        <v>7.4349288126601252</v>
      </c>
      <c r="B301">
        <v>0.31640625</v>
      </c>
      <c r="D301">
        <v>-1.6520230774009681</v>
      </c>
      <c r="E301">
        <v>0.3486328125</v>
      </c>
      <c r="G301">
        <v>5.353148745115285</v>
      </c>
      <c r="H301">
        <v>0.34375</v>
      </c>
      <c r="J301">
        <v>5.1367753590747496</v>
      </c>
      <c r="K301">
        <v>0.33984375</v>
      </c>
    </row>
    <row r="302" spans="1:11" x14ac:dyDescent="0.45">
      <c r="A302">
        <v>7.4349288126601252</v>
      </c>
      <c r="B302">
        <v>0.3203125</v>
      </c>
      <c r="D302">
        <v>-1.607294633344857</v>
      </c>
      <c r="E302">
        <v>0.34912109375</v>
      </c>
      <c r="G302">
        <v>5.3531487451152904</v>
      </c>
      <c r="H302">
        <v>0.345703125</v>
      </c>
      <c r="J302">
        <v>5.1367753590747496</v>
      </c>
      <c r="K302">
        <v>0.341796875</v>
      </c>
    </row>
    <row r="303" spans="1:11" x14ac:dyDescent="0.45">
      <c r="A303">
        <v>7.4349288126601252</v>
      </c>
      <c r="B303">
        <v>0.328125</v>
      </c>
      <c r="D303">
        <v>-1.607294633344857</v>
      </c>
      <c r="E303">
        <v>0.35009765625</v>
      </c>
      <c r="G303">
        <v>5.3531487451152904</v>
      </c>
      <c r="H303">
        <v>0.349609375</v>
      </c>
      <c r="J303">
        <v>5.1367753590747496</v>
      </c>
      <c r="K303">
        <v>0.345703125</v>
      </c>
    </row>
    <row r="304" spans="1:11" x14ac:dyDescent="0.45">
      <c r="A304">
        <v>7.4349288126601252</v>
      </c>
      <c r="B304">
        <v>0.33203125</v>
      </c>
      <c r="D304">
        <v>-1.607294633344857</v>
      </c>
      <c r="E304">
        <v>0.3505859375</v>
      </c>
      <c r="G304">
        <v>5.3531487451152904</v>
      </c>
      <c r="H304">
        <v>0.3515625</v>
      </c>
      <c r="J304">
        <v>5.1367753590747496</v>
      </c>
      <c r="K304">
        <v>0.34765625</v>
      </c>
    </row>
    <row r="305" spans="1:11" x14ac:dyDescent="0.45">
      <c r="A305">
        <v>7.4349288126601252</v>
      </c>
      <c r="B305">
        <v>0.333984375</v>
      </c>
      <c r="D305">
        <v>-1.5290406772738361</v>
      </c>
      <c r="E305">
        <v>0.350830078125</v>
      </c>
      <c r="G305">
        <v>5.3601134181649543</v>
      </c>
      <c r="H305">
        <v>0.35205078125</v>
      </c>
      <c r="J305">
        <v>5.1367753590747496</v>
      </c>
      <c r="K305">
        <v>0.3486328125</v>
      </c>
    </row>
    <row r="306" spans="1:11" x14ac:dyDescent="0.45">
      <c r="A306">
        <v>7.4349288126601252</v>
      </c>
      <c r="B306">
        <v>0.337890625</v>
      </c>
      <c r="D306">
        <v>-1.5290406772738361</v>
      </c>
      <c r="E306">
        <v>0.351318359375</v>
      </c>
      <c r="G306">
        <v>5.3601134181649543</v>
      </c>
      <c r="H306">
        <v>0.35302734375</v>
      </c>
      <c r="J306">
        <v>5.1367753590747496</v>
      </c>
      <c r="K306">
        <v>0.3505859375</v>
      </c>
    </row>
    <row r="307" spans="1:11" x14ac:dyDescent="0.45">
      <c r="A307">
        <v>7.4349288126601252</v>
      </c>
      <c r="B307">
        <v>0.33984375</v>
      </c>
      <c r="D307">
        <v>-1.5290406772738361</v>
      </c>
      <c r="E307">
        <v>0.3515625</v>
      </c>
      <c r="G307">
        <v>5.3601134181649543</v>
      </c>
      <c r="H307">
        <v>0.353515625</v>
      </c>
      <c r="J307">
        <v>5.1367753590747496</v>
      </c>
      <c r="K307">
        <v>0.3515625</v>
      </c>
    </row>
    <row r="308" spans="1:11" x14ac:dyDescent="0.45">
      <c r="A308">
        <v>7.4446019696735473</v>
      </c>
      <c r="B308">
        <v>0.34033203125</v>
      </c>
      <c r="D308">
        <v>-1.3604288056436586</v>
      </c>
      <c r="E308">
        <v>0.353515625</v>
      </c>
      <c r="G308">
        <v>5.3601134181649543</v>
      </c>
      <c r="H308">
        <v>0.35400390625</v>
      </c>
      <c r="J308">
        <v>5.4019893042443732</v>
      </c>
      <c r="K308">
        <v>0.3525390625</v>
      </c>
    </row>
    <row r="309" spans="1:11" x14ac:dyDescent="0.45">
      <c r="A309">
        <v>7.4446019696735473</v>
      </c>
      <c r="B309">
        <v>0.34130859375</v>
      </c>
      <c r="D309">
        <v>-1.3604288056436586</v>
      </c>
      <c r="E309">
        <v>0.357421875</v>
      </c>
      <c r="G309">
        <v>5.3601134181649543</v>
      </c>
      <c r="H309">
        <v>0.35498046875</v>
      </c>
      <c r="J309">
        <v>5.4019893042443732</v>
      </c>
      <c r="K309">
        <v>0.3544921875</v>
      </c>
    </row>
    <row r="310" spans="1:11" x14ac:dyDescent="0.45">
      <c r="A310">
        <v>7.4446019696735473</v>
      </c>
      <c r="B310">
        <v>0.341796875</v>
      </c>
      <c r="D310">
        <v>-1.3604288056436586</v>
      </c>
      <c r="E310">
        <v>0.359375</v>
      </c>
      <c r="G310">
        <v>5.3601134181649543</v>
      </c>
      <c r="H310">
        <v>0.35546875</v>
      </c>
      <c r="J310">
        <v>5.4019893042443732</v>
      </c>
      <c r="K310">
        <v>0.35546875</v>
      </c>
    </row>
    <row r="311" spans="1:11" x14ac:dyDescent="0.45">
      <c r="A311">
        <v>7.4446019696735473</v>
      </c>
      <c r="B311">
        <v>0.3427734375</v>
      </c>
      <c r="D311">
        <v>-1.2545834449263205</v>
      </c>
      <c r="E311">
        <v>0.3603515625</v>
      </c>
      <c r="G311">
        <v>5.4126281756165744</v>
      </c>
      <c r="H311">
        <v>0.35595703125</v>
      </c>
      <c r="J311">
        <v>5.4019893042443732</v>
      </c>
      <c r="K311">
        <v>0.357421875</v>
      </c>
    </row>
    <row r="312" spans="1:11" x14ac:dyDescent="0.45">
      <c r="A312">
        <v>7.4446019696735473</v>
      </c>
      <c r="B312">
        <v>0.3447265625</v>
      </c>
      <c r="D312">
        <v>-1.2545834449263205</v>
      </c>
      <c r="E312">
        <v>0.3623046875</v>
      </c>
      <c r="G312">
        <v>5.4126281756165744</v>
      </c>
      <c r="H312">
        <v>0.35693359375</v>
      </c>
      <c r="J312">
        <v>5.4019893042443732</v>
      </c>
      <c r="K312">
        <v>0.361328125</v>
      </c>
    </row>
    <row r="313" spans="1:11" x14ac:dyDescent="0.45">
      <c r="A313">
        <v>7.4446019696735473</v>
      </c>
      <c r="B313">
        <v>0.345703125</v>
      </c>
      <c r="D313">
        <v>-1.2545834449263205</v>
      </c>
      <c r="E313">
        <v>0.36328125</v>
      </c>
      <c r="G313">
        <v>5.4126281756165744</v>
      </c>
      <c r="H313">
        <v>0.357421875</v>
      </c>
      <c r="J313">
        <v>5.4019893042443732</v>
      </c>
      <c r="K313">
        <v>0.36328125</v>
      </c>
    </row>
    <row r="314" spans="1:11" x14ac:dyDescent="0.45">
      <c r="A314">
        <v>7.4446019696735473</v>
      </c>
      <c r="B314">
        <v>0.34619140625</v>
      </c>
      <c r="D314">
        <v>-1.1677106800845569</v>
      </c>
      <c r="E314">
        <v>0.3642578125</v>
      </c>
      <c r="G314">
        <v>5.7080827324696122</v>
      </c>
      <c r="H314">
        <v>0.35791015625</v>
      </c>
      <c r="J314">
        <v>5.4019893042443732</v>
      </c>
      <c r="K314">
        <v>0.3642578125</v>
      </c>
    </row>
    <row r="315" spans="1:11" x14ac:dyDescent="0.45">
      <c r="A315">
        <v>7.4446019696735473</v>
      </c>
      <c r="B315">
        <v>0.34716796875</v>
      </c>
      <c r="D315">
        <v>-1.1677106800845569</v>
      </c>
      <c r="E315">
        <v>0.3662109375</v>
      </c>
      <c r="G315">
        <v>5.7080827324696122</v>
      </c>
      <c r="H315">
        <v>0.35888671875</v>
      </c>
      <c r="J315">
        <v>5.4019893042443732</v>
      </c>
      <c r="K315">
        <v>0.3662109375</v>
      </c>
    </row>
    <row r="316" spans="1:11" x14ac:dyDescent="0.45">
      <c r="A316">
        <v>7.4446019696735473</v>
      </c>
      <c r="B316">
        <v>0.34765625</v>
      </c>
      <c r="D316">
        <v>-1.1677106800845569</v>
      </c>
      <c r="E316">
        <v>0.3671875</v>
      </c>
      <c r="G316">
        <v>5.7080827324696122</v>
      </c>
      <c r="H316">
        <v>0.359375</v>
      </c>
      <c r="J316">
        <v>5.4019893042443732</v>
      </c>
      <c r="K316">
        <v>0.3671875</v>
      </c>
    </row>
    <row r="317" spans="1:11" x14ac:dyDescent="0.45">
      <c r="A317">
        <v>8.081020560541301</v>
      </c>
      <c r="B317">
        <v>0.3486328125</v>
      </c>
      <c r="D317">
        <v>-1.1677106800845551</v>
      </c>
      <c r="E317">
        <v>0.36767578125</v>
      </c>
      <c r="G317">
        <v>5.7100253281229776</v>
      </c>
      <c r="H317">
        <v>0.361328125</v>
      </c>
      <c r="J317">
        <v>5.6542633620280318</v>
      </c>
      <c r="K317">
        <v>0.3681640625</v>
      </c>
    </row>
    <row r="318" spans="1:11" x14ac:dyDescent="0.45">
      <c r="A318">
        <v>8.081020560541301</v>
      </c>
      <c r="B318">
        <v>0.3505859375</v>
      </c>
      <c r="D318">
        <v>-1.1677106800845551</v>
      </c>
      <c r="E318">
        <v>0.36865234375</v>
      </c>
      <c r="G318">
        <v>5.7100253281229776</v>
      </c>
      <c r="H318">
        <v>0.365234375</v>
      </c>
      <c r="J318">
        <v>5.6542633620280318</v>
      </c>
      <c r="K318">
        <v>0.3701171875</v>
      </c>
    </row>
    <row r="319" spans="1:11" x14ac:dyDescent="0.45">
      <c r="A319">
        <v>8.081020560541301</v>
      </c>
      <c r="B319">
        <v>0.3515625</v>
      </c>
      <c r="D319">
        <v>-1.1677106800845551</v>
      </c>
      <c r="E319">
        <v>0.369140625</v>
      </c>
      <c r="G319">
        <v>5.7100253281229776</v>
      </c>
      <c r="H319">
        <v>0.3671875</v>
      </c>
      <c r="J319">
        <v>5.6542633620280318</v>
      </c>
      <c r="K319">
        <v>0.37109375</v>
      </c>
    </row>
    <row r="320" spans="1:11" x14ac:dyDescent="0.45">
      <c r="A320">
        <v>8.081020560541301</v>
      </c>
      <c r="B320">
        <v>0.353515625</v>
      </c>
      <c r="D320">
        <v>-0.96030536397420951</v>
      </c>
      <c r="E320">
        <v>0.36962890625</v>
      </c>
      <c r="G320">
        <v>5.8183348035897424</v>
      </c>
      <c r="H320">
        <v>0.3681640625</v>
      </c>
      <c r="J320">
        <v>5.6542633620280318</v>
      </c>
      <c r="K320">
        <v>0.373046875</v>
      </c>
    </row>
    <row r="321" spans="1:11" x14ac:dyDescent="0.45">
      <c r="A321">
        <v>8.081020560541301</v>
      </c>
      <c r="B321">
        <v>0.357421875</v>
      </c>
      <c r="D321">
        <v>-0.96030536397420951</v>
      </c>
      <c r="E321">
        <v>0.37060546875</v>
      </c>
      <c r="G321">
        <v>5.8183348035897424</v>
      </c>
      <c r="H321">
        <v>0.3701171875</v>
      </c>
      <c r="J321">
        <v>5.6542633620280318</v>
      </c>
      <c r="K321">
        <v>0.376953125</v>
      </c>
    </row>
    <row r="322" spans="1:11" x14ac:dyDescent="0.45">
      <c r="A322">
        <v>8.081020560541301</v>
      </c>
      <c r="B322">
        <v>0.359375</v>
      </c>
      <c r="D322">
        <v>-0.96030536397420951</v>
      </c>
      <c r="E322">
        <v>0.37109375</v>
      </c>
      <c r="G322">
        <v>5.8183348035897424</v>
      </c>
      <c r="H322">
        <v>0.37109375</v>
      </c>
      <c r="J322">
        <v>5.6542633620280318</v>
      </c>
      <c r="K322">
        <v>0.37890625</v>
      </c>
    </row>
    <row r="323" spans="1:11" x14ac:dyDescent="0.45">
      <c r="A323">
        <v>8.081020560541301</v>
      </c>
      <c r="B323">
        <v>0.3603515625</v>
      </c>
      <c r="D323">
        <v>-0.7008665723579155</v>
      </c>
      <c r="E323">
        <v>0.371337890625</v>
      </c>
      <c r="G323">
        <v>5.88298296807407</v>
      </c>
      <c r="H323">
        <v>0.371337890625</v>
      </c>
      <c r="J323">
        <v>5.6542633620280318</v>
      </c>
      <c r="K323">
        <v>0.3798828125</v>
      </c>
    </row>
    <row r="324" spans="1:11" x14ac:dyDescent="0.45">
      <c r="A324">
        <v>8.081020560541301</v>
      </c>
      <c r="B324">
        <v>0.3623046875</v>
      </c>
      <c r="D324">
        <v>-0.7008665723579155</v>
      </c>
      <c r="E324">
        <v>0.371826171875</v>
      </c>
      <c r="G324">
        <v>5.88298296807407</v>
      </c>
      <c r="H324">
        <v>0.371826171875</v>
      </c>
      <c r="J324">
        <v>5.6542633620280318</v>
      </c>
      <c r="K324">
        <v>0.3818359375</v>
      </c>
    </row>
    <row r="325" spans="1:11" x14ac:dyDescent="0.45">
      <c r="A325">
        <v>8.081020560541301</v>
      </c>
      <c r="B325">
        <v>0.36328125</v>
      </c>
      <c r="D325">
        <v>-0.7008665723579155</v>
      </c>
      <c r="E325">
        <v>0.3720703125</v>
      </c>
      <c r="G325">
        <v>5.88298296807407</v>
      </c>
      <c r="H325">
        <v>0.3720703125</v>
      </c>
      <c r="J325">
        <v>5.6542633620280318</v>
      </c>
      <c r="K325">
        <v>0.3828125</v>
      </c>
    </row>
    <row r="326" spans="1:11" x14ac:dyDescent="0.45">
      <c r="A326">
        <v>8.3751772158827436</v>
      </c>
      <c r="B326">
        <v>0.363525390625</v>
      </c>
      <c r="D326">
        <v>-0.65748311961275752</v>
      </c>
      <c r="E326">
        <v>0.3740234375</v>
      </c>
      <c r="G326">
        <v>5.9556815757388426</v>
      </c>
      <c r="H326">
        <v>0.3740234375</v>
      </c>
      <c r="J326">
        <v>5.7788722789590938</v>
      </c>
      <c r="K326">
        <v>0.38330078125</v>
      </c>
    </row>
    <row r="327" spans="1:11" x14ac:dyDescent="0.45">
      <c r="A327">
        <v>8.3751772158827436</v>
      </c>
      <c r="B327">
        <v>0.364013671875</v>
      </c>
      <c r="D327">
        <v>-0.65748311961275752</v>
      </c>
      <c r="E327">
        <v>0.3779296875</v>
      </c>
      <c r="G327">
        <v>5.9556815757388426</v>
      </c>
      <c r="H327">
        <v>0.3779296875</v>
      </c>
      <c r="J327">
        <v>5.7788722789590938</v>
      </c>
      <c r="K327">
        <v>0.38427734375</v>
      </c>
    </row>
    <row r="328" spans="1:11" x14ac:dyDescent="0.45">
      <c r="A328">
        <v>8.3751772158827436</v>
      </c>
      <c r="B328">
        <v>0.3642578125</v>
      </c>
      <c r="D328">
        <v>-0.65748311961275752</v>
      </c>
      <c r="E328">
        <v>0.3798828125</v>
      </c>
      <c r="G328">
        <v>5.9556815757388426</v>
      </c>
      <c r="H328">
        <v>0.3798828125</v>
      </c>
      <c r="J328">
        <v>5.7788722789590938</v>
      </c>
      <c r="K328">
        <v>0.384765625</v>
      </c>
    </row>
    <row r="329" spans="1:11" x14ac:dyDescent="0.45">
      <c r="A329">
        <v>8.3751772158827436</v>
      </c>
      <c r="B329">
        <v>0.36474609375</v>
      </c>
      <c r="D329">
        <v>-0.5537080305622587</v>
      </c>
      <c r="E329">
        <v>0.380126953125</v>
      </c>
      <c r="G329">
        <v>6.0301275954355766</v>
      </c>
      <c r="H329">
        <v>0.380126953125</v>
      </c>
      <c r="J329">
        <v>5.7788722789590938</v>
      </c>
      <c r="K329">
        <v>0.3857421875</v>
      </c>
    </row>
    <row r="330" spans="1:11" x14ac:dyDescent="0.45">
      <c r="A330">
        <v>8.3751772158827436</v>
      </c>
      <c r="B330">
        <v>0.36572265625</v>
      </c>
      <c r="D330">
        <v>-0.5537080305622587</v>
      </c>
      <c r="E330">
        <v>0.380615234375</v>
      </c>
      <c r="G330">
        <v>6.0301275954355766</v>
      </c>
      <c r="H330">
        <v>0.380615234375</v>
      </c>
      <c r="J330">
        <v>5.7788722789590938</v>
      </c>
      <c r="K330">
        <v>0.3876953125</v>
      </c>
    </row>
    <row r="331" spans="1:11" x14ac:dyDescent="0.45">
      <c r="A331">
        <v>8.3751772158827436</v>
      </c>
      <c r="B331">
        <v>0.3662109375</v>
      </c>
      <c r="D331">
        <v>-0.5537080305622587</v>
      </c>
      <c r="E331">
        <v>0.380859375</v>
      </c>
      <c r="G331">
        <v>6.0301275954355766</v>
      </c>
      <c r="H331">
        <v>0.380859375</v>
      </c>
      <c r="J331">
        <v>5.7788722789590938</v>
      </c>
      <c r="K331">
        <v>0.388671875</v>
      </c>
    </row>
    <row r="332" spans="1:11" x14ac:dyDescent="0.45">
      <c r="A332">
        <v>8.3751772158827436</v>
      </c>
      <c r="B332">
        <v>0.366455078125</v>
      </c>
      <c r="D332">
        <v>-0.54515180132103835</v>
      </c>
      <c r="E332">
        <v>0.3818359375</v>
      </c>
      <c r="G332">
        <v>6.0487391003597581</v>
      </c>
      <c r="H332">
        <v>0.3828125</v>
      </c>
      <c r="J332">
        <v>5.7788722789590938</v>
      </c>
      <c r="K332">
        <v>0.38916015625</v>
      </c>
    </row>
    <row r="333" spans="1:11" x14ac:dyDescent="0.45">
      <c r="A333">
        <v>8.3751772158827436</v>
      </c>
      <c r="B333">
        <v>0.366943359375</v>
      </c>
      <c r="D333">
        <v>-0.54515180132103835</v>
      </c>
      <c r="E333">
        <v>0.3837890625</v>
      </c>
      <c r="G333">
        <v>6.0487391003597581</v>
      </c>
      <c r="H333">
        <v>0.38671875</v>
      </c>
      <c r="J333">
        <v>5.7788722789590938</v>
      </c>
      <c r="K333">
        <v>0.39013671875</v>
      </c>
    </row>
    <row r="334" spans="1:11" x14ac:dyDescent="0.45">
      <c r="A334">
        <v>8.3751772158827436</v>
      </c>
      <c r="B334">
        <v>0.3671875</v>
      </c>
      <c r="D334">
        <v>-0.54515180132103835</v>
      </c>
      <c r="E334">
        <v>0.384765625</v>
      </c>
      <c r="G334">
        <v>6.0487391003597581</v>
      </c>
      <c r="H334">
        <v>0.388671875</v>
      </c>
      <c r="J334">
        <v>5.7788722789590938</v>
      </c>
      <c r="K334">
        <v>0.390625</v>
      </c>
    </row>
    <row r="335" spans="1:11" x14ac:dyDescent="0.45">
      <c r="A335">
        <v>8.9219145751921509</v>
      </c>
      <c r="B335">
        <v>0.3681640625</v>
      </c>
      <c r="D335">
        <v>-0.19301833094307452</v>
      </c>
      <c r="E335">
        <v>0.3857421875</v>
      </c>
      <c r="G335">
        <v>6.1858607721332275</v>
      </c>
      <c r="H335">
        <v>0.3896484375</v>
      </c>
      <c r="J335">
        <v>6.1456161362916664</v>
      </c>
      <c r="K335">
        <v>0.39111328125</v>
      </c>
    </row>
    <row r="336" spans="1:11" x14ac:dyDescent="0.45">
      <c r="A336">
        <v>8.9219145751921509</v>
      </c>
      <c r="B336">
        <v>0.3701171875</v>
      </c>
      <c r="D336">
        <v>-0.19301833094307452</v>
      </c>
      <c r="E336">
        <v>0.3876953125</v>
      </c>
      <c r="G336">
        <v>6.1858607721332275</v>
      </c>
      <c r="H336">
        <v>0.3916015625</v>
      </c>
      <c r="J336">
        <v>6.1456161362916664</v>
      </c>
      <c r="K336">
        <v>0.39208984375</v>
      </c>
    </row>
    <row r="337" spans="1:11" x14ac:dyDescent="0.45">
      <c r="A337">
        <v>8.9219145751921509</v>
      </c>
      <c r="B337">
        <v>0.37109375</v>
      </c>
      <c r="D337">
        <v>-0.19301833094307452</v>
      </c>
      <c r="E337">
        <v>0.388671875</v>
      </c>
      <c r="G337">
        <v>6.1858607721332275</v>
      </c>
      <c r="H337">
        <v>0.392578125</v>
      </c>
      <c r="J337">
        <v>6.1456161362916664</v>
      </c>
      <c r="K337">
        <v>0.392578125</v>
      </c>
    </row>
    <row r="338" spans="1:11" x14ac:dyDescent="0.45">
      <c r="A338">
        <v>8.9219145751921509</v>
      </c>
      <c r="B338">
        <v>0.373046875</v>
      </c>
      <c r="D338">
        <v>-3.3973102100479657E-3</v>
      </c>
      <c r="E338">
        <v>0.3896484375</v>
      </c>
      <c r="G338">
        <v>6.2062237904957227</v>
      </c>
      <c r="H338">
        <v>0.3935546875</v>
      </c>
      <c r="J338">
        <v>6.1456161362916664</v>
      </c>
      <c r="K338">
        <v>0.3935546875</v>
      </c>
    </row>
    <row r="339" spans="1:11" x14ac:dyDescent="0.45">
      <c r="A339">
        <v>8.9219145751921509</v>
      </c>
      <c r="B339">
        <v>0.376953125</v>
      </c>
      <c r="D339">
        <v>-3.3973102100479657E-3</v>
      </c>
      <c r="E339">
        <v>0.3916015625</v>
      </c>
      <c r="G339">
        <v>6.2062237904957227</v>
      </c>
      <c r="H339">
        <v>0.3955078125</v>
      </c>
      <c r="J339">
        <v>6.1456161362916664</v>
      </c>
      <c r="K339">
        <v>0.3955078125</v>
      </c>
    </row>
    <row r="340" spans="1:11" x14ac:dyDescent="0.45">
      <c r="A340">
        <v>8.9219145751921509</v>
      </c>
      <c r="B340">
        <v>0.37890625</v>
      </c>
      <c r="D340">
        <v>-3.3973102100479657E-3</v>
      </c>
      <c r="E340">
        <v>0.392578125</v>
      </c>
      <c r="G340">
        <v>6.2062237904957227</v>
      </c>
      <c r="H340">
        <v>0.396484375</v>
      </c>
      <c r="J340">
        <v>6.1456161362916664</v>
      </c>
      <c r="K340">
        <v>0.396484375</v>
      </c>
    </row>
    <row r="341" spans="1:11" x14ac:dyDescent="0.45">
      <c r="A341">
        <v>8.9219145751921509</v>
      </c>
      <c r="B341">
        <v>0.3798828125</v>
      </c>
      <c r="D341">
        <v>3.3748584991527442E-2</v>
      </c>
      <c r="E341">
        <v>0.39453125</v>
      </c>
      <c r="G341">
        <v>6.4237784941383476</v>
      </c>
      <c r="H341">
        <v>0.3974609375</v>
      </c>
      <c r="J341">
        <v>6.1456161362916664</v>
      </c>
      <c r="K341">
        <v>0.39697265625</v>
      </c>
    </row>
    <row r="342" spans="1:11" x14ac:dyDescent="0.45">
      <c r="A342">
        <v>8.9219145751921509</v>
      </c>
      <c r="B342">
        <v>0.3818359375</v>
      </c>
      <c r="D342">
        <v>3.3748584991527442E-2</v>
      </c>
      <c r="E342">
        <v>0.3984375</v>
      </c>
      <c r="G342">
        <v>6.4237784941383476</v>
      </c>
      <c r="H342">
        <v>0.3994140625</v>
      </c>
      <c r="J342">
        <v>6.1456161362916664</v>
      </c>
      <c r="K342">
        <v>0.39794921875</v>
      </c>
    </row>
    <row r="343" spans="1:11" x14ac:dyDescent="0.45">
      <c r="A343">
        <v>8.9219145751921509</v>
      </c>
      <c r="B343">
        <v>0.3828125</v>
      </c>
      <c r="D343">
        <v>3.3748584991527442E-2</v>
      </c>
      <c r="E343">
        <v>0.400390625</v>
      </c>
      <c r="G343">
        <v>6.4237784941383476</v>
      </c>
      <c r="H343">
        <v>0.400390625</v>
      </c>
      <c r="J343">
        <v>6.1456161362916664</v>
      </c>
      <c r="K343">
        <v>0.3984375</v>
      </c>
    </row>
    <row r="344" spans="1:11" x14ac:dyDescent="0.45">
      <c r="A344">
        <v>9.3057524620919345</v>
      </c>
      <c r="B344">
        <v>0.3837890625</v>
      </c>
      <c r="D344">
        <v>0.28222818173536612</v>
      </c>
      <c r="E344">
        <v>0.4013671875</v>
      </c>
      <c r="G344">
        <v>6.5140497333127207</v>
      </c>
      <c r="H344">
        <v>0.40087890625</v>
      </c>
      <c r="J344">
        <v>6.2341878094155181</v>
      </c>
      <c r="K344">
        <v>0.400390625</v>
      </c>
    </row>
    <row r="345" spans="1:11" x14ac:dyDescent="0.45">
      <c r="A345">
        <v>9.3057524620919345</v>
      </c>
      <c r="B345">
        <v>0.3857421875</v>
      </c>
      <c r="D345">
        <v>0.28222818173536612</v>
      </c>
      <c r="E345">
        <v>0.4033203125</v>
      </c>
      <c r="G345">
        <v>6.5140497333127207</v>
      </c>
      <c r="H345">
        <v>0.40185546875</v>
      </c>
      <c r="J345">
        <v>6.2341878094155181</v>
      </c>
      <c r="K345">
        <v>0.404296875</v>
      </c>
    </row>
    <row r="346" spans="1:11" x14ac:dyDescent="0.45">
      <c r="A346">
        <v>9.3057524620919345</v>
      </c>
      <c r="B346">
        <v>0.38671875</v>
      </c>
      <c r="D346">
        <v>0.28222818173536612</v>
      </c>
      <c r="E346">
        <v>0.404296875</v>
      </c>
      <c r="G346">
        <v>6.5140497333127207</v>
      </c>
      <c r="H346">
        <v>0.40234375</v>
      </c>
      <c r="J346">
        <v>6.2341878094155181</v>
      </c>
      <c r="K346">
        <v>0.40625</v>
      </c>
    </row>
    <row r="347" spans="1:11" x14ac:dyDescent="0.45">
      <c r="A347">
        <v>9.3057524620919345</v>
      </c>
      <c r="B347">
        <v>0.388671875</v>
      </c>
      <c r="D347">
        <v>0.37820513723450122</v>
      </c>
      <c r="E347">
        <v>0.40478515625</v>
      </c>
      <c r="G347">
        <v>6.6616962161434747</v>
      </c>
      <c r="H347">
        <v>0.4033203125</v>
      </c>
      <c r="J347">
        <v>6.2341878094155181</v>
      </c>
      <c r="K347">
        <v>0.41015625</v>
      </c>
    </row>
    <row r="348" spans="1:11" x14ac:dyDescent="0.45">
      <c r="A348">
        <v>9.3057524620919345</v>
      </c>
      <c r="B348">
        <v>0.392578125</v>
      </c>
      <c r="D348">
        <v>0.37820513723450122</v>
      </c>
      <c r="E348">
        <v>0.40576171875</v>
      </c>
      <c r="G348">
        <v>6.6616962161434747</v>
      </c>
      <c r="H348">
        <v>0.4052734375</v>
      </c>
      <c r="J348">
        <v>6.2341878094155181</v>
      </c>
      <c r="K348">
        <v>0.41796875</v>
      </c>
    </row>
    <row r="349" spans="1:11" x14ac:dyDescent="0.45">
      <c r="A349">
        <v>9.3057524620919345</v>
      </c>
      <c r="B349">
        <v>0.39453125</v>
      </c>
      <c r="D349">
        <v>0.37820513723450122</v>
      </c>
      <c r="E349">
        <v>0.40625</v>
      </c>
      <c r="G349">
        <v>6.6616962161434747</v>
      </c>
      <c r="H349">
        <v>0.40625</v>
      </c>
      <c r="J349">
        <v>6.2341878094155181</v>
      </c>
      <c r="K349">
        <v>0.421875</v>
      </c>
    </row>
    <row r="350" spans="1:11" x14ac:dyDescent="0.45">
      <c r="A350">
        <v>9.3057524620919345</v>
      </c>
      <c r="B350">
        <v>0.3955078125</v>
      </c>
      <c r="D350">
        <v>0.47861892205448392</v>
      </c>
      <c r="E350">
        <v>0.4072265625</v>
      </c>
      <c r="G350">
        <v>6.7001417727061927</v>
      </c>
      <c r="H350">
        <v>0.4072265625</v>
      </c>
      <c r="J350">
        <v>6.2341878094155181</v>
      </c>
      <c r="K350">
        <v>0.423828125</v>
      </c>
    </row>
    <row r="351" spans="1:11" x14ac:dyDescent="0.45">
      <c r="A351">
        <v>9.3057524620919345</v>
      </c>
      <c r="B351">
        <v>0.3974609375</v>
      </c>
      <c r="D351">
        <v>0.47861892205448392</v>
      </c>
      <c r="E351">
        <v>0.4091796875</v>
      </c>
      <c r="G351">
        <v>6.7001417727061927</v>
      </c>
      <c r="H351">
        <v>0.4091796875</v>
      </c>
      <c r="J351">
        <v>6.2341878094155181</v>
      </c>
      <c r="K351">
        <v>0.427734375</v>
      </c>
    </row>
    <row r="352" spans="1:11" x14ac:dyDescent="0.45">
      <c r="A352">
        <v>9.3057524620919345</v>
      </c>
      <c r="B352">
        <v>0.3984375</v>
      </c>
      <c r="D352">
        <v>0.47861892205448392</v>
      </c>
      <c r="E352">
        <v>0.41015625</v>
      </c>
      <c r="G352">
        <v>6.7001417727061927</v>
      </c>
      <c r="H352">
        <v>0.41015625</v>
      </c>
      <c r="J352">
        <v>6.2341878094155181</v>
      </c>
      <c r="K352">
        <v>0.4296875</v>
      </c>
    </row>
    <row r="353" spans="1:11" x14ac:dyDescent="0.45">
      <c r="A353">
        <v>9.697224672649563</v>
      </c>
      <c r="B353">
        <v>0.39892578125</v>
      </c>
      <c r="D353">
        <v>0.60805662147890094</v>
      </c>
      <c r="E353">
        <v>0.41064453125</v>
      </c>
      <c r="G353">
        <v>6.7234091063703678</v>
      </c>
      <c r="H353">
        <v>0.41064453125</v>
      </c>
      <c r="J353">
        <v>6.6691311449561415</v>
      </c>
      <c r="K353">
        <v>0.4306640625</v>
      </c>
    </row>
    <row r="354" spans="1:11" x14ac:dyDescent="0.45">
      <c r="A354">
        <v>9.697224672649563</v>
      </c>
      <c r="B354">
        <v>0.39990234375</v>
      </c>
      <c r="D354">
        <v>0.60805662147890094</v>
      </c>
      <c r="E354">
        <v>0.41162109375</v>
      </c>
      <c r="G354">
        <v>6.7234091063703678</v>
      </c>
      <c r="H354">
        <v>0.41162109375</v>
      </c>
      <c r="J354">
        <v>6.6691311449561415</v>
      </c>
      <c r="K354">
        <v>0.4326171875</v>
      </c>
    </row>
    <row r="355" spans="1:11" x14ac:dyDescent="0.45">
      <c r="A355">
        <v>9.697224672649563</v>
      </c>
      <c r="B355">
        <v>0.400390625</v>
      </c>
      <c r="D355">
        <v>0.60805662147890094</v>
      </c>
      <c r="E355">
        <v>0.412109375</v>
      </c>
      <c r="G355">
        <v>6.7234091063703678</v>
      </c>
      <c r="H355">
        <v>0.412109375</v>
      </c>
      <c r="J355">
        <v>6.6691311449561415</v>
      </c>
      <c r="K355">
        <v>0.43359375</v>
      </c>
    </row>
    <row r="356" spans="1:11" x14ac:dyDescent="0.45">
      <c r="A356">
        <v>9.697224672649563</v>
      </c>
      <c r="B356">
        <v>0.4013671875</v>
      </c>
      <c r="D356">
        <v>1.0642540092333412</v>
      </c>
      <c r="E356">
        <v>0.41259765625</v>
      </c>
      <c r="G356">
        <v>6.9590933686498788</v>
      </c>
      <c r="H356">
        <v>0.41259765625</v>
      </c>
      <c r="J356">
        <v>6.6691311449561415</v>
      </c>
      <c r="K356">
        <v>0.435546875</v>
      </c>
    </row>
    <row r="357" spans="1:11" x14ac:dyDescent="0.45">
      <c r="A357">
        <v>9.697224672649563</v>
      </c>
      <c r="B357">
        <v>0.4033203125</v>
      </c>
      <c r="D357">
        <v>1.0642540092333412</v>
      </c>
      <c r="E357">
        <v>0.41357421875</v>
      </c>
      <c r="G357">
        <v>6.9590933686498788</v>
      </c>
      <c r="H357">
        <v>0.41357421875</v>
      </c>
      <c r="J357">
        <v>6.6691311449561415</v>
      </c>
      <c r="K357">
        <v>0.439453125</v>
      </c>
    </row>
    <row r="358" spans="1:11" x14ac:dyDescent="0.45">
      <c r="A358">
        <v>9.697224672649563</v>
      </c>
      <c r="B358">
        <v>0.404296875</v>
      </c>
      <c r="D358">
        <v>1.0642540092333412</v>
      </c>
      <c r="E358">
        <v>0.4140625</v>
      </c>
      <c r="G358">
        <v>6.9590933686498788</v>
      </c>
      <c r="H358">
        <v>0.4140625</v>
      </c>
      <c r="J358">
        <v>6.6691311449561415</v>
      </c>
      <c r="K358">
        <v>0.44140625</v>
      </c>
    </row>
    <row r="359" spans="1:11" x14ac:dyDescent="0.45">
      <c r="A359">
        <v>9.697224672649563</v>
      </c>
      <c r="B359">
        <v>0.40478515625</v>
      </c>
      <c r="D359">
        <v>1.2164230862483281</v>
      </c>
      <c r="E359">
        <v>0.41455078125</v>
      </c>
      <c r="G359">
        <v>6.9820017643076868</v>
      </c>
      <c r="H359">
        <v>0.41455078125</v>
      </c>
      <c r="J359">
        <v>6.6691311449561415</v>
      </c>
      <c r="K359">
        <v>0.4423828125</v>
      </c>
    </row>
    <row r="360" spans="1:11" x14ac:dyDescent="0.45">
      <c r="A360">
        <v>9.697224672649563</v>
      </c>
      <c r="B360">
        <v>0.40576171875</v>
      </c>
      <c r="D360">
        <v>1.2164230862483281</v>
      </c>
      <c r="E360">
        <v>0.41552734375</v>
      </c>
      <c r="G360">
        <v>6.9820017643076868</v>
      </c>
      <c r="H360">
        <v>0.41552734375</v>
      </c>
      <c r="J360">
        <v>6.6691311449561415</v>
      </c>
      <c r="K360">
        <v>0.4443359375</v>
      </c>
    </row>
    <row r="361" spans="1:11" x14ac:dyDescent="0.45">
      <c r="A361">
        <v>9.697224672649563</v>
      </c>
      <c r="B361">
        <v>0.40625</v>
      </c>
      <c r="D361">
        <v>1.2164230862483281</v>
      </c>
      <c r="E361">
        <v>0.416015625</v>
      </c>
      <c r="G361">
        <v>6.9820017643076868</v>
      </c>
      <c r="H361">
        <v>0.416015625</v>
      </c>
      <c r="J361">
        <v>6.6691311449561415</v>
      </c>
      <c r="K361">
        <v>0.4453125</v>
      </c>
    </row>
    <row r="362" spans="1:11" x14ac:dyDescent="0.45">
      <c r="A362">
        <v>10.408900337724178</v>
      </c>
      <c r="B362">
        <v>0.40673828125</v>
      </c>
      <c r="D362">
        <v>1.4230314944119988</v>
      </c>
      <c r="E362">
        <v>0.41650390625</v>
      </c>
      <c r="G362">
        <v>7.0464302641057577</v>
      </c>
      <c r="H362">
        <v>0.416259765625</v>
      </c>
      <c r="J362">
        <v>6.7759357400138889</v>
      </c>
      <c r="K362">
        <v>0.4462890625</v>
      </c>
    </row>
    <row r="363" spans="1:11" x14ac:dyDescent="0.45">
      <c r="A363">
        <v>10.408900337724178</v>
      </c>
      <c r="B363">
        <v>0.40771484375</v>
      </c>
      <c r="D363">
        <v>1.4230314944119988</v>
      </c>
      <c r="E363">
        <v>0.41748046875</v>
      </c>
      <c r="G363">
        <v>7.0464302641057577</v>
      </c>
      <c r="H363">
        <v>0.416748046875</v>
      </c>
      <c r="J363">
        <v>6.7759357400138889</v>
      </c>
      <c r="K363">
        <v>0.4482421875</v>
      </c>
    </row>
    <row r="364" spans="1:11" x14ac:dyDescent="0.45">
      <c r="A364">
        <v>10.408900337724178</v>
      </c>
      <c r="B364">
        <v>0.408203125</v>
      </c>
      <c r="D364">
        <v>1.4230314944119988</v>
      </c>
      <c r="E364">
        <v>0.41796875</v>
      </c>
      <c r="G364">
        <v>7.0464302641057577</v>
      </c>
      <c r="H364">
        <v>0.4169921875</v>
      </c>
      <c r="J364">
        <v>6.7759357400138889</v>
      </c>
      <c r="K364">
        <v>0.44921875</v>
      </c>
    </row>
    <row r="365" spans="1:11" x14ac:dyDescent="0.45">
      <c r="A365">
        <v>10.408900337724178</v>
      </c>
      <c r="B365">
        <v>0.4091796875</v>
      </c>
      <c r="D365">
        <v>1.4902727149252621</v>
      </c>
      <c r="E365">
        <v>0.418212890625</v>
      </c>
      <c r="G365">
        <v>7.2405944222450067</v>
      </c>
      <c r="H365">
        <v>0.41748046875</v>
      </c>
      <c r="J365">
        <v>6.7759357400138889</v>
      </c>
      <c r="K365">
        <v>0.451171875</v>
      </c>
    </row>
    <row r="366" spans="1:11" x14ac:dyDescent="0.45">
      <c r="A366">
        <v>10.408900337724178</v>
      </c>
      <c r="B366">
        <v>0.4111328125</v>
      </c>
      <c r="D366">
        <v>1.4902727149252621</v>
      </c>
      <c r="E366">
        <v>0.418701171875</v>
      </c>
      <c r="G366">
        <v>7.2405944222450067</v>
      </c>
      <c r="H366">
        <v>0.41845703125</v>
      </c>
      <c r="J366">
        <v>6.7759357400138889</v>
      </c>
      <c r="K366">
        <v>0.455078125</v>
      </c>
    </row>
    <row r="367" spans="1:11" x14ac:dyDescent="0.45">
      <c r="A367">
        <v>10.408900337724178</v>
      </c>
      <c r="B367">
        <v>0.412109375</v>
      </c>
      <c r="D367">
        <v>1.4902727149252621</v>
      </c>
      <c r="E367">
        <v>0.4189453125</v>
      </c>
      <c r="G367">
        <v>7.2405944222450067</v>
      </c>
      <c r="H367">
        <v>0.4189453125</v>
      </c>
      <c r="J367">
        <v>6.7759357400138889</v>
      </c>
      <c r="K367">
        <v>0.45703125</v>
      </c>
    </row>
    <row r="368" spans="1:11" x14ac:dyDescent="0.45">
      <c r="A368">
        <v>10.408900337724178</v>
      </c>
      <c r="B368">
        <v>0.41259765625</v>
      </c>
      <c r="D368">
        <v>1.6123160523055924</v>
      </c>
      <c r="E368">
        <v>0.41943359375</v>
      </c>
      <c r="G368">
        <v>7.2584869204317108</v>
      </c>
      <c r="H368">
        <v>0.419921875</v>
      </c>
      <c r="J368">
        <v>6.7759357400138889</v>
      </c>
      <c r="K368">
        <v>0.4580078125</v>
      </c>
    </row>
    <row r="369" spans="1:11" x14ac:dyDescent="0.45">
      <c r="A369">
        <v>10.408900337724178</v>
      </c>
      <c r="B369">
        <v>0.41357421875</v>
      </c>
      <c r="D369">
        <v>1.6123160523055924</v>
      </c>
      <c r="E369">
        <v>0.42041015625</v>
      </c>
      <c r="G369">
        <v>7.2584869204317108</v>
      </c>
      <c r="H369">
        <v>0.421875</v>
      </c>
      <c r="J369">
        <v>6.7759357400138889</v>
      </c>
      <c r="K369">
        <v>0.4599609375</v>
      </c>
    </row>
    <row r="370" spans="1:11" x14ac:dyDescent="0.45">
      <c r="A370">
        <v>10.408900337724178</v>
      </c>
      <c r="B370">
        <v>0.4140625</v>
      </c>
      <c r="D370">
        <v>1.6123160523055924</v>
      </c>
      <c r="E370">
        <v>0.4208984375</v>
      </c>
      <c r="G370">
        <v>7.2584869204317108</v>
      </c>
      <c r="H370">
        <v>0.4228515625</v>
      </c>
      <c r="J370">
        <v>6.7759357400138889</v>
      </c>
      <c r="K370">
        <v>0.4609375</v>
      </c>
    </row>
    <row r="371" spans="1:11" x14ac:dyDescent="0.45">
      <c r="A371">
        <v>11.232676261827974</v>
      </c>
      <c r="B371">
        <v>0.416015625</v>
      </c>
      <c r="D371">
        <v>1.8956858265406606</v>
      </c>
      <c r="E371">
        <v>0.4248046875</v>
      </c>
      <c r="G371">
        <v>7.3399070494010648</v>
      </c>
      <c r="H371">
        <v>0.42333984375</v>
      </c>
      <c r="J371">
        <v>6.9590933686498833</v>
      </c>
      <c r="K371">
        <v>0.462890625</v>
      </c>
    </row>
    <row r="372" spans="1:11" x14ac:dyDescent="0.45">
      <c r="A372">
        <v>11.232676261827974</v>
      </c>
      <c r="B372">
        <v>0.419921875</v>
      </c>
      <c r="D372">
        <v>1.8956858265406606</v>
      </c>
      <c r="E372">
        <v>0.4326171875</v>
      </c>
      <c r="G372">
        <v>7.3399070494010648</v>
      </c>
      <c r="H372">
        <v>0.42431640625</v>
      </c>
      <c r="J372">
        <v>6.9590933686498833</v>
      </c>
      <c r="K372">
        <v>0.466796875</v>
      </c>
    </row>
    <row r="373" spans="1:11" x14ac:dyDescent="0.45">
      <c r="A373">
        <v>11.232676261827974</v>
      </c>
      <c r="B373">
        <v>0.421875</v>
      </c>
      <c r="D373">
        <v>1.8956858265406606</v>
      </c>
      <c r="E373">
        <v>0.4365234375</v>
      </c>
      <c r="G373">
        <v>7.3399070494010648</v>
      </c>
      <c r="H373">
        <v>0.4248046875</v>
      </c>
      <c r="J373">
        <v>6.9590933686498833</v>
      </c>
      <c r="K373">
        <v>0.46875</v>
      </c>
    </row>
    <row r="374" spans="1:11" x14ac:dyDescent="0.45">
      <c r="A374">
        <v>11.232676261827974</v>
      </c>
      <c r="B374">
        <v>0.42578125</v>
      </c>
      <c r="D374">
        <v>1.8979415442510021</v>
      </c>
      <c r="E374">
        <v>0.4384765625</v>
      </c>
      <c r="G374">
        <v>7.3891626049566161</v>
      </c>
      <c r="H374">
        <v>0.425048828125</v>
      </c>
      <c r="J374">
        <v>6.9590933686498833</v>
      </c>
      <c r="K374">
        <v>0.47265625</v>
      </c>
    </row>
    <row r="375" spans="1:11" x14ac:dyDescent="0.45">
      <c r="A375">
        <v>11.232676261827974</v>
      </c>
      <c r="B375">
        <v>0.43359375</v>
      </c>
      <c r="D375">
        <v>1.8979415442510021</v>
      </c>
      <c r="E375">
        <v>0.4423828125</v>
      </c>
      <c r="G375">
        <v>7.3891626049566161</v>
      </c>
      <c r="H375">
        <v>0.425537109375</v>
      </c>
      <c r="J375">
        <v>6.9590933686498833</v>
      </c>
      <c r="K375">
        <v>0.48046875</v>
      </c>
    </row>
    <row r="376" spans="1:11" x14ac:dyDescent="0.45">
      <c r="A376">
        <v>11.232676261827974</v>
      </c>
      <c r="B376">
        <v>0.4375</v>
      </c>
      <c r="D376">
        <v>1.8979415442510021</v>
      </c>
      <c r="E376">
        <v>0.4443359375</v>
      </c>
      <c r="G376">
        <v>7.3891626049566161</v>
      </c>
      <c r="H376">
        <v>0.42578125</v>
      </c>
      <c r="J376">
        <v>6.9590933686498833</v>
      </c>
      <c r="K376">
        <v>0.484375</v>
      </c>
    </row>
    <row r="377" spans="1:11" x14ac:dyDescent="0.45">
      <c r="A377">
        <v>11.232676261827974</v>
      </c>
      <c r="B377">
        <v>0.439453125</v>
      </c>
      <c r="D377">
        <v>2.3540494624909964</v>
      </c>
      <c r="E377">
        <v>0.444580078125</v>
      </c>
      <c r="G377">
        <v>7.444601969673549</v>
      </c>
      <c r="H377">
        <v>0.4296875</v>
      </c>
      <c r="J377">
        <v>6.9590933686498833</v>
      </c>
      <c r="K377">
        <v>0.486328125</v>
      </c>
    </row>
    <row r="378" spans="1:11" x14ac:dyDescent="0.45">
      <c r="A378">
        <v>11.232676261827974</v>
      </c>
      <c r="B378">
        <v>0.443359375</v>
      </c>
      <c r="D378">
        <v>2.3540494624909964</v>
      </c>
      <c r="E378">
        <v>0.445068359375</v>
      </c>
      <c r="G378">
        <v>7.444601969673549</v>
      </c>
      <c r="H378">
        <v>0.4375</v>
      </c>
      <c r="J378">
        <v>6.9590933686498833</v>
      </c>
      <c r="K378">
        <v>0.490234375</v>
      </c>
    </row>
    <row r="379" spans="1:11" x14ac:dyDescent="0.45">
      <c r="A379">
        <v>11.232676261827974</v>
      </c>
      <c r="B379">
        <v>0.4453125</v>
      </c>
      <c r="D379">
        <v>2.3540494624909964</v>
      </c>
      <c r="E379">
        <v>0.4453125</v>
      </c>
      <c r="G379">
        <v>7.444601969673549</v>
      </c>
      <c r="H379">
        <v>0.44140625</v>
      </c>
      <c r="J379">
        <v>6.9590933686498833</v>
      </c>
      <c r="K379">
        <v>0.4921875</v>
      </c>
    </row>
    <row r="380" spans="1:11" x14ac:dyDescent="0.45">
      <c r="A380">
        <v>11.232676261827974</v>
      </c>
      <c r="B380">
        <v>0.4462890625</v>
      </c>
      <c r="D380">
        <v>2.5713743458996654</v>
      </c>
      <c r="E380">
        <v>0.4462890625</v>
      </c>
      <c r="G380">
        <v>7.4944082431614056</v>
      </c>
      <c r="H380">
        <v>0.44189453125</v>
      </c>
      <c r="J380">
        <v>7.2486754428055598</v>
      </c>
      <c r="K380">
        <v>0.49267578125</v>
      </c>
    </row>
    <row r="381" spans="1:11" x14ac:dyDescent="0.45">
      <c r="A381">
        <v>11.232676261827974</v>
      </c>
      <c r="B381">
        <v>0.4482421875</v>
      </c>
      <c r="D381">
        <v>2.5713743458996654</v>
      </c>
      <c r="E381">
        <v>0.4482421875</v>
      </c>
      <c r="G381">
        <v>7.4944082431614056</v>
      </c>
      <c r="H381">
        <v>0.44287109375</v>
      </c>
      <c r="J381">
        <v>7.2486754428055598</v>
      </c>
      <c r="K381">
        <v>0.49365234375</v>
      </c>
    </row>
    <row r="382" spans="1:11" x14ac:dyDescent="0.45">
      <c r="A382">
        <v>11.232676261827974</v>
      </c>
      <c r="B382">
        <v>0.44921875</v>
      </c>
      <c r="D382">
        <v>2.5713743458996654</v>
      </c>
      <c r="E382">
        <v>0.44921875</v>
      </c>
      <c r="G382">
        <v>7.4944082431614056</v>
      </c>
      <c r="H382">
        <v>0.443359375</v>
      </c>
      <c r="J382">
        <v>7.2486754428055598</v>
      </c>
      <c r="K382">
        <v>0.494140625</v>
      </c>
    </row>
    <row r="383" spans="1:11" x14ac:dyDescent="0.45">
      <c r="A383">
        <v>11.232676261827974</v>
      </c>
      <c r="B383">
        <v>0.451171875</v>
      </c>
      <c r="D383">
        <v>2.813423786679401</v>
      </c>
      <c r="E383">
        <v>0.449462890625</v>
      </c>
      <c r="G383">
        <v>7.5638352446666604</v>
      </c>
      <c r="H383">
        <v>0.443603515625</v>
      </c>
      <c r="J383">
        <v>7.2486754428055598</v>
      </c>
      <c r="K383">
        <v>0.4951171875</v>
      </c>
    </row>
    <row r="384" spans="1:11" x14ac:dyDescent="0.45">
      <c r="A384">
        <v>11.232676261827974</v>
      </c>
      <c r="B384">
        <v>0.455078125</v>
      </c>
      <c r="D384">
        <v>2.813423786679401</v>
      </c>
      <c r="E384">
        <v>0.449951171875</v>
      </c>
      <c r="G384">
        <v>7.5638352446666604</v>
      </c>
      <c r="H384">
        <v>0.444091796875</v>
      </c>
      <c r="J384">
        <v>7.2486754428055598</v>
      </c>
      <c r="K384">
        <v>0.4970703125</v>
      </c>
    </row>
    <row r="385" spans="1:11" x14ac:dyDescent="0.45">
      <c r="A385">
        <v>11.232676261827974</v>
      </c>
      <c r="B385">
        <v>0.45703125</v>
      </c>
      <c r="D385">
        <v>2.813423786679401</v>
      </c>
      <c r="E385">
        <v>0.4501953125</v>
      </c>
      <c r="G385">
        <v>7.5638352446666604</v>
      </c>
      <c r="H385">
        <v>0.4443359375</v>
      </c>
      <c r="J385">
        <v>7.2486754428055598</v>
      </c>
      <c r="K385">
        <v>0.498046875</v>
      </c>
    </row>
    <row r="386" spans="1:11" x14ac:dyDescent="0.45">
      <c r="A386">
        <v>11.232676261827974</v>
      </c>
      <c r="B386">
        <v>0.4580078125</v>
      </c>
      <c r="D386">
        <v>2.9551202375351329</v>
      </c>
      <c r="E386">
        <v>0.451171875</v>
      </c>
      <c r="G386">
        <v>7.6133671041639683</v>
      </c>
      <c r="H386">
        <v>0.4462890625</v>
      </c>
      <c r="J386">
        <v>7.2486754428055598</v>
      </c>
      <c r="K386">
        <v>0.49853515625</v>
      </c>
    </row>
    <row r="387" spans="1:11" x14ac:dyDescent="0.45">
      <c r="A387">
        <v>11.232676261827974</v>
      </c>
      <c r="B387">
        <v>0.4599609375</v>
      </c>
      <c r="D387">
        <v>2.9551202375351329</v>
      </c>
      <c r="E387">
        <v>0.453125</v>
      </c>
      <c r="G387">
        <v>7.6133671041639683</v>
      </c>
      <c r="H387">
        <v>0.4501953125</v>
      </c>
      <c r="J387">
        <v>7.2486754428055598</v>
      </c>
      <c r="K387">
        <v>0.49951171875</v>
      </c>
    </row>
    <row r="388" spans="1:11" x14ac:dyDescent="0.45">
      <c r="A388">
        <v>11.232676261827974</v>
      </c>
      <c r="B388">
        <v>0.4609375</v>
      </c>
      <c r="D388">
        <v>2.9551202375351329</v>
      </c>
      <c r="E388">
        <v>0.4541015625</v>
      </c>
      <c r="G388">
        <v>7.6133671041639683</v>
      </c>
      <c r="H388">
        <v>0.4521484375</v>
      </c>
      <c r="J388">
        <v>7.2486754428055598</v>
      </c>
      <c r="K388">
        <v>0.5</v>
      </c>
    </row>
    <row r="389" spans="1:11" x14ac:dyDescent="0.45">
      <c r="A389">
        <v>11.232676261827974</v>
      </c>
      <c r="B389">
        <v>0.46142578125</v>
      </c>
      <c r="D389">
        <v>2.9841941874053277</v>
      </c>
      <c r="E389">
        <v>0.4560546875</v>
      </c>
      <c r="G389">
        <v>7.6382198580430352</v>
      </c>
      <c r="H389">
        <v>0.453125</v>
      </c>
      <c r="J389">
        <v>7.5638352446666657</v>
      </c>
      <c r="K389">
        <v>0.5009765625</v>
      </c>
    </row>
    <row r="390" spans="1:11" x14ac:dyDescent="0.45">
      <c r="A390">
        <v>11.232676261827974</v>
      </c>
      <c r="B390">
        <v>0.46240234375</v>
      </c>
      <c r="D390">
        <v>2.9841941874053277</v>
      </c>
      <c r="E390">
        <v>0.4599609375</v>
      </c>
      <c r="G390">
        <v>7.6382198580430352</v>
      </c>
      <c r="H390">
        <v>0.455078125</v>
      </c>
      <c r="J390">
        <v>7.5638352446666657</v>
      </c>
      <c r="K390">
        <v>0.5029296875</v>
      </c>
    </row>
    <row r="391" spans="1:11" x14ac:dyDescent="0.45">
      <c r="A391">
        <v>11.232676261827974</v>
      </c>
      <c r="B391">
        <v>0.462890625</v>
      </c>
      <c r="D391">
        <v>2.9841941874053277</v>
      </c>
      <c r="E391">
        <v>0.4619140625</v>
      </c>
      <c r="G391">
        <v>7.6382198580430352</v>
      </c>
      <c r="H391">
        <v>0.4560546875</v>
      </c>
      <c r="J391">
        <v>7.5638352446666657</v>
      </c>
      <c r="K391">
        <v>0.50390625</v>
      </c>
    </row>
    <row r="392" spans="1:11" x14ac:dyDescent="0.45">
      <c r="A392">
        <v>11.232676261827974</v>
      </c>
      <c r="B392">
        <v>0.4638671875</v>
      </c>
      <c r="D392">
        <v>3.0137144708029968</v>
      </c>
      <c r="E392">
        <v>0.462890625</v>
      </c>
      <c r="G392">
        <v>7.6382198580430352</v>
      </c>
      <c r="H392">
        <v>0.45654296875</v>
      </c>
      <c r="J392">
        <v>7.5638352446666657</v>
      </c>
      <c r="K392">
        <v>0.505859375</v>
      </c>
    </row>
    <row r="393" spans="1:11" x14ac:dyDescent="0.45">
      <c r="A393">
        <v>11.232676261827974</v>
      </c>
      <c r="B393">
        <v>0.4658203125</v>
      </c>
      <c r="D393">
        <v>3.0137144708029968</v>
      </c>
      <c r="E393">
        <v>0.46484375</v>
      </c>
      <c r="G393">
        <v>7.6382198580430352</v>
      </c>
      <c r="H393">
        <v>0.45751953125</v>
      </c>
      <c r="J393">
        <v>7.5638352446666657</v>
      </c>
      <c r="K393">
        <v>0.509765625</v>
      </c>
    </row>
    <row r="394" spans="1:11" x14ac:dyDescent="0.45">
      <c r="A394">
        <v>11.232676261827974</v>
      </c>
      <c r="B394">
        <v>0.466796875</v>
      </c>
      <c r="D394">
        <v>3.0137144708029968</v>
      </c>
      <c r="E394">
        <v>0.4658203125</v>
      </c>
      <c r="G394">
        <v>7.6382198580430352</v>
      </c>
      <c r="H394">
        <v>0.4580078125</v>
      </c>
      <c r="J394">
        <v>7.5638352446666657</v>
      </c>
      <c r="K394">
        <v>0.51171875</v>
      </c>
    </row>
    <row r="395" spans="1:11" x14ac:dyDescent="0.45">
      <c r="A395">
        <v>11.232676261827974</v>
      </c>
      <c r="B395">
        <v>0.46728515625</v>
      </c>
      <c r="D395">
        <v>3.2111092996583683</v>
      </c>
      <c r="E395">
        <v>0.4677734375</v>
      </c>
      <c r="G395">
        <v>7.6382198580430352</v>
      </c>
      <c r="H395">
        <v>0.45849609375</v>
      </c>
      <c r="J395">
        <v>7.5638352446666657</v>
      </c>
      <c r="K395">
        <v>0.5126953125</v>
      </c>
    </row>
    <row r="396" spans="1:11" x14ac:dyDescent="0.45">
      <c r="A396">
        <v>11.232676261827974</v>
      </c>
      <c r="B396">
        <v>0.46826171875</v>
      </c>
      <c r="D396">
        <v>3.2111092996583683</v>
      </c>
      <c r="E396">
        <v>0.4716796875</v>
      </c>
      <c r="G396">
        <v>7.6382198580430352</v>
      </c>
      <c r="H396">
        <v>0.45947265625</v>
      </c>
      <c r="J396">
        <v>7.5638352446666657</v>
      </c>
      <c r="K396">
        <v>0.5146484375</v>
      </c>
    </row>
    <row r="397" spans="1:11" x14ac:dyDescent="0.45">
      <c r="A397">
        <v>11.232676261827974</v>
      </c>
      <c r="B397">
        <v>0.46875</v>
      </c>
      <c r="D397">
        <v>3.2111092996583683</v>
      </c>
      <c r="E397">
        <v>0.4736328125</v>
      </c>
      <c r="G397">
        <v>7.6382198580430352</v>
      </c>
      <c r="H397">
        <v>0.4599609375</v>
      </c>
      <c r="J397">
        <v>7.5638352446666657</v>
      </c>
      <c r="K397">
        <v>0.515625</v>
      </c>
    </row>
    <row r="398" spans="1:11" x14ac:dyDescent="0.45">
      <c r="A398">
        <v>11.232676261827974</v>
      </c>
      <c r="B398">
        <v>0.4697265625</v>
      </c>
      <c r="D398">
        <v>3.483101077794271</v>
      </c>
      <c r="E398">
        <v>0.474609375</v>
      </c>
      <c r="G398">
        <v>7.6382198580430352</v>
      </c>
      <c r="H398">
        <v>0.460205078125</v>
      </c>
      <c r="J398">
        <v>7.6728465346652532</v>
      </c>
      <c r="K398">
        <v>0.51953125</v>
      </c>
    </row>
    <row r="399" spans="1:11" x14ac:dyDescent="0.45">
      <c r="A399">
        <v>11.232676261827974</v>
      </c>
      <c r="B399">
        <v>0.4716796875</v>
      </c>
      <c r="D399">
        <v>3.483101077794271</v>
      </c>
      <c r="E399">
        <v>0.4765625</v>
      </c>
      <c r="G399">
        <v>7.6382198580430352</v>
      </c>
      <c r="H399">
        <v>0.460693359375</v>
      </c>
      <c r="J399">
        <v>7.6728465346652532</v>
      </c>
      <c r="K399">
        <v>0.52734375</v>
      </c>
    </row>
    <row r="400" spans="1:11" x14ac:dyDescent="0.45">
      <c r="A400">
        <v>11.232676261827974</v>
      </c>
      <c r="B400">
        <v>0.47265625</v>
      </c>
      <c r="D400">
        <v>3.483101077794271</v>
      </c>
      <c r="E400">
        <v>0.4775390625</v>
      </c>
      <c r="G400">
        <v>7.6382198580430352</v>
      </c>
      <c r="H400">
        <v>0.4609375</v>
      </c>
      <c r="J400">
        <v>7.6728465346652532</v>
      </c>
      <c r="K400">
        <v>0.53125</v>
      </c>
    </row>
    <row r="401" spans="1:11" x14ac:dyDescent="0.45">
      <c r="A401">
        <v>11.232676261827974</v>
      </c>
      <c r="B401">
        <v>0.474609375</v>
      </c>
      <c r="D401">
        <v>4.0671878152258945</v>
      </c>
      <c r="E401">
        <v>0.47802734375</v>
      </c>
      <c r="G401">
        <v>7.7323259651665301</v>
      </c>
      <c r="H401">
        <v>0.462890625</v>
      </c>
      <c r="J401">
        <v>7.6728465346652532</v>
      </c>
      <c r="K401">
        <v>0.5390625</v>
      </c>
    </row>
    <row r="402" spans="1:11" x14ac:dyDescent="0.45">
      <c r="A402">
        <v>11.232676261827974</v>
      </c>
      <c r="B402">
        <v>0.478515625</v>
      </c>
      <c r="D402">
        <v>4.0671878152258945</v>
      </c>
      <c r="E402">
        <v>0.47900390625</v>
      </c>
      <c r="G402">
        <v>7.7323259651665301</v>
      </c>
      <c r="H402">
        <v>0.466796875</v>
      </c>
      <c r="J402">
        <v>7.6728465346652532</v>
      </c>
      <c r="K402">
        <v>0.5546875</v>
      </c>
    </row>
    <row r="403" spans="1:11" x14ac:dyDescent="0.45">
      <c r="A403">
        <v>11.232676261827974</v>
      </c>
      <c r="B403">
        <v>0.48046875</v>
      </c>
      <c r="D403">
        <v>4.0671878152258945</v>
      </c>
      <c r="E403">
        <v>0.4794921875</v>
      </c>
      <c r="G403">
        <v>7.7323259651665301</v>
      </c>
      <c r="H403">
        <v>0.46875</v>
      </c>
      <c r="J403">
        <v>7.6728465346652532</v>
      </c>
      <c r="K403">
        <v>0.5625</v>
      </c>
    </row>
    <row r="404" spans="1:11" x14ac:dyDescent="0.45">
      <c r="A404">
        <v>11.232676261827974</v>
      </c>
      <c r="B404">
        <v>0.4814453125</v>
      </c>
      <c r="D404">
        <v>4.3235231091175752</v>
      </c>
      <c r="E404">
        <v>0.47998046875</v>
      </c>
      <c r="G404">
        <v>8.1456687250256294</v>
      </c>
      <c r="H404">
        <v>0.468994140625</v>
      </c>
      <c r="J404">
        <v>7.6728465346652532</v>
      </c>
      <c r="K404">
        <v>0.56640625</v>
      </c>
    </row>
    <row r="405" spans="1:11" x14ac:dyDescent="0.45">
      <c r="A405">
        <v>11.232676261827974</v>
      </c>
      <c r="B405">
        <v>0.4833984375</v>
      </c>
      <c r="D405">
        <v>4.3235231091175752</v>
      </c>
      <c r="E405">
        <v>0.48095703125</v>
      </c>
      <c r="G405">
        <v>8.1456687250256294</v>
      </c>
      <c r="H405">
        <v>0.469482421875</v>
      </c>
      <c r="J405">
        <v>7.6728465346652532</v>
      </c>
      <c r="K405">
        <v>0.57421875</v>
      </c>
    </row>
    <row r="406" spans="1:11" x14ac:dyDescent="0.45">
      <c r="A406">
        <v>11.232676261827974</v>
      </c>
      <c r="B406">
        <v>0.484375</v>
      </c>
      <c r="D406">
        <v>4.3235231091175752</v>
      </c>
      <c r="E406">
        <v>0.4814453125</v>
      </c>
      <c r="G406">
        <v>8.1456687250256294</v>
      </c>
      <c r="H406">
        <v>0.4697265625</v>
      </c>
      <c r="J406">
        <v>7.6728465346652532</v>
      </c>
      <c r="K406">
        <v>0.578125</v>
      </c>
    </row>
    <row r="407" spans="1:11" x14ac:dyDescent="0.45">
      <c r="A407">
        <v>11.232676261827974</v>
      </c>
      <c r="B407">
        <v>0.48486328125</v>
      </c>
      <c r="D407">
        <v>4.373790546417478</v>
      </c>
      <c r="E407">
        <v>0.4833984375</v>
      </c>
      <c r="G407">
        <v>8.2749650539942952</v>
      </c>
      <c r="H407">
        <v>0.470703125</v>
      </c>
      <c r="J407">
        <v>7.7847272221630144</v>
      </c>
      <c r="K407">
        <v>0.578369140625</v>
      </c>
    </row>
    <row r="408" spans="1:11" x14ac:dyDescent="0.45">
      <c r="A408">
        <v>11.232676261827974</v>
      </c>
      <c r="B408">
        <v>0.48583984375</v>
      </c>
      <c r="D408">
        <v>4.373790546417478</v>
      </c>
      <c r="E408">
        <v>0.4873046875</v>
      </c>
      <c r="G408">
        <v>8.2749650539942952</v>
      </c>
      <c r="H408">
        <v>0.47265625</v>
      </c>
      <c r="J408">
        <v>7.7847272221630144</v>
      </c>
      <c r="K408">
        <v>0.578857421875</v>
      </c>
    </row>
    <row r="409" spans="1:11" x14ac:dyDescent="0.45">
      <c r="A409">
        <v>11.232676261827974</v>
      </c>
      <c r="B409">
        <v>0.486328125</v>
      </c>
      <c r="D409">
        <v>4.373790546417478</v>
      </c>
      <c r="E409">
        <v>0.4892578125</v>
      </c>
      <c r="G409">
        <v>8.2749650539942952</v>
      </c>
      <c r="H409">
        <v>0.4736328125</v>
      </c>
      <c r="J409">
        <v>7.7847272221630144</v>
      </c>
      <c r="K409">
        <v>0.5791015625</v>
      </c>
    </row>
    <row r="410" spans="1:11" x14ac:dyDescent="0.45">
      <c r="A410">
        <v>11.232676261827974</v>
      </c>
      <c r="B410">
        <v>0.4873046875</v>
      </c>
      <c r="D410">
        <v>4.5279509801869846</v>
      </c>
      <c r="E410">
        <v>0.490234375</v>
      </c>
      <c r="G410">
        <v>8.3751772158827436</v>
      </c>
      <c r="H410">
        <v>0.4755859375</v>
      </c>
      <c r="J410">
        <v>7.7847272221630144</v>
      </c>
      <c r="K410">
        <v>0.57958984375</v>
      </c>
    </row>
    <row r="411" spans="1:11" x14ac:dyDescent="0.45">
      <c r="A411">
        <v>11.232676261827974</v>
      </c>
      <c r="B411">
        <v>0.4892578125</v>
      </c>
      <c r="D411">
        <v>4.5279509801869846</v>
      </c>
      <c r="E411">
        <v>0.4921875</v>
      </c>
      <c r="G411">
        <v>8.3751772158827436</v>
      </c>
      <c r="H411">
        <v>0.4794921875</v>
      </c>
      <c r="J411">
        <v>7.7847272221630144</v>
      </c>
      <c r="K411">
        <v>0.58056640625</v>
      </c>
    </row>
    <row r="412" spans="1:11" x14ac:dyDescent="0.45">
      <c r="A412">
        <v>11.232676261827974</v>
      </c>
      <c r="B412">
        <v>0.490234375</v>
      </c>
      <c r="D412">
        <v>4.5279509801869846</v>
      </c>
      <c r="E412">
        <v>0.4931640625</v>
      </c>
      <c r="G412">
        <v>8.3751772158827436</v>
      </c>
      <c r="H412">
        <v>0.4814453125</v>
      </c>
      <c r="J412">
        <v>7.7847272221630144</v>
      </c>
      <c r="K412">
        <v>0.5810546875</v>
      </c>
    </row>
    <row r="413" spans="1:11" x14ac:dyDescent="0.45">
      <c r="A413">
        <v>11.232676261827974</v>
      </c>
      <c r="B413">
        <v>0.49072265625</v>
      </c>
      <c r="D413">
        <v>4.5951686554850308</v>
      </c>
      <c r="E413">
        <v>0.49365234375</v>
      </c>
      <c r="G413">
        <v>8.4042613829629573</v>
      </c>
      <c r="H413">
        <v>0.482421875</v>
      </c>
      <c r="J413">
        <v>7.7847272221630144</v>
      </c>
      <c r="K413">
        <v>0.581298828125</v>
      </c>
    </row>
    <row r="414" spans="1:11" x14ac:dyDescent="0.45">
      <c r="A414">
        <v>11.232676261827974</v>
      </c>
      <c r="B414">
        <v>0.49169921875</v>
      </c>
      <c r="D414">
        <v>4.5951686554850308</v>
      </c>
      <c r="E414">
        <v>0.49462890625</v>
      </c>
      <c r="G414">
        <v>8.4042613829629573</v>
      </c>
      <c r="H414">
        <v>0.484375</v>
      </c>
      <c r="J414">
        <v>7.7847272221630144</v>
      </c>
      <c r="K414">
        <v>0.581787109375</v>
      </c>
    </row>
    <row r="415" spans="1:11" x14ac:dyDescent="0.45">
      <c r="A415">
        <v>11.232676261827974</v>
      </c>
      <c r="B415">
        <v>0.4921875</v>
      </c>
      <c r="D415">
        <v>4.5951686554850308</v>
      </c>
      <c r="E415">
        <v>0.4951171875</v>
      </c>
      <c r="G415">
        <v>8.4042613829629573</v>
      </c>
      <c r="H415">
        <v>0.4853515625</v>
      </c>
      <c r="J415">
        <v>7.7847272221630144</v>
      </c>
      <c r="K415">
        <v>0.58203125</v>
      </c>
    </row>
    <row r="416" spans="1:11" x14ac:dyDescent="0.45">
      <c r="A416">
        <v>11.313428784757823</v>
      </c>
      <c r="B416">
        <v>0.492431640625</v>
      </c>
      <c r="D416">
        <v>4.6682585902700255</v>
      </c>
      <c r="E416">
        <v>0.49560546875</v>
      </c>
      <c r="G416">
        <v>8.4682347405036644</v>
      </c>
      <c r="H416">
        <v>0.48583984375</v>
      </c>
      <c r="J416">
        <v>7.8289800397311256</v>
      </c>
      <c r="K416">
        <v>0.5830078125</v>
      </c>
    </row>
    <row r="417" spans="1:11" x14ac:dyDescent="0.45">
      <c r="A417">
        <v>11.313428784757823</v>
      </c>
      <c r="B417">
        <v>0.492919921875</v>
      </c>
      <c r="D417">
        <v>4.6682585902700255</v>
      </c>
      <c r="E417">
        <v>0.49658203125</v>
      </c>
      <c r="G417">
        <v>8.4682347405036644</v>
      </c>
      <c r="H417">
        <v>0.48681640625</v>
      </c>
      <c r="J417">
        <v>7.8289800397311256</v>
      </c>
      <c r="K417">
        <v>0.5849609375</v>
      </c>
    </row>
    <row r="418" spans="1:11" x14ac:dyDescent="0.45">
      <c r="A418">
        <v>11.313428784757823</v>
      </c>
      <c r="B418">
        <v>0.4931640625</v>
      </c>
      <c r="D418">
        <v>4.6682585902700255</v>
      </c>
      <c r="E418">
        <v>0.4970703125</v>
      </c>
      <c r="G418">
        <v>8.4682347405036644</v>
      </c>
      <c r="H418">
        <v>0.4873046875</v>
      </c>
      <c r="J418">
        <v>7.8289800397311256</v>
      </c>
      <c r="K418">
        <v>0.5859375</v>
      </c>
    </row>
    <row r="419" spans="1:11" x14ac:dyDescent="0.45">
      <c r="A419">
        <v>11.313428784757823</v>
      </c>
      <c r="B419">
        <v>0.49365234375</v>
      </c>
      <c r="D419">
        <v>4.8723522556397576</v>
      </c>
      <c r="E419">
        <v>0.497314453125</v>
      </c>
      <c r="G419">
        <v>8.5650379921844646</v>
      </c>
      <c r="H419">
        <v>0.48828125</v>
      </c>
      <c r="J419">
        <v>7.8289800397311256</v>
      </c>
      <c r="K419">
        <v>0.587890625</v>
      </c>
    </row>
    <row r="420" spans="1:11" x14ac:dyDescent="0.45">
      <c r="A420">
        <v>11.313428784757823</v>
      </c>
      <c r="B420">
        <v>0.49462890625</v>
      </c>
      <c r="D420">
        <v>4.8723522556397576</v>
      </c>
      <c r="E420">
        <v>0.497802734375</v>
      </c>
      <c r="G420">
        <v>8.5650379921844646</v>
      </c>
      <c r="H420">
        <v>0.490234375</v>
      </c>
      <c r="J420">
        <v>7.8289800397311256</v>
      </c>
      <c r="K420">
        <v>0.591796875</v>
      </c>
    </row>
    <row r="421" spans="1:11" x14ac:dyDescent="0.45">
      <c r="A421">
        <v>11.313428784757823</v>
      </c>
      <c r="B421">
        <v>0.4951171875</v>
      </c>
      <c r="D421">
        <v>4.8723522556397576</v>
      </c>
      <c r="E421">
        <v>0.498046875</v>
      </c>
      <c r="G421">
        <v>8.5650379921844646</v>
      </c>
      <c r="H421">
        <v>0.4912109375</v>
      </c>
      <c r="J421">
        <v>7.8289800397311256</v>
      </c>
      <c r="K421">
        <v>0.59375</v>
      </c>
    </row>
    <row r="422" spans="1:11" x14ac:dyDescent="0.45">
      <c r="A422">
        <v>11.313428784757823</v>
      </c>
      <c r="B422">
        <v>0.495361328125</v>
      </c>
      <c r="D422">
        <v>5.0426982494922781</v>
      </c>
      <c r="E422">
        <v>0.49853515625</v>
      </c>
      <c r="G422">
        <v>8.5650379921844664</v>
      </c>
      <c r="H422">
        <v>0.4921875</v>
      </c>
      <c r="J422">
        <v>7.8289800397311256</v>
      </c>
      <c r="K422">
        <v>0.5947265625</v>
      </c>
    </row>
    <row r="423" spans="1:11" x14ac:dyDescent="0.45">
      <c r="A423">
        <v>11.313428784757823</v>
      </c>
      <c r="B423">
        <v>0.495849609375</v>
      </c>
      <c r="D423">
        <v>5.0426982494922781</v>
      </c>
      <c r="E423">
        <v>0.49951171875</v>
      </c>
      <c r="G423">
        <v>8.5650379921844664</v>
      </c>
      <c r="H423">
        <v>0.494140625</v>
      </c>
      <c r="J423">
        <v>7.8289800397311256</v>
      </c>
      <c r="K423">
        <v>0.5966796875</v>
      </c>
    </row>
    <row r="424" spans="1:11" x14ac:dyDescent="0.45">
      <c r="A424">
        <v>11.313428784757823</v>
      </c>
      <c r="B424">
        <v>0.49609375</v>
      </c>
      <c r="D424">
        <v>5.0426982494922781</v>
      </c>
      <c r="E424">
        <v>0.5</v>
      </c>
      <c r="G424">
        <v>8.5650379921844664</v>
      </c>
      <c r="H424">
        <v>0.4951171875</v>
      </c>
      <c r="J424">
        <v>7.8289800397311256</v>
      </c>
      <c r="K424">
        <v>0.59765625</v>
      </c>
    </row>
    <row r="425" spans="1:11" x14ac:dyDescent="0.45">
      <c r="A425">
        <v>11.632190577614921</v>
      </c>
      <c r="B425">
        <v>0.498046875</v>
      </c>
      <c r="D425">
        <v>5.0645552624763033</v>
      </c>
      <c r="E425">
        <v>0.50390625</v>
      </c>
      <c r="G425">
        <v>8.9335223636082564</v>
      </c>
      <c r="H425">
        <v>0.4970703125</v>
      </c>
      <c r="J425">
        <v>8.2081614091767889</v>
      </c>
      <c r="K425">
        <v>0.599609375</v>
      </c>
    </row>
    <row r="426" spans="1:11" x14ac:dyDescent="0.45">
      <c r="A426">
        <v>11.632190577614921</v>
      </c>
      <c r="B426">
        <v>0.501953125</v>
      </c>
      <c r="D426">
        <v>5.0645552624763033</v>
      </c>
      <c r="E426">
        <v>0.51171875</v>
      </c>
      <c r="G426">
        <v>8.9335223636082564</v>
      </c>
      <c r="H426">
        <v>0.5009765625</v>
      </c>
      <c r="J426">
        <v>8.2081614091767889</v>
      </c>
      <c r="K426">
        <v>0.603515625</v>
      </c>
    </row>
    <row r="427" spans="1:11" x14ac:dyDescent="0.45">
      <c r="A427">
        <v>11.632190577614921</v>
      </c>
      <c r="B427">
        <v>0.50390625</v>
      </c>
      <c r="D427">
        <v>5.0645552624763033</v>
      </c>
      <c r="E427">
        <v>0.515625</v>
      </c>
      <c r="G427">
        <v>8.9335223636082564</v>
      </c>
      <c r="H427">
        <v>0.5029296875</v>
      </c>
      <c r="J427">
        <v>8.2081614091767889</v>
      </c>
      <c r="K427">
        <v>0.60546875</v>
      </c>
    </row>
    <row r="428" spans="1:11" x14ac:dyDescent="0.45">
      <c r="A428">
        <v>11.632190577614921</v>
      </c>
      <c r="B428">
        <v>0.5078125</v>
      </c>
      <c r="D428">
        <v>5.4344442763823277</v>
      </c>
      <c r="E428">
        <v>0.5166015625</v>
      </c>
      <c r="G428">
        <v>9.3093356857435818</v>
      </c>
      <c r="H428">
        <v>0.50341796875</v>
      </c>
      <c r="J428">
        <v>8.2081614091767889</v>
      </c>
      <c r="K428">
        <v>0.609375</v>
      </c>
    </row>
    <row r="429" spans="1:11" x14ac:dyDescent="0.45">
      <c r="A429">
        <v>11.632190577614921</v>
      </c>
      <c r="B429">
        <v>0.515625</v>
      </c>
      <c r="D429">
        <v>5.4344442763823277</v>
      </c>
      <c r="E429">
        <v>0.5185546875</v>
      </c>
      <c r="G429">
        <v>9.3093356857435818</v>
      </c>
      <c r="H429">
        <v>0.50439453125</v>
      </c>
      <c r="J429">
        <v>8.2081614091767889</v>
      </c>
      <c r="K429">
        <v>0.6171875</v>
      </c>
    </row>
    <row r="430" spans="1:11" x14ac:dyDescent="0.45">
      <c r="A430">
        <v>11.632190577614921</v>
      </c>
      <c r="B430">
        <v>0.51953125</v>
      </c>
      <c r="D430">
        <v>5.4344442763823277</v>
      </c>
      <c r="E430">
        <v>0.51953125</v>
      </c>
      <c r="G430">
        <v>9.3093356857435818</v>
      </c>
      <c r="H430">
        <v>0.5048828125</v>
      </c>
      <c r="J430">
        <v>8.2081614091767889</v>
      </c>
      <c r="K430">
        <v>0.62109375</v>
      </c>
    </row>
    <row r="431" spans="1:11" x14ac:dyDescent="0.45">
      <c r="A431">
        <v>11.632190577614921</v>
      </c>
      <c r="B431">
        <v>0.521484375</v>
      </c>
      <c r="D431">
        <v>5.7706930533776735</v>
      </c>
      <c r="E431">
        <v>0.519775390625</v>
      </c>
      <c r="G431">
        <v>9.3093356857435818</v>
      </c>
      <c r="H431">
        <v>0.50537109375</v>
      </c>
      <c r="J431">
        <v>8.2081614091767889</v>
      </c>
      <c r="K431">
        <v>0.623046875</v>
      </c>
    </row>
    <row r="432" spans="1:11" x14ac:dyDescent="0.45">
      <c r="A432">
        <v>11.632190577614921</v>
      </c>
      <c r="B432">
        <v>0.525390625</v>
      </c>
      <c r="D432">
        <v>5.7706930533776735</v>
      </c>
      <c r="E432">
        <v>0.520263671875</v>
      </c>
      <c r="G432">
        <v>9.3093356857435818</v>
      </c>
      <c r="H432">
        <v>0.50634765625</v>
      </c>
      <c r="J432">
        <v>8.2081614091767889</v>
      </c>
      <c r="K432">
        <v>0.626953125</v>
      </c>
    </row>
    <row r="433" spans="1:11" x14ac:dyDescent="0.45">
      <c r="A433">
        <v>11.632190577614921</v>
      </c>
      <c r="B433">
        <v>0.52734375</v>
      </c>
      <c r="D433">
        <v>5.7706930533776735</v>
      </c>
      <c r="E433">
        <v>0.5205078125</v>
      </c>
      <c r="G433">
        <v>9.3093356857435818</v>
      </c>
      <c r="H433">
        <v>0.5068359375</v>
      </c>
      <c r="J433">
        <v>8.2081614091767889</v>
      </c>
      <c r="K433">
        <v>0.62890625</v>
      </c>
    </row>
    <row r="434" spans="1:11" x14ac:dyDescent="0.45">
      <c r="A434">
        <v>11.895886100256201</v>
      </c>
      <c r="B434">
        <v>0.5283203125</v>
      </c>
      <c r="D434">
        <v>6.1481362377391306</v>
      </c>
      <c r="E434">
        <v>0.5224609375</v>
      </c>
      <c r="G434">
        <v>9.5167088802049662</v>
      </c>
      <c r="H434">
        <v>0.5107421875</v>
      </c>
      <c r="J434">
        <v>8.3396132184786271</v>
      </c>
      <c r="K434">
        <v>0.630859375</v>
      </c>
    </row>
    <row r="435" spans="1:11" x14ac:dyDescent="0.45">
      <c r="A435">
        <v>11.895886100256201</v>
      </c>
      <c r="B435">
        <v>0.5302734375</v>
      </c>
      <c r="D435">
        <v>6.1481362377391306</v>
      </c>
      <c r="E435">
        <v>0.5263671875</v>
      </c>
      <c r="G435">
        <v>9.5167088802049662</v>
      </c>
      <c r="H435">
        <v>0.5185546875</v>
      </c>
      <c r="J435">
        <v>8.3396132184786271</v>
      </c>
      <c r="K435">
        <v>0.634765625</v>
      </c>
    </row>
    <row r="436" spans="1:11" x14ac:dyDescent="0.45">
      <c r="A436">
        <v>11.895886100256201</v>
      </c>
      <c r="B436">
        <v>0.53125</v>
      </c>
      <c r="D436">
        <v>6.1481362377391306</v>
      </c>
      <c r="E436">
        <v>0.5283203125</v>
      </c>
      <c r="G436">
        <v>9.5167088802049662</v>
      </c>
      <c r="H436">
        <v>0.5224609375</v>
      </c>
      <c r="J436">
        <v>8.3396132184786271</v>
      </c>
      <c r="K436">
        <v>0.63671875</v>
      </c>
    </row>
    <row r="437" spans="1:11" x14ac:dyDescent="0.45">
      <c r="A437">
        <v>11.895886100256201</v>
      </c>
      <c r="B437">
        <v>0.533203125</v>
      </c>
      <c r="D437">
        <v>6.1497717551027478</v>
      </c>
      <c r="E437">
        <v>0.529296875</v>
      </c>
      <c r="G437">
        <v>9.6356677412075218</v>
      </c>
      <c r="H437">
        <v>0.52294921875</v>
      </c>
      <c r="J437">
        <v>8.3396132184786271</v>
      </c>
      <c r="K437">
        <v>0.640625</v>
      </c>
    </row>
    <row r="438" spans="1:11" x14ac:dyDescent="0.45">
      <c r="A438">
        <v>11.895886100256201</v>
      </c>
      <c r="B438">
        <v>0.537109375</v>
      </c>
      <c r="D438">
        <v>6.1497717551027478</v>
      </c>
      <c r="E438">
        <v>0.53125</v>
      </c>
      <c r="G438">
        <v>9.6356677412075218</v>
      </c>
      <c r="H438">
        <v>0.52392578125</v>
      </c>
      <c r="J438">
        <v>8.3396132184786271</v>
      </c>
      <c r="K438">
        <v>0.6484375</v>
      </c>
    </row>
    <row r="439" spans="1:11" x14ac:dyDescent="0.45">
      <c r="A439">
        <v>11.895886100256201</v>
      </c>
      <c r="B439">
        <v>0.5390625</v>
      </c>
      <c r="D439">
        <v>6.1497717551027478</v>
      </c>
      <c r="E439">
        <v>0.5322265625</v>
      </c>
      <c r="G439">
        <v>9.6356677412075218</v>
      </c>
      <c r="H439">
        <v>0.5244140625</v>
      </c>
      <c r="J439">
        <v>8.3396132184786271</v>
      </c>
      <c r="K439">
        <v>0.65234375</v>
      </c>
    </row>
    <row r="440" spans="1:11" x14ac:dyDescent="0.45">
      <c r="A440">
        <v>11.895886100256201</v>
      </c>
      <c r="B440">
        <v>0.5400390625</v>
      </c>
      <c r="D440">
        <v>6.3718429117564508</v>
      </c>
      <c r="E440">
        <v>0.5341796875</v>
      </c>
      <c r="G440">
        <v>9.6654074564581656</v>
      </c>
      <c r="H440">
        <v>0.5283203125</v>
      </c>
      <c r="J440">
        <v>8.3396132184786271</v>
      </c>
      <c r="K440">
        <v>0.654296875</v>
      </c>
    </row>
    <row r="441" spans="1:11" x14ac:dyDescent="0.45">
      <c r="A441">
        <v>11.895886100256201</v>
      </c>
      <c r="B441">
        <v>0.5419921875</v>
      </c>
      <c r="D441">
        <v>6.3718429117564508</v>
      </c>
      <c r="E441">
        <v>0.5380859375</v>
      </c>
      <c r="G441">
        <v>9.6654074564581656</v>
      </c>
      <c r="H441">
        <v>0.5361328125</v>
      </c>
      <c r="J441">
        <v>8.3396132184786271</v>
      </c>
      <c r="K441">
        <v>0.658203125</v>
      </c>
    </row>
    <row r="442" spans="1:11" x14ac:dyDescent="0.45">
      <c r="A442">
        <v>11.895886100256201</v>
      </c>
      <c r="B442">
        <v>0.54296875</v>
      </c>
      <c r="D442">
        <v>6.3718429117564508</v>
      </c>
      <c r="E442">
        <v>0.5400390625</v>
      </c>
      <c r="G442">
        <v>9.6654074564581656</v>
      </c>
      <c r="H442">
        <v>0.5400390625</v>
      </c>
      <c r="J442">
        <v>8.3396132184786271</v>
      </c>
      <c r="K442">
        <v>0.66015625</v>
      </c>
    </row>
    <row r="443" spans="1:11" x14ac:dyDescent="0.45">
      <c r="A443">
        <v>12.929632896866085</v>
      </c>
      <c r="B443">
        <v>0.54345703125</v>
      </c>
      <c r="D443">
        <v>6.6852886767591286</v>
      </c>
      <c r="E443">
        <v>0.54052734375</v>
      </c>
      <c r="G443">
        <v>9.6779825605756198</v>
      </c>
      <c r="H443">
        <v>0.541015625</v>
      </c>
      <c r="J443">
        <v>8.5093146502500066</v>
      </c>
      <c r="K443">
        <v>0.66064453125</v>
      </c>
    </row>
    <row r="444" spans="1:11" x14ac:dyDescent="0.45">
      <c r="A444">
        <v>12.929632896866085</v>
      </c>
      <c r="B444">
        <v>0.54443359375</v>
      </c>
      <c r="D444">
        <v>6.6852886767591286</v>
      </c>
      <c r="E444">
        <v>0.54150390625</v>
      </c>
      <c r="G444">
        <v>9.6779825605756198</v>
      </c>
      <c r="H444">
        <v>0.54296875</v>
      </c>
      <c r="J444">
        <v>8.5093146502500066</v>
      </c>
      <c r="K444">
        <v>0.66162109375</v>
      </c>
    </row>
    <row r="445" spans="1:11" x14ac:dyDescent="0.45">
      <c r="A445">
        <v>12.929632896866085</v>
      </c>
      <c r="B445">
        <v>0.544921875</v>
      </c>
      <c r="D445">
        <v>6.6852886767591286</v>
      </c>
      <c r="E445">
        <v>0.5419921875</v>
      </c>
      <c r="G445">
        <v>9.6779825605756198</v>
      </c>
      <c r="H445">
        <v>0.5439453125</v>
      </c>
      <c r="J445">
        <v>8.5093146502500066</v>
      </c>
      <c r="K445">
        <v>0.662109375</v>
      </c>
    </row>
    <row r="446" spans="1:11" x14ac:dyDescent="0.45">
      <c r="A446">
        <v>12.929632896866085</v>
      </c>
      <c r="B446">
        <v>0.5458984375</v>
      </c>
      <c r="D446">
        <v>6.8057474880542728</v>
      </c>
      <c r="E446">
        <v>0.54296875</v>
      </c>
      <c r="G446">
        <v>10.0502126590593</v>
      </c>
      <c r="H446">
        <v>0.544921875</v>
      </c>
      <c r="J446">
        <v>8.5093146502500066</v>
      </c>
      <c r="K446">
        <v>0.6630859375</v>
      </c>
    </row>
    <row r="447" spans="1:11" x14ac:dyDescent="0.45">
      <c r="A447">
        <v>12.929632896866085</v>
      </c>
      <c r="B447">
        <v>0.5478515625</v>
      </c>
      <c r="D447">
        <v>6.8057474880542728</v>
      </c>
      <c r="E447">
        <v>0.544921875</v>
      </c>
      <c r="G447">
        <v>10.0502126590593</v>
      </c>
      <c r="H447">
        <v>0.546875</v>
      </c>
      <c r="J447">
        <v>8.5093146502500066</v>
      </c>
      <c r="K447">
        <v>0.6650390625</v>
      </c>
    </row>
    <row r="448" spans="1:11" x14ac:dyDescent="0.45">
      <c r="A448">
        <v>12.929632896866085</v>
      </c>
      <c r="B448">
        <v>0.548828125</v>
      </c>
      <c r="D448">
        <v>6.8057474880542728</v>
      </c>
      <c r="E448">
        <v>0.5458984375</v>
      </c>
      <c r="G448">
        <v>10.0502126590593</v>
      </c>
      <c r="H448">
        <v>0.5478515625</v>
      </c>
      <c r="J448">
        <v>8.5093146502500066</v>
      </c>
      <c r="K448">
        <v>0.666015625</v>
      </c>
    </row>
    <row r="449" spans="1:11" x14ac:dyDescent="0.45">
      <c r="A449">
        <v>12.929632896866085</v>
      </c>
      <c r="B449">
        <v>0.54931640625</v>
      </c>
      <c r="D449">
        <v>7.1446538052209014</v>
      </c>
      <c r="E449">
        <v>0.5498046875</v>
      </c>
      <c r="G449">
        <v>10.320435669403297</v>
      </c>
      <c r="H449">
        <v>0.5498046875</v>
      </c>
      <c r="J449">
        <v>8.5093146502500066</v>
      </c>
      <c r="K449">
        <v>0.66650390625</v>
      </c>
    </row>
    <row r="450" spans="1:11" x14ac:dyDescent="0.45">
      <c r="A450">
        <v>12.929632896866085</v>
      </c>
      <c r="B450">
        <v>0.55029296875</v>
      </c>
      <c r="D450">
        <v>7.1446538052209014</v>
      </c>
      <c r="E450">
        <v>0.5576171875</v>
      </c>
      <c r="G450">
        <v>10.320435669403297</v>
      </c>
      <c r="H450">
        <v>0.5537109375</v>
      </c>
      <c r="J450">
        <v>8.5093146502500066</v>
      </c>
      <c r="K450">
        <v>0.66748046875</v>
      </c>
    </row>
    <row r="451" spans="1:11" x14ac:dyDescent="0.45">
      <c r="A451">
        <v>12.929632896866085</v>
      </c>
      <c r="B451">
        <v>0.55078125</v>
      </c>
      <c r="D451">
        <v>7.1446538052209014</v>
      </c>
      <c r="E451">
        <v>0.5615234375</v>
      </c>
      <c r="G451">
        <v>10.320435669403297</v>
      </c>
      <c r="H451">
        <v>0.5556640625</v>
      </c>
      <c r="J451">
        <v>8.5093146502500066</v>
      </c>
      <c r="K451">
        <v>0.66796875</v>
      </c>
    </row>
    <row r="452" spans="1:11" x14ac:dyDescent="0.45">
      <c r="A452">
        <v>13.38287186278823</v>
      </c>
      <c r="B452">
        <v>0.55126953125</v>
      </c>
      <c r="D452">
        <v>7.2308047390087697</v>
      </c>
      <c r="E452">
        <v>0.56201171875</v>
      </c>
      <c r="G452">
        <v>10.422442757542964</v>
      </c>
      <c r="H452">
        <v>0.556640625</v>
      </c>
      <c r="J452">
        <v>8.5831607834105093</v>
      </c>
      <c r="K452">
        <v>0.66845703125</v>
      </c>
    </row>
    <row r="453" spans="1:11" x14ac:dyDescent="0.45">
      <c r="A453">
        <v>13.38287186278823</v>
      </c>
      <c r="B453">
        <v>0.55224609375</v>
      </c>
      <c r="D453">
        <v>7.2308047390087697</v>
      </c>
      <c r="E453">
        <v>0.56298828125</v>
      </c>
      <c r="G453">
        <v>10.422442757542964</v>
      </c>
      <c r="H453">
        <v>0.55859375</v>
      </c>
      <c r="J453">
        <v>8.5831607834105093</v>
      </c>
      <c r="K453">
        <v>0.66943359375</v>
      </c>
    </row>
    <row r="454" spans="1:11" x14ac:dyDescent="0.45">
      <c r="A454">
        <v>13.38287186278823</v>
      </c>
      <c r="B454">
        <v>0.552734375</v>
      </c>
      <c r="D454">
        <v>7.2308047390087697</v>
      </c>
      <c r="E454">
        <v>0.5634765625</v>
      </c>
      <c r="G454">
        <v>10.422442757542964</v>
      </c>
      <c r="H454">
        <v>0.5595703125</v>
      </c>
      <c r="J454">
        <v>8.5831607834105093</v>
      </c>
      <c r="K454">
        <v>0.669921875</v>
      </c>
    </row>
    <row r="455" spans="1:11" x14ac:dyDescent="0.45">
      <c r="A455">
        <v>13.38287186278823</v>
      </c>
      <c r="B455">
        <v>0.5537109375</v>
      </c>
      <c r="D455">
        <v>7.4528758956624728</v>
      </c>
      <c r="E455">
        <v>0.564453125</v>
      </c>
      <c r="G455">
        <v>10.473002646461527</v>
      </c>
      <c r="H455">
        <v>0.559814453125</v>
      </c>
      <c r="J455">
        <v>8.5831607834105093</v>
      </c>
      <c r="K455">
        <v>0.6708984375</v>
      </c>
    </row>
    <row r="456" spans="1:11" x14ac:dyDescent="0.45">
      <c r="A456">
        <v>13.38287186278823</v>
      </c>
      <c r="B456">
        <v>0.5556640625</v>
      </c>
      <c r="D456">
        <v>7.4528758956624728</v>
      </c>
      <c r="E456">
        <v>0.56640625</v>
      </c>
      <c r="G456">
        <v>10.473002646461527</v>
      </c>
      <c r="H456">
        <v>0.560302734375</v>
      </c>
      <c r="J456">
        <v>8.5831607834105093</v>
      </c>
      <c r="K456">
        <v>0.6728515625</v>
      </c>
    </row>
    <row r="457" spans="1:11" x14ac:dyDescent="0.45">
      <c r="A457">
        <v>13.38287186278823</v>
      </c>
      <c r="B457">
        <v>0.556640625</v>
      </c>
      <c r="D457">
        <v>7.4528758956624728</v>
      </c>
      <c r="E457">
        <v>0.5673828125</v>
      </c>
      <c r="G457">
        <v>10.473002646461527</v>
      </c>
      <c r="H457">
        <v>0.560546875</v>
      </c>
      <c r="J457">
        <v>8.5831607834105093</v>
      </c>
      <c r="K457">
        <v>0.673828125</v>
      </c>
    </row>
    <row r="458" spans="1:11" x14ac:dyDescent="0.45">
      <c r="A458">
        <v>13.38287186278823</v>
      </c>
      <c r="B458">
        <v>0.55712890625</v>
      </c>
      <c r="D458">
        <v>7.4787069513138844</v>
      </c>
      <c r="E458">
        <v>0.568359375</v>
      </c>
      <c r="G458">
        <v>10.50532672870369</v>
      </c>
      <c r="H458">
        <v>0.5625</v>
      </c>
      <c r="J458">
        <v>8.5831607834105093</v>
      </c>
      <c r="K458">
        <v>0.67431640625</v>
      </c>
    </row>
    <row r="459" spans="1:11" x14ac:dyDescent="0.45">
      <c r="A459">
        <v>13.38287186278823</v>
      </c>
      <c r="B459">
        <v>0.55810546875</v>
      </c>
      <c r="D459">
        <v>7.4787069513138844</v>
      </c>
      <c r="E459">
        <v>0.5703125</v>
      </c>
      <c r="G459">
        <v>10.50532672870369</v>
      </c>
      <c r="H459">
        <v>0.56640625</v>
      </c>
      <c r="J459">
        <v>8.5831607834105093</v>
      </c>
      <c r="K459">
        <v>0.67529296875</v>
      </c>
    </row>
    <row r="460" spans="1:11" x14ac:dyDescent="0.45">
      <c r="A460">
        <v>13.38287186278823</v>
      </c>
      <c r="B460">
        <v>0.55859375</v>
      </c>
      <c r="D460">
        <v>7.4787069513138844</v>
      </c>
      <c r="E460">
        <v>0.5712890625</v>
      </c>
      <c r="G460">
        <v>10.50532672870369</v>
      </c>
      <c r="H460">
        <v>0.568359375</v>
      </c>
      <c r="J460">
        <v>8.5831607834105093</v>
      </c>
      <c r="K460">
        <v>0.67578125</v>
      </c>
    </row>
    <row r="461" spans="1:11" x14ac:dyDescent="0.45">
      <c r="A461">
        <v>13.958628693137905</v>
      </c>
      <c r="B461">
        <v>0.5595703125</v>
      </c>
      <c r="D461">
        <v>7.7663216606651506</v>
      </c>
      <c r="E461">
        <v>0.571533203125</v>
      </c>
      <c r="G461">
        <v>10.645780816633172</v>
      </c>
      <c r="H461">
        <v>0.56884765625</v>
      </c>
      <c r="J461">
        <v>8.631952351498418</v>
      </c>
      <c r="K461">
        <v>0.677734375</v>
      </c>
    </row>
    <row r="462" spans="1:11" x14ac:dyDescent="0.45">
      <c r="A462">
        <v>13.958628693137905</v>
      </c>
      <c r="B462">
        <v>0.5615234375</v>
      </c>
      <c r="D462">
        <v>7.7663216606651506</v>
      </c>
      <c r="E462">
        <v>0.572021484375</v>
      </c>
      <c r="G462">
        <v>10.645780816633172</v>
      </c>
      <c r="H462">
        <v>0.56982421875</v>
      </c>
      <c r="J462">
        <v>8.631952351498418</v>
      </c>
      <c r="K462">
        <v>0.681640625</v>
      </c>
    </row>
    <row r="463" spans="1:11" x14ac:dyDescent="0.45">
      <c r="A463">
        <v>13.958628693137905</v>
      </c>
      <c r="B463">
        <v>0.5625</v>
      </c>
      <c r="D463">
        <v>7.7663216606651506</v>
      </c>
      <c r="E463">
        <v>0.572265625</v>
      </c>
      <c r="G463">
        <v>10.645780816633172</v>
      </c>
      <c r="H463">
        <v>0.5703125</v>
      </c>
      <c r="J463">
        <v>8.631952351498418</v>
      </c>
      <c r="K463">
        <v>0.68359375</v>
      </c>
    </row>
    <row r="464" spans="1:11" x14ac:dyDescent="0.45">
      <c r="A464">
        <v>13.958628693137905</v>
      </c>
      <c r="B464">
        <v>0.564453125</v>
      </c>
      <c r="D464">
        <v>7.853263110672775</v>
      </c>
      <c r="E464">
        <v>0.57275390625</v>
      </c>
      <c r="G464">
        <v>10.706297490230577</v>
      </c>
      <c r="H464">
        <v>0.572265625</v>
      </c>
      <c r="J464">
        <v>8.631952351498418</v>
      </c>
      <c r="K464">
        <v>0.6875</v>
      </c>
    </row>
    <row r="465" spans="1:11" x14ac:dyDescent="0.45">
      <c r="A465">
        <v>13.958628693137905</v>
      </c>
      <c r="B465">
        <v>0.568359375</v>
      </c>
      <c r="D465">
        <v>7.853263110672775</v>
      </c>
      <c r="E465">
        <v>0.57373046875</v>
      </c>
      <c r="G465">
        <v>10.706297490230577</v>
      </c>
      <c r="H465">
        <v>0.576171875</v>
      </c>
      <c r="J465">
        <v>8.631952351498418</v>
      </c>
      <c r="K465">
        <v>0.6953125</v>
      </c>
    </row>
    <row r="466" spans="1:11" x14ac:dyDescent="0.45">
      <c r="A466">
        <v>13.958628693137905</v>
      </c>
      <c r="B466">
        <v>0.5703125</v>
      </c>
      <c r="D466">
        <v>7.853263110672775</v>
      </c>
      <c r="E466">
        <v>0.57421875</v>
      </c>
      <c r="G466">
        <v>10.706297490230577</v>
      </c>
      <c r="H466">
        <v>0.578125</v>
      </c>
      <c r="J466">
        <v>8.631952351498418</v>
      </c>
      <c r="K466">
        <v>0.69921875</v>
      </c>
    </row>
    <row r="467" spans="1:11" x14ac:dyDescent="0.45">
      <c r="A467">
        <v>13.958628693137905</v>
      </c>
      <c r="B467">
        <v>0.5712890625</v>
      </c>
      <c r="D467">
        <v>8.7755783776250844</v>
      </c>
      <c r="E467">
        <v>0.576171875</v>
      </c>
      <c r="G467">
        <v>10.887730380647568</v>
      </c>
      <c r="H467">
        <v>0.57861328125</v>
      </c>
      <c r="J467">
        <v>8.631952351498418</v>
      </c>
      <c r="K467">
        <v>0.701171875</v>
      </c>
    </row>
    <row r="468" spans="1:11" x14ac:dyDescent="0.45">
      <c r="A468">
        <v>13.958628693137905</v>
      </c>
      <c r="B468">
        <v>0.5732421875</v>
      </c>
      <c r="D468">
        <v>8.7755783776250844</v>
      </c>
      <c r="E468">
        <v>0.580078125</v>
      </c>
      <c r="G468">
        <v>10.887730380647568</v>
      </c>
      <c r="H468">
        <v>0.57958984375</v>
      </c>
      <c r="J468">
        <v>8.631952351498418</v>
      </c>
      <c r="K468">
        <v>0.705078125</v>
      </c>
    </row>
    <row r="469" spans="1:11" x14ac:dyDescent="0.45">
      <c r="A469">
        <v>13.958628693137905</v>
      </c>
      <c r="B469">
        <v>0.57421875</v>
      </c>
      <c r="D469">
        <v>8.7755783776250844</v>
      </c>
      <c r="E469">
        <v>0.58203125</v>
      </c>
      <c r="G469">
        <v>10.887730380647568</v>
      </c>
      <c r="H469">
        <v>0.580078125</v>
      </c>
      <c r="J469">
        <v>8.631952351498418</v>
      </c>
      <c r="K469">
        <v>0.70703125</v>
      </c>
    </row>
    <row r="470" spans="1:11" x14ac:dyDescent="0.45">
      <c r="A470">
        <v>14.040845327284968</v>
      </c>
      <c r="B470">
        <v>0.578125</v>
      </c>
      <c r="D470">
        <v>8.9463754450642696</v>
      </c>
      <c r="E470">
        <v>0.58984375</v>
      </c>
      <c r="G470">
        <v>11.416165464939224</v>
      </c>
      <c r="H470">
        <v>0.5810546875</v>
      </c>
      <c r="J470">
        <v>8.9214466988376042</v>
      </c>
      <c r="K470">
        <v>0.7080078125</v>
      </c>
    </row>
    <row r="471" spans="1:11" x14ac:dyDescent="0.45">
      <c r="A471">
        <v>14.040845327284968</v>
      </c>
      <c r="B471">
        <v>0.5859375</v>
      </c>
      <c r="D471">
        <v>8.9463754450642696</v>
      </c>
      <c r="E471">
        <v>0.60546875</v>
      </c>
      <c r="G471">
        <v>11.416165464939224</v>
      </c>
      <c r="H471">
        <v>0.5830078125</v>
      </c>
      <c r="J471">
        <v>8.9214466988376042</v>
      </c>
      <c r="K471">
        <v>0.7099609375</v>
      </c>
    </row>
    <row r="472" spans="1:11" x14ac:dyDescent="0.45">
      <c r="A472">
        <v>14.040845327284968</v>
      </c>
      <c r="B472">
        <v>0.58984375</v>
      </c>
      <c r="D472">
        <v>8.9463754450642696</v>
      </c>
      <c r="E472">
        <v>0.61328125</v>
      </c>
      <c r="G472">
        <v>11.416165464939224</v>
      </c>
      <c r="H472">
        <v>0.583984375</v>
      </c>
      <c r="J472">
        <v>8.9214466988376042</v>
      </c>
      <c r="K472">
        <v>0.7109375</v>
      </c>
    </row>
    <row r="473" spans="1:11" x14ac:dyDescent="0.45">
      <c r="A473">
        <v>14.040845327284968</v>
      </c>
      <c r="B473">
        <v>0.59765625</v>
      </c>
      <c r="D473">
        <v>9.224566322344721</v>
      </c>
      <c r="E473">
        <v>0.615234375</v>
      </c>
      <c r="G473">
        <v>11.5984889477498</v>
      </c>
      <c r="H473">
        <v>0.5859375</v>
      </c>
      <c r="J473">
        <v>8.9214466988376042</v>
      </c>
      <c r="K473">
        <v>0.712890625</v>
      </c>
    </row>
    <row r="474" spans="1:11" x14ac:dyDescent="0.45">
      <c r="A474">
        <v>14.040845327284968</v>
      </c>
      <c r="B474">
        <v>0.61328125</v>
      </c>
      <c r="D474">
        <v>9.224566322344721</v>
      </c>
      <c r="E474">
        <v>0.619140625</v>
      </c>
      <c r="G474">
        <v>11.5984889477498</v>
      </c>
      <c r="H474">
        <v>0.58984375</v>
      </c>
      <c r="J474">
        <v>8.9214466988376042</v>
      </c>
      <c r="K474">
        <v>0.716796875</v>
      </c>
    </row>
    <row r="475" spans="1:11" x14ac:dyDescent="0.45">
      <c r="A475">
        <v>14.040845327284968</v>
      </c>
      <c r="B475">
        <v>0.62109375</v>
      </c>
      <c r="D475">
        <v>9.224566322344721</v>
      </c>
      <c r="E475">
        <v>0.62109375</v>
      </c>
      <c r="G475">
        <v>11.5984889477498</v>
      </c>
      <c r="H475">
        <v>0.591796875</v>
      </c>
      <c r="J475">
        <v>8.9214466988376042</v>
      </c>
      <c r="K475">
        <v>0.71875</v>
      </c>
    </row>
    <row r="476" spans="1:11" x14ac:dyDescent="0.45">
      <c r="A476">
        <v>14.040845327284968</v>
      </c>
      <c r="B476">
        <v>0.625</v>
      </c>
      <c r="D476">
        <v>9.4137620187462474</v>
      </c>
      <c r="E476">
        <v>0.62158203125</v>
      </c>
      <c r="G476">
        <v>11.725248102235838</v>
      </c>
      <c r="H476">
        <v>0.59228515625</v>
      </c>
      <c r="J476">
        <v>8.9214466988376042</v>
      </c>
      <c r="K476">
        <v>0.7197265625</v>
      </c>
    </row>
    <row r="477" spans="1:11" x14ac:dyDescent="0.45">
      <c r="A477">
        <v>14.040845327284968</v>
      </c>
      <c r="B477">
        <v>0.6328125</v>
      </c>
      <c r="D477">
        <v>9.4137620187462474</v>
      </c>
      <c r="E477">
        <v>0.62255859375</v>
      </c>
      <c r="G477">
        <v>11.725248102235838</v>
      </c>
      <c r="H477">
        <v>0.59326171875</v>
      </c>
      <c r="J477">
        <v>8.9214466988376042</v>
      </c>
      <c r="K477">
        <v>0.7216796875</v>
      </c>
    </row>
    <row r="478" spans="1:11" x14ac:dyDescent="0.45">
      <c r="A478">
        <v>14.040845327284968</v>
      </c>
      <c r="B478">
        <v>0.63671875</v>
      </c>
      <c r="D478">
        <v>9.4137620187462474</v>
      </c>
      <c r="E478">
        <v>0.623046875</v>
      </c>
      <c r="G478">
        <v>11.725248102235838</v>
      </c>
      <c r="H478">
        <v>0.59375</v>
      </c>
      <c r="J478">
        <v>8.9214466988376042</v>
      </c>
      <c r="K478">
        <v>0.72265625</v>
      </c>
    </row>
    <row r="479" spans="1:11" x14ac:dyDescent="0.45">
      <c r="A479">
        <v>14.040845327284968</v>
      </c>
      <c r="B479">
        <v>0.638671875</v>
      </c>
      <c r="D479">
        <v>9.8975257856043335</v>
      </c>
      <c r="E479">
        <v>0.62353515625</v>
      </c>
      <c r="G479">
        <v>11.895886100256199</v>
      </c>
      <c r="H479">
        <v>0.6015625</v>
      </c>
      <c r="J479">
        <v>9.1819859543461195</v>
      </c>
      <c r="K479">
        <v>0.722900390625</v>
      </c>
    </row>
    <row r="480" spans="1:11" x14ac:dyDescent="0.45">
      <c r="A480">
        <v>14.040845327284968</v>
      </c>
      <c r="B480">
        <v>0.642578125</v>
      </c>
      <c r="D480">
        <v>9.8975257856043335</v>
      </c>
      <c r="E480">
        <v>0.62451171875</v>
      </c>
      <c r="G480">
        <v>11.895886100256199</v>
      </c>
      <c r="H480">
        <v>0.6171875</v>
      </c>
      <c r="J480">
        <v>9.1819859543461195</v>
      </c>
      <c r="K480">
        <v>0.723388671875</v>
      </c>
    </row>
    <row r="481" spans="1:11" x14ac:dyDescent="0.45">
      <c r="A481">
        <v>14.040845327284968</v>
      </c>
      <c r="B481">
        <v>0.64453125</v>
      </c>
      <c r="D481">
        <v>9.8975257856043335</v>
      </c>
      <c r="E481">
        <v>0.625</v>
      </c>
      <c r="G481">
        <v>11.895886100256199</v>
      </c>
      <c r="H481">
        <v>0.625</v>
      </c>
      <c r="J481">
        <v>9.1819859543461195</v>
      </c>
      <c r="K481">
        <v>0.7236328125</v>
      </c>
    </row>
    <row r="482" spans="1:11" x14ac:dyDescent="0.45">
      <c r="A482">
        <v>14.040845327284968</v>
      </c>
      <c r="B482">
        <v>0.6484375</v>
      </c>
      <c r="D482">
        <v>10.007860615072559</v>
      </c>
      <c r="E482">
        <v>0.62890625</v>
      </c>
      <c r="G482">
        <v>11.91136315147768</v>
      </c>
      <c r="H482">
        <v>0.626953125</v>
      </c>
      <c r="J482">
        <v>9.1819859543461195</v>
      </c>
      <c r="K482">
        <v>0.72412109375</v>
      </c>
    </row>
    <row r="483" spans="1:11" x14ac:dyDescent="0.45">
      <c r="A483">
        <v>14.040845327284968</v>
      </c>
      <c r="B483">
        <v>0.65625</v>
      </c>
      <c r="D483">
        <v>10.007860615072559</v>
      </c>
      <c r="E483">
        <v>0.63671875</v>
      </c>
      <c r="G483">
        <v>11.91136315147768</v>
      </c>
      <c r="H483">
        <v>0.630859375</v>
      </c>
      <c r="J483">
        <v>9.1819859543461195</v>
      </c>
      <c r="K483">
        <v>0.72509765625</v>
      </c>
    </row>
    <row r="484" spans="1:11" x14ac:dyDescent="0.45">
      <c r="A484">
        <v>14.040845327284968</v>
      </c>
      <c r="B484">
        <v>0.66015625</v>
      </c>
      <c r="D484">
        <v>10.007860615072559</v>
      </c>
      <c r="E484">
        <v>0.640625</v>
      </c>
      <c r="G484">
        <v>11.91136315147768</v>
      </c>
      <c r="H484">
        <v>0.6328125</v>
      </c>
      <c r="J484">
        <v>9.1819859543461195</v>
      </c>
      <c r="K484">
        <v>0.7255859375</v>
      </c>
    </row>
    <row r="485" spans="1:11" x14ac:dyDescent="0.45">
      <c r="A485">
        <v>14.040845327284968</v>
      </c>
      <c r="B485">
        <v>0.662109375</v>
      </c>
      <c r="D485">
        <v>10.24161466355287</v>
      </c>
      <c r="E485">
        <v>0.6416015625</v>
      </c>
      <c r="G485">
        <v>12.606392074444438</v>
      </c>
      <c r="H485">
        <v>0.6337890625</v>
      </c>
      <c r="J485">
        <v>9.1819859543461195</v>
      </c>
      <c r="K485">
        <v>0.725830078125</v>
      </c>
    </row>
    <row r="486" spans="1:11" x14ac:dyDescent="0.45">
      <c r="A486">
        <v>14.040845327284968</v>
      </c>
      <c r="B486">
        <v>0.666015625</v>
      </c>
      <c r="D486">
        <v>10.24161466355287</v>
      </c>
      <c r="E486">
        <v>0.6435546875</v>
      </c>
      <c r="G486">
        <v>12.606392074444438</v>
      </c>
      <c r="H486">
        <v>0.6357421875</v>
      </c>
      <c r="J486">
        <v>9.1819859543461195</v>
      </c>
      <c r="K486">
        <v>0.726318359375</v>
      </c>
    </row>
    <row r="487" spans="1:11" x14ac:dyDescent="0.45">
      <c r="A487">
        <v>14.040845327284968</v>
      </c>
      <c r="B487">
        <v>0.66796875</v>
      </c>
      <c r="D487">
        <v>10.24161466355287</v>
      </c>
      <c r="E487">
        <v>0.64453125</v>
      </c>
      <c r="G487">
        <v>12.606392074444438</v>
      </c>
      <c r="H487">
        <v>0.63671875</v>
      </c>
      <c r="J487">
        <v>9.1819859543461195</v>
      </c>
      <c r="K487">
        <v>0.7265625</v>
      </c>
    </row>
    <row r="488" spans="1:11" x14ac:dyDescent="0.45">
      <c r="A488">
        <v>14.040845327284968</v>
      </c>
      <c r="B488">
        <v>0.6689453125</v>
      </c>
      <c r="D488">
        <v>10.577300017468453</v>
      </c>
      <c r="E488">
        <v>0.6484375</v>
      </c>
      <c r="G488">
        <v>12.900544586754114</v>
      </c>
      <c r="H488">
        <v>0.640625</v>
      </c>
      <c r="J488">
        <v>9.2341815853238813</v>
      </c>
      <c r="K488">
        <v>0.7275390625</v>
      </c>
    </row>
    <row r="489" spans="1:11" x14ac:dyDescent="0.45">
      <c r="A489">
        <v>14.040845327284968</v>
      </c>
      <c r="B489">
        <v>0.6708984375</v>
      </c>
      <c r="D489">
        <v>10.577300017468453</v>
      </c>
      <c r="E489">
        <v>0.65625</v>
      </c>
      <c r="G489">
        <v>12.900544586754114</v>
      </c>
      <c r="H489">
        <v>0.6484375</v>
      </c>
      <c r="J489">
        <v>9.2341815853238813</v>
      </c>
      <c r="K489">
        <v>0.7294921875</v>
      </c>
    </row>
    <row r="490" spans="1:11" x14ac:dyDescent="0.45">
      <c r="A490">
        <v>14.040845327284968</v>
      </c>
      <c r="B490">
        <v>0.671875</v>
      </c>
      <c r="D490">
        <v>10.577300017468453</v>
      </c>
      <c r="E490">
        <v>0.66015625</v>
      </c>
      <c r="G490">
        <v>12.900544586754114</v>
      </c>
      <c r="H490">
        <v>0.65234375</v>
      </c>
      <c r="J490">
        <v>9.2341815853238813</v>
      </c>
      <c r="K490">
        <v>0.73046875</v>
      </c>
    </row>
    <row r="491" spans="1:11" x14ac:dyDescent="0.45">
      <c r="A491">
        <v>14.040845327284968</v>
      </c>
      <c r="B491">
        <v>0.673828125</v>
      </c>
      <c r="D491">
        <v>11.023925996452062</v>
      </c>
      <c r="E491">
        <v>0.662109375</v>
      </c>
      <c r="G491">
        <v>13.028099466625456</v>
      </c>
      <c r="H491">
        <v>0.6533203125</v>
      </c>
      <c r="J491">
        <v>9.2341815853238813</v>
      </c>
      <c r="K491">
        <v>0.732421875</v>
      </c>
    </row>
    <row r="492" spans="1:11" x14ac:dyDescent="0.45">
      <c r="A492">
        <v>14.040845327284968</v>
      </c>
      <c r="B492">
        <v>0.677734375</v>
      </c>
      <c r="D492">
        <v>11.023925996452062</v>
      </c>
      <c r="E492">
        <v>0.666015625</v>
      </c>
      <c r="G492">
        <v>13.028099466625456</v>
      </c>
      <c r="H492">
        <v>0.6552734375</v>
      </c>
      <c r="J492">
        <v>9.2341815853238813</v>
      </c>
      <c r="K492">
        <v>0.736328125</v>
      </c>
    </row>
    <row r="493" spans="1:11" x14ac:dyDescent="0.45">
      <c r="A493">
        <v>14.040845327284968</v>
      </c>
      <c r="B493">
        <v>0.6796875</v>
      </c>
      <c r="D493">
        <v>11.023925996452062</v>
      </c>
      <c r="E493">
        <v>0.66796875</v>
      </c>
      <c r="G493">
        <v>13.028099466625456</v>
      </c>
      <c r="H493">
        <v>0.65625</v>
      </c>
      <c r="J493">
        <v>9.2341815853238813</v>
      </c>
      <c r="K493">
        <v>0.73828125</v>
      </c>
    </row>
    <row r="494" spans="1:11" x14ac:dyDescent="0.45">
      <c r="A494">
        <v>14.040845327284968</v>
      </c>
      <c r="B494">
        <v>0.6806640625</v>
      </c>
      <c r="D494">
        <v>11.130933880251099</v>
      </c>
      <c r="E494">
        <v>0.6689453125</v>
      </c>
      <c r="G494">
        <v>13.307226020791473</v>
      </c>
      <c r="H494">
        <v>0.6572265625</v>
      </c>
      <c r="J494">
        <v>9.2341815853238813</v>
      </c>
      <c r="K494">
        <v>0.7392578125</v>
      </c>
    </row>
    <row r="495" spans="1:11" x14ac:dyDescent="0.45">
      <c r="A495">
        <v>14.040845327284968</v>
      </c>
      <c r="B495">
        <v>0.6826171875</v>
      </c>
      <c r="D495">
        <v>11.130933880251099</v>
      </c>
      <c r="E495">
        <v>0.6708984375</v>
      </c>
      <c r="G495">
        <v>13.307226020791473</v>
      </c>
      <c r="H495">
        <v>0.6591796875</v>
      </c>
      <c r="J495">
        <v>9.2341815853238813</v>
      </c>
      <c r="K495">
        <v>0.7412109375</v>
      </c>
    </row>
    <row r="496" spans="1:11" x14ac:dyDescent="0.45">
      <c r="A496">
        <v>14.040845327284968</v>
      </c>
      <c r="B496">
        <v>0.68359375</v>
      </c>
      <c r="D496">
        <v>11.130933880251099</v>
      </c>
      <c r="E496">
        <v>0.671875</v>
      </c>
      <c r="G496">
        <v>13.307226020791473</v>
      </c>
      <c r="H496">
        <v>0.66015625</v>
      </c>
      <c r="J496">
        <v>9.2341815853238813</v>
      </c>
      <c r="K496">
        <v>0.7421875</v>
      </c>
    </row>
    <row r="497" spans="1:11" x14ac:dyDescent="0.45">
      <c r="A497">
        <v>14.040845327284968</v>
      </c>
      <c r="B497">
        <v>0.685546875</v>
      </c>
      <c r="D497">
        <v>11.606092902532644</v>
      </c>
      <c r="E497">
        <v>0.6728515625</v>
      </c>
      <c r="G497">
        <v>13.382871862788226</v>
      </c>
      <c r="H497">
        <v>0.6640625</v>
      </c>
      <c r="J497">
        <v>9.3820648707884615</v>
      </c>
      <c r="K497">
        <v>0.7431640625</v>
      </c>
    </row>
    <row r="498" spans="1:11" x14ac:dyDescent="0.45">
      <c r="A498">
        <v>14.040845327284968</v>
      </c>
      <c r="B498">
        <v>0.689453125</v>
      </c>
      <c r="D498">
        <v>11.606092902532644</v>
      </c>
      <c r="E498">
        <v>0.6748046875</v>
      </c>
      <c r="G498">
        <v>13.382871862788226</v>
      </c>
      <c r="H498">
        <v>0.671875</v>
      </c>
      <c r="J498">
        <v>9.3820648707884615</v>
      </c>
      <c r="K498">
        <v>0.7451171875</v>
      </c>
    </row>
    <row r="499" spans="1:11" x14ac:dyDescent="0.45">
      <c r="A499">
        <v>14.040845327284968</v>
      </c>
      <c r="B499">
        <v>0.69140625</v>
      </c>
      <c r="D499">
        <v>11.606092902532644</v>
      </c>
      <c r="E499">
        <v>0.67578125</v>
      </c>
      <c r="G499">
        <v>13.382871862788226</v>
      </c>
      <c r="H499">
        <v>0.67578125</v>
      </c>
      <c r="J499">
        <v>9.3820648707884615</v>
      </c>
      <c r="K499">
        <v>0.74609375</v>
      </c>
    </row>
    <row r="500" spans="1:11" x14ac:dyDescent="0.45">
      <c r="A500">
        <v>14.040845327284968</v>
      </c>
      <c r="B500">
        <v>0.6953125</v>
      </c>
      <c r="D500">
        <v>11.629485097309161</v>
      </c>
      <c r="E500">
        <v>0.677734375</v>
      </c>
      <c r="G500">
        <v>13.400283545412396</v>
      </c>
      <c r="H500">
        <v>0.6767578125</v>
      </c>
      <c r="J500">
        <v>9.3820648707884615</v>
      </c>
      <c r="K500">
        <v>0.748046875</v>
      </c>
    </row>
    <row r="501" spans="1:11" x14ac:dyDescent="0.45">
      <c r="A501">
        <v>14.040845327284968</v>
      </c>
      <c r="B501">
        <v>0.703125</v>
      </c>
      <c r="D501">
        <v>11.629485097309161</v>
      </c>
      <c r="E501">
        <v>0.681640625</v>
      </c>
      <c r="G501">
        <v>13.400283545412396</v>
      </c>
      <c r="H501">
        <v>0.6787109375</v>
      </c>
      <c r="J501">
        <v>9.3820648707884615</v>
      </c>
      <c r="K501">
        <v>0.751953125</v>
      </c>
    </row>
    <row r="502" spans="1:11" x14ac:dyDescent="0.45">
      <c r="A502">
        <v>14.040845327284968</v>
      </c>
      <c r="B502">
        <v>0.70703125</v>
      </c>
      <c r="D502">
        <v>11.629485097309161</v>
      </c>
      <c r="E502">
        <v>0.68359375</v>
      </c>
      <c r="G502">
        <v>13.400283545412396</v>
      </c>
      <c r="H502">
        <v>0.6796875</v>
      </c>
      <c r="J502">
        <v>9.3820648707884615</v>
      </c>
      <c r="K502">
        <v>0.75390625</v>
      </c>
    </row>
    <row r="503" spans="1:11" x14ac:dyDescent="0.45">
      <c r="A503">
        <v>14.040845327284968</v>
      </c>
      <c r="B503">
        <v>0.708984375</v>
      </c>
      <c r="D503">
        <v>12.142250752679082</v>
      </c>
      <c r="E503">
        <v>0.68408203125</v>
      </c>
      <c r="G503">
        <v>13.400283545412396</v>
      </c>
      <c r="H503">
        <v>0.6806640625</v>
      </c>
      <c r="J503">
        <v>9.3820648707884615</v>
      </c>
      <c r="K503">
        <v>0.7548828125</v>
      </c>
    </row>
    <row r="504" spans="1:11" x14ac:dyDescent="0.45">
      <c r="A504">
        <v>14.040845327284968</v>
      </c>
      <c r="B504">
        <v>0.712890625</v>
      </c>
      <c r="D504">
        <v>12.142250752679082</v>
      </c>
      <c r="E504">
        <v>0.68505859375</v>
      </c>
      <c r="G504">
        <v>13.400283545412396</v>
      </c>
      <c r="H504">
        <v>0.6826171875</v>
      </c>
      <c r="J504">
        <v>9.3820648707884615</v>
      </c>
      <c r="K504">
        <v>0.7568359375</v>
      </c>
    </row>
    <row r="505" spans="1:11" x14ac:dyDescent="0.45">
      <c r="A505">
        <v>14.040845327284968</v>
      </c>
      <c r="B505">
        <v>0.71484375</v>
      </c>
      <c r="D505">
        <v>12.142250752679082</v>
      </c>
      <c r="E505">
        <v>0.685546875</v>
      </c>
      <c r="G505">
        <v>13.400283545412396</v>
      </c>
      <c r="H505">
        <v>0.68359375</v>
      </c>
      <c r="J505">
        <v>9.3820648707884615</v>
      </c>
      <c r="K505">
        <v>0.7578125</v>
      </c>
    </row>
    <row r="506" spans="1:11" x14ac:dyDescent="0.45">
      <c r="A506">
        <v>14.040845327284968</v>
      </c>
      <c r="B506">
        <v>0.7158203125</v>
      </c>
      <c r="D506">
        <v>12.617409774960631</v>
      </c>
      <c r="E506">
        <v>0.68603515625</v>
      </c>
      <c r="G506">
        <v>13.531570439041428</v>
      </c>
      <c r="H506">
        <v>0.6845703125</v>
      </c>
      <c r="J506">
        <v>9.5812027349698674</v>
      </c>
      <c r="K506">
        <v>0.75830078125</v>
      </c>
    </row>
    <row r="507" spans="1:11" x14ac:dyDescent="0.45">
      <c r="A507">
        <v>14.040845327284968</v>
      </c>
      <c r="B507">
        <v>0.7177734375</v>
      </c>
      <c r="D507">
        <v>12.617409774960631</v>
      </c>
      <c r="E507">
        <v>0.68701171875</v>
      </c>
      <c r="G507">
        <v>13.531570439041428</v>
      </c>
      <c r="H507">
        <v>0.6865234375</v>
      </c>
      <c r="J507">
        <v>9.5812027349698674</v>
      </c>
      <c r="K507">
        <v>0.75927734375</v>
      </c>
    </row>
    <row r="508" spans="1:11" x14ac:dyDescent="0.45">
      <c r="A508">
        <v>14.040845327284968</v>
      </c>
      <c r="B508">
        <v>0.71875</v>
      </c>
      <c r="D508">
        <v>12.617409774960631</v>
      </c>
      <c r="E508">
        <v>0.6875</v>
      </c>
      <c r="G508">
        <v>13.531570439041428</v>
      </c>
      <c r="H508">
        <v>0.6875</v>
      </c>
      <c r="J508">
        <v>9.5812027349698674</v>
      </c>
      <c r="K508">
        <v>0.759765625</v>
      </c>
    </row>
    <row r="509" spans="1:11" x14ac:dyDescent="0.45">
      <c r="A509">
        <v>14.040845327284968</v>
      </c>
      <c r="B509">
        <v>0.720703125</v>
      </c>
      <c r="D509">
        <v>12.777610861340639</v>
      </c>
      <c r="E509">
        <v>0.69140625</v>
      </c>
      <c r="G509">
        <v>14.092860528211519</v>
      </c>
      <c r="H509">
        <v>0.68798828125</v>
      </c>
      <c r="J509">
        <v>9.5812027349698674</v>
      </c>
      <c r="K509">
        <v>0.7607421875</v>
      </c>
    </row>
    <row r="510" spans="1:11" x14ac:dyDescent="0.45">
      <c r="A510">
        <v>14.040845327284968</v>
      </c>
      <c r="B510">
        <v>0.724609375</v>
      </c>
      <c r="D510">
        <v>12.777610861340639</v>
      </c>
      <c r="E510">
        <v>0.69921875</v>
      </c>
      <c r="G510">
        <v>14.092860528211519</v>
      </c>
      <c r="H510">
        <v>0.68896484375</v>
      </c>
      <c r="J510">
        <v>9.5812027349698674</v>
      </c>
      <c r="K510">
        <v>0.7626953125</v>
      </c>
    </row>
    <row r="511" spans="1:11" x14ac:dyDescent="0.45">
      <c r="A511">
        <v>14.040845327284968</v>
      </c>
      <c r="B511">
        <v>0.7265625</v>
      </c>
      <c r="D511">
        <v>12.777610861340639</v>
      </c>
      <c r="E511">
        <v>0.703125</v>
      </c>
      <c r="G511">
        <v>14.092860528211519</v>
      </c>
      <c r="H511">
        <v>0.689453125</v>
      </c>
      <c r="J511">
        <v>9.5812027349698674</v>
      </c>
      <c r="K511">
        <v>0.763671875</v>
      </c>
    </row>
    <row r="512" spans="1:11" x14ac:dyDescent="0.45">
      <c r="A512">
        <v>14.040845327284968</v>
      </c>
      <c r="B512">
        <v>0.7275390625</v>
      </c>
      <c r="D512">
        <v>12.977700868993718</v>
      </c>
      <c r="E512">
        <v>0.7041015625</v>
      </c>
      <c r="G512">
        <v>14.27020683117402</v>
      </c>
      <c r="H512">
        <v>0.69140625</v>
      </c>
      <c r="J512">
        <v>9.5812027349698674</v>
      </c>
      <c r="K512">
        <v>0.76416015625</v>
      </c>
    </row>
    <row r="513" spans="1:11" x14ac:dyDescent="0.45">
      <c r="A513">
        <v>14.040845327284968</v>
      </c>
      <c r="B513">
        <v>0.7294921875</v>
      </c>
      <c r="D513">
        <v>12.977700868993718</v>
      </c>
      <c r="E513">
        <v>0.7060546875</v>
      </c>
      <c r="G513">
        <v>14.27020683117402</v>
      </c>
      <c r="H513">
        <v>0.6953125</v>
      </c>
      <c r="J513">
        <v>9.5812027349698674</v>
      </c>
      <c r="K513">
        <v>0.76513671875</v>
      </c>
    </row>
    <row r="514" spans="1:11" x14ac:dyDescent="0.45">
      <c r="A514">
        <v>14.040845327284968</v>
      </c>
      <c r="B514">
        <v>0.73046875</v>
      </c>
      <c r="D514">
        <v>12.977700868993718</v>
      </c>
      <c r="E514">
        <v>0.70703125</v>
      </c>
      <c r="G514">
        <v>14.27020683117402</v>
      </c>
      <c r="H514">
        <v>0.697265625</v>
      </c>
      <c r="J514">
        <v>9.5812027349698674</v>
      </c>
      <c r="K514">
        <v>0.765625</v>
      </c>
    </row>
    <row r="515" spans="1:11" x14ac:dyDescent="0.45">
      <c r="A515">
        <v>14.545837008974342</v>
      </c>
      <c r="B515">
        <v>0.730712890625</v>
      </c>
      <c r="D515">
        <v>13.825126483959142</v>
      </c>
      <c r="E515">
        <v>0.708984375</v>
      </c>
      <c r="G515">
        <v>14.275063320307433</v>
      </c>
      <c r="H515">
        <v>0.701171875</v>
      </c>
      <c r="J515">
        <v>10.036627536192313</v>
      </c>
      <c r="K515">
        <v>0.76611328125</v>
      </c>
    </row>
    <row r="516" spans="1:11" x14ac:dyDescent="0.45">
      <c r="A516">
        <v>14.545837008974342</v>
      </c>
      <c r="B516">
        <v>0.731201171875</v>
      </c>
      <c r="D516">
        <v>13.825126483959142</v>
      </c>
      <c r="E516">
        <v>0.712890625</v>
      </c>
      <c r="G516">
        <v>14.275063320307433</v>
      </c>
      <c r="H516">
        <v>0.708984375</v>
      </c>
      <c r="J516">
        <v>10.036627536192313</v>
      </c>
      <c r="K516">
        <v>0.76708984375</v>
      </c>
    </row>
    <row r="517" spans="1:11" x14ac:dyDescent="0.45">
      <c r="A517">
        <v>14.545837008974342</v>
      </c>
      <c r="B517">
        <v>0.7314453125</v>
      </c>
      <c r="D517">
        <v>13.825126483959142</v>
      </c>
      <c r="E517">
        <v>0.71484375</v>
      </c>
      <c r="G517">
        <v>14.275063320307433</v>
      </c>
      <c r="H517">
        <v>0.712890625</v>
      </c>
      <c r="J517">
        <v>10.036627536192313</v>
      </c>
      <c r="K517">
        <v>0.767578125</v>
      </c>
    </row>
    <row r="518" spans="1:11" x14ac:dyDescent="0.45">
      <c r="A518">
        <v>14.545837008974342</v>
      </c>
      <c r="B518">
        <v>0.73193359375</v>
      </c>
      <c r="D518">
        <v>14.672155004634858</v>
      </c>
      <c r="E518">
        <v>0.7158203125</v>
      </c>
      <c r="G518">
        <v>14.679814098802112</v>
      </c>
      <c r="H518">
        <v>0.7138671875</v>
      </c>
      <c r="J518">
        <v>10.036627536192313</v>
      </c>
      <c r="K518">
        <v>0.7685546875</v>
      </c>
    </row>
    <row r="519" spans="1:11" x14ac:dyDescent="0.45">
      <c r="A519">
        <v>14.545837008974342</v>
      </c>
      <c r="B519">
        <v>0.73291015625</v>
      </c>
      <c r="D519">
        <v>14.672155004634858</v>
      </c>
      <c r="E519">
        <v>0.7177734375</v>
      </c>
      <c r="G519">
        <v>14.679814098802112</v>
      </c>
      <c r="H519">
        <v>0.7158203125</v>
      </c>
      <c r="J519">
        <v>10.036627536192313</v>
      </c>
      <c r="K519">
        <v>0.7705078125</v>
      </c>
    </row>
    <row r="520" spans="1:11" x14ac:dyDescent="0.45">
      <c r="A520">
        <v>14.545837008974342</v>
      </c>
      <c r="B520">
        <v>0.7333984375</v>
      </c>
      <c r="D520">
        <v>14.672155004634858</v>
      </c>
      <c r="E520">
        <v>0.71875</v>
      </c>
      <c r="G520">
        <v>14.679814098802112</v>
      </c>
      <c r="H520">
        <v>0.716796875</v>
      </c>
      <c r="J520">
        <v>10.036627536192313</v>
      </c>
      <c r="K520">
        <v>0.771484375</v>
      </c>
    </row>
    <row r="521" spans="1:11" x14ac:dyDescent="0.45">
      <c r="A521">
        <v>14.545837008974342</v>
      </c>
      <c r="B521">
        <v>0.733642578125</v>
      </c>
      <c r="D521">
        <v>14.723560240024558</v>
      </c>
      <c r="E521">
        <v>0.720703125</v>
      </c>
      <c r="G521">
        <v>14.707457420185172</v>
      </c>
      <c r="H521">
        <v>0.71728515625</v>
      </c>
      <c r="J521">
        <v>10.036627536192313</v>
      </c>
      <c r="K521">
        <v>0.77197265625</v>
      </c>
    </row>
    <row r="522" spans="1:11" x14ac:dyDescent="0.45">
      <c r="A522">
        <v>14.545837008974342</v>
      </c>
      <c r="B522">
        <v>0.734130859375</v>
      </c>
      <c r="D522">
        <v>14.723560240024558</v>
      </c>
      <c r="E522">
        <v>0.724609375</v>
      </c>
      <c r="G522">
        <v>14.707457420185172</v>
      </c>
      <c r="H522">
        <v>0.71826171875</v>
      </c>
      <c r="J522">
        <v>10.036627536192313</v>
      </c>
      <c r="K522">
        <v>0.77294921875</v>
      </c>
    </row>
    <row r="523" spans="1:11" x14ac:dyDescent="0.45">
      <c r="A523">
        <v>14.545837008974342</v>
      </c>
      <c r="B523">
        <v>0.734375</v>
      </c>
      <c r="D523">
        <v>14.723560240024558</v>
      </c>
      <c r="E523">
        <v>0.7265625</v>
      </c>
      <c r="G523">
        <v>14.707457420185172</v>
      </c>
      <c r="H523">
        <v>0.71875</v>
      </c>
      <c r="J523">
        <v>10.036627536192313</v>
      </c>
      <c r="K523">
        <v>0.7734375</v>
      </c>
    </row>
    <row r="524" spans="1:11" x14ac:dyDescent="0.45">
      <c r="A524">
        <v>16.285066808660886</v>
      </c>
      <c r="B524">
        <v>0.73486328125</v>
      </c>
      <c r="D524">
        <v>14.849017359196388</v>
      </c>
      <c r="E524">
        <v>0.7275390625</v>
      </c>
      <c r="G524">
        <v>14.778325209913223</v>
      </c>
      <c r="H524">
        <v>0.71923828125</v>
      </c>
      <c r="J524">
        <v>10.563890194966778</v>
      </c>
      <c r="K524">
        <v>0.7744140625</v>
      </c>
    </row>
    <row r="525" spans="1:11" x14ac:dyDescent="0.45">
      <c r="A525">
        <v>16.285066808660886</v>
      </c>
      <c r="B525">
        <v>0.73583984375</v>
      </c>
      <c r="D525">
        <v>14.849017359196388</v>
      </c>
      <c r="E525">
        <v>0.7294921875</v>
      </c>
      <c r="G525">
        <v>14.778325209913223</v>
      </c>
      <c r="H525">
        <v>0.72021484375</v>
      </c>
      <c r="J525">
        <v>10.563890194966778</v>
      </c>
      <c r="K525">
        <v>0.7763671875</v>
      </c>
    </row>
    <row r="526" spans="1:11" x14ac:dyDescent="0.45">
      <c r="A526">
        <v>16.285066808660886</v>
      </c>
      <c r="B526">
        <v>0.736328125</v>
      </c>
      <c r="D526">
        <v>14.849017359196388</v>
      </c>
      <c r="E526">
        <v>0.73046875</v>
      </c>
      <c r="G526">
        <v>14.778325209913223</v>
      </c>
      <c r="H526">
        <v>0.720703125</v>
      </c>
      <c r="J526">
        <v>10.563890194966778</v>
      </c>
      <c r="K526">
        <v>0.77734375</v>
      </c>
    </row>
    <row r="527" spans="1:11" x14ac:dyDescent="0.45">
      <c r="A527">
        <v>16.285066808660886</v>
      </c>
      <c r="B527">
        <v>0.7373046875</v>
      </c>
      <c r="D527">
        <v>15.771075862643059</v>
      </c>
      <c r="E527">
        <v>0.7314453125</v>
      </c>
      <c r="G527">
        <v>15.075318988588934</v>
      </c>
      <c r="H527">
        <v>0.72119140625</v>
      </c>
      <c r="J527">
        <v>10.563890194966778</v>
      </c>
      <c r="K527">
        <v>0.779296875</v>
      </c>
    </row>
    <row r="528" spans="1:11" x14ac:dyDescent="0.45">
      <c r="A528">
        <v>16.285066808660886</v>
      </c>
      <c r="B528">
        <v>0.7392578125</v>
      </c>
      <c r="D528">
        <v>15.771075862643059</v>
      </c>
      <c r="E528">
        <v>0.7333984375</v>
      </c>
      <c r="G528">
        <v>15.075318988588934</v>
      </c>
      <c r="H528">
        <v>0.72216796875</v>
      </c>
      <c r="J528">
        <v>10.563890194966778</v>
      </c>
      <c r="K528">
        <v>0.783203125</v>
      </c>
    </row>
    <row r="529" spans="1:11" x14ac:dyDescent="0.45">
      <c r="A529">
        <v>16.285066808660886</v>
      </c>
      <c r="B529">
        <v>0.740234375</v>
      </c>
      <c r="D529">
        <v>15.771075862643059</v>
      </c>
      <c r="E529">
        <v>0.734375</v>
      </c>
      <c r="G529">
        <v>15.075318988588934</v>
      </c>
      <c r="H529">
        <v>0.72265625</v>
      </c>
      <c r="J529">
        <v>10.563890194966778</v>
      </c>
      <c r="K529">
        <v>0.78515625</v>
      </c>
    </row>
    <row r="530" spans="1:11" x14ac:dyDescent="0.45">
      <c r="A530">
        <v>16.285066808660886</v>
      </c>
      <c r="B530">
        <v>0.74072265625</v>
      </c>
      <c r="D530">
        <v>16.357683125348164</v>
      </c>
      <c r="E530">
        <v>0.736328125</v>
      </c>
      <c r="G530">
        <v>15.27643971608607</v>
      </c>
      <c r="H530">
        <v>0.724609375</v>
      </c>
      <c r="J530">
        <v>10.563890194966778</v>
      </c>
      <c r="K530">
        <v>0.7861328125</v>
      </c>
    </row>
    <row r="531" spans="1:11" x14ac:dyDescent="0.45">
      <c r="A531">
        <v>16.285066808660886</v>
      </c>
      <c r="B531">
        <v>0.74169921875</v>
      </c>
      <c r="D531">
        <v>16.357683125348164</v>
      </c>
      <c r="E531">
        <v>0.740234375</v>
      </c>
      <c r="G531">
        <v>15.27643971608607</v>
      </c>
      <c r="H531">
        <v>0.728515625</v>
      </c>
      <c r="J531">
        <v>10.563890194966778</v>
      </c>
      <c r="K531">
        <v>0.7880859375</v>
      </c>
    </row>
    <row r="532" spans="1:11" x14ac:dyDescent="0.45">
      <c r="A532">
        <v>16.285066808660886</v>
      </c>
      <c r="B532">
        <v>0.7421875</v>
      </c>
      <c r="D532">
        <v>16.357683125348164</v>
      </c>
      <c r="E532">
        <v>0.7421875</v>
      </c>
      <c r="G532">
        <v>15.27643971608607</v>
      </c>
      <c r="H532">
        <v>0.73046875</v>
      </c>
      <c r="J532">
        <v>10.563890194966778</v>
      </c>
      <c r="K532">
        <v>0.7890625</v>
      </c>
    </row>
    <row r="533" spans="1:11" x14ac:dyDescent="0.45">
      <c r="A533">
        <v>16.849014392741964</v>
      </c>
      <c r="B533">
        <v>0.744140625</v>
      </c>
      <c r="D533">
        <v>16.594876730227227</v>
      </c>
      <c r="E533">
        <v>0.744140625</v>
      </c>
      <c r="G533">
        <v>15.27643971608607</v>
      </c>
      <c r="H533">
        <v>0.7314453125</v>
      </c>
      <c r="J533">
        <v>10.778853076841109</v>
      </c>
      <c r="K533">
        <v>0.789306640625</v>
      </c>
    </row>
    <row r="534" spans="1:11" x14ac:dyDescent="0.45">
      <c r="A534">
        <v>16.849014392741964</v>
      </c>
      <c r="B534">
        <v>0.748046875</v>
      </c>
      <c r="D534">
        <v>16.594876730227227</v>
      </c>
      <c r="E534">
        <v>0.748046875</v>
      </c>
      <c r="G534">
        <v>15.27643971608607</v>
      </c>
      <c r="H534">
        <v>0.7333984375</v>
      </c>
      <c r="J534">
        <v>10.778853076841109</v>
      </c>
      <c r="K534">
        <v>0.789794921875</v>
      </c>
    </row>
    <row r="535" spans="1:11" x14ac:dyDescent="0.45">
      <c r="A535">
        <v>16.849014392741964</v>
      </c>
      <c r="B535">
        <v>0.75</v>
      </c>
      <c r="D535">
        <v>16.594876730227227</v>
      </c>
      <c r="E535">
        <v>0.75</v>
      </c>
      <c r="G535">
        <v>15.27643971608607</v>
      </c>
      <c r="H535">
        <v>0.734375</v>
      </c>
      <c r="J535">
        <v>10.778853076841109</v>
      </c>
      <c r="K535">
        <v>0.7900390625</v>
      </c>
    </row>
    <row r="536" spans="1:11" x14ac:dyDescent="0.45">
      <c r="A536">
        <v>16.849014392741964</v>
      </c>
      <c r="B536">
        <v>0.75390625</v>
      </c>
      <c r="D536">
        <v>17.11929163432762</v>
      </c>
      <c r="E536">
        <v>0.75048828125</v>
      </c>
      <c r="G536">
        <v>15.27643971608607</v>
      </c>
      <c r="H536">
        <v>0.7353515625</v>
      </c>
      <c r="J536">
        <v>10.778853076841109</v>
      </c>
      <c r="K536">
        <v>0.79052734375</v>
      </c>
    </row>
    <row r="537" spans="1:11" x14ac:dyDescent="0.45">
      <c r="A537">
        <v>16.849014392741964</v>
      </c>
      <c r="B537">
        <v>0.76171875</v>
      </c>
      <c r="D537">
        <v>17.11929163432762</v>
      </c>
      <c r="E537">
        <v>0.75146484375</v>
      </c>
      <c r="G537">
        <v>15.27643971608607</v>
      </c>
      <c r="H537">
        <v>0.7373046875</v>
      </c>
      <c r="J537">
        <v>10.778853076841109</v>
      </c>
      <c r="K537">
        <v>0.79150390625</v>
      </c>
    </row>
    <row r="538" spans="1:11" x14ac:dyDescent="0.45">
      <c r="A538">
        <v>16.849014392741964</v>
      </c>
      <c r="B538">
        <v>0.765625</v>
      </c>
      <c r="D538">
        <v>17.11929163432762</v>
      </c>
      <c r="E538">
        <v>0.751953125</v>
      </c>
      <c r="G538">
        <v>15.27643971608607</v>
      </c>
      <c r="H538">
        <v>0.73828125</v>
      </c>
      <c r="J538">
        <v>10.778853076841109</v>
      </c>
      <c r="K538">
        <v>0.7919921875</v>
      </c>
    </row>
    <row r="539" spans="1:11" x14ac:dyDescent="0.45">
      <c r="A539">
        <v>16.849014392741964</v>
      </c>
      <c r="B539">
        <v>0.767578125</v>
      </c>
      <c r="D539">
        <v>17.358411863345417</v>
      </c>
      <c r="E539">
        <v>0.7529296875</v>
      </c>
      <c r="G539">
        <v>15.27643971608607</v>
      </c>
      <c r="H539">
        <v>0.73876953125</v>
      </c>
      <c r="J539">
        <v>10.778853076841109</v>
      </c>
      <c r="K539">
        <v>0.792236328125</v>
      </c>
    </row>
    <row r="540" spans="1:11" x14ac:dyDescent="0.45">
      <c r="A540">
        <v>16.849014392741964</v>
      </c>
      <c r="B540">
        <v>0.771484375</v>
      </c>
      <c r="D540">
        <v>17.358411863345417</v>
      </c>
      <c r="E540">
        <v>0.7548828125</v>
      </c>
      <c r="G540">
        <v>15.27643971608607</v>
      </c>
      <c r="H540">
        <v>0.73974609375</v>
      </c>
      <c r="J540">
        <v>10.778853076841109</v>
      </c>
      <c r="K540">
        <v>0.792724609375</v>
      </c>
    </row>
    <row r="541" spans="1:11" x14ac:dyDescent="0.45">
      <c r="A541">
        <v>16.849014392741964</v>
      </c>
      <c r="B541">
        <v>0.7734375</v>
      </c>
      <c r="D541">
        <v>17.358411863345417</v>
      </c>
      <c r="E541">
        <v>0.755859375</v>
      </c>
      <c r="G541">
        <v>15.27643971608607</v>
      </c>
      <c r="H541">
        <v>0.740234375</v>
      </c>
      <c r="J541">
        <v>10.778853076841109</v>
      </c>
      <c r="K541">
        <v>0.79296875</v>
      </c>
    </row>
    <row r="542" spans="1:11" x14ac:dyDescent="0.45">
      <c r="A542">
        <v>16.849014392741964</v>
      </c>
      <c r="B542">
        <v>0.7744140625</v>
      </c>
      <c r="D542">
        <v>17.616686715366686</v>
      </c>
      <c r="E542">
        <v>0.7568359375</v>
      </c>
      <c r="G542">
        <v>15.464651930333066</v>
      </c>
      <c r="H542">
        <v>0.7421875</v>
      </c>
      <c r="J542">
        <v>11.300905789964462</v>
      </c>
      <c r="K542">
        <v>0.79345703125</v>
      </c>
    </row>
    <row r="543" spans="1:11" x14ac:dyDescent="0.45">
      <c r="A543">
        <v>16.849014392741964</v>
      </c>
      <c r="B543">
        <v>0.7763671875</v>
      </c>
      <c r="D543">
        <v>17.616686715366686</v>
      </c>
      <c r="E543">
        <v>0.7587890625</v>
      </c>
      <c r="G543">
        <v>15.464651930333066</v>
      </c>
      <c r="H543">
        <v>0.74609375</v>
      </c>
      <c r="J543">
        <v>11.300905789964462</v>
      </c>
      <c r="K543">
        <v>0.79443359375</v>
      </c>
    </row>
    <row r="544" spans="1:11" x14ac:dyDescent="0.45">
      <c r="A544">
        <v>16.849014392741964</v>
      </c>
      <c r="B544">
        <v>0.77734375</v>
      </c>
      <c r="D544">
        <v>17.616686715366686</v>
      </c>
      <c r="E544">
        <v>0.759765625</v>
      </c>
      <c r="G544">
        <v>15.464651930333066</v>
      </c>
      <c r="H544">
        <v>0.748046875</v>
      </c>
      <c r="J544">
        <v>11.300905789964462</v>
      </c>
      <c r="K544">
        <v>0.794921875</v>
      </c>
    </row>
    <row r="545" spans="1:11" x14ac:dyDescent="0.45">
      <c r="A545">
        <v>16.849014392741964</v>
      </c>
      <c r="B545">
        <v>0.779296875</v>
      </c>
      <c r="D545">
        <v>18.666283228082971</v>
      </c>
      <c r="E545">
        <v>0.76171875</v>
      </c>
      <c r="G545">
        <v>15.480653504104936</v>
      </c>
      <c r="H545">
        <v>0.75</v>
      </c>
      <c r="J545">
        <v>11.300905789964462</v>
      </c>
      <c r="K545">
        <v>0.7958984375</v>
      </c>
    </row>
    <row r="546" spans="1:11" x14ac:dyDescent="0.45">
      <c r="A546">
        <v>16.849014392741964</v>
      </c>
      <c r="B546">
        <v>0.783203125</v>
      </c>
      <c r="D546">
        <v>18.666283228082971</v>
      </c>
      <c r="E546">
        <v>0.765625</v>
      </c>
      <c r="G546">
        <v>15.480653504104936</v>
      </c>
      <c r="H546">
        <v>0.75390625</v>
      </c>
      <c r="J546">
        <v>11.300905789964462</v>
      </c>
      <c r="K546">
        <v>0.7978515625</v>
      </c>
    </row>
    <row r="547" spans="1:11" x14ac:dyDescent="0.45">
      <c r="A547">
        <v>16.849014392741964</v>
      </c>
      <c r="B547">
        <v>0.78515625</v>
      </c>
      <c r="D547">
        <v>18.666283228082971</v>
      </c>
      <c r="E547">
        <v>0.767578125</v>
      </c>
      <c r="G547">
        <v>15.480653504104936</v>
      </c>
      <c r="H547">
        <v>0.755859375</v>
      </c>
      <c r="J547">
        <v>11.300905789964462</v>
      </c>
      <c r="K547">
        <v>0.798828125</v>
      </c>
    </row>
    <row r="548" spans="1:11" x14ac:dyDescent="0.45">
      <c r="A548">
        <v>16.849014392741964</v>
      </c>
      <c r="B548">
        <v>0.7861328125</v>
      </c>
      <c r="D548">
        <v>18.865151005358459</v>
      </c>
      <c r="E548">
        <v>0.7685546875</v>
      </c>
      <c r="G548">
        <v>15.968671224949766</v>
      </c>
      <c r="H548">
        <v>0.75634765625</v>
      </c>
      <c r="J548">
        <v>11.300905789964462</v>
      </c>
      <c r="K548">
        <v>0.79931640625</v>
      </c>
    </row>
    <row r="549" spans="1:11" x14ac:dyDescent="0.45">
      <c r="A549">
        <v>16.849014392741964</v>
      </c>
      <c r="B549">
        <v>0.7880859375</v>
      </c>
      <c r="D549">
        <v>18.865151005358459</v>
      </c>
      <c r="E549">
        <v>0.7705078125</v>
      </c>
      <c r="G549">
        <v>15.968671224949766</v>
      </c>
      <c r="H549">
        <v>0.75732421875</v>
      </c>
      <c r="J549">
        <v>11.300905789964462</v>
      </c>
      <c r="K549">
        <v>0.80029296875</v>
      </c>
    </row>
    <row r="550" spans="1:11" x14ac:dyDescent="0.45">
      <c r="A550">
        <v>16.849014392741964</v>
      </c>
      <c r="B550">
        <v>0.7890625</v>
      </c>
      <c r="D550">
        <v>18.865151005358459</v>
      </c>
      <c r="E550">
        <v>0.771484375</v>
      </c>
      <c r="G550">
        <v>15.968671224949766</v>
      </c>
      <c r="H550">
        <v>0.7578125</v>
      </c>
      <c r="J550">
        <v>11.300905789964462</v>
      </c>
      <c r="K550">
        <v>0.80078125</v>
      </c>
    </row>
    <row r="551" spans="1:11" x14ac:dyDescent="0.45">
      <c r="A551">
        <v>16.849014392741964</v>
      </c>
      <c r="B551">
        <v>0.78955078125</v>
      </c>
      <c r="D551">
        <v>19.880288354212805</v>
      </c>
      <c r="E551">
        <v>0.77197265625</v>
      </c>
      <c r="G551">
        <v>16.059446235345884</v>
      </c>
      <c r="H551">
        <v>0.759765625</v>
      </c>
      <c r="J551">
        <v>11.884376469337615</v>
      </c>
      <c r="K551">
        <v>0.80126953125</v>
      </c>
    </row>
    <row r="552" spans="1:11" x14ac:dyDescent="0.45">
      <c r="A552">
        <v>16.849014392741964</v>
      </c>
      <c r="B552">
        <v>0.79052734375</v>
      </c>
      <c r="D552">
        <v>19.880288354212805</v>
      </c>
      <c r="E552">
        <v>0.77294921875</v>
      </c>
      <c r="G552">
        <v>16.059446235345884</v>
      </c>
      <c r="H552">
        <v>0.763671875</v>
      </c>
      <c r="J552">
        <v>11.884376469337615</v>
      </c>
      <c r="K552">
        <v>0.80224609375</v>
      </c>
    </row>
    <row r="553" spans="1:11" x14ac:dyDescent="0.45">
      <c r="A553">
        <v>16.849014392741964</v>
      </c>
      <c r="B553">
        <v>0.791015625</v>
      </c>
      <c r="D553">
        <v>19.880288354212805</v>
      </c>
      <c r="E553">
        <v>0.7734375</v>
      </c>
      <c r="G553">
        <v>16.059446235345884</v>
      </c>
      <c r="H553">
        <v>0.765625</v>
      </c>
      <c r="J553">
        <v>11.884376469337615</v>
      </c>
      <c r="K553">
        <v>0.802734375</v>
      </c>
    </row>
    <row r="554" spans="1:11" x14ac:dyDescent="0.45">
      <c r="A554">
        <v>16.849014392741964</v>
      </c>
      <c r="B554">
        <v>0.7919921875</v>
      </c>
      <c r="D554">
        <v>19.898904249731924</v>
      </c>
      <c r="E554">
        <v>0.77392578125</v>
      </c>
      <c r="G554">
        <v>16.285124333281807</v>
      </c>
      <c r="H554">
        <v>0.767578125</v>
      </c>
      <c r="J554">
        <v>11.884376469337615</v>
      </c>
      <c r="K554">
        <v>0.8037109375</v>
      </c>
    </row>
    <row r="555" spans="1:11" x14ac:dyDescent="0.45">
      <c r="A555">
        <v>16.849014392741964</v>
      </c>
      <c r="B555">
        <v>0.7939453125</v>
      </c>
      <c r="D555">
        <v>19.898904249731924</v>
      </c>
      <c r="E555">
        <v>0.77490234375</v>
      </c>
      <c r="G555">
        <v>16.285124333281807</v>
      </c>
      <c r="H555">
        <v>0.771484375</v>
      </c>
      <c r="J555">
        <v>11.884376469337615</v>
      </c>
      <c r="K555">
        <v>0.8056640625</v>
      </c>
    </row>
    <row r="556" spans="1:11" x14ac:dyDescent="0.45">
      <c r="A556">
        <v>16.849014392741964</v>
      </c>
      <c r="B556">
        <v>0.794921875</v>
      </c>
      <c r="D556">
        <v>19.898904249731924</v>
      </c>
      <c r="E556">
        <v>0.775390625</v>
      </c>
      <c r="G556">
        <v>16.285124333281807</v>
      </c>
      <c r="H556">
        <v>0.7734375</v>
      </c>
      <c r="J556">
        <v>11.884376469337615</v>
      </c>
      <c r="K556">
        <v>0.806640625</v>
      </c>
    </row>
    <row r="557" spans="1:11" x14ac:dyDescent="0.45">
      <c r="A557">
        <v>16.849014392741964</v>
      </c>
      <c r="B557">
        <v>0.79541015625</v>
      </c>
      <c r="D557">
        <v>20.374145977663829</v>
      </c>
      <c r="E557">
        <v>0.779296875</v>
      </c>
      <c r="G557">
        <v>16.654240540358682</v>
      </c>
      <c r="H557">
        <v>0.775390625</v>
      </c>
      <c r="J557">
        <v>11.884376469337615</v>
      </c>
      <c r="K557">
        <v>0.80712890625</v>
      </c>
    </row>
    <row r="558" spans="1:11" x14ac:dyDescent="0.45">
      <c r="A558">
        <v>16.849014392741964</v>
      </c>
      <c r="B558">
        <v>0.79638671875</v>
      </c>
      <c r="D558">
        <v>20.374145977663829</v>
      </c>
      <c r="E558">
        <v>0.787109375</v>
      </c>
      <c r="G558">
        <v>16.654240540358682</v>
      </c>
      <c r="H558">
        <v>0.779296875</v>
      </c>
      <c r="J558">
        <v>11.884376469337615</v>
      </c>
      <c r="K558">
        <v>0.80810546875</v>
      </c>
    </row>
    <row r="559" spans="1:11" x14ac:dyDescent="0.45">
      <c r="A559">
        <v>16.849014392741964</v>
      </c>
      <c r="B559">
        <v>0.796875</v>
      </c>
      <c r="D559">
        <v>20.374145977663829</v>
      </c>
      <c r="E559">
        <v>0.791015625</v>
      </c>
      <c r="G559">
        <v>16.654240540358682</v>
      </c>
      <c r="H559">
        <v>0.78125</v>
      </c>
      <c r="J559">
        <v>11.884376469337615</v>
      </c>
      <c r="K559">
        <v>0.80859375</v>
      </c>
    </row>
    <row r="560" spans="1:11" x14ac:dyDescent="0.45">
      <c r="A560">
        <v>16.849014392741964</v>
      </c>
      <c r="B560">
        <v>0.7978515625</v>
      </c>
      <c r="D560">
        <v>20.765558014284956</v>
      </c>
      <c r="E560">
        <v>0.7919921875</v>
      </c>
      <c r="G560">
        <v>16.808522765925922</v>
      </c>
      <c r="H560">
        <v>0.7822265625</v>
      </c>
      <c r="J560">
        <v>12.439379396461669</v>
      </c>
      <c r="K560">
        <v>0.80908203125</v>
      </c>
    </row>
    <row r="561" spans="1:11" x14ac:dyDescent="0.45">
      <c r="A561">
        <v>16.849014392741964</v>
      </c>
      <c r="B561">
        <v>0.7998046875</v>
      </c>
      <c r="D561">
        <v>20.765558014284956</v>
      </c>
      <c r="E561">
        <v>0.7939453125</v>
      </c>
      <c r="G561">
        <v>16.808522765925922</v>
      </c>
      <c r="H561">
        <v>0.7841796875</v>
      </c>
      <c r="J561">
        <v>12.439379396461669</v>
      </c>
      <c r="K561">
        <v>0.81005859375</v>
      </c>
    </row>
    <row r="562" spans="1:11" x14ac:dyDescent="0.45">
      <c r="A562">
        <v>16.849014392741964</v>
      </c>
      <c r="B562">
        <v>0.80078125</v>
      </c>
      <c r="D562">
        <v>20.765558014284956</v>
      </c>
      <c r="E562">
        <v>0.794921875</v>
      </c>
      <c r="G562">
        <v>16.808522765925922</v>
      </c>
      <c r="H562">
        <v>0.78515625</v>
      </c>
      <c r="J562">
        <v>12.439379396461669</v>
      </c>
      <c r="K562">
        <v>0.810546875</v>
      </c>
    </row>
    <row r="563" spans="1:11" x14ac:dyDescent="0.45">
      <c r="A563">
        <v>16.849014392741964</v>
      </c>
      <c r="B563">
        <v>0.802734375</v>
      </c>
      <c r="D563">
        <v>21.260882399661533</v>
      </c>
      <c r="E563">
        <v>0.7958984375</v>
      </c>
      <c r="G563">
        <v>17.124248197408818</v>
      </c>
      <c r="H563">
        <v>0.7861328125</v>
      </c>
      <c r="J563">
        <v>12.439379396461669</v>
      </c>
      <c r="K563">
        <v>0.8115234375</v>
      </c>
    </row>
    <row r="564" spans="1:11" x14ac:dyDescent="0.45">
      <c r="A564">
        <v>16.849014392741964</v>
      </c>
      <c r="B564">
        <v>0.806640625</v>
      </c>
      <c r="D564">
        <v>21.260882399661533</v>
      </c>
      <c r="E564">
        <v>0.7978515625</v>
      </c>
      <c r="G564">
        <v>17.124248197408818</v>
      </c>
      <c r="H564">
        <v>0.7880859375</v>
      </c>
      <c r="J564">
        <v>12.439379396461669</v>
      </c>
      <c r="K564">
        <v>0.8134765625</v>
      </c>
    </row>
    <row r="565" spans="1:11" x14ac:dyDescent="0.45">
      <c r="A565">
        <v>16.849014392741964</v>
      </c>
      <c r="B565">
        <v>0.80859375</v>
      </c>
      <c r="D565">
        <v>21.260882399661533</v>
      </c>
      <c r="E565">
        <v>0.798828125</v>
      </c>
      <c r="G565">
        <v>17.124248197408818</v>
      </c>
      <c r="H565">
        <v>0.7890625</v>
      </c>
      <c r="J565">
        <v>12.439379396461669</v>
      </c>
      <c r="K565">
        <v>0.814453125</v>
      </c>
    </row>
    <row r="566" spans="1:11" x14ac:dyDescent="0.45">
      <c r="A566">
        <v>16.849014392741964</v>
      </c>
      <c r="B566">
        <v>0.8095703125</v>
      </c>
      <c r="D566">
        <v>21.385462850091812</v>
      </c>
      <c r="E566">
        <v>0.80078125</v>
      </c>
      <c r="G566">
        <v>17.397733421624689</v>
      </c>
      <c r="H566">
        <v>0.7900390625</v>
      </c>
      <c r="J566">
        <v>12.439379396461669</v>
      </c>
      <c r="K566">
        <v>0.81494140625</v>
      </c>
    </row>
    <row r="567" spans="1:11" x14ac:dyDescent="0.45">
      <c r="A567">
        <v>16.849014392741964</v>
      </c>
      <c r="B567">
        <v>0.8115234375</v>
      </c>
      <c r="D567">
        <v>21.385462850091812</v>
      </c>
      <c r="E567">
        <v>0.8046875</v>
      </c>
      <c r="G567">
        <v>17.397733421624689</v>
      </c>
      <c r="H567">
        <v>0.7919921875</v>
      </c>
      <c r="J567">
        <v>12.439379396461669</v>
      </c>
      <c r="K567">
        <v>0.81591796875</v>
      </c>
    </row>
    <row r="568" spans="1:11" x14ac:dyDescent="0.45">
      <c r="A568">
        <v>16.849014392741964</v>
      </c>
      <c r="B568">
        <v>0.8125</v>
      </c>
      <c r="D568">
        <v>21.385462850091812</v>
      </c>
      <c r="E568">
        <v>0.806640625</v>
      </c>
      <c r="G568">
        <v>17.397733421624689</v>
      </c>
      <c r="H568">
        <v>0.79296875</v>
      </c>
      <c r="J568">
        <v>12.439379396461669</v>
      </c>
      <c r="K568">
        <v>0.81640625</v>
      </c>
    </row>
    <row r="569" spans="1:11" x14ac:dyDescent="0.45">
      <c r="A569">
        <v>16.849014392741964</v>
      </c>
      <c r="B569">
        <v>0.81298828125</v>
      </c>
      <c r="D569">
        <v>21.543057198977468</v>
      </c>
      <c r="E569">
        <v>0.8076171875</v>
      </c>
      <c r="G569">
        <v>17.616075660264386</v>
      </c>
      <c r="H569">
        <v>0.7939453125</v>
      </c>
      <c r="J569">
        <v>12.713519013710021</v>
      </c>
      <c r="K569">
        <v>0.816650390625</v>
      </c>
    </row>
    <row r="570" spans="1:11" x14ac:dyDescent="0.45">
      <c r="A570">
        <v>16.849014392741964</v>
      </c>
      <c r="B570">
        <v>0.81396484375</v>
      </c>
      <c r="D570">
        <v>21.543057198977468</v>
      </c>
      <c r="E570">
        <v>0.8095703125</v>
      </c>
      <c r="G570">
        <v>17.616075660264386</v>
      </c>
      <c r="H570">
        <v>0.7958984375</v>
      </c>
      <c r="J570">
        <v>12.713519013710021</v>
      </c>
      <c r="K570">
        <v>0.817138671875</v>
      </c>
    </row>
    <row r="571" spans="1:11" x14ac:dyDescent="0.45">
      <c r="A571">
        <v>16.849014392741964</v>
      </c>
      <c r="B571">
        <v>0.814453125</v>
      </c>
      <c r="D571">
        <v>21.543057198977468</v>
      </c>
      <c r="E571">
        <v>0.810546875</v>
      </c>
      <c r="G571">
        <v>17.616075660264386</v>
      </c>
      <c r="H571">
        <v>0.796875</v>
      </c>
      <c r="J571">
        <v>12.713519013710021</v>
      </c>
      <c r="K571">
        <v>0.8173828125</v>
      </c>
    </row>
    <row r="572" spans="1:11" x14ac:dyDescent="0.45">
      <c r="A572">
        <v>16.849014392741964</v>
      </c>
      <c r="B572">
        <v>0.8154296875</v>
      </c>
      <c r="D572">
        <v>21.811835241858656</v>
      </c>
      <c r="E572">
        <v>0.81103515625</v>
      </c>
      <c r="G572">
        <v>18.060762421455756</v>
      </c>
      <c r="H572">
        <v>0.7978515625</v>
      </c>
      <c r="J572">
        <v>12.713519013710021</v>
      </c>
      <c r="K572">
        <v>0.81787109375</v>
      </c>
    </row>
    <row r="573" spans="1:11" x14ac:dyDescent="0.45">
      <c r="A573">
        <v>16.849014392741964</v>
      </c>
      <c r="B573">
        <v>0.8173828125</v>
      </c>
      <c r="D573">
        <v>21.811835241858656</v>
      </c>
      <c r="E573">
        <v>0.81201171875</v>
      </c>
      <c r="G573">
        <v>18.060762421455756</v>
      </c>
      <c r="H573">
        <v>0.7998046875</v>
      </c>
      <c r="J573">
        <v>12.713519013710021</v>
      </c>
      <c r="K573">
        <v>0.81884765625</v>
      </c>
    </row>
    <row r="574" spans="1:11" x14ac:dyDescent="0.45">
      <c r="A574">
        <v>16.849014392741964</v>
      </c>
      <c r="B574">
        <v>0.818359375</v>
      </c>
      <c r="D574">
        <v>21.811835241858656</v>
      </c>
      <c r="E574">
        <v>0.8125</v>
      </c>
      <c r="G574">
        <v>18.060762421455756</v>
      </c>
      <c r="H574">
        <v>0.80078125</v>
      </c>
      <c r="J574">
        <v>12.713519013710021</v>
      </c>
      <c r="K574">
        <v>0.8193359375</v>
      </c>
    </row>
    <row r="575" spans="1:11" x14ac:dyDescent="0.45">
      <c r="A575">
        <v>16.849014392741964</v>
      </c>
      <c r="B575">
        <v>0.81884765625</v>
      </c>
      <c r="D575">
        <v>22.45108613499826</v>
      </c>
      <c r="E575">
        <v>0.814453125</v>
      </c>
      <c r="G575">
        <v>18.349767623502622</v>
      </c>
      <c r="H575">
        <v>0.802734375</v>
      </c>
      <c r="J575">
        <v>12.713519013710021</v>
      </c>
      <c r="K575">
        <v>0.819580078125</v>
      </c>
    </row>
    <row r="576" spans="1:11" x14ac:dyDescent="0.45">
      <c r="A576">
        <v>16.849014392741964</v>
      </c>
      <c r="B576">
        <v>0.81982421875</v>
      </c>
      <c r="D576">
        <v>22.45108613499826</v>
      </c>
      <c r="E576">
        <v>0.818359375</v>
      </c>
      <c r="G576">
        <v>18.349767623502622</v>
      </c>
      <c r="H576">
        <v>0.806640625</v>
      </c>
      <c r="J576">
        <v>12.713519013710021</v>
      </c>
      <c r="K576">
        <v>0.820068359375</v>
      </c>
    </row>
    <row r="577" spans="1:11" x14ac:dyDescent="0.45">
      <c r="A577">
        <v>16.849014392741964</v>
      </c>
      <c r="B577">
        <v>0.8203125</v>
      </c>
      <c r="D577">
        <v>22.45108613499826</v>
      </c>
      <c r="E577">
        <v>0.8203125</v>
      </c>
      <c r="G577">
        <v>18.349767623502622</v>
      </c>
      <c r="H577">
        <v>0.80859375</v>
      </c>
      <c r="J577">
        <v>12.713519013710021</v>
      </c>
      <c r="K577">
        <v>0.8203125</v>
      </c>
    </row>
    <row r="578" spans="1:11" x14ac:dyDescent="0.45">
      <c r="A578">
        <v>18.611504924183873</v>
      </c>
      <c r="B578">
        <v>0.8212890625</v>
      </c>
      <c r="D578">
        <v>22.457393991675644</v>
      </c>
      <c r="E578">
        <v>0.8212890625</v>
      </c>
      <c r="G578">
        <v>18.472906512391507</v>
      </c>
      <c r="H578">
        <v>0.8095703125</v>
      </c>
      <c r="J578">
        <v>13.520355499841669</v>
      </c>
      <c r="K578">
        <v>0.820556640625</v>
      </c>
    </row>
    <row r="579" spans="1:11" x14ac:dyDescent="0.45">
      <c r="A579">
        <v>18.611504924183873</v>
      </c>
      <c r="B579">
        <v>0.8232421875</v>
      </c>
      <c r="D579">
        <v>22.457393991675644</v>
      </c>
      <c r="E579">
        <v>0.8232421875</v>
      </c>
      <c r="G579">
        <v>18.472906512391507</v>
      </c>
      <c r="H579">
        <v>0.8115234375</v>
      </c>
      <c r="J579">
        <v>13.520355499841669</v>
      </c>
      <c r="K579">
        <v>0.821044921875</v>
      </c>
    </row>
    <row r="580" spans="1:11" x14ac:dyDescent="0.45">
      <c r="A580">
        <v>18.611504924183873</v>
      </c>
      <c r="B580">
        <v>0.82421875</v>
      </c>
      <c r="D580">
        <v>22.457393991675644</v>
      </c>
      <c r="E580">
        <v>0.82421875</v>
      </c>
      <c r="G580">
        <v>18.472906512391507</v>
      </c>
      <c r="H580">
        <v>0.8125</v>
      </c>
      <c r="J580">
        <v>13.520355499841669</v>
      </c>
      <c r="K580">
        <v>0.8212890625</v>
      </c>
    </row>
    <row r="581" spans="1:11" x14ac:dyDescent="0.45">
      <c r="A581">
        <v>18.611504924183873</v>
      </c>
      <c r="B581">
        <v>0.826171875</v>
      </c>
      <c r="D581">
        <v>22.51527942119969</v>
      </c>
      <c r="E581">
        <v>0.82470703125</v>
      </c>
      <c r="G581">
        <v>18.63011642910806</v>
      </c>
      <c r="H581">
        <v>0.812744140625</v>
      </c>
      <c r="J581">
        <v>13.520355499841669</v>
      </c>
      <c r="K581">
        <v>0.82177734375</v>
      </c>
    </row>
    <row r="582" spans="1:11" x14ac:dyDescent="0.45">
      <c r="A582">
        <v>18.611504924183873</v>
      </c>
      <c r="B582">
        <v>0.830078125</v>
      </c>
      <c r="D582">
        <v>22.51527942119969</v>
      </c>
      <c r="E582">
        <v>0.82568359375</v>
      </c>
      <c r="G582">
        <v>18.63011642910806</v>
      </c>
      <c r="H582">
        <v>0.813232421875</v>
      </c>
      <c r="J582">
        <v>13.520355499841669</v>
      </c>
      <c r="K582">
        <v>0.82275390625</v>
      </c>
    </row>
    <row r="583" spans="1:11" x14ac:dyDescent="0.45">
      <c r="A583">
        <v>18.611504924183873</v>
      </c>
      <c r="B583">
        <v>0.83203125</v>
      </c>
      <c r="D583">
        <v>22.51527942119969</v>
      </c>
      <c r="E583">
        <v>0.826171875</v>
      </c>
      <c r="G583">
        <v>18.63011642910806</v>
      </c>
      <c r="H583">
        <v>0.8134765625</v>
      </c>
      <c r="J583">
        <v>13.520355499841669</v>
      </c>
      <c r="K583">
        <v>0.8232421875</v>
      </c>
    </row>
    <row r="584" spans="1:11" x14ac:dyDescent="0.45">
      <c r="A584">
        <v>18.611504924183873</v>
      </c>
      <c r="B584">
        <v>0.8330078125</v>
      </c>
      <c r="D584">
        <v>22.961119279202251</v>
      </c>
      <c r="E584">
        <v>0.828125</v>
      </c>
      <c r="G584">
        <v>18.736020607903523</v>
      </c>
      <c r="H584">
        <v>0.814453125</v>
      </c>
      <c r="J584">
        <v>13.520355499841669</v>
      </c>
      <c r="K584">
        <v>0.823486328125</v>
      </c>
    </row>
    <row r="585" spans="1:11" x14ac:dyDescent="0.45">
      <c r="A585">
        <v>18.611504924183873</v>
      </c>
      <c r="B585">
        <v>0.8349609375</v>
      </c>
      <c r="D585">
        <v>22.961119279202251</v>
      </c>
      <c r="E585">
        <v>0.83203125</v>
      </c>
      <c r="G585">
        <v>18.736020607903523</v>
      </c>
      <c r="H585">
        <v>0.81640625</v>
      </c>
      <c r="J585">
        <v>13.520355499841669</v>
      </c>
      <c r="K585">
        <v>0.823974609375</v>
      </c>
    </row>
    <row r="586" spans="1:11" x14ac:dyDescent="0.45">
      <c r="A586">
        <v>18.611504924183873</v>
      </c>
      <c r="B586">
        <v>0.8359375</v>
      </c>
      <c r="D586">
        <v>22.961119279202251</v>
      </c>
      <c r="E586">
        <v>0.833984375</v>
      </c>
      <c r="G586">
        <v>18.736020607903523</v>
      </c>
      <c r="H586">
        <v>0.8173828125</v>
      </c>
      <c r="J586">
        <v>13.520355499841669</v>
      </c>
      <c r="K586">
        <v>0.82421875</v>
      </c>
    </row>
    <row r="587" spans="1:11" x14ac:dyDescent="0.45">
      <c r="A587">
        <v>19.657183458198954</v>
      </c>
      <c r="B587">
        <v>0.8369140625</v>
      </c>
      <c r="D587">
        <v>23.462403007426246</v>
      </c>
      <c r="E587">
        <v>0.8349609375</v>
      </c>
      <c r="G587">
        <v>18.909588111666647</v>
      </c>
      <c r="H587">
        <v>0.81787109375</v>
      </c>
      <c r="J587">
        <v>13.715213180714144</v>
      </c>
      <c r="K587">
        <v>0.8251953125</v>
      </c>
    </row>
    <row r="588" spans="1:11" x14ac:dyDescent="0.45">
      <c r="A588">
        <v>19.657183458198954</v>
      </c>
      <c r="B588">
        <v>0.8388671875</v>
      </c>
      <c r="D588">
        <v>23.462403007426246</v>
      </c>
      <c r="E588">
        <v>0.8369140625</v>
      </c>
      <c r="G588">
        <v>18.909588111666647</v>
      </c>
      <c r="H588">
        <v>0.81884765625</v>
      </c>
      <c r="J588">
        <v>13.715213180714144</v>
      </c>
      <c r="K588">
        <v>0.8271484375</v>
      </c>
    </row>
    <row r="589" spans="1:11" x14ac:dyDescent="0.45">
      <c r="A589">
        <v>19.657183458198954</v>
      </c>
      <c r="B589">
        <v>0.83984375</v>
      </c>
      <c r="D589">
        <v>23.462403007426246</v>
      </c>
      <c r="E589">
        <v>0.837890625</v>
      </c>
      <c r="G589">
        <v>18.909588111666647</v>
      </c>
      <c r="H589">
        <v>0.8193359375</v>
      </c>
      <c r="J589">
        <v>13.715213180714144</v>
      </c>
      <c r="K589">
        <v>0.828125</v>
      </c>
    </row>
    <row r="590" spans="1:11" x14ac:dyDescent="0.45">
      <c r="A590">
        <v>19.657183458198954</v>
      </c>
      <c r="B590">
        <v>0.841796875</v>
      </c>
      <c r="D590">
        <v>23.497363362571964</v>
      </c>
      <c r="E590">
        <v>0.8388671875</v>
      </c>
      <c r="G590">
        <v>19.033417760409929</v>
      </c>
      <c r="H590">
        <v>0.8232421875</v>
      </c>
      <c r="J590">
        <v>13.715213180714144</v>
      </c>
      <c r="K590">
        <v>0.830078125</v>
      </c>
    </row>
    <row r="591" spans="1:11" x14ac:dyDescent="0.45">
      <c r="A591">
        <v>19.657183458198954</v>
      </c>
      <c r="B591">
        <v>0.845703125</v>
      </c>
      <c r="D591">
        <v>23.497363362571964</v>
      </c>
      <c r="E591">
        <v>0.8408203125</v>
      </c>
      <c r="G591">
        <v>19.033417760409929</v>
      </c>
      <c r="H591">
        <v>0.8310546875</v>
      </c>
      <c r="J591">
        <v>13.715213180714144</v>
      </c>
      <c r="K591">
        <v>0.833984375</v>
      </c>
    </row>
    <row r="592" spans="1:11" x14ac:dyDescent="0.45">
      <c r="A592">
        <v>19.657183458198954</v>
      </c>
      <c r="B592">
        <v>0.84765625</v>
      </c>
      <c r="D592">
        <v>23.497363362571964</v>
      </c>
      <c r="E592">
        <v>0.841796875</v>
      </c>
      <c r="G592">
        <v>19.033417760409929</v>
      </c>
      <c r="H592">
        <v>0.8349609375</v>
      </c>
      <c r="J592">
        <v>13.715213180714144</v>
      </c>
      <c r="K592">
        <v>0.8359375</v>
      </c>
    </row>
    <row r="593" spans="1:11" x14ac:dyDescent="0.45">
      <c r="A593">
        <v>19.657183458198954</v>
      </c>
      <c r="B593">
        <v>0.8486328125</v>
      </c>
      <c r="D593">
        <v>23.972436151630234</v>
      </c>
      <c r="E593">
        <v>0.8427734375</v>
      </c>
      <c r="G593">
        <v>19.09554964510756</v>
      </c>
      <c r="H593">
        <v>0.8388671875</v>
      </c>
      <c r="J593">
        <v>13.715213180714144</v>
      </c>
      <c r="K593">
        <v>0.8369140625</v>
      </c>
    </row>
    <row r="594" spans="1:11" x14ac:dyDescent="0.45">
      <c r="A594">
        <v>19.657183458198954</v>
      </c>
      <c r="B594">
        <v>0.8505859375</v>
      </c>
      <c r="D594">
        <v>23.972436151630234</v>
      </c>
      <c r="E594">
        <v>0.8447265625</v>
      </c>
      <c r="G594">
        <v>19.09554964510756</v>
      </c>
      <c r="H594">
        <v>0.8466796875</v>
      </c>
      <c r="J594">
        <v>13.715213180714144</v>
      </c>
      <c r="K594">
        <v>0.8388671875</v>
      </c>
    </row>
    <row r="595" spans="1:11" x14ac:dyDescent="0.45">
      <c r="A595">
        <v>19.657183458198954</v>
      </c>
      <c r="B595">
        <v>0.8515625</v>
      </c>
      <c r="D595">
        <v>23.972436151630234</v>
      </c>
      <c r="E595">
        <v>0.845703125</v>
      </c>
      <c r="G595">
        <v>19.09554964510756</v>
      </c>
      <c r="H595">
        <v>0.8505859375</v>
      </c>
      <c r="J595">
        <v>13.715213180714144</v>
      </c>
      <c r="K595">
        <v>0.83984375</v>
      </c>
    </row>
    <row r="596" spans="1:11" x14ac:dyDescent="0.45">
      <c r="A596">
        <v>19.657183458198954</v>
      </c>
      <c r="B596">
        <v>0.85205078125</v>
      </c>
      <c r="D596">
        <v>24.142922112388952</v>
      </c>
      <c r="E596">
        <v>0.84765625</v>
      </c>
      <c r="G596">
        <v>19.09554964510756</v>
      </c>
      <c r="H596">
        <v>0.8525390625</v>
      </c>
      <c r="J596">
        <v>14.672088518903514</v>
      </c>
      <c r="K596">
        <v>0.84033203125</v>
      </c>
    </row>
    <row r="597" spans="1:11" x14ac:dyDescent="0.45">
      <c r="A597">
        <v>19.657183458198954</v>
      </c>
      <c r="B597">
        <v>0.85302734375</v>
      </c>
      <c r="D597">
        <v>24.142922112388952</v>
      </c>
      <c r="E597">
        <v>0.8515625</v>
      </c>
      <c r="G597">
        <v>19.09554964510756</v>
      </c>
      <c r="H597">
        <v>0.8564453125</v>
      </c>
      <c r="J597">
        <v>14.672088518903514</v>
      </c>
      <c r="K597">
        <v>0.84130859375</v>
      </c>
    </row>
    <row r="598" spans="1:11" x14ac:dyDescent="0.45">
      <c r="A598">
        <v>19.657183458198954</v>
      </c>
      <c r="B598">
        <v>0.853515625</v>
      </c>
      <c r="D598">
        <v>24.142922112388952</v>
      </c>
      <c r="E598">
        <v>0.853515625</v>
      </c>
      <c r="G598">
        <v>19.09554964510756</v>
      </c>
      <c r="H598">
        <v>0.8583984375</v>
      </c>
      <c r="J598">
        <v>14.672088518903514</v>
      </c>
      <c r="K598">
        <v>0.841796875</v>
      </c>
    </row>
    <row r="599" spans="1:11" x14ac:dyDescent="0.45">
      <c r="A599">
        <v>19.657183458198954</v>
      </c>
      <c r="B599">
        <v>0.8544921875</v>
      </c>
      <c r="D599">
        <v>24.508680234999947</v>
      </c>
      <c r="E599">
        <v>0.85400390625</v>
      </c>
      <c r="G599">
        <v>19.09554964510756</v>
      </c>
      <c r="H599">
        <v>0.8603515625</v>
      </c>
      <c r="J599">
        <v>14.672088518903514</v>
      </c>
      <c r="K599">
        <v>0.8427734375</v>
      </c>
    </row>
    <row r="600" spans="1:11" x14ac:dyDescent="0.45">
      <c r="A600">
        <v>19.657183458198954</v>
      </c>
      <c r="B600">
        <v>0.8564453125</v>
      </c>
      <c r="D600">
        <v>24.508680234999947</v>
      </c>
      <c r="E600">
        <v>0.85498046875</v>
      </c>
      <c r="G600">
        <v>19.09554964510756</v>
      </c>
      <c r="H600">
        <v>0.8642578125</v>
      </c>
      <c r="J600">
        <v>14.672088518903514</v>
      </c>
      <c r="K600">
        <v>0.8447265625</v>
      </c>
    </row>
    <row r="601" spans="1:11" x14ac:dyDescent="0.45">
      <c r="A601">
        <v>19.657183458198954</v>
      </c>
      <c r="B601">
        <v>0.857421875</v>
      </c>
      <c r="D601">
        <v>24.508680234999947</v>
      </c>
      <c r="E601">
        <v>0.85546875</v>
      </c>
      <c r="G601">
        <v>19.09554964510756</v>
      </c>
      <c r="H601">
        <v>0.8662109375</v>
      </c>
      <c r="J601">
        <v>14.672088518903514</v>
      </c>
      <c r="K601">
        <v>0.845703125</v>
      </c>
    </row>
    <row r="602" spans="1:11" x14ac:dyDescent="0.45">
      <c r="A602">
        <v>19.657183458198954</v>
      </c>
      <c r="B602">
        <v>0.85791015625</v>
      </c>
      <c r="D602">
        <v>25.079554386461371</v>
      </c>
      <c r="E602">
        <v>0.855712890625</v>
      </c>
      <c r="G602">
        <v>19.09554964510756</v>
      </c>
      <c r="H602">
        <v>0.8671875</v>
      </c>
      <c r="J602">
        <v>14.672088518903514</v>
      </c>
      <c r="K602">
        <v>0.84619140625</v>
      </c>
    </row>
    <row r="603" spans="1:11" x14ac:dyDescent="0.45">
      <c r="A603">
        <v>19.657183458198954</v>
      </c>
      <c r="B603">
        <v>0.85888671875</v>
      </c>
      <c r="D603">
        <v>25.079554386461371</v>
      </c>
      <c r="E603">
        <v>0.856201171875</v>
      </c>
      <c r="G603">
        <v>19.09554964510756</v>
      </c>
      <c r="H603">
        <v>0.869140625</v>
      </c>
      <c r="J603">
        <v>14.672088518903514</v>
      </c>
      <c r="K603">
        <v>0.84716796875</v>
      </c>
    </row>
    <row r="604" spans="1:11" x14ac:dyDescent="0.45">
      <c r="A604">
        <v>19.657183458198954</v>
      </c>
      <c r="B604">
        <v>0.859375</v>
      </c>
      <c r="D604">
        <v>25.079554386461371</v>
      </c>
      <c r="E604">
        <v>0.8564453125</v>
      </c>
      <c r="G604">
        <v>19.09554964510756</v>
      </c>
      <c r="H604">
        <v>0.8701171875</v>
      </c>
      <c r="J604">
        <v>14.672088518903514</v>
      </c>
      <c r="K604">
        <v>0.84765625</v>
      </c>
    </row>
    <row r="605" spans="1:11" x14ac:dyDescent="0.45">
      <c r="A605">
        <v>19.657183458198954</v>
      </c>
      <c r="B605">
        <v>0.859619140625</v>
      </c>
      <c r="D605">
        <v>25.154238984816935</v>
      </c>
      <c r="E605">
        <v>0.857421875</v>
      </c>
      <c r="G605">
        <v>19.542149199938162</v>
      </c>
      <c r="H605">
        <v>0.87109375</v>
      </c>
      <c r="J605">
        <v>14.907058628030558</v>
      </c>
      <c r="K605">
        <v>0.84814453125</v>
      </c>
    </row>
    <row r="606" spans="1:11" x14ac:dyDescent="0.45">
      <c r="A606">
        <v>19.657183458198954</v>
      </c>
      <c r="B606">
        <v>0.860107421875</v>
      </c>
      <c r="D606">
        <v>25.154238984816935</v>
      </c>
      <c r="E606">
        <v>0.859375</v>
      </c>
      <c r="G606">
        <v>19.542149199938162</v>
      </c>
      <c r="H606">
        <v>0.873046875</v>
      </c>
      <c r="J606">
        <v>14.907058628030558</v>
      </c>
      <c r="K606">
        <v>0.84912109375</v>
      </c>
    </row>
    <row r="607" spans="1:11" x14ac:dyDescent="0.45">
      <c r="A607">
        <v>19.657183458198954</v>
      </c>
      <c r="B607">
        <v>0.8603515625</v>
      </c>
      <c r="D607">
        <v>25.154238984816935</v>
      </c>
      <c r="E607">
        <v>0.8603515625</v>
      </c>
      <c r="G607">
        <v>19.542149199938162</v>
      </c>
      <c r="H607">
        <v>0.8740234375</v>
      </c>
      <c r="J607">
        <v>14.907058628030558</v>
      </c>
      <c r="K607">
        <v>0.849609375</v>
      </c>
    </row>
    <row r="608" spans="1:11" x14ac:dyDescent="0.45">
      <c r="A608">
        <v>19.657183458198954</v>
      </c>
      <c r="B608">
        <v>0.86083984375</v>
      </c>
      <c r="D608">
        <v>25.367738955906368</v>
      </c>
      <c r="E608">
        <v>0.86083984375</v>
      </c>
      <c r="G608">
        <v>19.978289563643632</v>
      </c>
      <c r="H608">
        <v>0.87451171875</v>
      </c>
      <c r="J608">
        <v>14.907058628030558</v>
      </c>
      <c r="K608">
        <v>0.8505859375</v>
      </c>
    </row>
    <row r="609" spans="1:11" x14ac:dyDescent="0.45">
      <c r="A609">
        <v>19.657183458198954</v>
      </c>
      <c r="B609">
        <v>0.86181640625</v>
      </c>
      <c r="D609">
        <v>25.367738955906368</v>
      </c>
      <c r="E609">
        <v>0.86181640625</v>
      </c>
      <c r="G609">
        <v>19.978289563643632</v>
      </c>
      <c r="H609">
        <v>0.87548828125</v>
      </c>
      <c r="J609">
        <v>14.907058628030558</v>
      </c>
      <c r="K609">
        <v>0.8525390625</v>
      </c>
    </row>
    <row r="610" spans="1:11" x14ac:dyDescent="0.45">
      <c r="A610">
        <v>19.657183458198954</v>
      </c>
      <c r="B610">
        <v>0.8623046875</v>
      </c>
      <c r="D610">
        <v>25.367738955906368</v>
      </c>
      <c r="E610">
        <v>0.8623046875</v>
      </c>
      <c r="G610">
        <v>19.978289563643632</v>
      </c>
      <c r="H610">
        <v>0.8759765625</v>
      </c>
      <c r="J610">
        <v>14.907058628030558</v>
      </c>
      <c r="K610">
        <v>0.853515625</v>
      </c>
    </row>
    <row r="611" spans="1:11" x14ac:dyDescent="0.45">
      <c r="A611">
        <v>19.657183458198954</v>
      </c>
      <c r="B611">
        <v>0.862548828125</v>
      </c>
      <c r="D611">
        <v>26.699924756831738</v>
      </c>
      <c r="E611">
        <v>0.86279296875</v>
      </c>
      <c r="G611">
        <v>20.640871338806591</v>
      </c>
      <c r="H611">
        <v>0.8779296875</v>
      </c>
      <c r="J611">
        <v>14.907058628030558</v>
      </c>
      <c r="K611">
        <v>0.85400390625</v>
      </c>
    </row>
    <row r="612" spans="1:11" x14ac:dyDescent="0.45">
      <c r="A612">
        <v>19.657183458198954</v>
      </c>
      <c r="B612">
        <v>0.863037109375</v>
      </c>
      <c r="D612">
        <v>26.699924756831738</v>
      </c>
      <c r="E612">
        <v>0.86376953125</v>
      </c>
      <c r="G612">
        <v>20.640871338806591</v>
      </c>
      <c r="H612">
        <v>0.8818359375</v>
      </c>
      <c r="J612">
        <v>14.907058628030558</v>
      </c>
      <c r="K612">
        <v>0.85498046875</v>
      </c>
    </row>
    <row r="613" spans="1:11" x14ac:dyDescent="0.45">
      <c r="A613">
        <v>19.657183458198954</v>
      </c>
      <c r="B613">
        <v>0.86328125</v>
      </c>
      <c r="D613">
        <v>26.699924756831738</v>
      </c>
      <c r="E613">
        <v>0.8642578125</v>
      </c>
      <c r="G613">
        <v>20.640871338806591</v>
      </c>
      <c r="H613">
        <v>0.8837890625</v>
      </c>
      <c r="J613">
        <v>14.907058628030558</v>
      </c>
      <c r="K613">
        <v>0.85546875</v>
      </c>
    </row>
    <row r="614" spans="1:11" x14ac:dyDescent="0.45">
      <c r="A614">
        <v>19.657183458198954</v>
      </c>
      <c r="B614">
        <v>0.86376953125</v>
      </c>
      <c r="D614">
        <v>27.053267076619676</v>
      </c>
      <c r="E614">
        <v>0.865234375</v>
      </c>
      <c r="G614">
        <v>21.139290792317265</v>
      </c>
      <c r="H614">
        <v>0.88427734375</v>
      </c>
      <c r="J614">
        <v>15.310005411029751</v>
      </c>
      <c r="K614">
        <v>0.8564453125</v>
      </c>
    </row>
    <row r="615" spans="1:11" x14ac:dyDescent="0.45">
      <c r="A615">
        <v>19.657183458198954</v>
      </c>
      <c r="B615">
        <v>0.86474609375</v>
      </c>
      <c r="D615">
        <v>27.053267076619676</v>
      </c>
      <c r="E615">
        <v>0.8671875</v>
      </c>
      <c r="G615">
        <v>21.139290792317265</v>
      </c>
      <c r="H615">
        <v>0.88525390625</v>
      </c>
      <c r="J615">
        <v>15.310005411029751</v>
      </c>
      <c r="K615">
        <v>0.8583984375</v>
      </c>
    </row>
    <row r="616" spans="1:11" x14ac:dyDescent="0.45">
      <c r="A616">
        <v>19.657183458198954</v>
      </c>
      <c r="B616">
        <v>0.865234375</v>
      </c>
      <c r="D616">
        <v>27.053267076619676</v>
      </c>
      <c r="E616">
        <v>0.8681640625</v>
      </c>
      <c r="G616">
        <v>21.139290792317265</v>
      </c>
      <c r="H616">
        <v>0.8857421875</v>
      </c>
      <c r="J616">
        <v>15.310005411029751</v>
      </c>
      <c r="K616">
        <v>0.859375</v>
      </c>
    </row>
    <row r="617" spans="1:11" x14ac:dyDescent="0.45">
      <c r="A617">
        <v>19.657183458198954</v>
      </c>
      <c r="B617">
        <v>0.8662109375</v>
      </c>
      <c r="D617">
        <v>27.672146979053963</v>
      </c>
      <c r="E617">
        <v>0.868408203125</v>
      </c>
      <c r="G617">
        <v>21.291561633266344</v>
      </c>
      <c r="H617">
        <v>0.88623046875</v>
      </c>
      <c r="J617">
        <v>15.310005411029751</v>
      </c>
      <c r="K617">
        <v>0.861328125</v>
      </c>
    </row>
    <row r="618" spans="1:11" x14ac:dyDescent="0.45">
      <c r="A618">
        <v>19.657183458198954</v>
      </c>
      <c r="B618">
        <v>0.8681640625</v>
      </c>
      <c r="D618">
        <v>27.672146979053963</v>
      </c>
      <c r="E618">
        <v>0.868896484375</v>
      </c>
      <c r="G618">
        <v>21.291561633266344</v>
      </c>
      <c r="H618">
        <v>0.88720703125</v>
      </c>
      <c r="J618">
        <v>15.310005411029751</v>
      </c>
      <c r="K618">
        <v>0.865234375</v>
      </c>
    </row>
    <row r="619" spans="1:11" x14ac:dyDescent="0.45">
      <c r="A619">
        <v>19.657183458198954</v>
      </c>
      <c r="B619">
        <v>0.869140625</v>
      </c>
      <c r="D619">
        <v>27.672146979053963</v>
      </c>
      <c r="E619">
        <v>0.869140625</v>
      </c>
      <c r="G619">
        <v>21.291561633266344</v>
      </c>
      <c r="H619">
        <v>0.8876953125</v>
      </c>
      <c r="J619">
        <v>15.310005411029751</v>
      </c>
      <c r="K619">
        <v>0.8671875</v>
      </c>
    </row>
    <row r="620" spans="1:11" x14ac:dyDescent="0.45">
      <c r="A620">
        <v>19.657183458198954</v>
      </c>
      <c r="B620">
        <v>0.86962890625</v>
      </c>
      <c r="D620">
        <v>28.064583949047659</v>
      </c>
      <c r="E620">
        <v>0.86962890625</v>
      </c>
      <c r="G620">
        <v>21.412594980461172</v>
      </c>
      <c r="H620">
        <v>0.8896484375</v>
      </c>
      <c r="J620">
        <v>15.310005411029751</v>
      </c>
      <c r="K620">
        <v>0.8681640625</v>
      </c>
    </row>
    <row r="621" spans="1:11" x14ac:dyDescent="0.45">
      <c r="A621">
        <v>19.657183458198954</v>
      </c>
      <c r="B621">
        <v>0.87060546875</v>
      </c>
      <c r="D621">
        <v>28.064583949047659</v>
      </c>
      <c r="E621">
        <v>0.87060546875</v>
      </c>
      <c r="G621">
        <v>21.412594980461172</v>
      </c>
      <c r="H621">
        <v>0.8935546875</v>
      </c>
      <c r="J621">
        <v>15.310005411029751</v>
      </c>
      <c r="K621">
        <v>0.8701171875</v>
      </c>
    </row>
    <row r="622" spans="1:11" x14ac:dyDescent="0.45">
      <c r="A622">
        <v>19.657183458198954</v>
      </c>
      <c r="B622">
        <v>0.87109375</v>
      </c>
      <c r="D622">
        <v>28.064583949047659</v>
      </c>
      <c r="E622">
        <v>0.87109375</v>
      </c>
      <c r="G622">
        <v>21.412594980461172</v>
      </c>
      <c r="H622">
        <v>0.8955078125</v>
      </c>
      <c r="J622">
        <v>15.310005411029751</v>
      </c>
      <c r="K622">
        <v>0.87109375</v>
      </c>
    </row>
    <row r="623" spans="1:11" x14ac:dyDescent="0.45">
      <c r="A623">
        <v>19.657183458198954</v>
      </c>
      <c r="B623">
        <v>0.871337890625</v>
      </c>
      <c r="D623">
        <v>28.822345323068816</v>
      </c>
      <c r="E623">
        <v>0.873046875</v>
      </c>
      <c r="G623">
        <v>21.412594980461172</v>
      </c>
      <c r="H623">
        <v>0.8974609375</v>
      </c>
      <c r="J623">
        <v>15.947085974172223</v>
      </c>
      <c r="K623">
        <v>0.871337890625</v>
      </c>
    </row>
    <row r="624" spans="1:11" x14ac:dyDescent="0.45">
      <c r="A624">
        <v>19.657183458198954</v>
      </c>
      <c r="B624">
        <v>0.871826171875</v>
      </c>
      <c r="D624">
        <v>28.822345323068816</v>
      </c>
      <c r="E624">
        <v>0.876953125</v>
      </c>
      <c r="G624">
        <v>21.412594980461172</v>
      </c>
      <c r="H624">
        <v>0.9013671875</v>
      </c>
      <c r="J624">
        <v>15.947085974172223</v>
      </c>
      <c r="K624">
        <v>0.871826171875</v>
      </c>
    </row>
    <row r="625" spans="1:11" x14ac:dyDescent="0.45">
      <c r="A625">
        <v>19.657183458198954</v>
      </c>
      <c r="B625">
        <v>0.8720703125</v>
      </c>
      <c r="D625">
        <v>28.822345323068816</v>
      </c>
      <c r="E625">
        <v>0.87890625</v>
      </c>
      <c r="G625">
        <v>21.412594980461172</v>
      </c>
      <c r="H625">
        <v>0.9033203125</v>
      </c>
      <c r="J625">
        <v>15.947085974172223</v>
      </c>
      <c r="K625">
        <v>0.8720703125</v>
      </c>
    </row>
    <row r="626" spans="1:11" x14ac:dyDescent="0.45">
      <c r="A626">
        <v>19.657183458198954</v>
      </c>
      <c r="B626">
        <v>0.87255859375</v>
      </c>
      <c r="D626">
        <v>30.130191857535941</v>
      </c>
      <c r="E626">
        <v>0.8798828125</v>
      </c>
      <c r="G626">
        <v>22.019721148203125</v>
      </c>
      <c r="H626">
        <v>0.904296875</v>
      </c>
      <c r="J626">
        <v>15.947085974172223</v>
      </c>
      <c r="K626">
        <v>0.87255859375</v>
      </c>
    </row>
    <row r="627" spans="1:11" x14ac:dyDescent="0.45">
      <c r="A627">
        <v>19.657183458198954</v>
      </c>
      <c r="B627">
        <v>0.87353515625</v>
      </c>
      <c r="D627">
        <v>30.130191857535941</v>
      </c>
      <c r="E627">
        <v>0.8818359375</v>
      </c>
      <c r="G627">
        <v>22.019721148203125</v>
      </c>
      <c r="H627">
        <v>0.90625</v>
      </c>
      <c r="J627">
        <v>15.947085974172223</v>
      </c>
      <c r="K627">
        <v>0.87353515625</v>
      </c>
    </row>
    <row r="628" spans="1:11" x14ac:dyDescent="0.45">
      <c r="A628">
        <v>19.657183458198954</v>
      </c>
      <c r="B628">
        <v>0.8740234375</v>
      </c>
      <c r="D628">
        <v>30.130191857535941</v>
      </c>
      <c r="E628">
        <v>0.8828125</v>
      </c>
      <c r="G628">
        <v>22.019721148203125</v>
      </c>
      <c r="H628">
        <v>0.9072265625</v>
      </c>
      <c r="J628">
        <v>15.947085974172223</v>
      </c>
      <c r="K628">
        <v>0.8740234375</v>
      </c>
    </row>
    <row r="629" spans="1:11" x14ac:dyDescent="0.45">
      <c r="A629">
        <v>19.657183458198954</v>
      </c>
      <c r="B629">
        <v>0.874267578125</v>
      </c>
      <c r="D629">
        <v>30.23642194431563</v>
      </c>
      <c r="E629">
        <v>0.88330078125</v>
      </c>
      <c r="G629">
        <v>22.167487814869794</v>
      </c>
      <c r="H629">
        <v>0.90771484375</v>
      </c>
      <c r="J629">
        <v>15.947085974172223</v>
      </c>
      <c r="K629">
        <v>0.874267578125</v>
      </c>
    </row>
    <row r="630" spans="1:11" x14ac:dyDescent="0.45">
      <c r="A630">
        <v>19.657183458198954</v>
      </c>
      <c r="B630">
        <v>0.874755859375</v>
      </c>
      <c r="D630">
        <v>30.23642194431563</v>
      </c>
      <c r="E630">
        <v>0.88427734375</v>
      </c>
      <c r="G630">
        <v>22.167487814869794</v>
      </c>
      <c r="H630">
        <v>0.90869140625</v>
      </c>
      <c r="J630">
        <v>15.947085974172223</v>
      </c>
      <c r="K630">
        <v>0.874755859375</v>
      </c>
    </row>
    <row r="631" spans="1:11" x14ac:dyDescent="0.45">
      <c r="A631">
        <v>19.657183458198954</v>
      </c>
      <c r="B631">
        <v>0.875</v>
      </c>
      <c r="D631">
        <v>30.23642194431563</v>
      </c>
      <c r="E631">
        <v>0.884765625</v>
      </c>
      <c r="G631">
        <v>22.167487814869794</v>
      </c>
      <c r="H631">
        <v>0.9091796875</v>
      </c>
      <c r="J631">
        <v>15.947085974172223</v>
      </c>
      <c r="K631">
        <v>0.875</v>
      </c>
    </row>
    <row r="632" spans="1:11" x14ac:dyDescent="0.45">
      <c r="A632">
        <v>20.937943039706855</v>
      </c>
      <c r="B632">
        <v>0.87548828125</v>
      </c>
      <c r="D632">
        <v>30.507873443782124</v>
      </c>
      <c r="E632">
        <v>0.888671875</v>
      </c>
      <c r="G632">
        <v>22.799174066594546</v>
      </c>
      <c r="H632">
        <v>0.90966796875</v>
      </c>
      <c r="J632">
        <v>16.64043753826666</v>
      </c>
      <c r="K632">
        <v>0.87548828125</v>
      </c>
    </row>
    <row r="633" spans="1:11" x14ac:dyDescent="0.45">
      <c r="A633">
        <v>20.937943039706855</v>
      </c>
      <c r="B633">
        <v>0.87646484375</v>
      </c>
      <c r="D633">
        <v>30.507873443782124</v>
      </c>
      <c r="E633">
        <v>0.896484375</v>
      </c>
      <c r="G633">
        <v>22.799174066594546</v>
      </c>
      <c r="H633">
        <v>0.91064453125</v>
      </c>
      <c r="J633">
        <v>16.64043753826666</v>
      </c>
      <c r="K633">
        <v>0.87646484375</v>
      </c>
    </row>
    <row r="634" spans="1:11" x14ac:dyDescent="0.45">
      <c r="A634">
        <v>20.937943039706855</v>
      </c>
      <c r="B634">
        <v>0.876953125</v>
      </c>
      <c r="D634">
        <v>30.507873443782124</v>
      </c>
      <c r="E634">
        <v>0.900390625</v>
      </c>
      <c r="G634">
        <v>22.799174066594546</v>
      </c>
      <c r="H634">
        <v>0.9111328125</v>
      </c>
      <c r="J634">
        <v>16.64043753826666</v>
      </c>
      <c r="K634">
        <v>0.876953125</v>
      </c>
    </row>
    <row r="635" spans="1:11" x14ac:dyDescent="0.45">
      <c r="A635">
        <v>20.937943039706855</v>
      </c>
      <c r="B635">
        <v>0.8779296875</v>
      </c>
      <c r="D635">
        <v>31.487100124166211</v>
      </c>
      <c r="E635">
        <v>0.90234375</v>
      </c>
      <c r="G635">
        <v>22.832330929878431</v>
      </c>
      <c r="H635">
        <v>0.912109375</v>
      </c>
      <c r="J635">
        <v>16.64043753826666</v>
      </c>
      <c r="K635">
        <v>0.8779296875</v>
      </c>
    </row>
    <row r="636" spans="1:11" x14ac:dyDescent="0.45">
      <c r="A636">
        <v>20.937943039706855</v>
      </c>
      <c r="B636">
        <v>0.8798828125</v>
      </c>
      <c r="D636">
        <v>31.487100124166211</v>
      </c>
      <c r="E636">
        <v>0.90625</v>
      </c>
      <c r="G636">
        <v>22.832330929878431</v>
      </c>
      <c r="H636">
        <v>0.9140625</v>
      </c>
      <c r="J636">
        <v>16.64043753826666</v>
      </c>
      <c r="K636">
        <v>0.8798828125</v>
      </c>
    </row>
    <row r="637" spans="1:11" x14ac:dyDescent="0.45">
      <c r="A637">
        <v>20.937943039706855</v>
      </c>
      <c r="B637">
        <v>0.880859375</v>
      </c>
      <c r="D637">
        <v>31.487100124166211</v>
      </c>
      <c r="E637">
        <v>0.908203125</v>
      </c>
      <c r="G637">
        <v>22.832330929878431</v>
      </c>
      <c r="H637">
        <v>0.9150390625</v>
      </c>
      <c r="J637">
        <v>16.64043753826666</v>
      </c>
      <c r="K637">
        <v>0.880859375</v>
      </c>
    </row>
    <row r="638" spans="1:11" x14ac:dyDescent="0.45">
      <c r="A638">
        <v>20.937943039706855</v>
      </c>
      <c r="B638">
        <v>0.88134765625</v>
      </c>
      <c r="D638">
        <v>31.815719978249248</v>
      </c>
      <c r="E638">
        <v>0.91015625</v>
      </c>
      <c r="G638">
        <v>22.914659574129047</v>
      </c>
      <c r="H638">
        <v>0.9169921875</v>
      </c>
      <c r="J638">
        <v>16.64043753826666</v>
      </c>
      <c r="K638">
        <v>0.88134765625</v>
      </c>
    </row>
    <row r="639" spans="1:11" x14ac:dyDescent="0.45">
      <c r="A639">
        <v>20.937943039706855</v>
      </c>
      <c r="B639">
        <v>0.88232421875</v>
      </c>
      <c r="D639">
        <v>31.815719978249248</v>
      </c>
      <c r="E639">
        <v>0.9140625</v>
      </c>
      <c r="G639">
        <v>22.914659574129047</v>
      </c>
      <c r="H639">
        <v>0.9208984375</v>
      </c>
      <c r="J639">
        <v>16.64043753826666</v>
      </c>
      <c r="K639">
        <v>0.88232421875</v>
      </c>
    </row>
    <row r="640" spans="1:11" x14ac:dyDescent="0.45">
      <c r="A640">
        <v>20.937943039706855</v>
      </c>
      <c r="B640">
        <v>0.8828125</v>
      </c>
      <c r="D640">
        <v>31.815719978249248</v>
      </c>
      <c r="E640">
        <v>0.916015625</v>
      </c>
      <c r="G640">
        <v>22.914659574129047</v>
      </c>
      <c r="H640">
        <v>0.9228515625</v>
      </c>
      <c r="J640">
        <v>16.64043753826666</v>
      </c>
      <c r="K640">
        <v>0.8828125</v>
      </c>
    </row>
    <row r="641" spans="1:11" x14ac:dyDescent="0.45">
      <c r="A641">
        <v>22.465352523655948</v>
      </c>
      <c r="B641">
        <v>0.884765625</v>
      </c>
      <c r="D641">
        <v>31.856792314686004</v>
      </c>
      <c r="E641">
        <v>0.9169921875</v>
      </c>
      <c r="G641">
        <v>22.914659574129047</v>
      </c>
      <c r="H641">
        <v>0.923828125</v>
      </c>
      <c r="J641">
        <v>16.880262376263577</v>
      </c>
      <c r="K641">
        <v>0.884765625</v>
      </c>
    </row>
    <row r="642" spans="1:11" x14ac:dyDescent="0.45">
      <c r="A642">
        <v>22.465352523655948</v>
      </c>
      <c r="B642">
        <v>0.888671875</v>
      </c>
      <c r="D642">
        <v>31.856792314686004</v>
      </c>
      <c r="E642">
        <v>0.9189453125</v>
      </c>
      <c r="G642">
        <v>22.914659574129047</v>
      </c>
      <c r="H642">
        <v>0.92578125</v>
      </c>
      <c r="J642">
        <v>16.880262376263577</v>
      </c>
      <c r="K642">
        <v>0.888671875</v>
      </c>
    </row>
    <row r="643" spans="1:11" x14ac:dyDescent="0.45">
      <c r="A643">
        <v>22.465352523655948</v>
      </c>
      <c r="B643">
        <v>0.890625</v>
      </c>
      <c r="D643">
        <v>31.856792314686004</v>
      </c>
      <c r="E643">
        <v>0.919921875</v>
      </c>
      <c r="G643">
        <v>22.914659574129047</v>
      </c>
      <c r="H643">
        <v>0.9267578125</v>
      </c>
      <c r="J643">
        <v>16.880262376263577</v>
      </c>
      <c r="K643">
        <v>0.890625</v>
      </c>
    </row>
    <row r="644" spans="1:11" x14ac:dyDescent="0.45">
      <c r="A644">
        <v>22.465352523655948</v>
      </c>
      <c r="B644">
        <v>0.89453125</v>
      </c>
      <c r="D644">
        <v>32.791362982364475</v>
      </c>
      <c r="E644">
        <v>0.9208984375</v>
      </c>
      <c r="G644">
        <v>22.914659574129047</v>
      </c>
      <c r="H644">
        <v>0.927734375</v>
      </c>
      <c r="J644">
        <v>16.880262376263577</v>
      </c>
      <c r="K644">
        <v>0.89453125</v>
      </c>
    </row>
    <row r="645" spans="1:11" x14ac:dyDescent="0.45">
      <c r="A645">
        <v>22.465352523655948</v>
      </c>
      <c r="B645">
        <v>0.90234375</v>
      </c>
      <c r="D645">
        <v>32.791362982364475</v>
      </c>
      <c r="E645">
        <v>0.9228515625</v>
      </c>
      <c r="G645">
        <v>22.914659574129047</v>
      </c>
      <c r="H645">
        <v>0.9296875</v>
      </c>
      <c r="J645">
        <v>16.880262376263577</v>
      </c>
      <c r="K645">
        <v>0.90234375</v>
      </c>
    </row>
    <row r="646" spans="1:11" x14ac:dyDescent="0.45">
      <c r="A646">
        <v>22.465352523655948</v>
      </c>
      <c r="B646">
        <v>0.90625</v>
      </c>
      <c r="D646">
        <v>32.791362982364475</v>
      </c>
      <c r="E646">
        <v>0.923828125</v>
      </c>
      <c r="G646">
        <v>22.914659574129047</v>
      </c>
      <c r="H646">
        <v>0.9306640625</v>
      </c>
      <c r="J646">
        <v>16.880262376263577</v>
      </c>
      <c r="K646">
        <v>0.90625</v>
      </c>
    </row>
    <row r="647" spans="1:11" x14ac:dyDescent="0.45">
      <c r="A647">
        <v>22.465352523655948</v>
      </c>
      <c r="B647">
        <v>0.908203125</v>
      </c>
      <c r="D647">
        <v>32.829014536908225</v>
      </c>
      <c r="E647">
        <v>0.92431640625</v>
      </c>
      <c r="G647">
        <v>22.914659574129047</v>
      </c>
      <c r="H647">
        <v>0.93115234375</v>
      </c>
      <c r="J647">
        <v>16.880262376263577</v>
      </c>
      <c r="K647">
        <v>0.908203125</v>
      </c>
    </row>
    <row r="648" spans="1:11" x14ac:dyDescent="0.45">
      <c r="A648">
        <v>22.465352523655948</v>
      </c>
      <c r="B648">
        <v>0.912109375</v>
      </c>
      <c r="D648">
        <v>32.829014536908225</v>
      </c>
      <c r="E648">
        <v>0.92529296875</v>
      </c>
      <c r="G648">
        <v>22.914659574129047</v>
      </c>
      <c r="H648">
        <v>0.93212890625</v>
      </c>
      <c r="J648">
        <v>16.880262376263577</v>
      </c>
      <c r="K648">
        <v>0.912109375</v>
      </c>
    </row>
    <row r="649" spans="1:11" x14ac:dyDescent="0.45">
      <c r="A649">
        <v>22.465352523655948</v>
      </c>
      <c r="B649">
        <v>0.9140625</v>
      </c>
      <c r="D649">
        <v>32.829014536908225</v>
      </c>
      <c r="E649">
        <v>0.92578125</v>
      </c>
      <c r="G649">
        <v>22.914659574129047</v>
      </c>
      <c r="H649">
        <v>0.9326171875</v>
      </c>
      <c r="J649">
        <v>16.880262376263577</v>
      </c>
      <c r="K649">
        <v>0.9140625</v>
      </c>
    </row>
    <row r="650" spans="1:11" x14ac:dyDescent="0.45">
      <c r="A650">
        <v>22.465352523655948</v>
      </c>
      <c r="B650">
        <v>0.9150390625</v>
      </c>
      <c r="D650">
        <v>35.3932895021699</v>
      </c>
      <c r="E650">
        <v>0.926025390625</v>
      </c>
      <c r="G650">
        <v>23.220980256157414</v>
      </c>
      <c r="H650">
        <v>0.93359375</v>
      </c>
      <c r="J650">
        <v>17.223756087408475</v>
      </c>
      <c r="K650">
        <v>0.91455078125</v>
      </c>
    </row>
    <row r="651" spans="1:11" x14ac:dyDescent="0.45">
      <c r="A651">
        <v>22.465352523655948</v>
      </c>
      <c r="B651">
        <v>0.9169921875</v>
      </c>
      <c r="D651">
        <v>35.3932895021699</v>
      </c>
      <c r="E651">
        <v>0.926513671875</v>
      </c>
      <c r="G651">
        <v>23.220980256157414</v>
      </c>
      <c r="H651">
        <v>0.935546875</v>
      </c>
      <c r="J651">
        <v>17.223756087408475</v>
      </c>
      <c r="K651">
        <v>0.91552734375</v>
      </c>
    </row>
    <row r="652" spans="1:11" x14ac:dyDescent="0.45">
      <c r="A652">
        <v>22.465352523655948</v>
      </c>
      <c r="B652">
        <v>0.91796875</v>
      </c>
      <c r="D652">
        <v>35.3932895021699</v>
      </c>
      <c r="E652">
        <v>0.9267578125</v>
      </c>
      <c r="G652">
        <v>23.220980256157414</v>
      </c>
      <c r="H652">
        <v>0.9365234375</v>
      </c>
      <c r="J652">
        <v>17.223756087408475</v>
      </c>
      <c r="K652">
        <v>0.916015625</v>
      </c>
    </row>
    <row r="653" spans="1:11" x14ac:dyDescent="0.45">
      <c r="A653">
        <v>22.465352523655948</v>
      </c>
      <c r="B653">
        <v>0.919921875</v>
      </c>
      <c r="D653">
        <v>36.87711274159205</v>
      </c>
      <c r="E653">
        <v>0.927734375</v>
      </c>
      <c r="G653">
        <v>23.953006837424645</v>
      </c>
      <c r="H653">
        <v>0.936767578125</v>
      </c>
      <c r="J653">
        <v>17.223756087408475</v>
      </c>
      <c r="K653">
        <v>0.9169921875</v>
      </c>
    </row>
    <row r="654" spans="1:11" x14ac:dyDescent="0.45">
      <c r="A654">
        <v>22.465352523655948</v>
      </c>
      <c r="B654">
        <v>0.923828125</v>
      </c>
      <c r="D654">
        <v>36.87711274159205</v>
      </c>
      <c r="E654">
        <v>0.9296875</v>
      </c>
      <c r="G654">
        <v>23.953006837424645</v>
      </c>
      <c r="H654">
        <v>0.937255859375</v>
      </c>
      <c r="J654">
        <v>17.223756087408475</v>
      </c>
      <c r="K654">
        <v>0.9189453125</v>
      </c>
    </row>
    <row r="655" spans="1:11" x14ac:dyDescent="0.45">
      <c r="A655">
        <v>22.465352523655948</v>
      </c>
      <c r="B655">
        <v>0.92578125</v>
      </c>
      <c r="D655">
        <v>36.87711274159205</v>
      </c>
      <c r="E655">
        <v>0.9306640625</v>
      </c>
      <c r="G655">
        <v>23.953006837424645</v>
      </c>
      <c r="H655">
        <v>0.9375</v>
      </c>
      <c r="J655">
        <v>17.223756087408475</v>
      </c>
      <c r="K655">
        <v>0.919921875</v>
      </c>
    </row>
    <row r="656" spans="1:11" x14ac:dyDescent="0.45">
      <c r="A656">
        <v>22.465352523655948</v>
      </c>
      <c r="B656">
        <v>0.9267578125</v>
      </c>
      <c r="D656">
        <v>37.013659872540273</v>
      </c>
      <c r="E656">
        <v>0.93115234375</v>
      </c>
      <c r="G656">
        <v>24.089169353018811</v>
      </c>
      <c r="H656">
        <v>0.9384765625</v>
      </c>
      <c r="J656">
        <v>17.223756087408475</v>
      </c>
      <c r="K656">
        <v>0.92041015625</v>
      </c>
    </row>
    <row r="657" spans="1:11" x14ac:dyDescent="0.45">
      <c r="A657">
        <v>22.465352523655948</v>
      </c>
      <c r="B657">
        <v>0.9287109375</v>
      </c>
      <c r="D657">
        <v>37.013659872540273</v>
      </c>
      <c r="E657">
        <v>0.93212890625</v>
      </c>
      <c r="G657">
        <v>24.089169353018811</v>
      </c>
      <c r="H657">
        <v>0.9404296875</v>
      </c>
      <c r="J657">
        <v>17.223756087408475</v>
      </c>
      <c r="K657">
        <v>0.92138671875</v>
      </c>
    </row>
    <row r="658" spans="1:11" x14ac:dyDescent="0.45">
      <c r="A658">
        <v>22.465352523655948</v>
      </c>
      <c r="B658">
        <v>0.9296875</v>
      </c>
      <c r="D658">
        <v>37.013659872540273</v>
      </c>
      <c r="E658">
        <v>0.9326171875</v>
      </c>
      <c r="G658">
        <v>24.089169353018811</v>
      </c>
      <c r="H658">
        <v>0.94140625</v>
      </c>
      <c r="J658">
        <v>17.223756087408475</v>
      </c>
      <c r="K658">
        <v>0.921875</v>
      </c>
    </row>
    <row r="659" spans="1:11" x14ac:dyDescent="0.45">
      <c r="A659">
        <v>22.465352523655948</v>
      </c>
      <c r="B659">
        <v>0.93017578125</v>
      </c>
      <c r="D659">
        <v>37.985882094762495</v>
      </c>
      <c r="E659">
        <v>0.932861328125</v>
      </c>
      <c r="G659">
        <v>24.662505924370151</v>
      </c>
      <c r="H659">
        <v>0.941650390625</v>
      </c>
      <c r="J659">
        <v>18.057955100188927</v>
      </c>
      <c r="K659">
        <v>0.9228515625</v>
      </c>
    </row>
    <row r="660" spans="1:11" x14ac:dyDescent="0.45">
      <c r="A660">
        <v>22.465352523655948</v>
      </c>
      <c r="B660">
        <v>0.93115234375</v>
      </c>
      <c r="D660">
        <v>37.985882094762495</v>
      </c>
      <c r="E660">
        <v>0.933349609375</v>
      </c>
      <c r="G660">
        <v>24.662505924370151</v>
      </c>
      <c r="H660">
        <v>0.942138671875</v>
      </c>
      <c r="J660">
        <v>18.057955100188927</v>
      </c>
      <c r="K660">
        <v>0.9248046875</v>
      </c>
    </row>
    <row r="661" spans="1:11" x14ac:dyDescent="0.45">
      <c r="A661">
        <v>22.465352523655948</v>
      </c>
      <c r="B661">
        <v>0.931640625</v>
      </c>
      <c r="D661">
        <v>37.985882094762495</v>
      </c>
      <c r="E661">
        <v>0.93359375</v>
      </c>
      <c r="G661">
        <v>24.662505924370151</v>
      </c>
      <c r="H661">
        <v>0.9423828125</v>
      </c>
      <c r="J661">
        <v>18.057955100188927</v>
      </c>
      <c r="K661">
        <v>0.92578125</v>
      </c>
    </row>
    <row r="662" spans="1:11" x14ac:dyDescent="0.45">
      <c r="A662">
        <v>22.465352523655948</v>
      </c>
      <c r="B662">
        <v>0.9326171875</v>
      </c>
      <c r="D662">
        <v>38.442228171429953</v>
      </c>
      <c r="E662">
        <v>0.93408203125</v>
      </c>
      <c r="G662">
        <v>25.686372296113241</v>
      </c>
      <c r="H662">
        <v>0.94287109375</v>
      </c>
      <c r="J662">
        <v>18.057955100188927</v>
      </c>
      <c r="K662">
        <v>0.927734375</v>
      </c>
    </row>
    <row r="663" spans="1:11" x14ac:dyDescent="0.45">
      <c r="A663">
        <v>22.465352523655948</v>
      </c>
      <c r="B663">
        <v>0.9345703125</v>
      </c>
      <c r="D663">
        <v>38.442228171429953</v>
      </c>
      <c r="E663">
        <v>0.93505859375</v>
      </c>
      <c r="G663">
        <v>25.686372296113241</v>
      </c>
      <c r="H663">
        <v>0.94384765625</v>
      </c>
      <c r="J663">
        <v>18.057955100188927</v>
      </c>
      <c r="K663">
        <v>0.931640625</v>
      </c>
    </row>
    <row r="664" spans="1:11" x14ac:dyDescent="0.45">
      <c r="A664">
        <v>22.465352523655948</v>
      </c>
      <c r="B664">
        <v>0.935546875</v>
      </c>
      <c r="D664">
        <v>38.442228171429953</v>
      </c>
      <c r="E664">
        <v>0.935546875</v>
      </c>
      <c r="G664">
        <v>25.686372296113241</v>
      </c>
      <c r="H664">
        <v>0.9443359375</v>
      </c>
      <c r="J664">
        <v>18.057955100188927</v>
      </c>
      <c r="K664">
        <v>0.93359375</v>
      </c>
    </row>
    <row r="665" spans="1:11" x14ac:dyDescent="0.45">
      <c r="A665">
        <v>22.465352523655948</v>
      </c>
      <c r="B665">
        <v>0.93603515625</v>
      </c>
      <c r="D665">
        <v>38.497483111962424</v>
      </c>
      <c r="E665">
        <v>0.9375</v>
      </c>
      <c r="G665">
        <v>25.689674672903667</v>
      </c>
      <c r="H665">
        <v>0.94482421875</v>
      </c>
      <c r="J665">
        <v>18.057955100188927</v>
      </c>
      <c r="K665">
        <v>0.9345703125</v>
      </c>
    </row>
    <row r="666" spans="1:11" x14ac:dyDescent="0.45">
      <c r="A666">
        <v>22.465352523655948</v>
      </c>
      <c r="B666">
        <v>0.93701171875</v>
      </c>
      <c r="D666">
        <v>38.497483111962424</v>
      </c>
      <c r="E666">
        <v>0.94140625</v>
      </c>
      <c r="G666">
        <v>25.689674672903667</v>
      </c>
      <c r="H666">
        <v>0.94580078125</v>
      </c>
      <c r="J666">
        <v>18.057955100188927</v>
      </c>
      <c r="K666">
        <v>0.9365234375</v>
      </c>
    </row>
    <row r="667" spans="1:11" x14ac:dyDescent="0.45">
      <c r="A667">
        <v>22.465352523655948</v>
      </c>
      <c r="B667">
        <v>0.9375</v>
      </c>
      <c r="D667">
        <v>38.497483111962424</v>
      </c>
      <c r="E667">
        <v>0.943359375</v>
      </c>
      <c r="G667">
        <v>25.689674672903667</v>
      </c>
      <c r="H667">
        <v>0.9462890625</v>
      </c>
      <c r="J667">
        <v>18.057955100188927</v>
      </c>
      <c r="K667">
        <v>0.9375</v>
      </c>
    </row>
    <row r="668" spans="1:11" x14ac:dyDescent="0.45">
      <c r="A668">
        <v>22.465352523655948</v>
      </c>
      <c r="B668">
        <v>0.9384765625</v>
      </c>
      <c r="D668">
        <v>39.469705334184646</v>
      </c>
      <c r="E668">
        <v>0.9443359375</v>
      </c>
      <c r="G668">
        <v>25.862069117348113</v>
      </c>
      <c r="H668">
        <v>0.946533203125</v>
      </c>
      <c r="J668">
        <v>18.34714908065299</v>
      </c>
      <c r="K668">
        <v>0.9384765625</v>
      </c>
    </row>
    <row r="669" spans="1:11" x14ac:dyDescent="0.45">
      <c r="A669">
        <v>22.465352523655948</v>
      </c>
      <c r="B669">
        <v>0.9404296875</v>
      </c>
      <c r="D669">
        <v>39.469705334184646</v>
      </c>
      <c r="E669">
        <v>0.9462890625</v>
      </c>
      <c r="G669">
        <v>25.862069117348113</v>
      </c>
      <c r="H669">
        <v>0.947021484375</v>
      </c>
      <c r="J669">
        <v>18.34714908065299</v>
      </c>
      <c r="K669">
        <v>0.9404296875</v>
      </c>
    </row>
    <row r="670" spans="1:11" x14ac:dyDescent="0.45">
      <c r="A670">
        <v>22.465352523655948</v>
      </c>
      <c r="B670">
        <v>0.94140625</v>
      </c>
      <c r="D670">
        <v>39.469705334184646</v>
      </c>
      <c r="E670">
        <v>0.947265625</v>
      </c>
      <c r="G670">
        <v>25.862069117348113</v>
      </c>
      <c r="H670">
        <v>0.947265625</v>
      </c>
      <c r="J670">
        <v>18.34714908065299</v>
      </c>
      <c r="K670">
        <v>0.94140625</v>
      </c>
    </row>
    <row r="671" spans="1:11" x14ac:dyDescent="0.45">
      <c r="A671">
        <v>22.465352523655948</v>
      </c>
      <c r="B671">
        <v>0.943359375</v>
      </c>
      <c r="D671">
        <v>40.06259854180032</v>
      </c>
      <c r="E671">
        <v>0.9482421875</v>
      </c>
      <c r="G671">
        <v>26.056198933250901</v>
      </c>
      <c r="H671">
        <v>0.9482421875</v>
      </c>
      <c r="J671">
        <v>18.34714908065299</v>
      </c>
      <c r="K671">
        <v>0.943359375</v>
      </c>
    </row>
    <row r="672" spans="1:11" x14ac:dyDescent="0.45">
      <c r="A672">
        <v>22.465352523655948</v>
      </c>
      <c r="B672">
        <v>0.947265625</v>
      </c>
      <c r="D672">
        <v>40.06259854180032</v>
      </c>
      <c r="E672">
        <v>0.9501953125</v>
      </c>
      <c r="G672">
        <v>26.056198933250901</v>
      </c>
      <c r="H672">
        <v>0.9501953125</v>
      </c>
      <c r="J672">
        <v>18.34714908065299</v>
      </c>
      <c r="K672">
        <v>0.947265625</v>
      </c>
    </row>
    <row r="673" spans="1:11" x14ac:dyDescent="0.45">
      <c r="A673">
        <v>22.465352523655948</v>
      </c>
      <c r="B673">
        <v>0.94921875</v>
      </c>
      <c r="D673">
        <v>40.06259854180032</v>
      </c>
      <c r="E673">
        <v>0.951171875</v>
      </c>
      <c r="G673">
        <v>26.056198933250901</v>
      </c>
      <c r="H673">
        <v>0.951171875</v>
      </c>
      <c r="J673">
        <v>18.34714908065299</v>
      </c>
      <c r="K673">
        <v>0.94921875</v>
      </c>
    </row>
    <row r="674" spans="1:11" x14ac:dyDescent="0.45">
      <c r="A674">
        <v>22.465352523655948</v>
      </c>
      <c r="B674">
        <v>0.9501953125</v>
      </c>
      <c r="D674">
        <v>41.034820764022548</v>
      </c>
      <c r="E674">
        <v>0.95166015625</v>
      </c>
      <c r="G674">
        <v>26.733769503150594</v>
      </c>
      <c r="H674">
        <v>0.9521484375</v>
      </c>
      <c r="J674">
        <v>18.34714908065299</v>
      </c>
      <c r="K674">
        <v>0.9501953125</v>
      </c>
    </row>
    <row r="675" spans="1:11" x14ac:dyDescent="0.45">
      <c r="A675">
        <v>22.465352523655948</v>
      </c>
      <c r="B675">
        <v>0.9521484375</v>
      </c>
      <c r="D675">
        <v>41.034820764022548</v>
      </c>
      <c r="E675">
        <v>0.95263671875</v>
      </c>
      <c r="G675">
        <v>26.733769503150594</v>
      </c>
      <c r="H675">
        <v>0.9541015625</v>
      </c>
      <c r="J675">
        <v>18.34714908065299</v>
      </c>
      <c r="K675">
        <v>0.9521484375</v>
      </c>
    </row>
    <row r="676" spans="1:11" x14ac:dyDescent="0.45">
      <c r="A676">
        <v>22.465352523655948</v>
      </c>
      <c r="B676">
        <v>0.953125</v>
      </c>
      <c r="D676">
        <v>41.034820764022548</v>
      </c>
      <c r="E676">
        <v>0.953125</v>
      </c>
      <c r="G676">
        <v>26.733769503150594</v>
      </c>
      <c r="H676">
        <v>0.955078125</v>
      </c>
      <c r="J676">
        <v>18.34714908065299</v>
      </c>
      <c r="K676">
        <v>0.953125</v>
      </c>
    </row>
    <row r="677" spans="1:11" x14ac:dyDescent="0.45">
      <c r="A677">
        <v>22.465352523655948</v>
      </c>
      <c r="B677">
        <v>0.95361328125</v>
      </c>
      <c r="D677">
        <v>44.859717951610477</v>
      </c>
      <c r="E677">
        <v>0.95361328125</v>
      </c>
      <c r="G677">
        <v>26.733769503150594</v>
      </c>
      <c r="H677">
        <v>0.95556640625</v>
      </c>
      <c r="J677">
        <v>18.720492230550001</v>
      </c>
      <c r="K677">
        <v>0.953369140625</v>
      </c>
    </row>
    <row r="678" spans="1:11" x14ac:dyDescent="0.45">
      <c r="A678">
        <v>22.465352523655948</v>
      </c>
      <c r="B678">
        <v>0.95458984375</v>
      </c>
      <c r="D678">
        <v>44.859717951610477</v>
      </c>
      <c r="E678">
        <v>0.95458984375</v>
      </c>
      <c r="G678">
        <v>26.733769503150594</v>
      </c>
      <c r="H678">
        <v>0.95654296875</v>
      </c>
      <c r="J678">
        <v>18.720492230550001</v>
      </c>
      <c r="K678">
        <v>0.953857421875</v>
      </c>
    </row>
    <row r="679" spans="1:11" x14ac:dyDescent="0.45">
      <c r="A679">
        <v>22.465352523655948</v>
      </c>
      <c r="B679">
        <v>0.955078125</v>
      </c>
      <c r="D679">
        <v>44.859717951610477</v>
      </c>
      <c r="E679">
        <v>0.955078125</v>
      </c>
      <c r="G679">
        <v>26.733769503150594</v>
      </c>
      <c r="H679">
        <v>0.95703125</v>
      </c>
      <c r="J679">
        <v>18.720492230550001</v>
      </c>
      <c r="K679">
        <v>0.9541015625</v>
      </c>
    </row>
    <row r="680" spans="1:11" x14ac:dyDescent="0.45">
      <c r="A680">
        <v>22.465352523655948</v>
      </c>
      <c r="B680">
        <v>0.9560546875</v>
      </c>
      <c r="D680">
        <v>46.480088321980844</v>
      </c>
      <c r="E680">
        <v>0.9560546875</v>
      </c>
      <c r="G680">
        <v>26.733769503150594</v>
      </c>
      <c r="H680">
        <v>0.95751953125</v>
      </c>
      <c r="J680">
        <v>18.720492230550001</v>
      </c>
      <c r="K680">
        <v>0.95458984375</v>
      </c>
    </row>
    <row r="681" spans="1:11" x14ac:dyDescent="0.45">
      <c r="A681">
        <v>22.465352523655948</v>
      </c>
      <c r="B681">
        <v>0.9580078125</v>
      </c>
      <c r="D681">
        <v>46.480088321980844</v>
      </c>
      <c r="E681">
        <v>0.9580078125</v>
      </c>
      <c r="G681">
        <v>26.733769503150594</v>
      </c>
      <c r="H681">
        <v>0.95849609375</v>
      </c>
      <c r="J681">
        <v>18.720492230550001</v>
      </c>
      <c r="K681">
        <v>0.95556640625</v>
      </c>
    </row>
    <row r="682" spans="1:11" x14ac:dyDescent="0.45">
      <c r="A682">
        <v>22.465352523655948</v>
      </c>
      <c r="B682">
        <v>0.958984375</v>
      </c>
      <c r="D682">
        <v>46.480088321980844</v>
      </c>
      <c r="E682">
        <v>0.958984375</v>
      </c>
      <c r="G682">
        <v>26.733769503150594</v>
      </c>
      <c r="H682">
        <v>0.958984375</v>
      </c>
      <c r="J682">
        <v>18.720492230550001</v>
      </c>
      <c r="K682">
        <v>0.9560546875</v>
      </c>
    </row>
    <row r="683" spans="1:11" x14ac:dyDescent="0.45">
      <c r="A683">
        <v>22.465352523655948</v>
      </c>
      <c r="B683">
        <v>0.95947265625</v>
      </c>
      <c r="D683">
        <v>46.685685953088026</v>
      </c>
      <c r="E683">
        <v>0.959228515625</v>
      </c>
      <c r="G683">
        <v>26.733769503150594</v>
      </c>
      <c r="H683">
        <v>0.959228515625</v>
      </c>
      <c r="J683">
        <v>18.720492230550001</v>
      </c>
      <c r="K683">
        <v>0.956298828125</v>
      </c>
    </row>
    <row r="684" spans="1:11" x14ac:dyDescent="0.45">
      <c r="A684">
        <v>22.465352523655948</v>
      </c>
      <c r="B684">
        <v>0.96044921875</v>
      </c>
      <c r="D684">
        <v>46.685685953088026</v>
      </c>
      <c r="E684">
        <v>0.959716796875</v>
      </c>
      <c r="G684">
        <v>26.733769503150594</v>
      </c>
      <c r="H684">
        <v>0.959716796875</v>
      </c>
      <c r="J684">
        <v>18.720492230550001</v>
      </c>
      <c r="K684">
        <v>0.956787109375</v>
      </c>
    </row>
    <row r="685" spans="1:11" x14ac:dyDescent="0.45">
      <c r="A685">
        <v>22.465352523655948</v>
      </c>
      <c r="B685">
        <v>0.9609375</v>
      </c>
      <c r="D685">
        <v>46.685685953088026</v>
      </c>
      <c r="E685">
        <v>0.9599609375</v>
      </c>
      <c r="G685">
        <v>26.733769503150594</v>
      </c>
      <c r="H685">
        <v>0.9599609375</v>
      </c>
      <c r="J685">
        <v>18.720492230550001</v>
      </c>
      <c r="K685">
        <v>0.95703125</v>
      </c>
    </row>
    <row r="686" spans="1:11" x14ac:dyDescent="0.45">
      <c r="A686">
        <v>25.273521589112942</v>
      </c>
      <c r="B686">
        <v>0.9619140625</v>
      </c>
      <c r="D686">
        <v>47.452310544203073</v>
      </c>
      <c r="E686">
        <v>0.96044921875</v>
      </c>
      <c r="G686">
        <v>28.185721056423024</v>
      </c>
      <c r="H686">
        <v>0.96044921875</v>
      </c>
      <c r="J686">
        <v>18.990295173296527</v>
      </c>
      <c r="K686">
        <v>0.9580078125</v>
      </c>
    </row>
    <row r="687" spans="1:11" x14ac:dyDescent="0.45">
      <c r="A687">
        <v>25.273521589112942</v>
      </c>
      <c r="B687">
        <v>0.9638671875</v>
      </c>
      <c r="D687">
        <v>47.452310544203073</v>
      </c>
      <c r="E687">
        <v>0.96142578125</v>
      </c>
      <c r="G687">
        <v>28.185721056423024</v>
      </c>
      <c r="H687">
        <v>0.96142578125</v>
      </c>
      <c r="J687">
        <v>18.990295173296527</v>
      </c>
      <c r="K687">
        <v>0.9599609375</v>
      </c>
    </row>
    <row r="688" spans="1:11" x14ac:dyDescent="0.45">
      <c r="A688">
        <v>25.273521589112942</v>
      </c>
      <c r="B688">
        <v>0.96484375</v>
      </c>
      <c r="D688">
        <v>47.452310544203073</v>
      </c>
      <c r="E688">
        <v>0.9619140625</v>
      </c>
      <c r="G688">
        <v>28.185721056423024</v>
      </c>
      <c r="H688">
        <v>0.9619140625</v>
      </c>
      <c r="J688">
        <v>18.990295173296527</v>
      </c>
      <c r="K688">
        <v>0.9609375</v>
      </c>
    </row>
    <row r="689" spans="1:11" x14ac:dyDescent="0.45">
      <c r="A689">
        <v>25.273521589112942</v>
      </c>
      <c r="B689">
        <v>0.966796875</v>
      </c>
      <c r="D689">
        <v>48.306056323458392</v>
      </c>
      <c r="E689">
        <v>0.96240234375</v>
      </c>
      <c r="G689">
        <v>29.313223799907266</v>
      </c>
      <c r="H689">
        <v>0.96240234375</v>
      </c>
      <c r="J689">
        <v>18.990295173296527</v>
      </c>
      <c r="K689">
        <v>0.962890625</v>
      </c>
    </row>
    <row r="690" spans="1:11" x14ac:dyDescent="0.45">
      <c r="A690">
        <v>25.273521589112942</v>
      </c>
      <c r="B690">
        <v>0.970703125</v>
      </c>
      <c r="D690">
        <v>48.306056323458392</v>
      </c>
      <c r="E690">
        <v>0.96337890625</v>
      </c>
      <c r="G690">
        <v>29.313223799907266</v>
      </c>
      <c r="H690">
        <v>0.96337890625</v>
      </c>
      <c r="J690">
        <v>18.990295173296527</v>
      </c>
      <c r="K690">
        <v>0.966796875</v>
      </c>
    </row>
    <row r="691" spans="1:11" x14ac:dyDescent="0.45">
      <c r="A691">
        <v>25.273521589112942</v>
      </c>
      <c r="B691">
        <v>0.97265625</v>
      </c>
      <c r="D691">
        <v>48.306056323458392</v>
      </c>
      <c r="E691">
        <v>0.9638671875</v>
      </c>
      <c r="G691">
        <v>29.313223799907266</v>
      </c>
      <c r="H691">
        <v>0.9638671875</v>
      </c>
      <c r="J691">
        <v>18.990295173296527</v>
      </c>
      <c r="K691">
        <v>0.96875</v>
      </c>
    </row>
    <row r="692" spans="1:11" x14ac:dyDescent="0.45">
      <c r="A692">
        <v>25.273521589112942</v>
      </c>
      <c r="B692">
        <v>0.9736328125</v>
      </c>
      <c r="D692">
        <v>49.278278545680621</v>
      </c>
      <c r="E692">
        <v>0.964111328125</v>
      </c>
      <c r="G692">
        <v>29.359628197604181</v>
      </c>
      <c r="H692">
        <v>0.96484375</v>
      </c>
      <c r="J692">
        <v>18.990295173296527</v>
      </c>
      <c r="K692">
        <v>0.9697265625</v>
      </c>
    </row>
    <row r="693" spans="1:11" x14ac:dyDescent="0.45">
      <c r="A693">
        <v>25.273521589112942</v>
      </c>
      <c r="B693">
        <v>0.9755859375</v>
      </c>
      <c r="D693">
        <v>49.278278545680621</v>
      </c>
      <c r="E693">
        <v>0.964599609375</v>
      </c>
      <c r="G693">
        <v>29.359628197604181</v>
      </c>
      <c r="H693">
        <v>0.966796875</v>
      </c>
      <c r="J693">
        <v>18.990295173296527</v>
      </c>
      <c r="K693">
        <v>0.9716796875</v>
      </c>
    </row>
    <row r="694" spans="1:11" x14ac:dyDescent="0.45">
      <c r="A694">
        <v>25.273521589112942</v>
      </c>
      <c r="B694">
        <v>0.9765625</v>
      </c>
      <c r="D694">
        <v>49.278278545680621</v>
      </c>
      <c r="E694">
        <v>0.96484375</v>
      </c>
      <c r="G694">
        <v>29.359628197604181</v>
      </c>
      <c r="H694">
        <v>0.9677734375</v>
      </c>
      <c r="J694">
        <v>18.990295173296527</v>
      </c>
      <c r="K694">
        <v>0.97265625</v>
      </c>
    </row>
    <row r="695" spans="1:11" x14ac:dyDescent="0.45">
      <c r="A695">
        <v>25.273521589112942</v>
      </c>
      <c r="B695">
        <v>0.97705078125</v>
      </c>
      <c r="D695">
        <v>52.842323161628904</v>
      </c>
      <c r="E695">
        <v>0.9658203125</v>
      </c>
      <c r="G695">
        <v>29.556650419826404</v>
      </c>
      <c r="H695">
        <v>0.96826171875</v>
      </c>
      <c r="J695">
        <v>19.627182737442741</v>
      </c>
      <c r="K695">
        <v>0.97314453125</v>
      </c>
    </row>
    <row r="696" spans="1:11" x14ac:dyDescent="0.45">
      <c r="A696">
        <v>25.273521589112942</v>
      </c>
      <c r="B696">
        <v>0.97802734375</v>
      </c>
      <c r="D696">
        <v>52.842323161628904</v>
      </c>
      <c r="E696">
        <v>0.9677734375</v>
      </c>
      <c r="G696">
        <v>29.556650419826404</v>
      </c>
      <c r="H696">
        <v>0.96923828125</v>
      </c>
      <c r="J696">
        <v>19.627182737442741</v>
      </c>
      <c r="K696">
        <v>0.97412109375</v>
      </c>
    </row>
    <row r="697" spans="1:11" x14ac:dyDescent="0.45">
      <c r="A697">
        <v>25.273521589112942</v>
      </c>
      <c r="B697">
        <v>0.978515625</v>
      </c>
      <c r="D697">
        <v>52.842323161628904</v>
      </c>
      <c r="E697">
        <v>0.96875</v>
      </c>
      <c r="G697">
        <v>29.556650419826404</v>
      </c>
      <c r="H697">
        <v>0.9697265625</v>
      </c>
      <c r="J697">
        <v>19.627182737442741</v>
      </c>
      <c r="K697">
        <v>0.974609375</v>
      </c>
    </row>
    <row r="698" spans="1:11" x14ac:dyDescent="0.45">
      <c r="A698">
        <v>25.273521589112942</v>
      </c>
      <c r="B698">
        <v>0.9794921875</v>
      </c>
      <c r="D698">
        <v>54.462693531999271</v>
      </c>
      <c r="E698">
        <v>0.970703125</v>
      </c>
      <c r="G698">
        <v>30.552879432172077</v>
      </c>
      <c r="H698">
        <v>0.9716796875</v>
      </c>
      <c r="J698">
        <v>19.627182737442741</v>
      </c>
      <c r="K698">
        <v>0.9755859375</v>
      </c>
    </row>
    <row r="699" spans="1:11" x14ac:dyDescent="0.45">
      <c r="A699">
        <v>25.273521589112942</v>
      </c>
      <c r="B699">
        <v>0.9814453125</v>
      </c>
      <c r="D699">
        <v>54.462693531999271</v>
      </c>
      <c r="E699">
        <v>0.974609375</v>
      </c>
      <c r="G699">
        <v>30.552879432172077</v>
      </c>
      <c r="H699">
        <v>0.9755859375</v>
      </c>
      <c r="J699">
        <v>19.627182737442741</v>
      </c>
      <c r="K699">
        <v>0.9775390625</v>
      </c>
    </row>
    <row r="700" spans="1:11" x14ac:dyDescent="0.45">
      <c r="A700">
        <v>25.273521589112942</v>
      </c>
      <c r="B700">
        <v>0.982421875</v>
      </c>
      <c r="D700">
        <v>54.462693531999271</v>
      </c>
      <c r="E700">
        <v>0.9765625</v>
      </c>
      <c r="G700">
        <v>30.552879432172077</v>
      </c>
      <c r="H700">
        <v>0.9775390625</v>
      </c>
      <c r="J700">
        <v>19.627182737442741</v>
      </c>
      <c r="K700">
        <v>0.978515625</v>
      </c>
    </row>
    <row r="701" spans="1:11" x14ac:dyDescent="0.45">
      <c r="A701">
        <v>25.273521589112942</v>
      </c>
      <c r="B701">
        <v>0.98291015625</v>
      </c>
      <c r="D701">
        <v>54.929143734746091</v>
      </c>
      <c r="E701">
        <v>0.97705078125</v>
      </c>
      <c r="G701">
        <v>30.552879432172077</v>
      </c>
      <c r="H701">
        <v>0.978515625</v>
      </c>
      <c r="J701">
        <v>19.627182737442741</v>
      </c>
      <c r="K701">
        <v>0.97900390625</v>
      </c>
    </row>
    <row r="702" spans="1:11" x14ac:dyDescent="0.45">
      <c r="A702">
        <v>25.273521589112942</v>
      </c>
      <c r="B702">
        <v>0.98388671875</v>
      </c>
      <c r="D702">
        <v>54.929143734746091</v>
      </c>
      <c r="E702">
        <v>0.97802734375</v>
      </c>
      <c r="G702">
        <v>30.552879432172077</v>
      </c>
      <c r="H702">
        <v>0.98046875</v>
      </c>
      <c r="J702">
        <v>19.627182737442741</v>
      </c>
      <c r="K702">
        <v>0.97998046875</v>
      </c>
    </row>
    <row r="703" spans="1:11" x14ac:dyDescent="0.45">
      <c r="A703">
        <v>25.273521589112942</v>
      </c>
      <c r="B703">
        <v>0.984375</v>
      </c>
      <c r="D703">
        <v>54.929143734746091</v>
      </c>
      <c r="E703">
        <v>0.978515625</v>
      </c>
      <c r="G703">
        <v>30.552879432172077</v>
      </c>
      <c r="H703">
        <v>0.9814453125</v>
      </c>
      <c r="J703">
        <v>19.627182737442741</v>
      </c>
      <c r="K703">
        <v>0.98046875</v>
      </c>
    </row>
    <row r="704" spans="1:11" x14ac:dyDescent="0.45">
      <c r="A704">
        <v>25.273521589112942</v>
      </c>
      <c r="B704">
        <v>0.984619140625</v>
      </c>
      <c r="D704">
        <v>55.434915754221493</v>
      </c>
      <c r="E704">
        <v>0.9794921875</v>
      </c>
      <c r="G704">
        <v>30.552879432172077</v>
      </c>
      <c r="H704">
        <v>0.982421875</v>
      </c>
      <c r="J704">
        <v>20.315199487712544</v>
      </c>
      <c r="K704">
        <v>0.98095703125</v>
      </c>
    </row>
    <row r="705" spans="1:11" x14ac:dyDescent="0.45">
      <c r="A705">
        <v>25.273521589112942</v>
      </c>
      <c r="B705">
        <v>0.985107421875</v>
      </c>
      <c r="D705">
        <v>55.434915754221493</v>
      </c>
      <c r="E705">
        <v>0.9814453125</v>
      </c>
      <c r="G705">
        <v>30.552879432172077</v>
      </c>
      <c r="H705">
        <v>0.984375</v>
      </c>
      <c r="J705">
        <v>20.315199487712544</v>
      </c>
      <c r="K705">
        <v>0.98193359375</v>
      </c>
    </row>
    <row r="706" spans="1:11" x14ac:dyDescent="0.45">
      <c r="A706">
        <v>25.273521589112942</v>
      </c>
      <c r="B706">
        <v>0.9853515625</v>
      </c>
      <c r="D706">
        <v>55.434915754221493</v>
      </c>
      <c r="E706">
        <v>0.982421875</v>
      </c>
      <c r="G706">
        <v>30.552879432172077</v>
      </c>
      <c r="H706">
        <v>0.9853515625</v>
      </c>
      <c r="J706">
        <v>20.315199487712544</v>
      </c>
      <c r="K706">
        <v>0.982421875</v>
      </c>
    </row>
    <row r="707" spans="1:11" x14ac:dyDescent="0.45">
      <c r="A707">
        <v>25.273521589112942</v>
      </c>
      <c r="B707">
        <v>0.98583984375</v>
      </c>
      <c r="D707">
        <v>56.549514105116465</v>
      </c>
      <c r="E707">
        <v>0.9833984375</v>
      </c>
      <c r="G707">
        <v>30.552879432172077</v>
      </c>
      <c r="H707">
        <v>0.98583984375</v>
      </c>
      <c r="J707">
        <v>20.315199487712544</v>
      </c>
      <c r="K707">
        <v>0.9833984375</v>
      </c>
    </row>
    <row r="708" spans="1:11" x14ac:dyDescent="0.45">
      <c r="A708">
        <v>25.273521589112942</v>
      </c>
      <c r="B708">
        <v>0.98681640625</v>
      </c>
      <c r="D708">
        <v>56.549514105116465</v>
      </c>
      <c r="E708">
        <v>0.9853515625</v>
      </c>
      <c r="G708">
        <v>30.552879432172077</v>
      </c>
      <c r="H708">
        <v>0.98681640625</v>
      </c>
      <c r="J708">
        <v>20.315199487712544</v>
      </c>
      <c r="K708">
        <v>0.9853515625</v>
      </c>
    </row>
    <row r="709" spans="1:11" x14ac:dyDescent="0.45">
      <c r="A709">
        <v>25.273521589112942</v>
      </c>
      <c r="B709">
        <v>0.9873046875</v>
      </c>
      <c r="D709">
        <v>56.549514105116465</v>
      </c>
      <c r="E709">
        <v>0.986328125</v>
      </c>
      <c r="G709">
        <v>30.552879432172077</v>
      </c>
      <c r="H709">
        <v>0.9873046875</v>
      </c>
      <c r="J709">
        <v>20.315199487712544</v>
      </c>
      <c r="K709">
        <v>0.986328125</v>
      </c>
    </row>
    <row r="710" spans="1:11" x14ac:dyDescent="0.45">
      <c r="A710">
        <v>25.273521589112942</v>
      </c>
      <c r="B710">
        <v>0.987548828125</v>
      </c>
      <c r="D710">
        <v>57.521736327338687</v>
      </c>
      <c r="E710">
        <v>0.98681640625</v>
      </c>
      <c r="G710">
        <v>31.708936188475928</v>
      </c>
      <c r="H710">
        <v>0.987548828125</v>
      </c>
      <c r="J710">
        <v>20.315199487712544</v>
      </c>
      <c r="K710">
        <v>0.98681640625</v>
      </c>
    </row>
    <row r="711" spans="1:11" x14ac:dyDescent="0.45">
      <c r="A711">
        <v>25.273521589112942</v>
      </c>
      <c r="B711">
        <v>0.988037109375</v>
      </c>
      <c r="D711">
        <v>57.521736327338687</v>
      </c>
      <c r="E711">
        <v>0.98779296875</v>
      </c>
      <c r="G711">
        <v>31.708936188475928</v>
      </c>
      <c r="H711">
        <v>0.988037109375</v>
      </c>
      <c r="J711">
        <v>20.315199487712544</v>
      </c>
      <c r="K711">
        <v>0.98779296875</v>
      </c>
    </row>
    <row r="712" spans="1:11" x14ac:dyDescent="0.45">
      <c r="A712">
        <v>25.273521589112942</v>
      </c>
      <c r="B712">
        <v>0.98828125</v>
      </c>
      <c r="D712">
        <v>57.521736327338687</v>
      </c>
      <c r="E712">
        <v>0.98828125</v>
      </c>
      <c r="G712">
        <v>31.708936188475928</v>
      </c>
      <c r="H712">
        <v>0.98828125</v>
      </c>
      <c r="J712">
        <v>20.315199487712544</v>
      </c>
      <c r="K712">
        <v>0.98828125</v>
      </c>
    </row>
    <row r="713" spans="1:11" x14ac:dyDescent="0.45">
      <c r="A713">
        <v>25.273521589112942</v>
      </c>
      <c r="B713">
        <v>0.98876953125</v>
      </c>
      <c r="D713">
        <v>60.824928371647346</v>
      </c>
      <c r="E713">
        <v>0.98876953125</v>
      </c>
      <c r="G713">
        <v>33.029581722304734</v>
      </c>
      <c r="H713">
        <v>0.98876953125</v>
      </c>
      <c r="J713">
        <v>20.640542715734622</v>
      </c>
      <c r="K713">
        <v>0.98876953125</v>
      </c>
    </row>
    <row r="714" spans="1:11" x14ac:dyDescent="0.45">
      <c r="A714">
        <v>25.273521589112942</v>
      </c>
      <c r="B714">
        <v>0.98974609375</v>
      </c>
      <c r="D714">
        <v>60.824928371647346</v>
      </c>
      <c r="E714">
        <v>0.98974609375</v>
      </c>
      <c r="G714">
        <v>33.029581722304734</v>
      </c>
      <c r="H714">
        <v>0.98974609375</v>
      </c>
      <c r="J714">
        <v>20.640542715734622</v>
      </c>
      <c r="K714">
        <v>0.98974609375</v>
      </c>
    </row>
    <row r="715" spans="1:11" x14ac:dyDescent="0.45">
      <c r="A715">
        <v>25.273521589112942</v>
      </c>
      <c r="B715">
        <v>0.990234375</v>
      </c>
      <c r="D715">
        <v>60.824928371647346</v>
      </c>
      <c r="E715">
        <v>0.990234375</v>
      </c>
      <c r="G715">
        <v>33.029581722304734</v>
      </c>
      <c r="H715">
        <v>0.990234375</v>
      </c>
      <c r="J715">
        <v>20.640542715734622</v>
      </c>
      <c r="K715">
        <v>0.990234375</v>
      </c>
    </row>
    <row r="716" spans="1:11" x14ac:dyDescent="0.45">
      <c r="A716">
        <v>25.273521589112942</v>
      </c>
      <c r="B716">
        <v>0.9912109375</v>
      </c>
      <c r="D716">
        <v>62.445298742017719</v>
      </c>
      <c r="E716">
        <v>0.9912109375</v>
      </c>
      <c r="G716">
        <v>33.25123172230473</v>
      </c>
      <c r="H716">
        <v>0.990478515625</v>
      </c>
      <c r="J716">
        <v>20.640542715734622</v>
      </c>
      <c r="K716">
        <v>0.9912109375</v>
      </c>
    </row>
    <row r="717" spans="1:11" x14ac:dyDescent="0.45">
      <c r="A717">
        <v>25.273521589112942</v>
      </c>
      <c r="B717">
        <v>0.9931640625</v>
      </c>
      <c r="D717">
        <v>62.445298742017719</v>
      </c>
      <c r="E717">
        <v>0.9931640625</v>
      </c>
      <c r="G717">
        <v>33.25123172230473</v>
      </c>
      <c r="H717">
        <v>0.990966796875</v>
      </c>
      <c r="J717">
        <v>20.640542715734622</v>
      </c>
      <c r="K717">
        <v>0.9931640625</v>
      </c>
    </row>
    <row r="718" spans="1:11" x14ac:dyDescent="0.45">
      <c r="A718">
        <v>25.273521589112942</v>
      </c>
      <c r="B718">
        <v>0.994140625</v>
      </c>
      <c r="D718">
        <v>62.445298742017719</v>
      </c>
      <c r="E718">
        <v>0.994140625</v>
      </c>
      <c r="G718">
        <v>33.25123172230473</v>
      </c>
      <c r="H718">
        <v>0.9912109375</v>
      </c>
      <c r="J718">
        <v>20.640542715734622</v>
      </c>
      <c r="K718">
        <v>0.994140625</v>
      </c>
    </row>
    <row r="719" spans="1:11" x14ac:dyDescent="0.45">
      <c r="A719">
        <v>25.273521589112942</v>
      </c>
      <c r="B719">
        <v>0.99462890625</v>
      </c>
      <c r="D719">
        <v>63.172601516404178</v>
      </c>
      <c r="E719">
        <v>0.994384765625</v>
      </c>
      <c r="G719">
        <v>34.371989361193634</v>
      </c>
      <c r="H719">
        <v>0.9921875</v>
      </c>
      <c r="J719">
        <v>20.640542715734622</v>
      </c>
      <c r="K719">
        <v>0.99462890625</v>
      </c>
    </row>
    <row r="720" spans="1:11" x14ac:dyDescent="0.45">
      <c r="A720">
        <v>25.273521589112942</v>
      </c>
      <c r="B720">
        <v>0.99560546875</v>
      </c>
      <c r="D720">
        <v>63.172601516404178</v>
      </c>
      <c r="E720">
        <v>0.994873046875</v>
      </c>
      <c r="G720">
        <v>34.371989361193634</v>
      </c>
      <c r="H720">
        <v>0.994140625</v>
      </c>
      <c r="J720">
        <v>20.640542715734622</v>
      </c>
      <c r="K720">
        <v>0.99560546875</v>
      </c>
    </row>
    <row r="721" spans="1:11" x14ac:dyDescent="0.45">
      <c r="A721">
        <v>25.273521589112942</v>
      </c>
      <c r="B721">
        <v>0.99609375</v>
      </c>
      <c r="D721">
        <v>63.172601516404178</v>
      </c>
      <c r="E721">
        <v>0.9951171875</v>
      </c>
      <c r="G721">
        <v>34.371989361193634</v>
      </c>
      <c r="H721">
        <v>0.9951171875</v>
      </c>
      <c r="J721">
        <v>20.640542715734622</v>
      </c>
      <c r="K721">
        <v>0.99609375</v>
      </c>
    </row>
    <row r="722" spans="1:11" x14ac:dyDescent="0.45">
      <c r="A722">
        <v>25.273521589112942</v>
      </c>
      <c r="B722">
        <v>0.996337890625</v>
      </c>
      <c r="D722">
        <v>63.417520964239941</v>
      </c>
      <c r="E722">
        <v>0.99560546875</v>
      </c>
      <c r="G722">
        <v>34.371989361193634</v>
      </c>
      <c r="H722">
        <v>0.99560546875</v>
      </c>
      <c r="J722">
        <v>22.080580579623085</v>
      </c>
      <c r="K722">
        <v>0.996337890625</v>
      </c>
    </row>
    <row r="723" spans="1:11" x14ac:dyDescent="0.45">
      <c r="A723">
        <v>25.273521589112942</v>
      </c>
      <c r="B723">
        <v>0.996826171875</v>
      </c>
      <c r="D723">
        <v>63.417520964239941</v>
      </c>
      <c r="E723">
        <v>0.99658203125</v>
      </c>
      <c r="G723">
        <v>34.371989361193634</v>
      </c>
      <c r="H723">
        <v>0.99658203125</v>
      </c>
      <c r="J723">
        <v>22.080580579623085</v>
      </c>
      <c r="K723">
        <v>0.996826171875</v>
      </c>
    </row>
    <row r="724" spans="1:11" x14ac:dyDescent="0.45">
      <c r="A724">
        <v>25.273521589112942</v>
      </c>
      <c r="B724">
        <v>0.9970703125</v>
      </c>
      <c r="D724">
        <v>63.417520964239941</v>
      </c>
      <c r="E724">
        <v>0.9970703125</v>
      </c>
      <c r="G724">
        <v>34.371989361193634</v>
      </c>
      <c r="H724">
        <v>0.9970703125</v>
      </c>
      <c r="J724">
        <v>22.080580579623085</v>
      </c>
      <c r="K724">
        <v>0.9970703125</v>
      </c>
    </row>
    <row r="725" spans="1:11" x14ac:dyDescent="0.45">
      <c r="A725">
        <v>25.273521589112942</v>
      </c>
      <c r="B725">
        <v>0.99755859375</v>
      </c>
      <c r="D725">
        <v>64.792971886774538</v>
      </c>
      <c r="E725">
        <v>0.99755859375</v>
      </c>
      <c r="G725">
        <v>34.371989361193634</v>
      </c>
      <c r="H725">
        <v>0.99755859375</v>
      </c>
      <c r="J725">
        <v>22.080580579623085</v>
      </c>
      <c r="K725">
        <v>0.99755859375</v>
      </c>
    </row>
    <row r="726" spans="1:11" x14ac:dyDescent="0.45">
      <c r="A726">
        <v>25.273521589112942</v>
      </c>
      <c r="B726">
        <v>0.99853515625</v>
      </c>
      <c r="D726">
        <v>64.792971886774538</v>
      </c>
      <c r="E726">
        <v>0.99853515625</v>
      </c>
      <c r="G726">
        <v>34.371989361193634</v>
      </c>
      <c r="H726">
        <v>0.99853515625</v>
      </c>
      <c r="J726">
        <v>22.080580579623085</v>
      </c>
      <c r="K726">
        <v>0.99853515625</v>
      </c>
    </row>
    <row r="727" spans="1:11" x14ac:dyDescent="0.45">
      <c r="A727">
        <v>25.273521589112942</v>
      </c>
      <c r="B727">
        <v>0.9990234375</v>
      </c>
      <c r="D727">
        <v>64.792971886774538</v>
      </c>
      <c r="E727">
        <v>0.9990234375</v>
      </c>
      <c r="G727">
        <v>34.371989361193634</v>
      </c>
      <c r="H727">
        <v>0.9990234375</v>
      </c>
      <c r="J727">
        <v>22.080580579623085</v>
      </c>
      <c r="K727">
        <v>0.9990234375</v>
      </c>
    </row>
    <row r="728" spans="1:11" x14ac:dyDescent="0.45">
      <c r="A728">
        <v>25.273521589112942</v>
      </c>
      <c r="B728">
        <v>0.999267578125</v>
      </c>
      <c r="D728">
        <v>65.765194108996766</v>
      </c>
      <c r="E728">
        <v>0.999267578125</v>
      </c>
      <c r="G728">
        <v>34.371989361193634</v>
      </c>
      <c r="H728">
        <v>0.999267578125</v>
      </c>
      <c r="J728">
        <v>22.080580579623085</v>
      </c>
      <c r="K728">
        <v>0.999267578125</v>
      </c>
    </row>
    <row r="729" spans="1:11" x14ac:dyDescent="0.45">
      <c r="A729">
        <v>25.273521589112942</v>
      </c>
      <c r="B729">
        <v>0.999755859375</v>
      </c>
      <c r="D729">
        <v>65.765194108996766</v>
      </c>
      <c r="E729">
        <v>0.999755859375</v>
      </c>
      <c r="G729">
        <v>34.371989361193634</v>
      </c>
      <c r="H729">
        <v>0.999755859375</v>
      </c>
      <c r="J729">
        <v>22.080580579623085</v>
      </c>
      <c r="K729">
        <v>0.999755859375</v>
      </c>
    </row>
    <row r="730" spans="1:11" x14ac:dyDescent="0.45">
      <c r="A730">
        <v>25.273521589112942</v>
      </c>
      <c r="B730">
        <v>1</v>
      </c>
      <c r="D730">
        <v>65.765194108996766</v>
      </c>
      <c r="E730">
        <v>1</v>
      </c>
      <c r="G730">
        <v>34.371989361193634</v>
      </c>
      <c r="H730">
        <v>1</v>
      </c>
      <c r="J730">
        <v>22.080580579623085</v>
      </c>
      <c r="K730">
        <v>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N20"/>
  <sheetViews>
    <sheetView tabSelected="1" workbookViewId="0">
      <selection activeCell="G17" sqref="G17"/>
    </sheetView>
  </sheetViews>
  <sheetFormatPr defaultRowHeight="14.25" x14ac:dyDescent="0.45"/>
  <sheetData>
    <row r="1" spans="2:14" x14ac:dyDescent="0.45">
      <c r="J1" t="s">
        <v>83</v>
      </c>
    </row>
    <row r="2" spans="2:14" x14ac:dyDescent="0.45">
      <c r="B2" t="s">
        <v>131</v>
      </c>
      <c r="C2" t="s">
        <v>132</v>
      </c>
      <c r="D2" t="s">
        <v>133</v>
      </c>
      <c r="K2" t="s">
        <v>79</v>
      </c>
      <c r="L2" t="s">
        <v>80</v>
      </c>
      <c r="M2" t="s">
        <v>81</v>
      </c>
      <c r="N2" t="s">
        <v>82</v>
      </c>
    </row>
    <row r="3" spans="2:14" x14ac:dyDescent="0.45">
      <c r="B3">
        <v>40</v>
      </c>
      <c r="C3">
        <v>9.49</v>
      </c>
      <c r="D3">
        <f>$K$4</f>
        <v>10.545158200350798</v>
      </c>
      <c r="J3" t="s">
        <v>93</v>
      </c>
      <c r="K3">
        <v>11.357047462671101</v>
      </c>
      <c r="L3">
        <v>7.8869277911037461</v>
      </c>
      <c r="M3">
        <v>10.497902148367951</v>
      </c>
      <c r="N3">
        <v>8.0151921863284343</v>
      </c>
    </row>
    <row r="4" spans="2:14" x14ac:dyDescent="0.45">
      <c r="B4">
        <v>41</v>
      </c>
      <c r="C4">
        <v>9.6999999999999993</v>
      </c>
      <c r="D4">
        <f t="shared" ref="D4:D9" si="0">$K$4</f>
        <v>10.545158200350798</v>
      </c>
      <c r="J4" t="s">
        <v>92</v>
      </c>
      <c r="K4">
        <v>10.545158200350798</v>
      </c>
      <c r="L4">
        <v>3.8440140967086935</v>
      </c>
      <c r="M4">
        <v>9.4896107545675843</v>
      </c>
      <c r="N4">
        <v>7.615184434899497</v>
      </c>
    </row>
    <row r="5" spans="2:14" x14ac:dyDescent="0.45">
      <c r="B5">
        <v>42</v>
      </c>
      <c r="C5">
        <v>9.91</v>
      </c>
      <c r="D5">
        <f t="shared" si="0"/>
        <v>10.545158200350798</v>
      </c>
      <c r="J5" t="s">
        <v>86</v>
      </c>
      <c r="K5">
        <v>-0.70362813947826464</v>
      </c>
      <c r="L5">
        <v>-0.87973565980198798</v>
      </c>
      <c r="M5">
        <v>-0.72882592719379613</v>
      </c>
      <c r="N5">
        <v>-0.77581632518605281</v>
      </c>
    </row>
    <row r="6" spans="2:14" x14ac:dyDescent="0.45">
      <c r="B6">
        <v>43</v>
      </c>
      <c r="C6">
        <v>10.119999999999999</v>
      </c>
      <c r="D6">
        <f t="shared" si="0"/>
        <v>10.545158200350798</v>
      </c>
      <c r="K6">
        <v>11.357047462671101</v>
      </c>
      <c r="L6">
        <v>7.8869277911037461</v>
      </c>
      <c r="M6">
        <v>10.497902148367951</v>
      </c>
      <c r="N6">
        <v>8.0151921863284343</v>
      </c>
    </row>
    <row r="7" spans="2:14" x14ac:dyDescent="0.45">
      <c r="B7">
        <v>44</v>
      </c>
      <c r="C7">
        <v>10.33</v>
      </c>
      <c r="D7">
        <f t="shared" si="0"/>
        <v>10.545158200350798</v>
      </c>
    </row>
    <row r="8" spans="2:14" x14ac:dyDescent="0.45">
      <c r="B8">
        <v>45</v>
      </c>
      <c r="C8">
        <v>10.54</v>
      </c>
      <c r="D8">
        <f t="shared" si="0"/>
        <v>10.545158200350798</v>
      </c>
    </row>
    <row r="9" spans="2:14" x14ac:dyDescent="0.45">
      <c r="B9">
        <v>46</v>
      </c>
      <c r="C9">
        <v>10.75</v>
      </c>
      <c r="D9">
        <f t="shared" si="0"/>
        <v>10.545158200350798</v>
      </c>
    </row>
    <row r="14" spans="2:14" x14ac:dyDescent="0.45">
      <c r="B14" t="s">
        <v>134</v>
      </c>
      <c r="C14" t="s">
        <v>135</v>
      </c>
      <c r="D14" t="s">
        <v>133</v>
      </c>
    </row>
    <row r="15" spans="2:14" x14ac:dyDescent="0.45">
      <c r="B15">
        <v>3</v>
      </c>
      <c r="C15">
        <v>7.61</v>
      </c>
      <c r="D15">
        <v>10.54</v>
      </c>
    </row>
    <row r="16" spans="2:14" x14ac:dyDescent="0.45">
      <c r="B16">
        <v>4</v>
      </c>
      <c r="C16">
        <v>9.9879999999999995</v>
      </c>
      <c r="D16">
        <v>10.54</v>
      </c>
    </row>
    <row r="17" spans="2:4" x14ac:dyDescent="0.45">
      <c r="B17">
        <v>4.2</v>
      </c>
      <c r="C17">
        <v>10.45</v>
      </c>
      <c r="D17">
        <v>10.54</v>
      </c>
    </row>
    <row r="18" spans="2:4" x14ac:dyDescent="0.45">
      <c r="B18">
        <v>4.25</v>
      </c>
      <c r="C18">
        <v>10.57</v>
      </c>
      <c r="D18">
        <v>10.54</v>
      </c>
    </row>
    <row r="19" spans="2:4" x14ac:dyDescent="0.45">
      <c r="B19">
        <v>4.3</v>
      </c>
      <c r="C19">
        <v>10.68</v>
      </c>
      <c r="D19">
        <v>10.54</v>
      </c>
    </row>
    <row r="20" spans="2:4" x14ac:dyDescent="0.45">
      <c r="B20">
        <v>4.5</v>
      </c>
      <c r="C20">
        <v>11.14</v>
      </c>
      <c r="D20">
        <v>10.54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Sheet1</vt:lpstr>
      <vt:lpstr>BaseS1</vt:lpstr>
      <vt:lpstr>BaseS2</vt:lpstr>
      <vt:lpstr>BaseS3</vt:lpstr>
      <vt:lpstr>BaseS4</vt:lpstr>
      <vt:lpstr>Total</vt:lpstr>
      <vt:lpstr>EEMRCS1</vt:lpstr>
      <vt:lpstr>EEMRCS2</vt:lpstr>
      <vt:lpstr>EEMRCS3</vt:lpstr>
      <vt:lpstr>EEMRCS4</vt:lpstr>
      <vt:lpstr>Tornado Data</vt:lpstr>
      <vt:lpstr>TORNADOES AAAHHH!!!</vt:lpstr>
      <vt:lpstr>Hi-Base-Lo</vt:lpstr>
      <vt:lpstr>Decision Tree</vt:lpstr>
      <vt:lpstr>CDF</vt:lpstr>
      <vt:lpstr>Sheet12</vt:lpstr>
      <vt:lpstr>dem_g_PD</vt:lpstr>
      <vt:lpstr>dem_RBL</vt:lpstr>
      <vt:lpstr>discount_rate</vt:lpstr>
      <vt:lpstr>mult_PD</vt:lpstr>
      <vt:lpstr>plant_const</vt:lpstr>
      <vt:lpstr>prod_PuD</vt:lpstr>
      <vt:lpstr>prod_w_exp</vt:lpstr>
      <vt:lpstr>prod_wo_exp</vt:lpstr>
      <vt:lpstr>risk_tol</vt:lpstr>
      <vt:lpstr>strategy</vt:lpstr>
      <vt:lpstr>strategy_name</vt:lpstr>
      <vt:lpstr>tax_rate</vt:lpstr>
      <vt:lpstr>unit_prod</vt:lpstr>
      <vt:lpstr>unit_rev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Jake</cp:lastModifiedBy>
  <dcterms:created xsi:type="dcterms:W3CDTF">2017-02-14T19:18:30Z</dcterms:created>
  <dcterms:modified xsi:type="dcterms:W3CDTF">2017-02-23T17:29:29Z</dcterms:modified>
</cp:coreProperties>
</file>